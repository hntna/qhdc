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ntna\Downloads\"/>
    </mc:Choice>
  </mc:AlternateContent>
  <bookViews>
    <workbookView xWindow="1860" yWindow="0" windowWidth="19200" windowHeight="7050" tabRatio="881"/>
  </bookViews>
  <sheets>
    <sheet name="PL1.1 ML2027-2028" sheetId="1" r:id="rId1"/>
  </sheets>
  <definedNames>
    <definedName name="\p">#REF!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oi1">#REF!</definedName>
    <definedName name="__boi2">#REF!</definedName>
    <definedName name="__CON1">#REF!</definedName>
    <definedName name="__CON2">#REF!</definedName>
    <definedName name="__cpd1">#REF!</definedName>
    <definedName name="__cpd2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lap1">#REF!</definedName>
    <definedName name="__lap2">#REF!</definedName>
    <definedName name="__nc151">#REF!</definedName>
    <definedName name="__NET2">#REF!</definedName>
    <definedName name="__NSO2" hidden="1">{"'Sheet1'!$L$16"}</definedName>
    <definedName name="__SHR1">#REF!</definedName>
    <definedName name="__SHR2">#REF!</definedName>
    <definedName name="__tax1">#REF!</definedName>
    <definedName name="__tax2">#REF!</definedName>
    <definedName name="__tax3">#REF!</definedName>
    <definedName name="__tax4">#REF!</definedName>
    <definedName name="__tct5">#REF!</definedName>
    <definedName name="__tg427">#REF!</definedName>
    <definedName name="__TH20">#REF!</definedName>
    <definedName name="_1">#REF!</definedName>
    <definedName name="_1000A01">#REF!</definedName>
    <definedName name="_2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TT_REG_DCOM_3G">#REF!</definedName>
    <definedName name="_ATT_REG_MI_3G">#REF!</definedName>
    <definedName name="_ATT_REG_voice_2G">#REF!</definedName>
    <definedName name="_ATT_REG_voice_3G">#REF!</definedName>
    <definedName name="_boi1">#REF!</definedName>
    <definedName name="_boi2">#REF!</definedName>
    <definedName name="_C_Lphi_4ab">#REF!</definedName>
    <definedName name="_chk1">#REF!</definedName>
    <definedName name="_CON1">#REF!</definedName>
    <definedName name="_CON2">#REF!</definedName>
    <definedName name="_cpd1">#REF!</definedName>
    <definedName name="_cpd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cs805">#REF!</definedName>
    <definedName name="_d2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Fill" localSheetId="0" hidden="1">#REF!</definedName>
    <definedName name="_Fill" hidden="1">#REF!</definedName>
    <definedName name="_xlnm._FilterDatabase" localSheetId="0" hidden="1">'PL1.1 ML2027-2028'!$A$7:$AB$16</definedName>
    <definedName name="_xlnm._FilterDatabase" hidden="1">#REF!</definedName>
    <definedName name="_H500866">#REF!</definedName>
    <definedName name="_kbps_sub_ATT_DCOM_3G">#REF!</definedName>
    <definedName name="_kbps_sub_ATT_MI_3G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lap1">#REF!</definedName>
    <definedName name="_lap2">#REF!</definedName>
    <definedName name="_mErl_sub_ATT_voice_2G">#REF!</definedName>
    <definedName name="_mErl_sub_ATT_voice_3G">#REF!</definedName>
    <definedName name="_n23" localSheetId="0" hidden="1">{"'Sheet1'!$L$16"}</definedName>
    <definedName name="_n23" hidden="1">{"'Sheet1'!$L$16"}</definedName>
    <definedName name="_NET2">#REF!</definedName>
    <definedName name="_NSO2" localSheetId="0" hidden="1">{"'Sheet1'!$L$16"}</definedName>
    <definedName name="_NSO2" hidden="1">{"'Sheet1'!$L$16"}</definedName>
    <definedName name="_Order1" hidden="1">255</definedName>
    <definedName name="_Order2" hidden="1">255</definedName>
    <definedName name="_SHR1">#REF!</definedName>
    <definedName name="_SHR2">#REF!</definedName>
    <definedName name="_Sort" localSheetId="0" hidden="1">#REF!</definedName>
    <definedName name="_Sort" hidden="1">#REF!</definedName>
    <definedName name="_T8" localSheetId="0" hidden="1">{"'Sheet1'!$L$16"}</definedName>
    <definedName name="_T8" hidden="1">{"'Sheet1'!$L$16"}</definedName>
    <definedName name="_tax1">#REF!</definedName>
    <definedName name="_tax2">#REF!</definedName>
    <definedName name="_tax3">#REF!</definedName>
    <definedName name="_tax4">#REF!</definedName>
    <definedName name="_tct5">#REF!</definedName>
    <definedName name="_TDT35">#REF!</definedName>
    <definedName name="_tg427">#REF!</definedName>
    <definedName name="_TH20">#REF!</definedName>
    <definedName name="_Tỉ_lệ_peak_GD_ngày_max">#REF!</definedName>
    <definedName name="A">#REF!</definedName>
    <definedName name="a.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277Print_Titles">#REF!</definedName>
    <definedName name="A372m372">#REF!</definedName>
    <definedName name="AA">#REF!</definedName>
    <definedName name="AAA_DOCTOPS" hidden="1">"AAA_SET"</definedName>
    <definedName name="AAA_duser" hidden="1">"OFF"</definedName>
    <definedName name="aaaa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d" localSheetId="0" hidden="1">{"'Sheet1'!$L$16"}</definedName>
    <definedName name="aadd" hidden="1">{"'Sheet1'!$L$16"}</definedName>
    <definedName name="aass" localSheetId="0" hidden="1">{"'Sheet1'!$L$16"}</definedName>
    <definedName name="aass" hidden="1">{"'Sheet1'!$L$16"}</definedName>
    <definedName name="ac">#REF!</definedName>
    <definedName name="ádfg" localSheetId="0" hidden="1">{"'Sheet1'!$L$16"}</definedName>
    <definedName name="ádfg" hidden="1">{"'Sheet1'!$L$16"}</definedName>
    <definedName name="AirportVisitors">#REF!</definedName>
    <definedName name="AirportVisitorsS">#REF!</definedName>
    <definedName name="All_Item">#REF!</definedName>
    <definedName name="ALPIN">#REF!</definedName>
    <definedName name="ALPJYOU">#REF!</definedName>
    <definedName name="ALPTOI">#REF!</definedName>
    <definedName name="amiang">#REF!</definedName>
    <definedName name="anscount" hidden="1">8</definedName>
    <definedName name="As_">#REF!</definedName>
    <definedName name="AS2DocOpenMode" hidden="1">"AS2DocumentEdit"</definedName>
    <definedName name="AU" localSheetId="0" hidden="1">{"'Sheet1'!$L$16"}</definedName>
    <definedName name="AU" hidden="1">{"'Sheet1'!$L$16"}</definedName>
    <definedName name="Av">#REF!</definedName>
    <definedName name="b_eh">#REF!</definedName>
    <definedName name="b_eh1">#REF!</definedName>
    <definedName name="b_ev">#REF!</definedName>
    <definedName name="b_ev1">#REF!</definedName>
    <definedName name="b_FR">#REF!</definedName>
    <definedName name="b_fr1">#REF!</definedName>
    <definedName name="b_LL">#REF!</definedName>
    <definedName name="b_ll1">#REF!</definedName>
    <definedName name="b_WL">#REF!</definedName>
    <definedName name="b_WL1">#REF!</definedName>
    <definedName name="b_WS">#REF!</definedName>
    <definedName name="b_ws1">#REF!</definedName>
    <definedName name="b3_">#REF!</definedName>
    <definedName name="b4_">#REF!</definedName>
    <definedName name="Bang_cly">#REF!</definedName>
    <definedName name="Bang_CVC">#REF!</definedName>
    <definedName name="bang_gia">#REF!</definedName>
    <definedName name="Bang_travl">#REF!</definedName>
    <definedName name="bangtinh">#REF!</definedName>
    <definedName name="BarData">#REF!</definedName>
    <definedName name="BB">#REF!</definedName>
    <definedName name="bchcj">#REF!</definedName>
    <definedName name="bchvch">#REF!</definedName>
    <definedName name="Bcuc">#REF!</definedName>
    <definedName name="bdd">1.5</definedName>
    <definedName name="BL">"$A$1:$f$11"</definedName>
    <definedName name="blang">#REF!</definedName>
    <definedName name="blong">#REF!</definedName>
    <definedName name="bn">#REF!</definedName>
    <definedName name="BO" localSheetId="0" hidden="1">{"'Sheet1'!$L$16"}</definedName>
    <definedName name="BO" hidden="1">{"'Sheet1'!$L$16"}</definedName>
    <definedName name="BOQ">#REF!</definedName>
    <definedName name="boxes">#REF!</definedName>
    <definedName name="bson">#REF!</definedName>
    <definedName name="BT">#REF!</definedName>
    <definedName name="btai">#REF!</definedName>
    <definedName name="btham">#REF!</definedName>
    <definedName name="btong">#REF!</definedName>
    <definedName name="button_area_1">#REF!</definedName>
    <definedName name="bv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">#REF!</definedName>
    <definedName name="c5.">#REF!</definedName>
    <definedName name="CACAU">1415247</definedName>
    <definedName name="cap">#REF!</definedName>
    <definedName name="cap0.7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C">#REF!</definedName>
    <definedName name="CCT">#REF!</definedName>
    <definedName name="cd">#REF!</definedName>
    <definedName name="CDB">#REF!</definedName>
    <definedName name="cdn">#REF!</definedName>
    <definedName name="CDR">#REF!</definedName>
    <definedName name="celltips_area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k">#REF!</definedName>
    <definedName name="Chøng_tõ">#REF!</definedName>
    <definedName name="Chtinh">#REF!</definedName>
    <definedName name="chuc1">#REF!</definedName>
    <definedName name="CL">#REF!</definedName>
    <definedName name="CLVL">#REF!</definedName>
    <definedName name="CNC">#REF!</definedName>
    <definedName name="CND">#REF!</definedName>
    <definedName name="CNG">#REF!</definedName>
    <definedName name="Co">#REF!</definedName>
    <definedName name="coc">#REF!</definedName>
    <definedName name="coldex">#REF!</definedName>
    <definedName name="COMMON">#REF!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GTIEN">#REF!</definedName>
    <definedName name="CONST_EQ">#REF!</definedName>
    <definedName name="COT">#REF!</definedName>
    <definedName name="COVER">#REF!</definedName>
    <definedName name="CPC">#REF!</definedName>
    <definedName name="cpdd1">#REF!</definedName>
    <definedName name="cpdd2">#REF!</definedName>
    <definedName name="CRITINST">#REF!</definedName>
    <definedName name="CRITPURC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tiep">#REF!</definedName>
    <definedName name="ctmai">#REF!</definedName>
    <definedName name="CTO">#REF!</definedName>
    <definedName name="ctong">#REF!</definedName>
    <definedName name="ctre">#REF!</definedName>
    <definedName name="CU_LY">#REF!</definedName>
    <definedName name="cui">#REF!</definedName>
    <definedName name="cuoc_vc">#REF!</definedName>
    <definedName name="CURRENCY">#REF!</definedName>
    <definedName name="cx">#REF!</definedName>
    <definedName name="d_">#REF!</definedName>
    <definedName name="D_7101A_B">#REF!</definedName>
    <definedName name="d1_">#REF!</definedName>
    <definedName name="d2_">#REF!</definedName>
    <definedName name="d3_">#REF!</definedName>
    <definedName name="d4_">#REF!</definedName>
    <definedName name="d5_">#REF!</definedName>
    <definedName name="DAILATHANH" localSheetId="0" hidden="1">{"'Sheet1'!$L$16"}</definedName>
    <definedName name="DAILATHANH" hidden="1">{"'Sheet1'!$L$16"}</definedName>
    <definedName name="dapdbm1">#REF!</definedName>
    <definedName name="dapdbm2">#REF!</definedName>
    <definedName name="DAT">#REF!</definedName>
    <definedName name="data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_xlnm.Database">#REF!</definedName>
    <definedName name="datak">#REF!</definedName>
    <definedName name="datal">#REF!</definedName>
    <definedName name="db">#REF!</definedName>
    <definedName name="dc">#REF!</definedName>
    <definedName name="dche">#REF!</definedName>
    <definedName name="dd4x6">#REF!</definedName>
    <definedName name="ddabm">#REF!</definedName>
    <definedName name="dday">#REF!</definedName>
    <definedName name="ddbm500">#REF!</definedName>
    <definedName name="dden">#REF!</definedName>
    <definedName name="ddia">#REF!</definedName>
    <definedName name="DDK">#REF!</definedName>
    <definedName name="de">#REF!</definedName>
    <definedName name="den_bu">#REF!</definedName>
    <definedName name="denbu">#REF!</definedName>
    <definedName name="Det40x4">#REF!</definedName>
    <definedName name="Det50x5">#REF!</definedName>
    <definedName name="Det63x6">#REF!</definedName>
    <definedName name="Det75x6">#REF!</definedName>
    <definedName name="df">#REF!</definedName>
    <definedName name="dfg" hidden="1">{"'Sheet1'!$L$16"}</definedName>
    <definedName name="dfgdf">#REF!</definedName>
    <definedName name="dfgdfggf">#REF!</definedName>
    <definedName name="dflk">#REF!</definedName>
    <definedName name="dflt1">#REF!</definedName>
    <definedName name="dflt2">#REF!</definedName>
    <definedName name="dflt3">#REF!</definedName>
    <definedName name="dflt4">#REF!</definedName>
    <definedName name="dflt5">#REF!</definedName>
    <definedName name="dflt6">#REF!</definedName>
    <definedName name="dflt7">#REF!</definedName>
    <definedName name="dg">#REF!</definedName>
    <definedName name="DGCS">33500</definedName>
    <definedName name="DGCTI592">#REF!</definedName>
    <definedName name="dh">#REF!</definedName>
    <definedName name="dien">#REF!</definedName>
    <definedName name="dim">#REF!</definedName>
    <definedName name="display_area_1">#REF!</definedName>
    <definedName name="display_area_2">#REF!</definedName>
    <definedName name="Dist">#REF!</definedName>
    <definedName name="dmdv">#REF!</definedName>
    <definedName name="DMHH">#REF!</definedName>
    <definedName name="dmoi">#REF!</definedName>
    <definedName name="DN">#REF!</definedName>
    <definedName name="DÑt45x4">#REF!</definedName>
    <definedName name="DOANH_SO">#REF!</definedName>
    <definedName name="Doanh_thu">#REF!</definedName>
    <definedName name="dobt">#REF!</definedName>
    <definedName name="Document_array">{"ONGNGOAINHA.xls","Sheet1"}</definedName>
    <definedName name="dong" localSheetId="0" hidden="1">{"'Sheet1'!$L$16"}</definedName>
    <definedName name="dong" hidden="1">{"'Sheet1'!$L$16"}</definedName>
    <definedName name="drda">#REF!</definedName>
    <definedName name="drdat">#REF!</definedName>
    <definedName name="DSUMDATA">#REF!</definedName>
    <definedName name="DTBH">#REF!</definedName>
    <definedName name="DUCKY_CO_CD">#REF!</definedName>
    <definedName name="DUCKY_NO_CD">#REF!</definedName>
    <definedName name="DUDKY_CO_CD">#REF!</definedName>
    <definedName name="DUDKY_NO_CD">#REF!</definedName>
    <definedName name="dxd">#REF!</definedName>
    <definedName name="e">13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_xlnm.Extract">#REF!</definedName>
    <definedName name="FACTOR">#REF!</definedName>
    <definedName name="Fax">#REF!</definedName>
    <definedName name="Fay">#REF!</definedName>
    <definedName name="fy_">#REF!</definedName>
    <definedName name="g">2</definedName>
    <definedName name="gd">#REF!</definedName>
    <definedName name="gd.">#REF!</definedName>
    <definedName name="GDL">#REF!</definedName>
    <definedName name="ghichu">#REF!</definedName>
    <definedName name="gi">0.4</definedName>
    <definedName name="Gia_tien">#REF!</definedName>
    <definedName name="gia_tien_BTN">#REF!</definedName>
    <definedName name="GiaKHUSD" comment="Giá gói thầu theo KHLCNT USD">#REF!</definedName>
    <definedName name="GiaKHVND" comment="Giá gói thầu theo KHLCNT (VND)">#REF!</definedName>
    <definedName name="gjj">#REF!</definedName>
    <definedName name="gld">#REF!</definedName>
    <definedName name="GLL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rB">#REF!</definedName>
    <definedName name="GTXL">#REF!</definedName>
    <definedName name="gxm">#REF!</definedName>
    <definedName name="h" hidden="1">{"'Sheet1'!$L$16"}</definedName>
    <definedName name="Ha">#REF!</definedName>
    <definedName name="ha.">#REF!</definedName>
    <definedName name="haichau6">#REF!</definedName>
    <definedName name="hb.">#REF!</definedName>
    <definedName name="hc.">#REF!</definedName>
    <definedName name="HCM">#REF!</definedName>
    <definedName name="hg">#REF!</definedName>
    <definedName name="hgj">#REF!</definedName>
    <definedName name="HH">#REF!</definedName>
    <definedName name="hien">#REF!</definedName>
    <definedName name="Hinhthuc">#REF!</definedName>
    <definedName name="hnhnhn" localSheetId="0" hidden="1">{"'Sheet1'!$L$16"}</definedName>
    <definedName name="hnhnhn" hidden="1">{"'Sheet1'!$L$16"}</definedName>
    <definedName name="ho">#REF!</definedName>
    <definedName name="hoa" localSheetId="0" hidden="1">{"'Sheet1'!$L$16"}</definedName>
    <definedName name="hoa" hidden="1">{"'Sheet1'!$L$16"}</definedName>
    <definedName name="HOME_MANP">#REF!</definedName>
    <definedName name="HOMEOFFICE_COST">#REF!</definedName>
    <definedName name="hsn">0.5</definedName>
    <definedName name="HSPCKV">0.3</definedName>
    <definedName name="HT">#REF!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huynhhaichau">#REF!</definedName>
    <definedName name="i">1.11</definedName>
    <definedName name="IDLAB_COST">#REF!</definedName>
    <definedName name="IND_LAB">#REF!</definedName>
    <definedName name="INDMANP">#REF!</definedName>
    <definedName name="K">#REF!</definedName>
    <definedName name="k..">#REF!</definedName>
    <definedName name="KA">#REF!</definedName>
    <definedName name="ka.">#REF!</definedName>
    <definedName name="KAE">#REF!</definedName>
    <definedName name="kcong">#REF!</definedName>
    <definedName name="kdien">#REF!</definedName>
    <definedName name="KhuyenmaiUPS">"AutoShape 264"</definedName>
    <definedName name="kiem">#REF!</definedName>
    <definedName name="Kiem_tra_trung_ten">#REF!</definedName>
    <definedName name="kk">0.8</definedName>
    <definedName name="kl">#REF!</definedName>
    <definedName name="KPC">0.7</definedName>
    <definedName name="kstk">#REF!</definedName>
    <definedName name="KVC">#REF!</definedName>
    <definedName name="l">4.584</definedName>
    <definedName name="lai" localSheetId="0" hidden="1">{"'Sheet1'!$L$16"}</definedName>
    <definedName name="lai" hidden="1">{"'Sheet1'!$L$16"}</definedName>
    <definedName name="LAMTHEM">#REF!</definedName>
    <definedName name="Lb">#REF!</definedName>
    <definedName name="Lf">#REF!</definedName>
    <definedName name="LgL">#REF!</definedName>
    <definedName name="lk" localSheetId="0" hidden="1">{"'Sheet1'!$L$16"}</definedName>
    <definedName name="lk" hidden="1">{"'Sheet1'!$L$16"}</definedName>
    <definedName name="LLs">#REF!</definedName>
    <definedName name="LN">#REF!</definedName>
    <definedName name="LOC">#REF!</definedName>
    <definedName name="Log_Normal_Fade_Margin">#REF!</definedName>
    <definedName name="long">#REF!</definedName>
    <definedName name="Lop">#REF!</definedName>
    <definedName name="LTR">#REF!</definedName>
    <definedName name="ltre">#REF!</definedName>
    <definedName name="Luanthanh">#REF!</definedName>
    <definedName name="LUONG">#REF!</definedName>
    <definedName name="lVC">#REF!</definedName>
    <definedName name="m" hidden="1">{"'Sheet1'!$L$16"}</definedName>
    <definedName name="M0.4">#REF!</definedName>
    <definedName name="MAJ_CON_EQP">#REF!</definedName>
    <definedName name="Masterlist_CNTT" hidden="1">#REF!</definedName>
    <definedName name="Masterlist_ML" hidden="1">#REF!</definedName>
    <definedName name="matit">#REF!</definedName>
    <definedName name="MATK">#REF!</definedName>
    <definedName name="MATK_CD">#REF!</definedName>
    <definedName name="MATK_M">#REF!</definedName>
    <definedName name="MC">#REF!</definedName>
    <definedName name="me">#REF!</definedName>
    <definedName name="MG_A">#REF!</definedName>
    <definedName name="minh1">#REF!</definedName>
    <definedName name="ML">#REF!</definedName>
    <definedName name="MN">#REF!</definedName>
    <definedName name="mncvhjkhj" localSheetId="0" hidden="1">{"'Sheet1'!$L$16"}</definedName>
    <definedName name="mncvhjkhj" hidden="1">{"'Sheet1'!$L$16"}</definedName>
    <definedName name="MUN">#REF!</definedName>
    <definedName name="n1_">#REF!</definedName>
    <definedName name="n2_">#REF!</definedName>
    <definedName name="n3_">#REF!</definedName>
    <definedName name="n4_">#REF!</definedName>
    <definedName name="ncb">#N/A</definedName>
    <definedName name="NCcap0.7">#REF!</definedName>
    <definedName name="NCcap1">#REF!</definedName>
    <definedName name="NCKT">#REF!</definedName>
    <definedName name="NDemand01">#REF!</definedName>
    <definedName name="NDemand02">#REF!</definedName>
    <definedName name="NDemand03">#REF!</definedName>
    <definedName name="Néi_dung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_y__i">#REF!</definedName>
    <definedName name="ngau">#REF!</definedName>
    <definedName name="Ngay_BC.KQ_1" comment="Ngày báo cáo Hội đồng kết quả tài chính (2 túi HS)/KQ gói thầu (1 túi HS) lần 1">#REF!</definedName>
    <definedName name="Ngay_BC_KT_1" comment="Ngày báo cáo hội đồng KQ kỹ thuật lần 1">#REF!</definedName>
    <definedName name="Ngay_dong_thau">#REF!</definedName>
    <definedName name="Ngay_hoan.thanh_KQ">#REF!</definedName>
    <definedName name="Ngay_hoan.thanh_KT">#REF!</definedName>
    <definedName name="Ngay_mo_HSDX.TC">#REF!</definedName>
    <definedName name="Ngay_phat_hanh" comment="Ngày phát hành hồ sơ">#REF!</definedName>
    <definedName name="Ngay_thong.qua_KQ">#REF!</definedName>
    <definedName name="Ngay_thong.qua_KT">#REF!</definedName>
    <definedName name="NGAYCTU_B">#REF!</definedName>
    <definedName name="NGHI">#REF!</definedName>
    <definedName name="NH">#REF!</definedName>
    <definedName name="Nhancong">#REF!</definedName>
    <definedName name="NHANTIEN">#REF!</definedName>
    <definedName name="nhap1">#N/A</definedName>
    <definedName name="nhap2">#N/A</definedName>
    <definedName name="nhapcb">#N/A</definedName>
    <definedName name="NhNgam">#REF!</definedName>
    <definedName name="NHot">#REF!</definedName>
    <definedName name="NhTreo">#REF!</definedName>
    <definedName name="nhua">#REF!</definedName>
    <definedName name="nm" localSheetId="0" hidden="1">{"'Sheet1'!$L$16"}</definedName>
    <definedName name="nm" hidden="1">{"'Sheet1'!$L$16"}</definedName>
    <definedName name="nn">1.15</definedName>
    <definedName name="No">#REF!</definedName>
    <definedName name="NOCU">#REF!</definedName>
    <definedName name="NS">#REF!</definedName>
    <definedName name="NvsASD">"V1995-11-24"</definedName>
    <definedName name="NvsAutoDrillOk">"VN"</definedName>
    <definedName name="NvsElapsedTime">0.000677083335176576</definedName>
    <definedName name="NvsEndTime">35083.4744131944</definedName>
    <definedName name="NvsInstSpec">"%"</definedName>
    <definedName name="NvsLayoutType">"M3"</definedName>
    <definedName name="NvsNplSpec">"%,X,RZF..,CZF.."</definedName>
    <definedName name="NvsPanelEffdt">"V1995-11-24"</definedName>
    <definedName name="NvsPanelSetid">"VMODEL"</definedName>
    <definedName name="NvsReqBU">"VMODEL"</definedName>
    <definedName name="NvsReqBUOnly">"VN"</definedName>
    <definedName name="NvsTransLed">"VN"</definedName>
    <definedName name="NvsTreeASD">"V1995-11-24"</definedName>
    <definedName name="NvsValTbl.OFFCENTER_CHG">"OFFDEPT_CHG_VAL"</definedName>
    <definedName name="p2_">#REF!</definedName>
    <definedName name="PA">#REF!</definedName>
    <definedName name="Phuongthuc" comment="Phương thức lựa chọn nhà thầu">#REF!</definedName>
    <definedName name="PK">#REF!</definedName>
    <definedName name="PRICE">#REF!</definedName>
    <definedName name="PRICE1">#REF!</definedName>
    <definedName name="_xlnm.Print_Area" localSheetId="0">'PL1.1 ML2027-2028'!$A$1:$I$16</definedName>
    <definedName name="_xlnm.Print_Area">#REF!</definedName>
    <definedName name="PRINT_AREA_MI">#REF!</definedName>
    <definedName name="_xlnm.Print_Titles" localSheetId="0">'PL1.1 ML2027-2028'!$4:$7</definedName>
    <definedName name="_xlnm.Print_Titles">#N/A</definedName>
    <definedName name="PRINT_TITLES_MI">#REF!</definedName>
    <definedName name="PRINTA">#REF!</definedName>
    <definedName name="PRINTB">#REF!</definedName>
    <definedName name="PRINTC">#REF!</definedName>
    <definedName name="PROPOSAL">#REF!</definedName>
    <definedName name="PSCO_CD">#REF!</definedName>
    <definedName name="PSNO_CD">#REF!</definedName>
    <definedName name="pt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qh">#REF!</definedName>
    <definedName name="ql">#REF!</definedName>
    <definedName name="qp">#REF!</definedName>
    <definedName name="qtebt">#REF!</definedName>
    <definedName name="Query1">#REF!</definedName>
    <definedName name="qx">#REF!</definedName>
    <definedName name="qy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_">#REF!</definedName>
    <definedName name="rang1">#REF!</definedName>
    <definedName name="range">#REF!</definedName>
    <definedName name="Rate">14563</definedName>
    <definedName name="re" hidden="1">{"'Sheet1'!$L$16"}</definedName>
    <definedName name="RECOUT">#REF!</definedName>
    <definedName name="REPORT01">#REF!</definedName>
    <definedName name="REPORT02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np">32</definedName>
    <definedName name="s1_">#REF!</definedName>
    <definedName name="s2_">#REF!</definedName>
    <definedName name="s3_">#REF!</definedName>
    <definedName name="s4_">#REF!</definedName>
    <definedName name="SCCR">#REF!</definedName>
    <definedName name="scdk">#REF!</definedName>
    <definedName name="scdl">#REF!</definedName>
    <definedName name="SCDT">#REF!</definedName>
    <definedName name="SCH">#REF!</definedName>
    <definedName name="sctdl">#REF!</definedName>
    <definedName name="sctqdl">#REF!</definedName>
    <definedName name="SDemand02">#REF!</definedName>
    <definedName name="SDemand03">#REF!</definedName>
    <definedName name="sencount" hidden="1">1</definedName>
    <definedName name="Shoes">#REF!</definedName>
    <definedName name="SIZE">#REF!</definedName>
    <definedName name="SL">#REF!</definedName>
    <definedName name="slk">#REF!</definedName>
    <definedName name="sll">#REF!</definedName>
    <definedName name="SOCTU_NK_BH">#REF!</definedName>
    <definedName name="Soi">#REF!</definedName>
    <definedName name="SORT">#REF!</definedName>
    <definedName name="SOTIEN_B">#REF!</definedName>
    <definedName name="SOTIEN_CO_NK">#REF!</definedName>
    <definedName name="SOTIEN_NO_NK">#REF!</definedName>
    <definedName name="SPEC">#REF!</definedName>
    <definedName name="SPECSUMMARY">#REF!</definedName>
    <definedName name="spk">#REF!</definedName>
    <definedName name="SS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us">#REF!</definedName>
    <definedName name="std.">#REF!</definedName>
    <definedName name="stop" localSheetId="0" hidden="1">{0}</definedName>
    <definedName name="stop" hidden="1">{0}</definedName>
    <definedName name="STT_NC">#REF!</definedName>
    <definedName name="STT_NCT">#REF!</definedName>
    <definedName name="STT_PH">#REF!</definedName>
    <definedName name="SU">#REF!</definedName>
    <definedName name="sua" localSheetId="0" hidden="1">{"'Sheet1'!$L$16"}</definedName>
    <definedName name="sua" hidden="1">{"'Sheet1'!$L$16"}</definedName>
    <definedName name="SUM">#REF!,#REF!</definedName>
    <definedName name="SUMMARY">#REF!</definedName>
    <definedName name="T">#REF!</definedName>
    <definedName name="TAMUNG">#REF!</definedName>
    <definedName name="TaxTV">10%</definedName>
    <definedName name="TaxXL">10%</definedName>
    <definedName name="TBA">#REF!</definedName>
    <definedName name="tc">#REF!</definedName>
    <definedName name="TD">#REF!</definedName>
    <definedName name="tdo">#REF!</definedName>
    <definedName name="tdt">#REF!</definedName>
    <definedName name="TenNgam">#REF!</definedName>
    <definedName name="TenTreo">#REF!</definedName>
    <definedName name="ter">#REF!</definedName>
    <definedName name="THCTO">#REF!</definedName>
    <definedName name="thdt">#REF!</definedName>
    <definedName name="thepma">30408</definedName>
    <definedName name="thepmaBL">34500</definedName>
    <definedName name="thepmacl">34500</definedName>
    <definedName name="THI">#REF!</definedName>
    <definedName name="thinh">#REF!</definedName>
    <definedName name="Thoi_gian_BC_KT" comment="Thời gian từ ngày ra b/c KT tới ngày được hội đồng thông qua KQ kỹ thuật">#REF!</definedName>
    <definedName name="Thoi_gian_D.G_KT" comment="Thời gian hoàn thành đánh giá HSĐX kỹ thuật từ ngày đóng thầu tới ngày TCG trình báo cáo KQ đánh giá KT lên HĐ">#REF!</definedName>
    <definedName name="Thoi_gian_D.G_tong.hop">#REF!</definedName>
    <definedName name="Thoi_gian_HT_B.C" comment="Thời gian hoàn thành báo cáo đánh giá tài chính (2 túi HS) hoặc hoàn thành báo cáo KQ đánh giá HSDT">#REF!</definedName>
    <definedName name="Thoi_gian_HT_D.G" comment="Thời gian hoàn thành đánh giá HSĐX tài chính (2 túi HS) hoặc thời gian hoàn thành đánh giá HSDT (1 túi HS)">#REF!</definedName>
    <definedName name="Thu__GTGT">#REF!</definedName>
    <definedName name="THUE_GTGT">#REF!</definedName>
    <definedName name="THUONG">#REF!</definedName>
    <definedName name="Tien">#REF!</definedName>
    <definedName name="Tim_Lan_Xuat_Hien">#REF!</definedName>
    <definedName name="tim_xuat_hien">#REF!</definedName>
    <definedName name="TITAN">#REF!</definedName>
    <definedName name="tk">#N/A</definedName>
    <definedName name="tke">#N/A</definedName>
    <definedName name="TKNO_NK">#REF!</definedName>
    <definedName name="tkt" localSheetId="0" hidden="1">{"'Sheet1'!$L$16"}</definedName>
    <definedName name="tkt" hidden="1">{"'Sheet1'!$L$16"}</definedName>
    <definedName name="Tle">#REF!</definedName>
    <definedName name="TN">"$A$1:$I$11"</definedName>
    <definedName name="tnewry">#REF!</definedName>
    <definedName name="ton">#REF!</definedName>
    <definedName name="TOT">#REF!</definedName>
    <definedName name="TPLRP">#REF!</definedName>
    <definedName name="Tra_don_gia_KS">#REF!</definedName>
    <definedName name="Tra_DTCT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MTON" localSheetId="0" hidden="1">{"'Sheet1'!$L$16"}</definedName>
    <definedName name="TRAMTON" hidden="1">{"'Sheet1'!$L$16"}</definedName>
    <definedName name="Trang.thai.goi.thau" comment="Trạng thái hiện tại của các gói thầu">#REF!</definedName>
    <definedName name="TRANO">#REF!</definedName>
    <definedName name="TRAVL">#REF!</definedName>
    <definedName name="TRUNGHI">#REF!</definedName>
    <definedName name="ttam">#REF!</definedName>
    <definedName name="ttao">#REF!</definedName>
    <definedName name="ttbt">#REF!</definedName>
    <definedName name="tthi">#REF!</definedName>
    <definedName name="ty_le">#REF!</definedName>
    <definedName name="ty_le_BTN">#REF!</definedName>
    <definedName name="Ty_le1">#REF!</definedName>
    <definedName name="u">#REF!</definedName>
    <definedName name="ư34y">#REF!</definedName>
    <definedName name="ưb2u45etm">#REF!</definedName>
    <definedName name="ưebty">#REF!</definedName>
    <definedName name="UP">#REF!,#REF!,#REF!,#REF!,#REF!,#REF!,#REF!,#REF!,#REF!,#REF!,#REF!</definedName>
    <definedName name="USD">15820</definedName>
    <definedName name="VARIINST">#REF!</definedName>
    <definedName name="VARIPURC">#REF!</definedName>
    <definedName name="vbnmb">#REF!</definedName>
    <definedName name="vc">#REF!</definedName>
    <definedName name="vccot">#REF!</definedName>
    <definedName name="vcdatd">#REF!</definedName>
    <definedName name="vcddx">#REF!</definedName>
    <definedName name="vctb">#REF!</definedName>
    <definedName name="Vf">#REF!</definedName>
    <definedName name="vital1">#REF!</definedName>
    <definedName name="vital2">#REF!</definedName>
    <definedName name="vital4">#REF!</definedName>
    <definedName name="vital5">#REF!</definedName>
    <definedName name="vital6">#REF!</definedName>
    <definedName name="vital8">#REF!</definedName>
    <definedName name="vital9">#REF!</definedName>
    <definedName name="Vlcap0.7">#REF!</definedName>
    <definedName name="VLcap1">#REF!</definedName>
    <definedName name="Vs">#REF!</definedName>
    <definedName name="vungnhapk">#REF!</definedName>
    <definedName name="vungnhapl">#REF!</definedName>
    <definedName name="vungxuatk">#REF!</definedName>
    <definedName name="vungxuatl">#REF!</definedName>
    <definedName name="vxgf">#REF!</definedName>
    <definedName name="W">#REF!</definedName>
    <definedName name="wb">#REF!</definedName>
    <definedName name="wrn.chi._.tiÆt." localSheetId="0" hidden="1">{#N/A,#N/A,FALSE,"Chi tiÆt"}</definedName>
    <definedName name="wrn.chi._.tiÆt." hidden="1">{#N/A,#N/A,FALSE,"Chi tiÆt"}</definedName>
    <definedName name="wup">#REF!</definedName>
    <definedName name="X">#REF!</definedName>
    <definedName name="x_list">#REF!</definedName>
    <definedName name="x1_">#REF!</definedName>
    <definedName name="x2_">#REF!</definedName>
    <definedName name="XA">#REF!</definedName>
    <definedName name="xaylap">#REF!</definedName>
    <definedName name="xcp">#REF!</definedName>
    <definedName name="xe">#REF!</definedName>
    <definedName name="xh">#REF!</definedName>
    <definedName name="xl">#REF!</definedName>
    <definedName name="xlc">#REF!</definedName>
    <definedName name="xlk">#REF!</definedName>
    <definedName name="xmp40">#REF!</definedName>
    <definedName name="xn">#REF!</definedName>
    <definedName name="xoanhapk">#REF!,#REF!</definedName>
    <definedName name="xoanhapl">#REF!,#REF!</definedName>
    <definedName name="xoaxuatk">#REF!</definedName>
    <definedName name="xoaxuatl">#REF!</definedName>
    <definedName name="y" localSheetId="0" hidden="1">{"'Sheet1'!$L$16"}</definedName>
    <definedName name="y" hidden="1">{"'Sheet1'!$L$16"}</definedName>
    <definedName name="y_list">#REF!</definedName>
    <definedName name="ycp">#REF!</definedName>
    <definedName name="YvNgam">#REF!</definedName>
    <definedName name="YvTreo">#REF!</definedName>
    <definedName name="ZYX">#REF!</definedName>
    <definedName name="ZZZ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93" i="1" l="1"/>
  <c r="G93" i="1"/>
  <c r="H92" i="1"/>
  <c r="G92" i="1"/>
  <c r="H91" i="1"/>
  <c r="G91" i="1"/>
  <c r="H90" i="1"/>
  <c r="G90" i="1"/>
  <c r="H88" i="1"/>
  <c r="G88" i="1"/>
  <c r="H87" i="1"/>
  <c r="H86" i="1" s="1"/>
  <c r="G87" i="1"/>
  <c r="G86" i="1" s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G78" i="1" s="1"/>
  <c r="H78" i="1"/>
  <c r="H76" i="1"/>
  <c r="G76" i="1"/>
  <c r="H75" i="1"/>
  <c r="H74" i="1" s="1"/>
  <c r="G75" i="1"/>
  <c r="G74" i="1"/>
  <c r="H73" i="1"/>
  <c r="G73" i="1"/>
  <c r="H72" i="1"/>
  <c r="G72" i="1"/>
  <c r="H71" i="1"/>
  <c r="G71" i="1"/>
  <c r="H70" i="1"/>
  <c r="G70" i="1"/>
  <c r="H69" i="1"/>
  <c r="G69" i="1"/>
  <c r="H68" i="1"/>
  <c r="H67" i="1" s="1"/>
  <c r="G68" i="1"/>
  <c r="G67" i="1" s="1"/>
  <c r="H66" i="1"/>
  <c r="G66" i="1"/>
  <c r="H65" i="1"/>
  <c r="G65" i="1"/>
  <c r="H64" i="1"/>
  <c r="G64" i="1"/>
  <c r="H63" i="1"/>
  <c r="G63" i="1"/>
  <c r="H62" i="1"/>
  <c r="G62" i="1"/>
  <c r="H61" i="1"/>
  <c r="H60" i="1" s="1"/>
  <c r="G61" i="1"/>
  <c r="G60" i="1" s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G46" i="1" s="1"/>
  <c r="H46" i="1"/>
  <c r="H45" i="1" s="1"/>
  <c r="H44" i="1"/>
  <c r="G44" i="1"/>
  <c r="H43" i="1"/>
  <c r="G43" i="1"/>
  <c r="H42" i="1"/>
  <c r="G42" i="1"/>
  <c r="H41" i="1"/>
  <c r="G41" i="1"/>
  <c r="H40" i="1"/>
  <c r="H39" i="1" s="1"/>
  <c r="G40" i="1"/>
  <c r="G39" i="1" s="1"/>
  <c r="H38" i="1"/>
  <c r="G38" i="1"/>
  <c r="H37" i="1"/>
  <c r="G37" i="1"/>
  <c r="H36" i="1"/>
  <c r="G36" i="1"/>
  <c r="H35" i="1"/>
  <c r="G35" i="1"/>
  <c r="H34" i="1"/>
  <c r="G34" i="1"/>
  <c r="G32" i="1" s="1"/>
  <c r="H33" i="1"/>
  <c r="H32" i="1" s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G24" i="1" s="1"/>
  <c r="H20" i="1"/>
  <c r="H19" i="1" s="1"/>
  <c r="G20" i="1"/>
  <c r="G19" i="1" s="1"/>
  <c r="H18" i="1"/>
  <c r="H17" i="1" s="1"/>
  <c r="G18" i="1"/>
  <c r="G17" i="1"/>
  <c r="H16" i="1"/>
  <c r="H15" i="1" s="1"/>
  <c r="G16" i="1"/>
  <c r="G15" i="1" s="1"/>
  <c r="H14" i="1"/>
  <c r="G14" i="1"/>
  <c r="H13" i="1"/>
  <c r="G13" i="1"/>
  <c r="H12" i="1"/>
  <c r="G77" i="1" l="1"/>
  <c r="G45" i="1"/>
  <c r="H77" i="1"/>
  <c r="H11" i="1"/>
  <c r="G23" i="1"/>
  <c r="H89" i="1"/>
  <c r="H24" i="1"/>
  <c r="H23" i="1" s="1"/>
  <c r="H22" i="1" s="1"/>
  <c r="G12" i="1"/>
  <c r="G11" i="1" s="1"/>
  <c r="G89" i="1"/>
  <c r="H10" i="1" l="1"/>
  <c r="G22" i="1"/>
  <c r="G10" i="1" s="1"/>
  <c r="G9" i="1" l="1"/>
  <c r="G8" i="1" s="1"/>
  <c r="G7" i="1" s="1"/>
  <c r="H9" i="1"/>
  <c r="H8" i="1" s="1"/>
  <c r="H7" i="1" s="1"/>
</calcChain>
</file>

<file path=xl/sharedStrings.xml><?xml version="1.0" encoding="utf-8"?>
<sst xmlns="http://schemas.openxmlformats.org/spreadsheetml/2006/main" count="438" uniqueCount="103">
  <si>
    <t>TT</t>
  </si>
  <si>
    <t>Nội dung/ hạng mục đầu tư, mua sắm</t>
  </si>
  <si>
    <t>Đơn vị tính</t>
  </si>
  <si>
    <t>USD</t>
  </si>
  <si>
    <t>I</t>
  </si>
  <si>
    <t>VT</t>
  </si>
  <si>
    <t>-</t>
  </si>
  <si>
    <t>II</t>
  </si>
  <si>
    <t>A</t>
  </si>
  <si>
    <t>VÔ TUYẾN</t>
  </si>
  <si>
    <t>III</t>
  </si>
  <si>
    <t>Mã mảng</t>
  </si>
  <si>
    <t>Mã DV</t>
  </si>
  <si>
    <t>Mã loại</t>
  </si>
  <si>
    <t>5G</t>
  </si>
  <si>
    <t>P1</t>
  </si>
  <si>
    <t>VTTB</t>
  </si>
  <si>
    <t>Mạng 5G</t>
  </si>
  <si>
    <t>Đơn giá dự kiến</t>
  </si>
  <si>
    <t>VPDĐ</t>
  </si>
  <si>
    <t>DLDĐ</t>
  </si>
  <si>
    <t>KHÔNG XÓA</t>
  </si>
  <si>
    <t>VHKT</t>
  </si>
  <si>
    <t>Thành tiền dự kiến (VNĐ)</t>
  </si>
  <si>
    <t>Dự kiến đơn vị đầu tư, mua sắm</t>
  </si>
  <si>
    <t>PCTT</t>
  </si>
  <si>
    <t>Đảm bảo dự phòng ƯCTT</t>
  </si>
  <si>
    <t>ƯCTT</t>
  </si>
  <si>
    <t>TỔNG ĐẦU TƯ VTTB VÀ XÂY LẮP 2027-2028</t>
  </si>
  <si>
    <t>TỔNG ĐẦU TƯ VTTB 2027-2028</t>
  </si>
  <si>
    <r>
      <t xml:space="preserve">PHỤ LỤC 1.1: BẢNG TỔNG HỢP CHI TIẾT NHU CẦU ĐẦU TƯ, MUA SẮM THEO QHĐC NĂM 2027-2028
</t>
    </r>
    <r>
      <rPr>
        <i/>
        <sz val="14"/>
        <rFont val="Times New Roman"/>
        <family val="1"/>
      </rPr>
      <t>(Ban hành kèm theo Tờ trình số                      của Tập đoàn CNVTQĐ)</t>
    </r>
  </si>
  <si>
    <t>Khối lượng</t>
  </si>
  <si>
    <t>Mạng 2/3/4G</t>
  </si>
  <si>
    <t>A1</t>
  </si>
  <si>
    <t>1</t>
  </si>
  <si>
    <t>Thiết bị macro 5G</t>
  </si>
  <si>
    <t>Huawei_eNodeB 32T32R Dualband 2600-3500MHz (3AAU 3 sector, 3 cell LTE TDD @20+20+20MHz per 1 sector  band 2600MHz and 1 cell NR @100MHz per 1 sector band C), Excluse BBU box.</t>
  </si>
  <si>
    <t>Trạm</t>
  </si>
  <si>
    <t>NodeB Massive MIMO 2.6GHz+3.5GHz</t>
  </si>
  <si>
    <t>Tủ</t>
  </si>
  <si>
    <t>2</t>
  </si>
  <si>
    <t>Thiết bị RRU 5G</t>
  </si>
  <si>
    <t>RRU 5G triển khai IBD</t>
  </si>
  <si>
    <t>Chiếc</t>
  </si>
  <si>
    <t>3</t>
  </si>
  <si>
    <t>Thiết bị smallcell 5G</t>
  </si>
  <si>
    <t>Thiết bị vô tuyến 5G 4T4R</t>
  </si>
  <si>
    <t>4</t>
  </si>
  <si>
    <t>Card Baseband</t>
  </si>
  <si>
    <t>Card Baseband cho 5G</t>
  </si>
  <si>
    <t>5</t>
  </si>
  <si>
    <t>Nâng cấp hệ thống Inbuilding lên 5G</t>
  </si>
  <si>
    <t>A2</t>
  </si>
  <si>
    <t>Vùng phủ</t>
  </si>
  <si>
    <t>Thiết bị 4G</t>
  </si>
  <si>
    <t>Huawei_SRAN Tripband eNodeB 700+800+900MHz (3 RRU 4x120w)(L111@15MHz+L111@10MHz ) 12Trx. Exclude BBU + BB card</t>
  </si>
  <si>
    <t>Huawei_SRAN Tripband eNodeB 700+800+900MHz (3 RRU 4x120w)(L111@15MHz+L111@10MHz , 12TRx, BB card UBBPg2a) + 3 AISG</t>
  </si>
  <si>
    <t>ZTE_SRAN Tripband eNodeB 700+800+900MHz (3 RRU 4x120w)(L111@15MHz+L111@10MHz , 12TRx, excluse BBU + BB card</t>
  </si>
  <si>
    <t>ZTE_SRAN Tripband eNodeB 700+800+900MHz (3 RRU 4x120w)(L111@15MHz+L111@10MHz , 12TRx, BB VBPe3p)</t>
  </si>
  <si>
    <t>Anten 4G 8 port 4 port 700-900 + 4P 1800-2600 MHz</t>
  </si>
  <si>
    <t>Jumper</t>
  </si>
  <si>
    <t>Bộ Gá đa năng (gồm 3 gá đơn lẻ và các phụ kiện)</t>
  </si>
  <si>
    <t>Thiết bị 3G</t>
  </si>
  <si>
    <t>NodeB 3G dualband_Cosite</t>
  </si>
  <si>
    <t>NodeB 3G dualband_New site</t>
  </si>
  <si>
    <t>Card baseband</t>
  </si>
  <si>
    <t>Anten đa băng</t>
  </si>
  <si>
    <t>Thiết bị 2G</t>
  </si>
  <si>
    <t>BTS 2G dualband_Cosite</t>
  </si>
  <si>
    <t>BTS 2G dualband_New site 2G</t>
  </si>
  <si>
    <t>Dung lượng</t>
  </si>
  <si>
    <t>Huawei_SRAN dual band 1800-2100Mhz (3RRU 4T4R - 120W, L111@20MHz+L111@10MHz, 12TRx, BBU + BB UBBPh3a)</t>
  </si>
  <si>
    <t>Huawei_SRAN dual band 1800-2100Mhz (3RRU 4T4R - 120W, L111@20MHz+L111@10MHz, 12TRx, Excluse Baseband and BB card)</t>
  </si>
  <si>
    <t>Huawei_eNodeB 8T8R 2600MHz (3 RRU 9 cell @20+20+20MHz) Excluse BBU and BB card</t>
  </si>
  <si>
    <t>ZTE_SRAN dual band 1800-2100Mhz (3RRU 4T4R - 120W, L111@20MHz+L222@10MHz, U333, 12TRx + BB VBPe3p, Excluse BBU box)</t>
  </si>
  <si>
    <t>ZTE_SRAN dual band 1800-2100Mhz (3RRU 4T4R - 120W, L111@20MHz+L222@10MHz, U333, 12TRx) Excluse BBU box and BB card</t>
  </si>
  <si>
    <t>ZTE_eNodeB 32T32R Dualband 2600-3500MHz (3AAU 3 sector, 3 cell LTE TDD @20+20+20MHz per 1 sector  band 2600MHz and 1 cell NR @100MHz per 1 sector band C), Excluse BBU box.</t>
  </si>
  <si>
    <t>eNodeB 8T8R 2600MHz (3 RRU 9 cell @20+20+20MHz) Excluse BBU and BB card</t>
  </si>
  <si>
    <t>Cái</t>
  </si>
  <si>
    <t>BTS 2G 1800_Cosite</t>
  </si>
  <si>
    <t>BTS 2G 900_Cosite</t>
  </si>
  <si>
    <t>Hiện đại hóa mạng lưới</t>
  </si>
  <si>
    <t>Swap 2100Mhz_sector</t>
  </si>
  <si>
    <t>Bộ</t>
  </si>
  <si>
    <t>Nâng cao chất lượng mạng</t>
  </si>
  <si>
    <t>Phần mềm, công cụ</t>
  </si>
  <si>
    <t>Nâng cấp softwrae 2G</t>
  </si>
  <si>
    <t>Package</t>
  </si>
  <si>
    <t>Nâng cấp softwrae 4G</t>
  </si>
  <si>
    <t>Tính năng mới</t>
  </si>
  <si>
    <t>Service deploy BSC,  RNC (Huawei)</t>
  </si>
  <si>
    <t>Dịch vụ triển khai OMC</t>
  </si>
  <si>
    <t>BSC6910 (GSM: 2048) (SW) License</t>
  </si>
  <si>
    <t>NDS + NGI ZTE</t>
  </si>
  <si>
    <t>pcs</t>
  </si>
  <si>
    <t>Xe cơ động phục vụ LHSK</t>
  </si>
  <si>
    <t>Xe phát sóng cơ động</t>
  </si>
  <si>
    <t>Xe phát sóng chỉ huy, dã chiến đảm bảo hoạt động liên tục trong thiên tai, địch họa</t>
  </si>
  <si>
    <t>A3</t>
  </si>
  <si>
    <t>Huawei_RRU Tripband 700-800-900MHz 120W 4T4R</t>
  </si>
  <si>
    <t>Huawei_RRU dualband 1800-2100MHz 120W 4T4R</t>
  </si>
  <si>
    <t>ZTE_RRU Tripband 700-800-900MHz 120W 4T4R</t>
  </si>
  <si>
    <t>ZTE_RRU dualband 1800-2100MHz 120W 4T4R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</si>
</sst>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64" formatCode="_-* #,##0.00\ _₫_-;\-* #,##0.00\ _₫_-;_-* &quot;-&quot;??\ _₫_-;_-@_-"/>
    <numFmt numFmtId="165" formatCode="_(* #,##0_);_(* \(#,##0\);_(* &quot;-&quot;??_);_(@_)"/>
    <numFmt numFmtId="168" formatCode="_-* #,##0.00\ _€_-;\-* #,##0.00\ _€_-;_-* &quot;-&quot;??\ _€_-;_-@_-"/>
    <numFmt numFmtId="170" formatCode="[$-409]dd\-mmm\-yy;@"/>
    <numFmt numFmtId="171" formatCode="_([$€-2]* #,##0.00_);_([$€-2]* \(#,##0.00\);_([$€-2]* &quot;-&quot;??_)"/>
    <numFmt numFmtId="172" formatCode="_-* #,##0.00_-;\-* #,##0.00_-;_-* &quot;-&quot;??_-;_-@_-"/>
    <numFmt numFmtId="173" formatCode="_(* #.##0.00_);_(* \(#.##0.00\);_(* &quot;-&quot;??_);_(@_)"/>
    <numFmt numFmtId="175" formatCode="_-* #,##0_-;\-* #,##0_-;_-* &quot;-&quot;_-;_-@_-"/>
    <numFmt numFmtId="176" formatCode="_([$€-2]* #.##0.00_);_([$€-2]* \(#.##0.00\);_([$€-2]* &quot;-&quot;??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charset val="163"/>
      <scheme val="minor"/>
    </font>
    <font>
      <sz val="11"/>
      <name val="Times New Roman"/>
      <family val="1"/>
    </font>
    <font>
      <sz val="8.25"/>
      <name val="Microsoft Sans Serif"/>
      <family val="2"/>
    </font>
    <font>
      <sz val="10"/>
      <color theme="1"/>
      <name val="Arial"/>
      <family val="2"/>
    </font>
    <font>
      <sz val="8.25"/>
      <name val="Microsoft Sans Serif"/>
      <family val="2"/>
      <charset val="163"/>
    </font>
    <font>
      <sz val="10"/>
      <name val=".VnArial"/>
      <family val="2"/>
    </font>
    <font>
      <sz val="12"/>
      <color theme="1"/>
      <name val="Times New Roman"/>
      <family val="2"/>
    </font>
    <font>
      <sz val="10"/>
      <name val="Arial"/>
      <family val="2"/>
      <charset val="163"/>
    </font>
    <font>
      <b/>
      <sz val="10"/>
      <color theme="0"/>
      <name val="Times New Roman"/>
      <family val="1"/>
    </font>
    <font>
      <sz val="10"/>
      <color theme="0"/>
      <name val="Times New Roman"/>
      <family val="1"/>
    </font>
    <font>
      <i/>
      <sz val="14"/>
      <name val="Times New Roman"/>
      <family val="1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63"/>
    </font>
    <font>
      <b/>
      <sz val="11"/>
      <name val="Times New Roman"/>
      <family val="1"/>
    </font>
    <font>
      <i/>
      <sz val="11"/>
      <name val="Times New Roman"/>
      <family val="1"/>
    </font>
    <font>
      <sz val="11"/>
      <color rgb="FF0000FF"/>
      <name val="Times New Roman"/>
      <family val="1"/>
    </font>
    <font>
      <b/>
      <sz val="11"/>
      <color rgb="FF0000FF"/>
      <name val="Times New Roman"/>
      <family val="1"/>
    </font>
    <font>
      <sz val="11"/>
      <color theme="1"/>
      <name val="Times New Roman"/>
      <family val="1"/>
    </font>
    <font>
      <sz val="11"/>
      <color rgb="FFEE0033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87">
    <xf numFmtId="0" fontId="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9" fillId="0" borderId="0">
      <alignment vertical="top"/>
    </xf>
    <xf numFmtId="43" fontId="9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9" fillId="0" borderId="0">
      <alignment vertical="top"/>
    </xf>
    <xf numFmtId="0" fontId="10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0" fillId="0" borderId="0"/>
    <xf numFmtId="0" fontId="9" fillId="0" borderId="0"/>
    <xf numFmtId="170" fontId="4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10" fillId="0" borderId="0"/>
    <xf numFmtId="0" fontId="10" fillId="0" borderId="0"/>
    <xf numFmtId="171" fontId="4" fillId="0" borderId="0"/>
    <xf numFmtId="0" fontId="10" fillId="0" borderId="0"/>
    <xf numFmtId="0" fontId="4" fillId="0" borderId="0"/>
    <xf numFmtId="0" fontId="12" fillId="0" borderId="0"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 applyFont="0" applyFill="0" applyBorder="0" applyAlignment="0" applyProtection="0"/>
    <xf numFmtId="0" fontId="9" fillId="0" borderId="0">
      <alignment vertical="top"/>
    </xf>
    <xf numFmtId="43" fontId="9" fillId="0" borderId="0" applyFont="0" applyFill="0" applyBorder="0" applyAlignment="0" applyProtection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2" fillId="0" borderId="0">
      <protection locked="0"/>
    </xf>
    <xf numFmtId="0" fontId="12" fillId="0" borderId="0">
      <protection locked="0"/>
    </xf>
    <xf numFmtId="0" fontId="4" fillId="0" borderId="0"/>
    <xf numFmtId="0" fontId="13" fillId="0" borderId="0"/>
    <xf numFmtId="171" fontId="9" fillId="0" borderId="0">
      <alignment vertical="top"/>
    </xf>
    <xf numFmtId="43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1" fontId="14" fillId="0" borderId="0">
      <protection locked="0"/>
    </xf>
    <xf numFmtId="0" fontId="9" fillId="0" borderId="0">
      <alignment vertical="top"/>
    </xf>
    <xf numFmtId="43" fontId="15" fillId="0" borderId="0" applyFont="0" applyFill="0" applyBorder="0" applyAlignment="0" applyProtection="0"/>
    <xf numFmtId="0" fontId="9" fillId="0" borderId="0">
      <alignment vertical="top"/>
    </xf>
    <xf numFmtId="0" fontId="15" fillId="0" borderId="0">
      <alignment vertical="top"/>
    </xf>
    <xf numFmtId="9" fontId="15" fillId="0" borderId="0" applyFont="0" applyFill="0" applyBorder="0" applyAlignment="0" applyProtection="0"/>
    <xf numFmtId="0" fontId="15" fillId="0" borderId="0">
      <alignment vertical="top"/>
    </xf>
    <xf numFmtId="4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6" fillId="0" borderId="0"/>
    <xf numFmtId="0" fontId="9" fillId="0" borderId="0"/>
    <xf numFmtId="0" fontId="10" fillId="0" borderId="0"/>
    <xf numFmtId="164" fontId="10" fillId="0" borderId="0" applyFont="0" applyFill="0" applyBorder="0" applyAlignment="0" applyProtection="0"/>
    <xf numFmtId="0" fontId="17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6" fillId="0" borderId="0"/>
    <xf numFmtId="0" fontId="12" fillId="0" borderId="0">
      <protection locked="0"/>
    </xf>
    <xf numFmtId="0" fontId="10" fillId="0" borderId="0"/>
    <xf numFmtId="0" fontId="4" fillId="0" borderId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2" fillId="0" borderId="0">
      <protection locked="0"/>
    </xf>
    <xf numFmtId="0" fontId="9" fillId="0" borderId="0"/>
    <xf numFmtId="173" fontId="9" fillId="0" borderId="0" applyFont="0" applyFill="0" applyBorder="0" applyAlignment="0" applyProtection="0"/>
    <xf numFmtId="171" fontId="4" fillId="0" borderId="0"/>
    <xf numFmtId="171" fontId="9" fillId="0" borderId="0"/>
    <xf numFmtId="43" fontId="4" fillId="0" borderId="0" applyFont="0" applyFill="0" applyBorder="0" applyAlignment="0" applyProtection="0"/>
    <xf numFmtId="0" fontId="1" fillId="0" borderId="0"/>
    <xf numFmtId="0" fontId="9" fillId="0" borderId="0"/>
    <xf numFmtId="175" fontId="4" fillId="0" borderId="0" applyFont="0" applyFill="0" applyBorder="0" applyAlignment="0" applyProtection="0"/>
    <xf numFmtId="0" fontId="21" fillId="0" borderId="0"/>
    <xf numFmtId="171" fontId="4" fillId="0" borderId="0"/>
    <xf numFmtId="171" fontId="4" fillId="0" borderId="0"/>
    <xf numFmtId="0" fontId="4" fillId="0" borderId="0"/>
    <xf numFmtId="171" fontId="4" fillId="0" borderId="0"/>
    <xf numFmtId="43" fontId="4" fillId="0" borderId="0" applyFont="0" applyFill="0" applyBorder="0" applyAlignment="0" applyProtection="0"/>
    <xf numFmtId="0" fontId="4" fillId="0" borderId="0"/>
    <xf numFmtId="171" fontId="4" fillId="0" borderId="0"/>
    <xf numFmtId="0" fontId="9" fillId="0" borderId="0"/>
    <xf numFmtId="0" fontId="9" fillId="0" borderId="0"/>
    <xf numFmtId="176" fontId="4" fillId="0" borderId="0"/>
    <xf numFmtId="0" fontId="9" fillId="0" borderId="0"/>
    <xf numFmtId="0" fontId="9" fillId="0" borderId="0"/>
    <xf numFmtId="0" fontId="21" fillId="0" borderId="0"/>
    <xf numFmtId="0" fontId="4" fillId="0" borderId="0"/>
    <xf numFmtId="0" fontId="22" fillId="0" borderId="0"/>
    <xf numFmtId="43" fontId="23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</cellStyleXfs>
  <cellXfs count="116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>
      <alignment horizontal="center" vertical="center" wrapText="1"/>
    </xf>
    <xf numFmtId="165" fontId="5" fillId="0" borderId="0" xfId="1" applyNumberFormat="1" applyFont="1" applyFill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165" fontId="5" fillId="9" borderId="0" xfId="1" applyNumberFormat="1" applyFont="1" applyFill="1" applyAlignment="1">
      <alignment horizontal="right" vertical="center"/>
    </xf>
    <xf numFmtId="165" fontId="5" fillId="0" borderId="0" xfId="1" applyNumberFormat="1" applyFont="1" applyAlignment="1">
      <alignment horizontal="right" vertical="center"/>
    </xf>
    <xf numFmtId="0" fontId="19" fillId="2" borderId="0" xfId="0" applyFont="1" applyFill="1" applyAlignment="1">
      <alignment horizontal="center" vertical="center" wrapText="1"/>
    </xf>
    <xf numFmtId="165" fontId="19" fillId="2" borderId="0" xfId="1" applyNumberFormat="1" applyFont="1" applyFill="1" applyAlignment="1">
      <alignment horizontal="right" vertical="center"/>
    </xf>
    <xf numFmtId="165" fontId="19" fillId="2" borderId="0" xfId="1" applyNumberFormat="1" applyFont="1" applyFill="1" applyAlignment="1">
      <alignment horizontal="right" vertical="center" wrapText="1"/>
    </xf>
    <xf numFmtId="14" fontId="19" fillId="2" borderId="0" xfId="0" applyNumberFormat="1" applyFont="1" applyFill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165" fontId="18" fillId="2" borderId="0" xfId="1" applyNumberFormat="1" applyFont="1" applyFill="1" applyAlignment="1">
      <alignment horizontal="right" vertical="center" wrapText="1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19" fillId="7" borderId="0" xfId="0" applyFont="1" applyFill="1" applyAlignment="1">
      <alignment horizontal="center" vertical="center"/>
    </xf>
    <xf numFmtId="0" fontId="19" fillId="7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7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5" fillId="11" borderId="0" xfId="0" applyFont="1" applyFill="1" applyAlignment="1">
      <alignment vertical="center"/>
    </xf>
    <xf numFmtId="0" fontId="11" fillId="7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3" borderId="3" xfId="1" applyNumberFormat="1" applyFont="1" applyFill="1" applyBorder="1" applyAlignment="1">
      <alignment horizontal="center" vertical="center" wrapText="1"/>
    </xf>
    <xf numFmtId="165" fontId="24" fillId="3" borderId="3" xfId="1" applyNumberFormat="1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165" fontId="11" fillId="3" borderId="3" xfId="1" applyNumberFormat="1" applyFont="1" applyFill="1" applyBorder="1" applyAlignment="1" applyProtection="1">
      <alignment horizontal="center" vertical="center" wrapText="1"/>
    </xf>
    <xf numFmtId="165" fontId="11" fillId="3" borderId="3" xfId="1" applyNumberFormat="1" applyFont="1" applyFill="1" applyBorder="1" applyAlignment="1">
      <alignment horizontal="center" vertical="center"/>
    </xf>
    <xf numFmtId="165" fontId="25" fillId="3" borderId="3" xfId="1" applyNumberFormat="1" applyFont="1" applyFill="1" applyBorder="1" applyAlignment="1" applyProtection="1">
      <alignment horizontal="center" vertical="center" wrapText="1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4" fillId="4" borderId="3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left" vertical="center"/>
    </xf>
    <xf numFmtId="165" fontId="24" fillId="4" borderId="3" xfId="1" applyNumberFormat="1" applyFont="1" applyFill="1" applyBorder="1" applyAlignment="1">
      <alignment horizontal="center" vertical="center" wrapText="1"/>
    </xf>
    <xf numFmtId="165" fontId="24" fillId="4" borderId="3" xfId="1" applyNumberFormat="1" applyFont="1" applyFill="1" applyBorder="1" applyAlignment="1">
      <alignment vertical="center"/>
    </xf>
    <xf numFmtId="165" fontId="24" fillId="4" borderId="3" xfId="1" applyNumberFormat="1" applyFont="1" applyFill="1" applyBorder="1" applyAlignment="1">
      <alignment horizontal="center" vertical="center"/>
    </xf>
    <xf numFmtId="0" fontId="11" fillId="7" borderId="0" xfId="0" applyFont="1" applyFill="1" applyAlignment="1">
      <alignment horizontal="left" vertical="center"/>
    </xf>
    <xf numFmtId="0" fontId="11" fillId="7" borderId="0" xfId="0" applyFont="1" applyFill="1" applyAlignment="1">
      <alignment vertical="center"/>
    </xf>
    <xf numFmtId="0" fontId="11" fillId="11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24" fillId="6" borderId="3" xfId="0" applyFont="1" applyFill="1" applyBorder="1" applyAlignment="1">
      <alignment horizontal="center" vertical="center"/>
    </xf>
    <xf numFmtId="0" fontId="24" fillId="6" borderId="3" xfId="0" applyFont="1" applyFill="1" applyBorder="1" applyAlignment="1">
      <alignment horizontal="left" vertical="center" wrapText="1"/>
    </xf>
    <xf numFmtId="0" fontId="24" fillId="6" borderId="3" xfId="0" applyFont="1" applyFill="1" applyBorder="1" applyAlignment="1">
      <alignment horizontal="center" vertical="center" wrapText="1"/>
    </xf>
    <xf numFmtId="165" fontId="24" fillId="6" borderId="3" xfId="1" applyNumberFormat="1" applyFont="1" applyFill="1" applyBorder="1" applyAlignment="1">
      <alignment horizontal="center" vertical="center" wrapText="1"/>
    </xf>
    <xf numFmtId="165" fontId="24" fillId="6" borderId="3" xfId="1" applyNumberFormat="1" applyFont="1" applyFill="1" applyBorder="1" applyAlignment="1">
      <alignment vertical="center"/>
    </xf>
    <xf numFmtId="0" fontId="24" fillId="5" borderId="3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vertical="center" wrapText="1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2" borderId="0" xfId="0" applyFont="1" applyFill="1" applyAlignment="1">
      <alignment vertical="center"/>
    </xf>
    <xf numFmtId="0" fontId="28" fillId="0" borderId="3" xfId="0" applyFont="1" applyBorder="1" applyAlignment="1">
      <alignment vertical="center" wrapText="1"/>
    </xf>
    <xf numFmtId="0" fontId="24" fillId="2" borderId="3" xfId="0" applyFont="1" applyFill="1" applyBorder="1" applyAlignment="1" applyProtection="1">
      <alignment vertical="center" wrapText="1"/>
      <protection locked="0"/>
    </xf>
    <xf numFmtId="165" fontId="24" fillId="5" borderId="3" xfId="0" applyNumberFormat="1" applyFont="1" applyFill="1" applyBorder="1" applyAlignment="1">
      <alignment vertical="center"/>
    </xf>
    <xf numFmtId="0" fontId="24" fillId="2" borderId="3" xfId="0" applyFont="1" applyFill="1" applyBorder="1" applyAlignment="1" applyProtection="1">
      <alignment horizontal="center" vertical="center"/>
      <protection locked="0"/>
    </xf>
    <xf numFmtId="0" fontId="24" fillId="2" borderId="3" xfId="0" applyFont="1" applyFill="1" applyBorder="1" applyAlignment="1">
      <alignment vertical="center" wrapText="1"/>
    </xf>
    <xf numFmtId="165" fontId="24" fillId="2" borderId="3" xfId="0" applyNumberFormat="1" applyFont="1" applyFill="1" applyBorder="1" applyAlignment="1">
      <alignment horizontal="center" vertical="center"/>
    </xf>
    <xf numFmtId="165" fontId="24" fillId="2" borderId="3" xfId="0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vertical="center"/>
    </xf>
    <xf numFmtId="0" fontId="11" fillId="2" borderId="3" xfId="0" applyFont="1" applyFill="1" applyBorder="1" applyAlignment="1">
      <alignment vertical="center" wrapText="1"/>
    </xf>
    <xf numFmtId="165" fontId="11" fillId="2" borderId="3" xfId="0" applyNumberFormat="1" applyFont="1" applyFill="1" applyBorder="1" applyAlignment="1">
      <alignment horizontal="center" vertical="center"/>
    </xf>
    <xf numFmtId="165" fontId="11" fillId="2" borderId="3" xfId="0" applyNumberFormat="1" applyFont="1" applyFill="1" applyBorder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43" fontId="28" fillId="0" borderId="3" xfId="0" applyNumberFormat="1" applyFont="1" applyBorder="1" applyAlignment="1">
      <alignment horizontal="center" vertical="center" wrapText="1"/>
    </xf>
    <xf numFmtId="165" fontId="11" fillId="0" borderId="3" xfId="0" applyNumberFormat="1" applyFont="1" applyFill="1" applyBorder="1" applyAlignment="1">
      <alignment vertical="center"/>
    </xf>
    <xf numFmtId="0" fontId="24" fillId="2" borderId="3" xfId="0" applyFont="1" applyFill="1" applyBorder="1" applyAlignment="1">
      <alignment horizontal="center" vertical="center" wrapText="1"/>
    </xf>
    <xf numFmtId="165" fontId="28" fillId="0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165" fontId="28" fillId="3" borderId="3" xfId="0" applyNumberFormat="1" applyFont="1" applyFill="1" applyBorder="1" applyAlignment="1">
      <alignment horizontal="center" vertical="center" wrapText="1"/>
    </xf>
    <xf numFmtId="0" fontId="24" fillId="2" borderId="3" xfId="0" applyFont="1" applyFill="1" applyBorder="1" applyAlignment="1" applyProtection="1">
      <alignment vertical="center"/>
      <protection locked="0"/>
    </xf>
    <xf numFmtId="165" fontId="24" fillId="2" borderId="3" xfId="0" applyNumberFormat="1" applyFont="1" applyFill="1" applyBorder="1" applyAlignment="1">
      <alignment horizontal="right" vertical="center"/>
    </xf>
    <xf numFmtId="0" fontId="11" fillId="2" borderId="3" xfId="0" applyFont="1" applyFill="1" applyBorder="1" applyAlignment="1" applyProtection="1">
      <alignment vertical="center" wrapText="1"/>
      <protection locked="0"/>
    </xf>
    <xf numFmtId="0" fontId="26" fillId="2" borderId="0" xfId="0" applyFont="1" applyFill="1" applyAlignment="1">
      <alignment vertical="center"/>
    </xf>
    <xf numFmtId="2" fontId="11" fillId="0" borderId="3" xfId="0" applyNumberFormat="1" applyFont="1" applyBorder="1" applyAlignment="1">
      <alignment vertical="center" wrapText="1"/>
    </xf>
    <xf numFmtId="165" fontId="11" fillId="0" borderId="3" xfId="0" applyNumberFormat="1" applyFont="1" applyFill="1" applyBorder="1" applyAlignment="1">
      <alignment horizontal="center" vertical="center"/>
    </xf>
    <xf numFmtId="165" fontId="11" fillId="0" borderId="3" xfId="0" applyNumberFormat="1" applyFont="1" applyFill="1" applyBorder="1" applyAlignment="1">
      <alignment horizontal="left" vertical="center"/>
    </xf>
    <xf numFmtId="165" fontId="11" fillId="2" borderId="3" xfId="0" applyNumberFormat="1" applyFont="1" applyFill="1" applyBorder="1" applyAlignment="1">
      <alignment horizontal="left" vertical="center" wrapText="1"/>
    </xf>
    <xf numFmtId="2" fontId="28" fillId="0" borderId="3" xfId="0" applyNumberFormat="1" applyFont="1" applyBorder="1" applyAlignment="1">
      <alignment vertical="center" wrapText="1"/>
    </xf>
    <xf numFmtId="0" fontId="8" fillId="0" borderId="0" xfId="0" applyFont="1" applyAlignment="1" applyProtection="1">
      <alignment horizontal="left" vertical="center" wrapText="1"/>
      <protection locked="0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18" fillId="8" borderId="0" xfId="0" applyFont="1" applyFill="1" applyAlignment="1">
      <alignment horizontal="center" vertical="center"/>
    </xf>
    <xf numFmtId="0" fontId="24" fillId="10" borderId="2" xfId="0" applyFont="1" applyFill="1" applyBorder="1" applyAlignment="1">
      <alignment horizontal="center" vertical="center" wrapText="1"/>
    </xf>
    <xf numFmtId="0" fontId="24" fillId="10" borderId="6" xfId="0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24" fillId="3" borderId="2" xfId="0" applyFont="1" applyFill="1" applyBorder="1" applyAlignment="1" applyProtection="1">
      <alignment horizontal="center" vertical="center" wrapText="1"/>
      <protection locked="0"/>
    </xf>
    <xf numFmtId="0" fontId="24" fillId="3" borderId="6" xfId="0" applyFont="1" applyFill="1" applyBorder="1" applyAlignment="1" applyProtection="1">
      <alignment horizontal="center" vertical="center" wrapText="1"/>
      <protection locked="0"/>
    </xf>
    <xf numFmtId="0" fontId="24" fillId="3" borderId="7" xfId="0" applyFont="1" applyFill="1" applyBorder="1" applyAlignment="1" applyProtection="1">
      <alignment horizontal="center" vertical="center" wrapText="1"/>
      <protection locked="0"/>
    </xf>
    <xf numFmtId="0" fontId="24" fillId="3" borderId="2" xfId="0" applyFont="1" applyFill="1" applyBorder="1" applyAlignment="1">
      <alignment horizontal="center" vertical="center" wrapText="1"/>
    </xf>
    <xf numFmtId="0" fontId="24" fillId="3" borderId="6" xfId="0" applyFont="1" applyFill="1" applyBorder="1" applyAlignment="1">
      <alignment horizontal="center" vertical="center" wrapText="1"/>
    </xf>
    <xf numFmtId="0" fontId="24" fillId="3" borderId="7" xfId="0" applyFont="1" applyFill="1" applyBorder="1" applyAlignment="1">
      <alignment horizontal="center" vertical="center" wrapText="1"/>
    </xf>
    <xf numFmtId="165" fontId="18" fillId="2" borderId="1" xfId="1" applyNumberFormat="1" applyFont="1" applyFill="1" applyBorder="1" applyAlignment="1">
      <alignment horizontal="center" vertical="center" wrapText="1"/>
    </xf>
    <xf numFmtId="165" fontId="24" fillId="3" borderId="4" xfId="1" applyNumberFormat="1" applyFont="1" applyFill="1" applyBorder="1" applyAlignment="1">
      <alignment horizontal="center" vertical="center" wrapText="1"/>
    </xf>
    <xf numFmtId="165" fontId="24" fillId="3" borderId="5" xfId="1" applyNumberFormat="1" applyFont="1" applyFill="1" applyBorder="1" applyAlignment="1">
      <alignment horizontal="center" vertical="center" wrapText="1"/>
    </xf>
    <xf numFmtId="165" fontId="24" fillId="3" borderId="8" xfId="1" applyNumberFormat="1" applyFont="1" applyFill="1" applyBorder="1" applyAlignment="1">
      <alignment horizontal="center" vertical="center" wrapText="1"/>
    </xf>
    <xf numFmtId="165" fontId="24" fillId="3" borderId="9" xfId="1" applyNumberFormat="1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165" fontId="24" fillId="3" borderId="3" xfId="1" applyNumberFormat="1" applyFont="1" applyFill="1" applyBorder="1" applyAlignment="1">
      <alignment horizontal="center" vertical="center" wrapText="1"/>
    </xf>
    <xf numFmtId="0" fontId="6" fillId="11" borderId="2" xfId="0" applyFont="1" applyFill="1" applyBorder="1" applyAlignment="1" applyProtection="1">
      <alignment horizontal="center" vertical="center" wrapText="1"/>
      <protection locked="0"/>
    </xf>
    <xf numFmtId="0" fontId="6" fillId="11" borderId="6" xfId="0" applyFont="1" applyFill="1" applyBorder="1" applyAlignment="1" applyProtection="1">
      <alignment horizontal="center" vertical="center" wrapText="1"/>
      <protection locked="0"/>
    </xf>
  </cellXfs>
  <cellStyles count="287">
    <cellStyle name="Comma" xfId="1" builtinId="3"/>
    <cellStyle name="Comma [0] 2" xfId="266"/>
    <cellStyle name="Comma 10" xfId="4"/>
    <cellStyle name="Comma 10 10" xfId="285"/>
    <cellStyle name="Comma 10 2" xfId="12"/>
    <cellStyle name="Comma 10 2 2" xfId="27"/>
    <cellStyle name="Comma 10 4" xfId="13"/>
    <cellStyle name="Comma 101 8" xfId="71"/>
    <cellStyle name="Comma 101 8 2" xfId="81"/>
    <cellStyle name="Comma 101 8 2 2" xfId="106"/>
    <cellStyle name="Comma 101 8 2 2 2" xfId="156"/>
    <cellStyle name="Comma 101 8 2 2 2 2" xfId="256"/>
    <cellStyle name="Comma 101 8 2 2 3" xfId="206"/>
    <cellStyle name="Comma 101 8 2 3" xfId="131"/>
    <cellStyle name="Comma 101 8 2 3 2" xfId="231"/>
    <cellStyle name="Comma 101 8 2 4" xfId="181"/>
    <cellStyle name="Comma 101 8 3" xfId="99"/>
    <cellStyle name="Comma 101 8 3 2" xfId="149"/>
    <cellStyle name="Comma 101 8 3 2 2" xfId="249"/>
    <cellStyle name="Comma 101 8 3 3" xfId="199"/>
    <cellStyle name="Comma 101 8 4" xfId="124"/>
    <cellStyle name="Comma 101 8 4 2" xfId="224"/>
    <cellStyle name="Comma 101 8 5" xfId="174"/>
    <cellStyle name="Comma 11 10 15" xfId="68"/>
    <cellStyle name="Comma 11 10 15 2" xfId="79"/>
    <cellStyle name="Comma 11 10 15 2 2" xfId="104"/>
    <cellStyle name="Comma 11 10 15 2 2 2" xfId="154"/>
    <cellStyle name="Comma 11 10 15 2 2 2 2" xfId="254"/>
    <cellStyle name="Comma 11 10 15 2 2 3" xfId="204"/>
    <cellStyle name="Comma 11 10 15 2 3" xfId="129"/>
    <cellStyle name="Comma 11 10 15 2 3 2" xfId="229"/>
    <cellStyle name="Comma 11 10 15 2 4" xfId="179"/>
    <cellStyle name="Comma 11 10 15 3" xfId="97"/>
    <cellStyle name="Comma 11 10 15 3 2" xfId="147"/>
    <cellStyle name="Comma 11 10 15 3 2 2" xfId="247"/>
    <cellStyle name="Comma 11 10 15 3 3" xfId="197"/>
    <cellStyle name="Comma 11 10 15 4" xfId="122"/>
    <cellStyle name="Comma 11 10 15 4 2" xfId="222"/>
    <cellStyle name="Comma 11 10 15 5" xfId="172"/>
    <cellStyle name="Comma 11 2 2" xfId="61"/>
    <cellStyle name="Comma 13" xfId="2"/>
    <cellStyle name="Comma 2" xfId="45"/>
    <cellStyle name="Comma 2 10 3 2" xfId="260"/>
    <cellStyle name="Comma 2 2" xfId="9"/>
    <cellStyle name="Comma 2 2 2" xfId="11"/>
    <cellStyle name="Comma 2 2 2 2" xfId="41"/>
    <cellStyle name="Comma 2 25" xfId="56"/>
    <cellStyle name="Comma 2 26 3" xfId="263"/>
    <cellStyle name="Comma 2 3" xfId="51"/>
    <cellStyle name="Comma 2 3 2" xfId="70"/>
    <cellStyle name="Comma 2 3 2 2" xfId="80"/>
    <cellStyle name="Comma 2 3 2 2 2" xfId="105"/>
    <cellStyle name="Comma 2 3 2 2 2 2" xfId="155"/>
    <cellStyle name="Comma 2 3 2 2 2 2 2" xfId="255"/>
    <cellStyle name="Comma 2 3 2 2 2 3" xfId="205"/>
    <cellStyle name="Comma 2 3 2 2 3" xfId="130"/>
    <cellStyle name="Comma 2 3 2 2 3 2" xfId="230"/>
    <cellStyle name="Comma 2 3 2 2 4" xfId="180"/>
    <cellStyle name="Comma 2 3 2 3" xfId="98"/>
    <cellStyle name="Comma 2 3 2 3 2" xfId="148"/>
    <cellStyle name="Comma 2 3 2 3 2 2" xfId="248"/>
    <cellStyle name="Comma 2 3 2 3 3" xfId="198"/>
    <cellStyle name="Comma 2 3 2 4" xfId="123"/>
    <cellStyle name="Comma 2 3 2 4 2" xfId="223"/>
    <cellStyle name="Comma 2 3 2 5" xfId="173"/>
    <cellStyle name="Comma 2 4" xfId="62"/>
    <cellStyle name="Comma 2 5" xfId="283"/>
    <cellStyle name="Comma 3" xfId="5"/>
    <cellStyle name="Comma 3 2" xfId="52"/>
    <cellStyle name="Comma 3 2 2" xfId="8"/>
    <cellStyle name="Comma 3 3" xfId="64"/>
    <cellStyle name="Comma 3 3 2" xfId="53"/>
    <cellStyle name="Comma 3 3 2 2" xfId="77"/>
    <cellStyle name="Comma 3 3 2 2 2" xfId="102"/>
    <cellStyle name="Comma 3 3 2 2 2 2" xfId="152"/>
    <cellStyle name="Comma 3 3 2 2 2 2 2" xfId="252"/>
    <cellStyle name="Comma 3 3 2 2 2 3" xfId="202"/>
    <cellStyle name="Comma 3 3 2 2 3" xfId="127"/>
    <cellStyle name="Comma 3 3 2 2 3 2" xfId="227"/>
    <cellStyle name="Comma 3 3 2 2 4" xfId="177"/>
    <cellStyle name="Comma 3 3 3" xfId="95"/>
    <cellStyle name="Comma 3 3 3 2" xfId="145"/>
    <cellStyle name="Comma 3 3 3 2 2" xfId="245"/>
    <cellStyle name="Comma 3 3 3 3" xfId="195"/>
    <cellStyle name="Comma 3 3 4" xfId="120"/>
    <cellStyle name="Comma 3 3 4 2" xfId="220"/>
    <cellStyle name="Comma 3 3 5" xfId="170"/>
    <cellStyle name="Comma 3 4" xfId="272"/>
    <cellStyle name="Comma 37" xfId="25"/>
    <cellStyle name="Comma 4" xfId="44"/>
    <cellStyle name="Comma 5" xfId="39"/>
    <cellStyle name="Ledger 17 x 11 in" xfId="275"/>
    <cellStyle name="Normal" xfId="0" builtinId="0"/>
    <cellStyle name="Normal 10" xfId="270"/>
    <cellStyle name="Normal 10 3" xfId="273"/>
    <cellStyle name="Normal 11 2" xfId="6"/>
    <cellStyle name="Normal 11 2 2" xfId="50"/>
    <cellStyle name="Normal 161" xfId="259"/>
    <cellStyle name="Normal 2" xfId="10"/>
    <cellStyle name="Normal 2 10" xfId="23"/>
    <cellStyle name="Normal 2 11" xfId="265"/>
    <cellStyle name="Normal 2 15" xfId="271"/>
    <cellStyle name="Normal 2 19" xfId="74"/>
    <cellStyle name="Normal 2 19 2" xfId="40"/>
    <cellStyle name="Normal 2 19 2 2" xfId="82"/>
    <cellStyle name="Normal 2 19 2 2 2" xfId="107"/>
    <cellStyle name="Normal 2 19 2 2 2 2" xfId="157"/>
    <cellStyle name="Normal 2 19 2 2 2 2 2" xfId="257"/>
    <cellStyle name="Normal 2 19 2 2 2 3" xfId="207"/>
    <cellStyle name="Normal 2 19 2 2 3" xfId="132"/>
    <cellStyle name="Normal 2 19 2 2 3 2" xfId="232"/>
    <cellStyle name="Normal 2 19 2 2 4" xfId="182"/>
    <cellStyle name="Normal 2 19 3" xfId="100"/>
    <cellStyle name="Normal 2 19 3 2" xfId="150"/>
    <cellStyle name="Normal 2 19 3 2 2" xfId="250"/>
    <cellStyle name="Normal 2 19 3 3" xfId="200"/>
    <cellStyle name="Normal 2 19 4" xfId="125"/>
    <cellStyle name="Normal 2 19 4 2" xfId="225"/>
    <cellStyle name="Normal 2 19 5" xfId="175"/>
    <cellStyle name="Normal 2 2" xfId="24"/>
    <cellStyle name="Normal 2 2 10" xfId="33"/>
    <cellStyle name="Normal 2 2 10 2 2" xfId="42"/>
    <cellStyle name="Normal 2 2 10 3" xfId="258"/>
    <cellStyle name="Normal 2 2 13" xfId="21"/>
    <cellStyle name="Normal 2 2 13 2" xfId="34"/>
    <cellStyle name="Normal 2 2 14" xfId="31"/>
    <cellStyle name="Normal 2 2 14 2" xfId="93"/>
    <cellStyle name="Normal 2 2 14 2 2" xfId="143"/>
    <cellStyle name="Normal 2 2 14 2 2 2" xfId="243"/>
    <cellStyle name="Normal 2 2 14 2 3" xfId="193"/>
    <cellStyle name="Normal 2 2 14 3" xfId="118"/>
    <cellStyle name="Normal 2 2 14 3 2" xfId="218"/>
    <cellStyle name="Normal 2 2 14 4" xfId="168"/>
    <cellStyle name="Normal 2 2 16" xfId="278"/>
    <cellStyle name="Normal 2 2 2" xfId="262"/>
    <cellStyle name="Normal 2 2 2 19" xfId="268"/>
    <cellStyle name="Normal 2 2 2 19 2" xfId="277"/>
    <cellStyle name="Normal 2 2 2 3" xfId="63"/>
    <cellStyle name="Normal 2 2 2 3 2" xfId="76"/>
    <cellStyle name="Normal 2 2 2 3 2 2" xfId="101"/>
    <cellStyle name="Normal 2 2 2 3 2 2 2" xfId="151"/>
    <cellStyle name="Normal 2 2 2 3 2 2 2 2" xfId="251"/>
    <cellStyle name="Normal 2 2 2 3 2 2 3" xfId="201"/>
    <cellStyle name="Normal 2 2 2 3 2 3" xfId="126"/>
    <cellStyle name="Normal 2 2 2 3 2 3 2" xfId="226"/>
    <cellStyle name="Normal 2 2 2 3 2 4" xfId="176"/>
    <cellStyle name="Normal 2 2 2 3 3" xfId="94"/>
    <cellStyle name="Normal 2 2 2 3 3 2" xfId="144"/>
    <cellStyle name="Normal 2 2 2 3 3 2 2" xfId="244"/>
    <cellStyle name="Normal 2 2 2 3 3 3" xfId="194"/>
    <cellStyle name="Normal 2 2 2 3 4" xfId="119"/>
    <cellStyle name="Normal 2 2 2 3 4 2" xfId="219"/>
    <cellStyle name="Normal 2 2 2 3 5" xfId="169"/>
    <cellStyle name="Normal 2 2 26" xfId="54"/>
    <cellStyle name="Normal 2 2 33" xfId="276"/>
    <cellStyle name="Normal 2 2 6" xfId="46"/>
    <cellStyle name="Normal 2 2 8" xfId="47"/>
    <cellStyle name="Normal 2 3" xfId="38"/>
    <cellStyle name="Normal 2 3 2 2 2" xfId="3"/>
    <cellStyle name="Normal 2 4" xfId="261"/>
    <cellStyle name="Normal 2 5" xfId="280"/>
    <cellStyle name="Normal 2 6 2" xfId="264"/>
    <cellStyle name="Normal 2_Tong muc dau tu" xfId="286"/>
    <cellStyle name="Normal 21" xfId="19"/>
    <cellStyle name="Normal 21 2" xfId="28"/>
    <cellStyle name="Normal 21 2 2" xfId="91"/>
    <cellStyle name="Normal 21 2 2 2" xfId="141"/>
    <cellStyle name="Normal 21 2 2 2 2" xfId="241"/>
    <cellStyle name="Normal 21 2 2 3" xfId="191"/>
    <cellStyle name="Normal 21 2 3" xfId="116"/>
    <cellStyle name="Normal 21 2 3 2" xfId="216"/>
    <cellStyle name="Normal 21 2 4" xfId="166"/>
    <cellStyle name="Normal 21 3" xfId="67"/>
    <cellStyle name="Normal 21 3 2" xfId="78"/>
    <cellStyle name="Normal 21 3 2 2" xfId="103"/>
    <cellStyle name="Normal 21 3 2 2 2" xfId="153"/>
    <cellStyle name="Normal 21 3 2 2 2 2" xfId="253"/>
    <cellStyle name="Normal 21 3 2 2 3" xfId="203"/>
    <cellStyle name="Normal 21 3 2 3" xfId="128"/>
    <cellStyle name="Normal 21 3 2 3 2" xfId="228"/>
    <cellStyle name="Normal 21 3 2 4" xfId="178"/>
    <cellStyle name="Normal 21 3 3" xfId="96"/>
    <cellStyle name="Normal 21 3 3 2" xfId="146"/>
    <cellStyle name="Normal 21 3 3 2 2" xfId="246"/>
    <cellStyle name="Normal 21 3 3 3" xfId="196"/>
    <cellStyle name="Normal 21 3 4" xfId="121"/>
    <cellStyle name="Normal 21 3 4 2" xfId="221"/>
    <cellStyle name="Normal 21 3 5" xfId="171"/>
    <cellStyle name="Normal 21 4" xfId="89"/>
    <cellStyle name="Normal 21 4 2" xfId="139"/>
    <cellStyle name="Normal 21 4 2 2" xfId="239"/>
    <cellStyle name="Normal 21 4 3" xfId="189"/>
    <cellStyle name="Normal 21 5" xfId="114"/>
    <cellStyle name="Normal 21 5 2" xfId="214"/>
    <cellStyle name="Normal 21 6" xfId="164"/>
    <cellStyle name="Normal 278" xfId="281"/>
    <cellStyle name="Normal 3" xfId="7"/>
    <cellStyle name="Normal 3 19" xfId="20"/>
    <cellStyle name="Normal 3 2" xfId="29"/>
    <cellStyle name="Normal 3 2 2" xfId="65"/>
    <cellStyle name="Normal 3 2 2 2" xfId="267"/>
    <cellStyle name="Normal 3 2 3" xfId="92"/>
    <cellStyle name="Normal 3 2 3 2" xfId="142"/>
    <cellStyle name="Normal 3 2 3 2 2" xfId="242"/>
    <cellStyle name="Normal 3 2 3 3" xfId="192"/>
    <cellStyle name="Normal 3 2 4" xfId="117"/>
    <cellStyle name="Normal 3 2 4 2" xfId="217"/>
    <cellStyle name="Normal 3 2 5" xfId="167"/>
    <cellStyle name="Normal 3 3" xfId="49"/>
    <cellStyle name="Normal 3 3 2" xfId="269"/>
    <cellStyle name="Normal 3 4" xfId="83"/>
    <cellStyle name="Normal 3 4 2" xfId="133"/>
    <cellStyle name="Normal 3 4 2 2" xfId="233"/>
    <cellStyle name="Normal 3 4 3" xfId="183"/>
    <cellStyle name="Normal 3 5" xfId="108"/>
    <cellStyle name="Normal 3 5 2" xfId="208"/>
    <cellStyle name="Normal 3 6" xfId="158"/>
    <cellStyle name="Normal 38" xfId="58"/>
    <cellStyle name="Normal 38 2" xfId="60"/>
    <cellStyle name="Normal 39" xfId="75"/>
    <cellStyle name="Normal 4" xfId="22"/>
    <cellStyle name="Normal 4 2" xfId="69"/>
    <cellStyle name="Normal 4 3" xfId="90"/>
    <cellStyle name="Normal 4 3 2" xfId="140"/>
    <cellStyle name="Normal 4 3 2 2" xfId="240"/>
    <cellStyle name="Normal 4 3 3" xfId="190"/>
    <cellStyle name="Normal 4 4" xfId="115"/>
    <cellStyle name="Normal 4 4 2" xfId="215"/>
    <cellStyle name="Normal 4 5" xfId="165"/>
    <cellStyle name="Normal 408" xfId="14"/>
    <cellStyle name="Normal 408 2" xfId="84"/>
    <cellStyle name="Normal 408 2 2" xfId="134"/>
    <cellStyle name="Normal 408 2 2 2" xfId="234"/>
    <cellStyle name="Normal 408 2 3" xfId="184"/>
    <cellStyle name="Normal 408 3" xfId="109"/>
    <cellStyle name="Normal 408 3 2" xfId="209"/>
    <cellStyle name="Normal 408 4" xfId="159"/>
    <cellStyle name="Normal 409 2 3" xfId="37"/>
    <cellStyle name="Normal 41" xfId="30"/>
    <cellStyle name="Normal 41 2" xfId="279"/>
    <cellStyle name="Normal 410" xfId="15"/>
    <cellStyle name="Normal 410 2" xfId="85"/>
    <cellStyle name="Normal 410 2 2" xfId="135"/>
    <cellStyle name="Normal 410 2 2 2" xfId="235"/>
    <cellStyle name="Normal 410 2 3" xfId="185"/>
    <cellStyle name="Normal 410 3" xfId="110"/>
    <cellStyle name="Normal 410 3 2" xfId="210"/>
    <cellStyle name="Normal 410 4" xfId="160"/>
    <cellStyle name="Normal 411" xfId="16"/>
    <cellStyle name="Normal 411 2" xfId="86"/>
    <cellStyle name="Normal 411 2 2" xfId="136"/>
    <cellStyle name="Normal 411 2 2 2" xfId="236"/>
    <cellStyle name="Normal 411 2 3" xfId="186"/>
    <cellStyle name="Normal 411 3" xfId="111"/>
    <cellStyle name="Normal 411 3 2" xfId="211"/>
    <cellStyle name="Normal 411 4" xfId="161"/>
    <cellStyle name="Normal 412" xfId="17"/>
    <cellStyle name="Normal 412 2" xfId="87"/>
    <cellStyle name="Normal 412 2 2" xfId="137"/>
    <cellStyle name="Normal 412 2 2 2" xfId="237"/>
    <cellStyle name="Normal 412 2 3" xfId="187"/>
    <cellStyle name="Normal 412 3" xfId="112"/>
    <cellStyle name="Normal 412 3 2" xfId="212"/>
    <cellStyle name="Normal 412 4" xfId="162"/>
    <cellStyle name="Normal 413" xfId="18"/>
    <cellStyle name="Normal 413 2" xfId="88"/>
    <cellStyle name="Normal 413 2 2" xfId="138"/>
    <cellStyle name="Normal 413 2 2 2" xfId="238"/>
    <cellStyle name="Normal 413 2 3" xfId="188"/>
    <cellStyle name="Normal 413 3" xfId="113"/>
    <cellStyle name="Normal 413 3 2" xfId="213"/>
    <cellStyle name="Normal 413 4" xfId="163"/>
    <cellStyle name="Normal 415" xfId="35"/>
    <cellStyle name="Normal 415 3" xfId="36"/>
    <cellStyle name="Normal 42 2" xfId="55"/>
    <cellStyle name="Normal 42 2 2" xfId="57"/>
    <cellStyle name="Normal 428" xfId="48"/>
    <cellStyle name="Normal 44" xfId="284"/>
    <cellStyle name="Normal 5" xfId="72"/>
    <cellStyle name="Normal 6" xfId="282"/>
    <cellStyle name="Normal 65" xfId="43"/>
    <cellStyle name="Normal 7 3" xfId="73"/>
    <cellStyle name="Normal 8" xfId="32"/>
    <cellStyle name="Normal 9" xfId="274"/>
    <cellStyle name="Normal 96 2" xfId="66"/>
    <cellStyle name="Percent 10" xfId="26"/>
    <cellStyle name="Percent 2 4" xfId="59"/>
  </cellStyles>
  <dxfs count="0"/>
  <tableStyles count="0" defaultTableStyle="TableStyleMedium2" defaultPivotStyle="PivotStyleLight16"/>
  <colors>
    <mruColors>
      <color rgb="FFEE00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EE0033"/>
    <outlinePr summaryBelow="0" summaryRight="0"/>
    <pageSetUpPr fitToPage="1"/>
  </sheetPr>
  <dimension ref="A1:Q93"/>
  <sheetViews>
    <sheetView tabSelected="1" zoomScale="70" zoomScaleNormal="70" workbookViewId="0">
      <pane xSplit="3" ySplit="7" topLeftCell="D8" activePane="bottomRight" state="frozen"/>
      <selection activeCell="AD1" sqref="AD1:AI1048576"/>
      <selection pane="topRight" activeCell="AD1" sqref="AD1:AI1048576"/>
      <selection pane="bottomLeft" activeCell="AD1" sqref="AD1:AI1048576"/>
      <selection pane="bottomRight" activeCell="A94" sqref="A94:XFD364"/>
    </sheetView>
  </sheetViews>
  <sheetFormatPr defaultColWidth="9.28515625" defaultRowHeight="12.75" outlineLevelRow="4" outlineLevelCol="1" x14ac:dyDescent="0.25"/>
  <cols>
    <col min="1" max="1" width="6.140625" style="5" customWidth="1"/>
    <col min="2" max="2" width="62" style="6" customWidth="1"/>
    <col min="3" max="3" width="6.7109375" style="7" customWidth="1"/>
    <col min="4" max="5" width="16.7109375" style="8" customWidth="1" outlineLevel="1"/>
    <col min="6" max="6" width="11.42578125" style="11" customWidth="1" outlineLevel="1" collapsed="1"/>
    <col min="7" max="8" width="16.7109375" style="10" customWidth="1" outlineLevel="1"/>
    <col min="9" max="9" width="13.140625" style="9" customWidth="1"/>
    <col min="10" max="10" width="6.7109375" style="2" customWidth="1"/>
    <col min="11" max="11" width="7.7109375" style="2" customWidth="1" outlineLevel="1"/>
    <col min="12" max="12" width="4.5703125" style="2" customWidth="1" outlineLevel="1"/>
    <col min="13" max="13" width="12.5703125" style="2" customWidth="1" outlineLevel="1"/>
    <col min="14" max="14" width="10.140625" style="2" customWidth="1" outlineLevel="1"/>
    <col min="15" max="15" width="9.140625" style="3" customWidth="1" outlineLevel="1"/>
    <col min="16" max="16" width="57.140625" style="26" customWidth="1"/>
    <col min="17" max="17" width="16.42578125" style="3" customWidth="1"/>
    <col min="18" max="25" width="9.28515625" style="1" customWidth="1"/>
    <col min="26" max="16384" width="9.28515625" style="1"/>
  </cols>
  <sheetData>
    <row r="1" spans="1:17" ht="39.950000000000003" customHeight="1" x14ac:dyDescent="0.25">
      <c r="A1" s="99" t="s">
        <v>30</v>
      </c>
      <c r="B1" s="99"/>
      <c r="C1" s="99"/>
      <c r="D1" s="99"/>
      <c r="E1" s="99"/>
      <c r="F1" s="99"/>
      <c r="G1" s="99"/>
      <c r="H1" s="99"/>
      <c r="I1" s="99"/>
      <c r="J1" s="4"/>
      <c r="K1" s="4"/>
      <c r="L1" s="4"/>
      <c r="M1" s="4"/>
      <c r="N1" s="4"/>
      <c r="O1" s="4"/>
      <c r="P1" s="114"/>
    </row>
    <row r="2" spans="1:17" s="22" customFormat="1" ht="6.6" customHeight="1" x14ac:dyDescent="0.25">
      <c r="A2" s="93"/>
      <c r="B2" s="93"/>
      <c r="C2" s="12"/>
      <c r="D2" s="13"/>
      <c r="E2" s="13"/>
      <c r="F2" s="13"/>
      <c r="G2" s="13"/>
      <c r="H2" s="13"/>
      <c r="I2" s="15"/>
      <c r="J2" s="20"/>
      <c r="K2" s="20"/>
      <c r="L2" s="20"/>
      <c r="M2" s="20"/>
      <c r="N2" s="20"/>
      <c r="O2" s="21"/>
      <c r="P2" s="115"/>
      <c r="Q2" s="19"/>
    </row>
    <row r="3" spans="1:17" s="25" customFormat="1" x14ac:dyDescent="0.25">
      <c r="A3" s="94"/>
      <c r="B3" s="94"/>
      <c r="C3" s="16"/>
      <c r="D3" s="17"/>
      <c r="E3" s="17"/>
      <c r="F3" s="14"/>
      <c r="G3" s="106" t="s">
        <v>21</v>
      </c>
      <c r="H3" s="106"/>
      <c r="I3" s="18"/>
      <c r="J3" s="95" t="s">
        <v>21</v>
      </c>
      <c r="K3" s="95"/>
      <c r="L3" s="95"/>
      <c r="M3" s="20"/>
      <c r="N3" s="20"/>
      <c r="O3" s="24"/>
      <c r="P3" s="115"/>
      <c r="Q3" s="23"/>
    </row>
    <row r="4" spans="1:17" s="30" customFormat="1" ht="26.25" customHeight="1" x14ac:dyDescent="0.25">
      <c r="A4" s="100" t="s">
        <v>0</v>
      </c>
      <c r="B4" s="100" t="s">
        <v>1</v>
      </c>
      <c r="C4" s="103" t="s">
        <v>2</v>
      </c>
      <c r="D4" s="107" t="s">
        <v>31</v>
      </c>
      <c r="E4" s="108"/>
      <c r="F4" s="111" t="s">
        <v>18</v>
      </c>
      <c r="G4" s="113" t="s">
        <v>23</v>
      </c>
      <c r="H4" s="113"/>
      <c r="I4" s="96" t="s">
        <v>24</v>
      </c>
      <c r="J4" s="27" t="s">
        <v>11</v>
      </c>
      <c r="K4" s="27" t="s">
        <v>12</v>
      </c>
      <c r="L4" s="27" t="s">
        <v>13</v>
      </c>
      <c r="M4" s="28"/>
      <c r="N4" s="28"/>
      <c r="O4" s="28"/>
      <c r="P4" s="115"/>
      <c r="Q4" s="29"/>
    </row>
    <row r="5" spans="1:17" s="30" customFormat="1" ht="13.15" customHeight="1" x14ac:dyDescent="0.25">
      <c r="A5" s="101"/>
      <c r="B5" s="101"/>
      <c r="C5" s="104"/>
      <c r="D5" s="109"/>
      <c r="E5" s="110"/>
      <c r="F5" s="112"/>
      <c r="G5" s="113"/>
      <c r="H5" s="113"/>
      <c r="I5" s="97"/>
      <c r="J5" s="27"/>
      <c r="K5" s="27"/>
      <c r="L5" s="27"/>
      <c r="M5" s="28"/>
      <c r="N5" s="28"/>
      <c r="O5" s="28"/>
      <c r="P5" s="115"/>
      <c r="Q5" s="29"/>
    </row>
    <row r="6" spans="1:17" s="30" customFormat="1" ht="15" x14ac:dyDescent="0.25">
      <c r="A6" s="102"/>
      <c r="B6" s="102"/>
      <c r="C6" s="105"/>
      <c r="D6" s="31">
        <v>2027</v>
      </c>
      <c r="E6" s="31">
        <v>2028</v>
      </c>
      <c r="F6" s="32" t="s">
        <v>3</v>
      </c>
      <c r="G6" s="31">
        <v>2027</v>
      </c>
      <c r="H6" s="31">
        <v>2028</v>
      </c>
      <c r="I6" s="97"/>
      <c r="J6" s="27"/>
      <c r="K6" s="27"/>
      <c r="L6" s="27"/>
      <c r="M6" s="28"/>
      <c r="N6" s="28"/>
      <c r="O6" s="28"/>
      <c r="P6" s="115"/>
      <c r="Q6" s="29"/>
    </row>
    <row r="7" spans="1:17" s="39" customFormat="1" ht="15" outlineLevel="1" x14ac:dyDescent="0.25">
      <c r="A7" s="33"/>
      <c r="B7" s="34"/>
      <c r="C7" s="34">
        <v>6</v>
      </c>
      <c r="D7" s="35"/>
      <c r="E7" s="35"/>
      <c r="F7" s="36">
        <v>7</v>
      </c>
      <c r="G7" s="37">
        <f>SUBTOTAL(9,G8:G93)</f>
        <v>6703944.7016552296</v>
      </c>
      <c r="H7" s="37">
        <f>SUBTOTAL(9,H8:H93)</f>
        <v>6963516.8190324334</v>
      </c>
      <c r="I7" s="98"/>
      <c r="J7" s="28"/>
      <c r="K7" s="28"/>
      <c r="L7" s="28"/>
      <c r="M7" s="28"/>
      <c r="N7" s="28"/>
      <c r="O7" s="28"/>
      <c r="P7" s="115"/>
      <c r="Q7" s="38"/>
    </row>
    <row r="8" spans="1:17" s="49" customFormat="1" ht="15" x14ac:dyDescent="0.25">
      <c r="A8" s="40"/>
      <c r="B8" s="41" t="s">
        <v>28</v>
      </c>
      <c r="C8" s="40"/>
      <c r="D8" s="42"/>
      <c r="E8" s="42"/>
      <c r="F8" s="42"/>
      <c r="G8" s="43">
        <f>SUBTOTAL(9,G9:G93)</f>
        <v>6703944.7016552296</v>
      </c>
      <c r="H8" s="43">
        <f>SUBTOTAL(9,H9:H93)</f>
        <v>6963516.8190324334</v>
      </c>
      <c r="I8" s="44"/>
      <c r="J8" s="45"/>
      <c r="K8" s="28"/>
      <c r="L8" s="28"/>
      <c r="M8" s="28"/>
      <c r="N8" s="28"/>
      <c r="O8" s="46"/>
      <c r="P8" s="47"/>
      <c r="Q8" s="48"/>
    </row>
    <row r="9" spans="1:17" s="49" customFormat="1" ht="15" x14ac:dyDescent="0.25">
      <c r="A9" s="50" t="s">
        <v>15</v>
      </c>
      <c r="B9" s="51" t="s">
        <v>29</v>
      </c>
      <c r="C9" s="52"/>
      <c r="D9" s="53"/>
      <c r="E9" s="53"/>
      <c r="F9" s="53"/>
      <c r="G9" s="54">
        <f>SUBTOTAL(9,G10:G93)</f>
        <v>6703944.7016552296</v>
      </c>
      <c r="H9" s="54">
        <f>SUBTOTAL(9,H10:H93)</f>
        <v>6963516.8190324334</v>
      </c>
      <c r="I9" s="54"/>
      <c r="J9" s="28"/>
      <c r="K9" s="28"/>
      <c r="L9" s="28"/>
      <c r="M9" s="28"/>
      <c r="N9" s="28"/>
      <c r="O9" s="46"/>
      <c r="P9" s="47"/>
      <c r="Q9" s="48"/>
    </row>
    <row r="10" spans="1:17" s="59" customFormat="1" ht="14.25" x14ac:dyDescent="0.25">
      <c r="A10" s="55" t="s">
        <v>8</v>
      </c>
      <c r="B10" s="56" t="s">
        <v>9</v>
      </c>
      <c r="G10" s="65">
        <f>SUBTOTAL(9,G11:G93)</f>
        <v>6703944.7016552296</v>
      </c>
      <c r="H10" s="65">
        <f>SUBTOTAL(9,H11:H93)</f>
        <v>6963516.8190324334</v>
      </c>
      <c r="J10" s="57" t="s">
        <v>5</v>
      </c>
    </row>
    <row r="11" spans="1:17" s="58" customFormat="1" ht="14.1" customHeight="1" outlineLevel="1" x14ac:dyDescent="0.25">
      <c r="A11" s="66" t="s">
        <v>33</v>
      </c>
      <c r="B11" s="67" t="s">
        <v>17</v>
      </c>
      <c r="C11" s="68"/>
      <c r="D11" s="69"/>
      <c r="E11" s="69"/>
      <c r="F11" s="69"/>
      <c r="G11" s="69">
        <f>SUBTOTAL(9,G12:G21)</f>
        <v>0</v>
      </c>
      <c r="H11" s="69">
        <f>SUBTOTAL(9,H12:H21)</f>
        <v>0</v>
      </c>
      <c r="I11" s="70"/>
      <c r="J11" s="38"/>
      <c r="K11" s="38"/>
      <c r="L11" s="38"/>
    </row>
    <row r="12" spans="1:17" s="72" customFormat="1" ht="14.1" customHeight="1" outlineLevel="2" x14ac:dyDescent="0.25">
      <c r="A12" s="66" t="s">
        <v>34</v>
      </c>
      <c r="B12" s="64" t="s">
        <v>35</v>
      </c>
      <c r="C12" s="68"/>
      <c r="D12" s="69"/>
      <c r="E12" s="69"/>
      <c r="F12" s="69"/>
      <c r="G12" s="69">
        <f>SUBTOTAL(9,G13:G14)</f>
        <v>0</v>
      </c>
      <c r="H12" s="69">
        <f>SUBTOTAL(9,H13:H14)</f>
        <v>0</v>
      </c>
      <c r="I12" s="70"/>
      <c r="J12" s="71"/>
      <c r="K12" s="71"/>
      <c r="L12" s="71"/>
    </row>
    <row r="13" spans="1:17" s="72" customFormat="1" ht="42" customHeight="1" outlineLevel="3" x14ac:dyDescent="0.25">
      <c r="A13" s="66" t="s">
        <v>6</v>
      </c>
      <c r="B13" s="88" t="s">
        <v>36</v>
      </c>
      <c r="C13" s="74" t="s">
        <v>37</v>
      </c>
      <c r="D13" s="75"/>
      <c r="E13" s="75"/>
      <c r="F13" s="75"/>
      <c r="G13" s="75">
        <f>F13*D13</f>
        <v>0</v>
      </c>
      <c r="H13" s="75">
        <f>F13*E13</f>
        <v>0</v>
      </c>
      <c r="I13" s="76"/>
      <c r="J13" s="71" t="s">
        <v>5</v>
      </c>
      <c r="K13" s="71" t="s">
        <v>14</v>
      </c>
      <c r="L13" s="71" t="s">
        <v>16</v>
      </c>
    </row>
    <row r="14" spans="1:17" s="72" customFormat="1" ht="14.1" customHeight="1" outlineLevel="3" x14ac:dyDescent="0.25">
      <c r="A14" s="77" t="s">
        <v>6</v>
      </c>
      <c r="B14" s="63" t="s">
        <v>38</v>
      </c>
      <c r="C14" s="78" t="s">
        <v>39</v>
      </c>
      <c r="D14" s="75"/>
      <c r="E14" s="75"/>
      <c r="F14" s="75"/>
      <c r="G14" s="75">
        <f>F14*D14</f>
        <v>0</v>
      </c>
      <c r="H14" s="75">
        <f>F14*E14</f>
        <v>0</v>
      </c>
      <c r="I14" s="76"/>
      <c r="J14" s="71" t="s">
        <v>5</v>
      </c>
      <c r="K14" s="71" t="s">
        <v>14</v>
      </c>
      <c r="L14" s="71" t="s">
        <v>16</v>
      </c>
    </row>
    <row r="15" spans="1:17" s="72" customFormat="1" ht="14.1" customHeight="1" outlineLevel="2" x14ac:dyDescent="0.25">
      <c r="A15" s="66" t="s">
        <v>40</v>
      </c>
      <c r="B15" s="64" t="s">
        <v>41</v>
      </c>
      <c r="C15" s="74"/>
      <c r="D15" s="75"/>
      <c r="E15" s="75"/>
      <c r="F15" s="75"/>
      <c r="G15" s="75">
        <f>SUBTOTAL(9,G16:G16)</f>
        <v>0</v>
      </c>
      <c r="H15" s="75">
        <f>SUBTOTAL(9,H16:H16)</f>
        <v>0</v>
      </c>
      <c r="I15" s="76"/>
      <c r="J15" s="71"/>
      <c r="K15" s="71"/>
      <c r="L15" s="71"/>
    </row>
    <row r="16" spans="1:17" s="72" customFormat="1" ht="14.1" customHeight="1" outlineLevel="3" x14ac:dyDescent="0.25">
      <c r="A16" s="66" t="s">
        <v>6</v>
      </c>
      <c r="B16" s="73" t="s">
        <v>42</v>
      </c>
      <c r="C16" s="74" t="s">
        <v>43</v>
      </c>
      <c r="D16" s="75"/>
      <c r="E16" s="75"/>
      <c r="F16" s="75"/>
      <c r="G16" s="75">
        <f>F16*D16</f>
        <v>0</v>
      </c>
      <c r="H16" s="75">
        <f>F16*E16</f>
        <v>0</v>
      </c>
      <c r="I16" s="76"/>
      <c r="J16" s="71" t="s">
        <v>5</v>
      </c>
      <c r="K16" s="71" t="s">
        <v>14</v>
      </c>
      <c r="L16" s="71" t="s">
        <v>16</v>
      </c>
    </row>
    <row r="17" spans="1:12" s="72" customFormat="1" ht="14.1" customHeight="1" outlineLevel="2" x14ac:dyDescent="0.25">
      <c r="A17" s="66" t="s">
        <v>44</v>
      </c>
      <c r="B17" s="64" t="s">
        <v>45</v>
      </c>
      <c r="C17" s="68"/>
      <c r="D17" s="69"/>
      <c r="E17" s="69"/>
      <c r="F17" s="69"/>
      <c r="G17" s="69">
        <f>SUBTOTAL(9,G18:G18)</f>
        <v>0</v>
      </c>
      <c r="H17" s="69">
        <f>SUBTOTAL(9,H18:H18)</f>
        <v>0</v>
      </c>
      <c r="I17" s="70"/>
      <c r="J17" s="71"/>
      <c r="K17" s="71"/>
      <c r="L17" s="71"/>
    </row>
    <row r="18" spans="1:12" s="72" customFormat="1" ht="14.1" customHeight="1" outlineLevel="3" x14ac:dyDescent="0.25">
      <c r="A18" s="66" t="s">
        <v>6</v>
      </c>
      <c r="B18" s="73" t="s">
        <v>46</v>
      </c>
      <c r="C18" s="74" t="s">
        <v>43</v>
      </c>
      <c r="D18" s="75"/>
      <c r="E18" s="79"/>
      <c r="F18" s="75"/>
      <c r="G18" s="75">
        <f>F18*D18</f>
        <v>0</v>
      </c>
      <c r="H18" s="75">
        <f>F18*E18</f>
        <v>0</v>
      </c>
      <c r="I18" s="76"/>
      <c r="J18" s="71" t="s">
        <v>5</v>
      </c>
      <c r="K18" s="71" t="s">
        <v>14</v>
      </c>
      <c r="L18" s="71" t="s">
        <v>16</v>
      </c>
    </row>
    <row r="19" spans="1:12" s="72" customFormat="1" ht="14.1" customHeight="1" outlineLevel="2" x14ac:dyDescent="0.25">
      <c r="A19" s="66" t="s">
        <v>47</v>
      </c>
      <c r="B19" s="67" t="s">
        <v>48</v>
      </c>
      <c r="C19" s="74"/>
      <c r="D19" s="75"/>
      <c r="E19" s="79"/>
      <c r="F19" s="75"/>
      <c r="G19" s="75">
        <f>SUBTOTAL(9,G20:G20)</f>
        <v>0</v>
      </c>
      <c r="H19" s="75">
        <f>SUBTOTAL(9,H20:H20)</f>
        <v>0</v>
      </c>
      <c r="I19" s="76"/>
      <c r="J19" s="71"/>
      <c r="K19" s="71"/>
      <c r="L19" s="71"/>
    </row>
    <row r="20" spans="1:12" s="72" customFormat="1" ht="14.1" customHeight="1" outlineLevel="3" x14ac:dyDescent="0.25">
      <c r="A20" s="66" t="s">
        <v>6</v>
      </c>
      <c r="B20" s="73" t="s">
        <v>49</v>
      </c>
      <c r="C20" s="74" t="s">
        <v>43</v>
      </c>
      <c r="D20" s="75"/>
      <c r="E20" s="75"/>
      <c r="F20" s="75"/>
      <c r="G20" s="75">
        <f>F20*D20</f>
        <v>0</v>
      </c>
      <c r="H20" s="75">
        <f>F20*E20</f>
        <v>0</v>
      </c>
      <c r="I20" s="76"/>
      <c r="J20" s="71" t="s">
        <v>5</v>
      </c>
      <c r="K20" s="71" t="s">
        <v>14</v>
      </c>
      <c r="L20" s="71" t="s">
        <v>16</v>
      </c>
    </row>
    <row r="21" spans="1:12" s="72" customFormat="1" ht="14.1" customHeight="1" outlineLevel="2" x14ac:dyDescent="0.25">
      <c r="A21" s="66" t="s">
        <v>50</v>
      </c>
      <c r="B21" s="67" t="s">
        <v>51</v>
      </c>
      <c r="C21" s="74"/>
      <c r="D21" s="75"/>
      <c r="E21" s="75"/>
      <c r="F21" s="75"/>
      <c r="G21" s="75"/>
      <c r="H21" s="75"/>
      <c r="I21" s="76"/>
      <c r="J21" s="71"/>
      <c r="K21" s="71"/>
      <c r="L21" s="71"/>
    </row>
    <row r="22" spans="1:12" s="58" customFormat="1" ht="14.1" customHeight="1" outlineLevel="1" x14ac:dyDescent="0.25">
      <c r="A22" s="70" t="s">
        <v>52</v>
      </c>
      <c r="B22" s="67" t="s">
        <v>32</v>
      </c>
      <c r="C22" s="80"/>
      <c r="D22" s="69"/>
      <c r="E22" s="69"/>
      <c r="F22" s="69"/>
      <c r="G22" s="69">
        <f>SUBTOTAL(9,G23:G93)</f>
        <v>6703944.7016552296</v>
      </c>
      <c r="H22" s="69">
        <f>SUBTOTAL(9,H23:H93)</f>
        <v>6963516.8190324334</v>
      </c>
      <c r="I22" s="69"/>
      <c r="J22" s="57"/>
      <c r="K22" s="57"/>
      <c r="L22" s="57"/>
    </row>
    <row r="23" spans="1:12" s="58" customFormat="1" ht="14.1" customHeight="1" outlineLevel="2" x14ac:dyDescent="0.25">
      <c r="A23" s="70" t="s">
        <v>4</v>
      </c>
      <c r="B23" s="67" t="s">
        <v>53</v>
      </c>
      <c r="C23" s="68"/>
      <c r="D23" s="69"/>
      <c r="E23" s="69"/>
      <c r="F23" s="69"/>
      <c r="G23" s="69">
        <f>SUBTOTAL(9,G24:G44)</f>
        <v>1128228.3516552297</v>
      </c>
      <c r="H23" s="69">
        <f>SUBTOTAL(9,H24:H44)</f>
        <v>653733.02703832497</v>
      </c>
      <c r="I23" s="69"/>
      <c r="J23" s="57"/>
      <c r="K23" s="57"/>
      <c r="L23" s="57"/>
    </row>
    <row r="24" spans="1:12" s="58" customFormat="1" ht="14.1" customHeight="1" outlineLevel="3" x14ac:dyDescent="0.25">
      <c r="A24" s="66" t="s">
        <v>34</v>
      </c>
      <c r="B24" s="64" t="s">
        <v>54</v>
      </c>
      <c r="C24" s="80"/>
      <c r="D24" s="69"/>
      <c r="E24" s="69"/>
      <c r="F24" s="69"/>
      <c r="G24" s="69">
        <f>SUBTOTAL(9,G25:G31)</f>
        <v>1128228.3516552297</v>
      </c>
      <c r="H24" s="69">
        <f>SUBTOTAL(9,H25:H31)</f>
        <v>653733.02703832497</v>
      </c>
      <c r="I24" s="69"/>
      <c r="J24" s="57"/>
      <c r="K24" s="57"/>
      <c r="L24" s="57"/>
    </row>
    <row r="25" spans="1:12" s="48" customFormat="1" ht="27.95" customHeight="1" outlineLevel="4" x14ac:dyDescent="0.25">
      <c r="A25" s="77" t="s">
        <v>6</v>
      </c>
      <c r="B25" s="63" t="s">
        <v>55</v>
      </c>
      <c r="C25" s="74" t="s">
        <v>39</v>
      </c>
      <c r="D25" s="81">
        <v>11</v>
      </c>
      <c r="E25" s="81"/>
      <c r="F25" s="75">
        <v>15065.824999999999</v>
      </c>
      <c r="G25" s="75">
        <f t="shared" ref="G25:G31" si="0">F25*D25</f>
        <v>165724.07499999998</v>
      </c>
      <c r="H25" s="75">
        <f t="shared" ref="H25:H31" si="1">F25*E25</f>
        <v>0</v>
      </c>
      <c r="I25" s="76"/>
      <c r="J25" s="38" t="s">
        <v>5</v>
      </c>
      <c r="K25" s="38" t="s">
        <v>19</v>
      </c>
      <c r="L25" s="38" t="s">
        <v>16</v>
      </c>
    </row>
    <row r="26" spans="1:12" s="48" customFormat="1" ht="42" customHeight="1" outlineLevel="4" x14ac:dyDescent="0.25">
      <c r="A26" s="77" t="s">
        <v>6</v>
      </c>
      <c r="B26" s="63" t="s">
        <v>56</v>
      </c>
      <c r="C26" s="74" t="s">
        <v>39</v>
      </c>
      <c r="D26" s="75"/>
      <c r="E26" s="75">
        <v>3</v>
      </c>
      <c r="F26" s="75">
        <v>18983.05</v>
      </c>
      <c r="G26" s="75">
        <f t="shared" si="0"/>
        <v>0</v>
      </c>
      <c r="H26" s="75">
        <f t="shared" si="1"/>
        <v>56949.149999999994</v>
      </c>
      <c r="I26" s="76"/>
      <c r="J26" s="38" t="s">
        <v>5</v>
      </c>
      <c r="K26" s="38" t="s">
        <v>19</v>
      </c>
      <c r="L26" s="38" t="s">
        <v>16</v>
      </c>
    </row>
    <row r="27" spans="1:12" s="48" customFormat="1" ht="27.95" customHeight="1" outlineLevel="4" x14ac:dyDescent="0.25">
      <c r="A27" s="77" t="s">
        <v>6</v>
      </c>
      <c r="B27" s="63" t="s">
        <v>57</v>
      </c>
      <c r="C27" s="74" t="s">
        <v>39</v>
      </c>
      <c r="D27" s="75">
        <v>3</v>
      </c>
      <c r="E27" s="75"/>
      <c r="F27" s="75">
        <v>12944.888398821598</v>
      </c>
      <c r="G27" s="75">
        <f t="shared" si="0"/>
        <v>38834.665196464797</v>
      </c>
      <c r="H27" s="75">
        <f t="shared" si="1"/>
        <v>0</v>
      </c>
      <c r="I27" s="76"/>
      <c r="J27" s="38" t="s">
        <v>5</v>
      </c>
      <c r="K27" s="38" t="s">
        <v>19</v>
      </c>
      <c r="L27" s="38" t="s">
        <v>16</v>
      </c>
    </row>
    <row r="28" spans="1:12" s="48" customFormat="1" ht="27.95" customHeight="1" outlineLevel="4" x14ac:dyDescent="0.25">
      <c r="A28" s="77" t="s">
        <v>6</v>
      </c>
      <c r="B28" s="73" t="s">
        <v>58</v>
      </c>
      <c r="C28" s="74" t="s">
        <v>43</v>
      </c>
      <c r="D28" s="75">
        <v>46</v>
      </c>
      <c r="E28" s="75">
        <v>30</v>
      </c>
      <c r="F28" s="75">
        <v>18886.295901277499</v>
      </c>
      <c r="G28" s="75">
        <f t="shared" si="0"/>
        <v>868769.61145876499</v>
      </c>
      <c r="H28" s="75">
        <f t="shared" si="1"/>
        <v>566588.87703832495</v>
      </c>
      <c r="I28" s="76"/>
      <c r="J28" s="38" t="s">
        <v>5</v>
      </c>
      <c r="K28" s="38" t="s">
        <v>19</v>
      </c>
      <c r="L28" s="38" t="s">
        <v>16</v>
      </c>
    </row>
    <row r="29" spans="1:12" s="48" customFormat="1" ht="14.1" customHeight="1" outlineLevel="4" x14ac:dyDescent="0.25">
      <c r="A29" s="82" t="s">
        <v>6</v>
      </c>
      <c r="B29" s="63" t="s">
        <v>59</v>
      </c>
      <c r="C29" s="74" t="s">
        <v>43</v>
      </c>
      <c r="D29" s="75">
        <v>180</v>
      </c>
      <c r="E29" s="75">
        <v>99</v>
      </c>
      <c r="F29" s="83">
        <v>305</v>
      </c>
      <c r="G29" s="75">
        <f t="shared" si="0"/>
        <v>54900</v>
      </c>
      <c r="H29" s="75">
        <f t="shared" si="1"/>
        <v>30195</v>
      </c>
      <c r="I29" s="76"/>
      <c r="J29" s="38" t="s">
        <v>5</v>
      </c>
      <c r="K29" s="38" t="s">
        <v>19</v>
      </c>
      <c r="L29" s="38" t="s">
        <v>16</v>
      </c>
    </row>
    <row r="30" spans="1:12" s="48" customFormat="1" ht="14.1" customHeight="1" outlineLevel="4" x14ac:dyDescent="0.25">
      <c r="A30" s="82" t="s">
        <v>6</v>
      </c>
      <c r="B30" s="63" t="s">
        <v>60</v>
      </c>
      <c r="C30" s="74" t="s">
        <v>43</v>
      </c>
      <c r="D30" s="75"/>
      <c r="E30" s="75"/>
      <c r="F30" s="83"/>
      <c r="G30" s="75">
        <f t="shared" si="0"/>
        <v>0</v>
      </c>
      <c r="H30" s="75">
        <f t="shared" si="1"/>
        <v>0</v>
      </c>
      <c r="I30" s="76"/>
      <c r="J30" s="38" t="s">
        <v>5</v>
      </c>
      <c r="K30" s="38" t="s">
        <v>19</v>
      </c>
      <c r="L30" s="38" t="s">
        <v>16</v>
      </c>
    </row>
    <row r="31" spans="1:12" s="48" customFormat="1" ht="14.1" customHeight="1" outlineLevel="4" x14ac:dyDescent="0.25">
      <c r="A31" s="82" t="s">
        <v>6</v>
      </c>
      <c r="B31" s="63" t="s">
        <v>61</v>
      </c>
      <c r="C31" s="74" t="s">
        <v>43</v>
      </c>
      <c r="D31" s="75"/>
      <c r="E31" s="75"/>
      <c r="F31" s="83"/>
      <c r="G31" s="75">
        <f t="shared" si="0"/>
        <v>0</v>
      </c>
      <c r="H31" s="75">
        <f t="shared" si="1"/>
        <v>0</v>
      </c>
      <c r="I31" s="76"/>
      <c r="J31" s="38" t="s">
        <v>5</v>
      </c>
      <c r="K31" s="38" t="s">
        <v>19</v>
      </c>
      <c r="L31" s="38" t="s">
        <v>16</v>
      </c>
    </row>
    <row r="32" spans="1:12" s="58" customFormat="1" ht="14.1" customHeight="1" outlineLevel="3" x14ac:dyDescent="0.25">
      <c r="A32" s="66" t="s">
        <v>40</v>
      </c>
      <c r="B32" s="64" t="s">
        <v>62</v>
      </c>
      <c r="C32" s="80"/>
      <c r="D32" s="69"/>
      <c r="E32" s="69"/>
      <c r="F32" s="69"/>
      <c r="G32" s="69">
        <f>SUBTOTAL(9,G33:G38)</f>
        <v>0</v>
      </c>
      <c r="H32" s="69">
        <f>SUBTOTAL(9,H33:H38)</f>
        <v>0</v>
      </c>
      <c r="I32" s="69"/>
      <c r="J32" s="57"/>
      <c r="K32" s="57"/>
      <c r="L32" s="57"/>
    </row>
    <row r="33" spans="1:12" s="48" customFormat="1" ht="14.1" customHeight="1" outlineLevel="4" x14ac:dyDescent="0.25">
      <c r="A33" s="77" t="s">
        <v>6</v>
      </c>
      <c r="B33" s="63" t="s">
        <v>63</v>
      </c>
      <c r="C33" s="74" t="s">
        <v>39</v>
      </c>
      <c r="D33" s="81"/>
      <c r="E33" s="81"/>
      <c r="F33" s="75"/>
      <c r="G33" s="75">
        <f t="shared" ref="G33:G38" si="2">F33*D33</f>
        <v>0</v>
      </c>
      <c r="H33" s="75">
        <f t="shared" ref="H33:H38" si="3">F33*E33</f>
        <v>0</v>
      </c>
      <c r="I33" s="76"/>
      <c r="J33" s="38" t="s">
        <v>5</v>
      </c>
      <c r="K33" s="38" t="s">
        <v>19</v>
      </c>
      <c r="L33" s="38" t="s">
        <v>16</v>
      </c>
    </row>
    <row r="34" spans="1:12" s="48" customFormat="1" ht="14.1" customHeight="1" outlineLevel="4" x14ac:dyDescent="0.25">
      <c r="A34" s="77" t="s">
        <v>6</v>
      </c>
      <c r="B34" s="63" t="s">
        <v>64</v>
      </c>
      <c r="C34" s="74" t="s">
        <v>39</v>
      </c>
      <c r="D34" s="75"/>
      <c r="E34" s="75"/>
      <c r="F34" s="75"/>
      <c r="G34" s="75">
        <f t="shared" si="2"/>
        <v>0</v>
      </c>
      <c r="H34" s="75">
        <f t="shared" si="3"/>
        <v>0</v>
      </c>
      <c r="I34" s="76"/>
      <c r="J34" s="38" t="s">
        <v>5</v>
      </c>
      <c r="K34" s="38" t="s">
        <v>19</v>
      </c>
      <c r="L34" s="38" t="s">
        <v>16</v>
      </c>
    </row>
    <row r="35" spans="1:12" s="48" customFormat="1" ht="14.1" customHeight="1" outlineLevel="4" x14ac:dyDescent="0.25">
      <c r="A35" s="77" t="s">
        <v>6</v>
      </c>
      <c r="B35" s="73" t="s">
        <v>65</v>
      </c>
      <c r="C35" s="74" t="s">
        <v>43</v>
      </c>
      <c r="D35" s="75"/>
      <c r="E35" s="75"/>
      <c r="F35" s="75"/>
      <c r="G35" s="75">
        <f t="shared" si="2"/>
        <v>0</v>
      </c>
      <c r="H35" s="75">
        <f t="shared" si="3"/>
        <v>0</v>
      </c>
      <c r="I35" s="76"/>
      <c r="J35" s="38" t="s">
        <v>5</v>
      </c>
      <c r="K35" s="38" t="s">
        <v>19</v>
      </c>
      <c r="L35" s="38" t="s">
        <v>16</v>
      </c>
    </row>
    <row r="36" spans="1:12" s="48" customFormat="1" ht="14.1" customHeight="1" outlineLevel="4" x14ac:dyDescent="0.25">
      <c r="A36" s="82" t="s">
        <v>6</v>
      </c>
      <c r="B36" s="63" t="s">
        <v>66</v>
      </c>
      <c r="C36" s="74" t="s">
        <v>43</v>
      </c>
      <c r="D36" s="75"/>
      <c r="E36" s="75"/>
      <c r="F36" s="83"/>
      <c r="G36" s="75">
        <f t="shared" si="2"/>
        <v>0</v>
      </c>
      <c r="H36" s="75">
        <f t="shared" si="3"/>
        <v>0</v>
      </c>
      <c r="I36" s="76"/>
      <c r="J36" s="38" t="s">
        <v>5</v>
      </c>
      <c r="K36" s="38" t="s">
        <v>19</v>
      </c>
      <c r="L36" s="38" t="s">
        <v>16</v>
      </c>
    </row>
    <row r="37" spans="1:12" s="48" customFormat="1" ht="14.1" customHeight="1" outlineLevel="4" x14ac:dyDescent="0.25">
      <c r="A37" s="82" t="s">
        <v>6</v>
      </c>
      <c r="B37" s="63" t="s">
        <v>60</v>
      </c>
      <c r="C37" s="74" t="s">
        <v>43</v>
      </c>
      <c r="D37" s="75"/>
      <c r="E37" s="75"/>
      <c r="F37" s="83"/>
      <c r="G37" s="75">
        <f t="shared" si="2"/>
        <v>0</v>
      </c>
      <c r="H37" s="75">
        <f t="shared" si="3"/>
        <v>0</v>
      </c>
      <c r="I37" s="76"/>
      <c r="J37" s="38" t="s">
        <v>5</v>
      </c>
      <c r="K37" s="38" t="s">
        <v>19</v>
      </c>
      <c r="L37" s="38" t="s">
        <v>16</v>
      </c>
    </row>
    <row r="38" spans="1:12" s="48" customFormat="1" ht="14.1" customHeight="1" outlineLevel="4" x14ac:dyDescent="0.25">
      <c r="A38" s="82" t="s">
        <v>6</v>
      </c>
      <c r="B38" s="63" t="s">
        <v>61</v>
      </c>
      <c r="C38" s="74" t="s">
        <v>43</v>
      </c>
      <c r="D38" s="75"/>
      <c r="E38" s="75"/>
      <c r="F38" s="83"/>
      <c r="G38" s="75">
        <f t="shared" si="2"/>
        <v>0</v>
      </c>
      <c r="H38" s="75">
        <f t="shared" si="3"/>
        <v>0</v>
      </c>
      <c r="I38" s="76"/>
      <c r="J38" s="38" t="s">
        <v>5</v>
      </c>
      <c r="K38" s="38" t="s">
        <v>19</v>
      </c>
      <c r="L38" s="38" t="s">
        <v>16</v>
      </c>
    </row>
    <row r="39" spans="1:12" s="58" customFormat="1" ht="14.1" customHeight="1" outlineLevel="3" x14ac:dyDescent="0.25">
      <c r="A39" s="66" t="s">
        <v>44</v>
      </c>
      <c r="B39" s="64" t="s">
        <v>67</v>
      </c>
      <c r="C39" s="80"/>
      <c r="D39" s="69"/>
      <c r="E39" s="69"/>
      <c r="F39" s="69"/>
      <c r="G39" s="69">
        <f>SUBTOTAL(9,G40:G44)</f>
        <v>0</v>
      </c>
      <c r="H39" s="69">
        <f>SUBTOTAL(9,H40:H44)</f>
        <v>0</v>
      </c>
      <c r="I39" s="69"/>
      <c r="J39" s="57"/>
      <c r="K39" s="57"/>
      <c r="L39" s="57"/>
    </row>
    <row r="40" spans="1:12" s="48" customFormat="1" ht="14.1" customHeight="1" outlineLevel="4" x14ac:dyDescent="0.25">
      <c r="A40" s="77" t="s">
        <v>6</v>
      </c>
      <c r="B40" s="63" t="s">
        <v>68</v>
      </c>
      <c r="C40" s="74" t="s">
        <v>39</v>
      </c>
      <c r="D40" s="81"/>
      <c r="E40" s="81"/>
      <c r="F40" s="75"/>
      <c r="G40" s="75">
        <f>F40*D40</f>
        <v>0</v>
      </c>
      <c r="H40" s="75">
        <f>F40*E40</f>
        <v>0</v>
      </c>
      <c r="I40" s="76"/>
      <c r="J40" s="38" t="s">
        <v>5</v>
      </c>
      <c r="K40" s="38" t="s">
        <v>19</v>
      </c>
      <c r="L40" s="38" t="s">
        <v>16</v>
      </c>
    </row>
    <row r="41" spans="1:12" s="48" customFormat="1" ht="14.1" customHeight="1" outlineLevel="4" x14ac:dyDescent="0.25">
      <c r="A41" s="77" t="s">
        <v>6</v>
      </c>
      <c r="B41" s="63" t="s">
        <v>69</v>
      </c>
      <c r="C41" s="74" t="s">
        <v>39</v>
      </c>
      <c r="D41" s="75"/>
      <c r="E41" s="75"/>
      <c r="F41" s="75"/>
      <c r="G41" s="75">
        <f>F41*D41</f>
        <v>0</v>
      </c>
      <c r="H41" s="75">
        <f>F41*E41</f>
        <v>0</v>
      </c>
      <c r="I41" s="76"/>
      <c r="J41" s="38" t="s">
        <v>5</v>
      </c>
      <c r="K41" s="38" t="s">
        <v>19</v>
      </c>
      <c r="L41" s="38" t="s">
        <v>16</v>
      </c>
    </row>
    <row r="42" spans="1:12" s="48" customFormat="1" ht="14.1" customHeight="1" outlineLevel="4" x14ac:dyDescent="0.25">
      <c r="A42" s="82" t="s">
        <v>6</v>
      </c>
      <c r="B42" s="63" t="s">
        <v>66</v>
      </c>
      <c r="C42" s="74" t="s">
        <v>43</v>
      </c>
      <c r="D42" s="75"/>
      <c r="E42" s="75"/>
      <c r="F42" s="83"/>
      <c r="G42" s="75">
        <f>F42*D42</f>
        <v>0</v>
      </c>
      <c r="H42" s="75">
        <f>F42*E42</f>
        <v>0</v>
      </c>
      <c r="I42" s="76"/>
      <c r="J42" s="38" t="s">
        <v>5</v>
      </c>
      <c r="K42" s="38" t="s">
        <v>19</v>
      </c>
      <c r="L42" s="38" t="s">
        <v>16</v>
      </c>
    </row>
    <row r="43" spans="1:12" s="48" customFormat="1" ht="14.1" customHeight="1" outlineLevel="4" x14ac:dyDescent="0.25">
      <c r="A43" s="82" t="s">
        <v>6</v>
      </c>
      <c r="B43" s="63" t="s">
        <v>60</v>
      </c>
      <c r="C43" s="74" t="s">
        <v>43</v>
      </c>
      <c r="D43" s="75"/>
      <c r="E43" s="75"/>
      <c r="F43" s="83"/>
      <c r="G43" s="75">
        <f>F43*D43</f>
        <v>0</v>
      </c>
      <c r="H43" s="75">
        <f>F43*E43</f>
        <v>0</v>
      </c>
      <c r="I43" s="76"/>
      <c r="J43" s="38" t="s">
        <v>5</v>
      </c>
      <c r="K43" s="38" t="s">
        <v>19</v>
      </c>
      <c r="L43" s="38" t="s">
        <v>16</v>
      </c>
    </row>
    <row r="44" spans="1:12" s="48" customFormat="1" ht="14.1" customHeight="1" outlineLevel="4" x14ac:dyDescent="0.25">
      <c r="A44" s="82" t="s">
        <v>6</v>
      </c>
      <c r="B44" s="63" t="s">
        <v>61</v>
      </c>
      <c r="C44" s="74" t="s">
        <v>43</v>
      </c>
      <c r="D44" s="75"/>
      <c r="E44" s="75"/>
      <c r="F44" s="83"/>
      <c r="G44" s="75">
        <f>F44*D44</f>
        <v>0</v>
      </c>
      <c r="H44" s="75">
        <f>F44*E44</f>
        <v>0</v>
      </c>
      <c r="I44" s="76"/>
      <c r="J44" s="38" t="s">
        <v>5</v>
      </c>
      <c r="K44" s="38" t="s">
        <v>19</v>
      </c>
      <c r="L44" s="38" t="s">
        <v>16</v>
      </c>
    </row>
    <row r="45" spans="1:12" s="58" customFormat="1" ht="14.1" customHeight="1" outlineLevel="2" x14ac:dyDescent="0.25">
      <c r="A45" s="70" t="s">
        <v>7</v>
      </c>
      <c r="B45" s="67" t="s">
        <v>70</v>
      </c>
      <c r="C45" s="68"/>
      <c r="D45" s="69"/>
      <c r="E45" s="69"/>
      <c r="F45" s="69"/>
      <c r="G45" s="69">
        <f>SUBTOTAL(9,G46:G73)</f>
        <v>5040295.3499999996</v>
      </c>
      <c r="H45" s="69">
        <f>SUBTOTAL(9,H46:H73)</f>
        <v>5608483.7919941079</v>
      </c>
      <c r="I45" s="69"/>
      <c r="J45" s="57"/>
      <c r="K45" s="57"/>
      <c r="L45" s="57"/>
    </row>
    <row r="46" spans="1:12" s="58" customFormat="1" ht="14.1" customHeight="1" outlineLevel="3" x14ac:dyDescent="0.25">
      <c r="A46" s="66" t="s">
        <v>34</v>
      </c>
      <c r="B46" s="64" t="s">
        <v>54</v>
      </c>
      <c r="C46" s="80"/>
      <c r="D46" s="69"/>
      <c r="E46" s="69"/>
      <c r="F46" s="69"/>
      <c r="G46" s="69">
        <f>SUBTOTAL(9,G47:G59)</f>
        <v>5040295.3499999996</v>
      </c>
      <c r="H46" s="69">
        <f>SUBTOTAL(9,H47:H59)</f>
        <v>5608483.7919941079</v>
      </c>
      <c r="I46" s="69"/>
      <c r="J46" s="57"/>
      <c r="K46" s="57"/>
      <c r="L46" s="57"/>
    </row>
    <row r="47" spans="1:12" s="48" customFormat="1" ht="27.95" customHeight="1" outlineLevel="3" x14ac:dyDescent="0.25">
      <c r="A47" s="77" t="s">
        <v>6</v>
      </c>
      <c r="B47" s="63" t="s">
        <v>55</v>
      </c>
      <c r="C47" s="78" t="s">
        <v>39</v>
      </c>
      <c r="D47" s="90">
        <v>38</v>
      </c>
      <c r="E47" s="90"/>
      <c r="F47" s="75">
        <v>15065.824999999999</v>
      </c>
      <c r="G47" s="75">
        <f t="shared" ref="G47:G59" si="4">F47*D47</f>
        <v>572501.35</v>
      </c>
      <c r="H47" s="75">
        <f t="shared" ref="H47:H59" si="5">F47*E47</f>
        <v>0</v>
      </c>
      <c r="I47" s="76"/>
      <c r="J47" s="38" t="s">
        <v>5</v>
      </c>
      <c r="K47" s="38" t="s">
        <v>20</v>
      </c>
      <c r="L47" s="38" t="s">
        <v>16</v>
      </c>
    </row>
    <row r="48" spans="1:12" s="48" customFormat="1" ht="42" customHeight="1" outlineLevel="3" x14ac:dyDescent="0.25">
      <c r="A48" s="77" t="s">
        <v>6</v>
      </c>
      <c r="B48" s="63" t="s">
        <v>56</v>
      </c>
      <c r="C48" s="78" t="s">
        <v>39</v>
      </c>
      <c r="D48" s="75"/>
      <c r="E48" s="75">
        <v>35</v>
      </c>
      <c r="F48" s="75">
        <v>18983.05</v>
      </c>
      <c r="G48" s="75">
        <f t="shared" si="4"/>
        <v>0</v>
      </c>
      <c r="H48" s="75">
        <f t="shared" si="5"/>
        <v>664406.75</v>
      </c>
      <c r="I48" s="76"/>
      <c r="J48" s="38" t="s">
        <v>5</v>
      </c>
      <c r="K48" s="38" t="s">
        <v>20</v>
      </c>
      <c r="L48" s="38" t="s">
        <v>16</v>
      </c>
    </row>
    <row r="49" spans="1:12" s="48" customFormat="1" ht="27.95" customHeight="1" outlineLevel="3" x14ac:dyDescent="0.25">
      <c r="A49" s="77" t="s">
        <v>6</v>
      </c>
      <c r="B49" s="63" t="s">
        <v>71</v>
      </c>
      <c r="C49" s="78" t="s">
        <v>39</v>
      </c>
      <c r="D49" s="75">
        <v>6</v>
      </c>
      <c r="E49" s="75">
        <v>12</v>
      </c>
      <c r="F49" s="75">
        <v>16686.800000000003</v>
      </c>
      <c r="G49" s="75">
        <f t="shared" si="4"/>
        <v>100120.80000000002</v>
      </c>
      <c r="H49" s="75">
        <f t="shared" si="5"/>
        <v>200241.60000000003</v>
      </c>
      <c r="I49" s="76"/>
      <c r="J49" s="38" t="s">
        <v>5</v>
      </c>
      <c r="K49" s="38" t="s">
        <v>20</v>
      </c>
      <c r="L49" s="38" t="s">
        <v>16</v>
      </c>
    </row>
    <row r="50" spans="1:12" s="48" customFormat="1" ht="27.95" customHeight="1" outlineLevel="3" x14ac:dyDescent="0.25">
      <c r="A50" s="77" t="s">
        <v>6</v>
      </c>
      <c r="B50" s="63" t="s">
        <v>72</v>
      </c>
      <c r="C50" s="78" t="s">
        <v>39</v>
      </c>
      <c r="D50" s="75">
        <v>181</v>
      </c>
      <c r="E50" s="75">
        <v>146</v>
      </c>
      <c r="F50" s="75">
        <v>11686.800000000001</v>
      </c>
      <c r="G50" s="75">
        <f t="shared" si="4"/>
        <v>2115310.8000000003</v>
      </c>
      <c r="H50" s="75">
        <f t="shared" si="5"/>
        <v>1706272.8</v>
      </c>
      <c r="I50" s="76"/>
      <c r="J50" s="38" t="s">
        <v>5</v>
      </c>
      <c r="K50" s="38" t="s">
        <v>20</v>
      </c>
      <c r="L50" s="38" t="s">
        <v>16</v>
      </c>
    </row>
    <row r="51" spans="1:12" s="48" customFormat="1" ht="27.95" customHeight="1" outlineLevel="3" x14ac:dyDescent="0.25">
      <c r="A51" s="82" t="s">
        <v>6</v>
      </c>
      <c r="B51" s="63" t="s">
        <v>73</v>
      </c>
      <c r="C51" s="78" t="s">
        <v>39</v>
      </c>
      <c r="D51" s="75">
        <v>20</v>
      </c>
      <c r="E51" s="75"/>
      <c r="F51" s="83">
        <v>10000</v>
      </c>
      <c r="G51" s="75">
        <f t="shared" si="4"/>
        <v>200000</v>
      </c>
      <c r="H51" s="75">
        <f t="shared" si="5"/>
        <v>0</v>
      </c>
      <c r="I51" s="76"/>
      <c r="J51" s="38" t="s">
        <v>5</v>
      </c>
      <c r="K51" s="38" t="s">
        <v>20</v>
      </c>
      <c r="L51" s="38" t="s">
        <v>16</v>
      </c>
    </row>
    <row r="52" spans="1:12" s="48" customFormat="1" ht="42" customHeight="1" outlineLevel="3" x14ac:dyDescent="0.25">
      <c r="A52" s="82" t="s">
        <v>6</v>
      </c>
      <c r="B52" s="88" t="s">
        <v>36</v>
      </c>
      <c r="C52" s="78" t="s">
        <v>39</v>
      </c>
      <c r="D52" s="75">
        <v>22</v>
      </c>
      <c r="E52" s="75">
        <v>36</v>
      </c>
      <c r="F52" s="83">
        <v>24000</v>
      </c>
      <c r="G52" s="75">
        <f t="shared" si="4"/>
        <v>528000</v>
      </c>
      <c r="H52" s="75">
        <f t="shared" si="5"/>
        <v>864000</v>
      </c>
      <c r="I52" s="76"/>
      <c r="J52" s="38" t="s">
        <v>5</v>
      </c>
      <c r="K52" s="38" t="s">
        <v>20</v>
      </c>
      <c r="L52" s="38" t="s">
        <v>16</v>
      </c>
    </row>
    <row r="53" spans="1:12" s="48" customFormat="1" ht="27.95" customHeight="1" outlineLevel="3" x14ac:dyDescent="0.25">
      <c r="A53" s="82" t="s">
        <v>6</v>
      </c>
      <c r="B53" s="91" t="s">
        <v>57</v>
      </c>
      <c r="C53" s="78" t="s">
        <v>39</v>
      </c>
      <c r="D53" s="75"/>
      <c r="E53" s="75">
        <v>5</v>
      </c>
      <c r="F53" s="83">
        <v>12944.888398821598</v>
      </c>
      <c r="G53" s="75">
        <f t="shared" si="4"/>
        <v>0</v>
      </c>
      <c r="H53" s="75">
        <f t="shared" si="5"/>
        <v>64724.44199410799</v>
      </c>
      <c r="I53" s="76"/>
      <c r="J53" s="38" t="s">
        <v>5</v>
      </c>
      <c r="K53" s="38" t="s">
        <v>20</v>
      </c>
      <c r="L53" s="38" t="s">
        <v>16</v>
      </c>
    </row>
    <row r="54" spans="1:12" s="48" customFormat="1" ht="42" customHeight="1" outlineLevel="3" x14ac:dyDescent="0.25">
      <c r="A54" s="82" t="s">
        <v>6</v>
      </c>
      <c r="B54" s="91" t="s">
        <v>74</v>
      </c>
      <c r="C54" s="78" t="s">
        <v>39</v>
      </c>
      <c r="D54" s="75"/>
      <c r="E54" s="75">
        <v>10</v>
      </c>
      <c r="F54" s="83">
        <v>16686.800000000003</v>
      </c>
      <c r="G54" s="75">
        <f t="shared" si="4"/>
        <v>0</v>
      </c>
      <c r="H54" s="75">
        <f t="shared" si="5"/>
        <v>166868.00000000003</v>
      </c>
      <c r="I54" s="76"/>
      <c r="J54" s="38" t="s">
        <v>5</v>
      </c>
      <c r="K54" s="38" t="s">
        <v>20</v>
      </c>
      <c r="L54" s="38" t="s">
        <v>16</v>
      </c>
    </row>
    <row r="55" spans="1:12" s="48" customFormat="1" ht="42" customHeight="1" outlineLevel="3" x14ac:dyDescent="0.25">
      <c r="A55" s="82" t="s">
        <v>6</v>
      </c>
      <c r="B55" s="91" t="s">
        <v>75</v>
      </c>
      <c r="C55" s="78" t="s">
        <v>39</v>
      </c>
      <c r="D55" s="75">
        <v>61</v>
      </c>
      <c r="E55" s="48">
        <v>139</v>
      </c>
      <c r="F55" s="83">
        <v>11686.800000000001</v>
      </c>
      <c r="G55" s="75">
        <f t="shared" si="4"/>
        <v>712894.8</v>
      </c>
      <c r="H55" s="75">
        <f t="shared" si="5"/>
        <v>1624465.2000000002</v>
      </c>
      <c r="I55" s="76"/>
      <c r="J55" s="38" t="s">
        <v>5</v>
      </c>
      <c r="K55" s="38" t="s">
        <v>20</v>
      </c>
      <c r="L55" s="38" t="s">
        <v>16</v>
      </c>
    </row>
    <row r="56" spans="1:12" s="48" customFormat="1" ht="42" customHeight="1" outlineLevel="3" x14ac:dyDescent="0.25">
      <c r="A56" s="82" t="s">
        <v>6</v>
      </c>
      <c r="B56" s="88" t="s">
        <v>76</v>
      </c>
      <c r="C56" s="78" t="s">
        <v>39</v>
      </c>
      <c r="D56" s="75">
        <v>18</v>
      </c>
      <c r="F56" s="83">
        <v>24000</v>
      </c>
      <c r="G56" s="75">
        <f t="shared" si="4"/>
        <v>432000</v>
      </c>
      <c r="H56" s="75">
        <f t="shared" si="5"/>
        <v>0</v>
      </c>
      <c r="I56" s="76"/>
      <c r="J56" s="38" t="s">
        <v>5</v>
      </c>
      <c r="K56" s="38" t="s">
        <v>20</v>
      </c>
      <c r="L56" s="38" t="s">
        <v>16</v>
      </c>
    </row>
    <row r="57" spans="1:12" s="48" customFormat="1" ht="27.95" customHeight="1" outlineLevel="3" x14ac:dyDescent="0.25">
      <c r="A57" s="82" t="s">
        <v>6</v>
      </c>
      <c r="B57" s="92" t="s">
        <v>77</v>
      </c>
      <c r="C57" s="89" t="s">
        <v>39</v>
      </c>
      <c r="D57" s="75">
        <v>32</v>
      </c>
      <c r="E57" s="75"/>
      <c r="F57" s="83">
        <v>11686.800000000001</v>
      </c>
      <c r="G57" s="75">
        <f t="shared" si="4"/>
        <v>373977.60000000003</v>
      </c>
      <c r="H57" s="75">
        <f t="shared" si="5"/>
        <v>0</v>
      </c>
      <c r="I57" s="76"/>
      <c r="J57" s="38" t="s">
        <v>5</v>
      </c>
      <c r="K57" s="38" t="s">
        <v>20</v>
      </c>
      <c r="L57" s="38" t="s">
        <v>16</v>
      </c>
    </row>
    <row r="58" spans="1:12" s="48" customFormat="1" ht="14.1" customHeight="1" outlineLevel="3" x14ac:dyDescent="0.25">
      <c r="A58" s="82" t="s">
        <v>6</v>
      </c>
      <c r="B58" s="63" t="s">
        <v>60</v>
      </c>
      <c r="C58" s="78" t="s">
        <v>78</v>
      </c>
      <c r="D58" s="75"/>
      <c r="E58" s="75"/>
      <c r="F58" s="83"/>
      <c r="G58" s="75">
        <f t="shared" si="4"/>
        <v>0</v>
      </c>
      <c r="H58" s="75">
        <f t="shared" si="5"/>
        <v>0</v>
      </c>
      <c r="I58" s="76"/>
      <c r="J58" s="38" t="s">
        <v>5</v>
      </c>
      <c r="K58" s="38" t="s">
        <v>20</v>
      </c>
      <c r="L58" s="38" t="s">
        <v>16</v>
      </c>
    </row>
    <row r="59" spans="1:12" s="48" customFormat="1" ht="14.1" customHeight="1" outlineLevel="3" x14ac:dyDescent="0.25">
      <c r="A59" s="82" t="s">
        <v>6</v>
      </c>
      <c r="B59" s="63" t="s">
        <v>59</v>
      </c>
      <c r="C59" s="78" t="s">
        <v>78</v>
      </c>
      <c r="D59" s="75">
        <v>18</v>
      </c>
      <c r="E59" s="75">
        <v>1041</v>
      </c>
      <c r="F59" s="83">
        <v>305</v>
      </c>
      <c r="G59" s="75">
        <f t="shared" si="4"/>
        <v>5490</v>
      </c>
      <c r="H59" s="75">
        <f t="shared" si="5"/>
        <v>317505</v>
      </c>
      <c r="I59" s="76"/>
      <c r="J59" s="38" t="s">
        <v>5</v>
      </c>
      <c r="K59" s="38" t="s">
        <v>20</v>
      </c>
      <c r="L59" s="38" t="s">
        <v>16</v>
      </c>
    </row>
    <row r="60" spans="1:12" s="58" customFormat="1" ht="14.1" customHeight="1" outlineLevel="3" x14ac:dyDescent="0.25">
      <c r="A60" s="66" t="s">
        <v>34</v>
      </c>
      <c r="B60" s="64" t="s">
        <v>62</v>
      </c>
      <c r="C60" s="80"/>
      <c r="D60" s="69"/>
      <c r="E60" s="69"/>
      <c r="F60" s="69"/>
      <c r="G60" s="69">
        <f>SUBTOTAL(9,G61:G66)</f>
        <v>0</v>
      </c>
      <c r="H60" s="69">
        <f>SUBTOTAL(9,H61:H66)</f>
        <v>0</v>
      </c>
      <c r="I60" s="69"/>
      <c r="J60" s="57"/>
      <c r="K60" s="57"/>
      <c r="L60" s="57"/>
    </row>
    <row r="61" spans="1:12" s="48" customFormat="1" ht="14.1" customHeight="1" outlineLevel="3" x14ac:dyDescent="0.25">
      <c r="A61" s="77" t="s">
        <v>6</v>
      </c>
      <c r="B61" s="63" t="s">
        <v>63</v>
      </c>
      <c r="C61" s="74" t="s">
        <v>39</v>
      </c>
      <c r="D61" s="81"/>
      <c r="E61" s="81"/>
      <c r="F61" s="75"/>
      <c r="G61" s="75">
        <f t="shared" ref="G61:G66" si="6">F61*D61</f>
        <v>0</v>
      </c>
      <c r="H61" s="75">
        <f t="shared" ref="H61:H66" si="7">F61*E61</f>
        <v>0</v>
      </c>
      <c r="I61" s="76"/>
      <c r="J61" s="38" t="s">
        <v>5</v>
      </c>
      <c r="K61" s="38" t="s">
        <v>20</v>
      </c>
      <c r="L61" s="38" t="s">
        <v>16</v>
      </c>
    </row>
    <row r="62" spans="1:12" s="48" customFormat="1" ht="14.1" customHeight="1" outlineLevel="3" x14ac:dyDescent="0.25">
      <c r="A62" s="77" t="s">
        <v>6</v>
      </c>
      <c r="B62" s="63" t="s">
        <v>64</v>
      </c>
      <c r="C62" s="74" t="s">
        <v>39</v>
      </c>
      <c r="D62" s="75"/>
      <c r="E62" s="75"/>
      <c r="F62" s="75"/>
      <c r="G62" s="75">
        <f t="shared" si="6"/>
        <v>0</v>
      </c>
      <c r="H62" s="75">
        <f t="shared" si="7"/>
        <v>0</v>
      </c>
      <c r="I62" s="76"/>
      <c r="J62" s="38" t="s">
        <v>5</v>
      </c>
      <c r="K62" s="38" t="s">
        <v>20</v>
      </c>
      <c r="L62" s="38" t="s">
        <v>16</v>
      </c>
    </row>
    <row r="63" spans="1:12" s="48" customFormat="1" ht="14.1" customHeight="1" outlineLevel="3" x14ac:dyDescent="0.25">
      <c r="A63" s="77" t="s">
        <v>6</v>
      </c>
      <c r="B63" s="73" t="s">
        <v>65</v>
      </c>
      <c r="C63" s="74" t="s">
        <v>43</v>
      </c>
      <c r="D63" s="75"/>
      <c r="E63" s="75"/>
      <c r="F63" s="75"/>
      <c r="G63" s="75">
        <f t="shared" si="6"/>
        <v>0</v>
      </c>
      <c r="H63" s="75">
        <f t="shared" si="7"/>
        <v>0</v>
      </c>
      <c r="I63" s="76"/>
      <c r="J63" s="38" t="s">
        <v>5</v>
      </c>
      <c r="K63" s="38" t="s">
        <v>20</v>
      </c>
      <c r="L63" s="38" t="s">
        <v>16</v>
      </c>
    </row>
    <row r="64" spans="1:12" s="48" customFormat="1" ht="14.1" customHeight="1" outlineLevel="3" x14ac:dyDescent="0.25">
      <c r="A64" s="77" t="s">
        <v>6</v>
      </c>
      <c r="B64" s="63" t="s">
        <v>66</v>
      </c>
      <c r="C64" s="74" t="s">
        <v>43</v>
      </c>
      <c r="D64" s="75"/>
      <c r="E64" s="75"/>
      <c r="F64" s="75"/>
      <c r="G64" s="75">
        <f t="shared" si="6"/>
        <v>0</v>
      </c>
      <c r="H64" s="75">
        <f t="shared" si="7"/>
        <v>0</v>
      </c>
      <c r="I64" s="76"/>
      <c r="J64" s="38" t="s">
        <v>5</v>
      </c>
      <c r="K64" s="38" t="s">
        <v>20</v>
      </c>
      <c r="L64" s="38" t="s">
        <v>16</v>
      </c>
    </row>
    <row r="65" spans="1:12" s="48" customFormat="1" ht="14.1" customHeight="1" outlineLevel="3" x14ac:dyDescent="0.25">
      <c r="A65" s="82" t="s">
        <v>6</v>
      </c>
      <c r="B65" s="63" t="s">
        <v>60</v>
      </c>
      <c r="C65" s="74" t="s">
        <v>43</v>
      </c>
      <c r="D65" s="75"/>
      <c r="E65" s="75"/>
      <c r="F65" s="83"/>
      <c r="G65" s="75">
        <f t="shared" si="6"/>
        <v>0</v>
      </c>
      <c r="H65" s="75">
        <f t="shared" si="7"/>
        <v>0</v>
      </c>
      <c r="I65" s="76"/>
      <c r="J65" s="38" t="s">
        <v>5</v>
      </c>
      <c r="K65" s="38" t="s">
        <v>20</v>
      </c>
      <c r="L65" s="38" t="s">
        <v>16</v>
      </c>
    </row>
    <row r="66" spans="1:12" s="48" customFormat="1" ht="14.1" customHeight="1" outlineLevel="3" x14ac:dyDescent="0.25">
      <c r="A66" s="82" t="s">
        <v>6</v>
      </c>
      <c r="B66" s="63" t="s">
        <v>61</v>
      </c>
      <c r="C66" s="74" t="s">
        <v>43</v>
      </c>
      <c r="D66" s="75"/>
      <c r="E66" s="75"/>
      <c r="F66" s="83"/>
      <c r="G66" s="75">
        <f t="shared" si="6"/>
        <v>0</v>
      </c>
      <c r="H66" s="75">
        <f t="shared" si="7"/>
        <v>0</v>
      </c>
      <c r="I66" s="76"/>
      <c r="J66" s="38" t="s">
        <v>5</v>
      </c>
      <c r="K66" s="38" t="s">
        <v>20</v>
      </c>
      <c r="L66" s="38" t="s">
        <v>16</v>
      </c>
    </row>
    <row r="67" spans="1:12" s="58" customFormat="1" ht="14.1" customHeight="1" outlineLevel="3" x14ac:dyDescent="0.25">
      <c r="A67" s="66" t="s">
        <v>44</v>
      </c>
      <c r="B67" s="64" t="s">
        <v>67</v>
      </c>
      <c r="C67" s="80"/>
      <c r="D67" s="69"/>
      <c r="E67" s="69"/>
      <c r="F67" s="69"/>
      <c r="G67" s="69">
        <f>SUBTOTAL(9,G68:G73)</f>
        <v>0</v>
      </c>
      <c r="H67" s="69">
        <f>SUBTOTAL(9,H68:H73)</f>
        <v>0</v>
      </c>
      <c r="I67" s="69"/>
      <c r="J67" s="57"/>
      <c r="K67" s="57"/>
      <c r="L67" s="57"/>
    </row>
    <row r="68" spans="1:12" s="48" customFormat="1" ht="14.1" customHeight="1" outlineLevel="3" x14ac:dyDescent="0.25">
      <c r="A68" s="77" t="s">
        <v>6</v>
      </c>
      <c r="B68" s="63" t="s">
        <v>79</v>
      </c>
      <c r="C68" s="74" t="s">
        <v>39</v>
      </c>
      <c r="D68" s="81"/>
      <c r="E68" s="81"/>
      <c r="F68" s="83"/>
      <c r="G68" s="75">
        <f t="shared" ref="G68:G73" si="8">F68*D68</f>
        <v>0</v>
      </c>
      <c r="H68" s="75">
        <f t="shared" ref="H68:H73" si="9">F68*E68</f>
        <v>0</v>
      </c>
      <c r="I68" s="76"/>
      <c r="J68" s="38" t="s">
        <v>5</v>
      </c>
      <c r="K68" s="38" t="s">
        <v>20</v>
      </c>
      <c r="L68" s="38" t="s">
        <v>16</v>
      </c>
    </row>
    <row r="69" spans="1:12" s="48" customFormat="1" ht="14.1" customHeight="1" outlineLevel="3" x14ac:dyDescent="0.25">
      <c r="A69" s="77" t="s">
        <v>6</v>
      </c>
      <c r="B69" s="63" t="s">
        <v>80</v>
      </c>
      <c r="C69" s="74" t="s">
        <v>39</v>
      </c>
      <c r="D69" s="81"/>
      <c r="E69" s="81"/>
      <c r="F69" s="83"/>
      <c r="G69" s="75">
        <f t="shared" si="8"/>
        <v>0</v>
      </c>
      <c r="H69" s="75">
        <f t="shared" si="9"/>
        <v>0</v>
      </c>
      <c r="I69" s="76"/>
      <c r="J69" s="38" t="s">
        <v>5</v>
      </c>
      <c r="K69" s="38" t="s">
        <v>20</v>
      </c>
      <c r="L69" s="38" t="s">
        <v>16</v>
      </c>
    </row>
    <row r="70" spans="1:12" s="48" customFormat="1" ht="14.1" customHeight="1" outlineLevel="3" x14ac:dyDescent="0.25">
      <c r="A70" s="77" t="s">
        <v>6</v>
      </c>
      <c r="B70" s="63" t="s">
        <v>69</v>
      </c>
      <c r="C70" s="74" t="s">
        <v>39</v>
      </c>
      <c r="D70" s="75"/>
      <c r="E70" s="75"/>
      <c r="F70" s="83"/>
      <c r="G70" s="75">
        <f t="shared" si="8"/>
        <v>0</v>
      </c>
      <c r="H70" s="75">
        <f t="shared" si="9"/>
        <v>0</v>
      </c>
      <c r="I70" s="76"/>
      <c r="J70" s="38" t="s">
        <v>5</v>
      </c>
      <c r="K70" s="38" t="s">
        <v>20</v>
      </c>
      <c r="L70" s="38" t="s">
        <v>16</v>
      </c>
    </row>
    <row r="71" spans="1:12" s="48" customFormat="1" ht="14.1" customHeight="1" outlineLevel="3" x14ac:dyDescent="0.25">
      <c r="A71" s="77" t="s">
        <v>6</v>
      </c>
      <c r="B71" s="63" t="s">
        <v>66</v>
      </c>
      <c r="C71" s="74" t="s">
        <v>43</v>
      </c>
      <c r="D71" s="75"/>
      <c r="E71" s="75"/>
      <c r="F71" s="83"/>
      <c r="G71" s="75">
        <f t="shared" si="8"/>
        <v>0</v>
      </c>
      <c r="H71" s="75">
        <f t="shared" si="9"/>
        <v>0</v>
      </c>
      <c r="I71" s="76"/>
      <c r="J71" s="38" t="s">
        <v>5</v>
      </c>
      <c r="K71" s="38" t="s">
        <v>20</v>
      </c>
      <c r="L71" s="38" t="s">
        <v>16</v>
      </c>
    </row>
    <row r="72" spans="1:12" s="48" customFormat="1" ht="14.1" customHeight="1" outlineLevel="3" x14ac:dyDescent="0.25">
      <c r="A72" s="77" t="s">
        <v>6</v>
      </c>
      <c r="B72" s="63" t="s">
        <v>60</v>
      </c>
      <c r="C72" s="74" t="s">
        <v>43</v>
      </c>
      <c r="D72" s="75"/>
      <c r="E72" s="75"/>
      <c r="F72" s="83"/>
      <c r="G72" s="75">
        <f t="shared" si="8"/>
        <v>0</v>
      </c>
      <c r="H72" s="75">
        <f t="shared" si="9"/>
        <v>0</v>
      </c>
      <c r="I72" s="76"/>
      <c r="J72" s="38" t="s">
        <v>5</v>
      </c>
      <c r="K72" s="38" t="s">
        <v>20</v>
      </c>
      <c r="L72" s="38" t="s">
        <v>16</v>
      </c>
    </row>
    <row r="73" spans="1:12" s="48" customFormat="1" ht="14.1" customHeight="1" outlineLevel="3" x14ac:dyDescent="0.25">
      <c r="A73" s="82" t="s">
        <v>6</v>
      </c>
      <c r="B73" s="63" t="s">
        <v>61</v>
      </c>
      <c r="C73" s="74" t="s">
        <v>43</v>
      </c>
      <c r="D73" s="75"/>
      <c r="E73" s="75"/>
      <c r="F73" s="83"/>
      <c r="G73" s="75">
        <f t="shared" si="8"/>
        <v>0</v>
      </c>
      <c r="H73" s="75">
        <f t="shared" si="9"/>
        <v>0</v>
      </c>
      <c r="I73" s="76"/>
      <c r="J73" s="38" t="s">
        <v>5</v>
      </c>
      <c r="K73" s="38" t="s">
        <v>20</v>
      </c>
      <c r="L73" s="38" t="s">
        <v>16</v>
      </c>
    </row>
    <row r="74" spans="1:12" s="58" customFormat="1" ht="14.1" customHeight="1" outlineLevel="2" x14ac:dyDescent="0.25">
      <c r="A74" s="66" t="s">
        <v>7</v>
      </c>
      <c r="B74" s="67" t="s">
        <v>81</v>
      </c>
      <c r="C74" s="68"/>
      <c r="D74" s="69"/>
      <c r="E74" s="69"/>
      <c r="F74" s="69"/>
      <c r="G74" s="69">
        <f>SUBTOTAL(9,G75:G76)</f>
        <v>0</v>
      </c>
      <c r="H74" s="69">
        <f>SUBTOTAL(9,H75:H76)</f>
        <v>0</v>
      </c>
      <c r="I74" s="70"/>
      <c r="J74" s="38"/>
      <c r="K74" s="38"/>
      <c r="L74" s="38"/>
    </row>
    <row r="75" spans="1:12" s="48" customFormat="1" ht="14.1" customHeight="1" outlineLevel="2" x14ac:dyDescent="0.25">
      <c r="A75" s="77" t="s">
        <v>6</v>
      </c>
      <c r="B75" s="63" t="s">
        <v>82</v>
      </c>
      <c r="C75" s="74" t="s">
        <v>83</v>
      </c>
      <c r="D75" s="75"/>
      <c r="E75" s="75"/>
      <c r="F75" s="75"/>
      <c r="G75" s="75">
        <f>F75*D75</f>
        <v>0</v>
      </c>
      <c r="H75" s="75">
        <f>F75*E75</f>
        <v>0</v>
      </c>
      <c r="I75" s="76"/>
      <c r="J75" s="38" t="s">
        <v>5</v>
      </c>
      <c r="K75" s="38" t="s">
        <v>22</v>
      </c>
      <c r="L75" s="38" t="s">
        <v>16</v>
      </c>
    </row>
    <row r="76" spans="1:12" s="48" customFormat="1" ht="14.1" customHeight="1" outlineLevel="2" x14ac:dyDescent="0.25">
      <c r="A76" s="77" t="s">
        <v>6</v>
      </c>
      <c r="B76" s="63" t="s">
        <v>66</v>
      </c>
      <c r="C76" s="74" t="s">
        <v>43</v>
      </c>
      <c r="D76" s="75"/>
      <c r="E76" s="75"/>
      <c r="F76" s="75"/>
      <c r="G76" s="75">
        <f>F76*D76</f>
        <v>0</v>
      </c>
      <c r="H76" s="75">
        <f>F76*E76</f>
        <v>0</v>
      </c>
      <c r="I76" s="76"/>
      <c r="J76" s="38" t="s">
        <v>5</v>
      </c>
      <c r="K76" s="38" t="s">
        <v>22</v>
      </c>
      <c r="L76" s="38" t="s">
        <v>16</v>
      </c>
    </row>
    <row r="77" spans="1:12" s="58" customFormat="1" ht="14.1" customHeight="1" outlineLevel="2" x14ac:dyDescent="0.25">
      <c r="A77" s="66" t="s">
        <v>10</v>
      </c>
      <c r="B77" s="84" t="s">
        <v>84</v>
      </c>
      <c r="C77" s="68"/>
      <c r="D77" s="69"/>
      <c r="E77" s="69"/>
      <c r="F77" s="69"/>
      <c r="G77" s="69">
        <f>SUBTOTAL(9,G78:G88)</f>
        <v>311621</v>
      </c>
      <c r="H77" s="69">
        <f>SUBTOTAL(9,H78:H88)</f>
        <v>477500</v>
      </c>
      <c r="I77" s="76"/>
      <c r="J77" s="38"/>
      <c r="K77" s="38"/>
      <c r="L77" s="38"/>
    </row>
    <row r="78" spans="1:12" s="58" customFormat="1" ht="14.1" customHeight="1" outlineLevel="3" x14ac:dyDescent="0.25">
      <c r="A78" s="66" t="s">
        <v>34</v>
      </c>
      <c r="B78" s="67" t="s">
        <v>85</v>
      </c>
      <c r="C78" s="68"/>
      <c r="D78" s="69"/>
      <c r="E78" s="69"/>
      <c r="F78" s="69"/>
      <c r="G78" s="69">
        <f>SUBTOTAL(9,G79:G85)</f>
        <v>311621</v>
      </c>
      <c r="H78" s="69">
        <f>SUBTOTAL(9,H79:H85)</f>
        <v>477500</v>
      </c>
      <c r="I78" s="70"/>
      <c r="J78" s="57"/>
      <c r="K78" s="57"/>
      <c r="L78" s="57"/>
    </row>
    <row r="79" spans="1:12" s="48" customFormat="1" ht="14.1" customHeight="1" outlineLevel="3" x14ac:dyDescent="0.25">
      <c r="A79" s="66" t="s">
        <v>6</v>
      </c>
      <c r="B79" s="73" t="s">
        <v>86</v>
      </c>
      <c r="C79" s="74" t="s">
        <v>87</v>
      </c>
      <c r="D79" s="75"/>
      <c r="E79" s="75">
        <v>1</v>
      </c>
      <c r="F79" s="75">
        <v>60000</v>
      </c>
      <c r="G79" s="75">
        <f t="shared" ref="G79:G85" si="10">F79*D79</f>
        <v>0</v>
      </c>
      <c r="H79" s="75">
        <f t="shared" ref="H79:H85" si="11">F79*E79</f>
        <v>60000</v>
      </c>
      <c r="I79" s="76"/>
      <c r="J79" s="38" t="s">
        <v>5</v>
      </c>
      <c r="K79" s="38" t="s">
        <v>22</v>
      </c>
      <c r="L79" s="38" t="s">
        <v>16</v>
      </c>
    </row>
    <row r="80" spans="1:12" s="48" customFormat="1" ht="14.1" customHeight="1" outlineLevel="3" x14ac:dyDescent="0.25">
      <c r="A80" s="66" t="s">
        <v>6</v>
      </c>
      <c r="B80" s="73" t="s">
        <v>88</v>
      </c>
      <c r="C80" s="74" t="s">
        <v>87</v>
      </c>
      <c r="D80" s="75"/>
      <c r="E80" s="75">
        <v>1</v>
      </c>
      <c r="F80" s="75">
        <v>300000</v>
      </c>
      <c r="G80" s="75">
        <f t="shared" si="10"/>
        <v>0</v>
      </c>
      <c r="H80" s="75">
        <f t="shared" si="11"/>
        <v>300000</v>
      </c>
      <c r="I80" s="76"/>
      <c r="J80" s="38" t="s">
        <v>5</v>
      </c>
      <c r="K80" s="38" t="s">
        <v>22</v>
      </c>
      <c r="L80" s="38" t="s">
        <v>16</v>
      </c>
    </row>
    <row r="81" spans="1:12" s="48" customFormat="1" ht="14.1" customHeight="1" outlineLevel="2" x14ac:dyDescent="0.25">
      <c r="A81" s="66" t="s">
        <v>6</v>
      </c>
      <c r="B81" s="73" t="s">
        <v>89</v>
      </c>
      <c r="C81" s="74" t="s">
        <v>87</v>
      </c>
      <c r="D81" s="75">
        <v>1</v>
      </c>
      <c r="E81" s="75">
        <v>1</v>
      </c>
      <c r="F81" s="75">
        <v>100000</v>
      </c>
      <c r="G81" s="75">
        <f t="shared" si="10"/>
        <v>100000</v>
      </c>
      <c r="H81" s="75">
        <f t="shared" si="11"/>
        <v>100000</v>
      </c>
      <c r="I81" s="76"/>
      <c r="J81" s="38" t="s">
        <v>5</v>
      </c>
      <c r="K81" s="38" t="s">
        <v>22</v>
      </c>
      <c r="L81" s="38" t="s">
        <v>16</v>
      </c>
    </row>
    <row r="82" spans="1:12" s="48" customFormat="1" ht="14.1" customHeight="1" outlineLevel="2" x14ac:dyDescent="0.25">
      <c r="A82" s="66" t="s">
        <v>6</v>
      </c>
      <c r="B82" s="73" t="s">
        <v>90</v>
      </c>
      <c r="C82" s="74" t="s">
        <v>87</v>
      </c>
      <c r="D82" s="75">
        <v>1</v>
      </c>
      <c r="E82" s="75">
        <v>1</v>
      </c>
      <c r="F82" s="75">
        <v>2500</v>
      </c>
      <c r="G82" s="75">
        <f t="shared" si="10"/>
        <v>2500</v>
      </c>
      <c r="H82" s="75">
        <f t="shared" si="11"/>
        <v>2500</v>
      </c>
      <c r="I82" s="76"/>
      <c r="J82" s="38" t="s">
        <v>5</v>
      </c>
      <c r="K82" s="38" t="s">
        <v>22</v>
      </c>
      <c r="L82" s="38" t="s">
        <v>16</v>
      </c>
    </row>
    <row r="83" spans="1:12" s="48" customFormat="1" ht="14.1" customHeight="1" outlineLevel="2" x14ac:dyDescent="0.25">
      <c r="A83" s="66" t="s">
        <v>6</v>
      </c>
      <c r="B83" s="73" t="s">
        <v>91</v>
      </c>
      <c r="C83" s="74" t="s">
        <v>87</v>
      </c>
      <c r="D83" s="75"/>
      <c r="E83" s="75">
        <v>1</v>
      </c>
      <c r="F83" s="75">
        <v>15000</v>
      </c>
      <c r="G83" s="75">
        <f t="shared" si="10"/>
        <v>0</v>
      </c>
      <c r="H83" s="75">
        <f t="shared" si="11"/>
        <v>15000</v>
      </c>
      <c r="I83" s="76"/>
      <c r="J83" s="38" t="s">
        <v>5</v>
      </c>
      <c r="K83" s="38" t="s">
        <v>22</v>
      </c>
      <c r="L83" s="38" t="s">
        <v>16</v>
      </c>
    </row>
    <row r="84" spans="1:12" s="48" customFormat="1" ht="14.1" customHeight="1" outlineLevel="2" x14ac:dyDescent="0.25">
      <c r="A84" s="66" t="s">
        <v>6</v>
      </c>
      <c r="B84" s="73" t="s">
        <v>92</v>
      </c>
      <c r="C84" s="74" t="s">
        <v>87</v>
      </c>
      <c r="D84" s="75">
        <v>1</v>
      </c>
      <c r="E84" s="75"/>
      <c r="F84" s="75">
        <v>74121</v>
      </c>
      <c r="G84" s="75">
        <f t="shared" si="10"/>
        <v>74121</v>
      </c>
      <c r="H84" s="75">
        <f t="shared" si="11"/>
        <v>0</v>
      </c>
      <c r="I84" s="76"/>
      <c r="J84" s="38" t="s">
        <v>5</v>
      </c>
      <c r="K84" s="38" t="s">
        <v>22</v>
      </c>
      <c r="L84" s="38" t="s">
        <v>16</v>
      </c>
    </row>
    <row r="85" spans="1:12" s="48" customFormat="1" ht="14.1" customHeight="1" outlineLevel="2" x14ac:dyDescent="0.25">
      <c r="A85" s="66" t="s">
        <v>6</v>
      </c>
      <c r="B85" s="73" t="s">
        <v>93</v>
      </c>
      <c r="C85" s="74" t="s">
        <v>94</v>
      </c>
      <c r="D85" s="75">
        <v>1</v>
      </c>
      <c r="E85" s="75"/>
      <c r="F85" s="75">
        <v>135000</v>
      </c>
      <c r="G85" s="75">
        <f t="shared" si="10"/>
        <v>135000</v>
      </c>
      <c r="H85" s="75">
        <f t="shared" si="11"/>
        <v>0</v>
      </c>
      <c r="I85" s="76"/>
      <c r="J85" s="38" t="s">
        <v>5</v>
      </c>
      <c r="K85" s="38" t="s">
        <v>22</v>
      </c>
      <c r="L85" s="38" t="s">
        <v>16</v>
      </c>
    </row>
    <row r="86" spans="1:12" s="58" customFormat="1" ht="14.1" customHeight="1" outlineLevel="3" x14ac:dyDescent="0.25">
      <c r="A86" s="66" t="s">
        <v>40</v>
      </c>
      <c r="B86" s="67" t="s">
        <v>95</v>
      </c>
      <c r="C86" s="80"/>
      <c r="D86" s="69"/>
      <c r="E86" s="69"/>
      <c r="F86" s="85"/>
      <c r="G86" s="69">
        <f>SUBTOTAL(9,G87:G88)</f>
        <v>0</v>
      </c>
      <c r="H86" s="69">
        <f>SUBTOTAL(9,H87:H88)</f>
        <v>0</v>
      </c>
      <c r="I86" s="70"/>
      <c r="J86" s="57"/>
      <c r="K86" s="57"/>
      <c r="L86" s="57"/>
    </row>
    <row r="87" spans="1:12" s="48" customFormat="1" ht="14.1" customHeight="1" outlineLevel="3" x14ac:dyDescent="0.25">
      <c r="A87" s="66" t="s">
        <v>6</v>
      </c>
      <c r="B87" s="73" t="s">
        <v>96</v>
      </c>
      <c r="C87" s="74" t="s">
        <v>43</v>
      </c>
      <c r="D87" s="75"/>
      <c r="E87" s="75"/>
      <c r="F87" s="75"/>
      <c r="G87" s="75">
        <f>F87*D87</f>
        <v>0</v>
      </c>
      <c r="H87" s="75">
        <f>F87*E87</f>
        <v>0</v>
      </c>
      <c r="I87" s="76"/>
      <c r="J87" s="38" t="s">
        <v>5</v>
      </c>
      <c r="K87" s="38" t="s">
        <v>19</v>
      </c>
      <c r="L87" s="38" t="s">
        <v>16</v>
      </c>
    </row>
    <row r="88" spans="1:12" s="48" customFormat="1" ht="27.95" customHeight="1" outlineLevel="3" x14ac:dyDescent="0.25">
      <c r="A88" s="66" t="s">
        <v>6</v>
      </c>
      <c r="B88" s="73" t="s">
        <v>97</v>
      </c>
      <c r="C88" s="74" t="s">
        <v>43</v>
      </c>
      <c r="D88" s="75"/>
      <c r="E88" s="75"/>
      <c r="F88" s="75"/>
      <c r="G88" s="75">
        <f>F88*D88</f>
        <v>0</v>
      </c>
      <c r="H88" s="75">
        <f>F88*E88</f>
        <v>0</v>
      </c>
      <c r="I88" s="76"/>
      <c r="J88" s="38" t="s">
        <v>5</v>
      </c>
      <c r="K88" s="38" t="s">
        <v>25</v>
      </c>
      <c r="L88" s="38" t="s">
        <v>16</v>
      </c>
    </row>
    <row r="89" spans="1:12" s="62" customFormat="1" ht="14.1" customHeight="1" outlineLevel="2" x14ac:dyDescent="0.25">
      <c r="A89" s="70" t="s">
        <v>98</v>
      </c>
      <c r="B89" s="64" t="s">
        <v>26</v>
      </c>
      <c r="C89" s="68"/>
      <c r="D89" s="69"/>
      <c r="E89" s="69"/>
      <c r="F89" s="69"/>
      <c r="G89" s="69">
        <f>SUBTOTAL(9,G90:G93)</f>
        <v>223800</v>
      </c>
      <c r="H89" s="69">
        <f>SUBTOTAL(9,H90:H93)</f>
        <v>223800</v>
      </c>
      <c r="I89" s="69"/>
      <c r="J89" s="60"/>
      <c r="K89" s="61"/>
      <c r="L89" s="61"/>
    </row>
    <row r="90" spans="1:12" s="87" customFormat="1" ht="14.1" customHeight="1" outlineLevel="2" x14ac:dyDescent="0.25">
      <c r="A90" s="82" t="s">
        <v>34</v>
      </c>
      <c r="B90" s="86" t="s">
        <v>99</v>
      </c>
      <c r="C90" s="74" t="s">
        <v>43</v>
      </c>
      <c r="D90" s="75">
        <v>12</v>
      </c>
      <c r="E90" s="75">
        <v>12</v>
      </c>
      <c r="F90" s="75">
        <v>4700</v>
      </c>
      <c r="G90" s="75">
        <f>F90*D90</f>
        <v>56400</v>
      </c>
      <c r="H90" s="75">
        <f>F90*E90</f>
        <v>56400</v>
      </c>
      <c r="I90" s="76"/>
      <c r="J90" s="38" t="s">
        <v>5</v>
      </c>
      <c r="K90" s="61" t="s">
        <v>27</v>
      </c>
      <c r="L90" s="61" t="s">
        <v>16</v>
      </c>
    </row>
    <row r="91" spans="1:12" s="87" customFormat="1" ht="14.1" customHeight="1" outlineLevel="2" x14ac:dyDescent="0.25">
      <c r="A91" s="82" t="s">
        <v>40</v>
      </c>
      <c r="B91" s="86" t="s">
        <v>100</v>
      </c>
      <c r="C91" s="74" t="s">
        <v>43</v>
      </c>
      <c r="D91" s="75">
        <v>15</v>
      </c>
      <c r="E91" s="75">
        <v>15</v>
      </c>
      <c r="F91" s="75">
        <v>3700</v>
      </c>
      <c r="G91" s="75">
        <f>F91*D91</f>
        <v>55500</v>
      </c>
      <c r="H91" s="75">
        <f>F91*E91</f>
        <v>55500</v>
      </c>
      <c r="I91" s="76"/>
      <c r="J91" s="38" t="s">
        <v>5</v>
      </c>
      <c r="K91" s="61" t="s">
        <v>27</v>
      </c>
      <c r="L91" s="61" t="s">
        <v>16</v>
      </c>
    </row>
    <row r="92" spans="1:12" s="87" customFormat="1" ht="14.1" customHeight="1" outlineLevel="2" x14ac:dyDescent="0.25">
      <c r="A92" s="82" t="s">
        <v>44</v>
      </c>
      <c r="B92" s="86" t="s">
        <v>101</v>
      </c>
      <c r="C92" s="74" t="s">
        <v>43</v>
      </c>
      <c r="D92" s="75">
        <v>12</v>
      </c>
      <c r="E92" s="75">
        <v>12</v>
      </c>
      <c r="F92" s="75">
        <v>4700</v>
      </c>
      <c r="G92" s="75">
        <f>F92*D92</f>
        <v>56400</v>
      </c>
      <c r="H92" s="75">
        <f>F92*E92</f>
        <v>56400</v>
      </c>
      <c r="I92" s="76"/>
      <c r="J92" s="38" t="s">
        <v>5</v>
      </c>
      <c r="K92" s="61" t="s">
        <v>27</v>
      </c>
      <c r="L92" s="61" t="s">
        <v>16</v>
      </c>
    </row>
    <row r="93" spans="1:12" s="87" customFormat="1" ht="13.5" customHeight="1" outlineLevel="2" x14ac:dyDescent="0.25">
      <c r="A93" s="82" t="s">
        <v>47</v>
      </c>
      <c r="B93" s="86" t="s">
        <v>102</v>
      </c>
      <c r="C93" s="74" t="s">
        <v>43</v>
      </c>
      <c r="D93" s="75">
        <v>15</v>
      </c>
      <c r="E93" s="75">
        <v>15</v>
      </c>
      <c r="F93" s="75">
        <v>3700</v>
      </c>
      <c r="G93" s="75">
        <f>F93*D93</f>
        <v>55500</v>
      </c>
      <c r="H93" s="75">
        <f>F93*E93</f>
        <v>55500</v>
      </c>
      <c r="I93" s="76"/>
      <c r="J93" s="38" t="s">
        <v>5</v>
      </c>
      <c r="K93" s="61" t="s">
        <v>27</v>
      </c>
      <c r="L93" s="61" t="s">
        <v>16</v>
      </c>
    </row>
  </sheetData>
  <autoFilter ref="A7:Q93"/>
  <dataConsolidate/>
  <mergeCells count="12">
    <mergeCell ref="P1:P7"/>
    <mergeCell ref="A2:B3"/>
    <mergeCell ref="J3:L3"/>
    <mergeCell ref="I4:I7"/>
    <mergeCell ref="A1:I1"/>
    <mergeCell ref="A4:A6"/>
    <mergeCell ref="B4:B6"/>
    <mergeCell ref="C4:C6"/>
    <mergeCell ref="G3:H3"/>
    <mergeCell ref="D4:E5"/>
    <mergeCell ref="F4:F5"/>
    <mergeCell ref="G4:H5"/>
  </mergeCells>
  <pageMargins left="0.4" right="0" top="0.28000000000000003" bottom="0" header="0.1" footer="0"/>
  <pageSetup paperSize="8" scale="85" fitToHeight="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#REF!</xm:f>
          </x14:formula1>
          <xm:sqref>L14 L1:L11</xm:sqref>
        </x14:dataValidation>
        <x14:dataValidation type="list" allowBlank="1" showInputMessage="1" showErrorMessage="1">
          <x14:formula1>
            <xm:f>#REF!</xm:f>
          </x14:formula1>
          <xm:sqref>J1:J16</xm:sqref>
        </x14:dataValidation>
        <x14:dataValidation type="list" allowBlank="1" showInputMessage="1" showErrorMessage="1">
          <x14:formula1>
            <xm:f>#REF!</xm:f>
          </x14:formula1>
          <xm:sqref>K10:K16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PL1.1 ML2027-2028</vt:lpstr>
      <vt:lpstr>'PL1.1 ML2027-2028'!Print_Area</vt:lpstr>
      <vt:lpstr>'PL1.1 ML2027-2028'!Print_Titles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thunm6</dc:creator>
  <cp:lastModifiedBy>hntna</cp:lastModifiedBy>
  <cp:lastPrinted>2026-07-18T15:56:07Z</cp:lastPrinted>
  <dcterms:created xsi:type="dcterms:W3CDTF">2019-10-23T01:10:24Z</dcterms:created>
  <dcterms:modified xsi:type="dcterms:W3CDTF">2026-09-20T06:54:30Z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BMPSD">
    <vt:lpwstr>K</vt:lpwstr>
  </property>
</Properties>
</file>