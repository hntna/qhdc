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D:\Workspace\QHDC3\"/>
    </mc:Choice>
  </mc:AlternateContent>
  <bookViews>
    <workbookView xWindow="8490" yWindow="0" windowWidth="19200" windowHeight="7050" tabRatio="659" activeTab="4"/>
  </bookViews>
  <sheets>
    <sheet name="PL1.1 ML2027-2028" sheetId="1" r:id="rId1"/>
    <sheet name="TH theo DV" sheetId="14" r:id="rId2"/>
    <sheet name="TH theo Mảng" sheetId="20" r:id="rId3"/>
    <sheet name="TH theo Dịch vụ" sheetId="21" r:id="rId4"/>
    <sheet name="So sanh CL" sheetId="22" r:id="rId5"/>
    <sheet name="PL1.2 TH theo mục đích" sheetId="18" state="hidden" r:id="rId6"/>
    <sheet name="PL1.3 Buc tranh sau QH" sheetId="4" state="hidden" r:id="rId7"/>
    <sheet name="Mã" sheetId="15" state="hidden" r:id="rId8"/>
  </sheets>
  <definedNames>
    <definedName name="\p">#REF!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oi1">#REF!</definedName>
    <definedName name="__boi2">#REF!</definedName>
    <definedName name="__CON1">#REF!</definedName>
    <definedName name="__CON2">#REF!</definedName>
    <definedName name="__cpd1">#REF!</definedName>
    <definedName name="__cpd2">#REF!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lap1">#REF!</definedName>
    <definedName name="__lap2">#REF!</definedName>
    <definedName name="__nc151">#REF!</definedName>
    <definedName name="__NET2">#REF!</definedName>
    <definedName name="__NSO2" hidden="1">{"'Sheet1'!$L$16"}</definedName>
    <definedName name="__SHR1">#REF!</definedName>
    <definedName name="__SHR2">#REF!</definedName>
    <definedName name="__tax1">#REF!</definedName>
    <definedName name="__tax2">#REF!</definedName>
    <definedName name="__tax3">#REF!</definedName>
    <definedName name="__tax4">#REF!</definedName>
    <definedName name="__tct5">#REF!</definedName>
    <definedName name="__tg427">#REF!</definedName>
    <definedName name="__TH20">#REF!</definedName>
    <definedName name="_1">#REF!</definedName>
    <definedName name="_1000A01">#REF!</definedName>
    <definedName name="_2">#REF!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TT_REG_DCOM_3G">#REF!</definedName>
    <definedName name="_ATT_REG_MI_3G">#REF!</definedName>
    <definedName name="_ATT_REG_voice_2G">#REF!</definedName>
    <definedName name="_ATT_REG_voice_3G">#REF!</definedName>
    <definedName name="_boi1">#REF!</definedName>
    <definedName name="_boi2">#REF!</definedName>
    <definedName name="_C_Lphi_4ab">#REF!</definedName>
    <definedName name="_chk1">#REF!</definedName>
    <definedName name="_CON1">#REF!</definedName>
    <definedName name="_CON2">#REF!</definedName>
    <definedName name="_cpd1">#REF!</definedName>
    <definedName name="_cpd2">#REF!</definedName>
    <definedName name="_CPhi_Bhiem">#REF!</definedName>
    <definedName name="_CPhi_BQLDA">#REF!</definedName>
    <definedName name="_CPhi_DBaoGT">#REF!</definedName>
    <definedName name="_CPhi_Kdinh">#REF!</definedName>
    <definedName name="_CPhi_Nthu_KThanh">#REF!</definedName>
    <definedName name="_CPhi_QToan">#REF!</definedName>
    <definedName name="_CPhiTKe_13">#REF!</definedName>
    <definedName name="_cs805">#REF!</definedName>
    <definedName name="_d2">#REF!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Fill" localSheetId="0" hidden="1">#REF!</definedName>
    <definedName name="_Fill" hidden="1">#REF!</definedName>
    <definedName name="_xlnm._FilterDatabase" localSheetId="0" hidden="1">'PL1.1 ML2027-2028'!$A$7:$Q$16</definedName>
    <definedName name="_xlnm._FilterDatabase" localSheetId="5" hidden="1">'PL1.2 TH theo mục đích'!$A$5:$K$57</definedName>
    <definedName name="_xlnm._FilterDatabase" localSheetId="6" hidden="1">'PL1.3 Buc tranh sau QH'!$A$3:$G$29</definedName>
    <definedName name="_xlnm._FilterDatabase" hidden="1">#REF!</definedName>
    <definedName name="_H500866">#REF!</definedName>
    <definedName name="_kbps_sub_ATT_DCOM_3G">#REF!</definedName>
    <definedName name="_kbps_sub_ATT_MI_3G">#REF!</definedName>
    <definedName name="_Key1" localSheetId="0" hidden="1">#REF!</definedName>
    <definedName name="_Key1" hidden="1">#REF!</definedName>
    <definedName name="_Key2" localSheetId="0" hidden="1">#REF!</definedName>
    <definedName name="_Key2" hidden="1">#REF!</definedName>
    <definedName name="_lap1">#REF!</definedName>
    <definedName name="_lap2">#REF!</definedName>
    <definedName name="_mErl_sub_ATT_voice_2G">#REF!</definedName>
    <definedName name="_mErl_sub_ATT_voice_3G">#REF!</definedName>
    <definedName name="_n23" localSheetId="0" hidden="1">{"'Sheet1'!$L$16"}</definedName>
    <definedName name="_n23" hidden="1">{"'Sheet1'!$L$16"}</definedName>
    <definedName name="_NET2">#REF!</definedName>
    <definedName name="_NSO2" localSheetId="0" hidden="1">{"'Sheet1'!$L$16"}</definedName>
    <definedName name="_NSO2" hidden="1">{"'Sheet1'!$L$16"}</definedName>
    <definedName name="_Order1" hidden="1">255</definedName>
    <definedName name="_Order2" hidden="1">255</definedName>
    <definedName name="_SHR1">#REF!</definedName>
    <definedName name="_SHR2">#REF!</definedName>
    <definedName name="_Sort" localSheetId="0" hidden="1">#REF!</definedName>
    <definedName name="_Sort" hidden="1">#REF!</definedName>
    <definedName name="_T8" localSheetId="0" hidden="1">{"'Sheet1'!$L$16"}</definedName>
    <definedName name="_T8" hidden="1">{"'Sheet1'!$L$16"}</definedName>
    <definedName name="_tax1">#REF!</definedName>
    <definedName name="_tax2">#REF!</definedName>
    <definedName name="_tax3">#REF!</definedName>
    <definedName name="_tax4">#REF!</definedName>
    <definedName name="_tct5">#REF!</definedName>
    <definedName name="_TDT35">#REF!</definedName>
    <definedName name="_tg427">#REF!</definedName>
    <definedName name="_TH20">#REF!</definedName>
    <definedName name="_Tỉ_lệ_peak_GD_ngày_max">#REF!</definedName>
    <definedName name="A">#REF!</definedName>
    <definedName name="a.">#REF!</definedName>
    <definedName name="A01_">#REF!</definedName>
    <definedName name="A01AC">#REF!</definedName>
    <definedName name="A01CAT">#REF!</definedName>
    <definedName name="A01CODE">#REF!</definedName>
    <definedName name="A01DATA">#REF!</definedName>
    <definedName name="A01MI">#REF!</definedName>
    <definedName name="A01TO">#REF!</definedName>
    <definedName name="a277Print_Titles">#REF!</definedName>
    <definedName name="A372m372">#REF!</definedName>
    <definedName name="AA">#REF!</definedName>
    <definedName name="AAA_DOCTOPS" hidden="1">"AAA_SET"</definedName>
    <definedName name="AAA_duser" hidden="1">"OFF"</definedName>
    <definedName name="aaaa">#REF!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dd" localSheetId="0" hidden="1">{"'Sheet1'!$L$16"}</definedName>
    <definedName name="aadd" hidden="1">{"'Sheet1'!$L$16"}</definedName>
    <definedName name="aass" localSheetId="0" hidden="1">{"'Sheet1'!$L$16"}</definedName>
    <definedName name="aass" hidden="1">{"'Sheet1'!$L$16"}</definedName>
    <definedName name="ac">#REF!</definedName>
    <definedName name="ádfg" localSheetId="0" hidden="1">{"'Sheet1'!$L$16"}</definedName>
    <definedName name="ádfg" hidden="1">{"'Sheet1'!$L$16"}</definedName>
    <definedName name="AirportVisitors">#REF!</definedName>
    <definedName name="AirportVisitorsS">#REF!</definedName>
    <definedName name="All_Item">#REF!</definedName>
    <definedName name="ALPIN">#REF!</definedName>
    <definedName name="ALPJYOU">#REF!</definedName>
    <definedName name="ALPTOI">#REF!</definedName>
    <definedName name="amiang">#REF!</definedName>
    <definedName name="anscount" hidden="1">8</definedName>
    <definedName name="As_">#REF!</definedName>
    <definedName name="AS2DocOpenMode" hidden="1">"AS2DocumentEdit"</definedName>
    <definedName name="AU" localSheetId="0" hidden="1">{"'Sheet1'!$L$16"}</definedName>
    <definedName name="AU" hidden="1">{"'Sheet1'!$L$16"}</definedName>
    <definedName name="Av">#REF!</definedName>
    <definedName name="b_eh">#REF!</definedName>
    <definedName name="b_eh1">#REF!</definedName>
    <definedName name="b_ev">#REF!</definedName>
    <definedName name="b_ev1">#REF!</definedName>
    <definedName name="b_FR">#REF!</definedName>
    <definedName name="b_fr1">#REF!</definedName>
    <definedName name="b_LL">#REF!</definedName>
    <definedName name="b_ll1">#REF!</definedName>
    <definedName name="b_WL">#REF!</definedName>
    <definedName name="b_WL1">#REF!</definedName>
    <definedName name="b_WS">#REF!</definedName>
    <definedName name="b_ws1">#REF!</definedName>
    <definedName name="b3_">#REF!</definedName>
    <definedName name="b4_">#REF!</definedName>
    <definedName name="Bang_cly">#REF!</definedName>
    <definedName name="Bang_CVC">#REF!</definedName>
    <definedName name="bang_gia">#REF!</definedName>
    <definedName name="Bang_travl">#REF!</definedName>
    <definedName name="bangtinh">#REF!</definedName>
    <definedName name="BarData">#REF!</definedName>
    <definedName name="BB">#REF!</definedName>
    <definedName name="bchcj">#REF!</definedName>
    <definedName name="bchvch">#REF!</definedName>
    <definedName name="Bcuc">#REF!</definedName>
    <definedName name="bdd">1.5</definedName>
    <definedName name="BL">"$A$1:$f$11"</definedName>
    <definedName name="blang">#REF!</definedName>
    <definedName name="blong">#REF!</definedName>
    <definedName name="bn">#REF!</definedName>
    <definedName name="BO" localSheetId="0" hidden="1">{"'Sheet1'!$L$16"}</definedName>
    <definedName name="BO" hidden="1">{"'Sheet1'!$L$16"}</definedName>
    <definedName name="BOQ">#REF!</definedName>
    <definedName name="boxes">#REF!</definedName>
    <definedName name="bson">#REF!</definedName>
    <definedName name="BT">#REF!</definedName>
    <definedName name="btai">#REF!</definedName>
    <definedName name="btham">#REF!</definedName>
    <definedName name="btong">#REF!</definedName>
    <definedName name="button_area_1">#REF!</definedName>
    <definedName name="bv">#REF!</definedName>
    <definedName name="BVCISUMMARY">#REF!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#REF!</definedName>
    <definedName name="c5.">#REF!</definedName>
    <definedName name="CACAU">1415247</definedName>
    <definedName name="cap">#REF!</definedName>
    <definedName name="cap0.7">#REF!</definedName>
    <definedName name="Category_All">#REF!</definedName>
    <definedName name="CATIN">#REF!</definedName>
    <definedName name="CATJYOU">#REF!</definedName>
    <definedName name="CATREC">#REF!</definedName>
    <definedName name="CATSYU">#REF!</definedName>
    <definedName name="CC">#REF!</definedName>
    <definedName name="CCT">#REF!</definedName>
    <definedName name="cd">#REF!</definedName>
    <definedName name="CDB">#REF!</definedName>
    <definedName name="cdn">#REF!</definedName>
    <definedName name="CDR">#REF!</definedName>
    <definedName name="celltips_area">#REF!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k">#REF!</definedName>
    <definedName name="Chøng_tõ">#REF!</definedName>
    <definedName name="Chtinh">#REF!</definedName>
    <definedName name="chuc1">#REF!</definedName>
    <definedName name="CL">#REF!</definedName>
    <definedName name="CLVL">#REF!</definedName>
    <definedName name="CNC">#REF!</definedName>
    <definedName name="CND">#REF!</definedName>
    <definedName name="CNG">#REF!</definedName>
    <definedName name="Co">#REF!</definedName>
    <definedName name="coc">#REF!</definedName>
    <definedName name="coldex">#REF!</definedName>
    <definedName name="COMMON">#REF!</definedName>
    <definedName name="CON_EQP_COS">#REF!</definedName>
    <definedName name="CON_EQP_COST">#REF!</definedName>
    <definedName name="Cong_HM_DTCT">#REF!</definedName>
    <definedName name="Cong_M_DTCT">#REF!</definedName>
    <definedName name="Cong_NC_DTCT">#REF!</definedName>
    <definedName name="Cong_VL_DTCT">#REF!</definedName>
    <definedName name="CONGTIEN">#REF!</definedName>
    <definedName name="CONST_EQ">#REF!</definedName>
    <definedName name="COT">#REF!</definedName>
    <definedName name="COVER">#REF!</definedName>
    <definedName name="CPC">#REF!</definedName>
    <definedName name="cpdd1">#REF!</definedName>
    <definedName name="cpdd2">#REF!</definedName>
    <definedName name="CRITINST">#REF!</definedName>
    <definedName name="CRITPURC">#REF!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tiep">#REF!</definedName>
    <definedName name="ctmai">#REF!</definedName>
    <definedName name="CTO">#REF!</definedName>
    <definedName name="ctong">#REF!</definedName>
    <definedName name="ctre">#REF!</definedName>
    <definedName name="CU_LY">#REF!</definedName>
    <definedName name="cui">#REF!</definedName>
    <definedName name="cuoc_vc">#REF!</definedName>
    <definedName name="CURRENCY">#REF!</definedName>
    <definedName name="cx">#REF!</definedName>
    <definedName name="d_">#REF!</definedName>
    <definedName name="D_7101A_B">#REF!</definedName>
    <definedName name="d1_">#REF!</definedName>
    <definedName name="d2_">#REF!</definedName>
    <definedName name="d3_">#REF!</definedName>
    <definedName name="d4_">#REF!</definedName>
    <definedName name="d5_">#REF!</definedName>
    <definedName name="DAILATHANH" localSheetId="0" hidden="1">{"'Sheet1'!$L$16"}</definedName>
    <definedName name="DAILATHANH" hidden="1">{"'Sheet1'!$L$16"}</definedName>
    <definedName name="dapdbm1">#REF!</definedName>
    <definedName name="dapdbm2">#REF!</definedName>
    <definedName name="DAT">#REF!</definedName>
    <definedName name="data">#REF!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8">#REF!</definedName>
    <definedName name="data9">#REF!</definedName>
    <definedName name="_xlnm.Database">#REF!</definedName>
    <definedName name="datak">#REF!</definedName>
    <definedName name="datal">#REF!</definedName>
    <definedName name="db">#REF!</definedName>
    <definedName name="dc">#REF!</definedName>
    <definedName name="dche">#REF!</definedName>
    <definedName name="dd4x6">#REF!</definedName>
    <definedName name="ddabm">#REF!</definedName>
    <definedName name="dday">#REF!</definedName>
    <definedName name="ddbm500">#REF!</definedName>
    <definedName name="dden">#REF!</definedName>
    <definedName name="ddia">#REF!</definedName>
    <definedName name="DDK">#REF!</definedName>
    <definedName name="de">#REF!</definedName>
    <definedName name="den_bu">#REF!</definedName>
    <definedName name="denbu">#REF!</definedName>
    <definedName name="Det40x4">#REF!</definedName>
    <definedName name="Det50x5">#REF!</definedName>
    <definedName name="Det63x6">#REF!</definedName>
    <definedName name="Det75x6">#REF!</definedName>
    <definedName name="df">#REF!</definedName>
    <definedName name="dfg" hidden="1">{"'Sheet1'!$L$16"}</definedName>
    <definedName name="dfgdf">#REF!</definedName>
    <definedName name="dfgdfggf">#REF!</definedName>
    <definedName name="dflk">#REF!</definedName>
    <definedName name="dflt1">#REF!</definedName>
    <definedName name="dflt2">#REF!</definedName>
    <definedName name="dflt3">#REF!</definedName>
    <definedName name="dflt4">#REF!</definedName>
    <definedName name="dflt5">#REF!</definedName>
    <definedName name="dflt6">#REF!</definedName>
    <definedName name="dflt7">#REF!</definedName>
    <definedName name="dg">#REF!</definedName>
    <definedName name="DGCS">33500</definedName>
    <definedName name="DGCTI592">#REF!</definedName>
    <definedName name="dh">#REF!</definedName>
    <definedName name="dien">#REF!</definedName>
    <definedName name="dim">#REF!</definedName>
    <definedName name="display_area_1">#REF!</definedName>
    <definedName name="display_area_2">#REF!</definedName>
    <definedName name="Dist">#REF!</definedName>
    <definedName name="dmdv">#REF!</definedName>
    <definedName name="DMHH">#REF!</definedName>
    <definedName name="dmoi">#REF!</definedName>
    <definedName name="DN">#REF!</definedName>
    <definedName name="DÑt45x4">#REF!</definedName>
    <definedName name="DOANH_SO">#REF!</definedName>
    <definedName name="Doanh_thu">#REF!</definedName>
    <definedName name="dobt">#REF!</definedName>
    <definedName name="Document_array">{"ONGNGOAINHA.xls","Sheet1"}</definedName>
    <definedName name="dong" localSheetId="0" hidden="1">{"'Sheet1'!$L$16"}</definedName>
    <definedName name="dong" hidden="1">{"'Sheet1'!$L$16"}</definedName>
    <definedName name="drda">#REF!</definedName>
    <definedName name="drdat">#REF!</definedName>
    <definedName name="DSUMDATA">#REF!</definedName>
    <definedName name="DTBH">#REF!</definedName>
    <definedName name="DUCKY_CO_CD">#REF!</definedName>
    <definedName name="DUCKY_NO_CD">#REF!</definedName>
    <definedName name="DUDKY_CO_CD">#REF!</definedName>
    <definedName name="DUDKY_NO_CD">#REF!</definedName>
    <definedName name="dxd">#REF!</definedName>
    <definedName name="e">13</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FACTOR">#REF!</definedName>
    <definedName name="Fax">#REF!</definedName>
    <definedName name="Fay">#REF!</definedName>
    <definedName name="fy_">#REF!</definedName>
    <definedName name="g">2</definedName>
    <definedName name="gd">#REF!</definedName>
    <definedName name="gd.">#REF!</definedName>
    <definedName name="GDL">#REF!</definedName>
    <definedName name="ghichu">#REF!</definedName>
    <definedName name="gi">0.4</definedName>
    <definedName name="Gia_tien">#REF!</definedName>
    <definedName name="gia_tien_BTN">#REF!</definedName>
    <definedName name="GiaKHUSD" comment="Giá gói thầu theo KHLCNT USD">#REF!</definedName>
    <definedName name="GiaKHVND" comment="Giá gói thầu theo KHLCNT (VND)">#REF!</definedName>
    <definedName name="gjj">#REF!</definedName>
    <definedName name="gld">#REF!</definedName>
    <definedName name="GLL">#REF!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rB">#REF!</definedName>
    <definedName name="GTXL">#REF!</definedName>
    <definedName name="gxm">#REF!</definedName>
    <definedName name="h" hidden="1">{"'Sheet1'!$L$16"}</definedName>
    <definedName name="Ha">#REF!</definedName>
    <definedName name="ha.">#REF!</definedName>
    <definedName name="haichau6">#REF!</definedName>
    <definedName name="hb.">#REF!</definedName>
    <definedName name="hc.">#REF!</definedName>
    <definedName name="HCM">#REF!</definedName>
    <definedName name="hg">#REF!</definedName>
    <definedName name="hgj">#REF!</definedName>
    <definedName name="HH">#REF!</definedName>
    <definedName name="hien">#REF!</definedName>
    <definedName name="Hinhthuc">#REF!</definedName>
    <definedName name="hnhnhn" localSheetId="0" hidden="1">{"'Sheet1'!$L$16"}</definedName>
    <definedName name="hnhnhn" hidden="1">{"'Sheet1'!$L$16"}</definedName>
    <definedName name="ho">#REF!</definedName>
    <definedName name="hoa" localSheetId="0" hidden="1">{"'Sheet1'!$L$16"}</definedName>
    <definedName name="hoa" hidden="1">{"'Sheet1'!$L$16"}</definedName>
    <definedName name="HOME_MANP">#REF!</definedName>
    <definedName name="HOMEOFFICE_COST">#REF!</definedName>
    <definedName name="hsn">0.5</definedName>
    <definedName name="HSPCKV">0.3</definedName>
    <definedName name="HT">#REF!</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huynhhaichau">#REF!</definedName>
    <definedName name="i">1.11</definedName>
    <definedName name="IDLAB_COST">#REF!</definedName>
    <definedName name="IND_LAB">#REF!</definedName>
    <definedName name="INDMANP">#REF!</definedName>
    <definedName name="K">#REF!</definedName>
    <definedName name="k..">#REF!</definedName>
    <definedName name="KA">#REF!</definedName>
    <definedName name="ka.">#REF!</definedName>
    <definedName name="KAE">#REF!</definedName>
    <definedName name="kcong">#REF!</definedName>
    <definedName name="kdien">#REF!</definedName>
    <definedName name="KhuyenmaiUPS">"AutoShape 264"</definedName>
    <definedName name="kiem">#REF!</definedName>
    <definedName name="Kiem_tra_trung_ten">#REF!</definedName>
    <definedName name="kk">0.8</definedName>
    <definedName name="kl">#REF!</definedName>
    <definedName name="KPC">0.7</definedName>
    <definedName name="kstk">#REF!</definedName>
    <definedName name="KVC">#REF!</definedName>
    <definedName name="l">4.584</definedName>
    <definedName name="lai" localSheetId="0" hidden="1">{"'Sheet1'!$L$16"}</definedName>
    <definedName name="lai" hidden="1">{"'Sheet1'!$L$16"}</definedName>
    <definedName name="LAMTHEM">#REF!</definedName>
    <definedName name="Lb">#REF!</definedName>
    <definedName name="Lf">#REF!</definedName>
    <definedName name="LgL">#REF!</definedName>
    <definedName name="lk" localSheetId="0" hidden="1">{"'Sheet1'!$L$16"}</definedName>
    <definedName name="lk" hidden="1">{"'Sheet1'!$L$16"}</definedName>
    <definedName name="LLs">#REF!</definedName>
    <definedName name="LN">#REF!</definedName>
    <definedName name="LOC">#REF!</definedName>
    <definedName name="Log_Normal_Fade_Margin">#REF!</definedName>
    <definedName name="long">#REF!</definedName>
    <definedName name="Lop">#REF!</definedName>
    <definedName name="LTR">#REF!</definedName>
    <definedName name="ltre">#REF!</definedName>
    <definedName name="Luanthanh">#REF!</definedName>
    <definedName name="LUONG">#REF!</definedName>
    <definedName name="lVC">#REF!</definedName>
    <definedName name="m" hidden="1">{"'Sheet1'!$L$16"}</definedName>
    <definedName name="M0.4">#REF!</definedName>
    <definedName name="MAJ_CON_EQP">#REF!</definedName>
    <definedName name="Masterlist_CNTT" hidden="1">#REF!</definedName>
    <definedName name="Masterlist_ML" hidden="1">#REF!</definedName>
    <definedName name="matit">#REF!</definedName>
    <definedName name="MATK">#REF!</definedName>
    <definedName name="MATK_CD">#REF!</definedName>
    <definedName name="MATK_M">#REF!</definedName>
    <definedName name="MC">#REF!</definedName>
    <definedName name="me">#REF!</definedName>
    <definedName name="MG_A">#REF!</definedName>
    <definedName name="minh1">#REF!</definedName>
    <definedName name="ML">#REF!</definedName>
    <definedName name="MN">#REF!</definedName>
    <definedName name="mncvhjkhj" localSheetId="0" hidden="1">{"'Sheet1'!$L$16"}</definedName>
    <definedName name="mncvhjkhj" hidden="1">{"'Sheet1'!$L$16"}</definedName>
    <definedName name="MUN">#REF!</definedName>
    <definedName name="n1_">#REF!</definedName>
    <definedName name="n2_">#REF!</definedName>
    <definedName name="n3_">#REF!</definedName>
    <definedName name="n4_">#REF!</definedName>
    <definedName name="ncb">#N/A</definedName>
    <definedName name="NCcap0.7">#REF!</definedName>
    <definedName name="NCcap1">#REF!</definedName>
    <definedName name="NCKT">#REF!</definedName>
    <definedName name="NDemand01">#REF!</definedName>
    <definedName name="NDemand02">#REF!</definedName>
    <definedName name="NDemand03">#REF!</definedName>
    <definedName name="Néi_dung">#REF!</definedName>
    <definedName name="NET">#REF!</definedName>
    <definedName name="NET_1">#REF!</definedName>
    <definedName name="NET_ANA">#REF!</definedName>
    <definedName name="NET_ANA_1">#REF!</definedName>
    <definedName name="NET_ANA_2">#REF!</definedName>
    <definedName name="Ng_y__i">#REF!</definedName>
    <definedName name="ngau">#REF!</definedName>
    <definedName name="Ngay_BC.KQ_1" comment="Ngày báo cáo Hội đồng kết quả tài chính (2 túi HS)/KQ gói thầu (1 túi HS) lần 1">#REF!</definedName>
    <definedName name="Ngay_BC_KT_1" comment="Ngày báo cáo hội đồng KQ kỹ thuật lần 1">#REF!</definedName>
    <definedName name="Ngay_dong_thau">#REF!</definedName>
    <definedName name="Ngay_hoan.thanh_KQ">#REF!</definedName>
    <definedName name="Ngay_hoan.thanh_KT">#REF!</definedName>
    <definedName name="Ngay_mo_HSDX.TC">#REF!</definedName>
    <definedName name="Ngay_phat_hanh" comment="Ngày phát hành hồ sơ">#REF!</definedName>
    <definedName name="Ngay_thong.qua_KQ">#REF!</definedName>
    <definedName name="Ngay_thong.qua_KT">#REF!</definedName>
    <definedName name="NGAYCTU_B">#REF!</definedName>
    <definedName name="NGHI">#REF!</definedName>
    <definedName name="NH">#REF!</definedName>
    <definedName name="Nhancong">#REF!</definedName>
    <definedName name="NHANTIEN">#REF!</definedName>
    <definedName name="nhap1">#N/A</definedName>
    <definedName name="nhap2">#N/A</definedName>
    <definedName name="nhapcb">#N/A</definedName>
    <definedName name="NhNgam">#REF!</definedName>
    <definedName name="NHot">#REF!</definedName>
    <definedName name="NhTreo">#REF!</definedName>
    <definedName name="nhua">#REF!</definedName>
    <definedName name="nm" localSheetId="0" hidden="1">{"'Sheet1'!$L$16"}</definedName>
    <definedName name="nm" hidden="1">{"'Sheet1'!$L$16"}</definedName>
    <definedName name="nn">1.15</definedName>
    <definedName name="No">#REF!</definedName>
    <definedName name="NOCU">#REF!</definedName>
    <definedName name="NS">#REF!</definedName>
    <definedName name="NvsASD">"V1995-11-24"</definedName>
    <definedName name="NvsAutoDrillOk">"VN"</definedName>
    <definedName name="NvsElapsedTime">0.000677083335176576</definedName>
    <definedName name="NvsEndTime">35083.4744131944</definedName>
    <definedName name="NvsInstSpec">"%"</definedName>
    <definedName name="NvsLayoutType">"M3"</definedName>
    <definedName name="NvsNplSpec">"%,X,RZF..,CZF.."</definedName>
    <definedName name="NvsPanelEffdt">"V1995-11-24"</definedName>
    <definedName name="NvsPanelSetid">"VMODEL"</definedName>
    <definedName name="NvsReqBU">"VMODEL"</definedName>
    <definedName name="NvsReqBUOnly">"VN"</definedName>
    <definedName name="NvsTransLed">"VN"</definedName>
    <definedName name="NvsTreeASD">"V1995-11-24"</definedName>
    <definedName name="NvsValTbl.OFFCENTER_CHG">"OFFDEPT_CHG_VAL"</definedName>
    <definedName name="p2_">#REF!</definedName>
    <definedName name="PA">#REF!</definedName>
    <definedName name="Phuongthuc" comment="Phương thức lựa chọn nhà thầu">#REF!</definedName>
    <definedName name="PK">#REF!</definedName>
    <definedName name="PRICE">#REF!</definedName>
    <definedName name="PRICE1">#REF!</definedName>
    <definedName name="_xlnm.Print_Area" localSheetId="0">'PL1.1 ML2027-2028'!$A$1:$I$10</definedName>
    <definedName name="_xlnm.Print_Area" localSheetId="5">'PL1.2 TH theo mục đích'!$A$1:$J$58</definedName>
    <definedName name="_xlnm.Print_Area" localSheetId="6">'PL1.3 Buc tranh sau QH'!$A$1:$F$29</definedName>
    <definedName name="_xlnm.Print_Area">#REF!</definedName>
    <definedName name="PRINT_AREA_MI">#REF!</definedName>
    <definedName name="_xlnm.Print_Titles" localSheetId="0">'PL1.1 ML2027-2028'!$4:$7</definedName>
    <definedName name="_xlnm.Print_Titles" localSheetId="5">'PL1.2 TH theo mục đích'!$3:$4</definedName>
    <definedName name="_xlnm.Print_Titles" localSheetId="6">'PL1.3 Buc tranh sau QH'!$3:$3</definedName>
    <definedName name="_xlnm.Print_Titles">#N/A</definedName>
    <definedName name="PRINT_TITLES_MI">#REF!</definedName>
    <definedName name="PRINTA">#REF!</definedName>
    <definedName name="PRINTB">#REF!</definedName>
    <definedName name="PRINTC">#REF!</definedName>
    <definedName name="PROPOSAL">#REF!</definedName>
    <definedName name="PSCO_CD">#REF!</definedName>
    <definedName name="PSNO_CD">#REF!</definedName>
    <definedName name="pt">#REF!</definedName>
    <definedName name="PT_Duong">#REF!</definedName>
    <definedName name="ptdg">#REF!</definedName>
    <definedName name="PTDG_cau">#REF!</definedName>
    <definedName name="ptdg_cong">#REF!</definedName>
    <definedName name="ptdg_duong">#REF!</definedName>
    <definedName name="qh">#REF!</definedName>
    <definedName name="ql">#REF!</definedName>
    <definedName name="qp">#REF!</definedName>
    <definedName name="qtebt">#REF!</definedName>
    <definedName name="Query1">#REF!</definedName>
    <definedName name="qx">#REF!</definedName>
    <definedName name="qy">#REF!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#REF!</definedName>
    <definedName name="rang1">#REF!</definedName>
    <definedName name="range">#REF!</definedName>
    <definedName name="Rate">14563</definedName>
    <definedName name="re" hidden="1">{"'Sheet1'!$L$16"}</definedName>
    <definedName name="RECOUT">#REF!</definedName>
    <definedName name="REPORT01">#REF!</definedName>
    <definedName name="REPORT02">#REF!</definedName>
    <definedName name="RFP003A">#REF!</definedName>
    <definedName name="RFP003B">#REF!</definedName>
    <definedName name="RFP003C">#REF!</definedName>
    <definedName name="RFP003D">#REF!</definedName>
    <definedName name="RFP003E">#REF!</definedName>
    <definedName name="RFP003F">#REF!</definedName>
    <definedName name="rnp">32</definedName>
    <definedName name="s1_">#REF!</definedName>
    <definedName name="s2_">#REF!</definedName>
    <definedName name="s3_">#REF!</definedName>
    <definedName name="s4_">#REF!</definedName>
    <definedName name="SCCR">#REF!</definedName>
    <definedName name="scdk">#REF!</definedName>
    <definedName name="scdl">#REF!</definedName>
    <definedName name="SCDT">#REF!</definedName>
    <definedName name="SCH">#REF!</definedName>
    <definedName name="sctdl">#REF!</definedName>
    <definedName name="sctqdl">#REF!</definedName>
    <definedName name="SDemand02">#REF!</definedName>
    <definedName name="SDemand03">#REF!</definedName>
    <definedName name="sencount" hidden="1">1</definedName>
    <definedName name="Shoes">#REF!</definedName>
    <definedName name="SIZE">#REF!</definedName>
    <definedName name="SL">#REF!</definedName>
    <definedName name="slk">#REF!</definedName>
    <definedName name="sll">#REF!</definedName>
    <definedName name="SOCTU_NK_BH">#REF!</definedName>
    <definedName name="Soi">#REF!</definedName>
    <definedName name="SORT">#REF!</definedName>
    <definedName name="SOTIEN_B">#REF!</definedName>
    <definedName name="SOTIEN_CO_NK">#REF!</definedName>
    <definedName name="SOTIEN_NO_NK">#REF!</definedName>
    <definedName name="SPEC">#REF!</definedName>
    <definedName name="SPECSUMMARY">#REF!</definedName>
    <definedName name="spk">#REF!</definedName>
    <definedName name="SS">#REF!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d.">#REF!</definedName>
    <definedName name="stop" localSheetId="0" hidden="1">{0}</definedName>
    <definedName name="stop" hidden="1">{0}</definedName>
    <definedName name="STT_NC">#REF!</definedName>
    <definedName name="STT_NCT">#REF!</definedName>
    <definedName name="STT_PH">#REF!</definedName>
    <definedName name="SU">#REF!</definedName>
    <definedName name="sua" localSheetId="0" hidden="1">{"'Sheet1'!$L$16"}</definedName>
    <definedName name="sua" hidden="1">{"'Sheet1'!$L$16"}</definedName>
    <definedName name="SUM">#REF!,#REF!</definedName>
    <definedName name="SUMMARY">#REF!</definedName>
    <definedName name="T">#REF!</definedName>
    <definedName name="TAMUNG">#REF!</definedName>
    <definedName name="TaxTV">10%</definedName>
    <definedName name="TaxXL">10%</definedName>
    <definedName name="TBA">#REF!</definedName>
    <definedName name="tc">#REF!</definedName>
    <definedName name="TD">#REF!</definedName>
    <definedName name="tdo">#REF!</definedName>
    <definedName name="tdt">#REF!</definedName>
    <definedName name="TenNgam">#REF!</definedName>
    <definedName name="TenTreo">#REF!</definedName>
    <definedName name="ter">#REF!</definedName>
    <definedName name="THCTO">#REF!</definedName>
    <definedName name="thdt">#REF!</definedName>
    <definedName name="thepma">30408</definedName>
    <definedName name="thepmaBL">34500</definedName>
    <definedName name="thepmacl">34500</definedName>
    <definedName name="THI">#REF!</definedName>
    <definedName name="thinh">#REF!</definedName>
    <definedName name="Thoi_gian_BC_KT" comment="Thời gian từ ngày ra b/c KT tới ngày được hội đồng thông qua KQ kỹ thuật">#REF!</definedName>
    <definedName name="Thoi_gian_D.G_KT" comment="Thời gian hoàn thành đánh giá HSĐX kỹ thuật từ ngày đóng thầu tới ngày TCG trình báo cáo KQ đánh giá KT lên HĐ">#REF!</definedName>
    <definedName name="Thoi_gian_D.G_tong.hop">#REF!</definedName>
    <definedName name="Thoi_gian_HT_B.C" comment="Thời gian hoàn thành báo cáo đánh giá tài chính (2 túi HS) hoặc hoàn thành báo cáo KQ đánh giá HSDT">#REF!</definedName>
    <definedName name="Thoi_gian_HT_D.G" comment="Thời gian hoàn thành đánh giá HSĐX tài chính (2 túi HS) hoặc thời gian hoàn thành đánh giá HSDT (1 túi HS)">#REF!</definedName>
    <definedName name="Thu__GTGT">#REF!</definedName>
    <definedName name="THUE_GTGT">#REF!</definedName>
    <definedName name="THUONG">#REF!</definedName>
    <definedName name="Tien">#REF!</definedName>
    <definedName name="Tim_Lan_Xuat_Hien">#REF!</definedName>
    <definedName name="tim_xuat_hien">#REF!</definedName>
    <definedName name="TITAN">#REF!</definedName>
    <definedName name="tk">#N/A</definedName>
    <definedName name="tke">#N/A</definedName>
    <definedName name="TKNO_NK">#REF!</definedName>
    <definedName name="tkt" localSheetId="0" hidden="1">{"'Sheet1'!$L$16"}</definedName>
    <definedName name="tkt" hidden="1">{"'Sheet1'!$L$16"}</definedName>
    <definedName name="Tle">#REF!</definedName>
    <definedName name="TN">"$A$1:$I$11"</definedName>
    <definedName name="tnewry">#REF!</definedName>
    <definedName name="ton">#REF!</definedName>
    <definedName name="TOT">#REF!</definedName>
    <definedName name="TPLRP">#REF!</definedName>
    <definedName name="Tra_don_gia_KS">#REF!</definedName>
    <definedName name="Tra_DTCT">#REF!</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L">#REF!</definedName>
    <definedName name="TRADE2">#REF!</definedName>
    <definedName name="TRAMTON" localSheetId="0" hidden="1">{"'Sheet1'!$L$16"}</definedName>
    <definedName name="TRAMTON" hidden="1">{"'Sheet1'!$L$16"}</definedName>
    <definedName name="Trang.thai.goi.thau" comment="Trạng thái hiện tại của các gói thầu">#REF!</definedName>
    <definedName name="TRANO">#REF!</definedName>
    <definedName name="TRAVL">#REF!</definedName>
    <definedName name="TRUNGHI">#REF!</definedName>
    <definedName name="ttam">#REF!</definedName>
    <definedName name="ttao">#REF!</definedName>
    <definedName name="ttbt">#REF!</definedName>
    <definedName name="tthi">#REF!</definedName>
    <definedName name="ty_le">#REF!</definedName>
    <definedName name="ty_le_BTN">#REF!</definedName>
    <definedName name="Ty_le1">#REF!</definedName>
    <definedName name="u">#REF!</definedName>
    <definedName name="ư34y">#REF!</definedName>
    <definedName name="ưb2u45etm">#REF!</definedName>
    <definedName name="ưebty">#REF!</definedName>
    <definedName name="UP">#REF!,#REF!,#REF!,#REF!,#REF!,#REF!,#REF!,#REF!,#REF!,#REF!,#REF!</definedName>
    <definedName name="USD">15820</definedName>
    <definedName name="VARIINST">#REF!</definedName>
    <definedName name="VARIPURC">#REF!</definedName>
    <definedName name="vbnmb">#REF!</definedName>
    <definedName name="vc">#REF!</definedName>
    <definedName name="vccot">#REF!</definedName>
    <definedName name="vcdatd">#REF!</definedName>
    <definedName name="vcddx">#REF!</definedName>
    <definedName name="vctb">#REF!</definedName>
    <definedName name="Vf">#REF!</definedName>
    <definedName name="vital1">#REF!</definedName>
    <definedName name="vital2">#REF!</definedName>
    <definedName name="vital4">#REF!</definedName>
    <definedName name="vital5">#REF!</definedName>
    <definedName name="vital6">#REF!</definedName>
    <definedName name="vital8">#REF!</definedName>
    <definedName name="vital9">#REF!</definedName>
    <definedName name="Vlcap0.7">#REF!</definedName>
    <definedName name="VLcap1">#REF!</definedName>
    <definedName name="Vs">#REF!</definedName>
    <definedName name="vungnhapk">#REF!</definedName>
    <definedName name="vungnhapl">#REF!</definedName>
    <definedName name="vungxuatk">#REF!</definedName>
    <definedName name="vungxuatl">#REF!</definedName>
    <definedName name="vxgf">#REF!</definedName>
    <definedName name="W">#REF!</definedName>
    <definedName name="wb">#REF!</definedName>
    <definedName name="wrn.chi._.tiÆt." localSheetId="0" hidden="1">{#N/A,#N/A,FALSE,"Chi tiÆt"}</definedName>
    <definedName name="wrn.chi._.tiÆt." hidden="1">{#N/A,#N/A,FALSE,"Chi tiÆt"}</definedName>
    <definedName name="wup">#REF!</definedName>
    <definedName name="X">#REF!</definedName>
    <definedName name="x_list">#REF!</definedName>
    <definedName name="x1_">#REF!</definedName>
    <definedName name="x2_">#REF!</definedName>
    <definedName name="XA">#REF!</definedName>
    <definedName name="xaylap">#REF!</definedName>
    <definedName name="xcp">#REF!</definedName>
    <definedName name="xe">#REF!</definedName>
    <definedName name="xh">#REF!</definedName>
    <definedName name="xl">#REF!</definedName>
    <definedName name="xlc">#REF!</definedName>
    <definedName name="xlk">#REF!</definedName>
    <definedName name="xmp40">#REF!</definedName>
    <definedName name="xn">#REF!</definedName>
    <definedName name="xoanhapk">#REF!,#REF!</definedName>
    <definedName name="xoanhapl">#REF!,#REF!</definedName>
    <definedName name="xoaxuatk">#REF!</definedName>
    <definedName name="xoaxuatl">#REF!</definedName>
    <definedName name="y" localSheetId="0" hidden="1">{"'Sheet1'!$L$16"}</definedName>
    <definedName name="y" hidden="1">{"'Sheet1'!$L$16"}</definedName>
    <definedName name="y_list">#REF!</definedName>
    <definedName name="ycp">#REF!</definedName>
    <definedName name="YvNgam">#REF!</definedName>
    <definedName name="YvTreo">#REF!</definedName>
    <definedName name="ZYX">#REF!</definedName>
    <definedName name="ZZZ">#REF!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22" l="1"/>
  <c r="C6" i="22"/>
  <c r="C7" i="22"/>
  <c r="C8" i="22"/>
  <c r="C9" i="22"/>
  <c r="C10" i="22"/>
  <c r="C11" i="22"/>
  <c r="C12" i="22"/>
  <c r="C13" i="22"/>
  <c r="C14" i="22"/>
  <c r="C15" i="22"/>
  <c r="D4" i="22"/>
  <c r="C4" i="22"/>
  <c r="E15" i="22"/>
  <c r="E12" i="22"/>
  <c r="E11" i="22"/>
  <c r="E6" i="22"/>
  <c r="E5" i="22"/>
  <c r="E4" i="22"/>
  <c r="D15" i="22"/>
  <c r="D12" i="22" l="1"/>
  <c r="J12" i="22" s="1"/>
  <c r="D11" i="22"/>
  <c r="J11" i="22" s="1"/>
  <c r="J10" i="22"/>
  <c r="J7" i="22"/>
  <c r="D6" i="22"/>
  <c r="D5" i="22"/>
  <c r="J5" i="22" s="1"/>
  <c r="D3" i="22"/>
  <c r="I4" i="22"/>
  <c r="E3" i="22"/>
  <c r="F3" i="22"/>
  <c r="G3" i="22"/>
  <c r="H3" i="22"/>
  <c r="C3" i="22"/>
  <c r="I5" i="22"/>
  <c r="K5" i="22"/>
  <c r="I6" i="22"/>
  <c r="J6" i="22"/>
  <c r="K6" i="22"/>
  <c r="I7" i="22"/>
  <c r="K7" i="22"/>
  <c r="I10" i="22"/>
  <c r="K10" i="22"/>
  <c r="I11" i="22"/>
  <c r="K11" i="22"/>
  <c r="I12" i="22"/>
  <c r="K12" i="22"/>
  <c r="I13" i="22"/>
  <c r="J13" i="22"/>
  <c r="K13" i="22"/>
  <c r="I14" i="22"/>
  <c r="J14" i="22"/>
  <c r="K14" i="22"/>
  <c r="I15" i="22"/>
  <c r="J15" i="22"/>
  <c r="K15" i="22"/>
  <c r="I8" i="22"/>
  <c r="J8" i="22"/>
  <c r="K8" i="22"/>
  <c r="I9" i="22"/>
  <c r="J9" i="22"/>
  <c r="K9" i="22"/>
  <c r="K4" i="22"/>
  <c r="J4" i="22" l="1"/>
  <c r="F62" i="20"/>
  <c r="E62" i="20" s="1"/>
  <c r="F70" i="20"/>
  <c r="F69" i="20"/>
  <c r="F68" i="20"/>
  <c r="F67" i="20"/>
  <c r="F66" i="20"/>
  <c r="F64" i="20"/>
  <c r="F63" i="20"/>
  <c r="E63" i="20" s="1"/>
  <c r="F65" i="20"/>
  <c r="E65" i="20" s="1"/>
  <c r="E66" i="20"/>
  <c r="E69" i="20"/>
  <c r="E70" i="20"/>
  <c r="E68" i="20"/>
  <c r="E67" i="20"/>
  <c r="E64" i="20"/>
  <c r="F53" i="20"/>
  <c r="E53" i="20"/>
  <c r="H14" i="14"/>
  <c r="I14" i="14"/>
  <c r="AC14" i="14" s="1"/>
  <c r="AC12" i="14" s="1"/>
  <c r="AC7" i="14"/>
  <c r="AC6" i="14" s="1"/>
  <c r="AC8" i="14"/>
  <c r="AC9" i="14"/>
  <c r="AC10" i="14"/>
  <c r="AC13" i="14"/>
  <c r="AC15" i="14"/>
  <c r="AC16" i="14"/>
  <c r="AC17" i="14"/>
  <c r="AC18" i="14"/>
  <c r="AC19" i="14"/>
  <c r="AC20" i="14"/>
  <c r="AC21" i="14"/>
  <c r="AC23" i="14"/>
  <c r="AC22" i="14" s="1"/>
  <c r="AC24" i="14"/>
  <c r="AC25" i="14"/>
  <c r="AC27" i="14"/>
  <c r="AC28" i="14"/>
  <c r="AC26" i="14" s="1"/>
  <c r="AC29" i="14"/>
  <c r="AC30" i="14"/>
  <c r="AC31" i="14"/>
  <c r="S13" i="14"/>
  <c r="S12" i="14" s="1"/>
  <c r="S14" i="14"/>
  <c r="S16" i="14"/>
  <c r="S15" i="14" s="1"/>
  <c r="S17" i="14"/>
  <c r="S18" i="14"/>
  <c r="S19" i="14"/>
  <c r="S20" i="14"/>
  <c r="S21" i="14"/>
  <c r="S22" i="14"/>
  <c r="S23" i="14"/>
  <c r="S24" i="14"/>
  <c r="S25" i="14"/>
  <c r="S27" i="14"/>
  <c r="S28" i="14"/>
  <c r="S29" i="14"/>
  <c r="S30" i="14"/>
  <c r="S26" i="14" s="1"/>
  <c r="S8" i="14"/>
  <c r="S9" i="14"/>
  <c r="S10" i="14"/>
  <c r="S7" i="14"/>
  <c r="I28" i="14"/>
  <c r="I29" i="14"/>
  <c r="I30" i="14"/>
  <c r="I27" i="14"/>
  <c r="I13" i="14"/>
  <c r="I16" i="14"/>
  <c r="I17" i="14"/>
  <c r="I18" i="14"/>
  <c r="I19" i="14"/>
  <c r="I20" i="14"/>
  <c r="I21" i="14"/>
  <c r="I23" i="14"/>
  <c r="I24" i="14"/>
  <c r="I25" i="14"/>
  <c r="I8" i="14"/>
  <c r="I9" i="14"/>
  <c r="I10" i="14"/>
  <c r="I7" i="14"/>
  <c r="AC11" i="14" l="1"/>
  <c r="AC4" i="14"/>
  <c r="S11" i="14"/>
  <c r="S4" i="14"/>
  <c r="I15" i="14"/>
  <c r="I22" i="14"/>
  <c r="I12" i="14"/>
  <c r="G8" i="14" l="1"/>
  <c r="E118" i="21" l="1"/>
  <c r="E114" i="21"/>
  <c r="E106" i="21"/>
  <c r="E102" i="21"/>
  <c r="E94" i="21"/>
  <c r="E90" i="21"/>
  <c r="E81" i="21"/>
  <c r="E82" i="21"/>
  <c r="E83" i="21"/>
  <c r="E80" i="21"/>
  <c r="E73" i="21"/>
  <c r="E66" i="21"/>
  <c r="E61" i="21"/>
  <c r="E49" i="21"/>
  <c r="E50" i="21"/>
  <c r="E51" i="21"/>
  <c r="E52" i="21"/>
  <c r="E53" i="21"/>
  <c r="E54" i="21"/>
  <c r="E48" i="21"/>
  <c r="E41" i="21"/>
  <c r="E38" i="21"/>
  <c r="E31" i="21"/>
  <c r="E27" i="21"/>
  <c r="E20" i="21"/>
  <c r="E17" i="21"/>
  <c r="E8" i="21"/>
  <c r="E10" i="21"/>
  <c r="E7" i="21"/>
  <c r="D109" i="20"/>
  <c r="D75" i="20"/>
  <c r="D63" i="20"/>
  <c r="D64" i="20"/>
  <c r="D65" i="20"/>
  <c r="D66" i="20"/>
  <c r="D67" i="20"/>
  <c r="D68" i="20"/>
  <c r="D69" i="20"/>
  <c r="D70" i="20"/>
  <c r="D62" i="20"/>
  <c r="D51" i="20"/>
  <c r="H8" i="1" l="1"/>
  <c r="H16" i="1"/>
  <c r="H9" i="1"/>
  <c r="G9" i="1"/>
  <c r="F24" i="18" l="1"/>
  <c r="C24" i="18"/>
  <c r="F57" i="18"/>
  <c r="F55" i="18"/>
  <c r="F50" i="18"/>
  <c r="F43" i="18"/>
  <c r="F36" i="18"/>
  <c r="F12" i="18"/>
  <c r="F11" i="18"/>
  <c r="F8" i="18"/>
  <c r="C57" i="18"/>
  <c r="C55" i="18"/>
  <c r="C36" i="18"/>
  <c r="C50" i="18"/>
  <c r="C43" i="18"/>
  <c r="C12" i="18" l="1"/>
  <c r="C11" i="18"/>
  <c r="C26" i="18"/>
  <c r="C47" i="18"/>
  <c r="C51" i="18"/>
  <c r="C14" i="18"/>
  <c r="F20" i="18"/>
  <c r="F14" i="18"/>
  <c r="F56" i="18" l="1"/>
  <c r="F40" i="18"/>
  <c r="F51" i="18"/>
  <c r="F47" i="18"/>
  <c r="F27" i="18"/>
  <c r="F26" i="18"/>
  <c r="C17" i="18"/>
  <c r="F39" i="18"/>
  <c r="C56" i="18"/>
  <c r="F48" i="18"/>
  <c r="C46" i="18"/>
  <c r="F52" i="18"/>
  <c r="C41" i="18"/>
  <c r="F23" i="18"/>
  <c r="C38" i="18"/>
  <c r="F9" i="18"/>
  <c r="C37" i="18"/>
  <c r="C22" i="18"/>
  <c r="F38" i="18"/>
  <c r="F28" i="18"/>
  <c r="F46" i="18"/>
  <c r="F41" i="18"/>
  <c r="F17" i="18"/>
  <c r="C28" i="18"/>
  <c r="C9" i="18"/>
  <c r="F44" i="18"/>
  <c r="F37" i="18"/>
  <c r="F22" i="18"/>
  <c r="F13" i="18"/>
  <c r="C45" i="18"/>
  <c r="C48" i="18"/>
  <c r="C53" i="18"/>
  <c r="C18" i="18"/>
  <c r="C23" i="18"/>
  <c r="C40" i="18"/>
  <c r="C27" i="18"/>
  <c r="F45" i="18"/>
  <c r="F10" i="18"/>
  <c r="C39" i="18"/>
  <c r="C52" i="18"/>
  <c r="F53" i="18"/>
  <c r="F18" i="18"/>
  <c r="C8" i="18"/>
  <c r="C13" i="18"/>
  <c r="C10" i="18"/>
  <c r="C20" i="18"/>
  <c r="C16" i="18" l="1"/>
  <c r="C44" i="18"/>
  <c r="H10" i="1"/>
  <c r="G10" i="1"/>
  <c r="G16" i="1"/>
  <c r="H12" i="1"/>
  <c r="H15" i="1"/>
  <c r="G12" i="1"/>
  <c r="H11" i="1"/>
  <c r="G11" i="1"/>
  <c r="G14" i="1" l="1"/>
  <c r="G13" i="1"/>
  <c r="H14" i="1"/>
  <c r="H13" i="1"/>
  <c r="G15" i="1"/>
  <c r="Q31" i="14" l="1"/>
  <c r="F43" i="20" s="1"/>
  <c r="G31" i="14"/>
  <c r="E43" i="20" s="1"/>
  <c r="D43" i="20" s="1"/>
  <c r="X31" i="14" l="1"/>
  <c r="Y31" i="14"/>
  <c r="Z31" i="14"/>
  <c r="AB31" i="14"/>
  <c r="AD31" i="14"/>
  <c r="V31" i="14"/>
  <c r="L31" i="14"/>
  <c r="AA31" i="14" l="1"/>
  <c r="AE31" i="14" s="1"/>
  <c r="I24" i="18" l="1"/>
  <c r="I23" i="18"/>
  <c r="F21" i="18"/>
  <c r="F19" i="18"/>
  <c r="U30" i="14"/>
  <c r="T30" i="14"/>
  <c r="R30" i="14"/>
  <c r="Q30" i="14"/>
  <c r="P30" i="14"/>
  <c r="O30" i="14"/>
  <c r="F32" i="20" s="1"/>
  <c r="J30" i="14"/>
  <c r="H30" i="14"/>
  <c r="G30" i="14"/>
  <c r="F30" i="14"/>
  <c r="E30" i="14"/>
  <c r="E32" i="20" s="1"/>
  <c r="D32" i="20" s="1"/>
  <c r="U29" i="14"/>
  <c r="T29" i="14"/>
  <c r="R29" i="14"/>
  <c r="Q29" i="14"/>
  <c r="P29" i="14"/>
  <c r="F21" i="20" s="1"/>
  <c r="O29" i="14"/>
  <c r="N29" i="14"/>
  <c r="G103" i="21" s="1"/>
  <c r="K29" i="14"/>
  <c r="J29" i="14"/>
  <c r="F107" i="21" s="1"/>
  <c r="H29" i="14"/>
  <c r="G29" i="14"/>
  <c r="F29" i="14"/>
  <c r="E21" i="20" s="1"/>
  <c r="E29" i="14"/>
  <c r="D29" i="14"/>
  <c r="F103" i="21" s="1"/>
  <c r="U28" i="14"/>
  <c r="T28" i="14"/>
  <c r="R28" i="14"/>
  <c r="Q28" i="14"/>
  <c r="P28" i="14"/>
  <c r="O28" i="14"/>
  <c r="K28" i="14"/>
  <c r="J28" i="14"/>
  <c r="H28" i="14"/>
  <c r="F93" i="21" s="1"/>
  <c r="G28" i="14"/>
  <c r="F28" i="14"/>
  <c r="F64" i="21" s="1"/>
  <c r="E28" i="14"/>
  <c r="U27" i="14"/>
  <c r="T27" i="14"/>
  <c r="G119" i="21" s="1"/>
  <c r="R27" i="14"/>
  <c r="Q27" i="14"/>
  <c r="P27" i="14"/>
  <c r="F22" i="20" s="1"/>
  <c r="O27" i="14"/>
  <c r="G116" i="21" s="1"/>
  <c r="K27" i="14"/>
  <c r="E104" i="20" s="1"/>
  <c r="J27" i="14"/>
  <c r="F119" i="21" s="1"/>
  <c r="H27" i="14"/>
  <c r="G27" i="14"/>
  <c r="F27" i="14"/>
  <c r="E27" i="14"/>
  <c r="F116" i="21" s="1"/>
  <c r="U25" i="14"/>
  <c r="T25" i="14"/>
  <c r="R25" i="14"/>
  <c r="Q25" i="14"/>
  <c r="F114" i="20" s="1"/>
  <c r="P25" i="14"/>
  <c r="O25" i="14"/>
  <c r="N25" i="14"/>
  <c r="K25" i="14"/>
  <c r="J25" i="14"/>
  <c r="H25" i="14"/>
  <c r="G25" i="14"/>
  <c r="E114" i="20" s="1"/>
  <c r="F25" i="14"/>
  <c r="E25" i="14"/>
  <c r="D25" i="14"/>
  <c r="U24" i="14"/>
  <c r="T24" i="14"/>
  <c r="R24" i="14"/>
  <c r="Q24" i="14"/>
  <c r="P24" i="14"/>
  <c r="O24" i="14"/>
  <c r="N24" i="14"/>
  <c r="K24" i="14"/>
  <c r="J24" i="14"/>
  <c r="H24" i="14"/>
  <c r="G24" i="14"/>
  <c r="F24" i="14"/>
  <c r="E24" i="14"/>
  <c r="D24" i="14"/>
  <c r="U23" i="14"/>
  <c r="T23" i="14"/>
  <c r="R23" i="14"/>
  <c r="Q23" i="14"/>
  <c r="P23" i="14"/>
  <c r="O23" i="14"/>
  <c r="N23" i="14"/>
  <c r="K23" i="14"/>
  <c r="J23" i="14"/>
  <c r="H23" i="14"/>
  <c r="G23" i="14"/>
  <c r="E39" i="20" s="1"/>
  <c r="F23" i="14"/>
  <c r="E23" i="14"/>
  <c r="D23" i="14"/>
  <c r="U21" i="14"/>
  <c r="T21" i="14"/>
  <c r="F76" i="20" s="1"/>
  <c r="R21" i="14"/>
  <c r="Q21" i="14"/>
  <c r="P21" i="14"/>
  <c r="O21" i="14"/>
  <c r="N21" i="14"/>
  <c r="K21" i="14"/>
  <c r="J21" i="14"/>
  <c r="E76" i="20" s="1"/>
  <c r="D76" i="20" s="1"/>
  <c r="H21" i="14"/>
  <c r="G21" i="14"/>
  <c r="F21" i="14"/>
  <c r="E21" i="14"/>
  <c r="D21" i="14"/>
  <c r="U20" i="14"/>
  <c r="T20" i="14"/>
  <c r="R20" i="14"/>
  <c r="Q20" i="14"/>
  <c r="P20" i="14"/>
  <c r="O20" i="14"/>
  <c r="N20" i="14"/>
  <c r="K20" i="14"/>
  <c r="J20" i="14"/>
  <c r="H20" i="14"/>
  <c r="G20" i="14"/>
  <c r="F20" i="14"/>
  <c r="E20" i="14"/>
  <c r="D20" i="14"/>
  <c r="U19" i="14"/>
  <c r="T19" i="14"/>
  <c r="R19" i="14"/>
  <c r="Q19" i="14"/>
  <c r="P19" i="14"/>
  <c r="O19" i="14"/>
  <c r="N19" i="14"/>
  <c r="K19" i="14"/>
  <c r="J19" i="14"/>
  <c r="H19" i="14"/>
  <c r="G19" i="14"/>
  <c r="F19" i="14"/>
  <c r="E19" i="14"/>
  <c r="D19" i="14"/>
  <c r="U18" i="14"/>
  <c r="T18" i="14"/>
  <c r="R18" i="14"/>
  <c r="Q18" i="14"/>
  <c r="P18" i="14"/>
  <c r="O18" i="14"/>
  <c r="N18" i="14"/>
  <c r="K18" i="14"/>
  <c r="J18" i="14"/>
  <c r="H18" i="14"/>
  <c r="G18" i="14"/>
  <c r="F18" i="14"/>
  <c r="E18" i="14"/>
  <c r="D18" i="14"/>
  <c r="U17" i="14"/>
  <c r="T17" i="14"/>
  <c r="R17" i="14"/>
  <c r="Q17" i="14"/>
  <c r="P17" i="14"/>
  <c r="O17" i="14"/>
  <c r="N17" i="14"/>
  <c r="K17" i="14"/>
  <c r="J17" i="14"/>
  <c r="H17" i="14"/>
  <c r="G17" i="14"/>
  <c r="F17" i="14"/>
  <c r="E17" i="14"/>
  <c r="D17" i="14"/>
  <c r="U16" i="14"/>
  <c r="T16" i="14"/>
  <c r="R16" i="14"/>
  <c r="Q16" i="14"/>
  <c r="P16" i="14"/>
  <c r="O16" i="14"/>
  <c r="N16" i="14"/>
  <c r="K16" i="14"/>
  <c r="J16" i="14"/>
  <c r="H16" i="14"/>
  <c r="G16" i="14"/>
  <c r="F16" i="14"/>
  <c r="E16" i="14"/>
  <c r="D16" i="14"/>
  <c r="U14" i="14"/>
  <c r="T14" i="14"/>
  <c r="R14" i="14"/>
  <c r="Q14" i="14"/>
  <c r="P14" i="14"/>
  <c r="O14" i="14"/>
  <c r="K14" i="14"/>
  <c r="J14" i="14"/>
  <c r="F30" i="21"/>
  <c r="G14" i="14"/>
  <c r="F14" i="14"/>
  <c r="E14" i="14"/>
  <c r="U13" i="14"/>
  <c r="T13" i="14"/>
  <c r="R13" i="14"/>
  <c r="Q13" i="14"/>
  <c r="P13" i="14"/>
  <c r="P12" i="14" s="1"/>
  <c r="O13" i="14"/>
  <c r="O12" i="14" s="1"/>
  <c r="K13" i="14"/>
  <c r="J13" i="14"/>
  <c r="H13" i="14"/>
  <c r="G13" i="14"/>
  <c r="F13" i="14"/>
  <c r="E13" i="14"/>
  <c r="U10" i="14"/>
  <c r="T10" i="14"/>
  <c r="R10" i="14"/>
  <c r="Q10" i="14"/>
  <c r="P10" i="14"/>
  <c r="O10" i="14"/>
  <c r="N10" i="14"/>
  <c r="K10" i="14"/>
  <c r="J10" i="14"/>
  <c r="H10" i="14"/>
  <c r="G10" i="14"/>
  <c r="F10" i="14"/>
  <c r="E10" i="14"/>
  <c r="D10" i="14"/>
  <c r="U9" i="14"/>
  <c r="T9" i="14"/>
  <c r="R9" i="14"/>
  <c r="Q9" i="14"/>
  <c r="P9" i="14"/>
  <c r="O9" i="14"/>
  <c r="N9" i="14"/>
  <c r="K9" i="14"/>
  <c r="J9" i="14"/>
  <c r="H9" i="14"/>
  <c r="G9" i="14"/>
  <c r="F9" i="14"/>
  <c r="E9" i="14"/>
  <c r="D9" i="14"/>
  <c r="U8" i="14"/>
  <c r="T8" i="14"/>
  <c r="R8" i="14"/>
  <c r="Q8" i="14"/>
  <c r="P8" i="14"/>
  <c r="O8" i="14"/>
  <c r="N8" i="14"/>
  <c r="K8" i="14"/>
  <c r="J8" i="14"/>
  <c r="H8" i="14"/>
  <c r="F8" i="14"/>
  <c r="E8" i="14"/>
  <c r="D8" i="14"/>
  <c r="U7" i="14"/>
  <c r="T7" i="14"/>
  <c r="R7" i="14"/>
  <c r="Q7" i="14"/>
  <c r="P7" i="14"/>
  <c r="O7" i="14"/>
  <c r="F28" i="20" s="1"/>
  <c r="K7" i="14"/>
  <c r="J7" i="14"/>
  <c r="H7" i="14"/>
  <c r="G7" i="14"/>
  <c r="F7" i="14"/>
  <c r="E7" i="14"/>
  <c r="E28" i="20" s="1"/>
  <c r="N30" i="14"/>
  <c r="D114" i="20" l="1"/>
  <c r="D28" i="20"/>
  <c r="F39" i="20"/>
  <c r="D39" i="20" s="1"/>
  <c r="E116" i="21"/>
  <c r="E119" i="21"/>
  <c r="F50" i="20"/>
  <c r="F49" i="20" s="1"/>
  <c r="G40" i="21"/>
  <c r="F19" i="20"/>
  <c r="G62" i="21"/>
  <c r="E31" i="20"/>
  <c r="F104" i="21"/>
  <c r="G109" i="21"/>
  <c r="F103" i="20"/>
  <c r="G42" i="21"/>
  <c r="F85" i="20"/>
  <c r="F84" i="20" s="1"/>
  <c r="E42" i="20"/>
  <c r="F120" i="21"/>
  <c r="E41" i="20"/>
  <c r="F95" i="21"/>
  <c r="G92" i="21"/>
  <c r="F30" i="20"/>
  <c r="F77" i="20"/>
  <c r="G96" i="21"/>
  <c r="F90" i="20"/>
  <c r="D21" i="20"/>
  <c r="E103" i="20"/>
  <c r="F109" i="21"/>
  <c r="F40" i="20"/>
  <c r="G108" i="21"/>
  <c r="F101" i="20"/>
  <c r="G33" i="21"/>
  <c r="E102" i="20"/>
  <c r="F97" i="21"/>
  <c r="G43" i="21"/>
  <c r="F98" i="20"/>
  <c r="F97" i="20" s="1"/>
  <c r="F52" i="20"/>
  <c r="G19" i="21"/>
  <c r="G30" i="21"/>
  <c r="E30" i="21" s="1"/>
  <c r="F18" i="20"/>
  <c r="G63" i="21"/>
  <c r="E57" i="20"/>
  <c r="F117" i="21"/>
  <c r="G121" i="21"/>
  <c r="F104" i="20"/>
  <c r="D104" i="20" s="1"/>
  <c r="G64" i="21"/>
  <c r="E64" i="21" s="1"/>
  <c r="F20" i="20"/>
  <c r="G97" i="21"/>
  <c r="F102" i="20"/>
  <c r="E40" i="20"/>
  <c r="F108" i="21"/>
  <c r="G105" i="21"/>
  <c r="F56" i="20"/>
  <c r="U12" i="14"/>
  <c r="F100" i="20"/>
  <c r="G22" i="21"/>
  <c r="E22" i="20"/>
  <c r="D22" i="20" s="1"/>
  <c r="F121" i="21"/>
  <c r="F57" i="20"/>
  <c r="G117" i="21"/>
  <c r="F55" i="20"/>
  <c r="G93" i="21"/>
  <c r="E93" i="21" s="1"/>
  <c r="T12" i="14"/>
  <c r="F87" i="20"/>
  <c r="G21" i="21"/>
  <c r="F29" i="20"/>
  <c r="G29" i="21"/>
  <c r="F88" i="20"/>
  <c r="G32" i="21"/>
  <c r="F42" i="20"/>
  <c r="G120" i="21"/>
  <c r="E30" i="20"/>
  <c r="F92" i="21"/>
  <c r="E90" i="20"/>
  <c r="E77" i="20"/>
  <c r="F96" i="21"/>
  <c r="F41" i="20"/>
  <c r="G95" i="21"/>
  <c r="E103" i="21"/>
  <c r="F105" i="21"/>
  <c r="E105" i="21" s="1"/>
  <c r="E56" i="20"/>
  <c r="F31" i="20"/>
  <c r="G104" i="21"/>
  <c r="F91" i="20"/>
  <c r="G107" i="21"/>
  <c r="E107" i="21" s="1"/>
  <c r="F78" i="20"/>
  <c r="F62" i="21"/>
  <c r="E19" i="20"/>
  <c r="E20" i="20"/>
  <c r="E91" i="20"/>
  <c r="E78" i="20"/>
  <c r="F21" i="21"/>
  <c r="E87" i="20"/>
  <c r="F29" i="21"/>
  <c r="E29" i="20"/>
  <c r="E27" i="20" s="1"/>
  <c r="F32" i="21"/>
  <c r="E88" i="20"/>
  <c r="F40" i="21"/>
  <c r="E50" i="20"/>
  <c r="K12" i="14"/>
  <c r="F22" i="21"/>
  <c r="E100" i="20"/>
  <c r="F33" i="21"/>
  <c r="E101" i="20"/>
  <c r="I46" i="18"/>
  <c r="E55" i="20"/>
  <c r="F43" i="21"/>
  <c r="E98" i="20"/>
  <c r="F19" i="21"/>
  <c r="E52" i="20"/>
  <c r="Q12" i="14"/>
  <c r="F42" i="21"/>
  <c r="E85" i="20"/>
  <c r="F63" i="21"/>
  <c r="E18" i="20"/>
  <c r="R12" i="14"/>
  <c r="U26" i="14"/>
  <c r="C33" i="18"/>
  <c r="Z29" i="14"/>
  <c r="P26" i="14"/>
  <c r="N15" i="14"/>
  <c r="R15" i="14"/>
  <c r="I48" i="18"/>
  <c r="F25" i="18"/>
  <c r="H12" i="14"/>
  <c r="C30" i="18"/>
  <c r="Z30" i="14"/>
  <c r="Y29" i="14"/>
  <c r="U22" i="14"/>
  <c r="G26" i="14"/>
  <c r="T26" i="14"/>
  <c r="AA28" i="14"/>
  <c r="Y28" i="14"/>
  <c r="AD28" i="14"/>
  <c r="H22" i="14"/>
  <c r="O6" i="14"/>
  <c r="T6" i="14"/>
  <c r="F15" i="14"/>
  <c r="K15" i="14"/>
  <c r="O15" i="14"/>
  <c r="T15" i="14"/>
  <c r="D22" i="14"/>
  <c r="AA29" i="14"/>
  <c r="I20" i="18"/>
  <c r="I19" i="18" s="1"/>
  <c r="I27" i="18"/>
  <c r="I37" i="18"/>
  <c r="I39" i="18"/>
  <c r="I41" i="18"/>
  <c r="I45" i="18"/>
  <c r="I9" i="18"/>
  <c r="Q26" i="14"/>
  <c r="Q15" i="14"/>
  <c r="AA23" i="14"/>
  <c r="V23" i="14"/>
  <c r="G74" i="21" s="1"/>
  <c r="Y24" i="14"/>
  <c r="AD24" i="14"/>
  <c r="P22" i="14"/>
  <c r="AA25" i="14"/>
  <c r="O22" i="14"/>
  <c r="Q22" i="14"/>
  <c r="AA24" i="14"/>
  <c r="Y25" i="14"/>
  <c r="AD25" i="14"/>
  <c r="J6" i="14"/>
  <c r="Y16" i="14"/>
  <c r="AD16" i="14"/>
  <c r="AA17" i="14"/>
  <c r="Y18" i="14"/>
  <c r="AD18" i="14"/>
  <c r="AA19" i="14"/>
  <c r="Y20" i="14"/>
  <c r="AD20" i="14"/>
  <c r="AA21" i="14"/>
  <c r="T22" i="14"/>
  <c r="F22" i="14"/>
  <c r="K22" i="14"/>
  <c r="AB24" i="14"/>
  <c r="Z25" i="14"/>
  <c r="Z27" i="14"/>
  <c r="Z28" i="14"/>
  <c r="X8" i="14"/>
  <c r="AB8" i="14"/>
  <c r="Z9" i="14"/>
  <c r="X10" i="14"/>
  <c r="AB10" i="14"/>
  <c r="H15" i="14"/>
  <c r="Y17" i="14"/>
  <c r="AD17" i="14"/>
  <c r="AA18" i="14"/>
  <c r="Y19" i="14"/>
  <c r="AD19" i="14"/>
  <c r="AA20" i="14"/>
  <c r="Y21" i="14"/>
  <c r="AD21" i="14"/>
  <c r="R6" i="14"/>
  <c r="E6" i="14"/>
  <c r="P6" i="14"/>
  <c r="U6" i="14"/>
  <c r="G6" i="14"/>
  <c r="Z8" i="14"/>
  <c r="Q6" i="14"/>
  <c r="AB9" i="14"/>
  <c r="Z10" i="14"/>
  <c r="D15" i="14"/>
  <c r="AB16" i="14"/>
  <c r="Z17" i="14"/>
  <c r="AB18" i="14"/>
  <c r="Z19" i="14"/>
  <c r="X20" i="14"/>
  <c r="AB20" i="14"/>
  <c r="Z21" i="14"/>
  <c r="Y13" i="14"/>
  <c r="Y14" i="14"/>
  <c r="P15" i="14"/>
  <c r="U15" i="14"/>
  <c r="V17" i="14"/>
  <c r="AB17" i="14"/>
  <c r="V19" i="14"/>
  <c r="V21" i="14"/>
  <c r="AB21" i="14"/>
  <c r="F30" i="18"/>
  <c r="R26" i="14"/>
  <c r="V30" i="14"/>
  <c r="AA8" i="14"/>
  <c r="V8" i="14"/>
  <c r="Y9" i="14"/>
  <c r="AD9" i="14"/>
  <c r="AA10" i="14"/>
  <c r="V10" i="14"/>
  <c r="I14" i="18" s="1"/>
  <c r="J12" i="14"/>
  <c r="Z13" i="14"/>
  <c r="Z14" i="14"/>
  <c r="AB14" i="14"/>
  <c r="Z16" i="14"/>
  <c r="X17" i="14"/>
  <c r="Z18" i="14"/>
  <c r="L19" i="14"/>
  <c r="AB19" i="14"/>
  <c r="Z20" i="14"/>
  <c r="X21" i="14"/>
  <c r="L23" i="14"/>
  <c r="F74" i="21" s="1"/>
  <c r="AB23" i="14"/>
  <c r="Z24" i="14"/>
  <c r="X25" i="14"/>
  <c r="AB25" i="14"/>
  <c r="V25" i="14"/>
  <c r="J26" i="14"/>
  <c r="AB27" i="14"/>
  <c r="Y30" i="14"/>
  <c r="AD30" i="14"/>
  <c r="I51" i="18"/>
  <c r="E12" i="14"/>
  <c r="AA14" i="14"/>
  <c r="G15" i="14"/>
  <c r="V18" i="14"/>
  <c r="G22" i="14"/>
  <c r="R22" i="14"/>
  <c r="E22" i="14"/>
  <c r="J22" i="14"/>
  <c r="C34" i="18" s="1"/>
  <c r="V24" i="14"/>
  <c r="G75" i="21" s="1"/>
  <c r="O26" i="14"/>
  <c r="Y27" i="14"/>
  <c r="AD27" i="14"/>
  <c r="AA27" i="14"/>
  <c r="L29" i="14"/>
  <c r="AA30" i="14"/>
  <c r="C19" i="18"/>
  <c r="I28" i="18"/>
  <c r="I38" i="18"/>
  <c r="I40" i="18"/>
  <c r="I44" i="18"/>
  <c r="E15" i="14"/>
  <c r="Y7" i="14"/>
  <c r="AA13" i="14"/>
  <c r="F7" i="18"/>
  <c r="H6" i="14"/>
  <c r="F6" i="14"/>
  <c r="K6" i="14"/>
  <c r="AD8" i="14"/>
  <c r="AA9" i="14"/>
  <c r="V9" i="14"/>
  <c r="I13" i="18" s="1"/>
  <c r="AD10" i="14"/>
  <c r="G12" i="14"/>
  <c r="J15" i="14"/>
  <c r="V16" i="14"/>
  <c r="L18" i="14"/>
  <c r="V20" i="14"/>
  <c r="L24" i="14"/>
  <c r="F75" i="21" s="1"/>
  <c r="F26" i="14"/>
  <c r="I47" i="18"/>
  <c r="D14" i="14"/>
  <c r="I17" i="18"/>
  <c r="N13" i="14"/>
  <c r="N14" i="14"/>
  <c r="N28" i="14"/>
  <c r="F42" i="18"/>
  <c r="Z7" i="14"/>
  <c r="Y8" i="14"/>
  <c r="X9" i="14"/>
  <c r="D30" i="14"/>
  <c r="D27" i="14"/>
  <c r="D7" i="14"/>
  <c r="I10" i="18"/>
  <c r="AA7" i="14"/>
  <c r="F12" i="14"/>
  <c r="D13" i="14"/>
  <c r="AB13" i="14"/>
  <c r="F35" i="18"/>
  <c r="N27" i="14"/>
  <c r="I11" i="18"/>
  <c r="N7" i="14"/>
  <c r="AB7" i="14"/>
  <c r="Y10" i="14"/>
  <c r="F33" i="18"/>
  <c r="AD13" i="14"/>
  <c r="D28" i="14"/>
  <c r="AD7" i="14"/>
  <c r="AD14" i="14"/>
  <c r="L16" i="14"/>
  <c r="X18" i="14"/>
  <c r="L20" i="14"/>
  <c r="X23" i="14"/>
  <c r="L25" i="14"/>
  <c r="V29" i="14"/>
  <c r="F49" i="18"/>
  <c r="AA16" i="14"/>
  <c r="L17" i="14"/>
  <c r="X19" i="14"/>
  <c r="L21" i="14"/>
  <c r="Y23" i="14"/>
  <c r="AD23" i="14"/>
  <c r="X24" i="14"/>
  <c r="I52" i="18"/>
  <c r="X29" i="14"/>
  <c r="I56" i="18"/>
  <c r="I26" i="18"/>
  <c r="C25" i="18"/>
  <c r="C49" i="18"/>
  <c r="X16" i="14"/>
  <c r="N22" i="14"/>
  <c r="Z23" i="14"/>
  <c r="H26" i="14"/>
  <c r="I53" i="18"/>
  <c r="I57" i="18"/>
  <c r="AB30" i="14"/>
  <c r="I12" i="18"/>
  <c r="E26" i="14"/>
  <c r="AB28" i="14"/>
  <c r="AB29" i="14"/>
  <c r="I22" i="18"/>
  <c r="C21" i="18"/>
  <c r="I50" i="18"/>
  <c r="F54" i="18"/>
  <c r="AD29" i="14"/>
  <c r="AD26" i="14" s="1"/>
  <c r="E19" i="21" l="1"/>
  <c r="E42" i="21"/>
  <c r="E40" i="21"/>
  <c r="D30" i="20"/>
  <c r="D55" i="20"/>
  <c r="E62" i="21"/>
  <c r="E109" i="21"/>
  <c r="E74" i="21"/>
  <c r="D91" i="20"/>
  <c r="D90" i="20"/>
  <c r="E22" i="21"/>
  <c r="D87" i="20"/>
  <c r="D20" i="20"/>
  <c r="E75" i="21"/>
  <c r="E96" i="21"/>
  <c r="F27" i="20"/>
  <c r="D27" i="20" s="1"/>
  <c r="D41" i="20"/>
  <c r="D53" i="20"/>
  <c r="E43" i="21"/>
  <c r="E33" i="21"/>
  <c r="D29" i="20"/>
  <c r="D77" i="20"/>
  <c r="F99" i="20"/>
  <c r="E108" i="21"/>
  <c r="D102" i="20"/>
  <c r="F38" i="20"/>
  <c r="F37" i="20" s="1"/>
  <c r="G39" i="21"/>
  <c r="F7" i="20"/>
  <c r="F6" i="20" s="1"/>
  <c r="F17" i="20"/>
  <c r="D42" i="20"/>
  <c r="D31" i="20"/>
  <c r="V14" i="14"/>
  <c r="G12" i="21" s="1"/>
  <c r="F10" i="20"/>
  <c r="G28" i="21"/>
  <c r="G65" i="21"/>
  <c r="F54" i="20"/>
  <c r="F48" i="20" s="1"/>
  <c r="E63" i="21"/>
  <c r="D101" i="20"/>
  <c r="E32" i="21"/>
  <c r="E21" i="21"/>
  <c r="E38" i="20"/>
  <c r="E37" i="20" s="1"/>
  <c r="D56" i="20"/>
  <c r="E92" i="21"/>
  <c r="E121" i="21"/>
  <c r="D40" i="20"/>
  <c r="E117" i="21"/>
  <c r="F96" i="20"/>
  <c r="E95" i="21"/>
  <c r="E12" i="20"/>
  <c r="F115" i="21"/>
  <c r="G18" i="21"/>
  <c r="F9" i="20"/>
  <c r="G67" i="21"/>
  <c r="F89" i="20"/>
  <c r="D78" i="20"/>
  <c r="D19" i="20"/>
  <c r="D57" i="20"/>
  <c r="D103" i="20"/>
  <c r="V28" i="14"/>
  <c r="G91" i="21"/>
  <c r="F11" i="20"/>
  <c r="F67" i="21"/>
  <c r="E89" i="20"/>
  <c r="G115" i="21"/>
  <c r="F12" i="20"/>
  <c r="E11" i="20"/>
  <c r="F91" i="21"/>
  <c r="D52" i="20"/>
  <c r="D100" i="20"/>
  <c r="E29" i="21"/>
  <c r="F86" i="20"/>
  <c r="F83" i="20" s="1"/>
  <c r="E97" i="21"/>
  <c r="E120" i="21"/>
  <c r="E104" i="21"/>
  <c r="E17" i="20"/>
  <c r="D17" i="20" s="1"/>
  <c r="D18" i="20"/>
  <c r="E84" i="20"/>
  <c r="D84" i="20" s="1"/>
  <c r="D85" i="20"/>
  <c r="E49" i="20"/>
  <c r="D49" i="20" s="1"/>
  <c r="D50" i="20"/>
  <c r="E86" i="20"/>
  <c r="D88" i="20"/>
  <c r="E97" i="20"/>
  <c r="D97" i="20" s="1"/>
  <c r="D98" i="20"/>
  <c r="F28" i="21"/>
  <c r="E10" i="20"/>
  <c r="F18" i="21"/>
  <c r="E9" i="20"/>
  <c r="F39" i="21"/>
  <c r="E7" i="20"/>
  <c r="F65" i="21"/>
  <c r="E54" i="20"/>
  <c r="E99" i="20"/>
  <c r="AB6" i="14"/>
  <c r="R11" i="14"/>
  <c r="R4" i="14" s="1"/>
  <c r="F34" i="18"/>
  <c r="F32" i="18" s="1"/>
  <c r="T11" i="14"/>
  <c r="T4" i="14" s="1"/>
  <c r="O11" i="14"/>
  <c r="O4" i="14" s="1"/>
  <c r="J11" i="14"/>
  <c r="J4" i="14" s="1"/>
  <c r="H11" i="14"/>
  <c r="H4" i="14" s="1"/>
  <c r="V22" i="14"/>
  <c r="C31" i="18"/>
  <c r="C29" i="18" s="1"/>
  <c r="F31" i="18"/>
  <c r="F29" i="18" s="1"/>
  <c r="Y15" i="14"/>
  <c r="AD22" i="14"/>
  <c r="U11" i="14"/>
  <c r="U4" i="14" s="1"/>
  <c r="Z6" i="14"/>
  <c r="Y22" i="14"/>
  <c r="AA26" i="14"/>
  <c r="Y26" i="14"/>
  <c r="AD15" i="14"/>
  <c r="Z26" i="14"/>
  <c r="F11" i="14"/>
  <c r="F4" i="14" s="1"/>
  <c r="Q11" i="14"/>
  <c r="Q4" i="14" s="1"/>
  <c r="AB15" i="14"/>
  <c r="P11" i="14"/>
  <c r="P4" i="14" s="1"/>
  <c r="AE20" i="14"/>
  <c r="D19" i="4" s="1"/>
  <c r="AA15" i="14"/>
  <c r="AA22" i="14"/>
  <c r="Z15" i="14"/>
  <c r="AA12" i="14"/>
  <c r="V15" i="14"/>
  <c r="AE24" i="14"/>
  <c r="D23" i="4" s="1"/>
  <c r="Z22" i="14"/>
  <c r="AD6" i="14"/>
  <c r="G11" i="14"/>
  <c r="G4" i="14" s="1"/>
  <c r="F6" i="18"/>
  <c r="Y6" i="14"/>
  <c r="AE17" i="14"/>
  <c r="D16" i="4" s="1"/>
  <c r="Z12" i="14"/>
  <c r="Y12" i="14"/>
  <c r="AE10" i="14"/>
  <c r="D9" i="4" s="1"/>
  <c r="AB12" i="14"/>
  <c r="AA6" i="14"/>
  <c r="AE21" i="14"/>
  <c r="AE18" i="14"/>
  <c r="D17" i="4" s="1"/>
  <c r="I33" i="18"/>
  <c r="AE19" i="14"/>
  <c r="D18" i="4" s="1"/>
  <c r="AE9" i="14"/>
  <c r="D8" i="4" s="1"/>
  <c r="C32" i="18"/>
  <c r="AB22" i="14"/>
  <c r="AE25" i="14"/>
  <c r="D24" i="4" s="1"/>
  <c r="E11" i="14"/>
  <c r="E4" i="14" s="1"/>
  <c r="AE29" i="14"/>
  <c r="X22" i="14"/>
  <c r="AE23" i="14"/>
  <c r="AD12" i="14"/>
  <c r="I21" i="18"/>
  <c r="X15" i="14"/>
  <c r="AE16" i="14"/>
  <c r="I25" i="18"/>
  <c r="L15" i="14"/>
  <c r="L28" i="14"/>
  <c r="X28" i="14"/>
  <c r="N26" i="14"/>
  <c r="V27" i="14"/>
  <c r="L22" i="14"/>
  <c r="L27" i="14"/>
  <c r="D26" i="14"/>
  <c r="X27" i="14"/>
  <c r="AE27" i="14" s="1"/>
  <c r="I30" i="18"/>
  <c r="I36" i="18"/>
  <c r="C35" i="18"/>
  <c r="X14" i="14"/>
  <c r="AE14" i="14" s="1"/>
  <c r="L14" i="14"/>
  <c r="F12" i="21" s="1"/>
  <c r="AE8" i="14"/>
  <c r="V7" i="14"/>
  <c r="N6" i="14"/>
  <c r="AB26" i="14"/>
  <c r="X13" i="14"/>
  <c r="D12" i="14"/>
  <c r="D11" i="14" s="1"/>
  <c r="L13" i="14"/>
  <c r="F11" i="21" s="1"/>
  <c r="I8" i="18"/>
  <c r="C7" i="18"/>
  <c r="V13" i="14"/>
  <c r="N12" i="14"/>
  <c r="N11" i="14" s="1"/>
  <c r="I18" i="18"/>
  <c r="I43" i="18"/>
  <c r="C42" i="18"/>
  <c r="K30" i="14"/>
  <c r="K26" i="14" s="1"/>
  <c r="K11" i="14" s="1"/>
  <c r="X30" i="14"/>
  <c r="AE30" i="14" s="1"/>
  <c r="I49" i="18"/>
  <c r="D6" i="14"/>
  <c r="X7" i="14"/>
  <c r="L7" i="14"/>
  <c r="F9" i="21" s="1"/>
  <c r="I55" i="18"/>
  <c r="C54" i="18"/>
  <c r="F16" i="18"/>
  <c r="E28" i="21" l="1"/>
  <c r="D37" i="20"/>
  <c r="E39" i="21"/>
  <c r="F8" i="20"/>
  <c r="F5" i="20" s="1"/>
  <c r="D11" i="20"/>
  <c r="E67" i="21"/>
  <c r="E12" i="21"/>
  <c r="D86" i="20"/>
  <c r="D54" i="20"/>
  <c r="E65" i="21"/>
  <c r="E18" i="21"/>
  <c r="D38" i="20"/>
  <c r="E91" i="21"/>
  <c r="D89" i="20"/>
  <c r="E83" i="20"/>
  <c r="D83" i="20" s="1"/>
  <c r="E48" i="20"/>
  <c r="D48" i="20" s="1"/>
  <c r="E115" i="21"/>
  <c r="V12" i="14"/>
  <c r="G11" i="21"/>
  <c r="E11" i="21" s="1"/>
  <c r="V6" i="14"/>
  <c r="G9" i="21"/>
  <c r="E9" i="21" s="1"/>
  <c r="D10" i="20"/>
  <c r="D12" i="20"/>
  <c r="E8" i="20"/>
  <c r="D8" i="20" s="1"/>
  <c r="D9" i="20"/>
  <c r="E96" i="20"/>
  <c r="D96" i="20" s="1"/>
  <c r="D99" i="20"/>
  <c r="E6" i="20"/>
  <c r="D6" i="20" s="1"/>
  <c r="D7" i="20"/>
  <c r="I34" i="18"/>
  <c r="I32" i="18" s="1"/>
  <c r="I31" i="18"/>
  <c r="I29" i="18" s="1"/>
  <c r="G8" i="1"/>
  <c r="G7" i="1" s="1"/>
  <c r="H7" i="1"/>
  <c r="K4" i="14"/>
  <c r="AD11" i="14"/>
  <c r="AD4" i="14" s="1"/>
  <c r="AA11" i="14"/>
  <c r="AA4" i="14" s="1"/>
  <c r="Z11" i="14"/>
  <c r="Z4" i="14" s="1"/>
  <c r="Y11" i="14"/>
  <c r="Y4" i="14" s="1"/>
  <c r="D4" i="14"/>
  <c r="AB11" i="14"/>
  <c r="AB4" i="14" s="1"/>
  <c r="D20" i="4"/>
  <c r="C15" i="18"/>
  <c r="I54" i="18"/>
  <c r="X6" i="14"/>
  <c r="AE7" i="14"/>
  <c r="D29" i="4"/>
  <c r="L12" i="14"/>
  <c r="N4" i="14"/>
  <c r="D13" i="4"/>
  <c r="AE28" i="14"/>
  <c r="X26" i="14"/>
  <c r="D15" i="4"/>
  <c r="AE15" i="14"/>
  <c r="D22" i="4"/>
  <c r="D21" i="4" s="1"/>
  <c r="AE22" i="14"/>
  <c r="C6" i="18"/>
  <c r="V26" i="14"/>
  <c r="D28" i="4"/>
  <c r="F15" i="18"/>
  <c r="L30" i="14"/>
  <c r="I42" i="18"/>
  <c r="I7" i="18"/>
  <c r="AE13" i="14"/>
  <c r="X12" i="14"/>
  <c r="D7" i="4"/>
  <c r="I16" i="18"/>
  <c r="I35" i="18"/>
  <c r="D26" i="4"/>
  <c r="E5" i="20" l="1"/>
  <c r="D5" i="20" s="1"/>
  <c r="X11" i="14"/>
  <c r="X4" i="14" s="1"/>
  <c r="D12" i="4"/>
  <c r="AE12" i="14"/>
  <c r="D6" i="4"/>
  <c r="AE6" i="14"/>
  <c r="I6" i="18"/>
  <c r="C5" i="18"/>
  <c r="D14" i="4"/>
  <c r="D27" i="4"/>
  <c r="D25" i="4" s="1"/>
  <c r="AE26" i="14"/>
  <c r="L11" i="14"/>
  <c r="I15" i="18"/>
  <c r="F5" i="18"/>
  <c r="H15" i="18" s="1"/>
  <c r="L26" i="14"/>
  <c r="I5" i="18" l="1"/>
  <c r="J6" i="18" s="1"/>
  <c r="E13" i="18"/>
  <c r="E9" i="18"/>
  <c r="E11" i="18"/>
  <c r="E32" i="18"/>
  <c r="E12" i="18"/>
  <c r="E10" i="18"/>
  <c r="E19" i="18"/>
  <c r="E17" i="18"/>
  <c r="E14" i="18"/>
  <c r="E49" i="18"/>
  <c r="E18" i="18"/>
  <c r="E21" i="18"/>
  <c r="E25" i="18"/>
  <c r="E7" i="18"/>
  <c r="E35" i="18"/>
  <c r="E16" i="18"/>
  <c r="E54" i="18"/>
  <c r="E29" i="18"/>
  <c r="E42" i="18"/>
  <c r="V11" i="14"/>
  <c r="AE11" i="14"/>
  <c r="E6" i="18"/>
  <c r="E15" i="18"/>
  <c r="H25" i="18"/>
  <c r="H19" i="18"/>
  <c r="H21" i="18"/>
  <c r="H7" i="18"/>
  <c r="H29" i="18"/>
  <c r="H35" i="18"/>
  <c r="H49" i="18"/>
  <c r="H32" i="18"/>
  <c r="H42" i="18"/>
  <c r="H54" i="18"/>
  <c r="H6" i="18"/>
  <c r="H16" i="18"/>
  <c r="D5" i="4"/>
  <c r="D11" i="4"/>
  <c r="H5" i="18" l="1"/>
  <c r="J15" i="18"/>
  <c r="E5" i="18"/>
  <c r="D10" i="4"/>
  <c r="AE4" i="14"/>
  <c r="AC5" i="14" s="1"/>
  <c r="V4" i="14"/>
  <c r="J24" i="18"/>
  <c r="J40" i="18"/>
  <c r="J20" i="18"/>
  <c r="J41" i="18"/>
  <c r="J37" i="18"/>
  <c r="J13" i="18"/>
  <c r="J46" i="18"/>
  <c r="J47" i="18"/>
  <c r="J19" i="18"/>
  <c r="J27" i="18"/>
  <c r="J38" i="18"/>
  <c r="J28" i="18"/>
  <c r="J34" i="18"/>
  <c r="J39" i="18"/>
  <c r="J23" i="18"/>
  <c r="J44" i="18"/>
  <c r="J45" i="18"/>
  <c r="J9" i="18"/>
  <c r="J48" i="18"/>
  <c r="J51" i="18"/>
  <c r="J17" i="18"/>
  <c r="J12" i="18"/>
  <c r="J26" i="18"/>
  <c r="J10" i="18"/>
  <c r="J53" i="18"/>
  <c r="J14" i="18"/>
  <c r="J57" i="18"/>
  <c r="J56" i="18"/>
  <c r="J33" i="18"/>
  <c r="J52" i="18"/>
  <c r="J22" i="18"/>
  <c r="J11" i="18"/>
  <c r="J50" i="18"/>
  <c r="J18" i="18"/>
  <c r="J55" i="18"/>
  <c r="J30" i="18"/>
  <c r="J49" i="18"/>
  <c r="J8" i="18"/>
  <c r="J32" i="18"/>
  <c r="J36" i="18"/>
  <c r="J21" i="18"/>
  <c r="J31" i="18"/>
  <c r="J43" i="18"/>
  <c r="J25" i="18"/>
  <c r="J16" i="18"/>
  <c r="J42" i="18"/>
  <c r="J29" i="18"/>
  <c r="J7" i="18"/>
  <c r="J35" i="18"/>
  <c r="J54" i="18"/>
  <c r="W31" i="14" l="1"/>
  <c r="S5" i="14"/>
  <c r="AF11" i="14"/>
  <c r="AF31" i="14"/>
  <c r="AE5" i="14"/>
  <c r="AF4" i="14"/>
  <c r="AF21" i="14"/>
  <c r="AF25" i="14"/>
  <c r="AF17" i="14"/>
  <c r="AF19" i="14"/>
  <c r="AF24" i="14"/>
  <c r="AF18" i="14"/>
  <c r="AF9" i="14"/>
  <c r="AF10" i="14"/>
  <c r="AF20" i="14"/>
  <c r="AB5" i="14"/>
  <c r="Z5" i="14"/>
  <c r="AD5" i="14"/>
  <c r="AF14" i="14"/>
  <c r="AF23" i="14"/>
  <c r="AF29" i="14"/>
  <c r="AA5" i="14"/>
  <c r="AF30" i="14"/>
  <c r="AF16" i="14"/>
  <c r="AF8" i="14"/>
  <c r="AF27" i="14"/>
  <c r="Y5" i="14"/>
  <c r="AF13" i="14"/>
  <c r="AF7" i="14"/>
  <c r="AF15" i="14"/>
  <c r="AF22" i="14"/>
  <c r="AF28" i="14"/>
  <c r="AF12" i="14"/>
  <c r="AF6" i="14"/>
  <c r="AF26" i="14"/>
  <c r="X5" i="14"/>
  <c r="V5" i="14"/>
  <c r="T5" i="14"/>
  <c r="P5" i="14"/>
  <c r="R5" i="14"/>
  <c r="W30" i="14"/>
  <c r="O5" i="14"/>
  <c r="W22" i="14"/>
  <c r="W15" i="14"/>
  <c r="Q5" i="14"/>
  <c r="W29" i="14"/>
  <c r="W28" i="14"/>
  <c r="W27" i="14"/>
  <c r="W6" i="14"/>
  <c r="W12" i="14"/>
  <c r="W26" i="14"/>
  <c r="N5" i="14"/>
  <c r="W11" i="14"/>
  <c r="D4" i="4"/>
  <c r="E24" i="4" l="1"/>
  <c r="E16" i="4"/>
  <c r="E17" i="4"/>
  <c r="E19" i="4"/>
  <c r="E18" i="4"/>
  <c r="E8" i="4"/>
  <c r="E9" i="4"/>
  <c r="E7" i="4"/>
  <c r="E13" i="4"/>
  <c r="E15" i="4"/>
  <c r="E25" i="4"/>
  <c r="E12" i="4"/>
  <c r="E14" i="4"/>
  <c r="E6" i="4"/>
  <c r="E5" i="4"/>
  <c r="E11" i="4"/>
  <c r="E10" i="4"/>
  <c r="L8" i="14"/>
  <c r="L9" i="14"/>
  <c r="L10" i="14"/>
  <c r="I6" i="14"/>
  <c r="I4" i="14" s="1"/>
  <c r="L6" i="14" l="1"/>
  <c r="L4" i="14" l="1"/>
  <c r="D5" i="14" l="1"/>
  <c r="M30" i="14"/>
  <c r="M28" i="14"/>
  <c r="M11" i="14"/>
  <c r="M7" i="14"/>
  <c r="M12" i="14"/>
  <c r="U5" i="14"/>
  <c r="M29" i="14"/>
  <c r="M25" i="14"/>
  <c r="M18" i="14"/>
  <c r="M26" i="14"/>
  <c r="M23" i="14"/>
  <c r="G5" i="14"/>
  <c r="M31" i="14"/>
  <c r="M13" i="14"/>
  <c r="M24" i="14"/>
  <c r="M27" i="14"/>
  <c r="M20" i="14"/>
  <c r="H5" i="14"/>
  <c r="M21" i="14"/>
  <c r="M14" i="14"/>
  <c r="M22" i="14"/>
  <c r="M9" i="14"/>
  <c r="L5" i="14"/>
  <c r="M16" i="14"/>
  <c r="M17" i="14"/>
  <c r="F5" i="14"/>
  <c r="M19" i="14"/>
  <c r="K5" i="14"/>
  <c r="M15" i="14"/>
  <c r="J5" i="14"/>
  <c r="E5" i="14"/>
  <c r="M10" i="14"/>
  <c r="M8" i="14"/>
  <c r="I5" i="14"/>
  <c r="M6" i="14"/>
</calcChain>
</file>

<file path=xl/sharedStrings.xml><?xml version="1.0" encoding="utf-8"?>
<sst xmlns="http://schemas.openxmlformats.org/spreadsheetml/2006/main" count="1002" uniqueCount="363">
  <si>
    <t>TT</t>
  </si>
  <si>
    <t>Nội dung/ hạng mục đầu tư, mua sắm</t>
  </si>
  <si>
    <t>Đơn vị tính</t>
  </si>
  <si>
    <t>USD</t>
  </si>
  <si>
    <t>I</t>
  </si>
  <si>
    <t>CƠ ĐIỆN</t>
  </si>
  <si>
    <t>CĐ</t>
  </si>
  <si>
    <t>VT</t>
  </si>
  <si>
    <t>-</t>
  </si>
  <si>
    <t>HT</t>
  </si>
  <si>
    <t>II</t>
  </si>
  <si>
    <t>A</t>
  </si>
  <si>
    <t>VÔ TUYẾN</t>
  </si>
  <si>
    <t>MẠNG LÕI</t>
  </si>
  <si>
    <t>ML</t>
  </si>
  <si>
    <t>III</t>
  </si>
  <si>
    <t>TRUYỀN DẪN</t>
  </si>
  <si>
    <t>TD</t>
  </si>
  <si>
    <t>IV</t>
  </si>
  <si>
    <t>CĐBR</t>
  </si>
  <si>
    <t>V</t>
  </si>
  <si>
    <t>CNTT</t>
  </si>
  <si>
    <t>B</t>
  </si>
  <si>
    <t>C</t>
  </si>
  <si>
    <t>D</t>
  </si>
  <si>
    <t>E</t>
  </si>
  <si>
    <t>F</t>
  </si>
  <si>
    <t>TK</t>
  </si>
  <si>
    <t>Mạng lõi</t>
  </si>
  <si>
    <t>Vô tuyến</t>
  </si>
  <si>
    <t>Truyền dẫn</t>
  </si>
  <si>
    <t>Cơ điện</t>
  </si>
  <si>
    <t>Mạng 4G</t>
  </si>
  <si>
    <t>Nội dung</t>
  </si>
  <si>
    <t>TỔNG ĐẦU TƯ</t>
  </si>
  <si>
    <t>Dung lượng (đầu tư + triển khai)</t>
  </si>
  <si>
    <t>Dung lượng (đầu tư)</t>
  </si>
  <si>
    <t>CĐBR-TH</t>
  </si>
  <si>
    <t>Lĩnh vực</t>
  </si>
  <si>
    <t>Khối lượng các hạng mục đầu tư chính</t>
  </si>
  <si>
    <t>Tỷ trọng</t>
  </si>
  <si>
    <t>Tổng</t>
  </si>
  <si>
    <t>Tỷ trọng (%)</t>
  </si>
  <si>
    <t>Mã mảng</t>
  </si>
  <si>
    <t>Mã DV</t>
  </si>
  <si>
    <t>Mã loại</t>
  </si>
  <si>
    <t>Mảng</t>
  </si>
  <si>
    <t>5G</t>
  </si>
  <si>
    <t>STT</t>
  </si>
  <si>
    <t>*</t>
  </si>
  <si>
    <t>VII</t>
  </si>
  <si>
    <t>ATTT</t>
  </si>
  <si>
    <t>P1</t>
  </si>
  <si>
    <t>VTTB</t>
  </si>
  <si>
    <t>Mạng 5G</t>
  </si>
  <si>
    <t>Bức tranh mạng lưới sau QHĐC</t>
  </si>
  <si>
    <t>Datacenter</t>
  </si>
  <si>
    <t xml:space="preserve">   Vùng phủ GPON</t>
  </si>
  <si>
    <t xml:space="preserve">   ERP</t>
  </si>
  <si>
    <t>Củng cố kiên cố</t>
  </si>
  <si>
    <t>Phục vụ kinh doanh Cloud</t>
  </si>
  <si>
    <t>Data Center</t>
  </si>
  <si>
    <t>Vùng phủ GPON</t>
  </si>
  <si>
    <t>Đơn giá dự kiến</t>
  </si>
  <si>
    <t>Cloud_KD</t>
  </si>
  <si>
    <t>DC</t>
  </si>
  <si>
    <t>TH</t>
  </si>
  <si>
    <t>Không xóa</t>
  </si>
  <si>
    <t>VPDĐ</t>
  </si>
  <si>
    <t>DLDĐ</t>
  </si>
  <si>
    <t>VPGPON</t>
  </si>
  <si>
    <t>DLGPON</t>
  </si>
  <si>
    <t>KHÔNG XÓA</t>
  </si>
  <si>
    <t>Đảm bảo VHKT và chất lượng mạng</t>
  </si>
  <si>
    <t>Vùng phủ ngoài trời (VTTB + Triển khai)</t>
  </si>
  <si>
    <t>Dung lượng Internet</t>
  </si>
  <si>
    <t>Dung lượng Truyền hình</t>
  </si>
  <si>
    <t>VHKT</t>
  </si>
  <si>
    <t>Vùng phủ (đầu tư thiết bị + triển khai)</t>
  </si>
  <si>
    <t>DLMETRO</t>
  </si>
  <si>
    <t>DLIPBN</t>
  </si>
  <si>
    <t>DC_X</t>
  </si>
  <si>
    <t>Ko xóa</t>
  </si>
  <si>
    <t>IoT</t>
  </si>
  <si>
    <t xml:space="preserve">   Dung lượng Internet</t>
  </si>
  <si>
    <t xml:space="preserve">   Dung lượng Truyền hình</t>
  </si>
  <si>
    <t xml:space="preserve">   VAS</t>
  </si>
  <si>
    <t xml:space="preserve">   Fintech</t>
  </si>
  <si>
    <t>Tỷ trọng
(%)</t>
  </si>
  <si>
    <t>Hạng mục đầu tư, triển khai chính</t>
  </si>
  <si>
    <t>Tỷ trọng theo mảng</t>
  </si>
  <si>
    <t>Kênh truyền</t>
  </si>
  <si>
    <t xml:space="preserve">   Kênh truyền</t>
  </si>
  <si>
    <t>DV5G</t>
  </si>
  <si>
    <t>KT</t>
  </si>
  <si>
    <t>BigData</t>
  </si>
  <si>
    <t>Thành tiền dự kiến (VNĐ)</t>
  </si>
  <si>
    <t>Dự kiến đơn vị đầu tư, mua sắm</t>
  </si>
  <si>
    <t>Bền vững mạng lưới trong thiên tai</t>
  </si>
  <si>
    <t>PCTT</t>
  </si>
  <si>
    <t xml:space="preserve">Đảm bảo VHKT </t>
  </si>
  <si>
    <t>4G vùng phủ</t>
  </si>
  <si>
    <t>4G dung lượng</t>
  </si>
  <si>
    <t>Mạng BRCĐ&amp;TH</t>
  </si>
  <si>
    <t>Kiên cố thường trình</t>
  </si>
  <si>
    <t>Private Mobile Network</t>
  </si>
  <si>
    <t>Triển khai hạ tầng CNTT</t>
  </si>
  <si>
    <t>Công nghệ mới triển khai diện rộng cho kinh doanh</t>
  </si>
  <si>
    <t>XGSPON</t>
  </si>
  <si>
    <t>AI/GPU</t>
  </si>
  <si>
    <t>PMN</t>
  </si>
  <si>
    <t>Mở rộng mạng lưới hiện tại cho kinh doanh</t>
  </si>
  <si>
    <t xml:space="preserve">Công nghệ mới triển khai diện rộng cho kinh doanh </t>
  </si>
  <si>
    <t>Trực tiếp kinh doanh</t>
  </si>
  <si>
    <t>Hỗ trợ kinh doanh và quản trị</t>
  </si>
  <si>
    <t>Đảm bảo VHKT, kiên cố, bền vững trong thiên tai</t>
  </si>
  <si>
    <t>TTKD</t>
  </si>
  <si>
    <t>HTKD</t>
  </si>
  <si>
    <t>KCTT</t>
  </si>
  <si>
    <t>Triển khai cho 1.136 km cáp quang trong đó: Tách cáp chung lộ 139.8 km; ngầm hoá tuyến cáp 996.2 km</t>
  </si>
  <si>
    <t>An toàn thông tin</t>
  </si>
  <si>
    <t>Đầu tư giải pháp WAF và giải pháp DDoS</t>
  </si>
  <si>
    <t>Hạ tầng CNTT được bảo vệ bằng các biện pháp ATTT triển khai đồng bộ theo tiêu chuẩn NIST Cyber Securiy Framework.</t>
  </si>
  <si>
    <t>Mở rộng vùng phủ XGSPON đáp ứng nhu cầu kinh doanh gói cước ARPU cao</t>
  </si>
  <si>
    <t>Đáp ứng nhu cầu kinh doanh kênh thuê riêng của VTS</t>
  </si>
  <si>
    <t xml:space="preserve"> Đầu tư thiết bị IP theo nhu cầu đấu nối của VTS và thiết bị DWDM theo nhu cầu kênh thuê riêng VTS.</t>
  </si>
  <si>
    <t>- Swap thay thế 08 thiết bị máy chủ của Headend đã EoL, EoS đầu tư từ 2017(~119 kênh);
- Triển khai multi-site Headend (2 site KV2, KV3);  
- Đầu tư bổ sung hệ thống đo kiểm chất lượng kênh truyền hình triển khai đến POP CDN (dung lượng 216 kênh OTT và 4 POP)
 --&gt; Giúp tăng dự phòng, khả năng giám sát và nâng cao chất lượng dịch vụ truyền hình OTT.</t>
  </si>
  <si>
    <t>- Swap Metro QNH và QNM (swap AGG, CT); đấu CT mới 02 tỉnh QNH và QNM; bổ sung thiết bị Viba, VSAT; 
- Triển khai kiên cố TD liên tỉnh (vùng gió III, IV; Sạt lở) ~ 38/63 tỉnh/TP ~ 56%; liên huyện: (vùng gió IV và sạt lở) ~ 207/704 huyện~30% ; Trạm UT (vùng gió 4, sạt lở) ~ 1293/3530 trạm UT vùng gói III, IV ~ 37%</t>
  </si>
  <si>
    <t>Đầu tư thay thế các thiết bị EOL, đến ngưỡng (12 hệ thống UPS frame 200kVA; 16 hệ thống tủ nguồn DC 2000A; 20 hệ thống ĐHCX 150.000 BTU/h; 33 tổ ắc quy chì 2V-2000Ah; 15 tổ ắc quy chì 2V-1000Ah) và các giải pháp đo kiểm, đánh giá, nâng cao chất lượng VHKT các tổng trạm khu vực</t>
  </si>
  <si>
    <t>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 và chi phí triển khai.</t>
  </si>
  <si>
    <t>Đầu tư 600 máy phát điện dầu 20kVA; 1.662 máy phát điện dầu 12kVA; 2.262 ATS 3 pha 63A; 4.623 bình ắc quy Lithium 48V-100Ah; 2.486 bình portable battery Lithium; Xây mới 1.884 bệ đặt máy phát điện + 348 nhà đặt máy phát điện vượt lũ và chi phí triển khai</t>
  </si>
  <si>
    <t>- Ngầm hoá theo yêu cầu của UBND tỉnh/TP góp phần làm đẹp cảnh quan đô thị và bền vững mạng lưới truyền dẫn.
- Cơ điện: Củng cố hạ tầng cơ điện trạm BTS đáp ứng yêu cầu thiết kế cũng như vận hành khai thác</t>
  </si>
  <si>
    <t>Đây là dịch vụ mới, chi phí đầu tư cao, cần có thêm đánh giá hiệu quả đầu tư thực tế mới có thể triển khai đại trà</t>
  </si>
  <si>
    <t>Đầu tư thiết bị GPU phục vụ nhu cầu kinh doanh toàn Tập đoàn, lũy kế 554 máy chủ</t>
  </si>
  <si>
    <t>Nâng cao chất lượng mạng lưới (thay thế, bổ sung dung lượng dự phòng,...) với 119 máy chủ, 8 thiết bị lưu trữ SAN, 0,308 PB lưu trữ NAS, 4,7 PB lưu trữ Object và thiết bị mạng.</t>
  </si>
  <si>
    <t>Triển khai kiên cố cho 550 trạm quá tải trọng hàng năm</t>
  </si>
  <si>
    <t>- Vô tuyến: Triển khai kiên cố cho 550 trạm quá tải trọng hàng năm
- BRCĐ: Triển khai cho 1.136 km cáp quang trong đó: Tách cáp chung lộ 139.8 km; ngầm hoá tuyến cáp 996.2 km.
- Truyền dẫn: Triển khai ngầm XHH tại 10 tỉnh ~ 455 km cống bể/ trên 234km đường theo đề xuất VT tỉnh TP (đã trừ 7 tỉnh ven biển trùng chương trình kiên cố bão ~ 230km cống bể/120 km đường).
- Cơ điện: Cải tạo điện yếu cho 1.535 trạm; Đầu tư 1.275 tủ nguồn tích hợp AC V5-3P và attomat 3 pha 4 cực 63A cho các trạm cải tạo lên 3 pha; Cải tạo tiếp địa cho 10 trạm; Đầu tư 50 tủ cắt sét 200kA; 1.058 tủ cắt sét 3 pha; 2.320 bộ CLS 1 pha; 1.655 bộ CLS 3 pha; 918 bộ SPD 1 pha (cho tủ AC box RRU kéo dài); 3.232 bộ giám sát tủ nguồn DC; 1.161 ATS 3 pha 63A; 12 tủ MSB 250A; 672 bình (28 tổ) ắc quy chì 2V-500Ah; Xây mới 1.161 bệ đặt MPĐ dầu; Đầu tư 3.647 bộ iACV; 300 tổ ắc quy Sodium.</t>
  </si>
  <si>
    <r>
      <t xml:space="preserve">- Đảm bảo kiên cố hạ tầng cột, nhà trạm và truyền dẫn trục Quốc gia theo kiến trúc mới.
- 33/63 tỉnh có 02 cáp kiên cố là của Viettel. 207/705 huyện vùng gió IV và sạt lở đảm bảo kiên cố.
- Swap thiết bị AGG/CT Metro QNH và QNM theo thiết kế kiến cố mới, vật tư swap ra tiếp tục triển khai nâng cấp dung lượng và kiên cố các tỉnh khác.
- Đảm bảo tài nguyên cơ điện cho 25 tỉnh ven biển và 11 tỉnh thường xuyên lũ lụt, sạt lở, giúp duy trì mạng lưới xuyên suốt ngay cả trong thiên tai
</t>
    </r>
    <r>
      <rPr>
        <i/>
        <sz val="10"/>
        <rFont val="Times New Roman"/>
        <family val="1"/>
      </rPr>
      <t>=&gt; Đảm bảo vùng phủ outdoor 4G đạt tối thiểu 90% trong và sau thiên tai tại khu vực vùng gió IV và sạt lở.</t>
    </r>
  </si>
  <si>
    <t>Đầu tư gá antena, gia cố jumper, dây quang; thực hiện kiên cố hạ tầng cột, nhà trạm theo cho 321 trạm theo ưu tiên 1 và đầu tư xe phát sóng chỉ huy, dã chiến đảm bảo hoạt động liên tục trong thiên tai</t>
  </si>
  <si>
    <t>- Vô tuyến: Đầu tư gá antena, gia cố jumper, dây quang; thực hiện kiên cố hạ tầng cột, nhà trạm theo cho 321 trạm theo ưu tiên 1 và đầu tư xe phát sóng chỉ huy, dã chiến đảm bảo hoạt động liên tục trong thiên tai
- Truyền dẫn: Swap Metro QNH và QNM (swap AGG, CT); đấu CT mới 02 tỉnh QNH và QNM; bổ sung thiết bị Viba, VSAT; Triển khai kiên cố TD liên tỉnh (vùng gió III, IV; Sạt lở) ~ 38/63 tỉnh/TP ~ 56%; liên huyện: (vùng gió IV và sạt lở) ~ 207/704 huyện~30% ; Trạm UT (vùng gió 4, sạt lở) ~ 1293/3530 trạm UT vùng gói III, IV ~ 37%
- Cơ điện: Đầu tư 600 máy phát điện dầu 20kVA; 1.662 máy phát điện dầu 12kVA; 2.262 ATS 3 pha 63A; 4.623 bình ắc quy Lithium 48V-100Ah; 2.486 bình portable battery Lithium; Xây mới 1.884 bệ đặt máy phát điện + 348 nhà đặt máy phát điện vượt lũ.</t>
  </si>
  <si>
    <r>
      <t xml:space="preserve">PHỤ LỤC 1.3: BẢNG TỔNG HỢP ĐẦU TƯ THEO DỊCH VỤ VÀ BỨC TRANH SAU QHĐC 2027-2028
</t>
    </r>
    <r>
      <rPr>
        <i/>
        <sz val="14"/>
        <rFont val="Times New Roman"/>
        <family val="1"/>
      </rPr>
      <t>(Ban hành kèm theo Công văn số                      của Tổng Công ty VTNet)</t>
    </r>
  </si>
  <si>
    <t>2027 (triệu USD)</t>
  </si>
  <si>
    <t>2028 (triệu USD)</t>
  </si>
  <si>
    <t>2027-2028 (triệu USD)</t>
  </si>
  <si>
    <t xml:space="preserve">- CNTT: 
- Truyền dẫn: </t>
  </si>
  <si>
    <t xml:space="preserve">- Vô tuyến: 
- Truyền dẫn: .
- Cơ điện: </t>
  </si>
  <si>
    <t>- Vùng phủ: Sau khi triển khai ...., vùng phủ 5G đạt vùng phủ ~....% dân số tại TPT/TTH/KCN/KDL với tốc độ biên cell DL/UL 50Mbps/1Mbps; ~...% dân số tại khu vực nông thôn ....
- Dung lượng mạng lõi đáp ứng ....
- Mạng cáp đáp ứng luỹ kế .... trạm vô tuyến 5G.
- Đảm bảo hạ tầng cơ điện cho triển khai 5G; các trạm 5G chạy mixed-mode với 4G và các trạm 5G quan trọng phục vụ khu vực hot/vip được đầu tư bổ sung ắc quy backup; các trạm theo quy hoạch đặt MPĐ cố định được tính toán đảm bảo công suất sẵn sàng UCTT khi mất điện.</t>
  </si>
  <si>
    <t>- Vô tuyến: Đầu tư .... gNodeB (... trạm loại 64T64R, .... trạm 32T32R), .... RRU classic cho IBD, ... card Baseband, ... small cell, nâng cấp 01 hệ thống 5G cho tòa ..... Chi phí lắp đặt thiết bị và kiên cố ... trạm cho 5G.
- Mạng lõi: Đầu tư bổ sung .....
- Truyền dẫn: ... SRT 5G smallcell, .... SRT 100G cho 5G NEW, card 10G AGG đấu nối ring 5G NEW, ....
- Cơ điện: Đầu tư .... bình ắc quy Lithium 48V-100Ah; .... tủ nguồn DC indoor và ... rectifier đồng bộ; 1.062 tủ Compact Minishelter;.... tủ nguồn DC mini; ...converter quang FE;.....</t>
  </si>
  <si>
    <t>Triển khai …. trạm XGSPON combo tại nội thành, ngoại thành cho ….</t>
  </si>
  <si>
    <t>Đầu tư trước …. bộ 5GC Mini để đảm bảo nhu cầu kinh doanh</t>
  </si>
  <si>
    <t>- Vùng phủ: Sau khi triển khai: .... vị trí mới (... macro, ... RRU, 191 inbuilding),
và ... vị trí di dời; .... trạm cosite băng thấp. =&gt; Vùng phủ 4G tăng từ ... lên ...%.
- Cáp quang: Luỹ kế toàn mạng là ... nghìn km. Tỷ lệ quang hoá đạt ...%. ...% xã đất liền được quang hoá.
- Cơ điện: Lũy kế có .... MPĐ/..... trạm Macro - đạt tỷ lệ ...%. có .../.... trạm Macro sử dụng ắc quy Lib, đạt tỷ lệ ~...%. ....% trạm Macro hoàn thành giám sát hệ thống nguồn DC, ắc quy lithium.</t>
  </si>
  <si>
    <t>Vùng phủ lũy kế toàn mạng đạt ... triệu cổng, nâng tỷ lệ phủ dân đạt ...%, lũy kế toàn mạng thực hiện ... dự án trên tổng số ... dự án ~ ... % số dự án và lũy kế triển khai được ...trạm, phủ toàn bộ ...., các vị trí đông dân cư tại ngoại thành ...và thủ phủ tỉnh, trung tâm huyện.</t>
  </si>
  <si>
    <t>Triển khai …. triệu cổng GPON (...tr cổng năm 2025, ...k cổng năm 2026) và ... dự án toà nhà mới ~ ...k cổng.</t>
  </si>
  <si>
    <t>- BRCĐ-TH: Đầu tư .... đáp ứng cho ... triệu thuê bao, đầu tư ... hệ thống DPI cho ...K subs, mở rộng hệ thống AAA với .... nghìn subs, đầu tư hệ thống Analytics quản trị tập trung dữ liệu mạng BRCĐ, mở rộng hệ thống DNS đáp ứng cho ...nghìn subs; đầu tư CGNAT đáp ứng cho tăng trưởng băng thông và đổ tải ... triệu subs FTTH, bổ sung tính năng mới cho ACS tích hợp với AP multivendor, đầu tư phần cứng cho các hệ thống ITO, VQT, ICP.
- Truyền dẫn: SRT 100G cho OLT không trùng 5G ~ ... SRT, .... tỷ card AGG 100G đấu ring OLT, ... tỷ card Core tỉnh, CKV, PECĐ) theo tỷ lệ dưới Metro, trên Metro; WDM theo nhu cầu tăng dung lượng liên huyện, liên tỉnh, KNQT với tỷ lệ Internet là ...% theo tỷ lệ di động trên Metro, dưới Metro</t>
  </si>
  <si>
    <t>- Đáp ứng lũy kế đạt .... triệu thuê bao Internet.
- Dung lượng và hiệu suất từng phân lớp: Lớp xã/huyện có dung lượng ...Tbps, hiệu suất lớp xã đạt ...%, hiệu suất lớp huyện đạt ...%; lớp liên tỉnh tăng từ ... Tbps lên .... Tbps, hiệu suất ~...%. Lớp trục ....Tbps.</t>
  </si>
  <si>
    <t>Đáp ứng lũy kế ... triệu thuê bao truyền hình (... triệu thuê bao OTT và …. triệu thuê bao IPTV) và lũy kế đáp ứng …. kênh truyền hình cho dịch vụ OTT (….HD, ... UHD/4K) đến hết 2026</t>
  </si>
  <si>
    <t>- Truyền dẫn: Đầu tư thiết bị IP tại tổng trạm ... và thiết bị WDM theo nhu cầu triển khai tại tổng trạm mới …</t>
  </si>
  <si>
    <t>- Phục vụ kết nối liên tổng trạm mới …</t>
  </si>
  <si>
    <t>Đảm bảo VHKT và nâng cao chất lượng mạng</t>
  </si>
  <si>
    <t>Đảm bảo dự phòng ƯCTT</t>
  </si>
  <si>
    <t>ƯCTT</t>
  </si>
  <si>
    <t>Củng cố kiên cố thường trình</t>
  </si>
  <si>
    <t>Lũy kế đầu tư …. máy chủ vật lý, ... PB dung lượng lưu trữ, đảm bảo các nhu cầu triển khai hạ tầng CNTT của Viettel</t>
  </si>
  <si>
    <t>- BRCĐ-TH: Đầu tư nâng cấp tính năng mới cho CDN OTT; đầu tư thiết bị và license  upmap, frame rate conversion (FRC) cho ... kênh tại Headend; đầu tư 01 hệ thống Water marking; đầu tư Backend và ứng dụng Trợ lý ảo TV360.
- Truyền dẫn: SRT 100G cho OLT không trùng 5G ~ ... SRT, card AGG 100G, Core tỉnh, CKV, PECĐ, PETH) theo tỷ lệ truyền hình ...% của CĐBR; WDM theo nhu cầu tăng dung lượng liên huyện, liên tỉnh, KNQT với tỷ lệ TH là ....%</t>
  </si>
  <si>
    <t>TỔNG ĐẦU TƯ VTTB VÀ XÂY LẮP 2027-2028</t>
  </si>
  <si>
    <t>TỔNG ĐẦU TƯ VTTB 2027-2028</t>
  </si>
  <si>
    <r>
      <t xml:space="preserve">PHỤ LỤC 1.1: BẢNG TỔNG HỢP CHI TIẾT NHU CẦU ĐẦU TƯ, MUA SẮM THEO QHĐC NĂM 2027-2028
</t>
    </r>
    <r>
      <rPr>
        <i/>
        <sz val="14"/>
        <rFont val="Times New Roman"/>
        <family val="1"/>
      </rPr>
      <t>(Ban hành kèm theo Tờ trình số                      của Tập đoàn CNVTQĐ)</t>
    </r>
  </si>
  <si>
    <t>Khối lượng</t>
  </si>
  <si>
    <r>
      <t xml:space="preserve">Chi phí
</t>
    </r>
    <r>
      <rPr>
        <i/>
        <sz val="10"/>
        <rFont val="Times New Roman"/>
        <family val="1"/>
      </rPr>
      <t>(triệu USD)</t>
    </r>
  </si>
  <si>
    <t>Đầu tư .... bình ắc quy Lithium 48V-100Ah; .... tủ nguồn DC indoor và ... rectifier đồng bộ; 1.062 tủ Compact Minishelter;.... tủ nguồn DC mini; ...converter quang FE;.....và chi phí lắp đặt.</t>
  </si>
  <si>
    <t>Tổng đầu tư và triển khai 2027-2028 (triệu USD)</t>
  </si>
  <si>
    <r>
      <t xml:space="preserve">PHỤ LỤC 1.2: BẢNG TỔNG HỢP ĐẦU TƯ THEO MỤC ĐÍCH QHĐC 2027-2028
</t>
    </r>
    <r>
      <rPr>
        <i/>
        <sz val="14"/>
        <rFont val="Times New Roman"/>
        <family val="1"/>
      </rPr>
      <t>(Ban hành kèm theo Công văn số                      của Tổng Công ty VTNet)</t>
    </r>
  </si>
  <si>
    <t>- Vùng phủ trạm mới: đầu tư ... bình ắc quy Lithium 48V-100Ah; ... tủ nguồn DC indoor và 1.188 rectifier đồng bộ; ... tủ Compact Minishelter; ... tủ nguồn DC mini; ... converter quang FE; 479 module SFP quang; ... tủ nguồn AC V5-3P; ... bộ DAQ; ... bộ converter quang FE loại 1G; ... bộ iACV; ... bộ cảnh báo khói + cảnh báo mở cửa và chi phí triển khai.
- Vùng phủ cosite: đầu tư tài nguyên cho ... trạm trục/hub (... hệ thống micro datacenter outdoor; ... bình ắc quy Lithium 48V-100Ah; ... tủ nguồn DC indoor và ... rectifier đồng bộ; ... điều hòa ... BTU/h; ... tủ nguồn AC V5-3P; ... và chi phí triển khai</t>
  </si>
  <si>
    <t>Mạng 2/3/4G</t>
  </si>
  <si>
    <t>2/3/4G vùng phủ</t>
  </si>
  <si>
    <t>2/3/4G dung lượng</t>
  </si>
  <si>
    <t>01 vMSC (HW:1072K ATT, 1.5M Reg, 45K Erl, SW: 572K ATT, 800K Reg, 22.857K Erl), MSC (SW: CSFB: 1M sub), UDM (SW: 200K FE 2G/3G, 400K BE 2G/3G, 300K FE 4G, 2.9M BE 4G), 1 vEPC (HW: 1M SAU, 1.5M PDP, 100 Gbps, SW: 1M SAU, 1.5M PDP, 60 Gbps). vEPC4 (SW: 650K SAU, 975K PDP, 49.4 Gbps). SMSC (SW: 1400 MOMT). 2 IMS (HW: 500K, SW: 100K).</t>
  </si>
  <si>
    <t>vEPC5 (SW: 34 Gbps). UDM (SW: 300K FE 2G/3G, 500K BE 2G/3G, 400K FE 4G, 1.9M BE 4G).</t>
  </si>
  <si>
    <t>Swap EoS BUMS03, BUMW03 bằng 1 vMSC (HW:1072K ATT, 1.5M Reg, 45K Erl, SW: 835K ATT, 1.15M Reg, 34.5K Erl).</t>
  </si>
  <si>
    <t>Chuyển 01/02 UDM từ tổng trạng cũ sang tổng trạm mới và hiện đại hóa 01 cặp HSS cũ (thông qua mở rộng UDM với DL tương ứng của HSS cũ)</t>
  </si>
  <si>
    <t>- Vô tuyến:...
- Mạng lõi: Mối năm có budget 100K USD để mua hàng dự phòng
- BRCĐ-TH: ...
- CNTT: ...
- Truyền dẫn: 
- Cơ điện: …</t>
  </si>
  <si>
    <t xml:space="preserve">Mạng lõi: Đảm bảo hàng dự phòng
</t>
  </si>
  <si>
    <t>- Vô tuyến:...
- Mạng lõi: Năm 2027: Swap EoS BUMS03, BUMW03 bằng 1 vMSC (HW:1072K ATT, 1.5M Reg, 45K Erl, SW: 835K ATT, 1.15M Reg, 34.5K Erl).
Năm 2028: Chuyển 01/02 UDM từ tổng trạng cũ sang tổng trạm mới và hiện đại hóa 01 cặp HSS cũ (thông qua mở rộng UDM với DL tương ứng của HSS cũ).
- BRCĐ-TH: ...
- CNTT: ...
- Truyền dẫn: 
- Cơ điện: …</t>
  </si>
  <si>
    <t>- Thêm 01 cloud MSC mới để hiện đại hóa 1 MSC cũ đã hết niên hạn sử dụng. Hiện đại hóa hệ thống HLR/HSS cũ để năm 2028 chạy hết trên hệ thống UDM mới.</t>
  </si>
  <si>
    <t>- Vô tuyến
- Mạng lõi: Có thêm 01 cloud MSC mới,  1 vEPC mới, 2 node IMS mới đáp ứng như cầu tăng trưởng dung lượng. Các node MSC, vEPC và 1 node IMS sẽ lắp tại tổng trạm mới.
- cáp quang:
- Cơ điện:</t>
  </si>
  <si>
    <t>- Vô tuyến
- Mạng lõi:
Năm 2027:  01 vMSC (HW:1072K ATT, 1.5M Reg, 45K Erl, SW: 572K ATT, 800K Reg, 22.857K Erl), MSC (SW: CSFB: 1M sub), UDM (SW: 200K FE 2G/3G, 400K BE 2G/3G, 300K FE 4G, 2.9M BE 4G), 1 vEPC (HW: 1M SAU, 1.5M PDP, 100 Gbps, SW: 1M SAU, 1.5M PDP, 60 Gbps). vEPC4 (SW: 650K SAU, 975K PDP, 49.4 Gbps). SMSC (SW: 1400 MOMT). 2 IMS (HW: 500K, SW: 100K).
Năm 2028: vEPC5 (SW: 34 Gbps). UDM (SW: 300K FE 2G/3G, 500K BE 2G/3G, 400K FE 4G, 1.9M BE 4G).
- Truyền dẫn:
- Cơ điện:</t>
  </si>
  <si>
    <t>CNTT+VÍ</t>
  </si>
  <si>
    <t>Triển khai 208 vị trí triển khai vùng phủ mới cho 4G kết hợp cosite 2G</t>
  </si>
  <si>
    <t>Triển khai 230 vị trí triển khai vùng phủ mới cho 4G kết hợp cosite 2G</t>
  </si>
  <si>
    <t>- 2G:
+) Bổ sung thêm 101 vị trí mới cho lưu lượng nhằm đáp ứng nhu cầu KD và giảm TU mạng 2G
+) Bổ sung thêm 48 trạm cosite 900MHz 
Tổng chi phí dự kiến 2.5M USD
- 4G:
+) 802 tủ MM 2.6+3.5GHz, 157 card BB, 83 sector 800, 293 sector 700, 197 sector 1800. Tổng chi phí dự kiến 38M USD</t>
  </si>
  <si>
    <t>- 2G:
+) Bổ sung thêm 38 vị trí mới cho lưu lượng nhằm đáp ứng nhu cầu KD và giảm TU mạng 2G
+) Bổ sung thêm 3 tủ 900MHz 
Tổng chi phí dự kiến 707K USD
- 4G:
+) 14 vị trí mới DL
+) 98 tủ MM 2.6+3.5GHz, 25 card BB, 21 sector 800, 298 sector 700, 353 sector 1800,
Tổng chi phí dự kiến 8.6M USD</t>
  </si>
  <si>
    <t>Gói UCTT: dự kiến 2.5M USD</t>
  </si>
  <si>
    <t>+) Gói công cụ tối ưu mạng thử nghiệm (CEM): dự kiến 200K USD
+) Swap anten đa băng 200tram/năm: 360K USD</t>
  </si>
  <si>
    <t xml:space="preserve">- Đầu tư 802 gNodeB Massive MIMO dualband 2.6+3.5GHz cosite tại vị trí 4G dung lượng. </t>
  </si>
  <si>
    <t xml:space="preserve">- Đầu tư 98 gNodeB Massive MIMO dualband 2.6+3.5GHz cosite tại vị trí 4G dung lượng. </t>
  </si>
  <si>
    <t>- IP: ... SRT 5G smallcell, .... SRT 100G cho 5G NEW, card 10G AGG đấu nối ring 5G NEW, ....
- 262 tuyến Viba E-Band triển khai 5G cosite</t>
  </si>
  <si>
    <t>2200km Cáp quang phụ kiện + viba đáp ứng 1730 4G, 2G trạm lưu lượng, vùng phủ</t>
  </si>
  <si>
    <t xml:space="preserve">- Đáp ứng nhu cầu tăng trưởng dung lượng mạng 2/3/4G từ 400Gbps lên 700Gbps.
- Đáp ứng nhu cầu dung lượng CĐBR toàn mạng lũy kế 70G
</t>
  </si>
  <si>
    <t>1. Triển khai mạng DWDM 1C (34 node) + ngầm hóa 700km
2. Ngầm trục 1B, 1C 300km/năm
3. Mỗi năm thay thế 300km cáp xuống cấp, 12km cột gỗ + 450km cáp vu hồi, tách ring. Ngầm trục 1B, 1C 300km/năm</t>
  </si>
  <si>
    <t>600km cáp quang+ card quang+ phụ kiện các loại dp uctt hàng năm</t>
  </si>
  <si>
    <t>-Triển khai giải pháp AI như : Agent AI (áp dụng trong năm 2027 giải pháp Conversational AI cho CSKH); Camera AI cho Kỹ thuật ….</t>
  </si>
  <si>
    <t>-Triển khai giải pháp AI như : Agent AI; Camera AI cho Kỹ thuật ….</t>
  </si>
  <si>
    <t>- Triển khai các hệ thống mới: Dịch vụ Betting, hệ thống cx Cloud cho doanh nghiệp…
- Triển khai giải pháp ATTT SoC cho kinh doanh ngoài Movitel</t>
  </si>
  <si>
    <t>OCS 4.0: Tổng chi phí đầu tư dự kiến : 3.2tr $
- Thực hiện mở rộng license phần mềm hêm 2M (nâng tổng số license là 22M) với đơn giá 0.35$/subs (đơn giá này là đơn giá của Kinh doanh VHT gửi)
- Thực hiện mở rộng phần cứng thêm 5M nâng tổng năng lực phần cứng hỗ trợ lên 25M với đơn giá 0.5$/subs
+ Triển khai các giải pháp số hóa cho các lĩnh vực : VAS, Đâu tư, Tài chính, CSKH …
+ Triển khai mới 03 hệ thống OSS: DCIM, NCMS , vDCIM …</t>
  </si>
  <si>
    <t>+ OCS4.0: Tổng chi phí đầu tư dự kiến : 19.12tr $
-	Phần mềm : 19M với đơn giá 0.48$/subs --.&gt; Nhằm đảm bảo năng lực license cho phép cắt chuyển toàn bộ 20M subs từ hệ thống vOCS 3.0 hiện tại sang vOCS 4.0
-	Phần cứng : Đầu tư cụm DR với dung lượng 20M  Do chi phí phần cứng tăng cao nên em đang để mục này là x3 lần giá ký HĐ trong năm 2026 là ~ 0.5$/subs
+ Triển khai các giải pháp số hóa cho các lĩnh vực : VAS, Đâu tư, Tài chính, CSKH …
+ Triển khai mới 03 hệ thống OSS: DCIM, NCMS , vDCIM …
+ Cloud: Triển khai cho cụm hệ thống SENSOR - NSM,  cụm máy chủ hệ thống Cloudrity, cụm máy chủ hệ thống PAM, Proxy
- Thực hiện mở rộng 30 VM cụm USSDGW/VASGW + Process/Sender dịch vụ USSD155 cho đầu số 88x
- Triển khai mở rộng 20 VM mở rộng cụm provisioning + SMSGW
- Triển khai mở rộng 10 VM cho hệ thống SuperApp đảm bảo chạy 2 chân cho các cụm webservice
Triển khai DB Standby cho cặp DB VAS 155 và DB VASCPn (Vas public)</t>
  </si>
  <si>
    <t xml:space="preserve">- Triển khai các giải pháp số hóa cho các lĩnh vực : VAS, Đâu tư, Tài chính, CSKH …
- Triển khai mới 03 hệ thống OSS: DCIM, NCMS , vDCIM …
'- Triển khai cặp  DB Active-Standby (oracle) Số hóa, DB hệ thống SMSFW/Voice Firewall
</t>
  </si>
  <si>
    <t>- Triển khai các hệ thống mới: Dịch vụ Betting, hệ thống CX Cloud cho doanh nghiệp…
- Triển khai giải pháp ATTT SoC cho kinh doanh ngoài Movitel</t>
  </si>
  <si>
    <t>VI</t>
  </si>
  <si>
    <t>Ví điện tử</t>
  </si>
  <si>
    <t>Mã Mảng</t>
  </si>
  <si>
    <t>P2</t>
  </si>
  <si>
    <t xml:space="preserve">TRIỂN KHAI HẠ TẦNG </t>
  </si>
  <si>
    <t>Vùng phủ  (đầu tư + triển khai)</t>
  </si>
  <si>
    <t>Không xoá</t>
  </si>
  <si>
    <t>Phụ lục: TÁCH ĐẦU TƯ THEO TỪNG LĨNH VỰC</t>
  </si>
  <si>
    <t>I. Vô tuyến</t>
  </si>
  <si>
    <t>Danh mục</t>
  </si>
  <si>
    <t>Đầu tư 5 năm (m$)</t>
  </si>
  <si>
    <t>Diễn giải khối lượng đầu tư, kết quả</t>
  </si>
  <si>
    <t>Vùng phủ</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</si>
  <si>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</si>
  <si>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Dung lượng</t>
  </si>
  <si>
    <t>Từ 2026 -2030 triển khai:
-  250 trạm newsite cho vùng phủ, số lượng cho từng năm 67/42/57/40/44. Trung bình triển khai 50 trạm/năm, ưu tiên triển khai cho các vị trí VTCI và xử lý lõm do quá trình đô thị hóa.
- 751 trạm 4G 700 cosite trên các vị trí trạm cũ, số lượng trạm tương ứng từng năm là 55/71/67/384/174.</t>
  </si>
  <si>
    <t>- Không phát sinh thêm trạm lưu lượng mới, chủ yếu lắp thêm thiết bị tại các vị trí có sẵn.
- Tổng 5 năm (2026-2030) bổ sung số lượng tủ cho dung lượng 4G như sau:
+ 121 enodeB 700, tương ứng từng năm 85/0/0/0/36
+ 607 enodeB 1800-2100, tương ứng từng năm 130/181/261/15/20</t>
  </si>
  <si>
    <t>Hiện đại hóa</t>
  </si>
  <si>
    <t xml:space="preserve">- Hàng năm đầu tư khoảng 100k USD cho thử nghiệm các tính năng mới.
- 2 năm/lần thực hiện nâng cấp software 2G, 4G và các dịch vụ triển khai BSC, OMC </t>
  </si>
  <si>
    <t>Củng cố bền vững</t>
  </si>
  <si>
    <t>UCTT</t>
  </si>
  <si>
    <t>Đầu tư cho mua thiết bị bổ sung dự phòng cho UWCTT ~ 150k USD/năm, căn cứ vào thực tế để đưa ra danh mục mua phù hợp</t>
  </si>
  <si>
    <t>II. BRCĐ</t>
  </si>
  <si>
    <t xml:space="preserve"> Triển khai 280 nghìn cổng mở rộng vùng phủ, mật độ phủ đạt 36% trên toàn quốc, trong đó:
- 186 nghìn cổng GPON.
- 94 nghìn cổng XGS-PON</t>
  </si>
  <si>
    <t>Bổ sung dung lượng BRAS, CGNAT đáp ứng tăng trưởng thuê bao và băng thông, lũy kế đến 2030: 318 nghìn thuê bao/ 3,82Mbps profile</t>
  </si>
  <si>
    <t>Triển khai các công cụ phục vụ đo kiểm, tối ưu chất lượng dịch vụ: VQT, ACS, ...</t>
  </si>
  <si>
    <t>Kiên cố, củng cố</t>
  </si>
  <si>
    <t>Bổ sung tài nguyên AAA, BRAS, CGNAT đảm bảo không ảnh hưởng dịch vụ khi down 01 TTr.</t>
  </si>
  <si>
    <t>Vật tư ƯCTT</t>
  </si>
  <si>
    <t>Dự phòng UCTT cáp quang, vật tư phụ kiện lớp truy nhập</t>
  </si>
  <si>
    <t>III. Mạng lõi</t>
  </si>
  <si>
    <t>Đầu tư dung lượng 5G</t>
  </si>
  <si>
    <t>Năm 2026: 130K sub và 24Gbps; Năm 2027:  84K sub và 19 Gbps; Năm 2028: 140K sub và 49Gbps; Năm 2029: 219K sub và 84Gbps; Năm 2030: 174K sub và 77Gbps</t>
  </si>
  <si>
    <t>Đầu tư dung lượng 4G</t>
  </si>
  <si>
    <t>Năm 2026: HSS (200K FE), PS (New VIM 500KSAU, 138Gbps), IMS (150k sub active)
Năm 2027: PS (New VIM 250KSAU, 160Gbps), IMS (550k sub active)
Năm 2028: HSS (200K FE), PS (New VIM 200KSAU, 70Gbps), IMS (350k sub active)
Năm 2029: PS (100KSAU, 80Gbps), IMS (300k sub active)
Năm 2030: HSS (100K FE), PS (80Gbps), IMS (600k sub active)</t>
  </si>
  <si>
    <t>Đầu tư hiện đại hóa mạng lưới</t>
  </si>
  <si>
    <t>Năm 2026: Swap 01 PS Legacy 250K SAU, 90 Gbps.
Năm 2027: Swap 01 PS Legacy 250K SAU, 90 Gbps và 01 MSC 740Ksub, Swap UDM
Năm 2028: Swap 01 PS Cloud   984K SAU, 153 Gbps</t>
  </si>
  <si>
    <t>Đầu tư SBC để đảm bảo ATTT</t>
  </si>
  <si>
    <t>IV. Công nghệ thông tin</t>
  </si>
  <si>
    <t>Diễn giải khối lượng đầu tư</t>
  </si>
  <si>
    <t>Tổng đầu tư trong vòng 5 năm: 23,16Tr$
+ Chi phí cho phần CNTT ~19,91Tr$, chi phí cho phần Ví điện tử  ~3.25tr$.
+ Lũy kế đầu tư  432 bộ máy chủ vật lý, 3.9PB dung lượng lưu trữ, đảm bảo các nhu cầu triển khai hạ tầng CNTT, Ví điện tử phục vụ triển khai mới và mở rộng cho các hệ thống ứng dụng của Unitel.</t>
  </si>
  <si>
    <t>Chi phí cho phần CNTT</t>
  </si>
  <si>
    <t>Tài nguyên cho đầu tư phát triển</t>
  </si>
  <si>
    <t>- Năm 2026-2030: 
+ Đầu tư cho phát triển mới phục vụ triển khai cho hệ thống (BCCS, VAS, OSS,..) ~6,8tr$
+ Đầu tư cho nâng cấp mở rộng các hệ thống (BCCS, VAS, OSS,..) ~1,41Tr$
+ Chi phí cho nâng cấp/mở rộng phần mềm các hệ thống (BSS, VAS, ERP,…) :2,25Tr$</t>
  </si>
  <si>
    <t>Tài nguyên cho kiên cố củng cố</t>
  </si>
  <si>
    <t>+ Năm 2027: DR cho hệ thống BCCS ~ 0,6Tr$.
+ Năm 2029: DR site cho hệ thống vOCS: 2,4Tr$
+ Năm 2026 - 2030: Đầu tư tài nguyên phục vụ triển khai DR site cho hệ thống Database 0,3Tr$.</t>
  </si>
  <si>
    <t>Tài nguyên cho hiện đại hoá</t>
  </si>
  <si>
    <t>- Năm 2026-2030: Đầu tư tài nguyên phục vụ thay thế thiết bị quá niên hạn: ~2,5$
- Năm 2027: Đầu tư tài nguyên phục vụ cắt chuyển 6 tr Sub cho hệ thống vOCS3.0 lên 4.0: ~ 2,4tr$.</t>
  </si>
  <si>
    <t>Tài nguyên cho UCTT</t>
  </si>
  <si>
    <t>- Năm 2026-2030:
+  Đầu tư thiết bị dự phòng cho UCTT: ~0,5Tr$
+ Vật tư phụ kiện phục vụ UCTT ~ 0,4Tr$</t>
  </si>
  <si>
    <t>Chi phí cho hệ thống Ví điện tử</t>
  </si>
  <si>
    <t>- Năm 2026-2030:
+ Chi phí license phát triển phần mềm và phần cứng ~ 3,25Tr$</t>
  </si>
  <si>
    <t>V. Truyền dẫn quang</t>
  </si>
  <si>
    <t>Tổng </t>
  </si>
  <si>
    <t>Đầu tư cáp quang, viba, SRT triển khai 896 trạm 5G (896 trạm cosite; 0 trạm mới)</t>
  </si>
  <si>
    <t>Đầu tư 38 bước sóng DWDM đảm bảo co lưu lượng vô tuyến 5G. Lưu lượng 5G chiếm 85% trong phần di động</t>
  </si>
  <si>
    <t>Mạng 4G/3G/2G</t>
  </si>
  <si>
    <t>Đầu tư cáp quang, viba, SRT triển khai 250 trạm 4G</t>
  </si>
  <si>
    <t>Đầu tư 7 bước sóng DWDM đảm bảo co lưu lượng vô tuyến 4G .Lưu lượng 4G chiếm 15% trong phần di động</t>
  </si>
  <si>
    <t>Đáp ứng mạng CĐBR/TH</t>
  </si>
  <si>
    <t>Đầu tư 45 bước sóng đảm báo lưu lượng CĐBR. Trung bình 16% mỗi năm tăng từ 1Tb lên 2.2Tb</t>
  </si>
  <si>
    <t xml:space="preserve">Thay thế 75 node DWDM đã EoL; 1 PRT và  2 SSU đã EoL; </t>
  </si>
  <si>
    <t>Triển khai kiên cố, mỗi tỉnh có một hướng cáp kiên cố toàn trình chủ, chủ yếu làm cáp ngầm cho đoạn nhập trạm đón cáp MOD, và triển khai kiên cố cho hướng quốc tế.</t>
  </si>
  <si>
    <t>Mua thiết bi DWDM, viba, cáp quang, phụ kiện dự phòng UCTT</t>
  </si>
  <si>
    <t>IV. Truyền dẫn IP</t>
  </si>
  <si>
    <t>Vùng phủ 5G</t>
  </si>
  <si>
    <t>Đầu tư hạ tầng IP phục vụ vùng phủ cosite 5G: 538 SRT, số lượng trạm lên từng năm là 124/ 185/ 163/ 35/ 31  
Line card AGG cho đấu nối ring SRT</t>
  </si>
  <si>
    <t>Dung lượng 5G</t>
  </si>
  <si>
    <t>Line card tương ứng từ AGG lên core cho nâng dung lượng theo tỷ lệ băng thông 5G chiếm trong delta tăng thêm hàng năng của phần mở rộng dung lượng: từng năm tương ứng là 22%/16%/25%/34%/29%</t>
  </si>
  <si>
    <t>Vùng phủ 4G</t>
  </si>
  <si>
    <t>Đầu tư hạ tầng IP phục vụ 250 trạm mới vùng phủ 4G đáp ứng nhu cầu kinh doanh di động hàng năm:   67/ 42/ 57/ 40/ 44  
Line card AGG cho đấu nối ring SRT</t>
  </si>
  <si>
    <t>Dung lượng 4G</t>
  </si>
  <si>
    <t>Line card tương ứng từ AGG lên core cho nâng dung lượng theo tỷ lệ băng thông 4G chiếm trong delta tăng thêm hàng năng của phần mở rộng dung lượng: từng năm tương ứng là 47%/14%/6%/0%/0%</t>
  </si>
  <si>
    <t>Dung lượng BRCĐ</t>
  </si>
  <si>
    <t>Bổ sung SRT nâng dung lượng cho dịch vụ BRCĐ vùng Metro Juniper hàng năm: 30/30/0/0/0
'Theo tỷ lệ băng thông BRCĐ chiếm trong delta tăng thêm hàng năng của phần mở rộng dung lượng: từng năm tương ứng là 31%/70%/70%/66%/71%</t>
  </si>
  <si>
    <t>Bổ sung thiết bị UCTT hàng năm gồm SRT, line card và module quang</t>
  </si>
  <si>
    <t>Tổng trạm mới</t>
  </si>
  <si>
    <t>Đầu tư mức cơ bản tạo tổng trạm mới (02 router GW, 02 router P, 02 router PE di động, 02 router PE cố định cho mạng IPBN, 02 router P và 02 router PE cho mạng MPBN, switch cho mạng DCN</t>
  </si>
  <si>
    <t>V. Cơ điện tổng trạm</t>
  </si>
  <si>
    <t>Trong giai đoạn 2026-2030 lên 01 phòng máy chia theo 02 giai đoạn, năm 2026 xây tòa nhà và hạ tầng căn bản như hệ thống điện tổng, sàn giả, thang mang cáp. Còn lại các thiết bị cấp nguồn lên theo nhu cầu thực tế.</t>
  </si>
  <si>
    <t>Hiện đại hóa mạng lưới</t>
  </si>
  <si>
    <t>Đầu tư cho DCIM</t>
  </si>
  <si>
    <t>200k $ cho dự phòng thay thế thiết bị hỏng hóc xuống cấp tại tổng trạm quốc gia căn cứ số liệu trung bình đầu tư hàng năm, bao gồm thay thế EoL cũng như nguồn để thực hiện cải tạo PUE hoặc quy hoạch lại vị trí thiết bị và cải tạo hệ thống đi cáp.</t>
  </si>
  <si>
    <t>V. Cơ điện BTS</t>
  </si>
  <si>
    <t>Đầu tư tủ nguồn DC, Rec.và Smart DCDU cho vị trí bổ sung tủ 5G.
Số lượng smart DCDU là 896 thiết bị (2026/2027/2028/2029/2030 là 207/308/271/59/51 thiết bị.
2026 đầu tư 12 tủ nguồn bổ sung đảm bảo công suất. Với trạm vip bổ sung 71 bình ắc quy và 6 máy phát điện cố định đảm bảo hoạt động tự động.</t>
  </si>
  <si>
    <t>Đầu tư theo số lượng trạm mới (newsite) của vô tuyến theo năm
Trung bình 1 trạm mới bao gồm: 1 tủ nguồn, 2 bình LIB trạm marco và 1 bình trạm RRU, chi phí kéo điện và 0,5 máy phát điện.
Số lượng trạm mới lên theo năm 2026/2027/2028/2029/2030 là 67/42/57/40/44.</t>
  </si>
  <si>
    <t>Lên theo công suất tiêu thụ thiết bị được bổ sung. Như trong năm 2026 đầu tư 14 máy phát điện, 6 tủ nguồn và 108 bình ắc quy Lib</t>
  </si>
  <si>
    <t>Đầu tư tủ nguồn và ắc quy cho thiết bị BRCĐ lên hàng năm</t>
  </si>
  <si>
    <t>Năm 2026 đầu tư 100 DAQ bổ sung cho các vị trí còn thiếu trên mạng lưới và mỗi năm 200 bộ Smart DCDU cho các trạm đã lên 5G từ 2025.</t>
  </si>
  <si>
    <t>200k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</si>
  <si>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VI. Hạ tầng</t>
  </si>
  <si>
    <t>2026: 207 trạm; 2027: 308 trạm; 2028: 271 trạm; 2029: 59 trạm; 2030: 51 trạm</t>
  </si>
  <si>
    <t>2026: 67 trạm; 2027: 42 trạm; 2028: 57 trạm; 2029: 40 trạm; 2030: 44 trạm</t>
  </si>
  <si>
    <t>2026: 646 RRU; 2027: 563 RRU; 2028: 78 RRU; 2029: 384 RRU; 2030: 177 RRU</t>
  </si>
  <si>
    <t>Năm 2026: 1.453 km; 5 tuyến viba ; Năm 2027: 657 km; Năm 2028: 657 km; Năm 2029: 657 km; Năm 2030: 657 km</t>
  </si>
  <si>
    <t>VII. Phần mềm VHKT</t>
  </si>
  <si>
    <t>Phần mềm VHKT</t>
  </si>
  <si>
    <t>Thực hiện triển khai mới 09 phần mềm, nâng cấp 4 phần mềm.</t>
  </si>
  <si>
    <t>VIII. An toàn thông tin</t>
  </si>
  <si>
    <t>Triển khai giải pháp ATTT</t>
  </si>
  <si>
    <t>Triển khai 14 giải pháp ATTT.</t>
  </si>
  <si>
    <t>Phụ lục: TÁCH ĐẦU TƯ THEO DỊCH VỤ, MỤC ĐÍCH</t>
  </si>
  <si>
    <t>I. Dịch vụ di động</t>
  </si>
  <si>
    <t>Dịch vụ (4G+5G):</t>
  </si>
  <si>
    <t>Dịch vụ</t>
  </si>
  <si>
    <t>Mạng di động</t>
  </si>
  <si>
    <t>Trong 5 năm (2026-2030) triển khai tổng cộng 896 trạm 5G, trong đó:
+ Mua bổ sung thêm 183 card BB để phát 5G 2300 4T4R, số lượng mua từng năm  79/54/21/10/19 (trong đó năm 2026 có dự phòng 34 card BB để triển khai cho các vị trí có nhiều hơn 6 RRU kéo dài).
+ 747 trạm C-band 32T32R, số lượng mua từng năm như sau 162/254/250/49/32.</t>
  </si>
  <si>
    <t>Từ 2026 -2030 triển khai: 250 trạm newsite cho vùng phủ, số lượng cho từng năm 67/42/57/40/44. Trung bình triển khai 50 trạm/năm, ưu tiên triển khai cho các vị trí VTCI và xử lý lõm do quá trình đô thị hóa.</t>
  </si>
  <si>
    <t>Giai đoạn 2026-2030 bổ sung số lượng tủ cho dung lượng 4G như sau:
+ 121 enodeB 700, tương ứng từng năm 85/0/0/0/36.
+ 607 enodeB 1800-2100, tương ứng từng năm 130/181/261/15/20.</t>
  </si>
  <si>
    <t>Đầu tư Vùng phủ 4G</t>
  </si>
  <si>
    <t>IP</t>
  </si>
  <si>
    <t>Hạ tầng</t>
  </si>
  <si>
    <t>Đầu tư Dung lượng 4G</t>
  </si>
  <si>
    <t>Năm 2026: 646 RRU; Năm 2027: 563 RRU, Năm 2028: 78 RRU, Năm 2029: 384 RRU; Năm  2030: 177 RRU</t>
  </si>
  <si>
    <t>Đầu tư Vùng phủ 5G</t>
  </si>
  <si>
    <t>Đầu tư Dung lượng 5G</t>
  </si>
  <si>
    <t>II. Dịch vụ CĐBR</t>
  </si>
  <si>
    <t>Đầu tư Dịch vụ CĐBR</t>
  </si>
  <si>
    <t>BRCĐ</t>
  </si>
  <si>
    <t>CORE</t>
  </si>
  <si>
    <t>Bổ sung dung lượng cho BRAS và CGNAT đáp ứng tăng trưởng thuê bao (318k) và profile (3,82Mbps)</t>
  </si>
  <si>
    <t>Truy nhập</t>
  </si>
  <si>
    <t>Triển khai 818 thiết bị OLT GPON và 366 thiết bị OLT combo XGSPON cùng hạ tầng đảm bảo phát triển mới 280k cổng</t>
  </si>
  <si>
    <t>Công cụ, phần mềm</t>
  </si>
  <si>
    <t>III. Dịch vụ CNTT</t>
  </si>
  <si>
    <t>Đầu tư Dịch vụ CNTT</t>
  </si>
  <si>
    <t xml:space="preserve"> Kinh doanh trực tiếp </t>
  </si>
  <si>
    <t>Hỗ trợ kinh doanh và VHKT</t>
  </si>
  <si>
    <t>IV.Data Center (DC)</t>
  </si>
  <si>
    <t>Tổng trạm</t>
  </si>
  <si>
    <t>Phát triển mới</t>
  </si>
  <si>
    <t>Củng cố</t>
  </si>
  <si>
    <t>V.Các dịch vụ khác</t>
  </si>
  <si>
    <t xml:space="preserve">Hàng năm đầu tư khoảng 100k USD cho thử nghiệm các tính năng mới.
2 năm/lần thực hiện nâng cấp software 2G, 4G và các dịch vụ triển khai BSC, OMC </t>
  </si>
  <si>
    <t>Truyền dẫn quang</t>
  </si>
  <si>
    <t>Truyền dẫn IP</t>
  </si>
  <si>
    <t>Năm 2026-2030: Đầu tư tài nguyên phục vụ thay thế thiết bị quá niên hạn: ~2,5$
Năm 2027: Đầu tư tài nguyên phục vụ cắt chuyển 6 tr Sub cho hệ thống vOCS3.0 lên 4.0: ~ 2,4tr$.</t>
  </si>
  <si>
    <t>Đầu tư kiên cố mạng lưới</t>
  </si>
  <si>
    <t>Đầu tư mức cơ bản tạo tổng trạm mới (02 router GW, 02 router P, 02 router PE di động, 02 router PE cố định cho mạng IPBN, 02 router P và 02 router PE cho mạng MPBN, switch cho mạng DCN.</t>
  </si>
  <si>
    <t>113k $ mua ắc quy phục vụ bổ sung dung lượng suy hao.
250k $ cho 100 tủ DC để thay thế tủ hiệu suất thấp EoL hàng năm.
860k $ cho mua thay thế hỏng lớp access theo số liệu hàng năm, trong đó 320k $ cho 95 tủ nguồn 465 rectifier 290k $ cho 80 ATS và 60 máy phát điện.</t>
  </si>
  <si>
    <t>Năm 2026: 1.453 km; 5 tuyến viba ; Năm 2027: 657 km; Năm 2028: 657 km; Năm 2029: 657 km; Năm 2030: 657 km.</t>
  </si>
  <si>
    <t>Đầu tư ƯCTT</t>
  </si>
  <si>
    <t>Bổ sung các loại card ghép bước sóng DWDM + cáp quang và  phụ kiện UCTT hàng năm</t>
  </si>
  <si>
    <t>Phần mềm</t>
  </si>
  <si>
    <t>PM</t>
  </si>
  <si>
    <t>MẢNG / LĨNH VỰC</t>
  </si>
  <si>
    <t>CHIẾN LƯỢC 5 NĂM (M$)</t>
  </si>
  <si>
    <t>TỔNG</t>
  </si>
  <si>
    <t>QHĐC 2027-2028 (M$)</t>
  </si>
  <si>
    <t>CHÊNH LỆCH SO VỚI CHIẾN LƯỢC (M$)</t>
  </si>
  <si>
    <t>Công nghệ thông tin</t>
  </si>
  <si>
    <t>Cơ điện tổng trạm</t>
  </si>
  <si>
    <t>Cơ điện BTS</t>
  </si>
  <si>
    <t>Tổng (m$)</t>
  </si>
  <si>
    <t>Phần mềm, công cụ</t>
  </si>
  <si>
    <t>BRCĐ-TH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</si>
</sst>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43" formatCode="_(* #,##0.00_);_(* \(#,##0.00\);_(* &quot;-&quot;??_);_(@_)"/>
    <numFmt numFmtId="164" formatCode="_-* #,##0.00\ _₫_-;\-* #,##0.00\ _₫_-;_-* &quot;-&quot;??\ _₫_-;_-@_-"/>
    <numFmt numFmtId="165" formatCode="_(* #,##0_);_(* \(#,##0\);_(* &quot;-&quot;??_);_(@_)"/>
    <numFmt numFmtId="166" formatCode="_(* #,##0.0_);_(* \(#,##0.0\);_(* &quot;-&quot;??_);_(@_)"/>
    <numFmt numFmtId="167" formatCode="0.0%"/>
    <numFmt numFmtId="168" formatCode="_-* #,##0.00\ _€_-;\-* #,##0.00\ _€_-;_-* &quot;-&quot;??\ _€_-;_-@_-"/>
    <numFmt numFmtId="169" formatCode="_(* #,##0.000_);_(* \(#,##0.000\);_(* &quot;-&quot;??_);_(@_)"/>
    <numFmt numFmtId="170" formatCode="[$-409]dd\-mmm\-yy;@"/>
    <numFmt numFmtId="171" formatCode="_([$€-2]* #,##0.00_);_([$€-2]* \(#,##0.00\);_([$€-2]* &quot;-&quot;??_)"/>
    <numFmt numFmtId="172" formatCode="_-* #,##0.00_-;\-* #,##0.00_-;_-* &quot;-&quot;??_-;_-@_-"/>
    <numFmt numFmtId="173" formatCode="_(* #.##0.00_);_(* \(#.##0.00\);_(* &quot;-&quot;??_);_(@_)"/>
    <numFmt numFmtId="174" formatCode="_-* #,##0_-;\-* #,##0_-;_-* &quot;-&quot;_-;_-@_-"/>
    <numFmt numFmtId="175" formatCode="_([$€-2]* #.##0.00_);_([$€-2]* \(#.##0.00\);_([$€-2]* &quot;-&quot;??_)"/>
    <numFmt numFmtId="176" formatCode="_-* #,##0.00_-;\-* #,##0.00_-;_-* &quot;-&quot;_-;_-@_-"/>
    <numFmt numFmtId="177" formatCode="0.0"/>
  </numFmts>
  <fonts count="61" x14ac:knownFonts="1">
    <font>
      <sz val="11"/>
      <color theme="1"/>
      <name val="Calibri"/>
      <family val="2"/>
      <scheme val="minor"/>
    </font>
    <font>
      <sz val="11"/>
      <color theme="1"/>
      <name val="Calibri"/>
      <family val="2"/>
      <charset val="163"/>
      <scheme val="minor"/>
    </font>
    <font>
      <sz val="11"/>
      <color theme="1"/>
      <name val="Calibri"/>
      <family val="2"/>
      <charset val="163"/>
      <scheme val="minor"/>
    </font>
    <font>
      <sz val="11"/>
      <color theme="1"/>
      <name val="Calibri"/>
      <family val="2"/>
      <charset val="163"/>
      <scheme val="minor"/>
    </font>
    <font>
      <sz val="11"/>
      <color theme="1"/>
      <name val="Calibri"/>
      <family val="2"/>
      <scheme val="minor"/>
    </font>
    <font>
      <sz val="10"/>
      <name val="Times New Roman"/>
      <family val="1"/>
    </font>
    <font>
      <b/>
      <sz val="10"/>
      <name val="Times New Roman"/>
      <family val="1"/>
    </font>
    <font>
      <b/>
      <sz val="14"/>
      <name val="Times New Roman"/>
      <family val="1"/>
    </font>
    <font>
      <i/>
      <sz val="10"/>
      <name val="Times New Roman"/>
      <family val="1"/>
    </font>
    <font>
      <sz val="10"/>
      <name val="Arial"/>
      <family val="2"/>
    </font>
    <font>
      <b/>
      <i/>
      <sz val="10"/>
      <name val="Times New Roman"/>
      <family val="1"/>
    </font>
    <font>
      <b/>
      <sz val="10"/>
      <color rgb="FFFF0000"/>
      <name val="Times New Roman"/>
      <family val="1"/>
    </font>
    <font>
      <sz val="11"/>
      <color theme="1"/>
      <name val="Calibri"/>
      <family val="2"/>
      <charset val="163"/>
      <scheme val="minor"/>
    </font>
    <font>
      <sz val="11"/>
      <name val="Times New Roman"/>
      <family val="1"/>
    </font>
    <font>
      <sz val="10"/>
      <color rgb="FFFF0000"/>
      <name val="Times New Roman"/>
      <family val="1"/>
    </font>
    <font>
      <i/>
      <sz val="10"/>
      <color rgb="FFFF0000"/>
      <name val="Times New Roman"/>
      <family val="1"/>
    </font>
    <font>
      <sz val="10"/>
      <color theme="1"/>
      <name val="Times New Roman"/>
      <family val="1"/>
    </font>
    <font>
      <b/>
      <sz val="10"/>
      <color theme="1"/>
      <name val="Times New Roman"/>
      <family val="1"/>
    </font>
    <font>
      <sz val="8.25"/>
      <name val="Microsoft Sans Serif"/>
      <family val="2"/>
    </font>
    <font>
      <sz val="10"/>
      <color theme="1"/>
      <name val="Arial"/>
      <family val="2"/>
    </font>
    <font>
      <sz val="8.25"/>
      <name val="Microsoft Sans Serif"/>
      <family val="2"/>
      <charset val="163"/>
    </font>
    <font>
      <sz val="10"/>
      <name val=".VnArial"/>
      <family val="2"/>
    </font>
    <font>
      <sz val="12"/>
      <color theme="1"/>
      <name val="Times New Roman"/>
      <family val="2"/>
    </font>
    <font>
      <sz val="10"/>
      <name val="Arial"/>
      <family val="2"/>
      <charset val="163"/>
    </font>
    <font>
      <b/>
      <sz val="10"/>
      <color theme="0"/>
      <name val="Times New Roman"/>
      <family val="1"/>
    </font>
    <font>
      <sz val="8"/>
      <color rgb="FFFF0000"/>
      <name val="Times New Roman"/>
      <family val="1"/>
    </font>
    <font>
      <sz val="10"/>
      <color rgb="FF0000FF"/>
      <name val="Times New Roman"/>
      <family val="1"/>
    </font>
    <font>
      <sz val="10"/>
      <color theme="0"/>
      <name val="Times New Roman"/>
      <family val="1"/>
    </font>
    <font>
      <i/>
      <sz val="14"/>
      <name val="Times New Roman"/>
      <family val="1"/>
    </font>
    <font>
      <sz val="12"/>
      <color theme="1"/>
      <name val="Calibri"/>
      <family val="2"/>
      <scheme val="minor"/>
    </font>
    <font>
      <sz val="10"/>
      <name val="Arial"/>
      <family val="2"/>
    </font>
    <font>
      <sz val="11"/>
      <color indexed="8"/>
      <name val="Calibri"/>
      <family val="2"/>
      <charset val="163"/>
    </font>
    <font>
      <b/>
      <sz val="11"/>
      <name val="Times New Roman"/>
      <family val="1"/>
    </font>
    <font>
      <i/>
      <sz val="11"/>
      <name val="Times New Roman"/>
      <family val="1"/>
    </font>
    <font>
      <sz val="11"/>
      <color rgb="FF0000FF"/>
      <name val="Times New Roman"/>
      <family val="1"/>
    </font>
    <font>
      <b/>
      <sz val="10"/>
      <color rgb="FF0000FF"/>
      <name val="Times New Roman"/>
      <family val="1"/>
    </font>
    <font>
      <b/>
      <sz val="11"/>
      <color rgb="FF0000FF"/>
      <name val="Times New Roman"/>
      <family val="1"/>
    </font>
    <font>
      <sz val="11"/>
      <color theme="1"/>
      <name val="Times New Roman"/>
      <family val="1"/>
    </font>
    <font>
      <b/>
      <sz val="14"/>
      <color theme="1"/>
      <name val="Times New Roman"/>
      <family val="1"/>
    </font>
    <font>
      <b/>
      <sz val="11"/>
      <color theme="1"/>
      <name val="Times New Roman"/>
      <family val="1"/>
    </font>
    <font>
      <b/>
      <sz val="11"/>
      <color theme="0"/>
      <name val="Times New Roman"/>
      <family val="1"/>
    </font>
    <font>
      <b/>
      <sz val="12"/>
      <color theme="0"/>
      <name val="Times New Roman"/>
      <family val="1"/>
    </font>
    <font>
      <sz val="12"/>
      <name val="Times New Roman"/>
      <family val="1"/>
    </font>
    <font>
      <sz val="8"/>
      <color theme="1"/>
      <name val="Times New Roman"/>
      <family val="1"/>
    </font>
    <font>
      <sz val="10"/>
      <color rgb="FF000000"/>
      <name val="Times New Roman"/>
      <family val="1"/>
    </font>
    <font>
      <b/>
      <sz val="11"/>
      <color rgb="FF000000"/>
      <name val="Times New Roman"/>
      <family val="1"/>
    </font>
    <font>
      <sz val="14"/>
      <color rgb="FF000000"/>
      <name val="Sarabun"/>
    </font>
    <font>
      <sz val="11"/>
      <color rgb="FF000000"/>
      <name val="Times New Roman"/>
      <family val="1"/>
    </font>
    <font>
      <b/>
      <sz val="12"/>
      <name val="Times New Roman"/>
      <family val="1"/>
    </font>
    <font>
      <b/>
      <i/>
      <sz val="11"/>
      <name val="Times New Roman"/>
      <family val="1"/>
    </font>
    <font>
      <b/>
      <sz val="12"/>
      <color rgb="FFFFFFFF"/>
      <name val="Times New Roman"/>
      <family val="1"/>
    </font>
    <font>
      <sz val="12"/>
      <color rgb="FF000000"/>
      <name val="Times New Roman"/>
      <family val="1"/>
    </font>
    <font>
      <sz val="9"/>
      <color rgb="FF000000"/>
      <name val="Times New Roman"/>
      <family val="1"/>
    </font>
    <font>
      <b/>
      <sz val="10"/>
      <color rgb="FF000000"/>
      <name val="Times New Roman"/>
      <family val="1"/>
    </font>
    <font>
      <sz val="12"/>
      <color theme="1"/>
      <name val="Times New Roman"/>
      <family val="1"/>
    </font>
    <font>
      <b/>
      <sz val="12"/>
      <color theme="1"/>
      <name val="Times New Roman"/>
      <family val="1"/>
    </font>
    <font>
      <b/>
      <sz val="12"/>
      <color rgb="FF0000CC"/>
      <name val="Times New Roman"/>
      <family val="1"/>
    </font>
    <font>
      <b/>
      <sz val="12"/>
      <color rgb="FF000000"/>
      <name val="Times New Roman"/>
      <family val="1"/>
    </font>
    <font>
      <b/>
      <sz val="12"/>
      <color rgb="FFEE0033"/>
      <name val="Times New Roman"/>
      <family val="1"/>
    </font>
    <font>
      <sz val="11"/>
      <color rgb="FFFF0000"/>
      <name val="Times New Roman"/>
      <family val="1"/>
    </font>
    <font>
      <b/>
      <sz val="12"/>
      <color rgb="FFFF0000"/>
      <name val="Times New Roman"/>
      <family val="1"/>
    </font>
  </fonts>
  <fills count="2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5" tint="0.79998168889431442"/>
        <bgColor indexed="64"/>
      </patternFill>
    </fill>
    <fill>
      <patternFill patternType="solid">
        <fgColor rgb="FFFFFFFF"/>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rgb="FFEE0033"/>
        <bgColor indexed="64"/>
      </patternFill>
    </fill>
    <fill>
      <patternFill patternType="solid">
        <fgColor rgb="FF00B050"/>
        <bgColor indexed="64"/>
      </patternFill>
    </fill>
    <fill>
      <patternFill patternType="solid">
        <fgColor theme="7" tint="0.79998168889431442"/>
        <bgColor indexed="64"/>
      </patternFill>
    </fill>
    <fill>
      <patternFill patternType="solid">
        <fgColor rgb="FFE3ABFF"/>
        <bgColor indexed="64"/>
      </patternFill>
    </fill>
    <fill>
      <patternFill patternType="solid">
        <fgColor rgb="FF73DCF1"/>
        <bgColor indexed="64"/>
      </patternFill>
    </fill>
    <fill>
      <patternFill patternType="solid">
        <fgColor rgb="FF88BD67"/>
        <bgColor indexed="64"/>
      </patternFill>
    </fill>
    <fill>
      <patternFill patternType="solid">
        <fgColor rgb="FF579BFF"/>
        <bgColor indexed="64"/>
      </patternFill>
    </fill>
    <fill>
      <patternFill patternType="solid">
        <fgColor rgb="FFFCE4D6"/>
        <bgColor indexed="64"/>
      </patternFill>
    </fill>
    <fill>
      <patternFill patternType="solid">
        <fgColor rgb="FFFF0000"/>
        <bgColor indexed="64"/>
      </patternFill>
    </fill>
    <fill>
      <patternFill patternType="solid">
        <fgColor theme="0" tint="-4.9989318521683403E-2"/>
        <bgColor indexed="64"/>
      </patternFill>
    </fill>
  </fills>
  <borders count="21">
    <border>
      <left/>
      <right/>
      <top/>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auto="1"/>
      </bottom>
      <diagonal/>
    </border>
    <border>
      <left/>
      <right style="thin">
        <color rgb="FF000000"/>
      </right>
      <top style="thin">
        <color rgb="FF000000"/>
      </top>
      <bottom style="thin">
        <color rgb="FF000000"/>
      </bottom>
      <diagonal/>
    </border>
    <border>
      <left style="dotted">
        <color rgb="FFFF0000"/>
      </left>
      <right style="dotted">
        <color rgb="FFFF0000"/>
      </right>
      <top/>
      <bottom style="dotted">
        <color rgb="FFFF0000"/>
      </bottom>
      <diagonal/>
    </border>
    <border>
      <left style="dotted">
        <color rgb="FFFF0000"/>
      </left>
      <right style="dotted">
        <color rgb="FFFF0000"/>
      </right>
      <top style="dotted">
        <color rgb="FFFF0000"/>
      </top>
      <bottom style="dotted">
        <color rgb="FFFF0000"/>
      </bottom>
      <diagonal/>
    </border>
    <border>
      <left/>
      <right style="thin">
        <color rgb="FF000000"/>
      </right>
      <top style="thin">
        <color rgb="FF000000"/>
      </top>
      <bottom/>
      <diagonal/>
    </border>
  </borders>
  <cellStyleXfs count="290">
    <xf numFmtId="0" fontId="0" fillId="0" borderId="0"/>
    <xf numFmtId="43" fontId="4"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9" fillId="0" borderId="0">
      <alignment vertical="top"/>
    </xf>
    <xf numFmtId="43" fontId="9" fillId="0" borderId="0" applyFont="0" applyFill="0" applyBorder="0" applyAlignment="0" applyProtection="0"/>
    <xf numFmtId="168" fontId="4" fillId="0" borderId="0" applyFont="0" applyFill="0" applyBorder="0" applyAlignment="0" applyProtection="0"/>
    <xf numFmtId="0" fontId="9" fillId="0" borderId="0">
      <alignment vertical="top"/>
    </xf>
    <xf numFmtId="0" fontId="12" fillId="0" borderId="0"/>
    <xf numFmtId="43" fontId="9" fillId="0" borderId="0" applyFont="0" applyFill="0" applyBorder="0" applyAlignment="0" applyProtection="0"/>
    <xf numFmtId="43" fontId="9" fillId="0" borderId="0" applyFont="0" applyFill="0" applyBorder="0" applyAlignment="0" applyProtection="0"/>
    <xf numFmtId="0" fontId="4" fillId="0" borderId="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4" fillId="0" borderId="0"/>
    <xf numFmtId="0" fontId="4" fillId="0" borderId="0"/>
    <xf numFmtId="0" fontId="12" fillId="0" borderId="0"/>
    <xf numFmtId="0" fontId="9" fillId="0" borderId="0"/>
    <xf numFmtId="170" fontId="4" fillId="0" borderId="0"/>
    <xf numFmtId="164" fontId="9" fillId="0" borderId="0" applyFont="0" applyFill="0" applyBorder="0" applyAlignment="0" applyProtection="0"/>
    <xf numFmtId="9" fontId="9" fillId="0" borderId="0" applyFont="0" applyFill="0" applyBorder="0" applyAlignment="0" applyProtection="0"/>
    <xf numFmtId="164" fontId="9" fillId="0" borderId="0" applyFont="0" applyFill="0" applyBorder="0" applyAlignment="0" applyProtection="0"/>
    <xf numFmtId="0" fontId="12" fillId="0" borderId="0"/>
    <xf numFmtId="0" fontId="12" fillId="0" borderId="0"/>
    <xf numFmtId="171" fontId="4" fillId="0" borderId="0"/>
    <xf numFmtId="0" fontId="12" fillId="0" borderId="0"/>
    <xf numFmtId="0" fontId="4" fillId="0" borderId="0"/>
    <xf numFmtId="0" fontId="18" fillId="0" borderId="0">
      <protection locked="0"/>
    </xf>
    <xf numFmtId="0" fontId="4" fillId="0" borderId="0"/>
    <xf numFmtId="0" fontId="4" fillId="0" borderId="0"/>
    <xf numFmtId="0" fontId="4" fillId="0" borderId="0"/>
    <xf numFmtId="0" fontId="4" fillId="0" borderId="0"/>
    <xf numFmtId="0" fontId="4" fillId="0" borderId="0"/>
    <xf numFmtId="172" fontId="4" fillId="0" borderId="0" applyFont="0" applyFill="0" applyBorder="0" applyAlignment="0" applyProtection="0"/>
    <xf numFmtId="0" fontId="9" fillId="0" borderId="0">
      <alignment vertical="top"/>
    </xf>
    <xf numFmtId="43" fontId="9" fillId="0" borderId="0" applyFont="0" applyFill="0" applyBorder="0" applyAlignment="0" applyProtection="0"/>
    <xf numFmtId="0" fontId="4" fillId="0" borderId="0"/>
    <xf numFmtId="0" fontId="4" fillId="0" borderId="0"/>
    <xf numFmtId="164" fontId="4" fillId="0" borderId="0" applyFont="0" applyFill="0" applyBorder="0" applyAlignment="0" applyProtection="0"/>
    <xf numFmtId="43" fontId="4" fillId="0" borderId="0" applyFont="0" applyFill="0" applyBorder="0" applyAlignment="0" applyProtection="0"/>
    <xf numFmtId="0" fontId="18" fillId="0" borderId="0">
      <protection locked="0"/>
    </xf>
    <xf numFmtId="0" fontId="18" fillId="0" borderId="0">
      <protection locked="0"/>
    </xf>
    <xf numFmtId="0" fontId="4" fillId="0" borderId="0"/>
    <xf numFmtId="0" fontId="19" fillId="0" borderId="0"/>
    <xf numFmtId="171" fontId="9" fillId="0" borderId="0">
      <alignment vertical="top"/>
    </xf>
    <xf numFmtId="43" fontId="4"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71" fontId="20" fillId="0" borderId="0">
      <protection locked="0"/>
    </xf>
    <xf numFmtId="0" fontId="9" fillId="0" borderId="0">
      <alignment vertical="top"/>
    </xf>
    <xf numFmtId="43" fontId="21" fillId="0" borderId="0" applyFont="0" applyFill="0" applyBorder="0" applyAlignment="0" applyProtection="0"/>
    <xf numFmtId="0" fontId="9" fillId="0" borderId="0">
      <alignment vertical="top"/>
    </xf>
    <xf numFmtId="0" fontId="21" fillId="0" borderId="0">
      <alignment vertical="top"/>
    </xf>
    <xf numFmtId="9" fontId="21" fillId="0" borderId="0" applyFont="0" applyFill="0" applyBorder="0" applyAlignment="0" applyProtection="0"/>
    <xf numFmtId="0" fontId="21" fillId="0" borderId="0">
      <alignment vertical="top"/>
    </xf>
    <xf numFmtId="43" fontId="4" fillId="0" borderId="0" applyFont="0" applyFill="0" applyBorder="0" applyAlignment="0" applyProtection="0"/>
    <xf numFmtId="172" fontId="4" fillId="0" borderId="0" applyFont="0" applyFill="0" applyBorder="0" applyAlignment="0" applyProtection="0"/>
    <xf numFmtId="0" fontId="12" fillId="0" borderId="0"/>
    <xf numFmtId="164" fontId="12" fillId="0" borderId="0" applyFont="0" applyFill="0" applyBorder="0" applyAlignment="0" applyProtection="0"/>
    <xf numFmtId="0" fontId="22" fillId="0" borderId="0"/>
    <xf numFmtId="0" fontId="9" fillId="0" borderId="0"/>
    <xf numFmtId="0" fontId="12" fillId="0" borderId="0"/>
    <xf numFmtId="164" fontId="12" fillId="0" borderId="0" applyFont="0" applyFill="0" applyBorder="0" applyAlignment="0" applyProtection="0"/>
    <xf numFmtId="0" fontId="23" fillId="0" borderId="0"/>
    <xf numFmtId="164" fontId="12" fillId="0" borderId="0" applyFont="0" applyFill="0" applyBorder="0" applyAlignment="0" applyProtection="0"/>
    <xf numFmtId="164" fontId="12" fillId="0" borderId="0" applyFont="0" applyFill="0" applyBorder="0" applyAlignment="0" applyProtection="0"/>
    <xf numFmtId="0" fontId="22" fillId="0" borderId="0"/>
    <xf numFmtId="0" fontId="18" fillId="0" borderId="0">
      <protection locked="0"/>
    </xf>
    <xf numFmtId="0" fontId="12" fillId="0" borderId="0"/>
    <xf numFmtId="0" fontId="4" fillId="0" borderId="0"/>
    <xf numFmtId="0" fontId="12" fillId="0" borderId="0"/>
    <xf numFmtId="164" fontId="12" fillId="0" borderId="0" applyFont="0" applyFill="0" applyBorder="0" applyAlignment="0" applyProtection="0"/>
    <xf numFmtId="0" fontId="12" fillId="0" borderId="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12"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164" fontId="3" fillId="0" borderId="0" applyFont="0" applyFill="0" applyBorder="0" applyAlignment="0" applyProtection="0"/>
    <xf numFmtId="0" fontId="3"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0" borderId="0"/>
    <xf numFmtId="0" fontId="18" fillId="0" borderId="0">
      <protection locked="0"/>
    </xf>
    <xf numFmtId="0" fontId="9" fillId="0" borderId="0"/>
    <xf numFmtId="173" fontId="9" fillId="0" borderId="0" applyFont="0" applyFill="0" applyBorder="0" applyAlignment="0" applyProtection="0"/>
    <xf numFmtId="171" fontId="4" fillId="0" borderId="0"/>
    <xf numFmtId="171" fontId="9" fillId="0" borderId="0"/>
    <xf numFmtId="43" fontId="4" fillId="0" borderId="0" applyFont="0" applyFill="0" applyBorder="0" applyAlignment="0" applyProtection="0"/>
    <xf numFmtId="0" fontId="1" fillId="0" borderId="0"/>
    <xf numFmtId="0" fontId="9" fillId="0" borderId="0"/>
    <xf numFmtId="174" fontId="4" fillId="0" borderId="0" applyFont="0" applyFill="0" applyBorder="0" applyAlignment="0" applyProtection="0"/>
    <xf numFmtId="0" fontId="29" fillId="0" borderId="0"/>
    <xf numFmtId="171" fontId="4" fillId="0" borderId="0"/>
    <xf numFmtId="171" fontId="4" fillId="0" borderId="0"/>
    <xf numFmtId="0" fontId="4" fillId="0" borderId="0"/>
    <xf numFmtId="171" fontId="4" fillId="0" borderId="0"/>
    <xf numFmtId="43" fontId="4" fillId="0" borderId="0" applyFont="0" applyFill="0" applyBorder="0" applyAlignment="0" applyProtection="0"/>
    <xf numFmtId="0" fontId="4" fillId="0" borderId="0"/>
    <xf numFmtId="171" fontId="4" fillId="0" borderId="0"/>
    <xf numFmtId="0" fontId="9" fillId="0" borderId="0"/>
    <xf numFmtId="0" fontId="9" fillId="0" borderId="0"/>
    <xf numFmtId="175" fontId="4" fillId="0" borderId="0"/>
    <xf numFmtId="0" fontId="9" fillId="0" borderId="0"/>
    <xf numFmtId="0" fontId="9" fillId="0" borderId="0"/>
    <xf numFmtId="0" fontId="29" fillId="0" borderId="0"/>
    <xf numFmtId="0" fontId="4" fillId="0" borderId="0"/>
    <xf numFmtId="0" fontId="30" fillId="0" borderId="0"/>
    <xf numFmtId="43" fontId="31" fillId="0" borderId="0" applyFont="0" applyFill="0" applyBorder="0" applyAlignment="0" applyProtection="0"/>
    <xf numFmtId="0" fontId="4"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0" fontId="4" fillId="0" borderId="0"/>
  </cellStyleXfs>
  <cellXfs count="672">
    <xf numFmtId="0" fontId="0" fillId="0" borderId="0" xfId="0"/>
    <xf numFmtId="0" fontId="5"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6" fillId="3" borderId="3" xfId="0" applyFont="1" applyFill="1" applyBorder="1" applyAlignment="1">
      <alignment horizontal="center" vertical="center" wrapText="1"/>
    </xf>
    <xf numFmtId="0" fontId="5" fillId="0" borderId="0" xfId="0" applyFont="1" applyAlignment="1">
      <alignment vertical="center"/>
    </xf>
    <xf numFmtId="0" fontId="5" fillId="0" borderId="0" xfId="0" applyFont="1" applyAlignment="1">
      <alignment horizontal="center" vertical="center"/>
    </xf>
    <xf numFmtId="0" fontId="16" fillId="0" borderId="0" xfId="0" applyFont="1" applyAlignment="1">
      <alignment vertical="center"/>
    </xf>
    <xf numFmtId="0" fontId="5" fillId="0" borderId="0" xfId="0" applyFont="1"/>
    <xf numFmtId="0" fontId="6" fillId="0" borderId="3" xfId="0" applyFont="1" applyBorder="1" applyAlignment="1">
      <alignment horizontal="center" vertical="center" wrapText="1" readingOrder="1"/>
    </xf>
    <xf numFmtId="9" fontId="6" fillId="0" borderId="3" xfId="2" applyFont="1" applyFill="1" applyBorder="1" applyAlignment="1">
      <alignment horizontal="center" vertical="center" wrapText="1" readingOrder="1"/>
    </xf>
    <xf numFmtId="165" fontId="5" fillId="0" borderId="0" xfId="1" applyNumberFormat="1" applyFont="1" applyAlignment="1">
      <alignment vertical="center"/>
    </xf>
    <xf numFmtId="0" fontId="17" fillId="0" borderId="3" xfId="0" applyFont="1" applyBorder="1" applyAlignment="1">
      <alignment horizontal="center" vertical="center"/>
    </xf>
    <xf numFmtId="165" fontId="6" fillId="3" borderId="3" xfId="1" applyNumberFormat="1" applyFont="1" applyFill="1" applyBorder="1" applyAlignment="1">
      <alignment horizontal="center" vertical="center" wrapText="1"/>
    </xf>
    <xf numFmtId="0" fontId="6" fillId="4" borderId="3" xfId="0" applyFont="1" applyFill="1" applyBorder="1" applyAlignment="1">
      <alignment horizontal="center" vertical="center"/>
    </xf>
    <xf numFmtId="0" fontId="6" fillId="4" borderId="3" xfId="0" applyFont="1" applyFill="1" applyBorder="1" applyAlignment="1">
      <alignment horizontal="center" vertical="center" wrapText="1"/>
    </xf>
    <xf numFmtId="0" fontId="6" fillId="4" borderId="3" xfId="0" applyFont="1" applyFill="1" applyBorder="1" applyAlignment="1">
      <alignment horizontal="left" vertical="center" wrapText="1"/>
    </xf>
    <xf numFmtId="9" fontId="6" fillId="4" borderId="3" xfId="2" applyFont="1" applyFill="1" applyBorder="1" applyAlignment="1">
      <alignment horizontal="center" vertical="center" wrapText="1"/>
    </xf>
    <xf numFmtId="0" fontId="5" fillId="7" borderId="3" xfId="0" applyFont="1" applyFill="1" applyBorder="1" applyAlignment="1">
      <alignment horizontal="center" vertical="center"/>
    </xf>
    <xf numFmtId="0" fontId="5" fillId="2" borderId="3" xfId="0" applyFont="1" applyFill="1" applyBorder="1" applyAlignment="1">
      <alignment horizontal="center" vertical="center" wrapText="1" readingOrder="1"/>
    </xf>
    <xf numFmtId="0" fontId="17" fillId="3" borderId="3" xfId="0" applyFont="1" applyFill="1" applyBorder="1" applyAlignment="1">
      <alignment horizontal="center" vertical="center"/>
    </xf>
    <xf numFmtId="165" fontId="6" fillId="2" borderId="3" xfId="1" applyNumberFormat="1" applyFont="1" applyFill="1" applyBorder="1" applyAlignment="1">
      <alignment horizontal="center" vertical="center" wrapText="1"/>
    </xf>
    <xf numFmtId="0" fontId="16" fillId="0" borderId="3" xfId="0" applyFont="1" applyBorder="1" applyAlignment="1">
      <alignment horizontal="center" vertical="center"/>
    </xf>
    <xf numFmtId="165" fontId="5" fillId="0" borderId="0" xfId="1" applyNumberFormat="1" applyFont="1"/>
    <xf numFmtId="166" fontId="5" fillId="0" borderId="0" xfId="1" applyNumberFormat="1" applyFont="1" applyAlignment="1">
      <alignment vertical="center"/>
    </xf>
    <xf numFmtId="167" fontId="5" fillId="7" borderId="3" xfId="2" applyNumberFormat="1" applyFont="1" applyFill="1" applyBorder="1" applyAlignment="1">
      <alignment horizontal="center" vertical="center" wrapText="1"/>
    </xf>
    <xf numFmtId="0" fontId="7" fillId="0" borderId="0" xfId="0" applyFont="1" applyAlignment="1">
      <alignment vertical="center"/>
    </xf>
    <xf numFmtId="167" fontId="5" fillId="0" borderId="0" xfId="0" applyNumberFormat="1" applyFont="1"/>
    <xf numFmtId="167" fontId="6" fillId="3" borderId="3" xfId="0" applyNumberFormat="1" applyFont="1" applyFill="1" applyBorder="1" applyAlignment="1">
      <alignment horizontal="center" vertical="center" wrapText="1"/>
    </xf>
    <xf numFmtId="165" fontId="5" fillId="2" borderId="3" xfId="1" applyNumberFormat="1" applyFont="1" applyFill="1" applyBorder="1" applyAlignment="1">
      <alignment horizontal="center" vertical="center" readingOrder="1"/>
    </xf>
    <xf numFmtId="165" fontId="5" fillId="2" borderId="3" xfId="1" applyNumberFormat="1" applyFont="1" applyFill="1" applyBorder="1" applyAlignment="1">
      <alignment horizontal="center" vertical="center" wrapText="1" readingOrder="1"/>
    </xf>
    <xf numFmtId="10" fontId="5" fillId="0" borderId="0" xfId="0" applyNumberFormat="1" applyFont="1"/>
    <xf numFmtId="165" fontId="6" fillId="4" borderId="3" xfId="1" applyNumberFormat="1" applyFont="1" applyFill="1" applyBorder="1" applyAlignment="1">
      <alignment horizontal="center" vertical="center" wrapText="1"/>
    </xf>
    <xf numFmtId="167" fontId="6" fillId="8" borderId="3" xfId="2" applyNumberFormat="1" applyFont="1" applyFill="1" applyBorder="1" applyAlignment="1">
      <alignment horizontal="center" vertical="center" wrapText="1"/>
    </xf>
    <xf numFmtId="0" fontId="6" fillId="9" borderId="3" xfId="0" applyFont="1" applyFill="1" applyBorder="1" applyAlignment="1">
      <alignment horizontal="center" vertical="center"/>
    </xf>
    <xf numFmtId="0" fontId="6" fillId="9" borderId="3" xfId="0" applyFont="1" applyFill="1" applyBorder="1" applyAlignment="1">
      <alignment horizontal="left" vertical="center"/>
    </xf>
    <xf numFmtId="167" fontId="6" fillId="9" borderId="3" xfId="2" applyNumberFormat="1" applyFont="1" applyFill="1" applyBorder="1" applyAlignment="1">
      <alignment horizontal="center" vertical="center" wrapText="1"/>
    </xf>
    <xf numFmtId="0" fontId="5" fillId="2" borderId="0" xfId="0" applyFont="1" applyFill="1" applyAlignment="1">
      <alignment vertical="center"/>
    </xf>
    <xf numFmtId="0" fontId="6" fillId="2" borderId="0" xfId="0" applyFont="1" applyFill="1" applyAlignment="1">
      <alignment horizontal="center" vertical="center"/>
    </xf>
    <xf numFmtId="43" fontId="5" fillId="0" borderId="0" xfId="1" applyFont="1" applyAlignment="1">
      <alignment vertical="center"/>
    </xf>
    <xf numFmtId="0" fontId="6" fillId="8" borderId="3" xfId="0" applyFont="1" applyFill="1" applyBorder="1" applyAlignment="1">
      <alignment horizontal="center" vertical="center"/>
    </xf>
    <xf numFmtId="0" fontId="6" fillId="8" borderId="3" xfId="0" applyFont="1" applyFill="1" applyBorder="1" applyAlignment="1">
      <alignment vertical="center"/>
    </xf>
    <xf numFmtId="0" fontId="14" fillId="0" borderId="3" xfId="0" applyFont="1" applyBorder="1" applyAlignment="1">
      <alignment horizontal="center" vertical="center" wrapText="1" readingOrder="1"/>
    </xf>
    <xf numFmtId="1" fontId="25" fillId="0" borderId="0" xfId="0" applyNumberFormat="1" applyFont="1" applyAlignment="1">
      <alignment horizontal="right" vertical="center"/>
    </xf>
    <xf numFmtId="0" fontId="11" fillId="0" borderId="6" xfId="0" applyFont="1" applyBorder="1" applyAlignment="1">
      <alignment horizontal="center" vertical="center" wrapText="1" readingOrder="1"/>
    </xf>
    <xf numFmtId="0" fontId="5" fillId="0" borderId="3" xfId="0" applyFont="1" applyBorder="1" applyAlignment="1">
      <alignment horizontal="center" vertical="center" wrapText="1" readingOrder="1"/>
    </xf>
    <xf numFmtId="0" fontId="5" fillId="2" borderId="3" xfId="0" applyFont="1" applyFill="1" applyBorder="1" applyAlignment="1">
      <alignment horizontal="center" vertical="center" readingOrder="1"/>
    </xf>
    <xf numFmtId="165" fontId="6" fillId="4" borderId="3" xfId="1" applyNumberFormat="1" applyFont="1" applyFill="1" applyBorder="1" applyAlignment="1">
      <alignment vertical="center"/>
    </xf>
    <xf numFmtId="0" fontId="6" fillId="2" borderId="0" xfId="0" applyFont="1" applyFill="1" applyAlignment="1">
      <alignment vertical="center"/>
    </xf>
    <xf numFmtId="0" fontId="5" fillId="2" borderId="0" xfId="0" applyFont="1" applyFill="1" applyAlignment="1">
      <alignment horizontal="center" vertical="center"/>
    </xf>
    <xf numFmtId="0" fontId="8" fillId="2" borderId="0" xfId="0" applyFont="1" applyFill="1" applyAlignment="1">
      <alignment horizontal="center" vertical="center"/>
    </xf>
    <xf numFmtId="0" fontId="8" fillId="2" borderId="0" xfId="0" applyFont="1" applyFill="1" applyAlignment="1">
      <alignment vertical="center"/>
    </xf>
    <xf numFmtId="0" fontId="5" fillId="2" borderId="3" xfId="0" applyFont="1" applyFill="1" applyBorder="1" applyAlignment="1">
      <alignment horizontal="left" vertical="center"/>
    </xf>
    <xf numFmtId="165" fontId="5" fillId="0" borderId="0" xfId="1" applyNumberFormat="1" applyFont="1" applyFill="1" applyAlignment="1">
      <alignment horizontal="right" vertical="center"/>
    </xf>
    <xf numFmtId="0" fontId="5" fillId="0" borderId="0" xfId="0" applyFont="1" applyAlignment="1">
      <alignment vertical="center" wrapText="1"/>
    </xf>
    <xf numFmtId="0" fontId="5" fillId="7" borderId="3" xfId="0" applyFont="1" applyFill="1" applyBorder="1" applyAlignment="1">
      <alignment vertical="center" wrapText="1"/>
    </xf>
    <xf numFmtId="0" fontId="24" fillId="10" borderId="3" xfId="0" applyFont="1" applyFill="1" applyBorder="1" applyAlignment="1">
      <alignment horizontal="center" vertical="center" wrapText="1" readingOrder="1"/>
    </xf>
    <xf numFmtId="165" fontId="24" fillId="10" borderId="3" xfId="1" applyNumberFormat="1" applyFont="1" applyFill="1" applyBorder="1" applyAlignment="1">
      <alignment horizontal="center" vertical="center" wrapText="1" readingOrder="1"/>
    </xf>
    <xf numFmtId="0" fontId="6" fillId="3" borderId="3" xfId="0" applyFont="1" applyFill="1" applyBorder="1" applyAlignment="1">
      <alignment horizontal="center" vertical="center" wrapText="1" readingOrder="1"/>
    </xf>
    <xf numFmtId="165" fontId="6" fillId="3" borderId="3" xfId="1" applyNumberFormat="1" applyFont="1" applyFill="1" applyBorder="1" applyAlignment="1">
      <alignment horizontal="center" vertical="center" wrapText="1" readingOrder="1"/>
    </xf>
    <xf numFmtId="165" fontId="5" fillId="7" borderId="3" xfId="1" applyNumberFormat="1" applyFont="1" applyFill="1" applyBorder="1" applyAlignment="1">
      <alignment horizontal="center" vertical="center" wrapText="1"/>
    </xf>
    <xf numFmtId="165" fontId="6" fillId="8" borderId="3" xfId="1" applyNumberFormat="1" applyFont="1" applyFill="1" applyBorder="1" applyAlignment="1">
      <alignment horizontal="center" vertical="center" wrapText="1"/>
    </xf>
    <xf numFmtId="165" fontId="6" fillId="9" borderId="3" xfId="1" applyNumberFormat="1" applyFont="1" applyFill="1" applyBorder="1" applyAlignment="1">
      <alignment horizontal="center" vertical="center" wrapText="1"/>
    </xf>
    <xf numFmtId="0" fontId="15" fillId="0" borderId="0" xfId="0" applyFont="1" applyAlignment="1">
      <alignment vertical="center"/>
    </xf>
    <xf numFmtId="43" fontId="6" fillId="3" borderId="3" xfId="1" applyFont="1" applyFill="1" applyBorder="1" applyAlignment="1">
      <alignment horizontal="center" vertical="center" wrapText="1"/>
    </xf>
    <xf numFmtId="165" fontId="5" fillId="0" borderId="3" xfId="1" applyNumberFormat="1" applyFont="1" applyFill="1" applyBorder="1" applyAlignment="1">
      <alignment horizontal="left" vertical="center" wrapText="1" readingOrder="1"/>
    </xf>
    <xf numFmtId="165" fontId="5" fillId="0" borderId="3" xfId="1" quotePrefix="1" applyNumberFormat="1" applyFont="1" applyFill="1" applyBorder="1" applyAlignment="1">
      <alignment horizontal="center" vertical="center" readingOrder="1"/>
    </xf>
    <xf numFmtId="165" fontId="6" fillId="3" borderId="3" xfId="1" applyNumberFormat="1" applyFont="1" applyFill="1" applyBorder="1" applyAlignment="1">
      <alignment horizontal="left" vertical="center" wrapText="1" readingOrder="1"/>
    </xf>
    <xf numFmtId="167" fontId="5" fillId="0" borderId="3" xfId="2" applyNumberFormat="1" applyFont="1" applyFill="1" applyBorder="1" applyAlignment="1">
      <alignment horizontal="center" vertical="center" wrapText="1" readingOrder="1"/>
    </xf>
    <xf numFmtId="0" fontId="5" fillId="0" borderId="3" xfId="0" applyFont="1" applyBorder="1" applyAlignment="1">
      <alignment horizontal="left" vertical="center" wrapText="1" indent="1" readingOrder="1"/>
    </xf>
    <xf numFmtId="165" fontId="5" fillId="0" borderId="3" xfId="1" applyNumberFormat="1" applyFont="1" applyFill="1" applyBorder="1" applyAlignment="1">
      <alignment horizontal="center" vertical="center" wrapText="1" readingOrder="1"/>
    </xf>
    <xf numFmtId="0" fontId="5" fillId="0" borderId="3" xfId="0" applyFont="1" applyBorder="1" applyAlignment="1">
      <alignment horizontal="center" vertical="center" readingOrder="1"/>
    </xf>
    <xf numFmtId="0" fontId="5" fillId="7" borderId="3" xfId="0" applyFont="1" applyFill="1" applyBorder="1" applyAlignment="1">
      <alignment horizontal="left" vertical="center" wrapText="1" indent="1"/>
    </xf>
    <xf numFmtId="0" fontId="5" fillId="0" borderId="3" xfId="0" applyFont="1" applyBorder="1" applyAlignment="1">
      <alignment horizontal="left" vertical="center" wrapText="1" readingOrder="1"/>
    </xf>
    <xf numFmtId="0" fontId="6" fillId="3" borderId="3" xfId="0" applyFont="1" applyFill="1" applyBorder="1" applyAlignment="1">
      <alignment horizontal="left" vertical="center"/>
    </xf>
    <xf numFmtId="0" fontId="5" fillId="3" borderId="3" xfId="0" quotePrefix="1" applyFont="1" applyFill="1" applyBorder="1" applyAlignment="1">
      <alignment horizontal="justify" vertical="center" wrapText="1"/>
    </xf>
    <xf numFmtId="167" fontId="6" fillId="3" borderId="3" xfId="2" applyNumberFormat="1" applyFont="1" applyFill="1" applyBorder="1" applyAlignment="1">
      <alignment horizontal="center" vertical="center" wrapText="1"/>
    </xf>
    <xf numFmtId="0" fontId="5" fillId="2" borderId="3" xfId="0" applyFont="1" applyFill="1" applyBorder="1" applyAlignment="1">
      <alignment horizontal="left" vertical="center" wrapText="1" indent="1" readingOrder="1"/>
    </xf>
    <xf numFmtId="165" fontId="6" fillId="2" borderId="3" xfId="1" applyNumberFormat="1" applyFont="1" applyFill="1" applyBorder="1" applyAlignment="1">
      <alignment horizontal="left" vertical="center" wrapText="1" readingOrder="1"/>
    </xf>
    <xf numFmtId="0" fontId="6" fillId="2" borderId="3" xfId="0" applyFont="1" applyFill="1" applyBorder="1" applyAlignment="1">
      <alignment horizontal="center" vertical="center" wrapText="1" readingOrder="1"/>
    </xf>
    <xf numFmtId="0" fontId="10" fillId="2" borderId="3" xfId="0" applyFont="1" applyFill="1" applyBorder="1" applyAlignment="1">
      <alignment horizontal="center" vertical="center" wrapText="1" readingOrder="1"/>
    </xf>
    <xf numFmtId="0" fontId="8" fillId="2" borderId="3" xfId="0" applyFont="1" applyFill="1" applyBorder="1" applyAlignment="1">
      <alignment horizontal="center" vertical="center" wrapText="1" readingOrder="1"/>
    </xf>
    <xf numFmtId="9" fontId="10" fillId="2" borderId="3" xfId="2" applyFont="1" applyFill="1" applyBorder="1" applyAlignment="1">
      <alignment horizontal="center" vertical="center" wrapText="1" readingOrder="1"/>
    </xf>
    <xf numFmtId="0" fontId="6" fillId="2" borderId="3" xfId="0" applyFont="1" applyFill="1" applyBorder="1" applyAlignment="1">
      <alignment horizontal="left" vertical="center" wrapText="1" readingOrder="1"/>
    </xf>
    <xf numFmtId="165" fontId="5" fillId="2" borderId="3" xfId="1" applyNumberFormat="1" applyFont="1" applyFill="1" applyBorder="1" applyAlignment="1">
      <alignment horizontal="left" vertical="center" wrapText="1" readingOrder="1"/>
    </xf>
    <xf numFmtId="165" fontId="5" fillId="2" borderId="3" xfId="1" quotePrefix="1" applyNumberFormat="1" applyFont="1" applyFill="1" applyBorder="1" applyAlignment="1">
      <alignment horizontal="center" vertical="center" readingOrder="1"/>
    </xf>
    <xf numFmtId="0" fontId="5" fillId="2" borderId="3" xfId="0" applyFont="1" applyFill="1" applyBorder="1" applyAlignment="1">
      <alignment horizontal="left" vertical="center" wrapText="1" readingOrder="1"/>
    </xf>
    <xf numFmtId="0" fontId="5" fillId="3" borderId="3" xfId="0" applyFont="1" applyFill="1" applyBorder="1" applyAlignment="1">
      <alignment horizontal="center" vertical="center" wrapText="1" readingOrder="1"/>
    </xf>
    <xf numFmtId="165" fontId="5" fillId="3" borderId="3" xfId="1" applyNumberFormat="1" applyFont="1" applyFill="1" applyBorder="1" applyAlignment="1">
      <alignment horizontal="center" vertical="center" wrapText="1" readingOrder="1"/>
    </xf>
    <xf numFmtId="165" fontId="6" fillId="3" borderId="3" xfId="1" quotePrefix="1" applyNumberFormat="1" applyFont="1" applyFill="1" applyBorder="1" applyAlignment="1">
      <alignment horizontal="center" vertical="center" readingOrder="1"/>
    </xf>
    <xf numFmtId="9" fontId="6" fillId="3" borderId="3" xfId="2" applyFont="1" applyFill="1" applyBorder="1" applyAlignment="1">
      <alignment horizontal="center" vertical="center" wrapText="1" readingOrder="1"/>
    </xf>
    <xf numFmtId="9" fontId="6" fillId="2" borderId="3" xfId="2" applyFont="1" applyFill="1" applyBorder="1" applyAlignment="1">
      <alignment horizontal="center" vertical="center" wrapText="1" readingOrder="1"/>
    </xf>
    <xf numFmtId="167" fontId="10" fillId="2" borderId="3" xfId="2" applyNumberFormat="1" applyFont="1" applyFill="1" applyBorder="1" applyAlignment="1">
      <alignment horizontal="center" vertical="center" wrapText="1" readingOrder="1"/>
    </xf>
    <xf numFmtId="0" fontId="16" fillId="0" borderId="3" xfId="0" applyFont="1" applyBorder="1" applyAlignment="1">
      <alignment vertical="center"/>
    </xf>
    <xf numFmtId="0" fontId="6" fillId="7" borderId="3" xfId="0" applyFont="1" applyFill="1" applyBorder="1" applyAlignment="1">
      <alignment horizontal="center" vertical="center"/>
    </xf>
    <xf numFmtId="0" fontId="16" fillId="0" borderId="0" xfId="0" applyFont="1" applyAlignment="1">
      <alignment horizontal="left" vertical="center"/>
    </xf>
    <xf numFmtId="0" fontId="17" fillId="0" borderId="3" xfId="0" applyFont="1" applyBorder="1" applyAlignment="1">
      <alignment horizontal="left" vertical="center"/>
    </xf>
    <xf numFmtId="0" fontId="16" fillId="0" borderId="3" xfId="0" applyFont="1" applyBorder="1" applyAlignment="1">
      <alignment horizontal="left" vertical="center"/>
    </xf>
    <xf numFmtId="0" fontId="16" fillId="0" borderId="3" xfId="0" applyFont="1" applyBorder="1" applyAlignment="1">
      <alignment horizontal="left" vertical="center" indent="1"/>
    </xf>
    <xf numFmtId="165" fontId="5" fillId="0" borderId="3" xfId="1" applyNumberFormat="1" applyFont="1" applyFill="1" applyBorder="1" applyAlignment="1">
      <alignment horizontal="center" vertical="center" readingOrder="1"/>
    </xf>
    <xf numFmtId="9" fontId="5" fillId="2" borderId="3" xfId="2" applyFont="1" applyFill="1" applyBorder="1" applyAlignment="1">
      <alignment horizontal="center" vertical="center" wrapText="1" readingOrder="1"/>
    </xf>
    <xf numFmtId="167" fontId="5" fillId="2" borderId="3" xfId="2" applyNumberFormat="1" applyFont="1" applyFill="1" applyBorder="1" applyAlignment="1">
      <alignment horizontal="center" vertical="center" wrapText="1" readingOrder="1"/>
    </xf>
    <xf numFmtId="0" fontId="6" fillId="3" borderId="3" xfId="0" applyFont="1" applyFill="1" applyBorder="1" applyAlignment="1">
      <alignment horizontal="left" vertical="center" wrapText="1" readingOrder="1"/>
    </xf>
    <xf numFmtId="9" fontId="6" fillId="2" borderId="3" xfId="2" applyFont="1" applyFill="1" applyBorder="1" applyAlignment="1">
      <alignment horizontal="left" vertical="center" wrapText="1" readingOrder="1"/>
    </xf>
    <xf numFmtId="9" fontId="10" fillId="2" borderId="3" xfId="2" applyFont="1" applyFill="1" applyBorder="1" applyAlignment="1">
      <alignment horizontal="left" vertical="center" wrapText="1" readingOrder="1"/>
    </xf>
    <xf numFmtId="167" fontId="6" fillId="3" borderId="3" xfId="2" applyNumberFormat="1" applyFont="1" applyFill="1" applyBorder="1" applyAlignment="1">
      <alignment horizontal="center" vertical="center" wrapText="1" readingOrder="1"/>
    </xf>
    <xf numFmtId="0" fontId="5" fillId="7" borderId="3" xfId="0" applyFont="1" applyFill="1" applyBorder="1" applyAlignment="1">
      <alignment vertical="center"/>
    </xf>
    <xf numFmtId="0" fontId="5" fillId="7" borderId="3" xfId="0" quotePrefix="1" applyFont="1" applyFill="1" applyBorder="1" applyAlignment="1">
      <alignment horizontal="left" vertical="center" wrapText="1" indent="1"/>
    </xf>
    <xf numFmtId="0" fontId="6" fillId="8" borderId="3" xfId="0" applyFont="1" applyFill="1" applyBorder="1" applyAlignment="1">
      <alignment horizontal="left" vertical="center" indent="1"/>
    </xf>
    <xf numFmtId="0" fontId="6" fillId="7" borderId="3" xfId="0" applyFont="1" applyFill="1" applyBorder="1" applyAlignment="1">
      <alignment horizontal="left" vertical="center" wrapText="1" indent="1"/>
    </xf>
    <xf numFmtId="0" fontId="5" fillId="2" borderId="3" xfId="0" quotePrefix="1" applyFont="1" applyFill="1" applyBorder="1" applyAlignment="1">
      <alignment horizontal="left" vertical="center" wrapText="1" indent="1"/>
    </xf>
    <xf numFmtId="0" fontId="5" fillId="9" borderId="3" xfId="0" quotePrefix="1" applyFont="1" applyFill="1" applyBorder="1" applyAlignment="1">
      <alignment horizontal="left" vertical="center" wrapText="1" indent="1"/>
    </xf>
    <xf numFmtId="0" fontId="6" fillId="8" borderId="3" xfId="0" applyFont="1" applyFill="1" applyBorder="1" applyAlignment="1">
      <alignment horizontal="left" vertical="center" wrapText="1" indent="1"/>
    </xf>
    <xf numFmtId="165" fontId="6" fillId="7" borderId="3" xfId="1" applyNumberFormat="1" applyFont="1" applyFill="1" applyBorder="1" applyAlignment="1">
      <alignment horizontal="center" vertical="center" wrapText="1"/>
    </xf>
    <xf numFmtId="1" fontId="5" fillId="0" borderId="0" xfId="2" applyNumberFormat="1" applyFont="1" applyAlignment="1">
      <alignment horizontal="center" vertical="center"/>
    </xf>
    <xf numFmtId="1" fontId="5" fillId="0" borderId="0" xfId="0" applyNumberFormat="1" applyFont="1" applyAlignment="1">
      <alignment horizontal="center" vertical="center"/>
    </xf>
    <xf numFmtId="0" fontId="27" fillId="0" borderId="0" xfId="0" applyFont="1" applyAlignment="1">
      <alignment vertical="center"/>
    </xf>
    <xf numFmtId="0" fontId="24" fillId="0" borderId="0" xfId="0" applyFont="1" applyAlignment="1">
      <alignment vertical="center"/>
    </xf>
    <xf numFmtId="0" fontId="6" fillId="3" borderId="3" xfId="0" applyFont="1" applyFill="1" applyBorder="1" applyAlignment="1">
      <alignment horizontal="center" vertical="center" wrapText="1"/>
    </xf>
    <xf numFmtId="165" fontId="5" fillId="0" borderId="3" xfId="1" applyNumberFormat="1"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0" xfId="0" applyFont="1" applyFill="1" applyAlignment="1">
      <alignment vertical="center"/>
    </xf>
    <xf numFmtId="0" fontId="5" fillId="0" borderId="3" xfId="0" applyFont="1" applyFill="1" applyBorder="1" applyAlignment="1">
      <alignment horizontal="center" vertical="center"/>
    </xf>
    <xf numFmtId="43" fontId="5" fillId="2" borderId="3" xfId="1" quotePrefix="1" applyNumberFormat="1" applyFont="1" applyFill="1" applyBorder="1" applyAlignment="1">
      <alignment horizontal="center" vertical="center" readingOrder="1"/>
    </xf>
    <xf numFmtId="0" fontId="5" fillId="0" borderId="3" xfId="0" quotePrefix="1" applyFont="1" applyFill="1" applyBorder="1" applyAlignment="1">
      <alignment horizontal="left" vertical="center" wrapText="1" indent="1"/>
    </xf>
    <xf numFmtId="0" fontId="5" fillId="0" borderId="0" xfId="0" applyFont="1" applyFill="1" applyAlignment="1">
      <alignment horizontal="center" vertical="center"/>
    </xf>
    <xf numFmtId="0" fontId="5" fillId="11" borderId="3" xfId="0" quotePrefix="1" applyFont="1" applyFill="1" applyBorder="1" applyAlignment="1">
      <alignment horizontal="left" vertical="center" wrapText="1" indent="1"/>
    </xf>
    <xf numFmtId="0" fontId="5" fillId="11" borderId="3" xfId="0" applyFont="1" applyFill="1" applyBorder="1" applyAlignment="1">
      <alignment horizontal="center" vertical="center"/>
    </xf>
    <xf numFmtId="0" fontId="5" fillId="0" borderId="3" xfId="0" applyFont="1" applyFill="1" applyBorder="1" applyAlignment="1">
      <alignment horizontal="left" vertical="center" wrapText="1" indent="1" readingOrder="1"/>
    </xf>
    <xf numFmtId="167" fontId="5" fillId="0" borderId="3" xfId="2" applyNumberFormat="1" applyFont="1" applyFill="1" applyBorder="1" applyAlignment="1">
      <alignment horizontal="center" vertical="center" wrapText="1"/>
    </xf>
    <xf numFmtId="166" fontId="5" fillId="0" borderId="0" xfId="1" applyNumberFormat="1" applyFont="1" applyFill="1" applyAlignment="1">
      <alignment vertical="center"/>
    </xf>
    <xf numFmtId="43" fontId="5" fillId="0" borderId="0" xfId="1" applyFont="1" applyFill="1" applyAlignment="1">
      <alignment vertical="center"/>
    </xf>
    <xf numFmtId="0" fontId="5" fillId="0" borderId="0" xfId="0" applyFont="1" applyFill="1"/>
    <xf numFmtId="0" fontId="5" fillId="11" borderId="3" xfId="0" applyFont="1" applyFill="1" applyBorder="1" applyAlignment="1">
      <alignment horizontal="center" vertical="center" wrapText="1" readingOrder="1"/>
    </xf>
    <xf numFmtId="0" fontId="5" fillId="11" borderId="3" xfId="0" applyFont="1" applyFill="1" applyBorder="1" applyAlignment="1">
      <alignment horizontal="left" vertical="center" wrapText="1" indent="1" readingOrder="1"/>
    </xf>
    <xf numFmtId="165" fontId="5" fillId="11" borderId="3" xfId="1" applyNumberFormat="1" applyFont="1" applyFill="1" applyBorder="1" applyAlignment="1">
      <alignment horizontal="center" vertical="center" wrapText="1"/>
    </xf>
    <xf numFmtId="167" fontId="5" fillId="11" borderId="3" xfId="2" applyNumberFormat="1" applyFont="1" applyFill="1" applyBorder="1" applyAlignment="1">
      <alignment horizontal="center" vertical="center" wrapText="1"/>
    </xf>
    <xf numFmtId="166" fontId="5" fillId="11" borderId="0" xfId="1" applyNumberFormat="1" applyFont="1" applyFill="1" applyAlignment="1">
      <alignment vertical="center"/>
    </xf>
    <xf numFmtId="43" fontId="5" fillId="11" borderId="0" xfId="1" applyFont="1" applyFill="1" applyAlignment="1">
      <alignment vertical="center"/>
    </xf>
    <xf numFmtId="0" fontId="5" fillId="11" borderId="0" xfId="0" applyFont="1" applyFill="1"/>
    <xf numFmtId="10" fontId="5" fillId="11" borderId="0" xfId="0" applyNumberFormat="1" applyFont="1" applyFill="1"/>
    <xf numFmtId="43" fontId="5" fillId="11" borderId="0" xfId="0" applyNumberFormat="1" applyFont="1" applyFill="1"/>
    <xf numFmtId="10" fontId="5" fillId="11" borderId="0" xfId="2" applyNumberFormat="1" applyFont="1" applyFill="1"/>
    <xf numFmtId="0" fontId="5" fillId="11" borderId="3" xfId="0" applyFont="1" applyFill="1" applyBorder="1" applyAlignment="1">
      <alignment horizontal="left" vertical="center"/>
    </xf>
    <xf numFmtId="167" fontId="6" fillId="11" borderId="3" xfId="2" applyNumberFormat="1" applyFont="1" applyFill="1" applyBorder="1" applyAlignment="1">
      <alignment horizontal="center" vertical="center" wrapText="1"/>
    </xf>
    <xf numFmtId="0" fontId="5" fillId="11" borderId="3" xfId="0" applyFont="1" applyFill="1" applyBorder="1" applyAlignment="1">
      <alignment horizontal="left" vertical="center" wrapText="1" readingOrder="1"/>
    </xf>
    <xf numFmtId="0" fontId="6" fillId="11" borderId="3" xfId="0" applyFont="1" applyFill="1" applyBorder="1" applyAlignment="1">
      <alignment horizontal="center" vertical="center" wrapText="1" readingOrder="1"/>
    </xf>
    <xf numFmtId="0" fontId="6" fillId="11" borderId="3" xfId="0" applyFont="1" applyFill="1" applyBorder="1" applyAlignment="1">
      <alignment horizontal="left" vertical="center" wrapText="1" readingOrder="1"/>
    </xf>
    <xf numFmtId="165" fontId="6" fillId="11" borderId="3" xfId="1" applyNumberFormat="1" applyFont="1" applyFill="1" applyBorder="1" applyAlignment="1">
      <alignment horizontal="center" vertical="center" wrapText="1"/>
    </xf>
    <xf numFmtId="43" fontId="5" fillId="0" borderId="0" xfId="0" applyNumberFormat="1" applyFont="1" applyFill="1"/>
    <xf numFmtId="0" fontId="5" fillId="11" borderId="3" xfId="0" applyFont="1" applyFill="1" applyBorder="1" applyAlignment="1">
      <alignment vertical="center" wrapText="1"/>
    </xf>
    <xf numFmtId="0" fontId="6" fillId="0" borderId="3" xfId="0" applyFont="1" applyFill="1" applyBorder="1" applyAlignment="1">
      <alignment horizontal="center" vertical="center"/>
    </xf>
    <xf numFmtId="9" fontId="6" fillId="0" borderId="3" xfId="2" applyFont="1" applyFill="1" applyBorder="1" applyAlignment="1">
      <alignment horizontal="center" vertical="center" wrapText="1"/>
    </xf>
    <xf numFmtId="43" fontId="5" fillId="0" borderId="3" xfId="1" quotePrefix="1" applyNumberFormat="1" applyFont="1" applyFill="1" applyBorder="1" applyAlignment="1">
      <alignment horizontal="center" vertical="center" readingOrder="1"/>
    </xf>
    <xf numFmtId="0" fontId="5" fillId="2" borderId="3" xfId="0" quotePrefix="1" applyFont="1" applyFill="1" applyBorder="1" applyAlignment="1">
      <alignment vertical="center" wrapText="1"/>
    </xf>
    <xf numFmtId="0" fontId="32" fillId="0" borderId="0" xfId="0" applyFont="1" applyAlignment="1">
      <alignment horizontal="center" vertical="center" wrapText="1"/>
    </xf>
    <xf numFmtId="0" fontId="32" fillId="3" borderId="3" xfId="1" applyNumberFormat="1"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xf>
    <xf numFmtId="0" fontId="32" fillId="5" borderId="3" xfId="0" applyFont="1" applyFill="1" applyBorder="1" applyAlignment="1">
      <alignment horizontal="center" vertical="center" wrapText="1"/>
    </xf>
    <xf numFmtId="165" fontId="32" fillId="5" borderId="3" xfId="1" applyNumberFormat="1" applyFont="1" applyFill="1" applyBorder="1" applyAlignment="1">
      <alignment vertical="center"/>
    </xf>
    <xf numFmtId="0" fontId="32" fillId="0" borderId="0" xfId="0" applyFont="1" applyAlignment="1">
      <alignment vertical="center"/>
    </xf>
    <xf numFmtId="166" fontId="6" fillId="2" borderId="3" xfId="1" applyNumberFormat="1" applyFont="1" applyFill="1" applyBorder="1" applyAlignment="1">
      <alignment horizontal="left" vertical="center" wrapText="1" readingOrder="1"/>
    </xf>
    <xf numFmtId="166" fontId="6" fillId="3" borderId="3" xfId="1" applyNumberFormat="1" applyFont="1" applyFill="1" applyBorder="1" applyAlignment="1">
      <alignment horizontal="left" vertical="center" wrapText="1" readingOrder="1"/>
    </xf>
    <xf numFmtId="166" fontId="5" fillId="0" borderId="3" xfId="1" quotePrefix="1" applyNumberFormat="1" applyFont="1" applyFill="1" applyBorder="1" applyAlignment="1">
      <alignment horizontal="center" vertical="center" readingOrder="1"/>
    </xf>
    <xf numFmtId="166" fontId="5" fillId="0" borderId="3" xfId="1" applyNumberFormat="1" applyFont="1" applyFill="1" applyBorder="1" applyAlignment="1">
      <alignment horizontal="left" vertical="center" wrapText="1" readingOrder="1"/>
    </xf>
    <xf numFmtId="166" fontId="6" fillId="3" borderId="3" xfId="1" quotePrefix="1" applyNumberFormat="1" applyFont="1" applyFill="1" applyBorder="1" applyAlignment="1">
      <alignment horizontal="center" vertical="center" readingOrder="1"/>
    </xf>
    <xf numFmtId="166" fontId="5" fillId="2" borderId="3" xfId="1" applyNumberFormat="1" applyFont="1" applyFill="1" applyBorder="1" applyAlignment="1">
      <alignment horizontal="left" vertical="center" wrapText="1" readingOrder="1"/>
    </xf>
    <xf numFmtId="166" fontId="5" fillId="2" borderId="3" xfId="1" quotePrefix="1" applyNumberFormat="1" applyFont="1" applyFill="1" applyBorder="1" applyAlignment="1">
      <alignment horizontal="center" vertical="center" readingOrder="1"/>
    </xf>
    <xf numFmtId="167" fontId="6" fillId="2" borderId="3" xfId="2" applyNumberFormat="1" applyFont="1" applyFill="1" applyBorder="1" applyAlignment="1">
      <alignment horizontal="left" vertical="center" wrapText="1" readingOrder="1"/>
    </xf>
    <xf numFmtId="167" fontId="10" fillId="2" borderId="3" xfId="2" applyNumberFormat="1" applyFont="1" applyFill="1" applyBorder="1" applyAlignment="1">
      <alignment horizontal="left" vertical="center" wrapText="1" readingOrder="1"/>
    </xf>
    <xf numFmtId="167" fontId="5" fillId="0" borderId="3" xfId="2" applyNumberFormat="1" applyFont="1" applyFill="1" applyBorder="1" applyAlignment="1">
      <alignment horizontal="left" vertical="center" wrapText="1" readingOrder="1"/>
    </xf>
    <xf numFmtId="167" fontId="6" fillId="2" borderId="3" xfId="2" applyNumberFormat="1" applyFont="1" applyFill="1" applyBorder="1" applyAlignment="1">
      <alignment horizontal="center" vertical="center" wrapText="1" readingOrder="1"/>
    </xf>
    <xf numFmtId="167" fontId="5" fillId="2" borderId="3" xfId="2" applyNumberFormat="1" applyFont="1" applyFill="1" applyBorder="1" applyAlignment="1">
      <alignment horizontal="left" vertical="center" wrapText="1" readingOrder="1"/>
    </xf>
    <xf numFmtId="167" fontId="6" fillId="0" borderId="3" xfId="2" applyNumberFormat="1" applyFont="1" applyFill="1" applyBorder="1" applyAlignment="1">
      <alignment horizontal="center" vertical="center" wrapText="1" readingOrder="1"/>
    </xf>
    <xf numFmtId="9" fontId="10" fillId="2" borderId="3" xfId="1" applyNumberFormat="1" applyFont="1" applyFill="1" applyBorder="1" applyAlignment="1">
      <alignment horizontal="left" vertical="center" wrapText="1" readingOrder="1"/>
    </xf>
    <xf numFmtId="43" fontId="5" fillId="0" borderId="3" xfId="1" applyNumberFormat="1" applyFont="1" applyFill="1" applyBorder="1" applyAlignment="1">
      <alignment horizontal="left" vertical="center" wrapText="1" readingOrder="1"/>
    </xf>
    <xf numFmtId="43" fontId="6" fillId="3" borderId="3" xfId="1" applyNumberFormat="1" applyFont="1" applyFill="1" applyBorder="1" applyAlignment="1">
      <alignment horizontal="left" vertical="center" wrapText="1" readingOrder="1"/>
    </xf>
    <xf numFmtId="43" fontId="6" fillId="2" borderId="3" xfId="1" applyNumberFormat="1" applyFont="1" applyFill="1" applyBorder="1" applyAlignment="1">
      <alignment horizontal="left" vertical="center" wrapText="1" readingOrder="1"/>
    </xf>
    <xf numFmtId="169" fontId="6" fillId="2" borderId="3" xfId="1" applyNumberFormat="1" applyFont="1" applyFill="1" applyBorder="1" applyAlignment="1">
      <alignment horizontal="left" vertical="center" wrapText="1" readingOrder="1"/>
    </xf>
    <xf numFmtId="0" fontId="6" fillId="3" borderId="3" xfId="0" applyFont="1" applyFill="1" applyBorder="1" applyAlignment="1">
      <alignment horizontal="center" vertical="center" wrapText="1"/>
    </xf>
    <xf numFmtId="43" fontId="6" fillId="3" borderId="3" xfId="1"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165" fontId="6" fillId="9" borderId="3" xfId="1" applyNumberFormat="1" applyFont="1" applyFill="1" applyBorder="1" applyAlignment="1">
      <alignment vertical="center"/>
    </xf>
    <xf numFmtId="0" fontId="32" fillId="12" borderId="3" xfId="0" applyFont="1" applyFill="1" applyBorder="1" applyAlignment="1" applyProtection="1">
      <alignment horizontal="center" vertical="center"/>
      <protection locked="0"/>
    </xf>
    <xf numFmtId="0" fontId="32" fillId="12" borderId="3" xfId="0" applyFont="1" applyFill="1" applyBorder="1" applyAlignment="1" applyProtection="1">
      <alignment vertical="center" wrapText="1"/>
      <protection locked="0"/>
    </xf>
    <xf numFmtId="0" fontId="32" fillId="12" borderId="3" xfId="0" applyFont="1" applyFill="1" applyBorder="1" applyAlignment="1">
      <alignment horizontal="center" vertical="center" wrapText="1"/>
    </xf>
    <xf numFmtId="165" fontId="32" fillId="12" borderId="3" xfId="1" applyNumberFormat="1" applyFont="1" applyFill="1" applyBorder="1" applyAlignment="1">
      <alignment vertical="center"/>
    </xf>
    <xf numFmtId="165" fontId="32" fillId="12" borderId="3" xfId="1" applyNumberFormat="1" applyFont="1" applyFill="1" applyBorder="1" applyAlignment="1">
      <alignment horizontal="right" vertical="center"/>
    </xf>
    <xf numFmtId="165" fontId="13" fillId="0" borderId="3" xfId="1" applyNumberFormat="1" applyFont="1" applyFill="1" applyBorder="1" applyAlignment="1">
      <alignment horizontal="center" vertical="center"/>
    </xf>
    <xf numFmtId="0" fontId="13" fillId="0" borderId="3" xfId="0" applyFont="1" applyFill="1" applyBorder="1" applyAlignment="1">
      <alignment horizontal="center" vertical="center"/>
    </xf>
    <xf numFmtId="0" fontId="34" fillId="0" borderId="0" xfId="0" applyFont="1" applyFill="1" applyAlignment="1">
      <alignment horizontal="center" vertical="center"/>
    </xf>
    <xf numFmtId="0" fontId="32" fillId="0" borderId="3" xfId="0" applyFont="1" applyFill="1" applyBorder="1" applyAlignment="1">
      <alignment horizontal="center" vertical="center"/>
    </xf>
    <xf numFmtId="165" fontId="32" fillId="0" borderId="3" xfId="1" applyNumberFormat="1" applyFont="1" applyFill="1" applyBorder="1" applyAlignment="1">
      <alignment horizontal="center" vertical="center"/>
    </xf>
    <xf numFmtId="165" fontId="32" fillId="0" borderId="3" xfId="1" applyNumberFormat="1" applyFont="1" applyFill="1" applyBorder="1" applyAlignment="1">
      <alignment vertical="center"/>
    </xf>
    <xf numFmtId="165" fontId="32" fillId="0" borderId="3" xfId="0" applyNumberFormat="1" applyFont="1" applyFill="1" applyBorder="1" applyAlignment="1">
      <alignment vertical="center"/>
    </xf>
    <xf numFmtId="0" fontId="36" fillId="0" borderId="0" xfId="0" applyFont="1" applyFill="1" applyAlignment="1">
      <alignment horizontal="center" vertical="center"/>
    </xf>
    <xf numFmtId="0" fontId="32" fillId="5" borderId="3" xfId="0" applyFont="1" applyFill="1" applyBorder="1" applyAlignment="1" applyProtection="1">
      <alignment horizontal="center" vertical="center"/>
      <protection locked="0"/>
    </xf>
    <xf numFmtId="0" fontId="32" fillId="5" borderId="3" xfId="0" applyFont="1" applyFill="1" applyBorder="1" applyAlignment="1" applyProtection="1">
      <alignment vertical="center" wrapText="1"/>
      <protection locked="0"/>
    </xf>
    <xf numFmtId="165" fontId="32" fillId="5" borderId="3" xfId="1" applyNumberFormat="1" applyFont="1" applyFill="1" applyBorder="1" applyAlignment="1">
      <alignment horizontal="right" vertical="center"/>
    </xf>
    <xf numFmtId="39" fontId="6" fillId="4" borderId="3" xfId="1" applyNumberFormat="1" applyFont="1" applyFill="1" applyBorder="1" applyAlignment="1">
      <alignment horizontal="center" vertical="center" wrapText="1"/>
    </xf>
    <xf numFmtId="0" fontId="5" fillId="0" borderId="0" xfId="0" applyFont="1" applyFill="1" applyAlignment="1">
      <alignment horizontal="left" vertical="center" wrapText="1"/>
    </xf>
    <xf numFmtId="43" fontId="5" fillId="0" borderId="0" xfId="1" applyFont="1" applyFill="1" applyBorder="1" applyAlignment="1">
      <alignment horizontal="center" vertical="center"/>
    </xf>
    <xf numFmtId="165" fontId="5" fillId="0" borderId="0" xfId="1" applyNumberFormat="1" applyFont="1" applyFill="1" applyBorder="1" applyAlignment="1">
      <alignment vertical="center"/>
    </xf>
    <xf numFmtId="43" fontId="5" fillId="0" borderId="0" xfId="1" applyFont="1" applyFill="1" applyBorder="1" applyAlignment="1">
      <alignment vertical="center"/>
    </xf>
    <xf numFmtId="0" fontId="6" fillId="0" borderId="0" xfId="0" applyFont="1" applyFill="1" applyAlignment="1">
      <alignment vertical="center"/>
    </xf>
    <xf numFmtId="0" fontId="6" fillId="0" borderId="3" xfId="0" applyFont="1" applyFill="1" applyBorder="1" applyAlignment="1">
      <alignment horizontal="center" vertical="center" wrapText="1"/>
    </xf>
    <xf numFmtId="0" fontId="6" fillId="0" borderId="3" xfId="0" applyFont="1" applyFill="1" applyBorder="1" applyAlignment="1">
      <alignment horizontal="left" vertical="center" wrapText="1"/>
    </xf>
    <xf numFmtId="39" fontId="6" fillId="0" borderId="3" xfId="1" applyNumberFormat="1" applyFont="1" applyFill="1" applyBorder="1" applyAlignment="1">
      <alignment horizontal="center" vertical="center" wrapText="1"/>
    </xf>
    <xf numFmtId="165" fontId="6" fillId="0" borderId="3" xfId="1" applyNumberFormat="1" applyFont="1" applyFill="1" applyBorder="1" applyAlignment="1">
      <alignment horizontal="center" vertical="center" wrapText="1"/>
    </xf>
    <xf numFmtId="43" fontId="5" fillId="0" borderId="0" xfId="1" applyFont="1" applyFill="1" applyAlignment="1">
      <alignment horizontal="center" vertical="center"/>
    </xf>
    <xf numFmtId="165" fontId="5" fillId="0" borderId="0" xfId="1" applyNumberFormat="1" applyFont="1" applyFill="1" applyAlignment="1">
      <alignment vertical="center"/>
    </xf>
    <xf numFmtId="0" fontId="6" fillId="4" borderId="3" xfId="0" applyFont="1" applyFill="1" applyBorder="1" applyAlignment="1">
      <alignment horizontal="left" vertical="center" wrapText="1" indent="1"/>
    </xf>
    <xf numFmtId="39" fontId="6" fillId="4" borderId="3" xfId="1" applyNumberFormat="1" applyFont="1" applyFill="1" applyBorder="1" applyAlignment="1">
      <alignment horizontal="center" vertical="center"/>
    </xf>
    <xf numFmtId="165" fontId="5" fillId="4" borderId="3" xfId="1" applyNumberFormat="1" applyFont="1" applyFill="1" applyBorder="1" applyAlignment="1">
      <alignment vertical="center"/>
    </xf>
    <xf numFmtId="165" fontId="5" fillId="4" borderId="3" xfId="1" applyNumberFormat="1" applyFont="1" applyFill="1" applyBorder="1" applyAlignment="1">
      <alignment horizontal="left" vertical="center" indent="1"/>
    </xf>
    <xf numFmtId="0" fontId="5" fillId="4" borderId="3" xfId="0" applyFont="1" applyFill="1" applyBorder="1" applyAlignment="1">
      <alignment horizontal="center" vertical="center"/>
    </xf>
    <xf numFmtId="0" fontId="5" fillId="4" borderId="3" xfId="0" applyFont="1" applyFill="1" applyBorder="1" applyAlignment="1">
      <alignment horizontal="left" vertical="center" wrapText="1"/>
    </xf>
    <xf numFmtId="39" fontId="5" fillId="4" borderId="3" xfId="1" applyNumberFormat="1" applyFont="1" applyFill="1" applyBorder="1" applyAlignment="1">
      <alignment horizontal="center" vertical="center"/>
    </xf>
    <xf numFmtId="0" fontId="5" fillId="4" borderId="3" xfId="0" quotePrefix="1" applyFont="1" applyFill="1" applyBorder="1" applyAlignment="1">
      <alignment horizontal="left" vertical="center" wrapText="1" indent="1"/>
    </xf>
    <xf numFmtId="9" fontId="5" fillId="4" borderId="3" xfId="2" applyFont="1" applyFill="1" applyBorder="1" applyAlignment="1">
      <alignment horizontal="center" vertical="center" wrapText="1"/>
    </xf>
    <xf numFmtId="39" fontId="5" fillId="4" borderId="3" xfId="1" applyNumberFormat="1" applyFont="1" applyFill="1" applyBorder="1" applyAlignment="1">
      <alignment vertical="center"/>
    </xf>
    <xf numFmtId="0" fontId="5" fillId="4" borderId="3" xfId="0" applyFont="1" applyFill="1" applyBorder="1" applyAlignment="1">
      <alignment horizontal="left" vertical="center" wrapText="1" indent="1"/>
    </xf>
    <xf numFmtId="0" fontId="6" fillId="4" borderId="3" xfId="0" applyFont="1" applyFill="1" applyBorder="1" applyAlignment="1">
      <alignment horizontal="justify" vertical="center" wrapText="1"/>
    </xf>
    <xf numFmtId="165" fontId="6" fillId="4" borderId="3" xfId="1" applyNumberFormat="1" applyFont="1" applyFill="1" applyBorder="1" applyAlignment="1">
      <alignment horizontal="left" vertical="center" indent="1"/>
    </xf>
    <xf numFmtId="0" fontId="5" fillId="4" borderId="3" xfId="0" quotePrefix="1" applyFont="1" applyFill="1" applyBorder="1" applyAlignment="1">
      <alignment vertical="center" wrapText="1"/>
    </xf>
    <xf numFmtId="0" fontId="6" fillId="9" borderId="3" xfId="0" applyFont="1" applyFill="1" applyBorder="1" applyAlignment="1">
      <alignment vertical="center" wrapText="1"/>
    </xf>
    <xf numFmtId="39" fontId="6" fillId="9" borderId="3" xfId="1" applyNumberFormat="1" applyFont="1" applyFill="1" applyBorder="1" applyAlignment="1">
      <alignment horizontal="center" vertical="center"/>
    </xf>
    <xf numFmtId="9" fontId="6" fillId="9" borderId="3" xfId="2" applyFont="1" applyFill="1" applyBorder="1" applyAlignment="1">
      <alignment horizontal="center" vertical="center" wrapText="1"/>
    </xf>
    <xf numFmtId="165" fontId="6" fillId="9" borderId="3" xfId="1" applyNumberFormat="1" applyFont="1" applyFill="1" applyBorder="1" applyAlignment="1">
      <alignment horizontal="left" vertical="center" indent="1"/>
    </xf>
    <xf numFmtId="0" fontId="6" fillId="9" borderId="3" xfId="0" applyFont="1" applyFill="1" applyBorder="1" applyAlignment="1">
      <alignment horizontal="left" vertical="center" wrapText="1"/>
    </xf>
    <xf numFmtId="0" fontId="6" fillId="9" borderId="3" xfId="0" applyFont="1" applyFill="1" applyBorder="1" applyAlignment="1">
      <alignment horizontal="left" vertical="center" wrapText="1" indent="1"/>
    </xf>
    <xf numFmtId="165" fontId="5" fillId="9" borderId="3" xfId="1" applyNumberFormat="1" applyFont="1" applyFill="1" applyBorder="1" applyAlignment="1">
      <alignment vertical="center"/>
    </xf>
    <xf numFmtId="165" fontId="5" fillId="9" borderId="3" xfId="1" applyNumberFormat="1" applyFont="1" applyFill="1" applyBorder="1" applyAlignment="1">
      <alignment horizontal="left" vertical="center" indent="1"/>
    </xf>
    <xf numFmtId="0" fontId="5" fillId="9" borderId="3" xfId="0" applyFont="1" applyFill="1" applyBorder="1" applyAlignment="1">
      <alignment horizontal="center" vertical="center"/>
    </xf>
    <xf numFmtId="0" fontId="5" fillId="9" borderId="3" xfId="0" applyFont="1" applyFill="1" applyBorder="1" applyAlignment="1">
      <alignment horizontal="left" vertical="center" wrapText="1"/>
    </xf>
    <xf numFmtId="39" fontId="5" fillId="9" borderId="3" xfId="1" applyNumberFormat="1" applyFont="1" applyFill="1" applyBorder="1" applyAlignment="1">
      <alignment horizontal="center" vertical="center"/>
    </xf>
    <xf numFmtId="9" fontId="5" fillId="9" borderId="3" xfId="2" applyFont="1" applyFill="1" applyBorder="1" applyAlignment="1">
      <alignment horizontal="center" vertical="center" wrapText="1"/>
    </xf>
    <xf numFmtId="0" fontId="5" fillId="9" borderId="3" xfId="0" applyFont="1" applyFill="1" applyBorder="1" applyAlignment="1">
      <alignment horizontal="left" vertical="center" wrapText="1" indent="1"/>
    </xf>
    <xf numFmtId="165" fontId="6" fillId="9" borderId="3" xfId="0" applyNumberFormat="1" applyFont="1" applyFill="1" applyBorder="1" applyAlignment="1">
      <alignment horizontal="left" vertical="center" wrapText="1" indent="1"/>
    </xf>
    <xf numFmtId="169" fontId="5" fillId="9" borderId="3" xfId="1" applyNumberFormat="1" applyFont="1" applyFill="1" applyBorder="1" applyAlignment="1">
      <alignment vertical="center"/>
    </xf>
    <xf numFmtId="9" fontId="5" fillId="9" borderId="3" xfId="2" quotePrefix="1" applyFont="1" applyFill="1" applyBorder="1" applyAlignment="1">
      <alignment horizontal="center" vertical="center" wrapText="1"/>
    </xf>
    <xf numFmtId="39" fontId="5" fillId="9" borderId="3" xfId="1" applyNumberFormat="1" applyFont="1" applyFill="1" applyBorder="1" applyAlignment="1">
      <alignment vertical="center"/>
    </xf>
    <xf numFmtId="0" fontId="6" fillId="9" borderId="3" xfId="0" quotePrefix="1" applyFont="1" applyFill="1" applyBorder="1" applyAlignment="1">
      <alignment horizontal="left" vertical="center" wrapText="1" indent="1"/>
    </xf>
    <xf numFmtId="9" fontId="6" fillId="9" borderId="3" xfId="2" quotePrefix="1" applyFont="1" applyFill="1" applyBorder="1" applyAlignment="1">
      <alignment horizontal="center" vertical="center" wrapText="1"/>
    </xf>
    <xf numFmtId="1" fontId="5" fillId="9" borderId="3" xfId="2" applyNumberFormat="1" applyFont="1" applyFill="1" applyBorder="1" applyAlignment="1">
      <alignment horizontal="center" vertical="center" wrapText="1"/>
    </xf>
    <xf numFmtId="165" fontId="5" fillId="9" borderId="3" xfId="1" applyNumberFormat="1" applyFont="1" applyFill="1" applyBorder="1" applyAlignment="1">
      <alignment horizontal="left" vertical="center" wrapText="1" indent="1"/>
    </xf>
    <xf numFmtId="0" fontId="5" fillId="9" borderId="0" xfId="0" quotePrefix="1" applyFont="1" applyFill="1" applyAlignment="1">
      <alignment vertical="center" wrapText="1"/>
    </xf>
    <xf numFmtId="1" fontId="6" fillId="9" borderId="3" xfId="0" applyNumberFormat="1" applyFont="1" applyFill="1" applyBorder="1" applyAlignment="1">
      <alignment horizontal="left" vertical="center" indent="1"/>
    </xf>
    <xf numFmtId="9" fontId="6" fillId="9" borderId="3" xfId="2" applyFont="1" applyFill="1" applyBorder="1" applyAlignment="1">
      <alignment horizontal="center" vertical="center"/>
    </xf>
    <xf numFmtId="0" fontId="5" fillId="9" borderId="3" xfId="0" applyFont="1" applyFill="1" applyBorder="1" applyAlignment="1">
      <alignment vertical="center" wrapText="1"/>
    </xf>
    <xf numFmtId="0" fontId="5" fillId="9" borderId="0" xfId="0" applyFont="1" applyFill="1" applyAlignment="1">
      <alignment vertical="center"/>
    </xf>
    <xf numFmtId="0" fontId="6" fillId="6" borderId="3" xfId="0" applyFont="1" applyFill="1" applyBorder="1" applyAlignment="1">
      <alignment horizontal="center" vertical="center"/>
    </xf>
    <xf numFmtId="0" fontId="6" fillId="6" borderId="3" xfId="0" applyFont="1" applyFill="1" applyBorder="1" applyAlignment="1">
      <alignment horizontal="left" vertical="center" wrapText="1"/>
    </xf>
    <xf numFmtId="39" fontId="6" fillId="6" borderId="3" xfId="1" applyNumberFormat="1" applyFont="1" applyFill="1" applyBorder="1" applyAlignment="1">
      <alignment horizontal="center" vertical="center"/>
    </xf>
    <xf numFmtId="0" fontId="5" fillId="6" borderId="3" xfId="0" applyFont="1" applyFill="1" applyBorder="1" applyAlignment="1">
      <alignment horizontal="left" vertical="center" indent="1"/>
    </xf>
    <xf numFmtId="9" fontId="6" fillId="6" borderId="3" xfId="2" applyFont="1" applyFill="1" applyBorder="1" applyAlignment="1">
      <alignment horizontal="center" vertical="center"/>
    </xf>
    <xf numFmtId="165" fontId="6" fillId="6" borderId="3" xfId="1" applyNumberFormat="1" applyFont="1" applyFill="1" applyBorder="1" applyAlignment="1">
      <alignment vertical="center"/>
    </xf>
    <xf numFmtId="43" fontId="6" fillId="6" borderId="3" xfId="1" applyFont="1" applyFill="1" applyBorder="1" applyAlignment="1">
      <alignment vertical="center"/>
    </xf>
    <xf numFmtId="0" fontId="5" fillId="6" borderId="3" xfId="0" applyFont="1" applyFill="1" applyBorder="1" applyAlignment="1">
      <alignment horizontal="center" vertical="center"/>
    </xf>
    <xf numFmtId="0" fontId="5" fillId="6" borderId="3" xfId="0" applyFont="1" applyFill="1" applyBorder="1" applyAlignment="1">
      <alignment horizontal="left" vertical="center" wrapText="1"/>
    </xf>
    <xf numFmtId="39" fontId="5" fillId="6" borderId="3" xfId="1" applyNumberFormat="1" applyFont="1" applyFill="1" applyBorder="1" applyAlignment="1">
      <alignment horizontal="center" vertical="center"/>
    </xf>
    <xf numFmtId="0" fontId="5" fillId="6" borderId="3" xfId="0" quotePrefix="1" applyFont="1" applyFill="1" applyBorder="1" applyAlignment="1">
      <alignment horizontal="left" vertical="center" wrapText="1" indent="1"/>
    </xf>
    <xf numFmtId="9" fontId="5" fillId="6" borderId="3" xfId="2" quotePrefix="1" applyFont="1" applyFill="1" applyBorder="1" applyAlignment="1">
      <alignment horizontal="center" vertical="center" wrapText="1"/>
    </xf>
    <xf numFmtId="39" fontId="5" fillId="6" borderId="3" xfId="1" applyNumberFormat="1" applyFont="1" applyFill="1" applyBorder="1" applyAlignment="1">
      <alignment vertical="center"/>
    </xf>
    <xf numFmtId="9" fontId="5" fillId="6" borderId="3" xfId="2" applyFont="1" applyFill="1" applyBorder="1" applyAlignment="1">
      <alignment horizontal="center" vertical="center" wrapText="1"/>
    </xf>
    <xf numFmtId="165" fontId="5" fillId="6" borderId="3" xfId="1" applyNumberFormat="1" applyFont="1" applyFill="1" applyBorder="1" applyAlignment="1">
      <alignment vertical="center"/>
    </xf>
    <xf numFmtId="165" fontId="5" fillId="6" borderId="3" xfId="1" quotePrefix="1" applyNumberFormat="1" applyFont="1" applyFill="1" applyBorder="1" applyAlignment="1">
      <alignment horizontal="left" vertical="center" wrapText="1" indent="1"/>
    </xf>
    <xf numFmtId="0" fontId="5" fillId="6" borderId="3" xfId="0" applyFont="1" applyFill="1" applyBorder="1" applyAlignment="1">
      <alignment horizontal="left" vertical="center" wrapText="1" indent="1"/>
    </xf>
    <xf numFmtId="165" fontId="5" fillId="6" borderId="3" xfId="1" applyNumberFormat="1" applyFont="1" applyFill="1" applyBorder="1" applyAlignment="1">
      <alignment horizontal="left" vertical="center" indent="1"/>
    </xf>
    <xf numFmtId="0" fontId="6" fillId="12" borderId="3" xfId="0" applyFont="1" applyFill="1" applyBorder="1" applyAlignment="1">
      <alignment horizontal="center" vertical="center"/>
    </xf>
    <xf numFmtId="39" fontId="6" fillId="12" borderId="3" xfId="1" applyNumberFormat="1" applyFont="1" applyFill="1" applyBorder="1" applyAlignment="1">
      <alignment horizontal="center" vertical="center"/>
    </xf>
    <xf numFmtId="0" fontId="5" fillId="12" borderId="3" xfId="0" applyFont="1" applyFill="1" applyBorder="1" applyAlignment="1">
      <alignment horizontal="left" vertical="center" indent="1"/>
    </xf>
    <xf numFmtId="9" fontId="6" fillId="12" borderId="3" xfId="2" applyFont="1" applyFill="1" applyBorder="1" applyAlignment="1">
      <alignment horizontal="center" vertical="center"/>
    </xf>
    <xf numFmtId="165" fontId="6" fillId="12" borderId="3" xfId="1" applyNumberFormat="1" applyFont="1" applyFill="1" applyBorder="1" applyAlignment="1">
      <alignment vertical="center"/>
    </xf>
    <xf numFmtId="0" fontId="5" fillId="12" borderId="3" xfId="0" applyFont="1" applyFill="1" applyBorder="1" applyAlignment="1">
      <alignment horizontal="center" vertical="center"/>
    </xf>
    <xf numFmtId="0" fontId="5" fillId="12" borderId="3" xfId="0" applyFont="1" applyFill="1" applyBorder="1" applyAlignment="1">
      <alignment horizontal="left" vertical="center" wrapText="1"/>
    </xf>
    <xf numFmtId="39" fontId="5" fillId="12" borderId="3" xfId="1" applyNumberFormat="1" applyFont="1" applyFill="1" applyBorder="1" applyAlignment="1">
      <alignment horizontal="center" vertical="center"/>
    </xf>
    <xf numFmtId="0" fontId="5" fillId="12" borderId="3" xfId="0" quotePrefix="1" applyFont="1" applyFill="1" applyBorder="1" applyAlignment="1">
      <alignment horizontal="left" vertical="center" wrapText="1" indent="1"/>
    </xf>
    <xf numFmtId="39" fontId="5" fillId="12" borderId="3" xfId="1" applyNumberFormat="1" applyFont="1" applyFill="1" applyBorder="1" applyAlignment="1">
      <alignment vertical="center"/>
    </xf>
    <xf numFmtId="165" fontId="5" fillId="12" borderId="3" xfId="1" applyNumberFormat="1" applyFont="1" applyFill="1" applyBorder="1" applyAlignment="1">
      <alignment horizontal="left" vertical="center" indent="1"/>
    </xf>
    <xf numFmtId="9" fontId="5" fillId="12" borderId="3" xfId="2" applyFont="1" applyFill="1" applyBorder="1" applyAlignment="1">
      <alignment horizontal="center" vertical="center" wrapText="1"/>
    </xf>
    <xf numFmtId="165" fontId="5" fillId="12" borderId="3" xfId="1" applyNumberFormat="1" applyFont="1" applyFill="1" applyBorder="1" applyAlignment="1">
      <alignment vertical="center"/>
    </xf>
    <xf numFmtId="0" fontId="5" fillId="12" borderId="3" xfId="0" applyFont="1" applyFill="1" applyBorder="1" applyAlignment="1">
      <alignment horizontal="left" vertical="center" wrapText="1" indent="1"/>
    </xf>
    <xf numFmtId="0" fontId="5" fillId="9" borderId="3" xfId="0" applyFont="1" applyFill="1" applyBorder="1" applyAlignment="1">
      <alignment horizontal="left" vertical="center" indent="1"/>
    </xf>
    <xf numFmtId="0" fontId="5" fillId="4" borderId="3" xfId="0" applyFont="1" applyFill="1" applyBorder="1" applyAlignment="1">
      <alignment horizontal="left" vertical="center" indent="1"/>
    </xf>
    <xf numFmtId="9" fontId="6" fillId="4" borderId="3" xfId="2" applyFont="1" applyFill="1" applyBorder="1" applyAlignment="1">
      <alignment horizontal="center" vertical="center"/>
    </xf>
    <xf numFmtId="43" fontId="6" fillId="4" borderId="3" xfId="1" applyFont="1" applyFill="1" applyBorder="1" applyAlignment="1">
      <alignment vertical="center"/>
    </xf>
    <xf numFmtId="9" fontId="5" fillId="4" borderId="3" xfId="2" quotePrefix="1" applyFont="1" applyFill="1" applyBorder="1" applyAlignment="1">
      <alignment horizontal="center" vertical="center" wrapText="1"/>
    </xf>
    <xf numFmtId="0" fontId="6" fillId="9" borderId="3" xfId="0" applyFont="1" applyFill="1" applyBorder="1" applyAlignment="1">
      <alignment horizontal="justify" vertical="center" wrapText="1"/>
    </xf>
    <xf numFmtId="9" fontId="13" fillId="9" borderId="3" xfId="2" applyFont="1" applyFill="1" applyBorder="1" applyAlignment="1">
      <alignment horizontal="center" vertical="center" wrapText="1"/>
    </xf>
    <xf numFmtId="0" fontId="6" fillId="12" borderId="3" xfId="0" applyFont="1" applyFill="1" applyBorder="1" applyAlignment="1">
      <alignment horizontal="justify" vertical="center" wrapText="1"/>
    </xf>
    <xf numFmtId="9" fontId="13" fillId="12" borderId="3" xfId="2" applyFont="1" applyFill="1" applyBorder="1" applyAlignment="1">
      <alignment horizontal="center" vertical="center" wrapText="1"/>
    </xf>
    <xf numFmtId="0" fontId="5" fillId="12" borderId="3" xfId="0" applyFont="1" applyFill="1" applyBorder="1" applyAlignment="1">
      <alignment vertical="center" wrapText="1"/>
    </xf>
    <xf numFmtId="0" fontId="5" fillId="0" borderId="3" xfId="0" applyFont="1" applyFill="1" applyBorder="1" applyAlignment="1">
      <alignment vertical="center"/>
    </xf>
    <xf numFmtId="43" fontId="6" fillId="0" borderId="3" xfId="0" applyNumberFormat="1" applyFont="1" applyFill="1" applyBorder="1" applyAlignment="1">
      <alignment horizontal="center" vertical="center"/>
    </xf>
    <xf numFmtId="0" fontId="6" fillId="0" borderId="3" xfId="0" applyFont="1" applyFill="1" applyBorder="1" applyAlignment="1">
      <alignment vertical="center"/>
    </xf>
    <xf numFmtId="43" fontId="5" fillId="0" borderId="3" xfId="0" applyNumberFormat="1" applyFont="1" applyFill="1" applyBorder="1" applyAlignment="1">
      <alignment horizontal="center" vertical="center"/>
    </xf>
    <xf numFmtId="0" fontId="27" fillId="0" borderId="0" xfId="0" applyFont="1" applyFill="1" applyAlignment="1">
      <alignment horizontal="center" vertical="center" wrapText="1"/>
    </xf>
    <xf numFmtId="165" fontId="27" fillId="0" borderId="0" xfId="1" applyNumberFormat="1" applyFont="1" applyFill="1" applyAlignment="1">
      <alignment horizontal="right" vertical="center"/>
    </xf>
    <xf numFmtId="14" fontId="27" fillId="0" borderId="0" xfId="0" applyNumberFormat="1" applyFont="1" applyFill="1" applyAlignment="1">
      <alignment horizontal="center" vertical="center"/>
    </xf>
    <xf numFmtId="0" fontId="27" fillId="0" borderId="0" xfId="0" applyFont="1" applyFill="1" applyAlignment="1">
      <alignment horizontal="center" vertical="center"/>
    </xf>
    <xf numFmtId="0" fontId="27" fillId="0" borderId="0" xfId="0" applyFont="1" applyFill="1" applyAlignment="1">
      <alignment vertical="center"/>
    </xf>
    <xf numFmtId="0" fontId="24" fillId="0" borderId="1" xfId="0" applyFont="1" applyFill="1" applyBorder="1" applyAlignment="1">
      <alignment horizontal="center" vertical="center" wrapText="1"/>
    </xf>
    <xf numFmtId="165" fontId="24" fillId="0" borderId="0" xfId="1" applyNumberFormat="1" applyFont="1" applyFill="1" applyAlignment="1">
      <alignment horizontal="right" vertical="center" wrapText="1"/>
    </xf>
    <xf numFmtId="165" fontId="27" fillId="0" borderId="0" xfId="1" applyNumberFormat="1" applyFont="1" applyFill="1" applyAlignment="1">
      <alignment horizontal="right" vertical="center" wrapText="1"/>
    </xf>
    <xf numFmtId="0" fontId="24" fillId="0" borderId="0" xfId="0" applyFont="1" applyFill="1" applyAlignment="1">
      <alignment horizontal="center" vertical="center"/>
    </xf>
    <xf numFmtId="0" fontId="24" fillId="0" borderId="0" xfId="0" applyFont="1" applyFill="1" applyAlignment="1">
      <alignment vertical="center"/>
    </xf>
    <xf numFmtId="0" fontId="13" fillId="0" borderId="0" xfId="0" applyFont="1" applyFill="1" applyAlignment="1">
      <alignment horizontal="center" vertical="center" wrapText="1"/>
    </xf>
    <xf numFmtId="0" fontId="13" fillId="0" borderId="0" xfId="0" applyFont="1" applyFill="1" applyAlignment="1">
      <alignment horizontal="center" vertical="center"/>
    </xf>
    <xf numFmtId="0" fontId="32" fillId="0" borderId="0" xfId="0" applyFont="1" applyFill="1" applyAlignment="1">
      <alignment horizontal="center" vertical="center" wrapText="1"/>
    </xf>
    <xf numFmtId="165" fontId="32" fillId="0" borderId="3" xfId="1" applyNumberFormat="1" applyFont="1" applyFill="1" applyBorder="1" applyAlignment="1">
      <alignment horizontal="center" vertical="center" wrapText="1"/>
    </xf>
    <xf numFmtId="0" fontId="13" fillId="0" borderId="3" xfId="0" applyFont="1" applyFill="1" applyBorder="1" applyAlignment="1">
      <alignment horizontal="center" vertical="center" wrapText="1"/>
    </xf>
    <xf numFmtId="165" fontId="13" fillId="0" borderId="3" xfId="1" applyNumberFormat="1" applyFont="1" applyFill="1" applyBorder="1" applyAlignment="1" applyProtection="1">
      <alignment horizontal="center" vertical="center" wrapText="1"/>
    </xf>
    <xf numFmtId="165" fontId="33" fillId="0" borderId="3" xfId="1" applyNumberFormat="1" applyFont="1" applyFill="1" applyBorder="1" applyAlignment="1" applyProtection="1">
      <alignment horizontal="center" vertical="center" wrapText="1"/>
    </xf>
    <xf numFmtId="0" fontId="32" fillId="0" borderId="3" xfId="0" applyFont="1" applyFill="1" applyBorder="1" applyAlignment="1">
      <alignment horizontal="center" vertical="center" wrapText="1"/>
    </xf>
    <xf numFmtId="0" fontId="32" fillId="0" borderId="3" xfId="0" applyFont="1" applyFill="1" applyBorder="1" applyAlignment="1">
      <alignment horizontal="left" vertical="center"/>
    </xf>
    <xf numFmtId="0" fontId="13" fillId="0" borderId="0" xfId="0" applyFont="1" applyFill="1" applyAlignment="1">
      <alignment horizontal="left" vertical="center"/>
    </xf>
    <xf numFmtId="0" fontId="13" fillId="0" borderId="0" xfId="0" applyFont="1" applyFill="1" applyAlignment="1">
      <alignment vertical="center"/>
    </xf>
    <xf numFmtId="0" fontId="32" fillId="0" borderId="3" xfId="0" applyFont="1" applyFill="1" applyBorder="1" applyAlignment="1">
      <alignment horizontal="left" vertical="center" wrapText="1"/>
    </xf>
    <xf numFmtId="0" fontId="32" fillId="0" borderId="0" xfId="0" applyFont="1" applyFill="1" applyAlignment="1">
      <alignment horizontal="center" vertical="center"/>
    </xf>
    <xf numFmtId="0" fontId="32" fillId="0" borderId="0" xfId="0" applyFont="1" applyFill="1" applyAlignment="1">
      <alignment vertical="center"/>
    </xf>
    <xf numFmtId="165" fontId="6" fillId="0" borderId="3" xfId="0" applyNumberFormat="1" applyFont="1" applyFill="1" applyBorder="1" applyAlignment="1">
      <alignment vertical="center"/>
    </xf>
    <xf numFmtId="0" fontId="26" fillId="0" borderId="0" xfId="0" applyFont="1" applyFill="1" applyAlignment="1">
      <alignment horizontal="center" vertical="center"/>
    </xf>
    <xf numFmtId="0" fontId="35" fillId="0" borderId="0" xfId="0" applyFont="1" applyFill="1" applyAlignment="1">
      <alignment horizontal="center" vertical="center"/>
    </xf>
    <xf numFmtId="165" fontId="36" fillId="0" borderId="0" xfId="0" applyNumberFormat="1" applyFont="1" applyFill="1" applyAlignment="1">
      <alignment horizontal="center" vertical="center"/>
    </xf>
    <xf numFmtId="0" fontId="5" fillId="0" borderId="0" xfId="0" applyFont="1" applyFill="1" applyAlignment="1" applyProtection="1">
      <alignment horizontal="center" vertical="center"/>
      <protection locked="0"/>
    </xf>
    <xf numFmtId="0" fontId="5" fillId="0" borderId="0" xfId="0" applyFont="1" applyFill="1" applyAlignment="1" applyProtection="1">
      <alignment vertical="center" wrapText="1"/>
      <protection locked="0"/>
    </xf>
    <xf numFmtId="0" fontId="5" fillId="0" borderId="0" xfId="0" applyFont="1" applyFill="1" applyAlignment="1">
      <alignment horizontal="center" vertical="center" wrapText="1"/>
    </xf>
    <xf numFmtId="14" fontId="5" fillId="0" borderId="0" xfId="0" applyNumberFormat="1" applyFont="1" applyFill="1" applyAlignment="1">
      <alignment horizontal="center" vertical="center"/>
    </xf>
    <xf numFmtId="0" fontId="32" fillId="13" borderId="3" xfId="0" applyFont="1" applyFill="1" applyBorder="1" applyAlignment="1" applyProtection="1">
      <alignment horizontal="center" vertical="center"/>
      <protection locked="0"/>
    </xf>
    <xf numFmtId="0" fontId="32" fillId="13" borderId="3" xfId="0" applyFont="1" applyFill="1" applyBorder="1" applyAlignment="1" applyProtection="1">
      <alignment vertical="center" wrapText="1"/>
      <protection locked="0"/>
    </xf>
    <xf numFmtId="0" fontId="32" fillId="13" borderId="3" xfId="0" applyFont="1" applyFill="1" applyBorder="1" applyAlignment="1">
      <alignment horizontal="center" vertical="center" wrapText="1"/>
    </xf>
    <xf numFmtId="165" fontId="32" fillId="13" borderId="3" xfId="1" applyNumberFormat="1" applyFont="1" applyFill="1" applyBorder="1" applyAlignment="1">
      <alignment vertical="center"/>
    </xf>
    <xf numFmtId="165" fontId="32" fillId="13" borderId="3" xfId="1" applyNumberFormat="1" applyFont="1" applyFill="1" applyBorder="1" applyAlignment="1">
      <alignment horizontal="right" vertical="center"/>
    </xf>
    <xf numFmtId="0" fontId="32" fillId="14" borderId="3" xfId="0" applyFont="1" applyFill="1" applyBorder="1" applyAlignment="1" applyProtection="1">
      <alignment horizontal="center" vertical="center"/>
      <protection locked="0"/>
    </xf>
    <xf numFmtId="0" fontId="32" fillId="14" borderId="3" xfId="0" applyFont="1" applyFill="1" applyBorder="1" applyAlignment="1" applyProtection="1">
      <alignment vertical="center" wrapText="1"/>
      <protection locked="0"/>
    </xf>
    <xf numFmtId="0" fontId="32" fillId="14" borderId="3" xfId="0" applyFont="1" applyFill="1" applyBorder="1" applyAlignment="1">
      <alignment horizontal="center" vertical="center" wrapText="1"/>
    </xf>
    <xf numFmtId="165" fontId="32" fillId="14" borderId="3" xfId="1" applyNumberFormat="1" applyFont="1" applyFill="1" applyBorder="1" applyAlignment="1">
      <alignment vertical="center"/>
    </xf>
    <xf numFmtId="165" fontId="32" fillId="14" borderId="3" xfId="1" applyNumberFormat="1" applyFont="1" applyFill="1" applyBorder="1" applyAlignment="1">
      <alignment horizontal="right" vertical="center"/>
    </xf>
    <xf numFmtId="0" fontId="32" fillId="15" borderId="3" xfId="0" applyFont="1" applyFill="1" applyBorder="1" applyAlignment="1" applyProtection="1">
      <alignment horizontal="center" vertical="center"/>
      <protection locked="0"/>
    </xf>
    <xf numFmtId="0" fontId="32" fillId="15" borderId="3" xfId="0" applyFont="1" applyFill="1" applyBorder="1" applyAlignment="1">
      <alignment vertical="center" wrapText="1"/>
    </xf>
    <xf numFmtId="0" fontId="32" fillId="15" borderId="3" xfId="0" applyFont="1" applyFill="1" applyBorder="1" applyAlignment="1">
      <alignment horizontal="center" vertical="center" wrapText="1"/>
    </xf>
    <xf numFmtId="165" fontId="32" fillId="15" borderId="3" xfId="1" applyNumberFormat="1" applyFont="1" applyFill="1" applyBorder="1" applyAlignment="1">
      <alignment vertical="center"/>
    </xf>
    <xf numFmtId="165" fontId="32" fillId="15" borderId="3" xfId="1" applyNumberFormat="1" applyFont="1" applyFill="1" applyBorder="1" applyAlignment="1">
      <alignment horizontal="right" vertical="center"/>
    </xf>
    <xf numFmtId="0" fontId="32" fillId="16" borderId="3" xfId="0" applyFont="1" applyFill="1" applyBorder="1" applyAlignment="1">
      <alignment horizontal="center" vertical="center"/>
    </xf>
    <xf numFmtId="0" fontId="32" fillId="16" borderId="3" xfId="0" applyFont="1" applyFill="1" applyBorder="1" applyAlignment="1">
      <alignment vertical="center" wrapText="1"/>
    </xf>
    <xf numFmtId="0" fontId="32" fillId="16" borderId="3" xfId="0" applyFont="1" applyFill="1" applyBorder="1" applyAlignment="1">
      <alignment horizontal="center" vertical="center" wrapText="1"/>
    </xf>
    <xf numFmtId="165" fontId="32" fillId="16" borderId="3" xfId="1" applyNumberFormat="1" applyFont="1" applyFill="1" applyBorder="1" applyAlignment="1">
      <alignment vertical="center"/>
    </xf>
    <xf numFmtId="165" fontId="32" fillId="17" borderId="3" xfId="1" applyNumberFormat="1" applyFont="1" applyFill="1" applyBorder="1" applyAlignment="1">
      <alignment horizontal="right" vertical="center"/>
    </xf>
    <xf numFmtId="0" fontId="32" fillId="17" borderId="3" xfId="0" applyFont="1" applyFill="1" applyBorder="1" applyAlignment="1" applyProtection="1">
      <alignment horizontal="center" vertical="center"/>
      <protection locked="0"/>
    </xf>
    <xf numFmtId="0" fontId="32" fillId="17" borderId="3" xfId="0" applyFont="1" applyFill="1" applyBorder="1" applyAlignment="1" applyProtection="1">
      <alignment vertical="center" wrapText="1"/>
      <protection locked="0"/>
    </xf>
    <xf numFmtId="0" fontId="32" fillId="17" borderId="3" xfId="0" applyFont="1" applyFill="1" applyBorder="1" applyAlignment="1">
      <alignment horizontal="center" vertical="center" wrapText="1"/>
    </xf>
    <xf numFmtId="165" fontId="32" fillId="17" borderId="3" xfId="1" applyNumberFormat="1" applyFont="1" applyFill="1" applyBorder="1" applyAlignment="1">
      <alignment vertical="center"/>
    </xf>
    <xf numFmtId="0" fontId="37" fillId="0" borderId="0" xfId="0" applyFont="1" applyAlignment="1">
      <alignment horizontal="center"/>
    </xf>
    <xf numFmtId="0" fontId="37" fillId="0" borderId="0" xfId="0" applyFont="1" applyAlignment="1">
      <alignment horizontal="left"/>
    </xf>
    <xf numFmtId="0" fontId="37" fillId="0" borderId="0" xfId="0" applyFont="1"/>
    <xf numFmtId="0" fontId="37" fillId="0" borderId="0" xfId="0" applyFont="1" applyFill="1"/>
    <xf numFmtId="0" fontId="39" fillId="0" borderId="0" xfId="0" applyFont="1" applyAlignment="1">
      <alignment horizontal="left"/>
    </xf>
    <xf numFmtId="0" fontId="41" fillId="18" borderId="3" xfId="0" applyFont="1" applyFill="1" applyBorder="1" applyAlignment="1">
      <alignment horizontal="center" vertical="center" wrapText="1"/>
    </xf>
    <xf numFmtId="2" fontId="32" fillId="6" borderId="3" xfId="0" applyNumberFormat="1" applyFont="1" applyFill="1" applyBorder="1" applyAlignment="1">
      <alignment horizontal="right" vertical="center" wrapText="1"/>
    </xf>
    <xf numFmtId="0" fontId="39" fillId="0" borderId="3" xfId="0" applyFont="1" applyBorder="1" applyAlignment="1">
      <alignment horizontal="center" vertical="center" wrapText="1"/>
    </xf>
    <xf numFmtId="0" fontId="39" fillId="0" borderId="3" xfId="0" applyFont="1" applyBorder="1" applyAlignment="1">
      <alignment horizontal="left" vertical="center" wrapText="1"/>
    </xf>
    <xf numFmtId="2" fontId="39" fillId="0" borderId="3" xfId="0" applyNumberFormat="1" applyFont="1" applyBorder="1" applyAlignment="1">
      <alignment horizontal="right" vertical="center" wrapText="1"/>
    </xf>
    <xf numFmtId="0" fontId="37" fillId="0" borderId="3" xfId="0" applyFont="1" applyBorder="1" applyAlignment="1">
      <alignment horizontal="center" vertical="center" wrapText="1"/>
    </xf>
    <xf numFmtId="0" fontId="37" fillId="0" borderId="3" xfId="0" applyFont="1" applyBorder="1" applyAlignment="1">
      <alignment horizontal="left" vertical="center" wrapText="1"/>
    </xf>
    <xf numFmtId="43" fontId="37" fillId="0" borderId="3" xfId="0" applyNumberFormat="1" applyFont="1" applyBorder="1" applyAlignment="1">
      <alignment horizontal="right" vertical="center" wrapText="1"/>
    </xf>
    <xf numFmtId="49" fontId="44" fillId="2" borderId="3" xfId="0" applyNumberFormat="1" applyFont="1" applyFill="1" applyBorder="1" applyAlignment="1">
      <alignment horizontal="left" vertical="center" wrapText="1" indent="1" readingOrder="1"/>
    </xf>
    <xf numFmtId="2" fontId="37" fillId="0" borderId="0" xfId="0" applyNumberFormat="1" applyFont="1" applyFill="1"/>
    <xf numFmtId="0" fontId="45" fillId="0" borderId="3" xfId="0" applyFont="1" applyBorder="1" applyAlignment="1">
      <alignment horizontal="left" vertical="center" wrapText="1"/>
    </xf>
    <xf numFmtId="43" fontId="39" fillId="0" borderId="3" xfId="0" applyNumberFormat="1" applyFont="1" applyBorder="1" applyAlignment="1">
      <alignment horizontal="right" vertical="center" wrapText="1"/>
    </xf>
    <xf numFmtId="166" fontId="44" fillId="2" borderId="3" xfId="0" applyNumberFormat="1" applyFont="1" applyFill="1" applyBorder="1" applyAlignment="1">
      <alignment horizontal="left" vertical="center" wrapText="1" indent="1" readingOrder="1"/>
    </xf>
    <xf numFmtId="43" fontId="33" fillId="0" borderId="3" xfId="1" quotePrefix="1" applyFont="1" applyBorder="1" applyAlignment="1">
      <alignment horizontal="right" vertical="center" wrapText="1" readingOrder="1"/>
    </xf>
    <xf numFmtId="3" fontId="46" fillId="0" borderId="0" xfId="0" applyNumberFormat="1" applyFont="1" applyAlignment="1">
      <alignment horizontal="center" vertical="center" readingOrder="1"/>
    </xf>
    <xf numFmtId="0" fontId="39" fillId="0" borderId="0" xfId="0" applyFont="1" applyFill="1" applyAlignment="1">
      <alignment horizontal="left"/>
    </xf>
    <xf numFmtId="0" fontId="41" fillId="18" borderId="3" xfId="0" applyFont="1" applyFill="1" applyBorder="1" applyAlignment="1">
      <alignment horizontal="center" vertical="center"/>
    </xf>
    <xf numFmtId="0" fontId="37" fillId="0" borderId="3" xfId="0" applyFont="1" applyBorder="1" applyAlignment="1">
      <alignment horizontal="center" vertical="center"/>
    </xf>
    <xf numFmtId="0" fontId="13" fillId="0" borderId="3" xfId="0" applyFont="1" applyBorder="1" applyAlignment="1">
      <alignment horizontal="left" vertical="center" wrapText="1"/>
    </xf>
    <xf numFmtId="2" fontId="47" fillId="0" borderId="13" xfId="0" applyNumberFormat="1" applyFont="1" applyBorder="1" applyAlignment="1">
      <alignment horizontal="right" vertical="center" wrapText="1" readingOrder="1"/>
    </xf>
    <xf numFmtId="2" fontId="47" fillId="0" borderId="13" xfId="0" applyNumberFormat="1" applyFont="1" applyBorder="1" applyAlignment="1">
      <alignment horizontal="right" wrapText="1" readingOrder="1"/>
    </xf>
    <xf numFmtId="2" fontId="37" fillId="0" borderId="0" xfId="0" applyNumberFormat="1" applyFont="1"/>
    <xf numFmtId="0" fontId="13" fillId="2" borderId="3" xfId="288" applyNumberFormat="1" applyFont="1" applyFill="1" applyBorder="1" applyAlignment="1">
      <alignment horizontal="right" vertical="center"/>
    </xf>
    <xf numFmtId="0" fontId="47" fillId="0" borderId="3" xfId="0" applyFont="1" applyBorder="1" applyAlignment="1">
      <alignment horizontal="left" vertical="center" wrapText="1"/>
    </xf>
    <xf numFmtId="43" fontId="45"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readingOrder="1"/>
    </xf>
    <xf numFmtId="0" fontId="45" fillId="0" borderId="3" xfId="0" applyFont="1" applyBorder="1" applyAlignment="1">
      <alignment horizontal="left" vertical="center" wrapText="1" readingOrder="1"/>
    </xf>
    <xf numFmtId="43" fontId="45" fillId="0" borderId="3" xfId="1" applyFont="1" applyFill="1" applyBorder="1" applyAlignment="1">
      <alignment horizontal="right" vertical="center" wrapText="1" readingOrder="1"/>
    </xf>
    <xf numFmtId="0" fontId="47" fillId="7" borderId="3" xfId="0" applyFont="1" applyFill="1" applyBorder="1" applyAlignment="1">
      <alignment horizontal="center" vertical="center" wrapText="1" readingOrder="1"/>
    </xf>
    <xf numFmtId="0" fontId="47" fillId="7" borderId="3" xfId="0" applyFont="1" applyFill="1" applyBorder="1" applyAlignment="1">
      <alignment horizontal="left" vertical="center" wrapText="1" readingOrder="1"/>
    </xf>
    <xf numFmtId="43" fontId="47" fillId="7" borderId="3" xfId="1" applyFont="1" applyFill="1" applyBorder="1" applyAlignment="1">
      <alignment horizontal="right" vertical="center" wrapText="1" readingOrder="1"/>
    </xf>
    <xf numFmtId="0" fontId="45" fillId="0" borderId="3" xfId="0" applyFont="1" applyBorder="1" applyAlignment="1">
      <alignment horizontal="center" vertical="center" wrapText="1"/>
    </xf>
    <xf numFmtId="2" fontId="45" fillId="0" borderId="3" xfId="0" applyNumberFormat="1" applyFont="1" applyBorder="1" applyAlignment="1">
      <alignment horizontal="right" vertical="center" wrapText="1"/>
    </xf>
    <xf numFmtId="0" fontId="47" fillId="0" borderId="3" xfId="0" quotePrefix="1" applyFont="1" applyBorder="1" applyAlignment="1">
      <alignment horizontal="center" vertical="center" wrapText="1"/>
    </xf>
    <xf numFmtId="0" fontId="47" fillId="0" borderId="3" xfId="0" applyFont="1" applyBorder="1" applyAlignment="1">
      <alignment horizontal="left" vertical="center" wrapText="1" readingOrder="1"/>
    </xf>
    <xf numFmtId="43" fontId="47" fillId="0" borderId="3" xfId="0" applyNumberFormat="1" applyFont="1" applyBorder="1" applyAlignment="1">
      <alignment horizontal="right" vertical="center" wrapText="1"/>
    </xf>
    <xf numFmtId="0" fontId="44" fillId="0" borderId="3" xfId="0" applyFont="1" applyBorder="1" applyAlignment="1">
      <alignment horizontal="left" vertical="center" wrapText="1" indent="1" readingOrder="1"/>
    </xf>
    <xf numFmtId="0" fontId="44" fillId="2" borderId="3" xfId="0" applyFont="1" applyFill="1" applyBorder="1" applyAlignment="1">
      <alignment horizontal="left" vertical="center" wrapText="1" indent="1" readingOrder="1"/>
    </xf>
    <xf numFmtId="0" fontId="45" fillId="0" borderId="3" xfId="0" quotePrefix="1" applyFont="1" applyBorder="1" applyAlignment="1">
      <alignment horizontal="center" vertical="center" wrapText="1"/>
    </xf>
    <xf numFmtId="43" fontId="45" fillId="0" borderId="3" xfId="0" applyNumberFormat="1" applyFont="1" applyBorder="1" applyAlignment="1">
      <alignment horizontal="right" vertical="center" wrapText="1"/>
    </xf>
    <xf numFmtId="2" fontId="48" fillId="6" borderId="3" xfId="0" applyNumberFormat="1" applyFont="1" applyFill="1" applyBorder="1" applyAlignment="1">
      <alignment horizontal="center" vertical="center" wrapText="1"/>
    </xf>
    <xf numFmtId="0" fontId="32" fillId="0" borderId="3" xfId="0" applyFont="1" applyBorder="1" applyAlignment="1">
      <alignment horizontal="center" vertical="center" wrapText="1" readingOrder="1"/>
    </xf>
    <xf numFmtId="0" fontId="32" fillId="0" borderId="3" xfId="0" applyFont="1" applyBorder="1" applyAlignment="1">
      <alignment horizontal="left" vertical="center" wrapText="1" readingOrder="1"/>
    </xf>
    <xf numFmtId="43" fontId="32" fillId="0" borderId="3" xfId="0" applyNumberFormat="1" applyFont="1" applyBorder="1" applyAlignment="1">
      <alignment horizontal="right" vertical="center" wrapText="1"/>
    </xf>
    <xf numFmtId="166" fontId="32" fillId="0" borderId="3" xfId="0" applyNumberFormat="1" applyFont="1" applyBorder="1" applyAlignment="1">
      <alignment horizontal="right" vertical="center" wrapText="1"/>
    </xf>
    <xf numFmtId="0" fontId="13" fillId="0" borderId="3" xfId="289" applyFont="1" applyBorder="1" applyAlignment="1">
      <alignment horizontal="left" vertical="center" wrapText="1" readingOrder="1"/>
    </xf>
    <xf numFmtId="176" fontId="13" fillId="0" borderId="3" xfId="0" applyNumberFormat="1" applyFont="1" applyBorder="1" applyAlignment="1">
      <alignment horizontal="right" vertical="center" wrapText="1"/>
    </xf>
    <xf numFmtId="0" fontId="32" fillId="0" borderId="3" xfId="289" applyFont="1" applyBorder="1" applyAlignment="1">
      <alignment horizontal="center" vertical="center" wrapText="1" readingOrder="1"/>
    </xf>
    <xf numFmtId="0" fontId="32" fillId="0" borderId="3" xfId="289" applyFont="1" applyBorder="1" applyAlignment="1">
      <alignment horizontal="left" vertical="center" wrapText="1" readingOrder="1"/>
    </xf>
    <xf numFmtId="176" fontId="32" fillId="0" borderId="3" xfId="0" applyNumberFormat="1" applyFont="1" applyBorder="1" applyAlignment="1">
      <alignment horizontal="right" vertical="center" wrapText="1"/>
    </xf>
    <xf numFmtId="0" fontId="32" fillId="0" borderId="3" xfId="289" applyFont="1" applyBorder="1" applyAlignment="1">
      <alignment horizontal="left" vertical="center"/>
    </xf>
    <xf numFmtId="43" fontId="49" fillId="0" borderId="3" xfId="1" quotePrefix="1" applyFont="1" applyBorder="1" applyAlignment="1">
      <alignment horizontal="right" vertical="center" wrapText="1" readingOrder="1"/>
    </xf>
    <xf numFmtId="2" fontId="32" fillId="0" borderId="3" xfId="0" applyNumberFormat="1" applyFont="1" applyBorder="1" applyAlignment="1">
      <alignment horizontal="right" vertical="center"/>
    </xf>
    <xf numFmtId="2" fontId="49" fillId="0" borderId="3" xfId="1" quotePrefix="1" applyNumberFormat="1" applyFont="1" applyBorder="1" applyAlignment="1">
      <alignment horizontal="right" vertical="center" wrapText="1" readingOrder="1"/>
    </xf>
    <xf numFmtId="0" fontId="41" fillId="18" borderId="3" xfId="0" applyFont="1" applyFill="1" applyBorder="1" applyAlignment="1">
      <alignment horizontal="center" vertical="center" wrapText="1" readingOrder="1"/>
    </xf>
    <xf numFmtId="0" fontId="13" fillId="0" borderId="3" xfId="0" applyFont="1" applyBorder="1" applyAlignment="1">
      <alignment horizontal="center" vertical="center" wrapText="1" readingOrder="1"/>
    </xf>
    <xf numFmtId="0" fontId="13" fillId="0" borderId="3" xfId="0" applyFont="1" applyBorder="1" applyAlignment="1">
      <alignment horizontal="left" vertical="center" wrapText="1" readingOrder="1"/>
    </xf>
    <xf numFmtId="2" fontId="13" fillId="0" borderId="3" xfId="1" applyNumberFormat="1" applyFont="1" applyBorder="1" applyAlignment="1">
      <alignment horizontal="right" vertical="center" wrapText="1" readingOrder="1"/>
    </xf>
    <xf numFmtId="2" fontId="33" fillId="0" borderId="3" xfId="1" quotePrefix="1" applyNumberFormat="1" applyFont="1" applyBorder="1" applyAlignment="1">
      <alignment horizontal="right" vertical="center" wrapText="1" readingOrder="1"/>
    </xf>
    <xf numFmtId="0" fontId="13" fillId="0" borderId="3" xfId="0" quotePrefix="1" applyFont="1" applyBorder="1" applyAlignment="1">
      <alignment horizontal="center" vertical="center" wrapText="1" readingOrder="1"/>
    </xf>
    <xf numFmtId="2" fontId="13" fillId="0" borderId="3" xfId="0" applyNumberFormat="1" applyFont="1" applyBorder="1" applyAlignment="1">
      <alignment horizontal="right" vertical="center" wrapText="1" readingOrder="1"/>
    </xf>
    <xf numFmtId="43" fontId="32" fillId="0" borderId="3" xfId="0" applyNumberFormat="1" applyFont="1" applyBorder="1" applyAlignment="1">
      <alignment horizontal="right" vertical="center" wrapText="1" readingOrder="1"/>
    </xf>
    <xf numFmtId="43" fontId="13" fillId="0" borderId="3" xfId="0" applyNumberFormat="1" applyFont="1" applyBorder="1" applyAlignment="1">
      <alignment horizontal="right" vertical="center" wrapText="1" readingOrder="1"/>
    </xf>
    <xf numFmtId="43" fontId="13" fillId="0" borderId="3" xfId="1" quotePrefix="1" applyFont="1" applyBorder="1" applyAlignment="1">
      <alignment horizontal="right" vertical="center" wrapText="1" readingOrder="1"/>
    </xf>
    <xf numFmtId="43" fontId="13" fillId="0" borderId="6" xfId="1" quotePrefix="1" applyFont="1" applyBorder="1" applyAlignment="1">
      <alignment horizontal="right" vertical="center" wrapText="1" readingOrder="1"/>
    </xf>
    <xf numFmtId="43" fontId="13" fillId="0" borderId="3" xfId="1" applyFont="1" applyBorder="1" applyAlignment="1">
      <alignment horizontal="right" vertical="center" wrapText="1" readingOrder="1"/>
    </xf>
    <xf numFmtId="43" fontId="13" fillId="0" borderId="6" xfId="1" applyFont="1" applyBorder="1" applyAlignment="1">
      <alignment horizontal="right" vertical="center" wrapText="1" readingOrder="1"/>
    </xf>
    <xf numFmtId="43" fontId="32" fillId="0" borderId="3" xfId="1" quotePrefix="1" applyFont="1" applyBorder="1" applyAlignment="1">
      <alignment horizontal="right" vertical="center" wrapText="1" readingOrder="1"/>
    </xf>
    <xf numFmtId="43" fontId="32" fillId="0" borderId="6" xfId="1" quotePrefix="1" applyFont="1" applyBorder="1" applyAlignment="1">
      <alignment horizontal="right" vertical="center" wrapText="1" readingOrder="1"/>
    </xf>
    <xf numFmtId="0" fontId="13" fillId="0" borderId="0" xfId="289" applyFont="1" applyAlignment="1">
      <alignment horizontal="center" vertical="center" wrapText="1" readingOrder="1"/>
    </xf>
    <xf numFmtId="0" fontId="13" fillId="0" borderId="0" xfId="289" applyFont="1" applyAlignment="1">
      <alignment horizontal="left" vertical="center" wrapText="1" readingOrder="1"/>
    </xf>
    <xf numFmtId="43" fontId="32" fillId="0" borderId="0" xfId="0" applyNumberFormat="1" applyFont="1" applyAlignment="1">
      <alignment horizontal="right" vertical="center" wrapText="1" readingOrder="1"/>
    </xf>
    <xf numFmtId="43" fontId="13" fillId="0" borderId="0" xfId="1" quotePrefix="1" applyFont="1" applyBorder="1" applyAlignment="1">
      <alignment horizontal="right" vertical="center" wrapText="1" readingOrder="1"/>
    </xf>
    <xf numFmtId="0" fontId="50" fillId="18" borderId="14" xfId="0" applyFont="1" applyFill="1" applyBorder="1" applyAlignment="1">
      <alignment horizontal="center" vertical="center" wrapText="1" readingOrder="1"/>
    </xf>
    <xf numFmtId="43" fontId="45" fillId="17" borderId="3" xfId="0" applyNumberFormat="1" applyFont="1" applyFill="1" applyBorder="1" applyAlignment="1">
      <alignment horizontal="right" vertical="center" wrapText="1"/>
    </xf>
    <xf numFmtId="0" fontId="39" fillId="0" borderId="3" xfId="0" applyFont="1" applyBorder="1" applyAlignment="1">
      <alignment vertical="center" wrapText="1"/>
    </xf>
    <xf numFmtId="43" fontId="45" fillId="0" borderId="3" xfId="1" applyFont="1" applyBorder="1" applyAlignment="1">
      <alignment vertical="center"/>
    </xf>
    <xf numFmtId="0" fontId="47" fillId="0" borderId="3" xfId="0" applyFont="1" applyBorder="1" applyAlignment="1">
      <alignment horizontal="center" vertical="center" wrapText="1"/>
    </xf>
    <xf numFmtId="0" fontId="37" fillId="0" borderId="3" xfId="0" applyFont="1" applyBorder="1" applyAlignment="1">
      <alignment vertical="center" wrapText="1"/>
    </xf>
    <xf numFmtId="43" fontId="47" fillId="0" borderId="3" xfId="1" applyFont="1" applyBorder="1" applyAlignment="1">
      <alignment vertical="center"/>
    </xf>
    <xf numFmtId="0" fontId="37" fillId="0" borderId="0" xfId="0" applyFont="1" applyAlignment="1">
      <alignment horizontal="center" vertical="center" wrapText="1"/>
    </xf>
    <xf numFmtId="0" fontId="37" fillId="0" borderId="0" xfId="0" applyFont="1" applyAlignment="1">
      <alignment vertical="center" wrapText="1"/>
    </xf>
    <xf numFmtId="43" fontId="47" fillId="0" borderId="0" xfId="0" applyNumberFormat="1" applyFont="1" applyAlignment="1">
      <alignment horizontal="right" vertical="center" wrapText="1"/>
    </xf>
    <xf numFmtId="43" fontId="47" fillId="0" borderId="0" xfId="1" applyFont="1" applyBorder="1" applyAlignment="1">
      <alignment vertical="center"/>
    </xf>
    <xf numFmtId="0" fontId="47" fillId="0" borderId="0" xfId="0" applyFont="1" applyAlignment="1">
      <alignment vertical="center"/>
    </xf>
    <xf numFmtId="0" fontId="47" fillId="0" borderId="3" xfId="0" applyFont="1" applyBorder="1" applyAlignment="1">
      <alignment horizontal="center" vertical="center" wrapText="1" readingOrder="1"/>
    </xf>
    <xf numFmtId="0" fontId="47" fillId="0" borderId="3" xfId="0" applyFont="1" applyBorder="1" applyAlignment="1">
      <alignment horizontal="left" vertical="center" wrapText="1" indent="1" readingOrder="1"/>
    </xf>
    <xf numFmtId="0" fontId="50" fillId="18" borderId="13" xfId="0" applyFont="1" applyFill="1" applyBorder="1" applyAlignment="1">
      <alignment horizontal="center" vertical="center" wrapText="1" readingOrder="1"/>
    </xf>
    <xf numFmtId="4" fontId="13" fillId="0" borderId="3" xfId="0" applyNumberFormat="1" applyFont="1" applyBorder="1" applyAlignment="1">
      <alignment horizontal="right" vertical="center" wrapText="1" readingOrder="1"/>
    </xf>
    <xf numFmtId="0" fontId="39" fillId="0" borderId="0" xfId="0" applyFont="1"/>
    <xf numFmtId="0" fontId="50" fillId="18" borderId="3" xfId="0" applyFont="1" applyFill="1" applyBorder="1" applyAlignment="1">
      <alignment horizontal="center" vertical="center" wrapText="1" readingOrder="1"/>
    </xf>
    <xf numFmtId="0" fontId="48" fillId="6" borderId="3" xfId="0" applyFont="1" applyFill="1" applyBorder="1" applyAlignment="1">
      <alignment vertical="center" wrapText="1" readingOrder="1"/>
    </xf>
    <xf numFmtId="0" fontId="48" fillId="6" borderId="3" xfId="0" applyFont="1" applyFill="1" applyBorder="1" applyAlignment="1">
      <alignment horizontal="center" vertical="center" wrapText="1" readingOrder="1"/>
    </xf>
    <xf numFmtId="43" fontId="48" fillId="6" borderId="3" xfId="1" applyFont="1" applyFill="1" applyBorder="1" applyAlignment="1">
      <alignment horizontal="center" vertical="center" wrapText="1" readingOrder="1"/>
    </xf>
    <xf numFmtId="0" fontId="53" fillId="0" borderId="3" xfId="0" applyFont="1" applyFill="1" applyBorder="1" applyAlignment="1">
      <alignment horizontal="left" vertical="center" wrapText="1" readingOrder="1"/>
    </xf>
    <xf numFmtId="166" fontId="45" fillId="0" borderId="3" xfId="1" applyNumberFormat="1" applyFont="1" applyFill="1" applyBorder="1" applyAlignment="1">
      <alignment horizontal="right" vertical="center" wrapText="1" readingOrder="1"/>
    </xf>
    <xf numFmtId="49" fontId="52" fillId="0" borderId="3" xfId="1" applyNumberFormat="1" applyFont="1" applyBorder="1" applyAlignment="1">
      <alignment horizontal="left" vertical="center" wrapText="1" readingOrder="1"/>
    </xf>
    <xf numFmtId="0" fontId="44" fillId="0" borderId="3" xfId="0" applyFont="1" applyBorder="1" applyAlignment="1">
      <alignment horizontal="left" vertical="center" wrapText="1" readingOrder="1"/>
    </xf>
    <xf numFmtId="166" fontId="47" fillId="0" borderId="3" xfId="1" applyNumberFormat="1" applyFont="1" applyBorder="1" applyAlignment="1">
      <alignment horizontal="right" vertical="center" wrapText="1" readingOrder="1"/>
    </xf>
    <xf numFmtId="166" fontId="52" fillId="0" borderId="3" xfId="1" applyNumberFormat="1" applyFont="1" applyBorder="1" applyAlignment="1">
      <alignment horizontal="left" vertical="center" wrapText="1" readingOrder="1"/>
    </xf>
    <xf numFmtId="2" fontId="47" fillId="0" borderId="3" xfId="0" applyNumberFormat="1" applyFont="1" applyBorder="1" applyAlignment="1">
      <alignment horizontal="right" vertical="center" wrapText="1" readingOrder="1"/>
    </xf>
    <xf numFmtId="177" fontId="47" fillId="0" borderId="3" xfId="0" applyNumberFormat="1" applyFont="1" applyBorder="1" applyAlignment="1">
      <alignment horizontal="right" vertical="center" wrapText="1" readingOrder="1"/>
    </xf>
    <xf numFmtId="43" fontId="47" fillId="0" borderId="3" xfId="0" applyNumberFormat="1" applyFont="1" applyBorder="1" applyAlignment="1">
      <alignment horizontal="right" vertical="center" wrapText="1" readingOrder="1"/>
    </xf>
    <xf numFmtId="176" fontId="47" fillId="0" borderId="3" xfId="0" applyNumberFormat="1" applyFont="1" applyBorder="1" applyAlignment="1">
      <alignment horizontal="right" vertical="center" wrapText="1" readingOrder="1"/>
    </xf>
    <xf numFmtId="49" fontId="44" fillId="0" borderId="3" xfId="0" applyNumberFormat="1" applyFont="1" applyBorder="1" applyAlignment="1">
      <alignment horizontal="left" vertical="center" wrapText="1" indent="1" readingOrder="1"/>
    </xf>
    <xf numFmtId="0" fontId="53" fillId="0" borderId="0" xfId="0" applyFont="1" applyAlignment="1">
      <alignment horizontal="left" vertical="center" wrapText="1" readingOrder="1"/>
    </xf>
    <xf numFmtId="43" fontId="45" fillId="0" borderId="0" xfId="0" applyNumberFormat="1" applyFont="1" applyAlignment="1">
      <alignment horizontal="center" vertical="center" wrapText="1" readingOrder="1"/>
    </xf>
    <xf numFmtId="43" fontId="47" fillId="0" borderId="0" xfId="1" applyFont="1" applyBorder="1" applyAlignment="1">
      <alignment horizontal="center" vertical="center" wrapText="1" readingOrder="1"/>
    </xf>
    <xf numFmtId="49" fontId="47" fillId="0" borderId="0" xfId="1" quotePrefix="1" applyNumberFormat="1" applyFont="1" applyFill="1" applyBorder="1" applyAlignment="1">
      <alignment horizontal="left" vertical="center" wrapText="1" readingOrder="1"/>
    </xf>
    <xf numFmtId="43" fontId="47" fillId="0" borderId="17" xfId="0" applyNumberFormat="1" applyFont="1" applyBorder="1" applyAlignment="1">
      <alignment horizontal="right" vertical="center" wrapText="1" readingOrder="1"/>
    </xf>
    <xf numFmtId="43" fontId="47" fillId="0" borderId="13" xfId="0" applyNumberFormat="1" applyFont="1" applyBorder="1" applyAlignment="1">
      <alignment horizontal="right" vertical="center" wrapText="1" readingOrder="1"/>
    </xf>
    <xf numFmtId="176" fontId="47" fillId="0" borderId="17" xfId="0" applyNumberFormat="1" applyFont="1" applyBorder="1" applyAlignment="1">
      <alignment horizontal="right" vertical="center" wrapText="1" readingOrder="1"/>
    </xf>
    <xf numFmtId="176" fontId="47" fillId="0" borderId="13" xfId="0" applyNumberFormat="1" applyFont="1" applyBorder="1" applyAlignment="1">
      <alignment horizontal="right" vertical="center" wrapText="1" readingOrder="1"/>
    </xf>
    <xf numFmtId="49" fontId="51" fillId="0" borderId="18" xfId="1" quotePrefix="1" applyNumberFormat="1" applyFont="1" applyFill="1" applyBorder="1" applyAlignment="1">
      <alignment horizontal="left" vertical="center" wrapText="1" readingOrder="1"/>
    </xf>
    <xf numFmtId="0" fontId="47" fillId="0" borderId="13" xfId="0" applyFont="1" applyBorder="1" applyAlignment="1">
      <alignment horizontal="right" vertical="center" wrapText="1" readingOrder="1"/>
    </xf>
    <xf numFmtId="0" fontId="32" fillId="0" borderId="3" xfId="0" applyFont="1" applyBorder="1" applyAlignment="1">
      <alignment horizontal="left" vertical="center" wrapText="1"/>
    </xf>
    <xf numFmtId="0" fontId="5" fillId="0" borderId="0" xfId="0" applyFont="1" applyAlignment="1">
      <alignment horizontal="left" vertical="center" wrapText="1"/>
    </xf>
    <xf numFmtId="43" fontId="47" fillId="0" borderId="0" xfId="1" quotePrefix="1" applyFont="1" applyFill="1" applyBorder="1" applyAlignment="1">
      <alignment horizontal="left" vertical="center" wrapText="1" readingOrder="1"/>
    </xf>
    <xf numFmtId="0" fontId="5" fillId="0" borderId="3" xfId="0" applyFont="1" applyBorder="1" applyAlignment="1">
      <alignment horizontal="left" vertical="center" wrapText="1"/>
    </xf>
    <xf numFmtId="0" fontId="5" fillId="0" borderId="19" xfId="0" applyFont="1" applyBorder="1" applyAlignment="1">
      <alignment horizontal="left" vertical="center" wrapText="1"/>
    </xf>
    <xf numFmtId="0" fontId="50" fillId="18" borderId="3" xfId="0" applyFont="1" applyFill="1" applyBorder="1" applyAlignment="1">
      <alignment horizontal="center" vertical="center" readingOrder="1"/>
    </xf>
    <xf numFmtId="0" fontId="50" fillId="18" borderId="3" xfId="0" applyFont="1" applyFill="1" applyBorder="1" applyAlignment="1">
      <alignment vertical="center" wrapText="1" readingOrder="1"/>
    </xf>
    <xf numFmtId="0" fontId="50" fillId="18" borderId="8" xfId="0" applyFont="1" applyFill="1" applyBorder="1" applyAlignment="1">
      <alignment horizontal="center" vertical="center" wrapText="1" readingOrder="1"/>
    </xf>
    <xf numFmtId="43" fontId="48" fillId="6" borderId="8" xfId="1" applyFont="1" applyFill="1" applyBorder="1" applyAlignment="1">
      <alignment horizontal="center" vertical="center" wrapText="1" readingOrder="1"/>
    </xf>
    <xf numFmtId="166" fontId="45" fillId="0" borderId="8" xfId="1" applyNumberFormat="1" applyFont="1" applyFill="1" applyBorder="1" applyAlignment="1">
      <alignment horizontal="right" vertical="center" wrapText="1" readingOrder="1"/>
    </xf>
    <xf numFmtId="166" fontId="47" fillId="0" borderId="8" xfId="1" applyNumberFormat="1" applyFont="1" applyBorder="1" applyAlignment="1">
      <alignment horizontal="right" vertical="center" wrapText="1" readingOrder="1"/>
    </xf>
    <xf numFmtId="2" fontId="47" fillId="0" borderId="8" xfId="0" applyNumberFormat="1" applyFont="1" applyBorder="1" applyAlignment="1">
      <alignment horizontal="right" vertical="center" wrapText="1" readingOrder="1"/>
    </xf>
    <xf numFmtId="43" fontId="13" fillId="0" borderId="8" xfId="0" applyNumberFormat="1" applyFont="1" applyBorder="1" applyAlignment="1">
      <alignment horizontal="center" vertical="center" wrapText="1" readingOrder="1"/>
    </xf>
    <xf numFmtId="43" fontId="32" fillId="0" borderId="8" xfId="0" applyNumberFormat="1" applyFont="1" applyBorder="1" applyAlignment="1">
      <alignment horizontal="center" vertical="center" wrapText="1" readingOrder="1"/>
    </xf>
    <xf numFmtId="43" fontId="47" fillId="0" borderId="8" xfId="0" applyNumberFormat="1" applyFont="1" applyBorder="1" applyAlignment="1">
      <alignment horizontal="center" vertical="center" wrapText="1" readingOrder="1"/>
    </xf>
    <xf numFmtId="43" fontId="51" fillId="0" borderId="8" xfId="0" applyNumberFormat="1" applyFont="1" applyBorder="1" applyAlignment="1">
      <alignment horizontal="center" vertical="center" wrapText="1" readingOrder="1"/>
    </xf>
    <xf numFmtId="0" fontId="39" fillId="0" borderId="0" xfId="0" applyFont="1" applyFill="1" applyBorder="1"/>
    <xf numFmtId="0" fontId="37" fillId="0" borderId="0" xfId="0" applyFont="1" applyFill="1" applyBorder="1"/>
    <xf numFmtId="0" fontId="41" fillId="0" borderId="0" xfId="0" applyFont="1" applyFill="1" applyBorder="1" applyAlignment="1">
      <alignment vertical="center" wrapText="1"/>
    </xf>
    <xf numFmtId="0" fontId="50" fillId="0" borderId="0" xfId="0" applyFont="1" applyFill="1" applyBorder="1" applyAlignment="1">
      <alignment horizontal="center" vertical="center" wrapText="1" readingOrder="1"/>
    </xf>
    <xf numFmtId="0" fontId="48" fillId="0" borderId="0" xfId="0" applyFont="1" applyFill="1" applyBorder="1" applyAlignment="1">
      <alignment horizontal="center" vertical="center" wrapText="1" readingOrder="1"/>
    </xf>
    <xf numFmtId="0" fontId="53" fillId="0" borderId="0" xfId="0" applyFont="1" applyFill="1" applyBorder="1" applyAlignment="1">
      <alignment horizontal="left" vertical="center" wrapText="1" readingOrder="1"/>
    </xf>
    <xf numFmtId="0" fontId="44"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readingOrder="1"/>
    </xf>
    <xf numFmtId="0" fontId="32" fillId="0" borderId="0" xfId="0" applyFont="1" applyFill="1" applyBorder="1" applyAlignment="1">
      <alignment horizontal="left" vertical="center" wrapText="1"/>
    </xf>
    <xf numFmtId="0" fontId="5" fillId="0" borderId="0"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50" fillId="0" borderId="0" xfId="0" applyFont="1" applyFill="1" applyBorder="1" applyAlignment="1">
      <alignment vertical="center" wrapText="1" readingOrder="1"/>
    </xf>
    <xf numFmtId="0" fontId="39" fillId="0" borderId="3" xfId="0" applyFont="1" applyFill="1" applyBorder="1" applyAlignment="1">
      <alignment horizontal="left" vertical="center" wrapText="1"/>
    </xf>
    <xf numFmtId="0" fontId="41" fillId="0" borderId="0" xfId="0" applyFont="1" applyFill="1" applyBorder="1" applyAlignment="1">
      <alignment horizontal="center" vertical="center" wrapText="1"/>
    </xf>
    <xf numFmtId="0" fontId="41" fillId="18" borderId="8" xfId="0" applyFont="1" applyFill="1" applyBorder="1" applyAlignment="1">
      <alignment horizontal="center" vertical="center" wrapText="1"/>
    </xf>
    <xf numFmtId="2" fontId="32" fillId="6" borderId="8" xfId="0" applyNumberFormat="1" applyFont="1" applyFill="1" applyBorder="1" applyAlignment="1">
      <alignment horizontal="right" vertical="center" wrapText="1"/>
    </xf>
    <xf numFmtId="2" fontId="39" fillId="0" borderId="8" xfId="0" applyNumberFormat="1" applyFont="1" applyBorder="1" applyAlignment="1">
      <alignment horizontal="right" vertical="center" wrapText="1"/>
    </xf>
    <xf numFmtId="2" fontId="37" fillId="0" borderId="8" xfId="0" applyNumberFormat="1" applyFont="1" applyBorder="1" applyAlignment="1">
      <alignment horizontal="right" vertical="center" wrapText="1"/>
    </xf>
    <xf numFmtId="0" fontId="41" fillId="18" borderId="8" xfId="0" applyFont="1" applyFill="1" applyBorder="1" applyAlignment="1">
      <alignment horizontal="center" vertical="center"/>
    </xf>
    <xf numFmtId="43" fontId="32" fillId="2" borderId="8" xfId="288" applyFont="1" applyFill="1" applyBorder="1" applyAlignment="1">
      <alignment horizontal="right" vertical="center"/>
    </xf>
    <xf numFmtId="43" fontId="45" fillId="7" borderId="8" xfId="1" applyFont="1" applyFill="1" applyBorder="1" applyAlignment="1">
      <alignment horizontal="right" vertical="center" wrapText="1" readingOrder="1"/>
    </xf>
    <xf numFmtId="43" fontId="47" fillId="7" borderId="8" xfId="1" applyFont="1" applyFill="1" applyBorder="1" applyAlignment="1">
      <alignment horizontal="right" vertical="center" wrapText="1" readingOrder="1"/>
    </xf>
    <xf numFmtId="2" fontId="45" fillId="0" borderId="8" xfId="0" applyNumberFormat="1" applyFont="1" applyBorder="1" applyAlignment="1">
      <alignment horizontal="right" vertical="center" wrapText="1"/>
    </xf>
    <xf numFmtId="2" fontId="47" fillId="0" borderId="8" xfId="0" applyNumberFormat="1" applyFont="1" applyBorder="1" applyAlignment="1">
      <alignment horizontal="right" vertical="center" wrapText="1"/>
    </xf>
    <xf numFmtId="2" fontId="48" fillId="6" borderId="8" xfId="0" applyNumberFormat="1" applyFont="1" applyFill="1" applyBorder="1" applyAlignment="1">
      <alignment horizontal="center" vertical="center" wrapText="1"/>
    </xf>
    <xf numFmtId="43" fontId="32" fillId="0" borderId="8" xfId="0" applyNumberFormat="1" applyFont="1" applyBorder="1" applyAlignment="1">
      <alignment horizontal="right" vertical="center" wrapText="1"/>
    </xf>
    <xf numFmtId="43" fontId="13" fillId="0" borderId="8" xfId="0" applyNumberFormat="1" applyFont="1" applyBorder="1" applyAlignment="1">
      <alignment horizontal="right" vertical="center" wrapText="1"/>
    </xf>
    <xf numFmtId="0" fontId="41" fillId="18" borderId="8" xfId="0" applyFont="1" applyFill="1" applyBorder="1" applyAlignment="1">
      <alignment horizontal="center" vertical="center" wrapText="1" readingOrder="1"/>
    </xf>
    <xf numFmtId="2" fontId="32" fillId="0" borderId="8" xfId="0" applyNumberFormat="1" applyFont="1" applyBorder="1" applyAlignment="1">
      <alignment horizontal="right" vertical="center" wrapText="1" readingOrder="1"/>
    </xf>
    <xf numFmtId="43" fontId="13" fillId="0" borderId="8" xfId="0" applyNumberFormat="1" applyFont="1" applyBorder="1" applyAlignment="1">
      <alignment horizontal="right" vertical="center" wrapText="1" readingOrder="1"/>
    </xf>
    <xf numFmtId="43" fontId="32" fillId="0" borderId="8" xfId="0" applyNumberFormat="1" applyFont="1" applyBorder="1" applyAlignment="1">
      <alignment horizontal="right" vertical="center" wrapText="1" readingOrder="1"/>
    </xf>
    <xf numFmtId="0" fontId="50" fillId="18" borderId="20" xfId="0" applyFont="1" applyFill="1" applyBorder="1" applyAlignment="1">
      <alignment horizontal="center" vertical="center" wrapText="1" readingOrder="1"/>
    </xf>
    <xf numFmtId="43" fontId="45" fillId="17" borderId="8" xfId="0" applyNumberFormat="1" applyFont="1" applyFill="1" applyBorder="1" applyAlignment="1">
      <alignment horizontal="right" vertical="center" wrapText="1"/>
    </xf>
    <xf numFmtId="43" fontId="45" fillId="0" borderId="8" xfId="0" applyNumberFormat="1" applyFont="1" applyBorder="1" applyAlignment="1">
      <alignment horizontal="right" vertical="center" wrapText="1"/>
    </xf>
    <xf numFmtId="43" fontId="47" fillId="0" borderId="8" xfId="0" applyNumberFormat="1" applyFont="1" applyBorder="1" applyAlignment="1">
      <alignment horizontal="right" vertical="center" wrapText="1"/>
    </xf>
    <xf numFmtId="0" fontId="50" fillId="18" borderId="17" xfId="0" applyFont="1" applyFill="1" applyBorder="1" applyAlignment="1">
      <alignment horizontal="center" vertical="center" wrapText="1" readingOrder="1"/>
    </xf>
    <xf numFmtId="4" fontId="32" fillId="0" borderId="8" xfId="0" applyNumberFormat="1" applyFont="1" applyBorder="1" applyAlignment="1">
      <alignment horizontal="right" vertical="center" wrapText="1" readingOrder="1"/>
    </xf>
    <xf numFmtId="0" fontId="37" fillId="0" borderId="0" xfId="0" applyFont="1" applyFill="1" applyBorder="1" applyAlignment="1">
      <alignment horizontal="left"/>
    </xf>
    <xf numFmtId="0" fontId="39" fillId="0" borderId="0" xfId="0" applyFont="1" applyFill="1" applyBorder="1" applyAlignment="1">
      <alignment horizontal="left" vertical="center" wrapText="1"/>
    </xf>
    <xf numFmtId="0" fontId="45" fillId="0" borderId="0" xfId="0" applyFont="1" applyFill="1" applyBorder="1" applyAlignment="1">
      <alignment horizontal="left" vertical="center" wrapText="1"/>
    </xf>
    <xf numFmtId="0" fontId="47" fillId="0" borderId="0" xfId="0" applyFont="1" applyFill="1" applyBorder="1" applyAlignment="1">
      <alignment horizontal="left" vertical="center" wrapText="1"/>
    </xf>
    <xf numFmtId="0" fontId="45" fillId="0" borderId="0" xfId="0" applyFont="1" applyFill="1" applyBorder="1" applyAlignment="1">
      <alignment horizontal="left" vertical="center" wrapText="1" readingOrder="1"/>
    </xf>
    <xf numFmtId="0" fontId="47" fillId="0" borderId="0" xfId="0" applyFont="1" applyFill="1" applyBorder="1" applyAlignment="1">
      <alignment horizontal="left" vertical="center" wrapText="1" readingOrder="1"/>
    </xf>
    <xf numFmtId="0" fontId="48" fillId="0" borderId="0" xfId="0" applyFont="1" applyFill="1" applyBorder="1" applyAlignment="1">
      <alignment horizontal="left" vertical="center" wrapText="1"/>
    </xf>
    <xf numFmtId="0" fontId="13"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wrapText="1" readingOrder="1"/>
    </xf>
    <xf numFmtId="0" fontId="32" fillId="0" borderId="0" xfId="289" applyFont="1" applyFill="1" applyBorder="1" applyAlignment="1">
      <alignment horizontal="left" vertical="center"/>
    </xf>
    <xf numFmtId="0" fontId="13" fillId="0" borderId="0" xfId="0" applyFont="1" applyFill="1" applyBorder="1" applyAlignment="1">
      <alignment horizontal="left" vertical="center" wrapText="1" readingOrder="1"/>
    </xf>
    <xf numFmtId="0" fontId="39" fillId="0" borderId="0" xfId="0" applyFont="1" applyFill="1" applyBorder="1" applyAlignment="1">
      <alignment vertical="center" wrapText="1"/>
    </xf>
    <xf numFmtId="0" fontId="37" fillId="0" borderId="0" xfId="0" applyFont="1" applyFill="1" applyBorder="1" applyAlignment="1">
      <alignment vertical="center" wrapText="1"/>
    </xf>
    <xf numFmtId="0" fontId="47" fillId="0" borderId="0" xfId="0" applyFont="1" applyFill="1" applyBorder="1" applyAlignment="1">
      <alignment horizontal="left" vertical="center" wrapText="1" indent="1" readingOrder="1"/>
    </xf>
    <xf numFmtId="0" fontId="37" fillId="0" borderId="3" xfId="0" applyFont="1" applyBorder="1" applyAlignment="1">
      <alignment horizontal="left"/>
    </xf>
    <xf numFmtId="0" fontId="53" fillId="0" borderId="3" xfId="0" applyFont="1" applyBorder="1" applyAlignment="1">
      <alignment horizontal="left" vertical="center" wrapText="1" readingOrder="1"/>
    </xf>
    <xf numFmtId="0" fontId="54" fillId="0" borderId="0" xfId="0" applyFont="1"/>
    <xf numFmtId="0" fontId="57" fillId="0" borderId="3" xfId="0" applyFont="1" applyBorder="1" applyAlignment="1">
      <alignment horizontal="left" vertical="center" wrapText="1" readingOrder="1"/>
    </xf>
    <xf numFmtId="0" fontId="57" fillId="0" borderId="3" xfId="0" applyFont="1" applyFill="1" applyBorder="1" applyAlignment="1">
      <alignment horizontal="left" vertical="center" wrapText="1" readingOrder="1"/>
    </xf>
    <xf numFmtId="0" fontId="51" fillId="0" borderId="3" xfId="0" applyFont="1" applyBorder="1" applyAlignment="1">
      <alignment horizontal="center" vertical="center" wrapText="1" readingOrder="1"/>
    </xf>
    <xf numFmtId="0" fontId="51" fillId="0" borderId="3" xfId="0" applyFont="1" applyBorder="1" applyAlignment="1">
      <alignment horizontal="left" vertical="center" wrapText="1" readingOrder="1"/>
    </xf>
    <xf numFmtId="0" fontId="42" fillId="0" borderId="3" xfId="0" applyFont="1" applyBorder="1" applyAlignment="1">
      <alignment horizontal="center" vertical="center" wrapText="1" readingOrder="1"/>
    </xf>
    <xf numFmtId="0" fontId="48" fillId="0" borderId="3" xfId="0" applyFont="1" applyBorder="1" applyAlignment="1">
      <alignment horizontal="left" vertical="center" wrapText="1" readingOrder="1"/>
    </xf>
    <xf numFmtId="0" fontId="51" fillId="0" borderId="0" xfId="0" applyFont="1" applyAlignment="1">
      <alignment horizontal="center" vertical="center" wrapText="1" readingOrder="1"/>
    </xf>
    <xf numFmtId="0" fontId="58" fillId="0" borderId="0" xfId="0" applyFont="1" applyAlignment="1">
      <alignment horizontal="center" vertical="center" wrapText="1" readingOrder="1"/>
    </xf>
    <xf numFmtId="0" fontId="57" fillId="0" borderId="0" xfId="0" applyFont="1" applyAlignment="1">
      <alignment horizontal="left" vertical="center" wrapText="1" readingOrder="1"/>
    </xf>
    <xf numFmtId="0" fontId="48" fillId="0" borderId="3" xfId="0" applyFont="1" applyBorder="1" applyAlignment="1">
      <alignment horizontal="left" vertical="center" wrapText="1"/>
    </xf>
    <xf numFmtId="0" fontId="42" fillId="0" borderId="0" xfId="0" applyFont="1" applyAlignment="1">
      <alignment horizontal="center" vertical="center" wrapText="1"/>
    </xf>
    <xf numFmtId="0" fontId="42" fillId="0" borderId="0" xfId="0" applyFont="1" applyAlignment="1">
      <alignment horizontal="left" vertical="center" wrapText="1"/>
    </xf>
    <xf numFmtId="0" fontId="42" fillId="0" borderId="3" xfId="0" applyFont="1" applyBorder="1" applyAlignment="1">
      <alignment horizontal="left" vertical="center" wrapText="1"/>
    </xf>
    <xf numFmtId="43" fontId="54" fillId="0" borderId="0" xfId="0" applyNumberFormat="1" applyFont="1"/>
    <xf numFmtId="0" fontId="37" fillId="0" borderId="0" xfId="0" applyFont="1" applyAlignment="1"/>
    <xf numFmtId="0" fontId="48" fillId="6" borderId="3" xfId="0" applyFont="1" applyFill="1" applyBorder="1" applyAlignment="1">
      <alignment vertical="center" readingOrder="1"/>
    </xf>
    <xf numFmtId="49" fontId="52" fillId="0" borderId="3" xfId="1" applyNumberFormat="1" applyFont="1" applyBorder="1" applyAlignment="1">
      <alignment horizontal="left" vertical="center" readingOrder="1"/>
    </xf>
    <xf numFmtId="166" fontId="52" fillId="0" borderId="3" xfId="1" applyNumberFormat="1" applyFont="1" applyBorder="1" applyAlignment="1">
      <alignment horizontal="left" vertical="center" readingOrder="1"/>
    </xf>
    <xf numFmtId="49" fontId="44" fillId="2" borderId="3" xfId="0" applyNumberFormat="1" applyFont="1" applyFill="1" applyBorder="1" applyAlignment="1">
      <alignment horizontal="left" vertical="center" readingOrder="1"/>
    </xf>
    <xf numFmtId="0" fontId="44" fillId="0" borderId="3" xfId="0" applyFont="1" applyBorder="1" applyAlignment="1">
      <alignment horizontal="left" vertical="center" readingOrder="1"/>
    </xf>
    <xf numFmtId="49" fontId="44" fillId="0" borderId="3" xfId="0" applyNumberFormat="1" applyFont="1" applyBorder="1" applyAlignment="1">
      <alignment horizontal="left" vertical="center" readingOrder="1"/>
    </xf>
    <xf numFmtId="49" fontId="47" fillId="0" borderId="0" xfId="1" quotePrefix="1" applyNumberFormat="1" applyFont="1" applyFill="1" applyBorder="1" applyAlignment="1">
      <alignment horizontal="left" vertical="center" readingOrder="1"/>
    </xf>
    <xf numFmtId="43" fontId="47" fillId="0" borderId="0" xfId="1" quotePrefix="1" applyFont="1" applyFill="1" applyBorder="1" applyAlignment="1">
      <alignment horizontal="left" vertical="center" readingOrder="1"/>
    </xf>
    <xf numFmtId="0" fontId="44" fillId="2" borderId="3" xfId="0" applyFont="1" applyFill="1" applyBorder="1" applyAlignment="1">
      <alignment horizontal="left" vertical="center" readingOrder="1"/>
    </xf>
    <xf numFmtId="166" fontId="44" fillId="2" borderId="3" xfId="0" applyNumberFormat="1" applyFont="1" applyFill="1" applyBorder="1" applyAlignment="1">
      <alignment horizontal="left" vertical="center" readingOrder="1"/>
    </xf>
    <xf numFmtId="0" fontId="42" fillId="6" borderId="3" xfId="0" applyFont="1" applyFill="1" applyBorder="1" applyAlignment="1">
      <alignment horizontal="left" vertical="center"/>
    </xf>
    <xf numFmtId="0" fontId="43" fillId="0" borderId="3" xfId="0" applyFont="1" applyBorder="1" applyAlignment="1">
      <alignment vertical="center"/>
    </xf>
    <xf numFmtId="0" fontId="13" fillId="0" borderId="3" xfId="0" applyFont="1" applyBorder="1" applyAlignment="1">
      <alignment horizontal="left" vertical="center"/>
    </xf>
    <xf numFmtId="0" fontId="13" fillId="0" borderId="3" xfId="0" quotePrefix="1" applyFont="1" applyBorder="1" applyAlignment="1">
      <alignment horizontal="justify" vertical="center" readingOrder="1"/>
    </xf>
    <xf numFmtId="0" fontId="5" fillId="0" borderId="3" xfId="0" quotePrefix="1" applyFont="1" applyBorder="1" applyAlignment="1">
      <alignment horizontal="justify" vertical="center" readingOrder="1"/>
    </xf>
    <xf numFmtId="49" fontId="44" fillId="2" borderId="0" xfId="0" applyNumberFormat="1" applyFont="1" applyFill="1" applyAlignment="1">
      <alignment horizontal="left" vertical="center" readingOrder="1"/>
    </xf>
    <xf numFmtId="0" fontId="51" fillId="17" borderId="3" xfId="0" applyFont="1" applyFill="1" applyBorder="1" applyAlignment="1">
      <alignment vertical="center"/>
    </xf>
    <xf numFmtId="43" fontId="13" fillId="0" borderId="3" xfId="0" applyNumberFormat="1" applyFont="1" applyBorder="1" applyAlignment="1">
      <alignment horizontal="left" vertical="center" wrapText="1"/>
    </xf>
    <xf numFmtId="43" fontId="39" fillId="0" borderId="3" xfId="0" applyNumberFormat="1" applyFont="1" applyBorder="1" applyAlignment="1">
      <alignment vertical="center" wrapText="1"/>
    </xf>
    <xf numFmtId="0" fontId="59" fillId="7" borderId="3" xfId="0" applyFont="1" applyFill="1" applyBorder="1" applyAlignment="1">
      <alignment horizontal="left" vertical="center" wrapText="1" readingOrder="1"/>
    </xf>
    <xf numFmtId="43" fontId="44" fillId="0" borderId="3" xfId="0" applyNumberFormat="1" applyFont="1" applyBorder="1" applyAlignment="1">
      <alignment horizontal="left" vertical="center" wrapText="1" readingOrder="1"/>
    </xf>
    <xf numFmtId="49" fontId="14" fillId="0" borderId="3" xfId="0" applyNumberFormat="1" applyFont="1" applyBorder="1" applyAlignment="1">
      <alignment horizontal="left" vertical="center" readingOrder="1"/>
    </xf>
    <xf numFmtId="0" fontId="56" fillId="0" borderId="0" xfId="0" applyFont="1" applyAlignment="1">
      <alignment horizontal="left"/>
    </xf>
    <xf numFmtId="0" fontId="60" fillId="0" borderId="0" xfId="0" applyFont="1" applyAlignment="1">
      <alignment horizontal="left"/>
    </xf>
    <xf numFmtId="43" fontId="5" fillId="0" borderId="3" xfId="0" applyNumberFormat="1" applyFont="1" applyBorder="1" applyAlignment="1">
      <alignment horizontal="left" vertical="center" wrapText="1"/>
    </xf>
    <xf numFmtId="0" fontId="41" fillId="18" borderId="3" xfId="0" applyFont="1" applyFill="1" applyBorder="1" applyAlignment="1">
      <alignment horizontal="center" vertical="center" wrapText="1"/>
    </xf>
    <xf numFmtId="0" fontId="50" fillId="18" borderId="3" xfId="0" applyFont="1" applyFill="1" applyBorder="1" applyAlignment="1">
      <alignment horizontal="center" vertical="center" readingOrder="1"/>
    </xf>
    <xf numFmtId="0" fontId="5" fillId="0" borderId="0" xfId="0" applyFont="1" applyAlignment="1">
      <alignment horizontal="left" vertical="center"/>
    </xf>
    <xf numFmtId="0" fontId="6" fillId="0" borderId="3" xfId="0" applyFont="1" applyBorder="1" applyAlignment="1">
      <alignment horizontal="left" vertical="center" wrapText="1"/>
    </xf>
    <xf numFmtId="0" fontId="6" fillId="2" borderId="3" xfId="0" applyFont="1" applyFill="1" applyBorder="1" applyAlignment="1">
      <alignment horizontal="left" vertical="center" wrapText="1"/>
    </xf>
    <xf numFmtId="0" fontId="10" fillId="2" borderId="3" xfId="0" applyFont="1" applyFill="1" applyBorder="1" applyAlignment="1">
      <alignment horizontal="left" vertical="center" wrapText="1"/>
    </xf>
    <xf numFmtId="0" fontId="6" fillId="3" borderId="3" xfId="0" applyFont="1" applyFill="1" applyBorder="1" applyAlignment="1">
      <alignment horizontal="left" vertical="center" wrapText="1"/>
    </xf>
    <xf numFmtId="0" fontId="5" fillId="2" borderId="3" xfId="0" applyFont="1" applyFill="1" applyBorder="1" applyAlignment="1">
      <alignment horizontal="left" vertical="center" wrapText="1"/>
    </xf>
    <xf numFmtId="0" fontId="6" fillId="0" borderId="2" xfId="0" applyFont="1" applyFill="1" applyBorder="1" applyAlignment="1" applyProtection="1">
      <alignment horizontal="center" vertical="center" wrapText="1"/>
      <protection locked="0"/>
    </xf>
    <xf numFmtId="0" fontId="6" fillId="0" borderId="9" xfId="0" applyFont="1" applyFill="1" applyBorder="1" applyAlignment="1" applyProtection="1">
      <alignment horizontal="center" vertical="center" wrapText="1"/>
      <protection locked="0"/>
    </xf>
    <xf numFmtId="0" fontId="8" fillId="0" borderId="0" xfId="0" applyFont="1" applyFill="1" applyAlignment="1" applyProtection="1">
      <alignment horizontal="left" vertical="center" wrapText="1"/>
      <protection locked="0"/>
    </xf>
    <xf numFmtId="0" fontId="8" fillId="0" borderId="1" xfId="0" applyFont="1" applyFill="1" applyBorder="1" applyAlignment="1" applyProtection="1">
      <alignment horizontal="left" vertical="center" wrapText="1"/>
      <protection locked="0"/>
    </xf>
    <xf numFmtId="0" fontId="32" fillId="0" borderId="2" xfId="0" applyFont="1" applyFill="1" applyBorder="1" applyAlignment="1">
      <alignment horizontal="center" vertical="center" wrapText="1"/>
    </xf>
    <xf numFmtId="0" fontId="32" fillId="0" borderId="9" xfId="0" applyFont="1" applyFill="1" applyBorder="1" applyAlignment="1">
      <alignment horizontal="center" vertical="center" wrapText="1"/>
    </xf>
    <xf numFmtId="0" fontId="32" fillId="0" borderId="10" xfId="0" applyFont="1" applyFill="1" applyBorder="1" applyAlignment="1">
      <alignment horizontal="center" vertical="center" wrapText="1"/>
    </xf>
    <xf numFmtId="0" fontId="7" fillId="0" borderId="0" xfId="0" applyFont="1" applyFill="1" applyAlignment="1" applyProtection="1">
      <alignment horizontal="center" vertical="center" wrapText="1"/>
      <protection locked="0"/>
    </xf>
    <xf numFmtId="0" fontId="32" fillId="3" borderId="2" xfId="0" applyFont="1" applyFill="1" applyBorder="1" applyAlignment="1" applyProtection="1">
      <alignment horizontal="center" vertical="center" wrapText="1"/>
      <protection locked="0"/>
    </xf>
    <xf numFmtId="0" fontId="32" fillId="3" borderId="9" xfId="0" applyFont="1" applyFill="1" applyBorder="1" applyAlignment="1" applyProtection="1">
      <alignment horizontal="center" vertical="center" wrapText="1"/>
      <protection locked="0"/>
    </xf>
    <xf numFmtId="0" fontId="32" fillId="3" borderId="10" xfId="0" applyFont="1" applyFill="1" applyBorder="1" applyAlignment="1" applyProtection="1">
      <alignment horizontal="center" vertical="center" wrapText="1"/>
      <protection locked="0"/>
    </xf>
    <xf numFmtId="0" fontId="32" fillId="3" borderId="2" xfId="0" applyFont="1" applyFill="1" applyBorder="1" applyAlignment="1">
      <alignment horizontal="center" vertical="center" wrapText="1"/>
    </xf>
    <xf numFmtId="0" fontId="32" fillId="3" borderId="9" xfId="0" applyFont="1" applyFill="1" applyBorder="1" applyAlignment="1">
      <alignment horizontal="center" vertical="center" wrapText="1"/>
    </xf>
    <xf numFmtId="0" fontId="32" fillId="3" borderId="10" xfId="0" applyFont="1" applyFill="1" applyBorder="1" applyAlignment="1">
      <alignment horizontal="center" vertical="center" wrapText="1"/>
    </xf>
    <xf numFmtId="165" fontId="24" fillId="0" borderId="1" xfId="1" applyNumberFormat="1" applyFont="1" applyFill="1" applyBorder="1" applyAlignment="1">
      <alignment horizontal="center" vertical="center" wrapText="1"/>
    </xf>
    <xf numFmtId="165" fontId="32" fillId="3" borderId="4" xfId="1" applyNumberFormat="1" applyFont="1" applyFill="1" applyBorder="1" applyAlignment="1">
      <alignment horizontal="center" vertical="center" wrapText="1"/>
    </xf>
    <xf numFmtId="165" fontId="32" fillId="3" borderId="5" xfId="1" applyNumberFormat="1" applyFont="1" applyFill="1" applyBorder="1" applyAlignment="1">
      <alignment horizontal="center" vertical="center" wrapText="1"/>
    </xf>
    <xf numFmtId="165" fontId="32" fillId="3" borderId="11" xfId="1" applyNumberFormat="1" applyFont="1" applyFill="1" applyBorder="1" applyAlignment="1">
      <alignment horizontal="center" vertical="center" wrapText="1"/>
    </xf>
    <xf numFmtId="165" fontId="32" fillId="3" borderId="12" xfId="1" applyNumberFormat="1" applyFont="1" applyFill="1" applyBorder="1" applyAlignment="1">
      <alignment horizontal="center" vertical="center" wrapText="1"/>
    </xf>
    <xf numFmtId="0" fontId="32" fillId="3" borderId="4" xfId="0" applyFont="1" applyFill="1" applyBorder="1" applyAlignment="1">
      <alignment horizontal="center" vertical="center" wrapText="1"/>
    </xf>
    <xf numFmtId="0" fontId="32" fillId="3" borderId="11" xfId="0" applyFont="1" applyFill="1" applyBorder="1" applyAlignment="1">
      <alignment horizontal="center" vertical="center" wrapText="1"/>
    </xf>
    <xf numFmtId="165" fontId="32" fillId="3" borderId="3" xfId="1" applyNumberFormat="1" applyFont="1" applyFill="1" applyBorder="1" applyAlignment="1">
      <alignment horizontal="center" vertical="center" wrapText="1"/>
    </xf>
    <xf numFmtId="0" fontId="6" fillId="3" borderId="6" xfId="0" applyFont="1" applyFill="1" applyBorder="1" applyAlignment="1">
      <alignment horizontal="center" vertical="center" wrapText="1" readingOrder="1"/>
    </xf>
    <xf numFmtId="0" fontId="6" fillId="3" borderId="7" xfId="0" applyFont="1" applyFill="1" applyBorder="1" applyAlignment="1">
      <alignment horizontal="center" vertical="center" wrapText="1" readingOrder="1"/>
    </xf>
    <xf numFmtId="0" fontId="6" fillId="3" borderId="8" xfId="0" applyFont="1" applyFill="1" applyBorder="1" applyAlignment="1">
      <alignment horizontal="center" vertical="center" wrapText="1" readingOrder="1"/>
    </xf>
    <xf numFmtId="0" fontId="24" fillId="10" borderId="6" xfId="0" applyFont="1" applyFill="1" applyBorder="1" applyAlignment="1">
      <alignment horizontal="center" vertical="center" wrapText="1" readingOrder="1"/>
    </xf>
    <xf numFmtId="0" fontId="24" fillId="10" borderId="7" xfId="0" applyFont="1" applyFill="1" applyBorder="1" applyAlignment="1">
      <alignment horizontal="center" vertical="center" wrapText="1" readingOrder="1"/>
    </xf>
    <xf numFmtId="0" fontId="24" fillId="10" borderId="8" xfId="0" applyFont="1" applyFill="1" applyBorder="1" applyAlignment="1">
      <alignment horizontal="center" vertical="center" wrapText="1" readingOrder="1"/>
    </xf>
    <xf numFmtId="0" fontId="41" fillId="18" borderId="3" xfId="0" applyFont="1" applyFill="1" applyBorder="1" applyAlignment="1">
      <alignment horizontal="center" vertical="center" wrapText="1"/>
    </xf>
    <xf numFmtId="0" fontId="41" fillId="18" borderId="2" xfId="0" applyFont="1" applyFill="1" applyBorder="1" applyAlignment="1">
      <alignment horizontal="center" vertical="center"/>
    </xf>
    <xf numFmtId="0" fontId="41" fillId="18" borderId="10" xfId="0" applyFont="1" applyFill="1" applyBorder="1" applyAlignment="1">
      <alignment horizontal="center" vertical="center"/>
    </xf>
    <xf numFmtId="0" fontId="41" fillId="18" borderId="3" xfId="0" applyFont="1" applyFill="1" applyBorder="1" applyAlignment="1">
      <alignment horizontal="center" vertical="center" readingOrder="1"/>
    </xf>
    <xf numFmtId="0" fontId="41" fillId="18" borderId="3" xfId="0" applyFont="1" applyFill="1" applyBorder="1" applyAlignment="1">
      <alignment horizontal="center" vertical="center"/>
    </xf>
    <xf numFmtId="0" fontId="39" fillId="0" borderId="0" xfId="0" applyFont="1" applyAlignment="1">
      <alignment horizontal="left"/>
    </xf>
    <xf numFmtId="0" fontId="50" fillId="18" borderId="14" xfId="0" applyFont="1" applyFill="1" applyBorder="1" applyAlignment="1">
      <alignment horizontal="center" vertical="center" readingOrder="1"/>
    </xf>
    <xf numFmtId="0" fontId="50" fillId="18" borderId="16" xfId="0" applyFont="1" applyFill="1" applyBorder="1" applyAlignment="1">
      <alignment horizontal="center" vertical="center" readingOrder="1"/>
    </xf>
    <xf numFmtId="0" fontId="50" fillId="18" borderId="15" xfId="0" applyFont="1" applyFill="1" applyBorder="1" applyAlignment="1">
      <alignment horizontal="center" vertical="center" readingOrder="1"/>
    </xf>
    <xf numFmtId="0" fontId="40" fillId="18" borderId="3" xfId="0" applyFont="1" applyFill="1" applyBorder="1" applyAlignment="1">
      <alignment horizontal="center" vertical="center" wrapText="1"/>
    </xf>
    <xf numFmtId="0" fontId="38" fillId="0" borderId="0" xfId="0" applyFont="1" applyAlignment="1">
      <alignment horizontal="left"/>
    </xf>
    <xf numFmtId="0" fontId="39" fillId="0" borderId="1" xfId="0" applyFont="1" applyBorder="1" applyAlignment="1">
      <alignment horizontal="left"/>
    </xf>
    <xf numFmtId="0" fontId="41" fillId="18" borderId="6" xfId="0" applyFont="1" applyFill="1" applyBorder="1" applyAlignment="1">
      <alignment horizontal="center" vertical="center" wrapText="1"/>
    </xf>
    <xf numFmtId="0" fontId="41" fillId="18" borderId="7" xfId="0" applyFont="1" applyFill="1" applyBorder="1" applyAlignment="1">
      <alignment horizontal="center" vertical="center" wrapText="1"/>
    </xf>
    <xf numFmtId="0" fontId="41" fillId="18" borderId="8" xfId="0" applyFont="1" applyFill="1" applyBorder="1" applyAlignment="1">
      <alignment horizontal="center" vertical="center" wrapText="1"/>
    </xf>
    <xf numFmtId="0" fontId="50" fillId="18" borderId="2" xfId="0" applyFont="1" applyFill="1" applyBorder="1" applyAlignment="1">
      <alignment horizontal="center" vertical="center" readingOrder="1"/>
    </xf>
    <xf numFmtId="0" fontId="50" fillId="18" borderId="10" xfId="0" applyFont="1" applyFill="1" applyBorder="1" applyAlignment="1">
      <alignment horizontal="center" vertical="center" readingOrder="1"/>
    </xf>
    <xf numFmtId="0" fontId="50" fillId="18" borderId="3" xfId="0" applyFont="1" applyFill="1" applyBorder="1" applyAlignment="1">
      <alignment horizontal="center" vertical="center" wrapText="1" readingOrder="1"/>
    </xf>
    <xf numFmtId="0" fontId="50" fillId="18" borderId="3" xfId="0" applyFont="1" applyFill="1" applyBorder="1" applyAlignment="1">
      <alignment horizontal="center" vertical="center" readingOrder="1"/>
    </xf>
    <xf numFmtId="0" fontId="48" fillId="0" borderId="3" xfId="0" applyFont="1" applyBorder="1" applyAlignment="1">
      <alignment horizontal="center" vertical="center" wrapText="1"/>
    </xf>
    <xf numFmtId="0" fontId="48" fillId="0" borderId="2" xfId="0" applyFont="1" applyBorder="1" applyAlignment="1">
      <alignment horizontal="center" vertical="center" wrapText="1"/>
    </xf>
    <xf numFmtId="0" fontId="48" fillId="0" borderId="9" xfId="0" applyFont="1" applyBorder="1" applyAlignment="1">
      <alignment horizontal="center" vertical="center" wrapText="1"/>
    </xf>
    <xf numFmtId="0" fontId="48" fillId="0" borderId="10" xfId="0" applyFont="1" applyBorder="1" applyAlignment="1">
      <alignment horizontal="center" vertical="center" wrapText="1"/>
    </xf>
    <xf numFmtId="0" fontId="56" fillId="0" borderId="0" xfId="0" applyFont="1" applyAlignment="1">
      <alignment horizontal="left"/>
    </xf>
    <xf numFmtId="0" fontId="60" fillId="0" borderId="0" xfId="0" applyFont="1" applyAlignment="1">
      <alignment horizontal="left"/>
    </xf>
    <xf numFmtId="0" fontId="48" fillId="0" borderId="3" xfId="0" applyFont="1" applyBorder="1" applyAlignment="1">
      <alignment horizontal="center" vertical="center" wrapText="1" readingOrder="1"/>
    </xf>
    <xf numFmtId="0" fontId="48" fillId="0" borderId="2" xfId="0" applyFont="1" applyBorder="1" applyAlignment="1">
      <alignment horizontal="center" vertical="center" wrapText="1" readingOrder="1"/>
    </xf>
    <xf numFmtId="0" fontId="48" fillId="0" borderId="9" xfId="0" applyFont="1" applyBorder="1" applyAlignment="1">
      <alignment horizontal="center" vertical="center" wrapText="1" readingOrder="1"/>
    </xf>
    <xf numFmtId="0" fontId="48" fillId="0" borderId="10" xfId="0" applyFont="1" applyBorder="1" applyAlignment="1">
      <alignment horizontal="center" vertical="center" wrapText="1" readingOrder="1"/>
    </xf>
    <xf numFmtId="0" fontId="55" fillId="0" borderId="0" xfId="0" applyFont="1" applyAlignment="1">
      <alignment horizontal="center"/>
    </xf>
    <xf numFmtId="0" fontId="50" fillId="18" borderId="2" xfId="0" applyFont="1" applyFill="1" applyBorder="1" applyAlignment="1">
      <alignment horizontal="center" vertical="center" wrapText="1" readingOrder="1"/>
    </xf>
    <xf numFmtId="0" fontId="50" fillId="18" borderId="10" xfId="0" applyFont="1" applyFill="1" applyBorder="1" applyAlignment="1">
      <alignment horizontal="center" vertical="center" wrapText="1" readingOrder="1"/>
    </xf>
    <xf numFmtId="0" fontId="6" fillId="0" borderId="3" xfId="0" applyFont="1" applyFill="1" applyBorder="1" applyAlignment="1">
      <alignment horizontal="center" vertical="center"/>
    </xf>
    <xf numFmtId="0" fontId="7" fillId="0" borderId="0" xfId="0" applyFont="1" applyFill="1" applyAlignment="1">
      <alignment horizontal="center" vertical="center" wrapText="1"/>
    </xf>
    <xf numFmtId="0" fontId="7" fillId="0" borderId="0" xfId="0" applyFont="1" applyFill="1" applyAlignment="1">
      <alignment horizontal="center" vertical="center"/>
    </xf>
    <xf numFmtId="0" fontId="6" fillId="3" borderId="3" xfId="0" applyFont="1" applyFill="1" applyBorder="1" applyAlignment="1">
      <alignment horizontal="center" vertical="center" wrapText="1"/>
    </xf>
    <xf numFmtId="0" fontId="6" fillId="3" borderId="3" xfId="0" applyFont="1" applyFill="1" applyBorder="1" applyAlignment="1">
      <alignment horizontal="center" vertical="center"/>
    </xf>
    <xf numFmtId="43" fontId="6" fillId="3" borderId="3" xfId="1" applyFont="1" applyFill="1" applyBorder="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5" fillId="11" borderId="2" xfId="0" quotePrefix="1" applyFont="1" applyFill="1" applyBorder="1" applyAlignment="1">
      <alignment horizontal="left" vertical="center" wrapText="1"/>
    </xf>
    <xf numFmtId="0" fontId="5" fillId="11" borderId="10" xfId="0" quotePrefix="1" applyFont="1" applyFill="1" applyBorder="1" applyAlignment="1">
      <alignment horizontal="left" vertical="center" wrapText="1"/>
    </xf>
    <xf numFmtId="0" fontId="11" fillId="0" borderId="1" xfId="0" applyFont="1" applyBorder="1" applyAlignment="1">
      <alignment horizontal="center" vertical="center"/>
    </xf>
    <xf numFmtId="0" fontId="37" fillId="0" borderId="3" xfId="0" applyFont="1" applyBorder="1"/>
    <xf numFmtId="0" fontId="39" fillId="19" borderId="3" xfId="0" applyFont="1" applyFill="1" applyBorder="1" applyAlignment="1">
      <alignment horizontal="center" vertical="center"/>
    </xf>
    <xf numFmtId="0" fontId="39" fillId="19" borderId="3" xfId="0" applyFont="1" applyFill="1" applyBorder="1" applyAlignment="1">
      <alignment horizontal="center" vertical="center"/>
    </xf>
    <xf numFmtId="0" fontId="39" fillId="19" borderId="6" xfId="0" applyFont="1" applyFill="1" applyBorder="1" applyAlignment="1">
      <alignment horizontal="center" vertical="center"/>
    </xf>
    <xf numFmtId="0" fontId="39" fillId="19" borderId="8" xfId="0" applyFont="1" applyFill="1" applyBorder="1" applyAlignment="1">
      <alignment horizontal="center" vertical="center"/>
    </xf>
    <xf numFmtId="0" fontId="39" fillId="19" borderId="7" xfId="0" applyFont="1" applyFill="1" applyBorder="1" applyAlignment="1">
      <alignment horizontal="center" vertical="center"/>
    </xf>
    <xf numFmtId="0" fontId="39" fillId="0" borderId="3" xfId="0" applyFont="1" applyFill="1" applyBorder="1" applyAlignment="1">
      <alignment horizontal="left" vertical="center"/>
    </xf>
    <xf numFmtId="0" fontId="39" fillId="0" borderId="3" xfId="0" applyFont="1" applyFill="1" applyBorder="1" applyAlignment="1">
      <alignment horizontal="center" vertical="center"/>
    </xf>
    <xf numFmtId="43" fontId="37" fillId="0" borderId="3" xfId="0" applyNumberFormat="1" applyFont="1" applyBorder="1"/>
    <xf numFmtId="43" fontId="37" fillId="3" borderId="3" xfId="0" applyNumberFormat="1" applyFont="1" applyFill="1" applyBorder="1"/>
  </cellXfs>
  <cellStyles count="290">
    <cellStyle name="Comma" xfId="1" builtinId="3"/>
    <cellStyle name="Comma [0] 2" xfId="267"/>
    <cellStyle name="Comma 10" xfId="5"/>
    <cellStyle name="Comma 10 10" xfId="286"/>
    <cellStyle name="Comma 10 2" xfId="13"/>
    <cellStyle name="Comma 10 2 2" xfId="28"/>
    <cellStyle name="Comma 10 3" xfId="288"/>
    <cellStyle name="Comma 10 4" xfId="14"/>
    <cellStyle name="Comma 101 8" xfId="72"/>
    <cellStyle name="Comma 101 8 2" xfId="82"/>
    <cellStyle name="Comma 101 8 2 2" xfId="107"/>
    <cellStyle name="Comma 101 8 2 2 2" xfId="157"/>
    <cellStyle name="Comma 101 8 2 2 2 2" xfId="257"/>
    <cellStyle name="Comma 101 8 2 2 3" xfId="207"/>
    <cellStyle name="Comma 101 8 2 3" xfId="132"/>
    <cellStyle name="Comma 101 8 2 3 2" xfId="232"/>
    <cellStyle name="Comma 101 8 2 4" xfId="182"/>
    <cellStyle name="Comma 101 8 3" xfId="100"/>
    <cellStyle name="Comma 101 8 3 2" xfId="150"/>
    <cellStyle name="Comma 101 8 3 2 2" xfId="250"/>
    <cellStyle name="Comma 101 8 3 3" xfId="200"/>
    <cellStyle name="Comma 101 8 4" xfId="125"/>
    <cellStyle name="Comma 101 8 4 2" xfId="225"/>
    <cellStyle name="Comma 101 8 5" xfId="175"/>
    <cellStyle name="Comma 11 10 15" xfId="69"/>
    <cellStyle name="Comma 11 10 15 2" xfId="80"/>
    <cellStyle name="Comma 11 10 15 2 2" xfId="105"/>
    <cellStyle name="Comma 11 10 15 2 2 2" xfId="155"/>
    <cellStyle name="Comma 11 10 15 2 2 2 2" xfId="255"/>
    <cellStyle name="Comma 11 10 15 2 2 3" xfId="205"/>
    <cellStyle name="Comma 11 10 15 2 3" xfId="130"/>
    <cellStyle name="Comma 11 10 15 2 3 2" xfId="230"/>
    <cellStyle name="Comma 11 10 15 2 4" xfId="180"/>
    <cellStyle name="Comma 11 10 15 3" xfId="98"/>
    <cellStyle name="Comma 11 10 15 3 2" xfId="148"/>
    <cellStyle name="Comma 11 10 15 3 2 2" xfId="248"/>
    <cellStyle name="Comma 11 10 15 3 3" xfId="198"/>
    <cellStyle name="Comma 11 10 15 4" xfId="123"/>
    <cellStyle name="Comma 11 10 15 4 2" xfId="223"/>
    <cellStyle name="Comma 11 10 15 5" xfId="173"/>
    <cellStyle name="Comma 11 2 2" xfId="62"/>
    <cellStyle name="Comma 13" xfId="3"/>
    <cellStyle name="Comma 2" xfId="46"/>
    <cellStyle name="Comma 2 10 3 2" xfId="261"/>
    <cellStyle name="Comma 2 2" xfId="10"/>
    <cellStyle name="Comma 2 2 2" xfId="12"/>
    <cellStyle name="Comma 2 2 2 2" xfId="42"/>
    <cellStyle name="Comma 2 25" xfId="57"/>
    <cellStyle name="Comma 2 26 3" xfId="264"/>
    <cellStyle name="Comma 2 3" xfId="52"/>
    <cellStyle name="Comma 2 3 2" xfId="71"/>
    <cellStyle name="Comma 2 3 2 2" xfId="81"/>
    <cellStyle name="Comma 2 3 2 2 2" xfId="106"/>
    <cellStyle name="Comma 2 3 2 2 2 2" xfId="156"/>
    <cellStyle name="Comma 2 3 2 2 2 2 2" xfId="256"/>
    <cellStyle name="Comma 2 3 2 2 2 3" xfId="206"/>
    <cellStyle name="Comma 2 3 2 2 3" xfId="131"/>
    <cellStyle name="Comma 2 3 2 2 3 2" xfId="231"/>
    <cellStyle name="Comma 2 3 2 2 4" xfId="181"/>
    <cellStyle name="Comma 2 3 2 3" xfId="99"/>
    <cellStyle name="Comma 2 3 2 3 2" xfId="149"/>
    <cellStyle name="Comma 2 3 2 3 2 2" xfId="249"/>
    <cellStyle name="Comma 2 3 2 3 3" xfId="199"/>
    <cellStyle name="Comma 2 3 2 4" xfId="124"/>
    <cellStyle name="Comma 2 3 2 4 2" xfId="224"/>
    <cellStyle name="Comma 2 3 2 5" xfId="174"/>
    <cellStyle name="Comma 2 4" xfId="63"/>
    <cellStyle name="Comma 2 5" xfId="284"/>
    <cellStyle name="Comma 3" xfId="6"/>
    <cellStyle name="Comma 3 2" xfId="53"/>
    <cellStyle name="Comma 3 2 2" xfId="9"/>
    <cellStyle name="Comma 3 3" xfId="65"/>
    <cellStyle name="Comma 3 3 2" xfId="54"/>
    <cellStyle name="Comma 3 3 2 2" xfId="78"/>
    <cellStyle name="Comma 3 3 2 2 2" xfId="103"/>
    <cellStyle name="Comma 3 3 2 2 2 2" xfId="153"/>
    <cellStyle name="Comma 3 3 2 2 2 2 2" xfId="253"/>
    <cellStyle name="Comma 3 3 2 2 2 3" xfId="203"/>
    <cellStyle name="Comma 3 3 2 2 3" xfId="128"/>
    <cellStyle name="Comma 3 3 2 2 3 2" xfId="228"/>
    <cellStyle name="Comma 3 3 2 2 4" xfId="178"/>
    <cellStyle name="Comma 3 3 3" xfId="96"/>
    <cellStyle name="Comma 3 3 3 2" xfId="146"/>
    <cellStyle name="Comma 3 3 3 2 2" xfId="246"/>
    <cellStyle name="Comma 3 3 3 3" xfId="196"/>
    <cellStyle name="Comma 3 3 4" xfId="121"/>
    <cellStyle name="Comma 3 3 4 2" xfId="221"/>
    <cellStyle name="Comma 3 3 5" xfId="171"/>
    <cellStyle name="Comma 3 4" xfId="273"/>
    <cellStyle name="Comma 37" xfId="26"/>
    <cellStyle name="Comma 4" xfId="45"/>
    <cellStyle name="Comma 5" xfId="40"/>
    <cellStyle name="Ledger 17 x 11 in" xfId="276"/>
    <cellStyle name="Normal" xfId="0" builtinId="0"/>
    <cellStyle name="Normal 10" xfId="271"/>
    <cellStyle name="Normal 10 3" xfId="274"/>
    <cellStyle name="Normal 11 2" xfId="7"/>
    <cellStyle name="Normal 11 2 2" xfId="51"/>
    <cellStyle name="Normal 161" xfId="260"/>
    <cellStyle name="Normal 2" xfId="11"/>
    <cellStyle name="Normal 2 10" xfId="24"/>
    <cellStyle name="Normal 2 11" xfId="266"/>
    <cellStyle name="Normal 2 15" xfId="272"/>
    <cellStyle name="Normal 2 19" xfId="75"/>
    <cellStyle name="Normal 2 19 2" xfId="41"/>
    <cellStyle name="Normal 2 19 2 2" xfId="83"/>
    <cellStyle name="Normal 2 19 2 2 2" xfId="108"/>
    <cellStyle name="Normal 2 19 2 2 2 2" xfId="158"/>
    <cellStyle name="Normal 2 19 2 2 2 2 2" xfId="258"/>
    <cellStyle name="Normal 2 19 2 2 2 3" xfId="208"/>
    <cellStyle name="Normal 2 19 2 2 3" xfId="133"/>
    <cellStyle name="Normal 2 19 2 2 3 2" xfId="233"/>
    <cellStyle name="Normal 2 19 2 2 4" xfId="183"/>
    <cellStyle name="Normal 2 19 3" xfId="101"/>
    <cellStyle name="Normal 2 19 3 2" xfId="151"/>
    <cellStyle name="Normal 2 19 3 2 2" xfId="251"/>
    <cellStyle name="Normal 2 19 3 3" xfId="201"/>
    <cellStyle name="Normal 2 19 4" xfId="126"/>
    <cellStyle name="Normal 2 19 4 2" xfId="226"/>
    <cellStyle name="Normal 2 19 5" xfId="176"/>
    <cellStyle name="Normal 2 2" xfId="25"/>
    <cellStyle name="Normal 2 2 10" xfId="34"/>
    <cellStyle name="Normal 2 2 10 2 2" xfId="43"/>
    <cellStyle name="Normal 2 2 10 3" xfId="259"/>
    <cellStyle name="Normal 2 2 13" xfId="22"/>
    <cellStyle name="Normal 2 2 13 2" xfId="35"/>
    <cellStyle name="Normal 2 2 14" xfId="32"/>
    <cellStyle name="Normal 2 2 14 2" xfId="94"/>
    <cellStyle name="Normal 2 2 14 2 2" xfId="144"/>
    <cellStyle name="Normal 2 2 14 2 2 2" xfId="244"/>
    <cellStyle name="Normal 2 2 14 2 3" xfId="194"/>
    <cellStyle name="Normal 2 2 14 3" xfId="119"/>
    <cellStyle name="Normal 2 2 14 3 2" xfId="219"/>
    <cellStyle name="Normal 2 2 14 4" xfId="169"/>
    <cellStyle name="Normal 2 2 16" xfId="279"/>
    <cellStyle name="Normal 2 2 2" xfId="263"/>
    <cellStyle name="Normal 2 2 2 19" xfId="269"/>
    <cellStyle name="Normal 2 2 2 19 2" xfId="278"/>
    <cellStyle name="Normal 2 2 2 3" xfId="64"/>
    <cellStyle name="Normal 2 2 2 3 2" xfId="77"/>
    <cellStyle name="Normal 2 2 2 3 2 2" xfId="102"/>
    <cellStyle name="Normal 2 2 2 3 2 2 2" xfId="152"/>
    <cellStyle name="Normal 2 2 2 3 2 2 2 2" xfId="252"/>
    <cellStyle name="Normal 2 2 2 3 2 2 3" xfId="202"/>
    <cellStyle name="Normal 2 2 2 3 2 3" xfId="127"/>
    <cellStyle name="Normal 2 2 2 3 2 3 2" xfId="227"/>
    <cellStyle name="Normal 2 2 2 3 2 4" xfId="177"/>
    <cellStyle name="Normal 2 2 2 3 3" xfId="95"/>
    <cellStyle name="Normal 2 2 2 3 3 2" xfId="145"/>
    <cellStyle name="Normal 2 2 2 3 3 2 2" xfId="245"/>
    <cellStyle name="Normal 2 2 2 3 3 3" xfId="195"/>
    <cellStyle name="Normal 2 2 2 3 4" xfId="120"/>
    <cellStyle name="Normal 2 2 2 3 4 2" xfId="220"/>
    <cellStyle name="Normal 2 2 2 3 5" xfId="170"/>
    <cellStyle name="Normal 2 2 26" xfId="55"/>
    <cellStyle name="Normal 2 2 33" xfId="277"/>
    <cellStyle name="Normal 2 2 6" xfId="47"/>
    <cellStyle name="Normal 2 2 8" xfId="48"/>
    <cellStyle name="Normal 2 3" xfId="39"/>
    <cellStyle name="Normal 2 3 2 2 2" xfId="4"/>
    <cellStyle name="Normal 2 4" xfId="262"/>
    <cellStyle name="Normal 2 5" xfId="281"/>
    <cellStyle name="Normal 2 6 2" xfId="265"/>
    <cellStyle name="Normal 2_Tong muc dau tu" xfId="287"/>
    <cellStyle name="Normal 21" xfId="20"/>
    <cellStyle name="Normal 21 2" xfId="29"/>
    <cellStyle name="Normal 21 2 2" xfId="92"/>
    <cellStyle name="Normal 21 2 2 2" xfId="142"/>
    <cellStyle name="Normal 21 2 2 2 2" xfId="242"/>
    <cellStyle name="Normal 21 2 2 3" xfId="192"/>
    <cellStyle name="Normal 21 2 3" xfId="117"/>
    <cellStyle name="Normal 21 2 3 2" xfId="217"/>
    <cellStyle name="Normal 21 2 4" xfId="167"/>
    <cellStyle name="Normal 21 3" xfId="68"/>
    <cellStyle name="Normal 21 3 2" xfId="79"/>
    <cellStyle name="Normal 21 3 2 2" xfId="104"/>
    <cellStyle name="Normal 21 3 2 2 2" xfId="154"/>
    <cellStyle name="Normal 21 3 2 2 2 2" xfId="254"/>
    <cellStyle name="Normal 21 3 2 2 3" xfId="204"/>
    <cellStyle name="Normal 21 3 2 3" xfId="129"/>
    <cellStyle name="Normal 21 3 2 3 2" xfId="229"/>
    <cellStyle name="Normal 21 3 2 4" xfId="179"/>
    <cellStyle name="Normal 21 3 3" xfId="97"/>
    <cellStyle name="Normal 21 3 3 2" xfId="147"/>
    <cellStyle name="Normal 21 3 3 2 2" xfId="247"/>
    <cellStyle name="Normal 21 3 3 3" xfId="197"/>
    <cellStyle name="Normal 21 3 4" xfId="122"/>
    <cellStyle name="Normal 21 3 4 2" xfId="222"/>
    <cellStyle name="Normal 21 3 5" xfId="172"/>
    <cellStyle name="Normal 21 4" xfId="90"/>
    <cellStyle name="Normal 21 4 2" xfId="140"/>
    <cellStyle name="Normal 21 4 2 2" xfId="240"/>
    <cellStyle name="Normal 21 4 3" xfId="190"/>
    <cellStyle name="Normal 21 5" xfId="115"/>
    <cellStyle name="Normal 21 5 2" xfId="215"/>
    <cellStyle name="Normal 21 6" xfId="165"/>
    <cellStyle name="Normal 278" xfId="282"/>
    <cellStyle name="Normal 3" xfId="8"/>
    <cellStyle name="Normal 3 19" xfId="21"/>
    <cellStyle name="Normal 3 2" xfId="30"/>
    <cellStyle name="Normal 3 2 2" xfId="66"/>
    <cellStyle name="Normal 3 2 2 2" xfId="268"/>
    <cellStyle name="Normal 3 2 3" xfId="93"/>
    <cellStyle name="Normal 3 2 3 2" xfId="143"/>
    <cellStyle name="Normal 3 2 3 2 2" xfId="243"/>
    <cellStyle name="Normal 3 2 3 3" xfId="193"/>
    <cellStyle name="Normal 3 2 4" xfId="118"/>
    <cellStyle name="Normal 3 2 4 2" xfId="218"/>
    <cellStyle name="Normal 3 2 5" xfId="168"/>
    <cellStyle name="Normal 3 2 6" xfId="289"/>
    <cellStyle name="Normal 3 3" xfId="50"/>
    <cellStyle name="Normal 3 3 2" xfId="270"/>
    <cellStyle name="Normal 3 4" xfId="84"/>
    <cellStyle name="Normal 3 4 2" xfId="134"/>
    <cellStyle name="Normal 3 4 2 2" xfId="234"/>
    <cellStyle name="Normal 3 4 3" xfId="184"/>
    <cellStyle name="Normal 3 5" xfId="109"/>
    <cellStyle name="Normal 3 5 2" xfId="209"/>
    <cellStyle name="Normal 3 6" xfId="159"/>
    <cellStyle name="Normal 38" xfId="59"/>
    <cellStyle name="Normal 38 2" xfId="61"/>
    <cellStyle name="Normal 39" xfId="76"/>
    <cellStyle name="Normal 4" xfId="23"/>
    <cellStyle name="Normal 4 2" xfId="70"/>
    <cellStyle name="Normal 4 3" xfId="91"/>
    <cellStyle name="Normal 4 3 2" xfId="141"/>
    <cellStyle name="Normal 4 3 2 2" xfId="241"/>
    <cellStyle name="Normal 4 3 3" xfId="191"/>
    <cellStyle name="Normal 4 4" xfId="116"/>
    <cellStyle name="Normal 4 4 2" xfId="216"/>
    <cellStyle name="Normal 4 5" xfId="166"/>
    <cellStyle name="Normal 408" xfId="15"/>
    <cellStyle name="Normal 408 2" xfId="85"/>
    <cellStyle name="Normal 408 2 2" xfId="135"/>
    <cellStyle name="Normal 408 2 2 2" xfId="235"/>
    <cellStyle name="Normal 408 2 3" xfId="185"/>
    <cellStyle name="Normal 408 3" xfId="110"/>
    <cellStyle name="Normal 408 3 2" xfId="210"/>
    <cellStyle name="Normal 408 4" xfId="160"/>
    <cellStyle name="Normal 409 2 3" xfId="38"/>
    <cellStyle name="Normal 41" xfId="31"/>
    <cellStyle name="Normal 41 2" xfId="280"/>
    <cellStyle name="Normal 410" xfId="16"/>
    <cellStyle name="Normal 410 2" xfId="86"/>
    <cellStyle name="Normal 410 2 2" xfId="136"/>
    <cellStyle name="Normal 410 2 2 2" xfId="236"/>
    <cellStyle name="Normal 410 2 3" xfId="186"/>
    <cellStyle name="Normal 410 3" xfId="111"/>
    <cellStyle name="Normal 410 3 2" xfId="211"/>
    <cellStyle name="Normal 410 4" xfId="161"/>
    <cellStyle name="Normal 411" xfId="17"/>
    <cellStyle name="Normal 411 2" xfId="87"/>
    <cellStyle name="Normal 411 2 2" xfId="137"/>
    <cellStyle name="Normal 411 2 2 2" xfId="237"/>
    <cellStyle name="Normal 411 2 3" xfId="187"/>
    <cellStyle name="Normal 411 3" xfId="112"/>
    <cellStyle name="Normal 411 3 2" xfId="212"/>
    <cellStyle name="Normal 411 4" xfId="162"/>
    <cellStyle name="Normal 412" xfId="18"/>
    <cellStyle name="Normal 412 2" xfId="88"/>
    <cellStyle name="Normal 412 2 2" xfId="138"/>
    <cellStyle name="Normal 412 2 2 2" xfId="238"/>
    <cellStyle name="Normal 412 2 3" xfId="188"/>
    <cellStyle name="Normal 412 3" xfId="113"/>
    <cellStyle name="Normal 412 3 2" xfId="213"/>
    <cellStyle name="Normal 412 4" xfId="163"/>
    <cellStyle name="Normal 413" xfId="19"/>
    <cellStyle name="Normal 413 2" xfId="89"/>
    <cellStyle name="Normal 413 2 2" xfId="139"/>
    <cellStyle name="Normal 413 2 2 2" xfId="239"/>
    <cellStyle name="Normal 413 2 3" xfId="189"/>
    <cellStyle name="Normal 413 3" xfId="114"/>
    <cellStyle name="Normal 413 3 2" xfId="214"/>
    <cellStyle name="Normal 413 4" xfId="164"/>
    <cellStyle name="Normal 415" xfId="36"/>
    <cellStyle name="Normal 415 3" xfId="37"/>
    <cellStyle name="Normal 42 2" xfId="56"/>
    <cellStyle name="Normal 42 2 2" xfId="58"/>
    <cellStyle name="Normal 428" xfId="49"/>
    <cellStyle name="Normal 44" xfId="285"/>
    <cellStyle name="Normal 5" xfId="73"/>
    <cellStyle name="Normal 6" xfId="283"/>
    <cellStyle name="Normal 65" xfId="44"/>
    <cellStyle name="Normal 7 3" xfId="74"/>
    <cellStyle name="Normal 8" xfId="33"/>
    <cellStyle name="Normal 9" xfId="275"/>
    <cellStyle name="Normal 96 2" xfId="67"/>
    <cellStyle name="Percent" xfId="2" builtinId="5"/>
    <cellStyle name="Percent 10" xfId="27"/>
    <cellStyle name="Percent 2 4" xfId="60"/>
  </cellStyles>
  <dxfs count="0"/>
  <tableStyles count="0" defaultTableStyle="TableStyleMedium2" defaultPivotStyle="PivotStyleLight16"/>
  <colors>
    <mruColors>
      <color rgb="FFFCE4D6"/>
      <color rgb="FF73DCF1"/>
      <color rgb="FF579BFF"/>
      <color rgb="FF0000FF"/>
      <color rgb="FF88BD67"/>
      <color rgb="FF9FC8E9"/>
      <color rgb="FFFF65D7"/>
      <color rgb="FFE3ABFF"/>
      <color rgb="FFCC66FF"/>
      <color rgb="FFEE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EE0033"/>
    <outlinePr summaryBelow="0" summaryRight="0"/>
    <pageSetUpPr fitToPage="1"/>
  </sheetPr>
  <dimension ref="A1:S16"/>
  <sheetViews>
    <sheetView zoomScaleNormal="100" workbookViewId="0">
      <pane xSplit="3" ySplit="7" topLeftCell="D8" activePane="bottomRight" state="frozen"/>
      <selection activeCell="AD1" sqref="AD1:AI1048576"/>
      <selection pane="topRight" activeCell="AD1" sqref="AD1:AI1048576"/>
      <selection pane="bottomLeft" activeCell="AD1" sqref="AD1:AI1048576"/>
      <selection pane="bottomRight" activeCell="B16" sqref="B16"/>
    </sheetView>
  </sheetViews>
  <sheetFormatPr defaultColWidth="9.28515625" defaultRowHeight="12.75" outlineLevelRow="1" outlineLevelCol="1" x14ac:dyDescent="0.25"/>
  <cols>
    <col min="1" max="1" width="6.140625" style="325" customWidth="1"/>
    <col min="2" max="2" width="62" style="326" customWidth="1"/>
    <col min="3" max="3" width="6.7109375" style="327" customWidth="1"/>
    <col min="4" max="5" width="16.7109375" style="52" customWidth="1" outlineLevel="1"/>
    <col min="6" max="6" width="11.42578125" style="52" customWidth="1" outlineLevel="1" collapsed="1"/>
    <col min="7" max="7" width="21.5703125" style="52" customWidth="1" outlineLevel="1"/>
    <col min="8" max="8" width="22.42578125" style="52" customWidth="1" outlineLevel="1"/>
    <col min="9" max="9" width="13.140625" style="328" customWidth="1"/>
    <col min="10" max="10" width="6.7109375" style="124" customWidth="1"/>
    <col min="11" max="11" width="7.7109375" style="124" customWidth="1" outlineLevel="1"/>
    <col min="12" max="12" width="4.5703125" style="124" customWidth="1" outlineLevel="1"/>
    <col min="13" max="13" width="12.5703125" style="124" customWidth="1" outlineLevel="1"/>
    <col min="14" max="14" width="10.140625" style="124" customWidth="1" outlineLevel="1"/>
    <col min="15" max="15" width="9.140625" style="120" customWidth="1" outlineLevel="1"/>
    <col min="16" max="16" width="57.140625" style="120" customWidth="1"/>
    <col min="17" max="17" width="16.42578125" style="120" customWidth="1"/>
    <col min="18" max="19" width="9.28515625" style="120" customWidth="1"/>
    <col min="20" max="25" width="9.28515625" style="4" customWidth="1"/>
    <col min="26" max="16384" width="9.28515625" style="4"/>
  </cols>
  <sheetData>
    <row r="1" spans="1:19" ht="39.950000000000003" customHeight="1" x14ac:dyDescent="0.25">
      <c r="A1" s="598" t="s">
        <v>166</v>
      </c>
      <c r="B1" s="598"/>
      <c r="C1" s="598"/>
      <c r="D1" s="598"/>
      <c r="E1" s="598"/>
      <c r="F1" s="598"/>
      <c r="G1" s="598"/>
      <c r="H1" s="598"/>
      <c r="I1" s="598"/>
      <c r="O1" s="124"/>
      <c r="P1" s="591"/>
    </row>
    <row r="2" spans="1:19" s="115" customFormat="1" ht="6.6" customHeight="1" x14ac:dyDescent="0.25">
      <c r="A2" s="593"/>
      <c r="B2" s="593"/>
      <c r="C2" s="297"/>
      <c r="D2" s="298"/>
      <c r="E2" s="298"/>
      <c r="F2" s="298"/>
      <c r="G2" s="298"/>
      <c r="H2" s="298"/>
      <c r="I2" s="299"/>
      <c r="J2" s="300"/>
      <c r="K2" s="300"/>
      <c r="L2" s="300"/>
      <c r="M2" s="300"/>
      <c r="N2" s="300"/>
      <c r="O2" s="301"/>
      <c r="P2" s="592"/>
      <c r="Q2" s="301"/>
      <c r="R2" s="301"/>
      <c r="S2" s="301"/>
    </row>
    <row r="3" spans="1:19" s="116" customFormat="1" x14ac:dyDescent="0.25">
      <c r="A3" s="594"/>
      <c r="B3" s="594"/>
      <c r="C3" s="302"/>
      <c r="D3" s="303"/>
      <c r="E3" s="303"/>
      <c r="F3" s="304"/>
      <c r="G3" s="605" t="s">
        <v>72</v>
      </c>
      <c r="H3" s="605"/>
      <c r="I3" s="305"/>
      <c r="J3" s="306" t="s">
        <v>72</v>
      </c>
      <c r="K3" s="306"/>
      <c r="L3" s="306"/>
      <c r="M3" s="300"/>
      <c r="N3" s="300"/>
      <c r="O3" s="306"/>
      <c r="P3" s="592"/>
      <c r="Q3" s="306"/>
      <c r="R3" s="306"/>
      <c r="S3" s="306"/>
    </row>
    <row r="4" spans="1:19" s="154" customFormat="1" ht="26.25" customHeight="1" x14ac:dyDescent="0.25">
      <c r="A4" s="599" t="s">
        <v>0</v>
      </c>
      <c r="B4" s="599" t="s">
        <v>1</v>
      </c>
      <c r="C4" s="602" t="s">
        <v>2</v>
      </c>
      <c r="D4" s="606" t="s">
        <v>167</v>
      </c>
      <c r="E4" s="607"/>
      <c r="F4" s="610" t="s">
        <v>63</v>
      </c>
      <c r="G4" s="612" t="s">
        <v>96</v>
      </c>
      <c r="H4" s="612"/>
      <c r="I4" s="595" t="s">
        <v>97</v>
      </c>
      <c r="J4" s="307" t="s">
        <v>43</v>
      </c>
      <c r="K4" s="307" t="s">
        <v>44</v>
      </c>
      <c r="L4" s="307" t="s">
        <v>45</v>
      </c>
      <c r="M4" s="308"/>
      <c r="N4" s="308"/>
      <c r="O4" s="308"/>
      <c r="P4" s="592"/>
      <c r="Q4" s="309"/>
      <c r="R4" s="309"/>
      <c r="S4" s="309"/>
    </row>
    <row r="5" spans="1:19" s="154" customFormat="1" ht="13.15" customHeight="1" x14ac:dyDescent="0.25">
      <c r="A5" s="600"/>
      <c r="B5" s="600"/>
      <c r="C5" s="603"/>
      <c r="D5" s="608"/>
      <c r="E5" s="609"/>
      <c r="F5" s="611"/>
      <c r="G5" s="612"/>
      <c r="H5" s="612"/>
      <c r="I5" s="596"/>
      <c r="J5" s="307"/>
      <c r="K5" s="307"/>
      <c r="L5" s="307"/>
      <c r="M5" s="308"/>
      <c r="N5" s="308"/>
      <c r="O5" s="308"/>
      <c r="P5" s="592"/>
      <c r="Q5" s="309"/>
      <c r="R5" s="309"/>
      <c r="S5" s="309"/>
    </row>
    <row r="6" spans="1:19" s="154" customFormat="1" ht="15" x14ac:dyDescent="0.25">
      <c r="A6" s="601"/>
      <c r="B6" s="601"/>
      <c r="C6" s="604"/>
      <c r="D6" s="155">
        <v>2027</v>
      </c>
      <c r="E6" s="155">
        <v>2028</v>
      </c>
      <c r="F6" s="181" t="s">
        <v>3</v>
      </c>
      <c r="G6" s="155">
        <v>2027</v>
      </c>
      <c r="H6" s="155">
        <v>2028</v>
      </c>
      <c r="I6" s="596"/>
      <c r="J6" s="307"/>
      <c r="K6" s="307"/>
      <c r="L6" s="307"/>
      <c r="M6" s="308"/>
      <c r="N6" s="308"/>
      <c r="O6" s="308"/>
      <c r="P6" s="592"/>
      <c r="Q6" s="309"/>
      <c r="R6" s="309"/>
      <c r="S6" s="309"/>
    </row>
    <row r="7" spans="1:19" s="156" customFormat="1" ht="15" outlineLevel="1" x14ac:dyDescent="0.25">
      <c r="A7" s="189"/>
      <c r="B7" s="311"/>
      <c r="C7" s="311">
        <v>6</v>
      </c>
      <c r="D7" s="312"/>
      <c r="E7" s="312"/>
      <c r="F7" s="188">
        <v>7</v>
      </c>
      <c r="G7" s="313">
        <f>SUBTOTAL(9,G8:G10)</f>
        <v>0</v>
      </c>
      <c r="H7" s="313">
        <f>SUBTOTAL(9,H8:H10)</f>
        <v>0</v>
      </c>
      <c r="I7" s="597"/>
      <c r="J7" s="308"/>
      <c r="K7" s="308"/>
      <c r="L7" s="308"/>
      <c r="M7" s="308"/>
      <c r="N7" s="308"/>
      <c r="O7" s="308"/>
      <c r="P7" s="592"/>
      <c r="Q7" s="308"/>
      <c r="R7" s="308"/>
      <c r="S7" s="308"/>
    </row>
    <row r="8" spans="1:19" s="157" customFormat="1" ht="15" x14ac:dyDescent="0.25">
      <c r="A8" s="314"/>
      <c r="B8" s="315" t="s">
        <v>164</v>
      </c>
      <c r="C8" s="314"/>
      <c r="D8" s="310"/>
      <c r="E8" s="310"/>
      <c r="F8" s="310"/>
      <c r="G8" s="193">
        <f>SUBTOTAL(9,G9:G16)</f>
        <v>0</v>
      </c>
      <c r="H8" s="193">
        <f>SUBTOTAL(9,H9:H16)</f>
        <v>0</v>
      </c>
      <c r="I8" s="192"/>
      <c r="J8" s="316"/>
      <c r="K8" s="308"/>
      <c r="L8" s="308"/>
      <c r="M8" s="308"/>
      <c r="N8" s="308"/>
      <c r="O8" s="317"/>
      <c r="P8" s="317"/>
      <c r="Q8" s="317"/>
      <c r="R8" s="317"/>
      <c r="S8" s="317"/>
    </row>
    <row r="9" spans="1:19" s="157" customFormat="1" ht="15" x14ac:dyDescent="0.25">
      <c r="A9" s="191" t="s">
        <v>52</v>
      </c>
      <c r="B9" s="318" t="s">
        <v>165</v>
      </c>
      <c r="C9" s="314"/>
      <c r="D9" s="310"/>
      <c r="E9" s="310"/>
      <c r="F9" s="310"/>
      <c r="G9" s="193">
        <f>SUBTOTAL(9,G10:G15)</f>
        <v>0</v>
      </c>
      <c r="H9" s="193">
        <f>SUBTOTAL(9,H10:H15)</f>
        <v>0</v>
      </c>
      <c r="I9" s="193"/>
      <c r="J9" s="308"/>
      <c r="K9" s="308"/>
      <c r="L9" s="308"/>
      <c r="M9" s="308"/>
      <c r="N9" s="308"/>
      <c r="O9" s="317"/>
      <c r="P9" s="317"/>
      <c r="Q9" s="317"/>
      <c r="R9" s="317"/>
      <c r="S9" s="317"/>
    </row>
    <row r="10" spans="1:19" s="160" customFormat="1" ht="14.25" x14ac:dyDescent="0.25">
      <c r="A10" s="344" t="s">
        <v>11</v>
      </c>
      <c r="B10" s="345" t="s">
        <v>12</v>
      </c>
      <c r="C10" s="346"/>
      <c r="D10" s="347"/>
      <c r="E10" s="347"/>
      <c r="F10" s="347"/>
      <c r="G10" s="347" t="e">
        <f>SUBTOTAL(9,#REF!)</f>
        <v>#REF!</v>
      </c>
      <c r="H10" s="347" t="e">
        <f>SUBTOTAL(9,#REF!)</f>
        <v>#REF!</v>
      </c>
      <c r="I10" s="193"/>
      <c r="J10" s="319"/>
      <c r="K10" s="319"/>
      <c r="L10" s="319"/>
      <c r="M10" s="320"/>
      <c r="N10" s="320"/>
      <c r="O10" s="320"/>
      <c r="P10" s="320"/>
      <c r="Q10" s="320"/>
      <c r="R10" s="320"/>
      <c r="S10" s="320"/>
    </row>
    <row r="11" spans="1:19" ht="14.25" x14ac:dyDescent="0.25">
      <c r="A11" s="339" t="s">
        <v>22</v>
      </c>
      <c r="B11" s="340" t="s">
        <v>13</v>
      </c>
      <c r="C11" s="341"/>
      <c r="D11" s="342"/>
      <c r="E11" s="342"/>
      <c r="F11" s="343"/>
      <c r="G11" s="342" t="e">
        <f>SUBTOTAL(9,#REF!)</f>
        <v>#REF!</v>
      </c>
      <c r="H11" s="342" t="e">
        <f>SUBTOTAL(9,#REF!)</f>
        <v>#REF!</v>
      </c>
      <c r="I11" s="321"/>
      <c r="J11" s="322"/>
      <c r="K11" s="323"/>
      <c r="L11" s="323"/>
    </row>
    <row r="12" spans="1:19" ht="15" x14ac:dyDescent="0.25">
      <c r="A12" s="183" t="s">
        <v>23</v>
      </c>
      <c r="B12" s="184" t="s">
        <v>19</v>
      </c>
      <c r="C12" s="185"/>
      <c r="D12" s="186"/>
      <c r="E12" s="186"/>
      <c r="F12" s="187"/>
      <c r="G12" s="186" t="e">
        <f>SUBTOTAL(9,#REF!)</f>
        <v>#REF!</v>
      </c>
      <c r="H12" s="186" t="e">
        <f>SUBTOTAL(9,#REF!)</f>
        <v>#REF!</v>
      </c>
      <c r="I12" s="194"/>
      <c r="J12" s="190"/>
      <c r="K12" s="324"/>
      <c r="L12" s="324"/>
    </row>
    <row r="13" spans="1:19" ht="15" x14ac:dyDescent="0.25">
      <c r="A13" s="334" t="s">
        <v>24</v>
      </c>
      <c r="B13" s="335" t="s">
        <v>186</v>
      </c>
      <c r="C13" s="336"/>
      <c r="D13" s="337"/>
      <c r="E13" s="337"/>
      <c r="F13" s="338"/>
      <c r="G13" s="337" t="e">
        <f>SUBTOTAL(9,#REF!)</f>
        <v>#REF!</v>
      </c>
      <c r="H13" s="337" t="e">
        <f>SUBTOTAL(9,#REF!)</f>
        <v>#REF!</v>
      </c>
      <c r="I13" s="194"/>
      <c r="J13" s="190"/>
      <c r="K13" s="195"/>
      <c r="L13" s="195"/>
    </row>
    <row r="14" spans="1:19" ht="15" x14ac:dyDescent="0.25">
      <c r="A14" s="196" t="s">
        <v>26</v>
      </c>
      <c r="B14" s="197" t="s">
        <v>16</v>
      </c>
      <c r="C14" s="158"/>
      <c r="D14" s="159"/>
      <c r="E14" s="159"/>
      <c r="F14" s="198"/>
      <c r="G14" s="159" t="e">
        <f>SUBTOTAL(9,#REF!)</f>
        <v>#REF!</v>
      </c>
      <c r="H14" s="159" t="e">
        <f>SUBTOTAL(9,#REF!)</f>
        <v>#REF!</v>
      </c>
      <c r="I14" s="194"/>
      <c r="J14" s="190"/>
      <c r="K14" s="195"/>
      <c r="L14" s="195"/>
    </row>
    <row r="15" spans="1:19" ht="15" x14ac:dyDescent="0.25">
      <c r="A15" s="329" t="s">
        <v>26</v>
      </c>
      <c r="B15" s="330" t="s">
        <v>5</v>
      </c>
      <c r="C15" s="331"/>
      <c r="D15" s="332"/>
      <c r="E15" s="332"/>
      <c r="F15" s="333"/>
      <c r="G15" s="332" t="e">
        <f>SUBTOTAL(9,#REF!)</f>
        <v>#REF!</v>
      </c>
      <c r="H15" s="332" t="e">
        <f>SUBTOTAL(9,#REF!)</f>
        <v>#REF!</v>
      </c>
      <c r="I15" s="194"/>
      <c r="J15" s="190"/>
      <c r="K15" s="195"/>
      <c r="L15" s="195"/>
    </row>
    <row r="16" spans="1:19" ht="15" x14ac:dyDescent="0.25">
      <c r="A16" s="349" t="s">
        <v>210</v>
      </c>
      <c r="B16" s="350" t="s">
        <v>211</v>
      </c>
      <c r="C16" s="351"/>
      <c r="D16" s="352"/>
      <c r="E16" s="352"/>
      <c r="F16" s="348"/>
      <c r="G16" s="352" t="e">
        <f>SUBTOTAL(9,#REF!)</f>
        <v>#REF!</v>
      </c>
      <c r="H16" s="352" t="e">
        <f>SUBTOTAL(9,#REF!)</f>
        <v>#REF!</v>
      </c>
      <c r="I16" s="194"/>
      <c r="J16" s="308"/>
      <c r="K16" s="319"/>
      <c r="L16" s="319"/>
    </row>
  </sheetData>
  <autoFilter ref="A7:Q16"/>
  <dataConsolidate/>
  <mergeCells count="11">
    <mergeCell ref="P1:P7"/>
    <mergeCell ref="A2:B3"/>
    <mergeCell ref="I4:I7"/>
    <mergeCell ref="A1:I1"/>
    <mergeCell ref="A4:A6"/>
    <mergeCell ref="B4:B6"/>
    <mergeCell ref="C4:C6"/>
    <mergeCell ref="G3:H3"/>
    <mergeCell ref="D4:E5"/>
    <mergeCell ref="F4:F5"/>
    <mergeCell ref="G4:H5"/>
  </mergeCells>
  <pageMargins left="0.4" right="0" top="0.28000000000000003" bottom="0" header="0.1" footer="0"/>
  <pageSetup paperSize="8" scale="85" fitToHeight="0" orientation="landscape"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Mã!$D$4:$D$6</xm:f>
          </x14:formula1>
          <xm:sqref>L1:L10</xm:sqref>
        </x14:dataValidation>
        <x14:dataValidation type="list" allowBlank="1" showInputMessage="1" showErrorMessage="1">
          <x14:formula1>
            <xm:f>Mã!$B$4:$B$13</xm:f>
          </x14:formula1>
          <xm:sqref>J1:J10</xm:sqref>
        </x14:dataValidation>
        <x14:dataValidation type="list" allowBlank="1" showInputMessage="1" showErrorMessage="1">
          <x14:formula1>
            <xm:f>Mã!$C$4:$C$33</xm:f>
          </x14:formula1>
          <xm:sqref>K10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0000FF"/>
    <outlinePr summaryBelow="0" summaryRight="0"/>
  </sheetPr>
  <dimension ref="A1:AG31"/>
  <sheetViews>
    <sheetView zoomScale="85" zoomScaleNormal="85" workbookViewId="0">
      <pane xSplit="3" ySplit="4" topLeftCell="D8" activePane="bottomRight" state="frozen"/>
      <selection pane="topRight" activeCell="D1" sqref="D1"/>
      <selection pane="bottomLeft" activeCell="A5" sqref="A5"/>
      <selection pane="bottomRight" activeCell="D7" sqref="D7"/>
    </sheetView>
  </sheetViews>
  <sheetFormatPr defaultColWidth="8.7109375" defaultRowHeight="12.75" outlineLevelRow="1" outlineLevelCol="2" x14ac:dyDescent="0.25"/>
  <cols>
    <col min="1" max="1" width="2.28515625" style="585" customWidth="1"/>
    <col min="2" max="2" width="26.42578125" style="4" customWidth="1"/>
    <col min="3" max="3" width="9.28515625" style="5" customWidth="1" outlineLevel="1"/>
    <col min="4" max="6" width="8" style="4" bestFit="1" customWidth="1" outlineLevel="2"/>
    <col min="7" max="7" width="8.85546875" style="4" customWidth="1" outlineLevel="2"/>
    <col min="8" max="8" width="11.140625" style="4" customWidth="1" outlineLevel="2"/>
    <col min="9" max="9" width="7.85546875" style="4" customWidth="1" outlineLevel="2"/>
    <col min="10" max="11" width="8.85546875" style="4" customWidth="1" outlineLevel="2"/>
    <col min="12" max="12" width="8.28515625" style="4" customWidth="1" outlineLevel="2"/>
    <col min="13" max="13" width="8.42578125" style="10" customWidth="1" outlineLevel="1"/>
    <col min="14" max="14" width="9.7109375" style="4" bestFit="1" customWidth="1" outlineLevel="1"/>
    <col min="15" max="15" width="8.5703125" style="4" customWidth="1" outlineLevel="2"/>
    <col min="16" max="16" width="8.42578125" style="4" customWidth="1" outlineLevel="2"/>
    <col min="17" max="17" width="9.7109375" style="4" customWidth="1" outlineLevel="2"/>
    <col min="18" max="19" width="8" style="4" customWidth="1" outlineLevel="2"/>
    <col min="20" max="20" width="9.28515625" style="4" customWidth="1" outlineLevel="2"/>
    <col min="21" max="21" width="8.85546875" style="4" customWidth="1" outlineLevel="2"/>
    <col min="22" max="22" width="8" style="4" customWidth="1" outlineLevel="2"/>
    <col min="23" max="23" width="7.7109375" style="4" customWidth="1" outlineLevel="2"/>
    <col min="24" max="24" width="7.140625" style="10" customWidth="1" outlineLevel="1"/>
    <col min="25" max="25" width="7.7109375" style="4" customWidth="1" outlineLevel="1"/>
    <col min="26" max="26" width="8.28515625" style="10" customWidth="1"/>
    <col min="27" max="27" width="9" style="4" bestFit="1" customWidth="1"/>
    <col min="28" max="32" width="8.7109375" style="4"/>
    <col min="33" max="33" width="8.7109375" style="5"/>
    <col min="34" max="16384" width="8.7109375" style="4"/>
  </cols>
  <sheetData>
    <row r="1" spans="1:33" x14ac:dyDescent="0.25">
      <c r="D1" s="42">
        <v>1000000</v>
      </c>
      <c r="H1" s="62"/>
      <c r="I1" s="62"/>
      <c r="Y1" s="10"/>
      <c r="AA1" s="10"/>
      <c r="AB1" s="10"/>
      <c r="AC1" s="10"/>
      <c r="AD1" s="10"/>
      <c r="AE1" s="10"/>
      <c r="AF1" s="10"/>
    </row>
    <row r="2" spans="1:33" ht="13.15" customHeight="1" x14ac:dyDescent="0.25">
      <c r="A2" s="586" t="s">
        <v>48</v>
      </c>
      <c r="B2" s="8" t="s">
        <v>33</v>
      </c>
      <c r="C2" s="43" t="s">
        <v>82</v>
      </c>
      <c r="D2" s="616" t="s">
        <v>141</v>
      </c>
      <c r="E2" s="617"/>
      <c r="F2" s="617"/>
      <c r="G2" s="617"/>
      <c r="H2" s="617"/>
      <c r="I2" s="617"/>
      <c r="J2" s="617"/>
      <c r="K2" s="617"/>
      <c r="L2" s="617"/>
      <c r="M2" s="618"/>
      <c r="N2" s="613" t="s">
        <v>142</v>
      </c>
      <c r="O2" s="614"/>
      <c r="P2" s="614"/>
      <c r="Q2" s="614"/>
      <c r="R2" s="614"/>
      <c r="S2" s="614"/>
      <c r="T2" s="614"/>
      <c r="U2" s="614"/>
      <c r="V2" s="614"/>
      <c r="W2" s="615"/>
      <c r="X2" s="616" t="s">
        <v>143</v>
      </c>
      <c r="Y2" s="617"/>
      <c r="Z2" s="617"/>
      <c r="AA2" s="617"/>
      <c r="AB2" s="617"/>
      <c r="AC2" s="617"/>
      <c r="AD2" s="617"/>
      <c r="AE2" s="617"/>
      <c r="AF2" s="618"/>
    </row>
    <row r="3" spans="1:33" ht="25.5" x14ac:dyDescent="0.25">
      <c r="A3" s="586"/>
      <c r="B3" s="8" t="s">
        <v>46</v>
      </c>
      <c r="C3" s="41" t="s">
        <v>44</v>
      </c>
      <c r="D3" s="55" t="s">
        <v>7</v>
      </c>
      <c r="E3" s="55" t="s">
        <v>14</v>
      </c>
      <c r="F3" s="55" t="s">
        <v>19</v>
      </c>
      <c r="G3" s="55" t="s">
        <v>21</v>
      </c>
      <c r="H3" s="55" t="s">
        <v>17</v>
      </c>
      <c r="I3" s="55" t="s">
        <v>317</v>
      </c>
      <c r="J3" s="55" t="s">
        <v>6</v>
      </c>
      <c r="K3" s="55" t="s">
        <v>9</v>
      </c>
      <c r="L3" s="56" t="s">
        <v>41</v>
      </c>
      <c r="M3" s="55" t="s">
        <v>42</v>
      </c>
      <c r="N3" s="57" t="s">
        <v>7</v>
      </c>
      <c r="O3" s="57" t="s">
        <v>14</v>
      </c>
      <c r="P3" s="57" t="s">
        <v>19</v>
      </c>
      <c r="Q3" s="57" t="s">
        <v>21</v>
      </c>
      <c r="R3" s="57" t="s">
        <v>17</v>
      </c>
      <c r="S3" s="57" t="s">
        <v>317</v>
      </c>
      <c r="T3" s="57" t="s">
        <v>6</v>
      </c>
      <c r="U3" s="57" t="s">
        <v>9</v>
      </c>
      <c r="V3" s="58" t="s">
        <v>41</v>
      </c>
      <c r="W3" s="57" t="s">
        <v>42</v>
      </c>
      <c r="X3" s="55" t="s">
        <v>7</v>
      </c>
      <c r="Y3" s="55" t="s">
        <v>14</v>
      </c>
      <c r="Z3" s="55" t="s">
        <v>19</v>
      </c>
      <c r="AA3" s="55" t="s">
        <v>21</v>
      </c>
      <c r="AB3" s="55" t="s">
        <v>17</v>
      </c>
      <c r="AC3" s="55" t="s">
        <v>317</v>
      </c>
      <c r="AD3" s="55" t="s">
        <v>6</v>
      </c>
      <c r="AE3" s="56" t="s">
        <v>41</v>
      </c>
      <c r="AF3" s="55" t="s">
        <v>42</v>
      </c>
    </row>
    <row r="4" spans="1:33" s="36" customFormat="1" outlineLevel="1" x14ac:dyDescent="0.25">
      <c r="A4" s="587" t="s">
        <v>49</v>
      </c>
      <c r="B4" s="78" t="s">
        <v>41</v>
      </c>
      <c r="C4" s="18"/>
      <c r="D4" s="177">
        <f>SUBTOTAL(9,D6:D30)</f>
        <v>0</v>
      </c>
      <c r="E4" s="177">
        <f>SUBTOTAL(9,E6:E30)</f>
        <v>0</v>
      </c>
      <c r="F4" s="161">
        <f>SUBTOTAL(9,F6:F30)</f>
        <v>0</v>
      </c>
      <c r="G4" s="177">
        <f>SUBTOTAL(9,G6:G31)</f>
        <v>0</v>
      </c>
      <c r="H4" s="161">
        <f>SUBTOTAL(9,H6:H30)</f>
        <v>0</v>
      </c>
      <c r="I4" s="161">
        <f>SUBTOTAL(9,I6:I30)</f>
        <v>0</v>
      </c>
      <c r="J4" s="177">
        <f>SUBTOTAL(9,J6:J30)</f>
        <v>0</v>
      </c>
      <c r="K4" s="177">
        <f>SUBTOTAL(9,K6:K30)</f>
        <v>0</v>
      </c>
      <c r="L4" s="177">
        <f>SUBTOTAL(9,L6:L31)</f>
        <v>0</v>
      </c>
      <c r="M4" s="102"/>
      <c r="N4" s="177">
        <f>SUBTOTAL(9,N6:N30)</f>
        <v>0</v>
      </c>
      <c r="O4" s="177">
        <f>SUBTOTAL(9,O6:O30)</f>
        <v>0</v>
      </c>
      <c r="P4" s="161">
        <f>SUBTOTAL(9,P6:P30)</f>
        <v>0</v>
      </c>
      <c r="Q4" s="177">
        <f>SUBTOTAL(9,Q6:Q31)</f>
        <v>0</v>
      </c>
      <c r="R4" s="161">
        <f>SUBTOTAL(9,R6:R30)</f>
        <v>0</v>
      </c>
      <c r="S4" s="161">
        <f>SUBTOTAL(9,S6:S30)</f>
        <v>0</v>
      </c>
      <c r="T4" s="177">
        <f>SUBTOTAL(9,T6:T30)</f>
        <v>0</v>
      </c>
      <c r="U4" s="177">
        <f>SUBTOTAL(9,U6:U30)</f>
        <v>0</v>
      </c>
      <c r="V4" s="178">
        <f>SUBTOTAL(9,V6:V30)</f>
        <v>0</v>
      </c>
      <c r="W4" s="168"/>
      <c r="X4" s="77">
        <f t="shared" ref="X4:AE4" si="0">SUBTOTAL(9,X6:X30)</f>
        <v>0</v>
      </c>
      <c r="Y4" s="77">
        <f t="shared" si="0"/>
        <v>0</v>
      </c>
      <c r="Z4" s="77">
        <f t="shared" si="0"/>
        <v>0</v>
      </c>
      <c r="AA4" s="77">
        <f t="shared" si="0"/>
        <v>0</v>
      </c>
      <c r="AB4" s="77">
        <f t="shared" si="0"/>
        <v>0</v>
      </c>
      <c r="AC4" s="77">
        <f t="shared" si="0"/>
        <v>0</v>
      </c>
      <c r="AD4" s="77">
        <f t="shared" si="0"/>
        <v>0</v>
      </c>
      <c r="AE4" s="77">
        <f t="shared" si="0"/>
        <v>0</v>
      </c>
      <c r="AF4" s="90" t="e">
        <f>AE4/$AE$4</f>
        <v>#DIV/0!</v>
      </c>
      <c r="AG4" s="48"/>
    </row>
    <row r="5" spans="1:33" s="50" customFormat="1" ht="13.5" outlineLevel="1" x14ac:dyDescent="0.25">
      <c r="A5" s="588"/>
      <c r="B5" s="79" t="s">
        <v>90</v>
      </c>
      <c r="C5" s="80"/>
      <c r="D5" s="174" t="e">
        <f t="shared" ref="D5:L5" si="1">D4/$L$4</f>
        <v>#DIV/0!</v>
      </c>
      <c r="E5" s="174" t="e">
        <f t="shared" si="1"/>
        <v>#DIV/0!</v>
      </c>
      <c r="F5" s="174" t="e">
        <f t="shared" si="1"/>
        <v>#DIV/0!</v>
      </c>
      <c r="G5" s="174" t="e">
        <f t="shared" si="1"/>
        <v>#DIV/0!</v>
      </c>
      <c r="H5" s="174" t="e">
        <f t="shared" si="1"/>
        <v>#DIV/0!</v>
      </c>
      <c r="I5" s="174" t="e">
        <f t="shared" si="1"/>
        <v>#DIV/0!</v>
      </c>
      <c r="J5" s="174" t="e">
        <f t="shared" si="1"/>
        <v>#DIV/0!</v>
      </c>
      <c r="K5" s="174" t="e">
        <f t="shared" si="1"/>
        <v>#DIV/0!</v>
      </c>
      <c r="L5" s="174" t="e">
        <f t="shared" si="1"/>
        <v>#DIV/0!</v>
      </c>
      <c r="M5" s="103"/>
      <c r="N5" s="174" t="e">
        <f t="shared" ref="N5:T5" si="2">N4/$V$4</f>
        <v>#DIV/0!</v>
      </c>
      <c r="O5" s="174" t="e">
        <f t="shared" si="2"/>
        <v>#DIV/0!</v>
      </c>
      <c r="P5" s="174" t="e">
        <f t="shared" si="2"/>
        <v>#DIV/0!</v>
      </c>
      <c r="Q5" s="174" t="e">
        <f t="shared" si="2"/>
        <v>#DIV/0!</v>
      </c>
      <c r="R5" s="174" t="e">
        <f t="shared" si="2"/>
        <v>#DIV/0!</v>
      </c>
      <c r="S5" s="174" t="e">
        <f t="shared" si="2"/>
        <v>#DIV/0!</v>
      </c>
      <c r="T5" s="174" t="e">
        <f t="shared" si="2"/>
        <v>#DIV/0!</v>
      </c>
      <c r="U5" s="174" t="e">
        <f>U4/$L$4</f>
        <v>#DIV/0!</v>
      </c>
      <c r="V5" s="174" t="e">
        <f>V4/$V$4</f>
        <v>#DIV/0!</v>
      </c>
      <c r="W5" s="169"/>
      <c r="X5" s="81" t="e">
        <f t="shared" ref="X5:AE5" si="3">X4/$AE$4</f>
        <v>#DIV/0!</v>
      </c>
      <c r="Y5" s="91" t="e">
        <f t="shared" si="3"/>
        <v>#DIV/0!</v>
      </c>
      <c r="Z5" s="81" t="e">
        <f t="shared" si="3"/>
        <v>#DIV/0!</v>
      </c>
      <c r="AA5" s="91" t="e">
        <f t="shared" si="3"/>
        <v>#DIV/0!</v>
      </c>
      <c r="AB5" s="81" t="e">
        <f t="shared" si="3"/>
        <v>#DIV/0!</v>
      </c>
      <c r="AC5" s="81" t="e">
        <f t="shared" si="3"/>
        <v>#DIV/0!</v>
      </c>
      <c r="AD5" s="81" t="e">
        <f t="shared" si="3"/>
        <v>#DIV/0!</v>
      </c>
      <c r="AE5" s="81" t="e">
        <f t="shared" si="3"/>
        <v>#DIV/0!</v>
      </c>
      <c r="AF5" s="81"/>
      <c r="AG5" s="49"/>
    </row>
    <row r="6" spans="1:33" ht="25.5" outlineLevel="1" x14ac:dyDescent="0.25">
      <c r="A6" s="589" t="s">
        <v>4</v>
      </c>
      <c r="B6" s="101" t="s">
        <v>107</v>
      </c>
      <c r="C6" s="86"/>
      <c r="D6" s="162">
        <f>SUBTOTAL(9,D7:D10)</f>
        <v>0</v>
      </c>
      <c r="E6" s="162">
        <f t="shared" ref="E6:L6" si="4">SUBTOTAL(9,E7:E10)</f>
        <v>0</v>
      </c>
      <c r="F6" s="162">
        <f t="shared" si="4"/>
        <v>0</v>
      </c>
      <c r="G6" s="162">
        <f t="shared" si="4"/>
        <v>0</v>
      </c>
      <c r="H6" s="162">
        <f t="shared" si="4"/>
        <v>0</v>
      </c>
      <c r="I6" s="162">
        <f t="shared" si="4"/>
        <v>0</v>
      </c>
      <c r="J6" s="162">
        <f t="shared" si="4"/>
        <v>0</v>
      </c>
      <c r="K6" s="162">
        <f t="shared" ref="K6" si="5">SUBTOTAL(9,K7:K10)</f>
        <v>0</v>
      </c>
      <c r="L6" s="176">
        <f t="shared" si="4"/>
        <v>0</v>
      </c>
      <c r="M6" s="104" t="e">
        <f>L6/$L$4</f>
        <v>#DIV/0!</v>
      </c>
      <c r="N6" s="162">
        <f>SUBTOTAL(9,N7:N10)</f>
        <v>0</v>
      </c>
      <c r="O6" s="162">
        <f t="shared" ref="O6:V6" si="6">SUBTOTAL(9,O7:O10)</f>
        <v>0</v>
      </c>
      <c r="P6" s="162">
        <f t="shared" si="6"/>
        <v>0</v>
      </c>
      <c r="Q6" s="162">
        <f t="shared" si="6"/>
        <v>0</v>
      </c>
      <c r="R6" s="162">
        <f t="shared" si="6"/>
        <v>0</v>
      </c>
      <c r="S6" s="162"/>
      <c r="T6" s="162">
        <f t="shared" si="6"/>
        <v>0</v>
      </c>
      <c r="U6" s="162">
        <f t="shared" si="6"/>
        <v>0</v>
      </c>
      <c r="V6" s="162">
        <f t="shared" si="6"/>
        <v>0</v>
      </c>
      <c r="W6" s="104" t="e">
        <f>V6/$V$4</f>
        <v>#DIV/0!</v>
      </c>
      <c r="X6" s="66">
        <f t="shared" ref="X6:AD6" si="7">SUBTOTAL(9,X7:X9)</f>
        <v>0</v>
      </c>
      <c r="Y6" s="66">
        <f t="shared" si="7"/>
        <v>0</v>
      </c>
      <c r="Z6" s="66">
        <f t="shared" si="7"/>
        <v>0</v>
      </c>
      <c r="AA6" s="66">
        <f t="shared" si="7"/>
        <v>0</v>
      </c>
      <c r="AB6" s="66">
        <f t="shared" si="7"/>
        <v>0</v>
      </c>
      <c r="AC6" s="66">
        <f t="shared" ref="AC6" si="8">SUBTOTAL(9,AC7:AC9)</f>
        <v>0</v>
      </c>
      <c r="AD6" s="66">
        <f t="shared" si="7"/>
        <v>0</v>
      </c>
      <c r="AE6" s="66">
        <f>SUBTOTAL(9,AE7:AE10)</f>
        <v>0</v>
      </c>
      <c r="AF6" s="89" t="e">
        <f t="shared" ref="AF6:AF30" si="9">AE6/$AE$4</f>
        <v>#DIV/0!</v>
      </c>
      <c r="AG6" s="114"/>
    </row>
    <row r="7" spans="1:33" outlineLevel="1" x14ac:dyDescent="0.25">
      <c r="A7" s="476">
        <v>1</v>
      </c>
      <c r="B7" s="72" t="s">
        <v>54</v>
      </c>
      <c r="C7" s="44" t="s">
        <v>47</v>
      </c>
      <c r="D7" s="163">
        <f>SUMIFS('PL1.1 ML2027-2028'!$G:$G,'PL1.1 ML2027-2028'!$J:$J,'TH theo DV'!$D$3,'PL1.1 ML2027-2028'!$K:$K,'TH theo DV'!C7)/$D$1</f>
        <v>0</v>
      </c>
      <c r="E7" s="163">
        <f>SUMIFS('PL1.1 ML2027-2028'!$G:$G,'PL1.1 ML2027-2028'!$J:$J,'TH theo DV'!$E$3,'PL1.1 ML2027-2028'!$K:$K,'TH theo DV'!C7)/$D$1</f>
        <v>0</v>
      </c>
      <c r="F7" s="163">
        <f>SUMIFS('PL1.1 ML2027-2028'!$G:$G,'PL1.1 ML2027-2028'!$J:$J,'TH theo DV'!$F$3,'PL1.1 ML2027-2028'!$K:$K,'TH theo DV'!C7)/$D$1</f>
        <v>0</v>
      </c>
      <c r="G7" s="163">
        <f>SUMIFS('PL1.1 ML2027-2028'!$G:$G,'PL1.1 ML2027-2028'!$J:$J,'TH theo DV'!$G$3,'PL1.1 ML2027-2028'!$K:$K,'TH theo DV'!C7)/$D$1</f>
        <v>0</v>
      </c>
      <c r="H7" s="163">
        <f>SUMIFS('PL1.1 ML2027-2028'!$G:$G,'PL1.1 ML2027-2028'!$J:$J,'TH theo DV'!$H$3,'PL1.1 ML2027-2028'!$K:$K,'TH theo DV'!C7)/$D$1</f>
        <v>0</v>
      </c>
      <c r="I7" s="163">
        <f>SUMIFS('PL1.1 ML2027-2028'!$G:$G,'PL1.1 ML2027-2028'!$J:$J,I$3,'PL1.1 ML2027-2028'!$K:$K,C7)/$D$1</f>
        <v>0</v>
      </c>
      <c r="J7" s="163">
        <f>SUMIFS('PL1.1 ML2027-2028'!$G:$G,'PL1.1 ML2027-2028'!$J:$J,'TH theo DV'!$J$3,'PL1.1 ML2027-2028'!$K:$K,'TH theo DV'!C7)/$D$1</f>
        <v>0</v>
      </c>
      <c r="K7" s="163">
        <f>SUMIFS('PL1.1 ML2027-2028'!$G:$G,'PL1.1 ML2027-2028'!$J:$J,'TH theo DV'!K$3,'PL1.1 ML2027-2028'!$K:$K,'TH theo DV'!$C7)/$D$1</f>
        <v>0</v>
      </c>
      <c r="L7" s="175">
        <f>SUM(D7:K7)</f>
        <v>0</v>
      </c>
      <c r="M7" s="100" t="e">
        <f>L7/$L$4</f>
        <v>#DIV/0!</v>
      </c>
      <c r="N7" s="163">
        <f>SUMIFS('PL1.1 ML2027-2028'!$H:$H,'PL1.1 ML2027-2028'!$J:$J,'TH theo DV'!N$3,'PL1.1 ML2027-2028'!$K:$K,'TH theo DV'!$C7)/$D$1</f>
        <v>0</v>
      </c>
      <c r="O7" s="163">
        <f>SUMIFS('PL1.1 ML2027-2028'!$H:$H,'PL1.1 ML2027-2028'!$J:$J,'TH theo DV'!O$3,'PL1.1 ML2027-2028'!$K:$K,'TH theo DV'!$C7)/$D$1</f>
        <v>0</v>
      </c>
      <c r="P7" s="163">
        <f>SUMIFS('PL1.1 ML2027-2028'!$H:$H,'PL1.1 ML2027-2028'!$J:$J,'TH theo DV'!P$3,'PL1.1 ML2027-2028'!$K:$K,'TH theo DV'!$C7)/$D$1</f>
        <v>0</v>
      </c>
      <c r="Q7" s="163">
        <f>SUMIFS('PL1.1 ML2027-2028'!$H:$H,'PL1.1 ML2027-2028'!$J:$J,'TH theo DV'!Q$3,'PL1.1 ML2027-2028'!$K:$K,'TH theo DV'!$C7)/$D$1</f>
        <v>0</v>
      </c>
      <c r="R7" s="163">
        <f>SUMIFS('PL1.1 ML2027-2028'!$H:$H,'PL1.1 ML2027-2028'!$J:$J,'TH theo DV'!R$3,'PL1.1 ML2027-2028'!$K:$K,'TH theo DV'!$C7)/$D$1</f>
        <v>0</v>
      </c>
      <c r="S7" s="163">
        <f>SUMIFS('PL1.1 ML2027-2028'!$H:$H,'PL1.1 ML2027-2028'!$J:$J,'TH theo DV'!S$3,'PL1.1 ML2027-2028'!$K:$K,'TH theo DV'!$C7)/$D$1</f>
        <v>0</v>
      </c>
      <c r="T7" s="163">
        <f>SUMIFS('PL1.1 ML2027-2028'!$H:$H,'PL1.1 ML2027-2028'!$J:$J,'TH theo DV'!T$3,'PL1.1 ML2027-2028'!$K:$K,'TH theo DV'!$C7)/$D$1</f>
        <v>0</v>
      </c>
      <c r="U7" s="163">
        <f>SUMIFS('PL1.1 ML2027-2028'!$H:$H,'PL1.1 ML2027-2028'!$J:$J,'TH theo DV'!U$3,'PL1.1 ML2027-2028'!$K:$K,'TH theo DV'!$C7)/$D$1</f>
        <v>0</v>
      </c>
      <c r="V7" s="166">
        <f t="shared" ref="V7:V10" si="10">SUM(N7:U7)</f>
        <v>0</v>
      </c>
      <c r="W7" s="170"/>
      <c r="X7" s="65">
        <f t="shared" ref="X7:AC10" si="11">D7+N7</f>
        <v>0</v>
      </c>
      <c r="Y7" s="65">
        <f t="shared" si="11"/>
        <v>0</v>
      </c>
      <c r="Z7" s="65">
        <f t="shared" si="11"/>
        <v>0</v>
      </c>
      <c r="AA7" s="65">
        <f t="shared" si="11"/>
        <v>0</v>
      </c>
      <c r="AB7" s="65">
        <f t="shared" si="11"/>
        <v>0</v>
      </c>
      <c r="AC7" s="65">
        <f t="shared" si="11"/>
        <v>0</v>
      </c>
      <c r="AD7" s="65">
        <f t="shared" ref="AD7:AD10" si="12">J7+T7</f>
        <v>0</v>
      </c>
      <c r="AE7" s="64">
        <f>SUM(X7:AD7)</f>
        <v>0</v>
      </c>
      <c r="AF7" s="9" t="e">
        <f t="shared" si="9"/>
        <v>#DIV/0!</v>
      </c>
      <c r="AG7" s="113"/>
    </row>
    <row r="8" spans="1:33" outlineLevel="1" x14ac:dyDescent="0.25">
      <c r="A8" s="476">
        <v>2</v>
      </c>
      <c r="B8" s="72" t="s">
        <v>108</v>
      </c>
      <c r="C8" s="98" t="s">
        <v>108</v>
      </c>
      <c r="D8" s="163">
        <f>SUMIFS('PL1.1 ML2027-2028'!$G:$G,'PL1.1 ML2027-2028'!$J:$J,'TH theo DV'!$D$3,'PL1.1 ML2027-2028'!$K:$K,'TH theo DV'!C8)/$D$1</f>
        <v>0</v>
      </c>
      <c r="E8" s="163">
        <f>SUMIFS('PL1.1 ML2027-2028'!$G:$G,'PL1.1 ML2027-2028'!$J:$J,'TH theo DV'!$E$3,'PL1.1 ML2027-2028'!$K:$K,'TH theo DV'!C8)/$D$1</f>
        <v>0</v>
      </c>
      <c r="F8" s="163">
        <f>SUMIFS('PL1.1 ML2027-2028'!$G:$G,'PL1.1 ML2027-2028'!$J:$J,'TH theo DV'!$F$3,'PL1.1 ML2027-2028'!$K:$K,'TH theo DV'!C8)/$D$1</f>
        <v>0</v>
      </c>
      <c r="G8" s="163">
        <f>SUMIFS('PL1.1 ML2027-2028'!$G:$G,'PL1.1 ML2027-2028'!$J:$J,'TH theo DV'!$G$3,'PL1.1 ML2027-2028'!$K:$K,'TH theo DV'!C8)/$D$1</f>
        <v>0</v>
      </c>
      <c r="H8" s="163">
        <f>SUMIFS('PL1.1 ML2027-2028'!$G:$G,'PL1.1 ML2027-2028'!$J:$J,'TH theo DV'!$H$3,'PL1.1 ML2027-2028'!$K:$K,'TH theo DV'!C8)/$D$1</f>
        <v>0</v>
      </c>
      <c r="I8" s="163">
        <f>SUMIFS('PL1.1 ML2027-2028'!$G:$G,'PL1.1 ML2027-2028'!$J:$J,I$3,'PL1.1 ML2027-2028'!$K:$K,C8)/$D$1</f>
        <v>0</v>
      </c>
      <c r="J8" s="163">
        <f>SUMIFS('PL1.1 ML2027-2028'!$G:$G,'PL1.1 ML2027-2028'!$J:$J,'TH theo DV'!$J$3,'PL1.1 ML2027-2028'!$K:$K,'TH theo DV'!C8)/$D$1</f>
        <v>0</v>
      </c>
      <c r="K8" s="163">
        <f>SUMIFS('PL1.1 ML2027-2028'!$G:$G,'PL1.1 ML2027-2028'!$J:$J,'TH theo DV'!K$3,'PL1.1 ML2027-2028'!$K:$K,'TH theo DV'!$C8)/$D$1</f>
        <v>0</v>
      </c>
      <c r="L8" s="164">
        <f>SUM(D8:K8)</f>
        <v>0</v>
      </c>
      <c r="M8" s="100" t="e">
        <f t="shared" ref="M8:M25" si="13">L8/$L$4</f>
        <v>#DIV/0!</v>
      </c>
      <c r="N8" s="163">
        <f>SUMIFS('PL1.1 ML2027-2028'!$H:$H,'PL1.1 ML2027-2028'!$J:$J,'TH theo DV'!N$3,'PL1.1 ML2027-2028'!$K:$K,'TH theo DV'!$C8)/$D$1</f>
        <v>0</v>
      </c>
      <c r="O8" s="163">
        <f>SUMIFS('PL1.1 ML2027-2028'!$H:$H,'PL1.1 ML2027-2028'!$J:$J,'TH theo DV'!O$3,'PL1.1 ML2027-2028'!$K:$K,'TH theo DV'!$C8)/$D$1</f>
        <v>0</v>
      </c>
      <c r="P8" s="163">
        <f>SUMIFS('PL1.1 ML2027-2028'!$H:$H,'PL1.1 ML2027-2028'!$J:$J,'TH theo DV'!P$3,'PL1.1 ML2027-2028'!$K:$K,'TH theo DV'!$C8)/$D$1</f>
        <v>0</v>
      </c>
      <c r="Q8" s="163">
        <f>SUMIFS('PL1.1 ML2027-2028'!$H:$H,'PL1.1 ML2027-2028'!$J:$J,'TH theo DV'!Q$3,'PL1.1 ML2027-2028'!$K:$K,'TH theo DV'!$C8)/$D$1</f>
        <v>0</v>
      </c>
      <c r="R8" s="163">
        <f>SUMIFS('PL1.1 ML2027-2028'!$H:$H,'PL1.1 ML2027-2028'!$J:$J,'TH theo DV'!R$3,'PL1.1 ML2027-2028'!$K:$K,'TH theo DV'!$C8)/$D$1</f>
        <v>0</v>
      </c>
      <c r="S8" s="163">
        <f>SUMIFS('PL1.1 ML2027-2028'!$H:$H,'PL1.1 ML2027-2028'!$J:$J,'TH theo DV'!S$3,'PL1.1 ML2027-2028'!$K:$K,'TH theo DV'!$C8)/$D$1</f>
        <v>0</v>
      </c>
      <c r="T8" s="163">
        <f>SUMIFS('PL1.1 ML2027-2028'!$H:$H,'PL1.1 ML2027-2028'!$J:$J,'TH theo DV'!T$3,'PL1.1 ML2027-2028'!$K:$K,'TH theo DV'!$C8)/$D$1</f>
        <v>0</v>
      </c>
      <c r="U8" s="163">
        <f>SUMIFS('PL1.1 ML2027-2028'!$H:$H,'PL1.1 ML2027-2028'!$J:$J,'TH theo DV'!U$3,'PL1.1 ML2027-2028'!$K:$K,'TH theo DV'!$C8)/$D$1</f>
        <v>0</v>
      </c>
      <c r="V8" s="166">
        <f t="shared" si="10"/>
        <v>0</v>
      </c>
      <c r="W8" s="170"/>
      <c r="X8" s="65">
        <f t="shared" si="11"/>
        <v>0</v>
      </c>
      <c r="Y8" s="65">
        <f t="shared" si="11"/>
        <v>0</v>
      </c>
      <c r="Z8" s="65">
        <f t="shared" si="11"/>
        <v>0</v>
      </c>
      <c r="AA8" s="65">
        <f t="shared" si="11"/>
        <v>0</v>
      </c>
      <c r="AB8" s="65">
        <f t="shared" si="11"/>
        <v>0</v>
      </c>
      <c r="AC8" s="65">
        <f t="shared" si="11"/>
        <v>0</v>
      </c>
      <c r="AD8" s="65">
        <f t="shared" si="12"/>
        <v>0</v>
      </c>
      <c r="AE8" s="64">
        <f>SUM(X8:AD8)</f>
        <v>0</v>
      </c>
      <c r="AF8" s="9" t="e">
        <f t="shared" si="9"/>
        <v>#DIV/0!</v>
      </c>
    </row>
    <row r="9" spans="1:33" outlineLevel="1" x14ac:dyDescent="0.25">
      <c r="A9" s="476">
        <v>3</v>
      </c>
      <c r="B9" s="72" t="s">
        <v>109</v>
      </c>
      <c r="C9" s="69" t="s">
        <v>109</v>
      </c>
      <c r="D9" s="163">
        <f>SUMIFS('PL1.1 ML2027-2028'!$G:$G,'PL1.1 ML2027-2028'!$J:$J,'TH theo DV'!$D$3,'PL1.1 ML2027-2028'!$K:$K,'TH theo DV'!C9)/$D$1</f>
        <v>0</v>
      </c>
      <c r="E9" s="163">
        <f>SUMIFS('PL1.1 ML2027-2028'!$G:$G,'PL1.1 ML2027-2028'!$J:$J,'TH theo DV'!$E$3,'PL1.1 ML2027-2028'!$K:$K,'TH theo DV'!C9)/$D$1</f>
        <v>0</v>
      </c>
      <c r="F9" s="163">
        <f>SUMIFS('PL1.1 ML2027-2028'!$G:$G,'PL1.1 ML2027-2028'!$J:$J,'TH theo DV'!$F$3,'PL1.1 ML2027-2028'!$K:$K,'TH theo DV'!C9)/$D$1</f>
        <v>0</v>
      </c>
      <c r="G9" s="163">
        <f>SUMIFS('PL1.1 ML2027-2028'!$G:$G,'PL1.1 ML2027-2028'!$J:$J,'TH theo DV'!G$3,'PL1.1 ML2027-2028'!$K:$K,'TH theo DV'!$C9)/$D$1</f>
        <v>0</v>
      </c>
      <c r="H9" s="163">
        <f>SUMIFS('PL1.1 ML2027-2028'!$G:$G,'PL1.1 ML2027-2028'!$J:$J,'TH theo DV'!$H$3,'PL1.1 ML2027-2028'!$K:$K,'TH theo DV'!C9)/$D$1</f>
        <v>0</v>
      </c>
      <c r="I9" s="163">
        <f>SUMIFS('PL1.1 ML2027-2028'!$G:$G,'PL1.1 ML2027-2028'!$J:$J,I$3,'PL1.1 ML2027-2028'!$K:$K,C9)/$D$1</f>
        <v>0</v>
      </c>
      <c r="J9" s="163">
        <f>SUMIFS('PL1.1 ML2027-2028'!$G:$G,'PL1.1 ML2027-2028'!$J:$J,'TH theo DV'!$J$3,'PL1.1 ML2027-2028'!$K:$K,'TH theo DV'!C9)/$D$1</f>
        <v>0</v>
      </c>
      <c r="K9" s="163">
        <f>SUMIFS('PL1.1 ML2027-2028'!$G:$G,'PL1.1 ML2027-2028'!$J:$J,'TH theo DV'!K$3,'PL1.1 ML2027-2028'!$K:$K,'TH theo DV'!$C9)/$D$1</f>
        <v>0</v>
      </c>
      <c r="L9" s="164">
        <f>SUM(D9:K9)</f>
        <v>0</v>
      </c>
      <c r="M9" s="100" t="e">
        <f t="shared" si="13"/>
        <v>#DIV/0!</v>
      </c>
      <c r="N9" s="163">
        <f>SUMIFS('PL1.1 ML2027-2028'!$H:$H,'PL1.1 ML2027-2028'!$J:$J,'TH theo DV'!N$3,'PL1.1 ML2027-2028'!$K:$K,'TH theo DV'!$C9)/$D$1</f>
        <v>0</v>
      </c>
      <c r="O9" s="163">
        <f>SUMIFS('PL1.1 ML2027-2028'!$H:$H,'PL1.1 ML2027-2028'!$J:$J,'TH theo DV'!O$3,'PL1.1 ML2027-2028'!$K:$K,'TH theo DV'!$C9)/$D$1</f>
        <v>0</v>
      </c>
      <c r="P9" s="163">
        <f>SUMIFS('PL1.1 ML2027-2028'!$H:$H,'PL1.1 ML2027-2028'!$J:$J,'TH theo DV'!P$3,'PL1.1 ML2027-2028'!$K:$K,'TH theo DV'!$C9)/$D$1</f>
        <v>0</v>
      </c>
      <c r="Q9" s="163">
        <f>SUMIFS('PL1.1 ML2027-2028'!$H:$H,'PL1.1 ML2027-2028'!$J:$J,'TH theo DV'!Q$3,'PL1.1 ML2027-2028'!$K:$K,'TH theo DV'!$C9)/$D$1</f>
        <v>0</v>
      </c>
      <c r="R9" s="163">
        <f>SUMIFS('PL1.1 ML2027-2028'!$H:$H,'PL1.1 ML2027-2028'!$J:$J,'TH theo DV'!R$3,'PL1.1 ML2027-2028'!$K:$K,'TH theo DV'!$C9)/$D$1</f>
        <v>0</v>
      </c>
      <c r="S9" s="163">
        <f>SUMIFS('PL1.1 ML2027-2028'!$H:$H,'PL1.1 ML2027-2028'!$J:$J,'TH theo DV'!S$3,'PL1.1 ML2027-2028'!$K:$K,'TH theo DV'!$C9)/$D$1</f>
        <v>0</v>
      </c>
      <c r="T9" s="163">
        <f>SUMIFS('PL1.1 ML2027-2028'!$H:$H,'PL1.1 ML2027-2028'!$J:$J,'TH theo DV'!T$3,'PL1.1 ML2027-2028'!$K:$K,'TH theo DV'!$C9)/$D$1</f>
        <v>0</v>
      </c>
      <c r="U9" s="163">
        <f>SUMIFS('PL1.1 ML2027-2028'!$H:$H,'PL1.1 ML2027-2028'!$J:$J,'TH theo DV'!U$3,'PL1.1 ML2027-2028'!$K:$K,'TH theo DV'!$C9)/$D$1</f>
        <v>0</v>
      </c>
      <c r="V9" s="166">
        <f t="shared" si="10"/>
        <v>0</v>
      </c>
      <c r="W9" s="170"/>
      <c r="X9" s="65">
        <f t="shared" si="11"/>
        <v>0</v>
      </c>
      <c r="Y9" s="65">
        <f t="shared" si="11"/>
        <v>0</v>
      </c>
      <c r="Z9" s="65">
        <f t="shared" si="11"/>
        <v>0</v>
      </c>
      <c r="AA9" s="65">
        <f t="shared" si="11"/>
        <v>0</v>
      </c>
      <c r="AB9" s="65">
        <f t="shared" si="11"/>
        <v>0</v>
      </c>
      <c r="AC9" s="65">
        <f t="shared" si="11"/>
        <v>0</v>
      </c>
      <c r="AD9" s="65">
        <f t="shared" si="12"/>
        <v>0</v>
      </c>
      <c r="AE9" s="64">
        <f>SUM(X9:AD9)</f>
        <v>0</v>
      </c>
      <c r="AF9" s="67" t="e">
        <f t="shared" si="9"/>
        <v>#DIV/0!</v>
      </c>
    </row>
    <row r="10" spans="1:33" outlineLevel="1" x14ac:dyDescent="0.25">
      <c r="A10" s="476">
        <v>4</v>
      </c>
      <c r="B10" s="72" t="s">
        <v>105</v>
      </c>
      <c r="C10" s="69" t="s">
        <v>110</v>
      </c>
      <c r="D10" s="163">
        <f>SUMIFS('PL1.1 ML2027-2028'!$G:$G,'PL1.1 ML2027-2028'!$J:$J,'TH theo DV'!$D$3,'PL1.1 ML2027-2028'!$K:$K,'TH theo DV'!C10)/$D$1</f>
        <v>0</v>
      </c>
      <c r="E10" s="163">
        <f>SUMIFS('PL1.1 ML2027-2028'!$G:$G,'PL1.1 ML2027-2028'!$J:$J,'TH theo DV'!$E$3,'PL1.1 ML2027-2028'!$K:$K,'TH theo DV'!C10)/$D$1</f>
        <v>0</v>
      </c>
      <c r="F10" s="163">
        <f>SUMIFS('PL1.1 ML2027-2028'!$G:$G,'PL1.1 ML2027-2028'!$J:$J,'TH theo DV'!$F$3,'PL1.1 ML2027-2028'!$K:$K,'TH theo DV'!C10)/$D$1</f>
        <v>0</v>
      </c>
      <c r="G10" s="163">
        <f>SUMIFS('PL1.1 ML2027-2028'!$G:$G,'PL1.1 ML2027-2028'!$J:$J,'TH theo DV'!$G$3,'PL1.1 ML2027-2028'!$K:$K,'TH theo DV'!C10)/$D$1</f>
        <v>0</v>
      </c>
      <c r="H10" s="163">
        <f>SUMIFS('PL1.1 ML2027-2028'!$G:$G,'PL1.1 ML2027-2028'!$J:$J,'TH theo DV'!$H$3,'PL1.1 ML2027-2028'!$K:$K,'TH theo DV'!C10)/$D$1</f>
        <v>0</v>
      </c>
      <c r="I10" s="163">
        <f>SUMIFS('PL1.1 ML2027-2028'!$G:$G,'PL1.1 ML2027-2028'!$J:$J,I$3,'PL1.1 ML2027-2028'!$K:$K,C10)/$D$1</f>
        <v>0</v>
      </c>
      <c r="J10" s="163">
        <f>SUMIFS('PL1.1 ML2027-2028'!$G:$G,'PL1.1 ML2027-2028'!$J:$J,'TH theo DV'!$J$3,'PL1.1 ML2027-2028'!$K:$K,'TH theo DV'!C10)/$D$1</f>
        <v>0</v>
      </c>
      <c r="K10" s="163">
        <f>SUMIFS('PL1.1 ML2027-2028'!$G:$G,'PL1.1 ML2027-2028'!$J:$J,'TH theo DV'!K$3,'PL1.1 ML2027-2028'!$K:$K,'TH theo DV'!$C10)/$D$1</f>
        <v>0</v>
      </c>
      <c r="L10" s="164">
        <f>SUM(D10:K10)</f>
        <v>0</v>
      </c>
      <c r="M10" s="100" t="e">
        <f t="shared" si="13"/>
        <v>#DIV/0!</v>
      </c>
      <c r="N10" s="163">
        <f>SUMIFS('PL1.1 ML2027-2028'!$H:$H,'PL1.1 ML2027-2028'!$J:$J,'TH theo DV'!N$3,'PL1.1 ML2027-2028'!$K:$K,'TH theo DV'!$C10)/$D$1</f>
        <v>0</v>
      </c>
      <c r="O10" s="163">
        <f>SUMIFS('PL1.1 ML2027-2028'!$H:$H,'PL1.1 ML2027-2028'!$J:$J,'TH theo DV'!O$3,'PL1.1 ML2027-2028'!$K:$K,'TH theo DV'!$C10)/$D$1</f>
        <v>0</v>
      </c>
      <c r="P10" s="163">
        <f>SUMIFS('PL1.1 ML2027-2028'!$H:$H,'PL1.1 ML2027-2028'!$J:$J,'TH theo DV'!P$3,'PL1.1 ML2027-2028'!$K:$K,'TH theo DV'!$C10)/$D$1</f>
        <v>0</v>
      </c>
      <c r="Q10" s="163">
        <f>SUMIFS('PL1.1 ML2027-2028'!$H:$H,'PL1.1 ML2027-2028'!$J:$J,'TH theo DV'!Q$3,'PL1.1 ML2027-2028'!$K:$K,'TH theo DV'!$C10)/$D$1</f>
        <v>0</v>
      </c>
      <c r="R10" s="163">
        <f>SUMIFS('PL1.1 ML2027-2028'!$H:$H,'PL1.1 ML2027-2028'!$J:$J,'TH theo DV'!R$3,'PL1.1 ML2027-2028'!$K:$K,'TH theo DV'!$C10)/$D$1</f>
        <v>0</v>
      </c>
      <c r="S10" s="163">
        <f>SUMIFS('PL1.1 ML2027-2028'!$H:$H,'PL1.1 ML2027-2028'!$J:$J,'TH theo DV'!S$3,'PL1.1 ML2027-2028'!$K:$K,'TH theo DV'!$C10)/$D$1</f>
        <v>0</v>
      </c>
      <c r="T10" s="163">
        <f>SUMIFS('PL1.1 ML2027-2028'!$H:$H,'PL1.1 ML2027-2028'!$J:$J,'TH theo DV'!T$3,'PL1.1 ML2027-2028'!$K:$K,'TH theo DV'!$C10)/$D$1</f>
        <v>0</v>
      </c>
      <c r="U10" s="163">
        <f>SUMIFS('PL1.1 ML2027-2028'!$H:$H,'PL1.1 ML2027-2028'!$J:$J,'TH theo DV'!U$3,'PL1.1 ML2027-2028'!$K:$K,'TH theo DV'!$C10)/$D$1</f>
        <v>0</v>
      </c>
      <c r="V10" s="166">
        <f t="shared" si="10"/>
        <v>0</v>
      </c>
      <c r="W10" s="170"/>
      <c r="X10" s="65">
        <f t="shared" si="11"/>
        <v>0</v>
      </c>
      <c r="Y10" s="65">
        <f t="shared" si="11"/>
        <v>0</v>
      </c>
      <c r="Z10" s="65">
        <f t="shared" si="11"/>
        <v>0</v>
      </c>
      <c r="AA10" s="65">
        <f t="shared" si="11"/>
        <v>0</v>
      </c>
      <c r="AB10" s="65">
        <f t="shared" si="11"/>
        <v>0</v>
      </c>
      <c r="AC10" s="65">
        <f t="shared" si="11"/>
        <v>0</v>
      </c>
      <c r="AD10" s="65">
        <f t="shared" si="12"/>
        <v>0</v>
      </c>
      <c r="AE10" s="64">
        <f>SUM(X10:AD10)</f>
        <v>0</v>
      </c>
      <c r="AF10" s="9" t="e">
        <f t="shared" si="9"/>
        <v>#DIV/0!</v>
      </c>
    </row>
    <row r="11" spans="1:33" ht="25.5" outlineLevel="1" x14ac:dyDescent="0.25">
      <c r="A11" s="589" t="s">
        <v>10</v>
      </c>
      <c r="B11" s="101" t="s">
        <v>111</v>
      </c>
      <c r="C11" s="87"/>
      <c r="D11" s="165">
        <f>SUBTOTAL(9,D12:D25)</f>
        <v>0</v>
      </c>
      <c r="E11" s="165">
        <f t="shared" ref="E11:F11" si="14">SUBTOTAL(9,E12:E25)</f>
        <v>0</v>
      </c>
      <c r="F11" s="165">
        <f t="shared" si="14"/>
        <v>0</v>
      </c>
      <c r="G11" s="165">
        <f>SUBTOTAL(9,G12:G25)</f>
        <v>0</v>
      </c>
      <c r="H11" s="165">
        <f>SUBTOTAL(9,H12:H25)</f>
        <v>0</v>
      </c>
      <c r="I11" s="165"/>
      <c r="J11" s="165">
        <f>SUBTOTAL(9,J12:J25)</f>
        <v>0</v>
      </c>
      <c r="K11" s="165">
        <f>SUBTOTAL(9,K12:K25)</f>
        <v>0</v>
      </c>
      <c r="L11" s="165">
        <f>SUBTOTAL(9,L12:L25)</f>
        <v>0</v>
      </c>
      <c r="M11" s="104" t="e">
        <f>L11/$L$4</f>
        <v>#DIV/0!</v>
      </c>
      <c r="N11" s="165">
        <f>SUBTOTAL(9,N12:N25)</f>
        <v>0</v>
      </c>
      <c r="O11" s="165">
        <f t="shared" ref="O11:P11" si="15">SUBTOTAL(9,O12:O25)</f>
        <v>0</v>
      </c>
      <c r="P11" s="165">
        <f t="shared" si="15"/>
        <v>0</v>
      </c>
      <c r="Q11" s="165">
        <f t="shared" ref="Q11:V11" si="16">SUBTOTAL(9,Q12:Q25)</f>
        <v>0</v>
      </c>
      <c r="R11" s="165">
        <f t="shared" si="16"/>
        <v>0</v>
      </c>
      <c r="S11" s="165">
        <f t="shared" si="16"/>
        <v>0</v>
      </c>
      <c r="T11" s="165">
        <f t="shared" si="16"/>
        <v>0</v>
      </c>
      <c r="U11" s="165">
        <f t="shared" si="16"/>
        <v>0</v>
      </c>
      <c r="V11" s="165">
        <f t="shared" si="16"/>
        <v>0</v>
      </c>
      <c r="W11" s="104" t="e">
        <f>V11/$V$4</f>
        <v>#DIV/0!</v>
      </c>
      <c r="X11" s="88">
        <f t="shared" ref="X11:AD11" si="17">SUBTOTAL(9,X12:X29)</f>
        <v>0</v>
      </c>
      <c r="Y11" s="88">
        <f t="shared" si="17"/>
        <v>0</v>
      </c>
      <c r="Z11" s="88">
        <f t="shared" si="17"/>
        <v>0</v>
      </c>
      <c r="AA11" s="88">
        <f t="shared" si="17"/>
        <v>0</v>
      </c>
      <c r="AB11" s="88">
        <f t="shared" si="17"/>
        <v>0</v>
      </c>
      <c r="AC11" s="88">
        <f t="shared" si="17"/>
        <v>0</v>
      </c>
      <c r="AD11" s="88">
        <f t="shared" si="17"/>
        <v>0</v>
      </c>
      <c r="AE11" s="88">
        <f>SUBTOTAL(9,AE12:AE25)</f>
        <v>0</v>
      </c>
      <c r="AF11" s="89" t="e">
        <f t="shared" si="9"/>
        <v>#DIV/0!</v>
      </c>
    </row>
    <row r="12" spans="1:33" s="47" customFormat="1" outlineLevel="1" x14ac:dyDescent="0.25">
      <c r="A12" s="587">
        <v>1</v>
      </c>
      <c r="B12" s="82" t="s">
        <v>173</v>
      </c>
      <c r="C12" s="78"/>
      <c r="D12" s="163">
        <f>SUBTOTAL(9,D13:D14)</f>
        <v>0</v>
      </c>
      <c r="E12" s="163">
        <f>SUBTOTAL(9,E13:E14)</f>
        <v>0</v>
      </c>
      <c r="F12" s="163">
        <f t="shared" ref="F12:J12" si="18">SUBTOTAL(9,F13:F14)</f>
        <v>0</v>
      </c>
      <c r="G12" s="163">
        <f t="shared" si="18"/>
        <v>0</v>
      </c>
      <c r="H12" s="163">
        <f t="shared" si="18"/>
        <v>0</v>
      </c>
      <c r="I12" s="163">
        <f t="shared" si="18"/>
        <v>0</v>
      </c>
      <c r="J12" s="163">
        <f t="shared" si="18"/>
        <v>0</v>
      </c>
      <c r="K12" s="163">
        <f t="shared" ref="K12" si="19">SUBTOTAL(9,K13:K14)</f>
        <v>0</v>
      </c>
      <c r="L12" s="163">
        <f>SUBTOTAL(9,L13:L14)</f>
        <v>0</v>
      </c>
      <c r="M12" s="163" t="e">
        <f t="shared" si="13"/>
        <v>#DIV/0!</v>
      </c>
      <c r="N12" s="161">
        <f>SUBTOTAL(9,N13:N14)</f>
        <v>0</v>
      </c>
      <c r="O12" s="161">
        <f t="shared" ref="O12:U12" si="20">SUBTOTAL(9,O13:O14)</f>
        <v>0</v>
      </c>
      <c r="P12" s="161">
        <f t="shared" si="20"/>
        <v>0</v>
      </c>
      <c r="Q12" s="161">
        <f t="shared" si="20"/>
        <v>0</v>
      </c>
      <c r="R12" s="161">
        <f t="shared" si="20"/>
        <v>0</v>
      </c>
      <c r="S12" s="161">
        <f t="shared" ref="S12" si="21">SUBTOTAL(9,S13:S14)</f>
        <v>0</v>
      </c>
      <c r="T12" s="161">
        <f t="shared" si="20"/>
        <v>0</v>
      </c>
      <c r="U12" s="166">
        <f t="shared" si="20"/>
        <v>0</v>
      </c>
      <c r="V12" s="161">
        <f>SUBTOTAL(9,V13:V14)</f>
        <v>0</v>
      </c>
      <c r="W12" s="171" t="e">
        <f>V12/$V$4</f>
        <v>#DIV/0!</v>
      </c>
      <c r="X12" s="83">
        <f t="shared" ref="X12:AE12" si="22">SUBTOTAL(9,X13:X14)</f>
        <v>0</v>
      </c>
      <c r="Y12" s="83">
        <f t="shared" si="22"/>
        <v>0</v>
      </c>
      <c r="Z12" s="83">
        <f t="shared" si="22"/>
        <v>0</v>
      </c>
      <c r="AA12" s="83">
        <f t="shared" si="22"/>
        <v>0</v>
      </c>
      <c r="AB12" s="83">
        <f t="shared" si="22"/>
        <v>0</v>
      </c>
      <c r="AC12" s="83">
        <f t="shared" ref="AC12" si="23">SUBTOTAL(9,AC13:AC14)</f>
        <v>0</v>
      </c>
      <c r="AD12" s="83">
        <f t="shared" si="22"/>
        <v>0</v>
      </c>
      <c r="AE12" s="83">
        <f t="shared" si="22"/>
        <v>0</v>
      </c>
      <c r="AF12" s="99" t="e">
        <f t="shared" si="9"/>
        <v>#DIV/0!</v>
      </c>
      <c r="AG12" s="37"/>
    </row>
    <row r="13" spans="1:33" s="36" customFormat="1" outlineLevel="1" x14ac:dyDescent="0.25">
      <c r="A13" s="590" t="s">
        <v>8</v>
      </c>
      <c r="B13" s="76" t="s">
        <v>174</v>
      </c>
      <c r="C13" s="18" t="s">
        <v>68</v>
      </c>
      <c r="D13" s="163">
        <f>SUMIFS('PL1.1 ML2027-2028'!$G:$G,'PL1.1 ML2027-2028'!$J:$J,'TH theo DV'!$D$3,'PL1.1 ML2027-2028'!$K:$K,'TH theo DV'!C13)/$D$1</f>
        <v>0</v>
      </c>
      <c r="E13" s="163">
        <f>SUMIFS('PL1.1 ML2027-2028'!$G:$G,'PL1.1 ML2027-2028'!$J:$J,'TH theo DV'!$E$3,'PL1.1 ML2027-2028'!$K:$K,'TH theo DV'!C13)/$D$1</f>
        <v>0</v>
      </c>
      <c r="F13" s="163">
        <f>SUMIFS('PL1.1 ML2027-2028'!$G:$G,'PL1.1 ML2027-2028'!$J:$J,'TH theo DV'!$F$3,'PL1.1 ML2027-2028'!$K:$K,'TH theo DV'!C13)/$D$1</f>
        <v>0</v>
      </c>
      <c r="G13" s="163">
        <f>SUMIFS('PL1.1 ML2027-2028'!$G:$G,'PL1.1 ML2027-2028'!$J:$J,'TH theo DV'!$G$3,'PL1.1 ML2027-2028'!$K:$K,'TH theo DV'!C13)/$D$1</f>
        <v>0</v>
      </c>
      <c r="H13" s="163">
        <f>SUMIFS('PL1.1 ML2027-2028'!$G:$G,'PL1.1 ML2027-2028'!$J:$J,'TH theo DV'!H$3,'PL1.1 ML2027-2028'!$K:$K,'TH theo DV'!$C13)/$D$1</f>
        <v>0</v>
      </c>
      <c r="I13" s="163">
        <f>SUMIFS('PL1.1 ML2027-2028'!$G:$G,'PL1.1 ML2027-2028'!$J:$J,I$3,'PL1.1 ML2027-2028'!$K:$K,C13)/$D$1</f>
        <v>0</v>
      </c>
      <c r="J13" s="163">
        <f>SUMIFS('PL1.1 ML2027-2028'!$G:$G,'PL1.1 ML2027-2028'!$J:$J,'TH theo DV'!$J$3,'PL1.1 ML2027-2028'!$K:$K,'TH theo DV'!C13)/$D$1</f>
        <v>0</v>
      </c>
      <c r="K13" s="163">
        <f>SUMIFS('PL1.1 ML2027-2028'!$G:$G,'PL1.1 ML2027-2028'!$J:$J,'TH theo DV'!K$3,'PL1.1 ML2027-2028'!$K:$K,'TH theo DV'!$C13)/$D$1</f>
        <v>0</v>
      </c>
      <c r="L13" s="163">
        <f>SUM(D13:K13)</f>
        <v>0</v>
      </c>
      <c r="M13" s="163" t="e">
        <f t="shared" si="13"/>
        <v>#DIV/0!</v>
      </c>
      <c r="N13" s="163">
        <f>SUMIFS('PL1.1 ML2027-2028'!$H:$H,'PL1.1 ML2027-2028'!$J:$J,'TH theo DV'!N$3,'PL1.1 ML2027-2028'!$K:$K,'TH theo DV'!$C13)/$D$1</f>
        <v>0</v>
      </c>
      <c r="O13" s="163">
        <f>SUMIFS('PL1.1 ML2027-2028'!$H:$H,'PL1.1 ML2027-2028'!$J:$J,'TH theo DV'!O$3,'PL1.1 ML2027-2028'!$K:$K,'TH theo DV'!$C13)/$D$1</f>
        <v>0</v>
      </c>
      <c r="P13" s="163">
        <f>SUMIFS('PL1.1 ML2027-2028'!$H:$H,'PL1.1 ML2027-2028'!$J:$J,'TH theo DV'!P$3,'PL1.1 ML2027-2028'!$K:$K,'TH theo DV'!$C13)/$D$1</f>
        <v>0</v>
      </c>
      <c r="Q13" s="163">
        <f>SUMIFS('PL1.1 ML2027-2028'!$H:$H,'PL1.1 ML2027-2028'!$J:$J,'TH theo DV'!Q$3,'PL1.1 ML2027-2028'!$K:$K,'TH theo DV'!$C13)/$D$1</f>
        <v>0</v>
      </c>
      <c r="R13" s="163">
        <f>SUMIFS('PL1.1 ML2027-2028'!$H:$H,'PL1.1 ML2027-2028'!$J:$J,'TH theo DV'!R$3,'PL1.1 ML2027-2028'!$K:$K,'TH theo DV'!$C13)/$D$1</f>
        <v>0</v>
      </c>
      <c r="S13" s="163">
        <f>SUMIFS('PL1.1 ML2027-2028'!$H:$H,'PL1.1 ML2027-2028'!$J:$J,'TH theo DV'!S$3,'PL1.1 ML2027-2028'!$K:$K,'TH theo DV'!$C13)/$D$1</f>
        <v>0</v>
      </c>
      <c r="T13" s="163">
        <f>SUMIFS('PL1.1 ML2027-2028'!$H:$H,'PL1.1 ML2027-2028'!$J:$J,'TH theo DV'!T$3,'PL1.1 ML2027-2028'!$K:$K,'TH theo DV'!$C13)/$D$1</f>
        <v>0</v>
      </c>
      <c r="U13" s="163">
        <f>SUMIFS('PL1.1 ML2027-2028'!$H:$H,'PL1.1 ML2027-2028'!$J:$J,'TH theo DV'!U$3,'PL1.1 ML2027-2028'!$K:$K,'TH theo DV'!$C13)/$D$1</f>
        <v>0</v>
      </c>
      <c r="V13" s="166">
        <f>SUM(N13:U13)</f>
        <v>0</v>
      </c>
      <c r="W13" s="172"/>
      <c r="X13" s="84">
        <f t="shared" ref="X13:AC14" si="24">D13+N13</f>
        <v>0</v>
      </c>
      <c r="Y13" s="84">
        <f t="shared" si="24"/>
        <v>0</v>
      </c>
      <c r="Z13" s="84">
        <f t="shared" si="24"/>
        <v>0</v>
      </c>
      <c r="AA13" s="84">
        <f t="shared" si="24"/>
        <v>0</v>
      </c>
      <c r="AB13" s="84">
        <f t="shared" si="24"/>
        <v>0</v>
      </c>
      <c r="AC13" s="84">
        <f t="shared" si="24"/>
        <v>0</v>
      </c>
      <c r="AD13" s="84">
        <f t="shared" ref="AD13:AD14" si="25">J13+T13</f>
        <v>0</v>
      </c>
      <c r="AE13" s="83">
        <f>SUM(X13:AD13)</f>
        <v>0</v>
      </c>
      <c r="AF13" s="99" t="e">
        <f t="shared" si="9"/>
        <v>#DIV/0!</v>
      </c>
      <c r="AG13" s="113"/>
    </row>
    <row r="14" spans="1:33" s="36" customFormat="1" outlineLevel="1" x14ac:dyDescent="0.25">
      <c r="A14" s="590" t="s">
        <v>8</v>
      </c>
      <c r="B14" s="76" t="s">
        <v>175</v>
      </c>
      <c r="C14" s="18" t="s">
        <v>69</v>
      </c>
      <c r="D14" s="163">
        <f>SUMIFS('PL1.1 ML2027-2028'!$G:$G,'PL1.1 ML2027-2028'!$J:$J,'TH theo DV'!$D$3,'PL1.1 ML2027-2028'!$K:$K,'TH theo DV'!C14)/$D$1</f>
        <v>0</v>
      </c>
      <c r="E14" s="163">
        <f>SUMIFS('PL1.1 ML2027-2028'!$G:$G,'PL1.1 ML2027-2028'!$J:$J,'TH theo DV'!$E$3,'PL1.1 ML2027-2028'!$K:$K,'TH theo DV'!C14)/$D$1</f>
        <v>0</v>
      </c>
      <c r="F14" s="163">
        <f>SUMIFS('PL1.1 ML2027-2028'!$G:$G,'PL1.1 ML2027-2028'!$J:$J,'TH theo DV'!$F$3,'PL1.1 ML2027-2028'!$K:$K,'TH theo DV'!C14)/$D$1</f>
        <v>0</v>
      </c>
      <c r="G14" s="163">
        <f>SUMIFS('PL1.1 ML2027-2028'!$G:$G,'PL1.1 ML2027-2028'!$J:$J,'TH theo DV'!$G$3,'PL1.1 ML2027-2028'!$K:$K,'TH theo DV'!C14)/$D$1</f>
        <v>0</v>
      </c>
      <c r="H14" s="163">
        <f>SUMIFS('PL1.1 ML2027-2028'!$G:$G,'PL1.1 ML2027-2028'!$J:$J,'TH theo DV'!H$3,'PL1.1 ML2027-2028'!$K:$K,'TH theo DV'!$C14)/$D$1</f>
        <v>0</v>
      </c>
      <c r="I14" s="163">
        <f>SUMIFS('PL1.1 ML2027-2028'!$G:$G,'PL1.1 ML2027-2028'!$J:$J,I$3,'PL1.1 ML2027-2028'!$K:$K,C14)/$D$1+SUMIFS('PL1.1 ML2027-2028'!$G:$G,'PL1.1 ML2027-2028'!$J:$J,I$3,'PL1.1 ML2027-2028'!$K:$K,C14)/$D$1</f>
        <v>0</v>
      </c>
      <c r="J14" s="163">
        <f>SUMIFS('PL1.1 ML2027-2028'!$G:$G,'PL1.1 ML2027-2028'!$J:$J,'TH theo DV'!$J$3,'PL1.1 ML2027-2028'!$K:$K,'TH theo DV'!C14)/$D$1</f>
        <v>0</v>
      </c>
      <c r="K14" s="163">
        <f>SUMIFS('PL1.1 ML2027-2028'!$G:$G,'PL1.1 ML2027-2028'!$J:$J,'TH theo DV'!K$3,'PL1.1 ML2027-2028'!$K:$K,'TH theo DV'!$C14)/$D$1</f>
        <v>0</v>
      </c>
      <c r="L14" s="163">
        <f>SUM(D14:K14)</f>
        <v>0</v>
      </c>
      <c r="M14" s="163" t="e">
        <f t="shared" si="13"/>
        <v>#DIV/0!</v>
      </c>
      <c r="N14" s="163">
        <f>SUMIFS('PL1.1 ML2027-2028'!$H:$H,'PL1.1 ML2027-2028'!$J:$J,'TH theo DV'!N$3,'PL1.1 ML2027-2028'!$K:$K,'TH theo DV'!$C14)/$D$1</f>
        <v>0</v>
      </c>
      <c r="O14" s="163">
        <f>SUMIFS('PL1.1 ML2027-2028'!$H:$H,'PL1.1 ML2027-2028'!$J:$J,'TH theo DV'!O$3,'PL1.1 ML2027-2028'!$K:$K,'TH theo DV'!$C14)/$D$1</f>
        <v>0</v>
      </c>
      <c r="P14" s="163">
        <f>SUMIFS('PL1.1 ML2027-2028'!$H:$H,'PL1.1 ML2027-2028'!$J:$J,'TH theo DV'!P$3,'PL1.1 ML2027-2028'!$K:$K,'TH theo DV'!$C14)/$D$1</f>
        <v>0</v>
      </c>
      <c r="Q14" s="163">
        <f>SUMIFS('PL1.1 ML2027-2028'!$H:$H,'PL1.1 ML2027-2028'!$J:$J,'TH theo DV'!Q$3,'PL1.1 ML2027-2028'!$K:$K,'TH theo DV'!$C14)/$D$1</f>
        <v>0</v>
      </c>
      <c r="R14" s="163">
        <f>SUMIFS('PL1.1 ML2027-2028'!$H:$H,'PL1.1 ML2027-2028'!$J:$J,'TH theo DV'!R$3,'PL1.1 ML2027-2028'!$K:$K,'TH theo DV'!$C14)/$D$1</f>
        <v>0</v>
      </c>
      <c r="S14" s="163">
        <f>SUMIFS('PL1.1 ML2027-2028'!$H:$H,'PL1.1 ML2027-2028'!$J:$J,'TH theo DV'!S$3,'PL1.1 ML2027-2028'!$K:$K,'TH theo DV'!$C14)/$D$1</f>
        <v>0</v>
      </c>
      <c r="T14" s="163">
        <f>SUMIFS('PL1.1 ML2027-2028'!$H:$H,'PL1.1 ML2027-2028'!$J:$J,'TH theo DV'!T$3,'PL1.1 ML2027-2028'!$K:$K,'TH theo DV'!$C14)/$D$1</f>
        <v>0</v>
      </c>
      <c r="U14" s="163">
        <f>SUMIFS('PL1.1 ML2027-2028'!$H:$H,'PL1.1 ML2027-2028'!$J:$J,'TH theo DV'!U$3,'PL1.1 ML2027-2028'!$K:$K,'TH theo DV'!$C14)/$D$1</f>
        <v>0</v>
      </c>
      <c r="V14" s="166">
        <f>SUM(N14:U14)</f>
        <v>0</v>
      </c>
      <c r="W14" s="172"/>
      <c r="X14" s="84">
        <f t="shared" si="24"/>
        <v>0</v>
      </c>
      <c r="Y14" s="84">
        <f t="shared" si="24"/>
        <v>0</v>
      </c>
      <c r="Z14" s="84">
        <f t="shared" si="24"/>
        <v>0</v>
      </c>
      <c r="AA14" s="84">
        <f t="shared" si="24"/>
        <v>0</v>
      </c>
      <c r="AB14" s="84">
        <f t="shared" si="24"/>
        <v>0</v>
      </c>
      <c r="AC14" s="84">
        <f t="shared" si="24"/>
        <v>0</v>
      </c>
      <c r="AD14" s="84">
        <f t="shared" si="25"/>
        <v>0</v>
      </c>
      <c r="AE14" s="83">
        <f>SUM(X14:AD14)</f>
        <v>0</v>
      </c>
      <c r="AF14" s="99" t="e">
        <f t="shared" si="9"/>
        <v>#DIV/0!</v>
      </c>
      <c r="AG14" s="48"/>
    </row>
    <row r="15" spans="1:33" s="36" customFormat="1" outlineLevel="1" x14ac:dyDescent="0.25">
      <c r="A15" s="587">
        <v>2</v>
      </c>
      <c r="B15" s="82" t="s">
        <v>103</v>
      </c>
      <c r="C15" s="18"/>
      <c r="D15" s="163">
        <f t="shared" ref="D15:G15" si="26">SUBTOTAL(9,D16:D19)</f>
        <v>0</v>
      </c>
      <c r="E15" s="163">
        <f t="shared" si="26"/>
        <v>0</v>
      </c>
      <c r="F15" s="163">
        <f>SUBTOTAL(9,F16:F19)</f>
        <v>0</v>
      </c>
      <c r="G15" s="163">
        <f t="shared" si="26"/>
        <v>0</v>
      </c>
      <c r="H15" s="163">
        <f>SUBTOTAL(9,H16:H19)</f>
        <v>0</v>
      </c>
      <c r="I15" s="163">
        <f>SUBTOTAL(9,I16:I19)</f>
        <v>0</v>
      </c>
      <c r="J15" s="163">
        <f t="shared" ref="J15:K15" si="27">SUBTOTAL(9,J16:J19)</f>
        <v>0</v>
      </c>
      <c r="K15" s="163">
        <f t="shared" si="27"/>
        <v>0</v>
      </c>
      <c r="L15" s="163">
        <f>SUBTOTAL(9,L16:L19)</f>
        <v>0</v>
      </c>
      <c r="M15" s="163" t="e">
        <f t="shared" si="13"/>
        <v>#DIV/0!</v>
      </c>
      <c r="N15" s="161">
        <f>SUBTOTAL(9,N16:N19)</f>
        <v>0</v>
      </c>
      <c r="O15" s="161">
        <f t="shared" ref="O15:V15" si="28">SUBTOTAL(9,O16:O19)</f>
        <v>0</v>
      </c>
      <c r="P15" s="161">
        <f t="shared" si="28"/>
        <v>0</v>
      </c>
      <c r="Q15" s="161">
        <f t="shared" si="28"/>
        <v>0</v>
      </c>
      <c r="R15" s="161">
        <f t="shared" si="28"/>
        <v>0</v>
      </c>
      <c r="S15" s="161">
        <f t="shared" ref="S15" si="29">SUBTOTAL(9,S16:S19)</f>
        <v>0</v>
      </c>
      <c r="T15" s="161">
        <f t="shared" si="28"/>
        <v>0</v>
      </c>
      <c r="U15" s="166">
        <f t="shared" si="28"/>
        <v>0</v>
      </c>
      <c r="V15" s="161">
        <f t="shared" si="28"/>
        <v>0</v>
      </c>
      <c r="W15" s="171" t="e">
        <f>V15/$V$4</f>
        <v>#DIV/0!</v>
      </c>
      <c r="X15" s="83">
        <f t="shared" ref="X15:AE15" si="30">SUBTOTAL(9,X16:X19)</f>
        <v>0</v>
      </c>
      <c r="Y15" s="83">
        <f t="shared" si="30"/>
        <v>0</v>
      </c>
      <c r="Z15" s="83">
        <f t="shared" si="30"/>
        <v>0</v>
      </c>
      <c r="AA15" s="83">
        <f t="shared" si="30"/>
        <v>0</v>
      </c>
      <c r="AB15" s="83">
        <f t="shared" si="30"/>
        <v>0</v>
      </c>
      <c r="AC15" s="83">
        <f t="shared" ref="AC15" si="31">SUBTOTAL(9,AC16:AC19)</f>
        <v>0</v>
      </c>
      <c r="AD15" s="83">
        <f t="shared" si="30"/>
        <v>0</v>
      </c>
      <c r="AE15" s="83">
        <f t="shared" si="30"/>
        <v>0</v>
      </c>
      <c r="AF15" s="99" t="e">
        <f t="shared" si="9"/>
        <v>#DIV/0!</v>
      </c>
      <c r="AG15" s="48"/>
    </row>
    <row r="16" spans="1:33" s="36" customFormat="1" ht="14.65" customHeight="1" outlineLevel="1" x14ac:dyDescent="0.25">
      <c r="A16" s="590" t="s">
        <v>8</v>
      </c>
      <c r="B16" s="76" t="s">
        <v>62</v>
      </c>
      <c r="C16" s="45" t="s">
        <v>70</v>
      </c>
      <c r="D16" s="163">
        <f>SUMIFS('PL1.1 ML2027-2028'!$G:$G,'PL1.1 ML2027-2028'!$J:$J,'TH theo DV'!$D$3,'PL1.1 ML2027-2028'!$K:$K,'TH theo DV'!C16)/$D$1</f>
        <v>0</v>
      </c>
      <c r="E16" s="163">
        <f>SUMIFS('PL1.1 ML2027-2028'!$G:$G,'PL1.1 ML2027-2028'!$J:$J,'TH theo DV'!$E$3,'PL1.1 ML2027-2028'!$K:$K,'TH theo DV'!C16)/$D$1</f>
        <v>0</v>
      </c>
      <c r="F16" s="163">
        <f>SUMIFS('PL1.1 ML2027-2028'!$G:$G,'PL1.1 ML2027-2028'!$J:$J,'TH theo DV'!$F$3,'PL1.1 ML2027-2028'!$K:$K,'TH theo DV'!C16)/$D$1</f>
        <v>0</v>
      </c>
      <c r="G16" s="163">
        <f>SUMIFS('PL1.1 ML2027-2028'!$G:$G,'PL1.1 ML2027-2028'!$J:$J,'TH theo DV'!$G$3,'PL1.1 ML2027-2028'!$K:$K,'TH theo DV'!C16)/$D$1</f>
        <v>0</v>
      </c>
      <c r="H16" s="163">
        <f>SUMIFS('PL1.1 ML2027-2028'!$G:$G,'PL1.1 ML2027-2028'!$J:$J,'TH theo DV'!$H$3,'PL1.1 ML2027-2028'!$K:$K,'TH theo DV'!C16)/$D$1</f>
        <v>0</v>
      </c>
      <c r="I16" s="163">
        <f>SUMIFS('PL1.1 ML2027-2028'!$G:$G,'PL1.1 ML2027-2028'!$J:$J,I$3,'PL1.1 ML2027-2028'!$K:$K,C16)/$D$1</f>
        <v>0</v>
      </c>
      <c r="J16" s="163">
        <f>SUMIFS('PL1.1 ML2027-2028'!$G:$G,'PL1.1 ML2027-2028'!$J:$J,'TH theo DV'!$J$3,'PL1.1 ML2027-2028'!$K:$K,'TH theo DV'!C16)/$D$1</f>
        <v>0</v>
      </c>
      <c r="K16" s="163">
        <f>SUMIFS('PL1.1 ML2027-2028'!$G:$G,'PL1.1 ML2027-2028'!$J:$J,'TH theo DV'!K$3,'PL1.1 ML2027-2028'!$K:$K,'TH theo DV'!$C16)/$D$1</f>
        <v>0</v>
      </c>
      <c r="L16" s="163">
        <f t="shared" ref="L16:L21" si="32">SUM(D16:K16)</f>
        <v>0</v>
      </c>
      <c r="M16" s="163" t="e">
        <f t="shared" si="13"/>
        <v>#DIV/0!</v>
      </c>
      <c r="N16" s="163">
        <f>SUMIFS('PL1.1 ML2027-2028'!$H:$H,'PL1.1 ML2027-2028'!$J:$J,'TH theo DV'!N$3,'PL1.1 ML2027-2028'!$K:$K,'TH theo DV'!$C16)/$D$1</f>
        <v>0</v>
      </c>
      <c r="O16" s="163">
        <f>SUMIFS('PL1.1 ML2027-2028'!$H:$H,'PL1.1 ML2027-2028'!$J:$J,'TH theo DV'!O$3,'PL1.1 ML2027-2028'!$K:$K,'TH theo DV'!$C16)/$D$1</f>
        <v>0</v>
      </c>
      <c r="P16" s="163">
        <f>SUMIFS('PL1.1 ML2027-2028'!$H:$H,'PL1.1 ML2027-2028'!$J:$J,'TH theo DV'!P$3,'PL1.1 ML2027-2028'!$K:$K,'TH theo DV'!$C16)/$D$1</f>
        <v>0</v>
      </c>
      <c r="Q16" s="163">
        <f>SUMIFS('PL1.1 ML2027-2028'!$H:$H,'PL1.1 ML2027-2028'!$J:$J,'TH theo DV'!Q$3,'PL1.1 ML2027-2028'!$K:$K,'TH theo DV'!$C16)/$D$1</f>
        <v>0</v>
      </c>
      <c r="R16" s="163">
        <f>SUMIFS('PL1.1 ML2027-2028'!$H:$H,'PL1.1 ML2027-2028'!$J:$J,'TH theo DV'!R$3,'PL1.1 ML2027-2028'!$K:$K,'TH theo DV'!$C16)/$D$1</f>
        <v>0</v>
      </c>
      <c r="S16" s="163">
        <f>SUMIFS('PL1.1 ML2027-2028'!$H:$H,'PL1.1 ML2027-2028'!$J:$J,'TH theo DV'!S$3,'PL1.1 ML2027-2028'!$K:$K,'TH theo DV'!$C16)/$D$1</f>
        <v>0</v>
      </c>
      <c r="T16" s="163">
        <f>SUMIFS('PL1.1 ML2027-2028'!$H:$H,'PL1.1 ML2027-2028'!$J:$J,'TH theo DV'!T$3,'PL1.1 ML2027-2028'!$K:$K,'TH theo DV'!$C16)/$D$1</f>
        <v>0</v>
      </c>
      <c r="U16" s="163">
        <f>SUMIFS('PL1.1 ML2027-2028'!$H:$H,'PL1.1 ML2027-2028'!$J:$J,'TH theo DV'!U$3,'PL1.1 ML2027-2028'!$K:$K,'TH theo DV'!$C16)/$D$1</f>
        <v>0</v>
      </c>
      <c r="V16" s="166">
        <f t="shared" ref="V16:V19" si="33">SUM(N16:U16)</f>
        <v>0</v>
      </c>
      <c r="W16" s="172"/>
      <c r="X16" s="84">
        <f t="shared" ref="X16:AC21" si="34">D16+N16</f>
        <v>0</v>
      </c>
      <c r="Y16" s="84">
        <f t="shared" si="34"/>
        <v>0</v>
      </c>
      <c r="Z16" s="84">
        <f t="shared" si="34"/>
        <v>0</v>
      </c>
      <c r="AA16" s="84">
        <f t="shared" si="34"/>
        <v>0</v>
      </c>
      <c r="AB16" s="84">
        <f t="shared" si="34"/>
        <v>0</v>
      </c>
      <c r="AC16" s="84">
        <f t="shared" si="34"/>
        <v>0</v>
      </c>
      <c r="AD16" s="84">
        <f t="shared" ref="AD16:AD21" si="35">J16+T16</f>
        <v>0</v>
      </c>
      <c r="AE16" s="83">
        <f t="shared" ref="AE16:AE21" si="36">SUM(X16:AD16)</f>
        <v>0</v>
      </c>
      <c r="AF16" s="100" t="e">
        <f t="shared" si="9"/>
        <v>#DIV/0!</v>
      </c>
      <c r="AG16" s="48"/>
    </row>
    <row r="17" spans="1:33" s="36" customFormat="1" outlineLevel="1" x14ac:dyDescent="0.25">
      <c r="A17" s="590" t="s">
        <v>8</v>
      </c>
      <c r="B17" s="76" t="s">
        <v>75</v>
      </c>
      <c r="C17" s="45" t="s">
        <v>71</v>
      </c>
      <c r="D17" s="163">
        <f>SUMIFS('PL1.1 ML2027-2028'!$G:$G,'PL1.1 ML2027-2028'!$J:$J,'TH theo DV'!$D$3,'PL1.1 ML2027-2028'!$K:$K,'TH theo DV'!C17)/$D$1</f>
        <v>0</v>
      </c>
      <c r="E17" s="163">
        <f>SUMIFS('PL1.1 ML2027-2028'!$G:$G,'PL1.1 ML2027-2028'!$J:$J,'TH theo DV'!$E$3,'PL1.1 ML2027-2028'!$K:$K,'TH theo DV'!C17)/$D$1</f>
        <v>0</v>
      </c>
      <c r="F17" s="163">
        <f>SUMIFS('PL1.1 ML2027-2028'!$G:$G,'PL1.1 ML2027-2028'!$J:$J,'TH theo DV'!$F$3,'PL1.1 ML2027-2028'!$K:$K,'TH theo DV'!C17)/$D$1</f>
        <v>0</v>
      </c>
      <c r="G17" s="163">
        <f>SUMIFS('PL1.1 ML2027-2028'!$G:$G,'PL1.1 ML2027-2028'!$J:$J,'TH theo DV'!$G$3,'PL1.1 ML2027-2028'!$K:$K,'TH theo DV'!C17)/$D$1</f>
        <v>0</v>
      </c>
      <c r="H17" s="163">
        <f>SUMIFS('PL1.1 ML2027-2028'!$G:$G,'PL1.1 ML2027-2028'!$J:$J,'TH theo DV'!$H$3,'PL1.1 ML2027-2028'!$K:$K,'TH theo DV'!C17)/$D$1</f>
        <v>0</v>
      </c>
      <c r="I17" s="163">
        <f>SUMIFS('PL1.1 ML2027-2028'!$G:$G,'PL1.1 ML2027-2028'!$J:$J,I$3,'PL1.1 ML2027-2028'!$K:$K,C17)/$D$1</f>
        <v>0</v>
      </c>
      <c r="J17" s="163">
        <f>SUMIFS('PL1.1 ML2027-2028'!$G:$G,'PL1.1 ML2027-2028'!$J:$J,'TH theo DV'!$J$3,'PL1.1 ML2027-2028'!$K:$K,'TH theo DV'!C17)/$D$1</f>
        <v>0</v>
      </c>
      <c r="K17" s="163">
        <f>SUMIFS('PL1.1 ML2027-2028'!$G:$G,'PL1.1 ML2027-2028'!$J:$J,'TH theo DV'!K$3,'PL1.1 ML2027-2028'!$K:$K,'TH theo DV'!$C17)/$D$1</f>
        <v>0</v>
      </c>
      <c r="L17" s="163">
        <f t="shared" si="32"/>
        <v>0</v>
      </c>
      <c r="M17" s="163" t="e">
        <f t="shared" si="13"/>
        <v>#DIV/0!</v>
      </c>
      <c r="N17" s="163">
        <f>SUMIFS('PL1.1 ML2027-2028'!$H:$H,'PL1.1 ML2027-2028'!$J:$J,'TH theo DV'!N$3,'PL1.1 ML2027-2028'!$K:$K,'TH theo DV'!$C17)/$D$1</f>
        <v>0</v>
      </c>
      <c r="O17" s="163">
        <f>SUMIFS('PL1.1 ML2027-2028'!$H:$H,'PL1.1 ML2027-2028'!$J:$J,'TH theo DV'!O$3,'PL1.1 ML2027-2028'!$K:$K,'TH theo DV'!$C17)/$D$1</f>
        <v>0</v>
      </c>
      <c r="P17" s="163">
        <f>SUMIFS('PL1.1 ML2027-2028'!$H:$H,'PL1.1 ML2027-2028'!$J:$J,'TH theo DV'!P$3,'PL1.1 ML2027-2028'!$K:$K,'TH theo DV'!$C17)/$D$1</f>
        <v>0</v>
      </c>
      <c r="Q17" s="163">
        <f>SUMIFS('PL1.1 ML2027-2028'!$H:$H,'PL1.1 ML2027-2028'!$J:$J,'TH theo DV'!Q$3,'PL1.1 ML2027-2028'!$K:$K,'TH theo DV'!$C17)/$D$1</f>
        <v>0</v>
      </c>
      <c r="R17" s="163">
        <f>SUMIFS('PL1.1 ML2027-2028'!$H:$H,'PL1.1 ML2027-2028'!$J:$J,'TH theo DV'!R$3,'PL1.1 ML2027-2028'!$K:$K,'TH theo DV'!$C17)/$D$1</f>
        <v>0</v>
      </c>
      <c r="S17" s="163">
        <f>SUMIFS('PL1.1 ML2027-2028'!$H:$H,'PL1.1 ML2027-2028'!$J:$J,'TH theo DV'!S$3,'PL1.1 ML2027-2028'!$K:$K,'TH theo DV'!$C17)/$D$1</f>
        <v>0</v>
      </c>
      <c r="T17" s="163">
        <f>SUMIFS('PL1.1 ML2027-2028'!$H:$H,'PL1.1 ML2027-2028'!$J:$J,'TH theo DV'!T$3,'PL1.1 ML2027-2028'!$K:$K,'TH theo DV'!$C17)/$D$1</f>
        <v>0</v>
      </c>
      <c r="U17" s="163">
        <f>SUMIFS('PL1.1 ML2027-2028'!$H:$H,'PL1.1 ML2027-2028'!$J:$J,'TH theo DV'!U$3,'PL1.1 ML2027-2028'!$K:$K,'TH theo DV'!$C17)/$D$1</f>
        <v>0</v>
      </c>
      <c r="V17" s="166">
        <f t="shared" si="33"/>
        <v>0</v>
      </c>
      <c r="W17" s="172"/>
      <c r="X17" s="84">
        <f t="shared" si="34"/>
        <v>0</v>
      </c>
      <c r="Y17" s="84">
        <f t="shared" si="34"/>
        <v>0</v>
      </c>
      <c r="Z17" s="84">
        <f t="shared" si="34"/>
        <v>0</v>
      </c>
      <c r="AA17" s="84">
        <f t="shared" si="34"/>
        <v>0</v>
      </c>
      <c r="AB17" s="84">
        <f t="shared" si="34"/>
        <v>0</v>
      </c>
      <c r="AC17" s="84">
        <f t="shared" si="34"/>
        <v>0</v>
      </c>
      <c r="AD17" s="84">
        <f t="shared" si="35"/>
        <v>0</v>
      </c>
      <c r="AE17" s="83">
        <f t="shared" si="36"/>
        <v>0</v>
      </c>
      <c r="AF17" s="100" t="e">
        <f t="shared" si="9"/>
        <v>#DIV/0!</v>
      </c>
      <c r="AG17" s="113"/>
    </row>
    <row r="18" spans="1:33" s="36" customFormat="1" outlineLevel="1" x14ac:dyDescent="0.25">
      <c r="A18" s="590" t="s">
        <v>8</v>
      </c>
      <c r="B18" s="76" t="s">
        <v>76</v>
      </c>
      <c r="C18" s="18" t="s">
        <v>66</v>
      </c>
      <c r="D18" s="163">
        <f>SUMIFS('PL1.1 ML2027-2028'!$G:$G,'PL1.1 ML2027-2028'!$J:$J,'TH theo DV'!$D$3,'PL1.1 ML2027-2028'!$K:$K,'TH theo DV'!C18)/$D$1</f>
        <v>0</v>
      </c>
      <c r="E18" s="163">
        <f>SUMIFS('PL1.1 ML2027-2028'!$G:$G,'PL1.1 ML2027-2028'!$J:$J,'TH theo DV'!$E$3,'PL1.1 ML2027-2028'!$K:$K,'TH theo DV'!C18)/$D$1</f>
        <v>0</v>
      </c>
      <c r="F18" s="163">
        <f>SUMIFS('PL1.1 ML2027-2028'!$G:$G,'PL1.1 ML2027-2028'!$J:$J,'TH theo DV'!$F$3,'PL1.1 ML2027-2028'!$K:$K,'TH theo DV'!C18)/$D$1</f>
        <v>0</v>
      </c>
      <c r="G18" s="163">
        <f>SUMIFS('PL1.1 ML2027-2028'!$G:$G,'PL1.1 ML2027-2028'!$J:$J,'TH theo DV'!$G$3,'PL1.1 ML2027-2028'!$K:$K,'TH theo DV'!C18)/$D$1</f>
        <v>0</v>
      </c>
      <c r="H18" s="163">
        <f>SUMIFS('PL1.1 ML2027-2028'!$G:$G,'PL1.1 ML2027-2028'!$J:$J,'TH theo DV'!$H$3,'PL1.1 ML2027-2028'!$K:$K,'TH theo DV'!C18)/$D$1</f>
        <v>0</v>
      </c>
      <c r="I18" s="163">
        <f>SUMIFS('PL1.1 ML2027-2028'!$G:$G,'PL1.1 ML2027-2028'!$J:$J,I$3,'PL1.1 ML2027-2028'!$K:$K,C18)/$D$1</f>
        <v>0</v>
      </c>
      <c r="J18" s="163">
        <f>SUMIFS('PL1.1 ML2027-2028'!$G:$G,'PL1.1 ML2027-2028'!$J:$J,'TH theo DV'!$J$3,'PL1.1 ML2027-2028'!$K:$K,'TH theo DV'!C18)/$D$1</f>
        <v>0</v>
      </c>
      <c r="K18" s="163">
        <f>SUMIFS('PL1.1 ML2027-2028'!$G:$G,'PL1.1 ML2027-2028'!$J:$J,'TH theo DV'!K$3,'PL1.1 ML2027-2028'!$K:$K,'TH theo DV'!$C18)/$D$1</f>
        <v>0</v>
      </c>
      <c r="L18" s="163">
        <f t="shared" si="32"/>
        <v>0</v>
      </c>
      <c r="M18" s="163" t="e">
        <f t="shared" si="13"/>
        <v>#DIV/0!</v>
      </c>
      <c r="N18" s="163">
        <f>SUMIFS('PL1.1 ML2027-2028'!$H:$H,'PL1.1 ML2027-2028'!$J:$J,'TH theo DV'!N$3,'PL1.1 ML2027-2028'!$K:$K,'TH theo DV'!$C18)/$D$1</f>
        <v>0</v>
      </c>
      <c r="O18" s="163">
        <f>SUMIFS('PL1.1 ML2027-2028'!$H:$H,'PL1.1 ML2027-2028'!$J:$J,'TH theo DV'!O$3,'PL1.1 ML2027-2028'!$K:$K,'TH theo DV'!$C18)/$D$1</f>
        <v>0</v>
      </c>
      <c r="P18" s="163">
        <f>SUMIFS('PL1.1 ML2027-2028'!$H:$H,'PL1.1 ML2027-2028'!$J:$J,'TH theo DV'!P$3,'PL1.1 ML2027-2028'!$K:$K,'TH theo DV'!$C18)/$D$1</f>
        <v>0</v>
      </c>
      <c r="Q18" s="163">
        <f>SUMIFS('PL1.1 ML2027-2028'!$H:$H,'PL1.1 ML2027-2028'!$J:$J,'TH theo DV'!Q$3,'PL1.1 ML2027-2028'!$K:$K,'TH theo DV'!$C18)/$D$1</f>
        <v>0</v>
      </c>
      <c r="R18" s="163">
        <f>SUMIFS('PL1.1 ML2027-2028'!$H:$H,'PL1.1 ML2027-2028'!$J:$J,'TH theo DV'!R$3,'PL1.1 ML2027-2028'!$K:$K,'TH theo DV'!$C18)/$D$1</f>
        <v>0</v>
      </c>
      <c r="S18" s="163">
        <f>SUMIFS('PL1.1 ML2027-2028'!$H:$H,'PL1.1 ML2027-2028'!$J:$J,'TH theo DV'!S$3,'PL1.1 ML2027-2028'!$K:$K,'TH theo DV'!$C18)/$D$1</f>
        <v>0</v>
      </c>
      <c r="T18" s="163">
        <f>SUMIFS('PL1.1 ML2027-2028'!$H:$H,'PL1.1 ML2027-2028'!$J:$J,'TH theo DV'!T$3,'PL1.1 ML2027-2028'!$K:$K,'TH theo DV'!$C18)/$D$1</f>
        <v>0</v>
      </c>
      <c r="U18" s="163">
        <f>SUMIFS('PL1.1 ML2027-2028'!$H:$H,'PL1.1 ML2027-2028'!$J:$J,'TH theo DV'!U$3,'PL1.1 ML2027-2028'!$K:$K,'TH theo DV'!$C18)/$D$1</f>
        <v>0</v>
      </c>
      <c r="V18" s="166">
        <f t="shared" si="33"/>
        <v>0</v>
      </c>
      <c r="W18" s="172"/>
      <c r="X18" s="84">
        <f t="shared" si="34"/>
        <v>0</v>
      </c>
      <c r="Y18" s="84">
        <f t="shared" si="34"/>
        <v>0</v>
      </c>
      <c r="Z18" s="84">
        <f t="shared" si="34"/>
        <v>0</v>
      </c>
      <c r="AA18" s="84">
        <f t="shared" si="34"/>
        <v>0</v>
      </c>
      <c r="AB18" s="84">
        <f t="shared" si="34"/>
        <v>0</v>
      </c>
      <c r="AC18" s="84">
        <f t="shared" si="34"/>
        <v>0</v>
      </c>
      <c r="AD18" s="84">
        <f t="shared" si="35"/>
        <v>0</v>
      </c>
      <c r="AE18" s="83">
        <f t="shared" si="36"/>
        <v>0</v>
      </c>
      <c r="AF18" s="100" t="e">
        <f t="shared" si="9"/>
        <v>#DIV/0!</v>
      </c>
      <c r="AG18" s="113"/>
    </row>
    <row r="19" spans="1:33" s="36" customFormat="1" outlineLevel="1" x14ac:dyDescent="0.25">
      <c r="A19" s="590" t="s">
        <v>8</v>
      </c>
      <c r="B19" s="76" t="s">
        <v>91</v>
      </c>
      <c r="C19" s="18" t="s">
        <v>94</v>
      </c>
      <c r="D19" s="163">
        <f>SUMIFS('PL1.1 ML2027-2028'!$G:$G,'PL1.1 ML2027-2028'!$J:$J,'TH theo DV'!$D$3,'PL1.1 ML2027-2028'!$K:$K,'TH theo DV'!C19)/$D$1</f>
        <v>0</v>
      </c>
      <c r="E19" s="163">
        <f>SUMIFS('PL1.1 ML2027-2028'!$G:$G,'PL1.1 ML2027-2028'!$J:$J,'TH theo DV'!$E$3,'PL1.1 ML2027-2028'!$K:$K,'TH theo DV'!C19)/$D$1</f>
        <v>0</v>
      </c>
      <c r="F19" s="163">
        <f>SUMIFS('PL1.1 ML2027-2028'!$G:$G,'PL1.1 ML2027-2028'!$J:$J,'TH theo DV'!$F$3,'PL1.1 ML2027-2028'!$K:$K,'TH theo DV'!C19)/$D$1</f>
        <v>0</v>
      </c>
      <c r="G19" s="163">
        <f>SUMIFS('PL1.1 ML2027-2028'!$G:$G,'PL1.1 ML2027-2028'!$J:$J,'TH theo DV'!$G$3,'PL1.1 ML2027-2028'!$K:$K,'TH theo DV'!C19)/$D$1</f>
        <v>0</v>
      </c>
      <c r="H19" s="163">
        <f>SUMIFS('PL1.1 ML2027-2028'!$G:$G,'PL1.1 ML2027-2028'!$J:$J,'TH theo DV'!$H$3,'PL1.1 ML2027-2028'!$K:$K,'TH theo DV'!C19)/$D$1</f>
        <v>0</v>
      </c>
      <c r="I19" s="163">
        <f>SUMIFS('PL1.1 ML2027-2028'!$G:$G,'PL1.1 ML2027-2028'!$J:$J,I$3,'PL1.1 ML2027-2028'!$K:$K,C19)/$D$1</f>
        <v>0</v>
      </c>
      <c r="J19" s="163">
        <f>SUMIFS('PL1.1 ML2027-2028'!$G:$G,'PL1.1 ML2027-2028'!$J:$J,'TH theo DV'!$J$3,'PL1.1 ML2027-2028'!$K:$K,'TH theo DV'!C19)/$D$1</f>
        <v>0</v>
      </c>
      <c r="K19" s="163">
        <f>SUMIFS('PL1.1 ML2027-2028'!$G:$G,'PL1.1 ML2027-2028'!$J:$J,'TH theo DV'!K$3,'PL1.1 ML2027-2028'!$K:$K,'TH theo DV'!$C19)/$D$1</f>
        <v>0</v>
      </c>
      <c r="L19" s="163">
        <f t="shared" si="32"/>
        <v>0</v>
      </c>
      <c r="M19" s="163" t="e">
        <f t="shared" si="13"/>
        <v>#DIV/0!</v>
      </c>
      <c r="N19" s="163">
        <f>SUMIFS('PL1.1 ML2027-2028'!$H:$H,'PL1.1 ML2027-2028'!$J:$J,'TH theo DV'!N$3,'PL1.1 ML2027-2028'!$K:$K,'TH theo DV'!$C19)/$D$1</f>
        <v>0</v>
      </c>
      <c r="O19" s="163">
        <f>SUMIFS('PL1.1 ML2027-2028'!$H:$H,'PL1.1 ML2027-2028'!$J:$J,'TH theo DV'!O$3,'PL1.1 ML2027-2028'!$K:$K,'TH theo DV'!$C19)/$D$1</f>
        <v>0</v>
      </c>
      <c r="P19" s="163">
        <f>SUMIFS('PL1.1 ML2027-2028'!$H:$H,'PL1.1 ML2027-2028'!$J:$J,'TH theo DV'!P$3,'PL1.1 ML2027-2028'!$K:$K,'TH theo DV'!$C19)/$D$1</f>
        <v>0</v>
      </c>
      <c r="Q19" s="163">
        <f>SUMIFS('PL1.1 ML2027-2028'!$H:$H,'PL1.1 ML2027-2028'!$J:$J,'TH theo DV'!Q$3,'PL1.1 ML2027-2028'!$K:$K,'TH theo DV'!$C19)/$D$1</f>
        <v>0</v>
      </c>
      <c r="R19" s="163">
        <f>SUMIFS('PL1.1 ML2027-2028'!$H:$H,'PL1.1 ML2027-2028'!$J:$J,'TH theo DV'!R$3,'PL1.1 ML2027-2028'!$K:$K,'TH theo DV'!$C19)/$D$1</f>
        <v>0</v>
      </c>
      <c r="S19" s="163">
        <f>SUMIFS('PL1.1 ML2027-2028'!$H:$H,'PL1.1 ML2027-2028'!$J:$J,'TH theo DV'!S$3,'PL1.1 ML2027-2028'!$K:$K,'TH theo DV'!$C19)/$D$1</f>
        <v>0</v>
      </c>
      <c r="T19" s="163">
        <f>SUMIFS('PL1.1 ML2027-2028'!$H:$H,'PL1.1 ML2027-2028'!$J:$J,'TH theo DV'!T$3,'PL1.1 ML2027-2028'!$K:$K,'TH theo DV'!$C19)/$D$1</f>
        <v>0</v>
      </c>
      <c r="U19" s="163">
        <f>SUMIFS('PL1.1 ML2027-2028'!$H:$H,'PL1.1 ML2027-2028'!$J:$J,'TH theo DV'!U$3,'PL1.1 ML2027-2028'!$K:$K,'TH theo DV'!$C19)/$D$1</f>
        <v>0</v>
      </c>
      <c r="V19" s="166">
        <f t="shared" si="33"/>
        <v>0</v>
      </c>
      <c r="W19" s="172"/>
      <c r="X19" s="84">
        <f t="shared" si="34"/>
        <v>0</v>
      </c>
      <c r="Y19" s="84">
        <f t="shared" si="34"/>
        <v>0</v>
      </c>
      <c r="Z19" s="84">
        <f t="shared" si="34"/>
        <v>0</v>
      </c>
      <c r="AA19" s="84">
        <f t="shared" si="34"/>
        <v>0</v>
      </c>
      <c r="AB19" s="84">
        <f t="shared" si="34"/>
        <v>0</v>
      </c>
      <c r="AC19" s="84">
        <f t="shared" si="34"/>
        <v>0</v>
      </c>
      <c r="AD19" s="84">
        <f t="shared" si="35"/>
        <v>0</v>
      </c>
      <c r="AE19" s="83">
        <f t="shared" si="36"/>
        <v>0</v>
      </c>
      <c r="AF19" s="100" t="e">
        <f t="shared" si="9"/>
        <v>#DIV/0!</v>
      </c>
      <c r="AG19" s="113"/>
    </row>
    <row r="20" spans="1:33" s="36" customFormat="1" outlineLevel="1" x14ac:dyDescent="0.25">
      <c r="A20" s="587">
        <v>3</v>
      </c>
      <c r="B20" s="82" t="s">
        <v>60</v>
      </c>
      <c r="C20" s="45" t="s">
        <v>64</v>
      </c>
      <c r="D20" s="163">
        <f>SUMIFS('PL1.1 ML2027-2028'!$G:$G,'PL1.1 ML2027-2028'!$J:$J,'TH theo DV'!$D$3,'PL1.1 ML2027-2028'!$K:$K,'TH theo DV'!C20)/$D$1</f>
        <v>0</v>
      </c>
      <c r="E20" s="163">
        <f>SUMIFS('PL1.1 ML2027-2028'!$G:$G,'PL1.1 ML2027-2028'!$J:$J,'TH theo DV'!$E$3,'PL1.1 ML2027-2028'!$K:$K,'TH theo DV'!C20)/$D$1</f>
        <v>0</v>
      </c>
      <c r="F20" s="163">
        <f>SUMIFS('PL1.1 ML2027-2028'!$G:$G,'PL1.1 ML2027-2028'!$J:$J,'TH theo DV'!$F$3,'PL1.1 ML2027-2028'!$K:$K,'TH theo DV'!C20)/$D$1</f>
        <v>0</v>
      </c>
      <c r="G20" s="163">
        <f>SUMIFS('PL1.1 ML2027-2028'!$G:$G,'PL1.1 ML2027-2028'!$J:$J,'TH theo DV'!$G$3,'PL1.1 ML2027-2028'!$K:$K,'TH theo DV'!C20)/$D$1</f>
        <v>0</v>
      </c>
      <c r="H20" s="163">
        <f>SUMIFS('PL1.1 ML2027-2028'!$G:$G,'PL1.1 ML2027-2028'!$J:$J,'TH theo DV'!$H$3,'PL1.1 ML2027-2028'!$K:$K,'TH theo DV'!C20)/$D$1</f>
        <v>0</v>
      </c>
      <c r="I20" s="163">
        <f>SUMIFS('PL1.1 ML2027-2028'!$G:$G,'PL1.1 ML2027-2028'!$J:$J,I$3,'PL1.1 ML2027-2028'!$K:$K,C20)/$D$1</f>
        <v>0</v>
      </c>
      <c r="J20" s="163">
        <f>SUMIFS('PL1.1 ML2027-2028'!$G:$G,'PL1.1 ML2027-2028'!$J:$J,'TH theo DV'!$J$3,'PL1.1 ML2027-2028'!$K:$K,'TH theo DV'!C20)/$D$1</f>
        <v>0</v>
      </c>
      <c r="K20" s="163">
        <f>SUMIFS('PL1.1 ML2027-2028'!$G:$G,'PL1.1 ML2027-2028'!$J:$J,'TH theo DV'!K$3,'PL1.1 ML2027-2028'!$K:$K,'TH theo DV'!$C20)/$D$1</f>
        <v>0</v>
      </c>
      <c r="L20" s="163">
        <f t="shared" si="32"/>
        <v>0</v>
      </c>
      <c r="M20" s="163" t="e">
        <f t="shared" si="13"/>
        <v>#DIV/0!</v>
      </c>
      <c r="N20" s="163">
        <f>SUMIFS('PL1.1 ML2027-2028'!$H:$H,'PL1.1 ML2027-2028'!$J:$J,'TH theo DV'!N$3,'PL1.1 ML2027-2028'!$K:$K,'TH theo DV'!$C20)/$D$1</f>
        <v>0</v>
      </c>
      <c r="O20" s="163">
        <f>SUMIFS('PL1.1 ML2027-2028'!$H:$H,'PL1.1 ML2027-2028'!$J:$J,'TH theo DV'!O$3,'PL1.1 ML2027-2028'!$K:$K,'TH theo DV'!$C20)/$D$1</f>
        <v>0</v>
      </c>
      <c r="P20" s="163">
        <f>SUMIFS('PL1.1 ML2027-2028'!$H:$H,'PL1.1 ML2027-2028'!$J:$J,'TH theo DV'!P$3,'PL1.1 ML2027-2028'!$K:$K,'TH theo DV'!$C20)/$D$1</f>
        <v>0</v>
      </c>
      <c r="Q20" s="163">
        <f>SUMIFS('PL1.1 ML2027-2028'!$H:$H,'PL1.1 ML2027-2028'!$J:$J,'TH theo DV'!Q$3,'PL1.1 ML2027-2028'!$K:$K,'TH theo DV'!$C20)/$D$1</f>
        <v>0</v>
      </c>
      <c r="R20" s="163">
        <f>SUMIFS('PL1.1 ML2027-2028'!$H:$H,'PL1.1 ML2027-2028'!$J:$J,'TH theo DV'!R$3,'PL1.1 ML2027-2028'!$K:$K,'TH theo DV'!$C20)/$D$1</f>
        <v>0</v>
      </c>
      <c r="S20" s="163">
        <f>SUMIFS('PL1.1 ML2027-2028'!$H:$H,'PL1.1 ML2027-2028'!$J:$J,'TH theo DV'!S$3,'PL1.1 ML2027-2028'!$K:$K,'TH theo DV'!$C20)/$D$1</f>
        <v>0</v>
      </c>
      <c r="T20" s="163">
        <f>SUMIFS('PL1.1 ML2027-2028'!$H:$H,'PL1.1 ML2027-2028'!$J:$J,'TH theo DV'!T$3,'PL1.1 ML2027-2028'!$K:$K,'TH theo DV'!$C20)/$D$1</f>
        <v>0</v>
      </c>
      <c r="U20" s="163">
        <f>SUMIFS('PL1.1 ML2027-2028'!$H:$H,'PL1.1 ML2027-2028'!$J:$J,'TH theo DV'!U$3,'PL1.1 ML2027-2028'!$K:$K,'TH theo DV'!$C20)/$D$1</f>
        <v>0</v>
      </c>
      <c r="V20" s="166">
        <f>SUM(N20:U20)</f>
        <v>0</v>
      </c>
      <c r="W20" s="172"/>
      <c r="X20" s="84">
        <f t="shared" si="34"/>
        <v>0</v>
      </c>
      <c r="Y20" s="84">
        <f t="shared" si="34"/>
        <v>0</v>
      </c>
      <c r="Z20" s="84">
        <f t="shared" si="34"/>
        <v>0</v>
      </c>
      <c r="AA20" s="84">
        <f t="shared" si="34"/>
        <v>0</v>
      </c>
      <c r="AB20" s="84">
        <f t="shared" si="34"/>
        <v>0</v>
      </c>
      <c r="AC20" s="84">
        <f t="shared" si="34"/>
        <v>0</v>
      </c>
      <c r="AD20" s="84">
        <f t="shared" si="35"/>
        <v>0</v>
      </c>
      <c r="AE20" s="83">
        <f t="shared" si="36"/>
        <v>0</v>
      </c>
      <c r="AF20" s="100" t="e">
        <f t="shared" si="9"/>
        <v>#DIV/0!</v>
      </c>
      <c r="AG20" s="113"/>
    </row>
    <row r="21" spans="1:33" s="36" customFormat="1" outlineLevel="1" x14ac:dyDescent="0.25">
      <c r="A21" s="587">
        <v>4</v>
      </c>
      <c r="B21" s="82" t="s">
        <v>61</v>
      </c>
      <c r="C21" s="18" t="s">
        <v>65</v>
      </c>
      <c r="D21" s="163">
        <f>SUMIFS('PL1.1 ML2027-2028'!$G:$G,'PL1.1 ML2027-2028'!$J:$J,'TH theo DV'!$D$3,'PL1.1 ML2027-2028'!$K:$K,'TH theo DV'!C21)/$D$1</f>
        <v>0</v>
      </c>
      <c r="E21" s="163">
        <f>SUMIFS('PL1.1 ML2027-2028'!$G:$G,'PL1.1 ML2027-2028'!$J:$J,'TH theo DV'!$E$3,'PL1.1 ML2027-2028'!$K:$K,'TH theo DV'!C21)/$D$1</f>
        <v>0</v>
      </c>
      <c r="F21" s="163">
        <f>SUMIFS('PL1.1 ML2027-2028'!$G:$G,'PL1.1 ML2027-2028'!$J:$J,'TH theo DV'!$F$3,'PL1.1 ML2027-2028'!$K:$K,'TH theo DV'!C21)/$D$1</f>
        <v>0</v>
      </c>
      <c r="G21" s="163">
        <f>SUMIFS('PL1.1 ML2027-2028'!$G:$G,'PL1.1 ML2027-2028'!$J:$J,'TH theo DV'!$G$3,'PL1.1 ML2027-2028'!$K:$K,'TH theo DV'!C21)/$D$1</f>
        <v>0</v>
      </c>
      <c r="H21" s="163">
        <f>SUMIFS('PL1.1 ML2027-2028'!$G:$G,'PL1.1 ML2027-2028'!$J:$J,'TH theo DV'!$H$3,'PL1.1 ML2027-2028'!$K:$K,'TH theo DV'!C21)/$D$1</f>
        <v>0</v>
      </c>
      <c r="I21" s="163">
        <f>SUMIFS('PL1.1 ML2027-2028'!$G:$G,'PL1.1 ML2027-2028'!$J:$J,I$3,'PL1.1 ML2027-2028'!$K:$K,C21)/$D$1</f>
        <v>0</v>
      </c>
      <c r="J21" s="163">
        <f>SUMIFS('PL1.1 ML2027-2028'!$G:$G,'PL1.1 ML2027-2028'!$J:$J,'TH theo DV'!$J$3,'PL1.1 ML2027-2028'!$K:$K,'TH theo DV'!C21)/$D$1</f>
        <v>0</v>
      </c>
      <c r="K21" s="163">
        <f>SUMIFS('PL1.1 ML2027-2028'!$G:$G,'PL1.1 ML2027-2028'!$J:$J,'TH theo DV'!K$3,'PL1.1 ML2027-2028'!$K:$K,'TH theo DV'!$C21)/$D$1</f>
        <v>0</v>
      </c>
      <c r="L21" s="163">
        <f t="shared" si="32"/>
        <v>0</v>
      </c>
      <c r="M21" s="163" t="e">
        <f t="shared" si="13"/>
        <v>#DIV/0!</v>
      </c>
      <c r="N21" s="163">
        <f>SUMIFS('PL1.1 ML2027-2028'!$H:$H,'PL1.1 ML2027-2028'!$J:$J,'TH theo DV'!N$3,'PL1.1 ML2027-2028'!$K:$K,'TH theo DV'!$C21)/$D$1</f>
        <v>0</v>
      </c>
      <c r="O21" s="163">
        <f>SUMIFS('PL1.1 ML2027-2028'!$H:$H,'PL1.1 ML2027-2028'!$J:$J,'TH theo DV'!O$3,'PL1.1 ML2027-2028'!$K:$K,'TH theo DV'!$C21)/$D$1</f>
        <v>0</v>
      </c>
      <c r="P21" s="163">
        <f>SUMIFS('PL1.1 ML2027-2028'!$H:$H,'PL1.1 ML2027-2028'!$J:$J,'TH theo DV'!P$3,'PL1.1 ML2027-2028'!$K:$K,'TH theo DV'!$C21)/$D$1</f>
        <v>0</v>
      </c>
      <c r="Q21" s="163">
        <f>SUMIFS('PL1.1 ML2027-2028'!$H:$H,'PL1.1 ML2027-2028'!$J:$J,'TH theo DV'!Q$3,'PL1.1 ML2027-2028'!$K:$K,'TH theo DV'!$C21)/$D$1</f>
        <v>0</v>
      </c>
      <c r="R21" s="163">
        <f>SUMIFS('PL1.1 ML2027-2028'!$H:$H,'PL1.1 ML2027-2028'!$J:$J,'TH theo DV'!R$3,'PL1.1 ML2027-2028'!$K:$K,'TH theo DV'!$C21)/$D$1</f>
        <v>0</v>
      </c>
      <c r="S21" s="163">
        <f>SUMIFS('PL1.1 ML2027-2028'!$H:$H,'PL1.1 ML2027-2028'!$J:$J,'TH theo DV'!S$3,'PL1.1 ML2027-2028'!$K:$K,'TH theo DV'!$C21)/$D$1</f>
        <v>0</v>
      </c>
      <c r="T21" s="163">
        <f>SUMIFS('PL1.1 ML2027-2028'!$H:$H,'PL1.1 ML2027-2028'!$J:$J,'TH theo DV'!T$3,'PL1.1 ML2027-2028'!$K:$K,'TH theo DV'!$C21)/$D$1</f>
        <v>0</v>
      </c>
      <c r="U21" s="163">
        <f>SUMIFS('PL1.1 ML2027-2028'!$H:$H,'PL1.1 ML2027-2028'!$J:$J,'TH theo DV'!U$3,'PL1.1 ML2027-2028'!$K:$K,'TH theo DV'!$C21)/$D$1</f>
        <v>0</v>
      </c>
      <c r="V21" s="166">
        <f>SUM(N21:U21)</f>
        <v>0</v>
      </c>
      <c r="W21" s="172"/>
      <c r="X21" s="84">
        <f t="shared" si="34"/>
        <v>0</v>
      </c>
      <c r="Y21" s="84">
        <f t="shared" si="34"/>
        <v>0</v>
      </c>
      <c r="Z21" s="84">
        <f t="shared" si="34"/>
        <v>0</v>
      </c>
      <c r="AA21" s="84">
        <f t="shared" si="34"/>
        <v>0</v>
      </c>
      <c r="AB21" s="84">
        <f t="shared" si="34"/>
        <v>0</v>
      </c>
      <c r="AC21" s="84">
        <f t="shared" si="34"/>
        <v>0</v>
      </c>
      <c r="AD21" s="84">
        <f t="shared" si="35"/>
        <v>0</v>
      </c>
      <c r="AE21" s="83">
        <f t="shared" si="36"/>
        <v>0</v>
      </c>
      <c r="AF21" s="100" t="e">
        <f t="shared" si="9"/>
        <v>#DIV/0!</v>
      </c>
      <c r="AG21" s="113"/>
    </row>
    <row r="22" spans="1:33" s="36" customFormat="1" outlineLevel="1" x14ac:dyDescent="0.25">
      <c r="A22" s="587">
        <v>5</v>
      </c>
      <c r="B22" s="82" t="s">
        <v>106</v>
      </c>
      <c r="C22" s="18"/>
      <c r="D22" s="163">
        <f t="shared" ref="D22:L22" si="37">SUBTOTAL(9,D23:D25)</f>
        <v>0</v>
      </c>
      <c r="E22" s="163">
        <f t="shared" si="37"/>
        <v>0</v>
      </c>
      <c r="F22" s="163">
        <f t="shared" si="37"/>
        <v>0</v>
      </c>
      <c r="G22" s="163">
        <f t="shared" si="37"/>
        <v>0</v>
      </c>
      <c r="H22" s="163">
        <f t="shared" si="37"/>
        <v>0</v>
      </c>
      <c r="I22" s="163">
        <f t="shared" si="37"/>
        <v>0</v>
      </c>
      <c r="J22" s="163">
        <f t="shared" si="37"/>
        <v>0</v>
      </c>
      <c r="K22" s="163">
        <f t="shared" ref="K22" si="38">SUBTOTAL(9,K23:K25)</f>
        <v>0</v>
      </c>
      <c r="L22" s="163">
        <f t="shared" si="37"/>
        <v>0</v>
      </c>
      <c r="M22" s="163" t="e">
        <f t="shared" si="13"/>
        <v>#DIV/0!</v>
      </c>
      <c r="N22" s="161">
        <f>SUBTOTAL(9,N23:N25)</f>
        <v>0</v>
      </c>
      <c r="O22" s="161">
        <f t="shared" ref="O22:U22" si="39">SUBTOTAL(9,O23:O25)</f>
        <v>0</v>
      </c>
      <c r="P22" s="161">
        <f t="shared" si="39"/>
        <v>0</v>
      </c>
      <c r="Q22" s="161">
        <f t="shared" si="39"/>
        <v>0</v>
      </c>
      <c r="R22" s="161">
        <f t="shared" si="39"/>
        <v>0</v>
      </c>
      <c r="S22" s="161">
        <f t="shared" ref="S22" si="40">SUBTOTAL(9,S23:S25)</f>
        <v>0</v>
      </c>
      <c r="T22" s="161">
        <f t="shared" si="39"/>
        <v>0</v>
      </c>
      <c r="U22" s="166">
        <f t="shared" si="39"/>
        <v>0</v>
      </c>
      <c r="V22" s="161">
        <f>SUBTOTAL(9,V23:V25)</f>
        <v>0</v>
      </c>
      <c r="W22" s="171" t="e">
        <f>V22/$V$4</f>
        <v>#DIV/0!</v>
      </c>
      <c r="X22" s="83">
        <f t="shared" ref="X22:AE22" si="41">SUBTOTAL(9,X23:X25)</f>
        <v>0</v>
      </c>
      <c r="Y22" s="83">
        <f t="shared" si="41"/>
        <v>0</v>
      </c>
      <c r="Z22" s="83">
        <f t="shared" si="41"/>
        <v>0</v>
      </c>
      <c r="AA22" s="83">
        <f t="shared" si="41"/>
        <v>0</v>
      </c>
      <c r="AB22" s="83">
        <f t="shared" si="41"/>
        <v>0</v>
      </c>
      <c r="AC22" s="83">
        <f t="shared" ref="AC22" si="42">SUBTOTAL(9,AC23:AC25)</f>
        <v>0</v>
      </c>
      <c r="AD22" s="83">
        <f t="shared" si="41"/>
        <v>0</v>
      </c>
      <c r="AE22" s="83">
        <f t="shared" si="41"/>
        <v>0</v>
      </c>
      <c r="AF22" s="100" t="e">
        <f t="shared" si="9"/>
        <v>#DIV/0!</v>
      </c>
      <c r="AG22" s="48"/>
    </row>
    <row r="23" spans="1:33" outlineLevel="1" x14ac:dyDescent="0.25">
      <c r="A23" s="476" t="s">
        <v>8</v>
      </c>
      <c r="B23" s="68" t="s">
        <v>113</v>
      </c>
      <c r="C23" s="70" t="s">
        <v>116</v>
      </c>
      <c r="D23" s="163">
        <f>SUMIFS('PL1.1 ML2027-2028'!$G:$G,'PL1.1 ML2027-2028'!$J:$J,'TH theo DV'!$D$3,'PL1.1 ML2027-2028'!$K:$K,'TH theo DV'!C23)/$D$1</f>
        <v>0</v>
      </c>
      <c r="E23" s="163">
        <f>SUMIFS('PL1.1 ML2027-2028'!$G:$G,'PL1.1 ML2027-2028'!$J:$J,'TH theo DV'!$E$3,'PL1.1 ML2027-2028'!$K:$K,'TH theo DV'!C23)/$D$1</f>
        <v>0</v>
      </c>
      <c r="F23" s="163">
        <f>SUMIFS('PL1.1 ML2027-2028'!$G:$G,'PL1.1 ML2027-2028'!$J:$J,'TH theo DV'!$F$3,'PL1.1 ML2027-2028'!$K:$K,'TH theo DV'!C23)/$D$1</f>
        <v>0</v>
      </c>
      <c r="G23" s="163">
        <f>SUMIFS('PL1.1 ML2027-2028'!$G:$G,'PL1.1 ML2027-2028'!$J:$J,'TH theo DV'!$G$3,'PL1.1 ML2027-2028'!$K:$K,'TH theo DV'!C23)/$D$1</f>
        <v>0</v>
      </c>
      <c r="H23" s="163">
        <f>SUMIFS('PL1.1 ML2027-2028'!$G:$G,'PL1.1 ML2027-2028'!$J:$J,'TH theo DV'!$H$3,'PL1.1 ML2027-2028'!$K:$K,'TH theo DV'!C23)/$D$1</f>
        <v>0</v>
      </c>
      <c r="I23" s="163">
        <f>SUMIFS('PL1.1 ML2027-2028'!$G:$G,'PL1.1 ML2027-2028'!$J:$J,I$3,'PL1.1 ML2027-2028'!$K:$K,C23)/$D$1</f>
        <v>0</v>
      </c>
      <c r="J23" s="163">
        <f>SUMIFS('PL1.1 ML2027-2028'!$G:$G,'PL1.1 ML2027-2028'!$J:$J,'TH theo DV'!$J$3,'PL1.1 ML2027-2028'!$K:$K,'TH theo DV'!C23)/$D$1</f>
        <v>0</v>
      </c>
      <c r="K23" s="163">
        <f>SUMIFS('PL1.1 ML2027-2028'!$G:$G,'PL1.1 ML2027-2028'!$J:$J,'TH theo DV'!K$3,'PL1.1 ML2027-2028'!$K:$K,'TH theo DV'!$C23)/$D$1</f>
        <v>0</v>
      </c>
      <c r="L23" s="163">
        <f>SUM(D23:K23)</f>
        <v>0</v>
      </c>
      <c r="M23" s="163" t="e">
        <f t="shared" si="13"/>
        <v>#DIV/0!</v>
      </c>
      <c r="N23" s="163">
        <f>SUMIFS('PL1.1 ML2027-2028'!$H:$H,'PL1.1 ML2027-2028'!$J:$J,'TH theo DV'!N$3,'PL1.1 ML2027-2028'!$K:$K,'TH theo DV'!$C23)/$D$1</f>
        <v>0</v>
      </c>
      <c r="O23" s="163">
        <f>SUMIFS('PL1.1 ML2027-2028'!$H:$H,'PL1.1 ML2027-2028'!$J:$J,'TH theo DV'!O$3,'PL1.1 ML2027-2028'!$K:$K,'TH theo DV'!$C23)/$D$1</f>
        <v>0</v>
      </c>
      <c r="P23" s="163">
        <f>SUMIFS('PL1.1 ML2027-2028'!$H:$H,'PL1.1 ML2027-2028'!$J:$J,'TH theo DV'!P$3,'PL1.1 ML2027-2028'!$K:$K,'TH theo DV'!$C23)/$D$1</f>
        <v>0</v>
      </c>
      <c r="Q23" s="163">
        <f>SUMIFS('PL1.1 ML2027-2028'!$H:$H,'PL1.1 ML2027-2028'!$J:$J,'TH theo DV'!Q$3,'PL1.1 ML2027-2028'!$K:$K,'TH theo DV'!$C23)/$D$1</f>
        <v>0</v>
      </c>
      <c r="R23" s="163">
        <f>SUMIFS('PL1.1 ML2027-2028'!$H:$H,'PL1.1 ML2027-2028'!$J:$J,'TH theo DV'!R$3,'PL1.1 ML2027-2028'!$K:$K,'TH theo DV'!$C23)/$D$1</f>
        <v>0</v>
      </c>
      <c r="S23" s="163">
        <f>SUMIFS('PL1.1 ML2027-2028'!$H:$H,'PL1.1 ML2027-2028'!$J:$J,'TH theo DV'!S$3,'PL1.1 ML2027-2028'!$K:$K,'TH theo DV'!$C23)/$D$1</f>
        <v>0</v>
      </c>
      <c r="T23" s="163">
        <f>SUMIFS('PL1.1 ML2027-2028'!$H:$H,'PL1.1 ML2027-2028'!$J:$J,'TH theo DV'!T$3,'PL1.1 ML2027-2028'!$K:$K,'TH theo DV'!$C23)/$D$1</f>
        <v>0</v>
      </c>
      <c r="U23" s="163">
        <f>SUMIFS('PL1.1 ML2027-2028'!$H:$H,'PL1.1 ML2027-2028'!$J:$J,'TH theo DV'!U$3,'PL1.1 ML2027-2028'!$K:$K,'TH theo DV'!$C23)/$D$1</f>
        <v>0</v>
      </c>
      <c r="V23" s="166">
        <f t="shared" ref="V23:V25" si="43">SUM(N23:U23)</f>
        <v>0</v>
      </c>
      <c r="W23" s="170"/>
      <c r="X23" s="65">
        <f t="shared" ref="X23:AC25" si="44">D23+N23</f>
        <v>0</v>
      </c>
      <c r="Y23" s="65">
        <f t="shared" si="44"/>
        <v>0</v>
      </c>
      <c r="Z23" s="65">
        <f t="shared" si="44"/>
        <v>0</v>
      </c>
      <c r="AA23" s="65">
        <f t="shared" si="44"/>
        <v>0</v>
      </c>
      <c r="AB23" s="65">
        <f t="shared" si="44"/>
        <v>0</v>
      </c>
      <c r="AC23" s="65">
        <f t="shared" si="44"/>
        <v>0</v>
      </c>
      <c r="AD23" s="65">
        <f t="shared" ref="AD23:AD25" si="45">J23+T23</f>
        <v>0</v>
      </c>
      <c r="AE23" s="64">
        <f>SUM(X23:AD23)</f>
        <v>0</v>
      </c>
      <c r="AF23" s="67" t="e">
        <f t="shared" si="9"/>
        <v>#DIV/0!</v>
      </c>
    </row>
    <row r="24" spans="1:33" outlineLevel="1" x14ac:dyDescent="0.25">
      <c r="A24" s="476" t="s">
        <v>8</v>
      </c>
      <c r="B24" s="68" t="s">
        <v>114</v>
      </c>
      <c r="C24" s="70" t="s">
        <v>117</v>
      </c>
      <c r="D24" s="163">
        <f>SUMIFS('PL1.1 ML2027-2028'!$G:$G,'PL1.1 ML2027-2028'!$J:$J,'TH theo DV'!$D$3,'PL1.1 ML2027-2028'!$K:$K,'TH theo DV'!C24)/$D$1</f>
        <v>0</v>
      </c>
      <c r="E24" s="163">
        <f>SUMIFS('PL1.1 ML2027-2028'!$G:$G,'PL1.1 ML2027-2028'!$J:$J,'TH theo DV'!$E$3,'PL1.1 ML2027-2028'!$K:$K,'TH theo DV'!C24)/$D$1</f>
        <v>0</v>
      </c>
      <c r="F24" s="163">
        <f>SUMIFS('PL1.1 ML2027-2028'!$G:$G,'PL1.1 ML2027-2028'!$J:$J,'TH theo DV'!$F$3,'PL1.1 ML2027-2028'!$K:$K,'TH theo DV'!C24)/$D$1</f>
        <v>0</v>
      </c>
      <c r="G24" s="163">
        <f>SUMIFS('PL1.1 ML2027-2028'!$G:$G,'PL1.1 ML2027-2028'!$J:$J,'TH theo DV'!$G$3,'PL1.1 ML2027-2028'!$K:$K,'TH theo DV'!C24)/$D$1</f>
        <v>0</v>
      </c>
      <c r="H24" s="163">
        <f>SUMIFS('PL1.1 ML2027-2028'!$G:$G,'PL1.1 ML2027-2028'!$J:$J,'TH theo DV'!$H$3,'PL1.1 ML2027-2028'!$K:$K,'TH theo DV'!C24)/$D$1</f>
        <v>0</v>
      </c>
      <c r="I24" s="163">
        <f>SUMIFS('PL1.1 ML2027-2028'!$G:$G,'PL1.1 ML2027-2028'!$J:$J,I$3,'PL1.1 ML2027-2028'!$K:$K,C24)/$D$1</f>
        <v>0</v>
      </c>
      <c r="J24" s="163">
        <f>SUMIFS('PL1.1 ML2027-2028'!$G:$G,'PL1.1 ML2027-2028'!$J:$J,'TH theo DV'!$J$3,'PL1.1 ML2027-2028'!$K:$K,'TH theo DV'!C24)/$D$1</f>
        <v>0</v>
      </c>
      <c r="K24" s="163">
        <f>SUMIFS('PL1.1 ML2027-2028'!$G:$G,'PL1.1 ML2027-2028'!$J:$J,'TH theo DV'!K$3,'PL1.1 ML2027-2028'!$K:$K,'TH theo DV'!$C24)/$D$1</f>
        <v>0</v>
      </c>
      <c r="L24" s="163">
        <f>SUM(D24:K24)</f>
        <v>0</v>
      </c>
      <c r="M24" s="163" t="e">
        <f t="shared" si="13"/>
        <v>#DIV/0!</v>
      </c>
      <c r="N24" s="163">
        <f>SUMIFS('PL1.1 ML2027-2028'!$H:$H,'PL1.1 ML2027-2028'!$J:$J,'TH theo DV'!N$3,'PL1.1 ML2027-2028'!$K:$K,'TH theo DV'!$C24)/$D$1</f>
        <v>0</v>
      </c>
      <c r="O24" s="163">
        <f>SUMIFS('PL1.1 ML2027-2028'!$H:$H,'PL1.1 ML2027-2028'!$J:$J,'TH theo DV'!O$3,'PL1.1 ML2027-2028'!$K:$K,'TH theo DV'!$C24)/$D$1</f>
        <v>0</v>
      </c>
      <c r="P24" s="163">
        <f>SUMIFS('PL1.1 ML2027-2028'!$H:$H,'PL1.1 ML2027-2028'!$J:$J,'TH theo DV'!P$3,'PL1.1 ML2027-2028'!$K:$K,'TH theo DV'!$C24)/$D$1</f>
        <v>0</v>
      </c>
      <c r="Q24" s="163">
        <f>SUMIFS('PL1.1 ML2027-2028'!$H:$H,'PL1.1 ML2027-2028'!$J:$J,'TH theo DV'!Q$3,'PL1.1 ML2027-2028'!$K:$K,'TH theo DV'!$C24)/$D$1</f>
        <v>0</v>
      </c>
      <c r="R24" s="163">
        <f>SUMIFS('PL1.1 ML2027-2028'!$H:$H,'PL1.1 ML2027-2028'!$J:$J,'TH theo DV'!R$3,'PL1.1 ML2027-2028'!$K:$K,'TH theo DV'!$C24)/$D$1</f>
        <v>0</v>
      </c>
      <c r="S24" s="163">
        <f>SUMIFS('PL1.1 ML2027-2028'!$H:$H,'PL1.1 ML2027-2028'!$J:$J,'TH theo DV'!S$3,'PL1.1 ML2027-2028'!$K:$K,'TH theo DV'!$C24)/$D$1</f>
        <v>0</v>
      </c>
      <c r="T24" s="163">
        <f>SUMIFS('PL1.1 ML2027-2028'!$H:$H,'PL1.1 ML2027-2028'!$J:$J,'TH theo DV'!T$3,'PL1.1 ML2027-2028'!$K:$K,'TH theo DV'!$C24)/$D$1</f>
        <v>0</v>
      </c>
      <c r="U24" s="163">
        <f>SUMIFS('PL1.1 ML2027-2028'!$H:$H,'PL1.1 ML2027-2028'!$J:$J,'TH theo DV'!U$3,'PL1.1 ML2027-2028'!$K:$K,'TH theo DV'!$C24)/$D$1</f>
        <v>0</v>
      </c>
      <c r="V24" s="166">
        <f t="shared" si="43"/>
        <v>0</v>
      </c>
      <c r="W24" s="170"/>
      <c r="X24" s="65">
        <f t="shared" si="44"/>
        <v>0</v>
      </c>
      <c r="Y24" s="65">
        <f t="shared" si="44"/>
        <v>0</v>
      </c>
      <c r="Z24" s="65">
        <f t="shared" si="44"/>
        <v>0</v>
      </c>
      <c r="AA24" s="65">
        <f t="shared" si="44"/>
        <v>0</v>
      </c>
      <c r="AB24" s="65">
        <f t="shared" si="44"/>
        <v>0</v>
      </c>
      <c r="AC24" s="65">
        <f t="shared" si="44"/>
        <v>0</v>
      </c>
      <c r="AD24" s="65">
        <f t="shared" si="45"/>
        <v>0</v>
      </c>
      <c r="AE24" s="64">
        <f>SUM(X24:AD24)</f>
        <v>0</v>
      </c>
      <c r="AF24" s="67" t="e">
        <f t="shared" si="9"/>
        <v>#DIV/0!</v>
      </c>
    </row>
    <row r="25" spans="1:33" outlineLevel="1" x14ac:dyDescent="0.25">
      <c r="A25" s="476" t="s">
        <v>8</v>
      </c>
      <c r="B25" s="68" t="s">
        <v>350</v>
      </c>
      <c r="C25" s="70" t="s">
        <v>351</v>
      </c>
      <c r="D25" s="163">
        <f>SUMIFS('PL1.1 ML2027-2028'!$G:$G,'PL1.1 ML2027-2028'!$J:$J,'TH theo DV'!$D$3,'PL1.1 ML2027-2028'!$K:$K,'TH theo DV'!C25)/$D$1</f>
        <v>0</v>
      </c>
      <c r="E25" s="163">
        <f>SUMIFS('PL1.1 ML2027-2028'!$G:$G,'PL1.1 ML2027-2028'!$J:$J,'TH theo DV'!$E$3,'PL1.1 ML2027-2028'!$K:$K,'TH theo DV'!C25)/$D$1</f>
        <v>0</v>
      </c>
      <c r="F25" s="163">
        <f>SUMIFS('PL1.1 ML2027-2028'!$G:$G,'PL1.1 ML2027-2028'!$J:$J,'TH theo DV'!$F$3,'PL1.1 ML2027-2028'!$K:$K,'TH theo DV'!C25)/$D$1</f>
        <v>0</v>
      </c>
      <c r="G25" s="163">
        <f>SUMIFS('PL1.1 ML2027-2028'!$G:$G,'PL1.1 ML2027-2028'!$J:$J,'TH theo DV'!$G$3,'PL1.1 ML2027-2028'!$K:$K,'TH theo DV'!C25)/$D$1</f>
        <v>0</v>
      </c>
      <c r="H25" s="163">
        <f>SUMIFS('PL1.1 ML2027-2028'!$G:$G,'PL1.1 ML2027-2028'!$J:$J,'TH theo DV'!$H$3,'PL1.1 ML2027-2028'!$K:$K,'TH theo DV'!C25)/$D$1</f>
        <v>0</v>
      </c>
      <c r="I25" s="163">
        <f>SUMIFS('PL1.1 ML2027-2028'!$G:$G,'PL1.1 ML2027-2028'!$J:$J,I$3,'PL1.1 ML2027-2028'!$K:$K,C25)/$D$1</f>
        <v>0</v>
      </c>
      <c r="J25" s="163">
        <f>SUMIFS('PL1.1 ML2027-2028'!$G:$G,'PL1.1 ML2027-2028'!$J:$J,'TH theo DV'!$J$3,'PL1.1 ML2027-2028'!$K:$K,'TH theo DV'!C25)/$D$1</f>
        <v>0</v>
      </c>
      <c r="K25" s="163">
        <f>SUMIFS('PL1.1 ML2027-2028'!$G:$G,'PL1.1 ML2027-2028'!$J:$J,'TH theo DV'!K$3,'PL1.1 ML2027-2028'!$K:$K,'TH theo DV'!$C25)/$D$1</f>
        <v>0</v>
      </c>
      <c r="L25" s="163">
        <f>SUM(D25:K25)</f>
        <v>0</v>
      </c>
      <c r="M25" s="163" t="e">
        <f t="shared" si="13"/>
        <v>#DIV/0!</v>
      </c>
      <c r="N25" s="163">
        <f>SUMIFS('PL1.1 ML2027-2028'!$H:$H,'PL1.1 ML2027-2028'!$J:$J,'TH theo DV'!N$3,'PL1.1 ML2027-2028'!$K:$K,'TH theo DV'!$C25)/$D$1</f>
        <v>0</v>
      </c>
      <c r="O25" s="163">
        <f>SUMIFS('PL1.1 ML2027-2028'!$H:$H,'PL1.1 ML2027-2028'!$J:$J,'TH theo DV'!O$3,'PL1.1 ML2027-2028'!$K:$K,'TH theo DV'!$C25)/$D$1</f>
        <v>0</v>
      </c>
      <c r="P25" s="163">
        <f>SUMIFS('PL1.1 ML2027-2028'!$H:$H,'PL1.1 ML2027-2028'!$J:$J,'TH theo DV'!P$3,'PL1.1 ML2027-2028'!$K:$K,'TH theo DV'!$C25)/$D$1</f>
        <v>0</v>
      </c>
      <c r="Q25" s="163">
        <f>SUMIFS('PL1.1 ML2027-2028'!$H:$H,'PL1.1 ML2027-2028'!$J:$J,'TH theo DV'!Q$3,'PL1.1 ML2027-2028'!$K:$K,'TH theo DV'!$C25)/$D$1</f>
        <v>0</v>
      </c>
      <c r="R25" s="163">
        <f>SUMIFS('PL1.1 ML2027-2028'!$H:$H,'PL1.1 ML2027-2028'!$J:$J,'TH theo DV'!R$3,'PL1.1 ML2027-2028'!$K:$K,'TH theo DV'!$C25)/$D$1</f>
        <v>0</v>
      </c>
      <c r="S25" s="163">
        <f>SUMIFS('PL1.1 ML2027-2028'!$H:$H,'PL1.1 ML2027-2028'!$J:$J,'TH theo DV'!S$3,'PL1.1 ML2027-2028'!$K:$K,'TH theo DV'!$C25)/$D$1</f>
        <v>0</v>
      </c>
      <c r="T25" s="163">
        <f>SUMIFS('PL1.1 ML2027-2028'!$H:$H,'PL1.1 ML2027-2028'!$J:$J,'TH theo DV'!T$3,'PL1.1 ML2027-2028'!$K:$K,'TH theo DV'!$C25)/$D$1</f>
        <v>0</v>
      </c>
      <c r="U25" s="163">
        <f>SUMIFS('PL1.1 ML2027-2028'!$H:$H,'PL1.1 ML2027-2028'!$J:$J,'TH theo DV'!U$3,'PL1.1 ML2027-2028'!$K:$K,'TH theo DV'!$C25)/$D$1</f>
        <v>0</v>
      </c>
      <c r="V25" s="166">
        <f t="shared" si="43"/>
        <v>0</v>
      </c>
      <c r="W25" s="170"/>
      <c r="X25" s="65">
        <f t="shared" si="44"/>
        <v>0</v>
      </c>
      <c r="Y25" s="65">
        <f t="shared" si="44"/>
        <v>0</v>
      </c>
      <c r="Z25" s="65">
        <f t="shared" si="44"/>
        <v>0</v>
      </c>
      <c r="AA25" s="65">
        <f t="shared" si="44"/>
        <v>0</v>
      </c>
      <c r="AB25" s="65">
        <f t="shared" si="44"/>
        <v>0</v>
      </c>
      <c r="AC25" s="65">
        <f t="shared" si="44"/>
        <v>0</v>
      </c>
      <c r="AD25" s="65">
        <f t="shared" si="45"/>
        <v>0</v>
      </c>
      <c r="AE25" s="64">
        <f>SUM(X25:AD25)</f>
        <v>0</v>
      </c>
      <c r="AF25" s="67" t="e">
        <f t="shared" si="9"/>
        <v>#DIV/0!</v>
      </c>
    </row>
    <row r="26" spans="1:33" ht="25.5" outlineLevel="1" x14ac:dyDescent="0.25">
      <c r="A26" s="589" t="s">
        <v>15</v>
      </c>
      <c r="B26" s="101" t="s">
        <v>115</v>
      </c>
      <c r="C26" s="86"/>
      <c r="D26" s="162">
        <f t="shared" ref="D26:F26" si="46">SUBTOTAL(9,D27:D30)</f>
        <v>0</v>
      </c>
      <c r="E26" s="162">
        <f t="shared" si="46"/>
        <v>0</v>
      </c>
      <c r="F26" s="162">
        <f t="shared" si="46"/>
        <v>0</v>
      </c>
      <c r="G26" s="162">
        <f>SUBTOTAL(9,G27:G30)</f>
        <v>0</v>
      </c>
      <c r="H26" s="162">
        <f t="shared" ref="H26:L26" si="47">SUBTOTAL(9,H27:H30)</f>
        <v>0</v>
      </c>
      <c r="I26" s="162"/>
      <c r="J26" s="162">
        <f t="shared" si="47"/>
        <v>0</v>
      </c>
      <c r="K26" s="176">
        <f t="shared" ref="K26" si="48">SUBTOTAL(9,K27:K30)</f>
        <v>0</v>
      </c>
      <c r="L26" s="162">
        <f t="shared" si="47"/>
        <v>0</v>
      </c>
      <c r="M26" s="104" t="e">
        <f t="shared" ref="M26:M31" si="49">L26/$L$4</f>
        <v>#DIV/0!</v>
      </c>
      <c r="N26" s="162">
        <f t="shared" ref="N26" si="50">SUBTOTAL(9,N27:N30)</f>
        <v>0</v>
      </c>
      <c r="O26" s="162">
        <f t="shared" ref="O26" si="51">SUBTOTAL(9,O28:O30)</f>
        <v>0</v>
      </c>
      <c r="P26" s="162">
        <f t="shared" ref="P26:V26" si="52">SUBTOTAL(9,P27:P30)</f>
        <v>0</v>
      </c>
      <c r="Q26" s="162">
        <f t="shared" si="52"/>
        <v>0</v>
      </c>
      <c r="R26" s="162">
        <f t="shared" si="52"/>
        <v>0</v>
      </c>
      <c r="S26" s="162">
        <f t="shared" ref="S26" si="53">SUBTOTAL(9,S27:S30)</f>
        <v>0</v>
      </c>
      <c r="T26" s="162">
        <f t="shared" si="52"/>
        <v>0</v>
      </c>
      <c r="U26" s="162">
        <f t="shared" si="52"/>
        <v>0</v>
      </c>
      <c r="V26" s="162">
        <f t="shared" si="52"/>
        <v>0</v>
      </c>
      <c r="W26" s="104" t="e">
        <f t="shared" ref="W26:W31" si="54">V26/$V$4</f>
        <v>#DIV/0!</v>
      </c>
      <c r="X26" s="66">
        <f t="shared" ref="X26:AE26" si="55">SUBTOTAL(9,X28:X30)</f>
        <v>0</v>
      </c>
      <c r="Y26" s="66">
        <f t="shared" si="55"/>
        <v>0</v>
      </c>
      <c r="Z26" s="66">
        <f t="shared" si="55"/>
        <v>0</v>
      </c>
      <c r="AA26" s="66">
        <f t="shared" si="55"/>
        <v>0</v>
      </c>
      <c r="AB26" s="66">
        <f t="shared" si="55"/>
        <v>0</v>
      </c>
      <c r="AC26" s="66">
        <f t="shared" ref="AC26" si="56">SUBTOTAL(9,AC28:AC30)</f>
        <v>0</v>
      </c>
      <c r="AD26" s="66">
        <f t="shared" si="55"/>
        <v>0</v>
      </c>
      <c r="AE26" s="66">
        <f t="shared" si="55"/>
        <v>0</v>
      </c>
      <c r="AF26" s="104" t="e">
        <f t="shared" si="9"/>
        <v>#DIV/0!</v>
      </c>
    </row>
    <row r="27" spans="1:33" s="36" customFormat="1" outlineLevel="1" x14ac:dyDescent="0.25">
      <c r="A27" s="590">
        <v>1</v>
      </c>
      <c r="B27" s="51" t="s">
        <v>159</v>
      </c>
      <c r="C27" s="18" t="s">
        <v>160</v>
      </c>
      <c r="D27" s="167">
        <f>SUMIFS('PL1.1 ML2027-2028'!$G:$G,'PL1.1 ML2027-2028'!$J:$J,'TH theo DV'!$D$3,'PL1.1 ML2027-2028'!$K:$K,'TH theo DV'!C27)/$D$1</f>
        <v>0</v>
      </c>
      <c r="E27" s="167">
        <f>SUMIFS('PL1.1 ML2027-2028'!$G:$G,'PL1.1 ML2027-2028'!$J:$J,'TH theo DV'!$E$3,'PL1.1 ML2027-2028'!$K:$K,'TH theo DV'!C27)/$D$1</f>
        <v>0</v>
      </c>
      <c r="F27" s="167">
        <f>SUMIFS('PL1.1 ML2027-2028'!$G:$G,'PL1.1 ML2027-2028'!$J:$J,'TH theo DV'!$F$3,'PL1.1 ML2027-2028'!$K:$K,'TH theo DV'!C27)/$D$1</f>
        <v>0</v>
      </c>
      <c r="G27" s="163">
        <f>SUMIFS('PL1.1 ML2027-2028'!$G:$G,'PL1.1 ML2027-2028'!$J:$J,'TH theo DV'!$G$3,'PL1.1 ML2027-2028'!$K:$K,'TH theo DV'!C27)/$D$1</f>
        <v>0</v>
      </c>
      <c r="H27" s="163">
        <f>SUMIFS('PL1.1 ML2027-2028'!$G:$G,'PL1.1 ML2027-2028'!$J:$J,'TH theo DV'!$H$3,'PL1.1 ML2027-2028'!$K:$K,'TH theo DV'!C27)/$D$1</f>
        <v>0</v>
      </c>
      <c r="I27" s="163">
        <f>SUMIFS('PL1.1 ML2027-2028'!$G:$G,'PL1.1 ML2027-2028'!$J:$J,I$3,'PL1.1 ML2027-2028'!$K:$K,C27)/$D$1</f>
        <v>0</v>
      </c>
      <c r="J27" s="167">
        <f>SUMIFS('PL1.1 ML2027-2028'!$G:$G,'PL1.1 ML2027-2028'!$J:$J,'TH theo DV'!$J$3,'PL1.1 ML2027-2028'!$K:$K,'TH theo DV'!C27)/$D$1</f>
        <v>0</v>
      </c>
      <c r="K27" s="152">
        <f>SUMIFS('PL1.1 ML2027-2028'!$G:$G,'PL1.1 ML2027-2028'!$J:$J,'TH theo DV'!K$3,'PL1.1 ML2027-2028'!$K:$K,'TH theo DV'!$C27)/$D$1</f>
        <v>0</v>
      </c>
      <c r="L27" s="164">
        <f>SUM(D27:K27)</f>
        <v>0</v>
      </c>
      <c r="M27" s="100" t="e">
        <f t="shared" si="49"/>
        <v>#DIV/0!</v>
      </c>
      <c r="N27" s="167">
        <f>SUMIFS('PL1.1 ML2027-2028'!$H:$H,'PL1.1 ML2027-2028'!$J:$J,'TH theo DV'!N$3,'PL1.1 ML2027-2028'!$K:$K,'TH theo DV'!$C27)/$D$1</f>
        <v>0</v>
      </c>
      <c r="O27" s="167">
        <f>SUMIFS('PL1.1 ML2027-2028'!$H:$H,'PL1.1 ML2027-2028'!$J:$J,'TH theo DV'!O$3,'PL1.1 ML2027-2028'!$K:$K,'TH theo DV'!$C27)/$D$1</f>
        <v>0</v>
      </c>
      <c r="P27" s="167">
        <f>SUMIFS('PL1.1 ML2027-2028'!$H:$H,'PL1.1 ML2027-2028'!$J:$J,'TH theo DV'!P$3,'PL1.1 ML2027-2028'!$K:$K,'TH theo DV'!$C27)/$D$1</f>
        <v>0</v>
      </c>
      <c r="Q27" s="167">
        <f>SUMIFS('PL1.1 ML2027-2028'!$H:$H,'PL1.1 ML2027-2028'!$J:$J,'TH theo DV'!Q$3,'PL1.1 ML2027-2028'!$K:$K,'TH theo DV'!$C27)/$D$1</f>
        <v>0</v>
      </c>
      <c r="R27" s="167">
        <f>SUMIFS('PL1.1 ML2027-2028'!$H:$H,'PL1.1 ML2027-2028'!$J:$J,'TH theo DV'!R$3,'PL1.1 ML2027-2028'!$K:$K,'TH theo DV'!$C27)/$D$1</f>
        <v>0</v>
      </c>
      <c r="S27" s="167">
        <f>SUMIFS('PL1.1 ML2027-2028'!$H:$H,'PL1.1 ML2027-2028'!$J:$J,'TH theo DV'!S$3,'PL1.1 ML2027-2028'!$K:$K,'TH theo DV'!$C27)/$D$1</f>
        <v>0</v>
      </c>
      <c r="T27" s="167">
        <f>SUMIFS('PL1.1 ML2027-2028'!$H:$H,'PL1.1 ML2027-2028'!$J:$J,'TH theo DV'!T$3,'PL1.1 ML2027-2028'!$K:$K,'TH theo DV'!$C27)/$D$1</f>
        <v>0</v>
      </c>
      <c r="U27" s="163">
        <f>SUMIFS('PL1.1 ML2027-2028'!$H:$H,'PL1.1 ML2027-2028'!$J:$J,'TH theo DV'!U$3,'PL1.1 ML2027-2028'!$K:$K,'TH theo DV'!$C27)/$D$1</f>
        <v>0</v>
      </c>
      <c r="V27" s="166">
        <f t="shared" ref="V27:V31" si="57">SUM(N27:U27)</f>
        <v>0</v>
      </c>
      <c r="W27" s="171" t="e">
        <f t="shared" si="54"/>
        <v>#DIV/0!</v>
      </c>
      <c r="X27" s="84">
        <f t="shared" ref="X27:AC31" si="58">D27+N27</f>
        <v>0</v>
      </c>
      <c r="Y27" s="84">
        <f t="shared" si="58"/>
        <v>0</v>
      </c>
      <c r="Z27" s="84">
        <f t="shared" si="58"/>
        <v>0</v>
      </c>
      <c r="AA27" s="84">
        <f t="shared" si="58"/>
        <v>0</v>
      </c>
      <c r="AB27" s="84">
        <f t="shared" si="58"/>
        <v>0</v>
      </c>
      <c r="AC27" s="84">
        <f t="shared" si="58"/>
        <v>0</v>
      </c>
      <c r="AD27" s="84">
        <f t="shared" ref="AD27:AD31" si="59">J27+T27</f>
        <v>0</v>
      </c>
      <c r="AE27" s="83">
        <f t="shared" ref="AE27" si="60">SUM(X27:AD27)</f>
        <v>0</v>
      </c>
      <c r="AF27" s="100" t="e">
        <f t="shared" si="9"/>
        <v>#DIV/0!</v>
      </c>
      <c r="AG27" s="48"/>
    </row>
    <row r="28" spans="1:33" ht="25.5" outlineLevel="1" x14ac:dyDescent="0.25">
      <c r="A28" s="476">
        <v>2</v>
      </c>
      <c r="B28" s="85" t="s">
        <v>158</v>
      </c>
      <c r="C28" s="70" t="s">
        <v>77</v>
      </c>
      <c r="D28" s="167">
        <f>SUMIFS('PL1.1 ML2027-2028'!$G:$G,'PL1.1 ML2027-2028'!$J:$J,'TH theo DV'!$D$3,'PL1.1 ML2027-2028'!$K:$K,'TH theo DV'!C28)/$D$1</f>
        <v>0</v>
      </c>
      <c r="E28" s="167">
        <f>SUMIFS('PL1.1 ML2027-2028'!$G:$G,'PL1.1 ML2027-2028'!$J:$J,'TH theo DV'!$E$3,'PL1.1 ML2027-2028'!$K:$K,'TH theo DV'!C28)/$D$1</f>
        <v>0</v>
      </c>
      <c r="F28" s="167">
        <f>SUMIFS('PL1.1 ML2027-2028'!$G:$G,'PL1.1 ML2027-2028'!$J:$J,'TH theo DV'!$F$3,'PL1.1 ML2027-2028'!$K:$K,'TH theo DV'!C28)/$D$1</f>
        <v>0</v>
      </c>
      <c r="G28" s="163">
        <f>SUMIFS('PL1.1 ML2027-2028'!$G:$G,'PL1.1 ML2027-2028'!$J:$J,'TH theo DV'!$G$3,'PL1.1 ML2027-2028'!$K:$K,'TH theo DV'!C28)/$D$1</f>
        <v>0</v>
      </c>
      <c r="H28" s="163">
        <f>SUMIFS('PL1.1 ML2027-2028'!$G:$G,'PL1.1 ML2027-2028'!$J:$J,'TH theo DV'!$H$3,'PL1.1 ML2027-2028'!$K:$K,'TH theo DV'!C28)/$D$1</f>
        <v>0</v>
      </c>
      <c r="I28" s="163">
        <f>SUMIFS('PL1.1 ML2027-2028'!$G:$G,'PL1.1 ML2027-2028'!$J:$J,I$3,'PL1.1 ML2027-2028'!$K:$K,C28)/$D$1</f>
        <v>0</v>
      </c>
      <c r="J28" s="167">
        <f>SUMIFS('PL1.1 ML2027-2028'!$G:$G,'PL1.1 ML2027-2028'!$J:$J,'TH theo DV'!$J$3,'PL1.1 ML2027-2028'!$K:$K,'TH theo DV'!C28)/$D$1</f>
        <v>0</v>
      </c>
      <c r="K28" s="152">
        <f>SUMIFS('PL1.1 ML2027-2028'!$G:$G,'PL1.1 ML2027-2028'!$J:$J,'TH theo DV'!K$3,'PL1.1 ML2027-2028'!$K:$K,'TH theo DV'!$C28)/$D$1</f>
        <v>0</v>
      </c>
      <c r="L28" s="164">
        <f>SUM(D28:K28)</f>
        <v>0</v>
      </c>
      <c r="M28" s="67" t="e">
        <f t="shared" si="49"/>
        <v>#DIV/0!</v>
      </c>
      <c r="N28" s="163">
        <f>SUMIFS('PL1.1 ML2027-2028'!$H:$H,'PL1.1 ML2027-2028'!$J:$J,'TH theo DV'!N$3,'PL1.1 ML2027-2028'!$K:$K,'TH theo DV'!$C28)/$D$1</f>
        <v>0</v>
      </c>
      <c r="O28" s="163">
        <f>SUMIFS('PL1.1 ML2027-2028'!$H:$H,'PL1.1 ML2027-2028'!$J:$J,'TH theo DV'!O$3,'PL1.1 ML2027-2028'!$K:$K,'TH theo DV'!$C28)/$D$1</f>
        <v>0</v>
      </c>
      <c r="P28" s="163">
        <f>SUMIFS('PL1.1 ML2027-2028'!$H:$H,'PL1.1 ML2027-2028'!$J:$J,'TH theo DV'!P$3,'PL1.1 ML2027-2028'!$K:$K,'TH theo DV'!$C28)/$D$1</f>
        <v>0</v>
      </c>
      <c r="Q28" s="163">
        <f>SUMIFS('PL1.1 ML2027-2028'!$H:$H,'PL1.1 ML2027-2028'!$J:$J,'TH theo DV'!Q$3,'PL1.1 ML2027-2028'!$K:$K,'TH theo DV'!$C28)/$D$1</f>
        <v>0</v>
      </c>
      <c r="R28" s="163">
        <f>SUMIFS('PL1.1 ML2027-2028'!$H:$H,'PL1.1 ML2027-2028'!$J:$J,'TH theo DV'!R$3,'PL1.1 ML2027-2028'!$K:$K,'TH theo DV'!$C28)/$D$1</f>
        <v>0</v>
      </c>
      <c r="S28" s="163">
        <f>SUMIFS('PL1.1 ML2027-2028'!$H:$H,'PL1.1 ML2027-2028'!$J:$J,'TH theo DV'!S$3,'PL1.1 ML2027-2028'!$K:$K,'TH theo DV'!$C28)/$D$1</f>
        <v>0</v>
      </c>
      <c r="T28" s="163">
        <f>SUMIFS('PL1.1 ML2027-2028'!$H:$H,'PL1.1 ML2027-2028'!$J:$J,'TH theo DV'!T$3,'PL1.1 ML2027-2028'!$K:$K,'TH theo DV'!$C28)/$D$1</f>
        <v>0</v>
      </c>
      <c r="U28" s="163">
        <f>SUMIFS('PL1.1 ML2027-2028'!$H:$H,'PL1.1 ML2027-2028'!$J:$J,'TH theo DV'!U$3,'PL1.1 ML2027-2028'!$K:$K,'TH theo DV'!$C28)/$D$1</f>
        <v>0</v>
      </c>
      <c r="V28" s="166">
        <f t="shared" si="57"/>
        <v>0</v>
      </c>
      <c r="W28" s="173" t="e">
        <f t="shared" si="54"/>
        <v>#DIV/0!</v>
      </c>
      <c r="X28" s="65">
        <f t="shared" si="58"/>
        <v>0</v>
      </c>
      <c r="Y28" s="65">
        <f t="shared" si="58"/>
        <v>0</v>
      </c>
      <c r="Z28" s="65">
        <f t="shared" si="58"/>
        <v>0</v>
      </c>
      <c r="AA28" s="65">
        <f t="shared" si="58"/>
        <v>0</v>
      </c>
      <c r="AB28" s="65">
        <f t="shared" si="58"/>
        <v>0</v>
      </c>
      <c r="AC28" s="65">
        <f t="shared" si="58"/>
        <v>0</v>
      </c>
      <c r="AD28" s="65">
        <f t="shared" si="59"/>
        <v>0</v>
      </c>
      <c r="AE28" s="64">
        <f t="shared" ref="AE28:AE29" si="61">SUM(X28:AD28)</f>
        <v>0</v>
      </c>
      <c r="AF28" s="67" t="e">
        <f t="shared" si="9"/>
        <v>#DIV/0!</v>
      </c>
      <c r="AG28" s="113"/>
    </row>
    <row r="29" spans="1:33" ht="17.649999999999999" customHeight="1" outlineLevel="1" x14ac:dyDescent="0.25">
      <c r="A29" s="590">
        <v>3</v>
      </c>
      <c r="B29" s="72" t="s">
        <v>161</v>
      </c>
      <c r="C29" s="44" t="s">
        <v>118</v>
      </c>
      <c r="D29" s="167">
        <f>SUMIFS('PL1.1 ML2027-2028'!$G:$G,'PL1.1 ML2027-2028'!$J:$J,'TH theo DV'!$D$3,'PL1.1 ML2027-2028'!$K:$K,'TH theo DV'!C29)/$D$1</f>
        <v>0</v>
      </c>
      <c r="E29" s="167">
        <f>SUMIFS('PL1.1 ML2027-2028'!$G:$G,'PL1.1 ML2027-2028'!$J:$J,'TH theo DV'!$E$3,'PL1.1 ML2027-2028'!$K:$K,'TH theo DV'!C29)/$D$1</f>
        <v>0</v>
      </c>
      <c r="F29" s="122">
        <f>SUMIFS('PL1.1 ML2027-2028'!$G:$G,'PL1.1 ML2027-2028'!$J:$J,'TH theo DV'!$F$3,'PL1.1 ML2027-2028'!$K:$K,'TH theo DV'!C29)/$D$1</f>
        <v>0</v>
      </c>
      <c r="G29" s="163">
        <f>SUMIFS('PL1.1 ML2027-2028'!$G:$G,'PL1.1 ML2027-2028'!$J:$J,'TH theo DV'!$G$3,'PL1.1 ML2027-2028'!$K:$K,'TH theo DV'!C29)/$D$1</f>
        <v>0</v>
      </c>
      <c r="H29" s="163">
        <f>SUMIFS('PL1.1 ML2027-2028'!$G:$G,'PL1.1 ML2027-2028'!$J:$J,'TH theo DV'!$H$3,'PL1.1 ML2027-2028'!$K:$K,'TH theo DV'!C29)/$D$1</f>
        <v>0</v>
      </c>
      <c r="I29" s="163">
        <f>SUMIFS('PL1.1 ML2027-2028'!$G:$G,'PL1.1 ML2027-2028'!$J:$J,I$3,'PL1.1 ML2027-2028'!$K:$K,C29)/$D$1</f>
        <v>0</v>
      </c>
      <c r="J29" s="167">
        <f>SUMIFS('PL1.1 ML2027-2028'!$G:$G,'PL1.1 ML2027-2028'!$J:$J,'TH theo DV'!$J$3,'PL1.1 ML2027-2028'!$K:$K,'TH theo DV'!C29)/$D$1</f>
        <v>0</v>
      </c>
      <c r="K29" s="152">
        <f>SUMIFS('PL1.1 ML2027-2028'!$G:$G,'PL1.1 ML2027-2028'!$J:$J,'TH theo DV'!K$3,'PL1.1 ML2027-2028'!$K:$K,'TH theo DV'!$C29)/$D$1</f>
        <v>0</v>
      </c>
      <c r="L29" s="164">
        <f>SUM(D29:K29)</f>
        <v>0</v>
      </c>
      <c r="M29" s="67" t="e">
        <f t="shared" si="49"/>
        <v>#DIV/0!</v>
      </c>
      <c r="N29" s="163">
        <f>SUMIFS('PL1.1 ML2027-2028'!$H:$H,'PL1.1 ML2027-2028'!$J:$J,'TH theo DV'!N$3,'PL1.1 ML2027-2028'!$K:$K,'TH theo DV'!$C29)/$D$1</f>
        <v>0</v>
      </c>
      <c r="O29" s="163">
        <f>SUMIFS('PL1.1 ML2027-2028'!$H:$H,'PL1.1 ML2027-2028'!$J:$J,'TH theo DV'!O$3,'PL1.1 ML2027-2028'!$K:$K,'TH theo DV'!$C29)/$D$1</f>
        <v>0</v>
      </c>
      <c r="P29" s="152">
        <f>SUMIFS('PL1.1 ML2027-2028'!$H:$H,'PL1.1 ML2027-2028'!$J:$J,'TH theo DV'!P$3,'PL1.1 ML2027-2028'!$K:$K,'TH theo DV'!$C29)/$D$1</f>
        <v>0</v>
      </c>
      <c r="Q29" s="163">
        <f>SUMIFS('PL1.1 ML2027-2028'!$H:$H,'PL1.1 ML2027-2028'!$J:$J,'TH theo DV'!Q$3,'PL1.1 ML2027-2028'!$K:$K,'TH theo DV'!$C29)/$D$1</f>
        <v>0</v>
      </c>
      <c r="R29" s="163">
        <f>SUMIFS('PL1.1 ML2027-2028'!$H:$H,'PL1.1 ML2027-2028'!$J:$J,'TH theo DV'!R$3,'PL1.1 ML2027-2028'!$K:$K,'TH theo DV'!$C29)/$D$1</f>
        <v>0</v>
      </c>
      <c r="S29" s="163">
        <f>SUMIFS('PL1.1 ML2027-2028'!$H:$H,'PL1.1 ML2027-2028'!$J:$J,'TH theo DV'!S$3,'PL1.1 ML2027-2028'!$K:$K,'TH theo DV'!$C29)/$D$1</f>
        <v>0</v>
      </c>
      <c r="T29" s="163">
        <f>SUMIFS('PL1.1 ML2027-2028'!$H:$H,'PL1.1 ML2027-2028'!$J:$J,'TH theo DV'!T$3,'PL1.1 ML2027-2028'!$K:$K,'TH theo DV'!$C29)/$D$1</f>
        <v>0</v>
      </c>
      <c r="U29" s="163">
        <f>SUMIFS('PL1.1 ML2027-2028'!$H:$H,'PL1.1 ML2027-2028'!$J:$J,'TH theo DV'!U$3,'PL1.1 ML2027-2028'!$K:$K,'TH theo DV'!$C29)/$D$1</f>
        <v>0</v>
      </c>
      <c r="V29" s="166">
        <f t="shared" si="57"/>
        <v>0</v>
      </c>
      <c r="W29" s="173" t="e">
        <f t="shared" si="54"/>
        <v>#DIV/0!</v>
      </c>
      <c r="X29" s="65">
        <f t="shared" si="58"/>
        <v>0</v>
      </c>
      <c r="Y29" s="65">
        <f t="shared" si="58"/>
        <v>0</v>
      </c>
      <c r="Z29" s="65">
        <f t="shared" si="58"/>
        <v>0</v>
      </c>
      <c r="AA29" s="65">
        <f t="shared" si="58"/>
        <v>0</v>
      </c>
      <c r="AB29" s="65">
        <f t="shared" si="58"/>
        <v>0</v>
      </c>
      <c r="AC29" s="65">
        <f t="shared" si="58"/>
        <v>0</v>
      </c>
      <c r="AD29" s="65">
        <f t="shared" si="59"/>
        <v>0</v>
      </c>
      <c r="AE29" s="64">
        <f t="shared" si="61"/>
        <v>0</v>
      </c>
      <c r="AF29" s="67" t="e">
        <f t="shared" si="9"/>
        <v>#DIV/0!</v>
      </c>
      <c r="AG29" s="113"/>
    </row>
    <row r="30" spans="1:33" s="36" customFormat="1" ht="25.5" outlineLevel="1" x14ac:dyDescent="0.25">
      <c r="A30" s="590">
        <v>4</v>
      </c>
      <c r="B30" s="85" t="s">
        <v>98</v>
      </c>
      <c r="C30" s="18" t="s">
        <v>99</v>
      </c>
      <c r="D30" s="167">
        <f>SUMIFS('PL1.1 ML2027-2028'!$G:$G,'PL1.1 ML2027-2028'!$J:$J,'TH theo DV'!$D$3,'PL1.1 ML2027-2028'!$K:$K,'TH theo DV'!C30)/$D$1</f>
        <v>0</v>
      </c>
      <c r="E30" s="84">
        <f>SUMIFS('PL1.1 ML2027-2028'!$G:$G,'PL1.1 ML2027-2028'!$J:$J,'TH theo DV'!$E$3,'PL1.1 ML2027-2028'!$K:$K,'TH theo DV'!C30)/$D$1</f>
        <v>0</v>
      </c>
      <c r="F30" s="84">
        <f>SUMIFS('PL1.1 ML2027-2028'!$G:$G,'PL1.1 ML2027-2028'!$J:$J,'TH theo DV'!$F$3,'PL1.1 ML2027-2028'!$K:$K,'TH theo DV'!C30)/$D$1</f>
        <v>0</v>
      </c>
      <c r="G30" s="65">
        <f>SUMIFS('PL1.1 ML2027-2028'!$G:$G,'PL1.1 ML2027-2028'!$J:$J,'TH theo DV'!$G$3,'PL1.1 ML2027-2028'!$K:$K,'TH theo DV'!C30)/$D$1</f>
        <v>0</v>
      </c>
      <c r="H30" s="65">
        <f>SUMIFS('PL1.1 ML2027-2028'!$G:$G,'PL1.1 ML2027-2028'!$J:$J,'TH theo DV'!$H$3,'PL1.1 ML2027-2028'!$K:$K,'TH theo DV'!C30)/$D$1</f>
        <v>0</v>
      </c>
      <c r="I30" s="163">
        <f>SUMIFS('PL1.1 ML2027-2028'!$G:$G,'PL1.1 ML2027-2028'!$J:$J,I$3,'PL1.1 ML2027-2028'!$K:$K,C30)/$D$1</f>
        <v>0</v>
      </c>
      <c r="J30" s="84">
        <f>SUMIFS('PL1.1 ML2027-2028'!$G:$G,'PL1.1 ML2027-2028'!$J:$J,'TH theo DV'!$J$3,'PL1.1 ML2027-2028'!$K:$K,'TH theo DV'!C30)/$D$1</f>
        <v>0</v>
      </c>
      <c r="K30" s="84">
        <f>SUMIFS('PL1.1 ML2027-2028'!$G:$G,'PL1.1 ML2027-2028'!$J:$J,'TH theo DV'!$J$3,'PL1.1 ML2027-2028'!$K:$K,'TH theo DV'!D30)/$D$1</f>
        <v>0</v>
      </c>
      <c r="L30" s="164">
        <f>SUM(D30:K30)</f>
        <v>0</v>
      </c>
      <c r="M30" s="67" t="e">
        <f t="shared" si="49"/>
        <v>#DIV/0!</v>
      </c>
      <c r="N30" s="65">
        <f>SUMIFS('PL1.1 ML2027-2028'!$H:$H,'PL1.1 ML2027-2028'!$J:$J,'TH theo DV'!N$3,'PL1.1 ML2027-2028'!$K:$K,'TH theo DV'!$C30)/$D$1</f>
        <v>0</v>
      </c>
      <c r="O30" s="65">
        <f>SUMIFS('PL1.1 ML2027-2028'!$H:$H,'PL1.1 ML2027-2028'!$J:$J,'TH theo DV'!O$3,'PL1.1 ML2027-2028'!$K:$K,'TH theo DV'!$C30)/$D$1</f>
        <v>0</v>
      </c>
      <c r="P30" s="65">
        <f>SUMIFS('PL1.1 ML2027-2028'!$H:$H,'PL1.1 ML2027-2028'!$J:$J,'TH theo DV'!P$3,'PL1.1 ML2027-2028'!$K:$K,'TH theo DV'!$C30)/$D$1</f>
        <v>0</v>
      </c>
      <c r="Q30" s="65">
        <f>SUMIFS('PL1.1 ML2027-2028'!$H:$H,'PL1.1 ML2027-2028'!$J:$J,'TH theo DV'!Q$3,'PL1.1 ML2027-2028'!$K:$K,'TH theo DV'!$C30)/$D$1</f>
        <v>0</v>
      </c>
      <c r="R30" s="65">
        <f>SUMIFS('PL1.1 ML2027-2028'!$H:$H,'PL1.1 ML2027-2028'!$J:$J,'TH theo DV'!R$3,'PL1.1 ML2027-2028'!$K:$K,'TH theo DV'!$C30)/$D$1</f>
        <v>0</v>
      </c>
      <c r="S30" s="65">
        <f>SUMIFS('PL1.1 ML2027-2028'!$H:$H,'PL1.1 ML2027-2028'!$J:$J,'TH theo DV'!S$3,'PL1.1 ML2027-2028'!$K:$K,'TH theo DV'!$C30)/$D$1</f>
        <v>0</v>
      </c>
      <c r="T30" s="65">
        <f>SUMIFS('PL1.1 ML2027-2028'!$H:$H,'PL1.1 ML2027-2028'!$J:$J,'TH theo DV'!T$3,'PL1.1 ML2027-2028'!$K:$K,'TH theo DV'!$C30)/$D$1</f>
        <v>0</v>
      </c>
      <c r="U30" s="163">
        <f>SUMIFS('PL1.1 ML2027-2028'!$H:$H,'PL1.1 ML2027-2028'!$J:$J,'TH theo DV'!U$3,'PL1.1 ML2027-2028'!$K:$K,'TH theo DV'!$C30)/$D$1</f>
        <v>0</v>
      </c>
      <c r="V30" s="166">
        <f t="shared" si="57"/>
        <v>0</v>
      </c>
      <c r="W30" s="173" t="e">
        <f t="shared" si="54"/>
        <v>#DIV/0!</v>
      </c>
      <c r="X30" s="65">
        <f t="shared" si="58"/>
        <v>0</v>
      </c>
      <c r="Y30" s="65">
        <f t="shared" si="58"/>
        <v>0</v>
      </c>
      <c r="Z30" s="65">
        <f t="shared" si="58"/>
        <v>0</v>
      </c>
      <c r="AA30" s="65">
        <f t="shared" si="58"/>
        <v>0</v>
      </c>
      <c r="AB30" s="65">
        <f t="shared" si="58"/>
        <v>0</v>
      </c>
      <c r="AC30" s="65">
        <f t="shared" si="58"/>
        <v>0</v>
      </c>
      <c r="AD30" s="65">
        <f t="shared" si="59"/>
        <v>0</v>
      </c>
      <c r="AE30" s="64">
        <f t="shared" ref="AE30" si="62">SUM(X30:AD30)</f>
        <v>0</v>
      </c>
      <c r="AF30" s="67" t="e">
        <f t="shared" si="9"/>
        <v>#DIV/0!</v>
      </c>
      <c r="AG30" s="113"/>
    </row>
    <row r="31" spans="1:33" ht="25.5" outlineLevel="1" x14ac:dyDescent="0.25">
      <c r="A31" s="589" t="s">
        <v>18</v>
      </c>
      <c r="B31" s="101" t="s">
        <v>208</v>
      </c>
      <c r="C31" s="86" t="s">
        <v>207</v>
      </c>
      <c r="D31" s="162"/>
      <c r="E31" s="162"/>
      <c r="F31" s="162"/>
      <c r="G31" s="162">
        <f>SUMIFS('PL1.1 ML2027-2028'!$G:$G,'PL1.1 ML2027-2028'!$K:$K,C31)/$D$1</f>
        <v>0</v>
      </c>
      <c r="H31" s="162"/>
      <c r="I31" s="162"/>
      <c r="J31" s="162"/>
      <c r="K31" s="176"/>
      <c r="L31" s="176">
        <f>SUM(D31:K31)</f>
        <v>0</v>
      </c>
      <c r="M31" s="104" t="e">
        <f t="shared" si="49"/>
        <v>#DIV/0!</v>
      </c>
      <c r="N31" s="162"/>
      <c r="O31" s="162"/>
      <c r="P31" s="162"/>
      <c r="Q31" s="162">
        <f>SUMIFS('PL1.1 ML2027-2028'!$H:$H,'PL1.1 ML2027-2028'!$K:$K,C31)/$D$1</f>
        <v>0</v>
      </c>
      <c r="R31" s="162"/>
      <c r="S31" s="162"/>
      <c r="T31" s="162"/>
      <c r="U31" s="162"/>
      <c r="V31" s="162">
        <f t="shared" si="57"/>
        <v>0</v>
      </c>
      <c r="W31" s="104" t="e">
        <f t="shared" si="54"/>
        <v>#DIV/0!</v>
      </c>
      <c r="X31" s="162">
        <f t="shared" si="58"/>
        <v>0</v>
      </c>
      <c r="Y31" s="162">
        <f t="shared" si="58"/>
        <v>0</v>
      </c>
      <c r="Z31" s="162">
        <f t="shared" si="58"/>
        <v>0</v>
      </c>
      <c r="AA31" s="162">
        <f t="shared" si="58"/>
        <v>0</v>
      </c>
      <c r="AB31" s="162">
        <f t="shared" si="58"/>
        <v>0</v>
      </c>
      <c r="AC31" s="162">
        <f t="shared" si="58"/>
        <v>0</v>
      </c>
      <c r="AD31" s="162">
        <f t="shared" si="59"/>
        <v>0</v>
      </c>
      <c r="AE31" s="162">
        <f t="shared" ref="AE31" si="63">SUM(X31:AD31)</f>
        <v>0</v>
      </c>
      <c r="AF31" s="162" t="e">
        <f t="shared" ref="AF31" si="64">AE31/$AE$4</f>
        <v>#DIV/0!</v>
      </c>
    </row>
  </sheetData>
  <mergeCells count="3">
    <mergeCell ref="N2:W2"/>
    <mergeCell ref="D2:M2"/>
    <mergeCell ref="X2:AF2"/>
  </mergeCells>
  <pageMargins left="0.7" right="0.7" top="0.75" bottom="0.75" header="0.3" footer="0.3"/>
  <pageSetup paperSize="9" orientation="portrait"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Mã!$C$4:$C$26</xm:f>
          </x14:formula1>
          <xm:sqref>C6</xm:sqref>
        </x14:dataValidation>
        <x14:dataValidation type="list" allowBlank="1" showInputMessage="1" showErrorMessage="1">
          <x14:formula1>
            <xm:f>Mã!$C$4:$C$30</xm:f>
          </x14:formula1>
          <xm:sqref>C26:C30 C7:C24</xm:sqref>
        </x14:dataValidation>
        <x14:dataValidation type="list" allowBlank="1" showInputMessage="1" showErrorMessage="1">
          <x14:formula1>
            <xm:f>Mã!$C$4:$C$34</xm:f>
          </x14:formula1>
          <xm:sqref>C31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S114"/>
  <sheetViews>
    <sheetView zoomScale="70" zoomScaleNormal="70" workbookViewId="0">
      <selection activeCell="G8" sqref="G8"/>
    </sheetView>
  </sheetViews>
  <sheetFormatPr defaultColWidth="8.85546875" defaultRowHeight="15" x14ac:dyDescent="0.25"/>
  <cols>
    <col min="1" max="1" width="3.85546875" style="355" customWidth="1"/>
    <col min="2" max="2" width="6.85546875" style="353" customWidth="1"/>
    <col min="3" max="3" width="17.7109375" style="354" customWidth="1"/>
    <col min="4" max="4" width="14.42578125" style="354" customWidth="1"/>
    <col min="5" max="5" width="14.85546875" style="354" customWidth="1"/>
    <col min="6" max="6" width="18.28515625" style="354" customWidth="1"/>
    <col min="7" max="7" width="46.42578125" style="354" customWidth="1"/>
    <col min="8" max="8" width="44.7109375" style="354" customWidth="1"/>
    <col min="9" max="9" width="17.7109375" style="526" customWidth="1"/>
    <col min="10" max="10" width="11.5703125" style="355" customWidth="1"/>
    <col min="11" max="15" width="10.85546875" style="355" bestFit="1" customWidth="1"/>
    <col min="16" max="16" width="71.140625" style="557" customWidth="1"/>
    <col min="17" max="17" width="8.85546875" style="356"/>
    <col min="18" max="16384" width="8.85546875" style="355"/>
  </cols>
  <sheetData>
    <row r="1" spans="2:19" ht="18.75" x14ac:dyDescent="0.3">
      <c r="B1" s="629" t="s">
        <v>214</v>
      </c>
      <c r="C1" s="629"/>
      <c r="D1" s="629"/>
      <c r="E1" s="629"/>
      <c r="F1" s="629"/>
      <c r="G1" s="629"/>
      <c r="H1" s="629"/>
    </row>
    <row r="2" spans="2:19" x14ac:dyDescent="0.25">
      <c r="B2" s="357" t="s">
        <v>215</v>
      </c>
    </row>
    <row r="3" spans="2:19" ht="15.6" customHeight="1" x14ac:dyDescent="0.25">
      <c r="B3" s="628" t="s">
        <v>48</v>
      </c>
      <c r="C3" s="619" t="s">
        <v>216</v>
      </c>
      <c r="D3" s="619" t="s">
        <v>41</v>
      </c>
      <c r="E3" s="619">
        <v>2027</v>
      </c>
      <c r="F3" s="619">
        <v>2028</v>
      </c>
      <c r="G3" s="619" t="s">
        <v>218</v>
      </c>
      <c r="H3" s="619"/>
      <c r="I3" s="502"/>
      <c r="J3" s="628" t="s">
        <v>48</v>
      </c>
      <c r="K3" s="619" t="s">
        <v>216</v>
      </c>
      <c r="L3" s="619" t="s">
        <v>217</v>
      </c>
      <c r="M3" s="619"/>
      <c r="N3" s="619"/>
      <c r="O3" s="619"/>
      <c r="P3" s="619"/>
      <c r="Q3" s="619"/>
      <c r="R3" s="620" t="s">
        <v>218</v>
      </c>
      <c r="S3" s="356"/>
    </row>
    <row r="4" spans="2:19" ht="15.75" customHeight="1" x14ac:dyDescent="0.25">
      <c r="B4" s="628"/>
      <c r="C4" s="619"/>
      <c r="D4" s="619"/>
      <c r="E4" s="619"/>
      <c r="F4" s="619"/>
      <c r="G4" s="583">
        <v>2027</v>
      </c>
      <c r="H4" s="583">
        <v>2028</v>
      </c>
      <c r="I4" s="502"/>
      <c r="J4" s="628"/>
      <c r="K4" s="619"/>
      <c r="L4" s="503" t="s">
        <v>41</v>
      </c>
      <c r="M4" s="358">
        <v>2026</v>
      </c>
      <c r="N4" s="358">
        <v>2027</v>
      </c>
      <c r="O4" s="358">
        <v>2028</v>
      </c>
      <c r="P4" s="358">
        <v>2029</v>
      </c>
      <c r="Q4" s="358">
        <v>2030</v>
      </c>
      <c r="R4" s="621"/>
      <c r="S4" s="356"/>
    </row>
    <row r="5" spans="2:19" ht="15.75" x14ac:dyDescent="0.25">
      <c r="B5" s="501"/>
      <c r="C5" s="501" t="s">
        <v>41</v>
      </c>
      <c r="D5" s="540">
        <f>SUM(E5:F5)</f>
        <v>0</v>
      </c>
      <c r="E5" s="360">
        <f>SUBTOTAL(9,E6:E12)</f>
        <v>0</v>
      </c>
      <c r="F5" s="360">
        <f>SUBTOTAL(9,F6:F12)</f>
        <v>0</v>
      </c>
      <c r="G5" s="540"/>
      <c r="H5" s="540"/>
      <c r="I5" s="497"/>
      <c r="J5" s="501"/>
      <c r="K5" s="501" t="s">
        <v>41</v>
      </c>
      <c r="L5" s="504">
        <v>38.688274887574039</v>
      </c>
      <c r="M5" s="359">
        <v>9.2793895152260237</v>
      </c>
      <c r="N5" s="359">
        <v>11.107721492780065</v>
      </c>
      <c r="O5" s="359">
        <v>12.109146876129818</v>
      </c>
      <c r="P5" s="359">
        <v>3.916827626473486</v>
      </c>
      <c r="Q5" s="359">
        <v>2.2751893769646481</v>
      </c>
      <c r="R5" s="568"/>
      <c r="S5" s="356"/>
    </row>
    <row r="6" spans="2:19" x14ac:dyDescent="0.25">
      <c r="B6" s="360">
        <v>1</v>
      </c>
      <c r="C6" s="361" t="s">
        <v>54</v>
      </c>
      <c r="D6" s="540">
        <f t="shared" ref="D6:D12" si="0">SUM(E6:F6)</f>
        <v>0</v>
      </c>
      <c r="E6" s="360">
        <f>E7</f>
        <v>0</v>
      </c>
      <c r="F6" s="360">
        <f>F7</f>
        <v>0</v>
      </c>
      <c r="G6" s="360"/>
      <c r="H6" s="361"/>
      <c r="I6" s="499"/>
      <c r="J6" s="360">
        <v>1</v>
      </c>
      <c r="K6" s="361" t="s">
        <v>54</v>
      </c>
      <c r="L6" s="505">
        <v>20.853331874999999</v>
      </c>
      <c r="M6" s="362">
        <v>4.7596893749999998</v>
      </c>
      <c r="N6" s="362">
        <v>7.0410487499999999</v>
      </c>
      <c r="O6" s="362">
        <v>6.7361231249999998</v>
      </c>
      <c r="P6" s="362">
        <v>1.3557937499999999</v>
      </c>
      <c r="Q6" s="362">
        <v>0.96067687499999999</v>
      </c>
      <c r="R6" s="569"/>
      <c r="S6" s="356"/>
    </row>
    <row r="7" spans="2:19" x14ac:dyDescent="0.25">
      <c r="B7" s="363" t="s">
        <v>8</v>
      </c>
      <c r="C7" s="364" t="s">
        <v>219</v>
      </c>
      <c r="D7" s="540">
        <f t="shared" si="0"/>
        <v>0</v>
      </c>
      <c r="E7" s="363">
        <f>'TH theo DV'!D7</f>
        <v>0</v>
      </c>
      <c r="F7" s="363">
        <f>'TH theo DV'!N7</f>
        <v>0</v>
      </c>
      <c r="G7" s="363"/>
      <c r="H7" s="364"/>
      <c r="I7" s="499"/>
      <c r="J7" s="363" t="s">
        <v>8</v>
      </c>
      <c r="K7" s="364" t="s">
        <v>219</v>
      </c>
      <c r="L7" s="506">
        <v>20.853331874999999</v>
      </c>
      <c r="M7" s="365">
        <v>4.7596893749999998</v>
      </c>
      <c r="N7" s="365">
        <v>7.0410487499999999</v>
      </c>
      <c r="O7" s="365">
        <v>6.7361231249999998</v>
      </c>
      <c r="P7" s="365">
        <v>1.3557937499999999</v>
      </c>
      <c r="Q7" s="365">
        <v>0.96067687499999999</v>
      </c>
      <c r="R7" s="561" t="s">
        <v>220</v>
      </c>
      <c r="S7" s="367"/>
    </row>
    <row r="8" spans="2:19" x14ac:dyDescent="0.25">
      <c r="B8" s="360">
        <v>2</v>
      </c>
      <c r="C8" s="361" t="s">
        <v>32</v>
      </c>
      <c r="D8" s="540">
        <f t="shared" si="0"/>
        <v>0</v>
      </c>
      <c r="E8" s="360">
        <f>SUBTOTAL(9,E9:E10)</f>
        <v>0</v>
      </c>
      <c r="F8" s="360">
        <f>SUBTOTAL(9,F9:F10)</f>
        <v>0</v>
      </c>
      <c r="G8" s="360"/>
      <c r="H8" s="361"/>
      <c r="I8" s="499"/>
      <c r="J8" s="360">
        <v>2</v>
      </c>
      <c r="K8" s="361" t="s">
        <v>32</v>
      </c>
      <c r="L8" s="505">
        <v>15.73726851257404</v>
      </c>
      <c r="M8" s="362">
        <v>4.193305640226022</v>
      </c>
      <c r="N8" s="362">
        <v>3.4351027427800656</v>
      </c>
      <c r="O8" s="362">
        <v>5.1189537511298191</v>
      </c>
      <c r="P8" s="362">
        <v>1.9294638764734862</v>
      </c>
      <c r="Q8" s="362">
        <v>1.060442501964648</v>
      </c>
      <c r="R8" s="561"/>
      <c r="S8" s="367"/>
    </row>
    <row r="9" spans="2:19" x14ac:dyDescent="0.25">
      <c r="B9" s="363" t="s">
        <v>8</v>
      </c>
      <c r="C9" s="364" t="s">
        <v>219</v>
      </c>
      <c r="D9" s="540">
        <f t="shared" si="0"/>
        <v>0</v>
      </c>
      <c r="E9" s="363">
        <f>'TH theo DV'!D13</f>
        <v>0</v>
      </c>
      <c r="F9" s="363">
        <f>'TH theo DV'!N13</f>
        <v>0</v>
      </c>
      <c r="G9" s="363"/>
      <c r="H9" s="364"/>
      <c r="I9" s="499"/>
      <c r="J9" s="363" t="s">
        <v>8</v>
      </c>
      <c r="K9" s="364" t="s">
        <v>219</v>
      </c>
      <c r="L9" s="506">
        <v>4.2256537529469718</v>
      </c>
      <c r="M9" s="365">
        <v>1.2676070024558102</v>
      </c>
      <c r="N9" s="365">
        <v>0.49012875</v>
      </c>
      <c r="O9" s="365">
        <v>0.460164250491162</v>
      </c>
      <c r="P9" s="365">
        <v>1.65847425</v>
      </c>
      <c r="Q9" s="365">
        <v>0.34927950000000002</v>
      </c>
      <c r="R9" s="561" t="s">
        <v>222</v>
      </c>
      <c r="S9" s="367"/>
    </row>
    <row r="10" spans="2:19" x14ac:dyDescent="0.25">
      <c r="B10" s="363" t="s">
        <v>8</v>
      </c>
      <c r="C10" s="364" t="s">
        <v>221</v>
      </c>
      <c r="D10" s="540">
        <f t="shared" si="0"/>
        <v>0</v>
      </c>
      <c r="E10" s="363">
        <f>'TH theo DV'!D14</f>
        <v>0</v>
      </c>
      <c r="F10" s="363">
        <f>'TH theo DV'!N14</f>
        <v>0</v>
      </c>
      <c r="G10" s="363"/>
      <c r="H10" s="364"/>
      <c r="I10" s="499"/>
      <c r="J10" s="363" t="s">
        <v>8</v>
      </c>
      <c r="K10" s="364" t="s">
        <v>221</v>
      </c>
      <c r="L10" s="506">
        <v>11.51161475962707</v>
      </c>
      <c r="M10" s="365">
        <v>2.9256986377702123</v>
      </c>
      <c r="N10" s="365">
        <v>2.9449739927800653</v>
      </c>
      <c r="O10" s="365">
        <v>4.6587895006386573</v>
      </c>
      <c r="P10" s="365">
        <v>0.27098962647348607</v>
      </c>
      <c r="Q10" s="365">
        <v>0.71116300196464799</v>
      </c>
      <c r="R10" s="561" t="s">
        <v>223</v>
      </c>
      <c r="S10" s="367"/>
    </row>
    <row r="11" spans="2:19" ht="33.6" customHeight="1" x14ac:dyDescent="0.25">
      <c r="B11" s="360">
        <v>3</v>
      </c>
      <c r="C11" s="368" t="s">
        <v>224</v>
      </c>
      <c r="D11" s="540">
        <f t="shared" si="0"/>
        <v>0</v>
      </c>
      <c r="E11" s="389">
        <f>'TH theo DV'!D28</f>
        <v>0</v>
      </c>
      <c r="F11" s="389">
        <f>'TH theo DV'!N28</f>
        <v>0</v>
      </c>
      <c r="G11" s="389"/>
      <c r="H11" s="368"/>
      <c r="I11" s="499"/>
      <c r="J11" s="360">
        <v>3</v>
      </c>
      <c r="K11" s="368" t="s">
        <v>224</v>
      </c>
      <c r="L11" s="505">
        <v>1.3273245</v>
      </c>
      <c r="M11" s="369">
        <v>0.17232449999999999</v>
      </c>
      <c r="N11" s="369">
        <v>0.47749999999999998</v>
      </c>
      <c r="O11" s="369">
        <v>0.1</v>
      </c>
      <c r="P11" s="369">
        <v>0.47749999999999998</v>
      </c>
      <c r="Q11" s="369">
        <v>0.1</v>
      </c>
      <c r="R11" s="567" t="s">
        <v>225</v>
      </c>
      <c r="S11" s="367"/>
    </row>
    <row r="12" spans="2:19" ht="32.450000000000003" customHeight="1" x14ac:dyDescent="0.25">
      <c r="B12" s="360">
        <v>4</v>
      </c>
      <c r="C12" s="368" t="s">
        <v>227</v>
      </c>
      <c r="D12" s="540">
        <f t="shared" si="0"/>
        <v>0</v>
      </c>
      <c r="E12" s="389">
        <f>'TH theo DV'!D27</f>
        <v>0</v>
      </c>
      <c r="F12" s="389">
        <f>'TH theo DV'!N27</f>
        <v>0</v>
      </c>
      <c r="G12" s="389"/>
      <c r="H12" s="368"/>
      <c r="I12" s="499"/>
      <c r="J12" s="360">
        <v>4</v>
      </c>
      <c r="K12" s="368" t="s">
        <v>227</v>
      </c>
      <c r="L12" s="505">
        <v>0.77035000000000009</v>
      </c>
      <c r="M12" s="369">
        <v>0.15407000000000001</v>
      </c>
      <c r="N12" s="369">
        <v>0.15407000000000001</v>
      </c>
      <c r="O12" s="369">
        <v>0.15407000000000001</v>
      </c>
      <c r="P12" s="369">
        <v>0.15407000000000001</v>
      </c>
      <c r="Q12" s="369">
        <v>0.15407000000000001</v>
      </c>
      <c r="R12" s="567" t="s">
        <v>228</v>
      </c>
      <c r="S12" s="367"/>
    </row>
    <row r="13" spans="2:19" ht="17.25" customHeight="1" x14ac:dyDescent="0.25">
      <c r="K13" s="372"/>
      <c r="Q13" s="367"/>
    </row>
    <row r="14" spans="2:19" x14ac:dyDescent="0.25">
      <c r="B14" s="373" t="s">
        <v>229</v>
      </c>
      <c r="Q14" s="367"/>
    </row>
    <row r="15" spans="2:19" ht="15.6" customHeight="1" x14ac:dyDescent="0.25">
      <c r="B15" s="628" t="s">
        <v>48</v>
      </c>
      <c r="C15" s="619" t="s">
        <v>216</v>
      </c>
      <c r="D15" s="619" t="s">
        <v>41</v>
      </c>
      <c r="E15" s="619">
        <v>2027</v>
      </c>
      <c r="F15" s="619">
        <v>2028</v>
      </c>
      <c r="G15" s="619" t="s">
        <v>218</v>
      </c>
      <c r="H15" s="619"/>
      <c r="I15" s="502"/>
      <c r="J15" s="619" t="s">
        <v>217</v>
      </c>
      <c r="K15" s="619"/>
      <c r="L15" s="619"/>
      <c r="M15" s="619"/>
      <c r="N15" s="619"/>
      <c r="O15" s="619"/>
      <c r="P15" s="620" t="s">
        <v>218</v>
      </c>
      <c r="Q15" s="367"/>
    </row>
    <row r="16" spans="2:19" ht="15.75" x14ac:dyDescent="0.25">
      <c r="B16" s="628"/>
      <c r="C16" s="619"/>
      <c r="D16" s="619"/>
      <c r="E16" s="619"/>
      <c r="F16" s="619"/>
      <c r="G16" s="583">
        <v>2027</v>
      </c>
      <c r="H16" s="583">
        <v>2028</v>
      </c>
      <c r="I16" s="502"/>
      <c r="J16" s="507" t="s">
        <v>41</v>
      </c>
      <c r="K16" s="374">
        <v>2026</v>
      </c>
      <c r="L16" s="374">
        <v>2027</v>
      </c>
      <c r="M16" s="374">
        <v>2028</v>
      </c>
      <c r="N16" s="374">
        <v>2029</v>
      </c>
      <c r="O16" s="374">
        <v>2030</v>
      </c>
      <c r="P16" s="621"/>
      <c r="Q16" s="367"/>
    </row>
    <row r="17" spans="2:17" ht="15.75" x14ac:dyDescent="0.25">
      <c r="B17" s="501"/>
      <c r="C17" s="501" t="s">
        <v>41</v>
      </c>
      <c r="D17" s="540">
        <f t="shared" ref="D17:D22" si="1">SUM(E17:F17)</f>
        <v>0</v>
      </c>
      <c r="E17" s="540">
        <f>SUBTOTAL(9,E18:E22)</f>
        <v>0</v>
      </c>
      <c r="F17" s="540">
        <f>SUBTOTAL(9,F18:F22)</f>
        <v>0</v>
      </c>
      <c r="G17" s="540"/>
      <c r="H17" s="540"/>
      <c r="I17" s="497"/>
      <c r="J17" s="504">
        <v>10.450441000000001</v>
      </c>
      <c r="K17" s="359">
        <v>1.8641390000000002</v>
      </c>
      <c r="L17" s="359">
        <v>3.0796190000000001</v>
      </c>
      <c r="M17" s="359">
        <v>2.091494</v>
      </c>
      <c r="N17" s="359">
        <v>1.638903</v>
      </c>
      <c r="O17" s="359">
        <v>1.776286</v>
      </c>
      <c r="P17" s="568"/>
      <c r="Q17" s="367"/>
    </row>
    <row r="18" spans="2:17" x14ac:dyDescent="0.25">
      <c r="B18" s="375">
        <v>1</v>
      </c>
      <c r="C18" s="376" t="s">
        <v>219</v>
      </c>
      <c r="D18" s="540">
        <f t="shared" si="1"/>
        <v>0</v>
      </c>
      <c r="E18" s="376">
        <f>'TH theo DV'!F16</f>
        <v>0</v>
      </c>
      <c r="F18" s="376">
        <f>'TH theo DV'!P16</f>
        <v>0</v>
      </c>
      <c r="G18" s="376"/>
      <c r="H18" s="376"/>
      <c r="I18" s="499"/>
      <c r="J18" s="506">
        <v>6.9064829999999997</v>
      </c>
      <c r="K18" s="377">
        <v>1.5144759999999999</v>
      </c>
      <c r="L18" s="377">
        <v>1.162536</v>
      </c>
      <c r="M18" s="377">
        <v>1.252383</v>
      </c>
      <c r="N18" s="377">
        <v>1.420917</v>
      </c>
      <c r="O18" s="377">
        <v>1.556171</v>
      </c>
      <c r="P18" s="561" t="s">
        <v>230</v>
      </c>
      <c r="Q18" s="367"/>
    </row>
    <row r="19" spans="2:17" ht="30" x14ac:dyDescent="0.25">
      <c r="B19" s="375">
        <v>2</v>
      </c>
      <c r="C19" s="376" t="s">
        <v>75</v>
      </c>
      <c r="D19" s="540">
        <f t="shared" si="1"/>
        <v>0</v>
      </c>
      <c r="E19" s="376">
        <f>'TH theo DV'!F17</f>
        <v>0</v>
      </c>
      <c r="F19" s="376">
        <f>'TH theo DV'!P17</f>
        <v>0</v>
      </c>
      <c r="G19" s="376"/>
      <c r="H19" s="376"/>
      <c r="I19" s="499"/>
      <c r="J19" s="506">
        <v>1.5767199999999999</v>
      </c>
      <c r="K19" s="377">
        <v>7.1999999999999995E-2</v>
      </c>
      <c r="L19" s="377">
        <v>0.86448000000000003</v>
      </c>
      <c r="M19" s="377">
        <v>0.64024000000000003</v>
      </c>
      <c r="N19" s="377">
        <v>0</v>
      </c>
      <c r="O19" s="377">
        <v>0</v>
      </c>
      <c r="P19" s="561" t="s">
        <v>231</v>
      </c>
      <c r="Q19" s="367"/>
    </row>
    <row r="20" spans="2:17" x14ac:dyDescent="0.25">
      <c r="B20" s="375">
        <v>3</v>
      </c>
      <c r="C20" s="376" t="s">
        <v>224</v>
      </c>
      <c r="D20" s="540">
        <f t="shared" si="1"/>
        <v>0</v>
      </c>
      <c r="E20" s="376">
        <f>'TH theo DV'!F28</f>
        <v>0</v>
      </c>
      <c r="F20" s="376">
        <f>'TH theo DV'!P28</f>
        <v>0</v>
      </c>
      <c r="G20" s="376"/>
      <c r="H20" s="376"/>
      <c r="I20" s="499"/>
      <c r="J20" s="506">
        <v>0.35000000000000003</v>
      </c>
      <c r="K20" s="378">
        <v>7.0000000000000007E-2</v>
      </c>
      <c r="L20" s="378">
        <v>7.0000000000000007E-2</v>
      </c>
      <c r="M20" s="378">
        <v>7.0000000000000007E-2</v>
      </c>
      <c r="N20" s="378">
        <v>7.0000000000000007E-2</v>
      </c>
      <c r="O20" s="378">
        <v>7.0000000000000007E-2</v>
      </c>
      <c r="P20" s="561" t="s">
        <v>232</v>
      </c>
      <c r="Q20" s="367"/>
    </row>
    <row r="21" spans="2:17" x14ac:dyDescent="0.25">
      <c r="B21" s="375">
        <v>4</v>
      </c>
      <c r="C21" s="376" t="s">
        <v>233</v>
      </c>
      <c r="D21" s="540">
        <f t="shared" si="1"/>
        <v>0</v>
      </c>
      <c r="E21" s="575">
        <f>'TH theo DV'!F29</f>
        <v>0</v>
      </c>
      <c r="F21" s="575">
        <f>'TH theo DV'!P29</f>
        <v>0</v>
      </c>
      <c r="G21" s="575"/>
      <c r="H21" s="376"/>
      <c r="I21" s="499"/>
      <c r="J21" s="506">
        <v>0.96448</v>
      </c>
      <c r="K21" s="378">
        <v>0.1</v>
      </c>
      <c r="L21" s="378">
        <v>0.86448000000000003</v>
      </c>
      <c r="M21" s="378">
        <v>0</v>
      </c>
      <c r="N21" s="378">
        <v>0</v>
      </c>
      <c r="O21" s="378">
        <v>0</v>
      </c>
      <c r="P21" s="561" t="s">
        <v>234</v>
      </c>
      <c r="Q21" s="367"/>
    </row>
    <row r="22" spans="2:17" x14ac:dyDescent="0.25">
      <c r="B22" s="375">
        <v>5</v>
      </c>
      <c r="C22" s="376" t="s">
        <v>235</v>
      </c>
      <c r="D22" s="540">
        <f t="shared" si="1"/>
        <v>0</v>
      </c>
      <c r="E22" s="376">
        <f>'TH theo DV'!F27</f>
        <v>0</v>
      </c>
      <c r="F22" s="376">
        <f>'TH theo DV'!P27</f>
        <v>0</v>
      </c>
      <c r="G22" s="376"/>
      <c r="H22" s="376"/>
      <c r="I22" s="499"/>
      <c r="J22" s="506">
        <v>0.65275799999999995</v>
      </c>
      <c r="K22" s="377">
        <v>0.10766299999999999</v>
      </c>
      <c r="L22" s="377">
        <v>0.11812300000000001</v>
      </c>
      <c r="M22" s="377">
        <v>0.12887100000000001</v>
      </c>
      <c r="N22" s="377">
        <v>0.14798600000000001</v>
      </c>
      <c r="O22" s="377">
        <v>0.150115</v>
      </c>
      <c r="P22" s="561" t="s">
        <v>236</v>
      </c>
      <c r="Q22" s="367"/>
    </row>
    <row r="23" spans="2:17" x14ac:dyDescent="0.25">
      <c r="K23" s="379"/>
      <c r="L23" s="379"/>
      <c r="M23" s="379"/>
      <c r="N23" s="379"/>
      <c r="O23" s="379"/>
      <c r="Q23" s="367"/>
    </row>
    <row r="24" spans="2:17" x14ac:dyDescent="0.25">
      <c r="B24" s="357" t="s">
        <v>237</v>
      </c>
      <c r="K24" s="379"/>
      <c r="L24" s="379"/>
      <c r="M24" s="379"/>
      <c r="N24" s="379"/>
      <c r="O24" s="379"/>
      <c r="Q24" s="367"/>
    </row>
    <row r="25" spans="2:17" ht="15.6" customHeight="1" x14ac:dyDescent="0.25">
      <c r="B25" s="628" t="s">
        <v>48</v>
      </c>
      <c r="C25" s="619" t="s">
        <v>216</v>
      </c>
      <c r="D25" s="619" t="s">
        <v>41</v>
      </c>
      <c r="E25" s="619">
        <v>2027</v>
      </c>
      <c r="F25" s="619">
        <v>2028</v>
      </c>
      <c r="G25" s="619" t="s">
        <v>218</v>
      </c>
      <c r="H25" s="619"/>
      <c r="I25" s="502"/>
      <c r="J25" s="619" t="s">
        <v>217</v>
      </c>
      <c r="K25" s="619"/>
      <c r="L25" s="619"/>
      <c r="M25" s="619"/>
      <c r="N25" s="619"/>
      <c r="O25" s="619"/>
      <c r="P25" s="620" t="s">
        <v>218</v>
      </c>
      <c r="Q25" s="367"/>
    </row>
    <row r="26" spans="2:17" ht="15.75" x14ac:dyDescent="0.25">
      <c r="B26" s="628"/>
      <c r="C26" s="619"/>
      <c r="D26" s="619"/>
      <c r="E26" s="619"/>
      <c r="F26" s="619"/>
      <c r="G26" s="583">
        <v>2027</v>
      </c>
      <c r="H26" s="583">
        <v>2028</v>
      </c>
      <c r="I26" s="502"/>
      <c r="J26" s="507" t="s">
        <v>41</v>
      </c>
      <c r="K26" s="374">
        <v>2026</v>
      </c>
      <c r="L26" s="374">
        <v>2027</v>
      </c>
      <c r="M26" s="374">
        <v>2028</v>
      </c>
      <c r="N26" s="374">
        <v>2029</v>
      </c>
      <c r="O26" s="374">
        <v>2030</v>
      </c>
      <c r="P26" s="621"/>
      <c r="Q26" s="367"/>
    </row>
    <row r="27" spans="2:17" ht="15.75" x14ac:dyDescent="0.25">
      <c r="B27" s="501"/>
      <c r="C27" s="501" t="s">
        <v>41</v>
      </c>
      <c r="D27" s="540">
        <f t="shared" ref="D27:D32" si="2">SUM(E27:F27)</f>
        <v>0</v>
      </c>
      <c r="E27" s="540">
        <f>SUBTOTAL(9,E28:E32)</f>
        <v>0</v>
      </c>
      <c r="F27" s="540">
        <f>SUBTOTAL(9,F28:F32)</f>
        <v>0</v>
      </c>
      <c r="G27" s="540"/>
      <c r="H27" s="540"/>
      <c r="I27" s="497"/>
      <c r="J27" s="504">
        <v>11.309999999999999</v>
      </c>
      <c r="K27" s="359">
        <v>1.9</v>
      </c>
      <c r="L27" s="359">
        <v>3.79</v>
      </c>
      <c r="M27" s="359">
        <v>2.61</v>
      </c>
      <c r="N27" s="359">
        <v>1.37</v>
      </c>
      <c r="O27" s="359">
        <v>1.6400000000000001</v>
      </c>
      <c r="P27" s="568"/>
      <c r="Q27" s="367"/>
    </row>
    <row r="28" spans="2:17" ht="35.450000000000003" customHeight="1" x14ac:dyDescent="0.25">
      <c r="B28" s="375">
        <v>1</v>
      </c>
      <c r="C28" s="376" t="s">
        <v>238</v>
      </c>
      <c r="D28" s="540">
        <f t="shared" si="2"/>
        <v>0</v>
      </c>
      <c r="E28" s="376">
        <f>'TH theo DV'!E7</f>
        <v>0</v>
      </c>
      <c r="F28" s="376">
        <f>'TH theo DV'!O7</f>
        <v>0</v>
      </c>
      <c r="G28" s="376"/>
      <c r="H28" s="376"/>
      <c r="I28" s="499"/>
      <c r="J28" s="508">
        <v>1.4000000000000001</v>
      </c>
      <c r="K28" s="380">
        <v>0.26</v>
      </c>
      <c r="L28" s="380">
        <v>0.23</v>
      </c>
      <c r="M28" s="380">
        <v>0.26</v>
      </c>
      <c r="N28" s="380">
        <v>0.34</v>
      </c>
      <c r="O28" s="380">
        <v>0.31</v>
      </c>
      <c r="P28" s="561" t="s">
        <v>239</v>
      </c>
      <c r="Q28" s="367"/>
    </row>
    <row r="29" spans="2:17" ht="75.599999999999994" customHeight="1" x14ac:dyDescent="0.25">
      <c r="B29" s="375">
        <v>2</v>
      </c>
      <c r="C29" s="376" t="s">
        <v>240</v>
      </c>
      <c r="D29" s="540">
        <f t="shared" si="2"/>
        <v>0</v>
      </c>
      <c r="E29" s="376">
        <f>'TH theo DV'!E14</f>
        <v>0</v>
      </c>
      <c r="F29" s="376">
        <f>'TH theo DV'!O14</f>
        <v>0</v>
      </c>
      <c r="G29" s="376"/>
      <c r="H29" s="376"/>
      <c r="I29" s="499"/>
      <c r="J29" s="508">
        <v>6.580000000000001</v>
      </c>
      <c r="K29" s="380">
        <v>0.89</v>
      </c>
      <c r="L29" s="380">
        <v>2.14</v>
      </c>
      <c r="M29" s="380">
        <v>1.19</v>
      </c>
      <c r="N29" s="380">
        <v>1.03</v>
      </c>
      <c r="O29" s="380">
        <v>1.33</v>
      </c>
      <c r="P29" s="561" t="s">
        <v>241</v>
      </c>
      <c r="Q29" s="367"/>
    </row>
    <row r="30" spans="2:17" ht="47.45" customHeight="1" x14ac:dyDescent="0.25">
      <c r="B30" s="375">
        <v>3</v>
      </c>
      <c r="C30" s="376" t="s">
        <v>242</v>
      </c>
      <c r="D30" s="540">
        <f t="shared" si="2"/>
        <v>0</v>
      </c>
      <c r="E30" s="376">
        <f>'TH theo DV'!E28</f>
        <v>0</v>
      </c>
      <c r="F30" s="376">
        <f>'TH theo DV'!O28</f>
        <v>0</v>
      </c>
      <c r="G30" s="376"/>
      <c r="H30" s="376"/>
      <c r="I30" s="499"/>
      <c r="J30" s="508">
        <v>3.12</v>
      </c>
      <c r="K30" s="380">
        <v>0.54</v>
      </c>
      <c r="L30" s="380">
        <v>1.42</v>
      </c>
      <c r="M30" s="380">
        <v>1.1599999999999999</v>
      </c>
      <c r="N30" s="371">
        <v>0</v>
      </c>
      <c r="O30" s="371">
        <v>0</v>
      </c>
      <c r="P30" s="561" t="s">
        <v>243</v>
      </c>
      <c r="Q30" s="367"/>
    </row>
    <row r="31" spans="2:17" ht="18.600000000000001" customHeight="1" x14ac:dyDescent="0.25">
      <c r="B31" s="375">
        <v>4</v>
      </c>
      <c r="C31" s="376" t="s">
        <v>233</v>
      </c>
      <c r="D31" s="540">
        <f t="shared" si="2"/>
        <v>0</v>
      </c>
      <c r="E31" s="376">
        <f>'TH theo DV'!E29</f>
        <v>0</v>
      </c>
      <c r="F31" s="376">
        <f>'TH theo DV'!O29</f>
        <v>0</v>
      </c>
      <c r="G31" s="376"/>
      <c r="H31" s="376"/>
      <c r="I31" s="499"/>
      <c r="J31" s="508">
        <v>0.21</v>
      </c>
      <c r="K31" s="380">
        <v>0.21</v>
      </c>
      <c r="L31" s="371">
        <v>0</v>
      </c>
      <c r="M31" s="371">
        <v>0</v>
      </c>
      <c r="N31" s="371">
        <v>0</v>
      </c>
      <c r="O31" s="371">
        <v>0</v>
      </c>
      <c r="P31" s="561" t="s">
        <v>244</v>
      </c>
      <c r="Q31" s="367"/>
    </row>
    <row r="32" spans="2:17" ht="18.600000000000001" customHeight="1" x14ac:dyDescent="0.25">
      <c r="B32" s="375">
        <v>5</v>
      </c>
      <c r="C32" s="381" t="s">
        <v>227</v>
      </c>
      <c r="D32" s="540">
        <f t="shared" si="2"/>
        <v>0</v>
      </c>
      <c r="E32" s="381">
        <f>'TH theo DV'!E30</f>
        <v>0</v>
      </c>
      <c r="F32" s="381">
        <f>'TH theo DV'!O30</f>
        <v>0</v>
      </c>
      <c r="G32" s="381"/>
      <c r="H32" s="381"/>
      <c r="I32" s="529"/>
      <c r="J32" s="508">
        <v>0</v>
      </c>
      <c r="K32" s="371">
        <v>0</v>
      </c>
      <c r="L32" s="371">
        <v>0</v>
      </c>
      <c r="M32" s="371">
        <v>0</v>
      </c>
      <c r="N32" s="371">
        <v>0</v>
      </c>
      <c r="O32" s="371">
        <v>0</v>
      </c>
      <c r="P32" s="561"/>
      <c r="Q32" s="367"/>
    </row>
    <row r="33" spans="2:17" x14ac:dyDescent="0.25">
      <c r="Q33" s="367"/>
    </row>
    <row r="34" spans="2:17" x14ac:dyDescent="0.25">
      <c r="B34" s="357" t="s">
        <v>245</v>
      </c>
      <c r="Q34" s="367"/>
    </row>
    <row r="35" spans="2:17" ht="15.6" customHeight="1" x14ac:dyDescent="0.25">
      <c r="B35" s="628" t="s">
        <v>48</v>
      </c>
      <c r="C35" s="619" t="s">
        <v>216</v>
      </c>
      <c r="D35" s="619" t="s">
        <v>41</v>
      </c>
      <c r="E35" s="619">
        <v>2027</v>
      </c>
      <c r="F35" s="619">
        <v>2028</v>
      </c>
      <c r="G35" s="619" t="s">
        <v>218</v>
      </c>
      <c r="H35" s="619"/>
      <c r="I35" s="502"/>
      <c r="J35" s="619" t="s">
        <v>217</v>
      </c>
      <c r="K35" s="619"/>
      <c r="L35" s="619"/>
      <c r="M35" s="619"/>
      <c r="N35" s="619"/>
      <c r="O35" s="619"/>
      <c r="P35" s="620" t="s">
        <v>246</v>
      </c>
      <c r="Q35" s="367"/>
    </row>
    <row r="36" spans="2:17" ht="15.75" x14ac:dyDescent="0.25">
      <c r="B36" s="628"/>
      <c r="C36" s="619"/>
      <c r="D36" s="619"/>
      <c r="E36" s="619"/>
      <c r="F36" s="619"/>
      <c r="G36" s="583">
        <v>2027</v>
      </c>
      <c r="H36" s="583">
        <v>2028</v>
      </c>
      <c r="I36" s="502"/>
      <c r="J36" s="507" t="s">
        <v>41</v>
      </c>
      <c r="K36" s="374">
        <v>2026</v>
      </c>
      <c r="L36" s="374">
        <v>2027</v>
      </c>
      <c r="M36" s="374">
        <v>2028</v>
      </c>
      <c r="N36" s="374">
        <v>2029</v>
      </c>
      <c r="O36" s="374">
        <v>2030</v>
      </c>
      <c r="P36" s="621"/>
      <c r="Q36" s="367"/>
    </row>
    <row r="37" spans="2:17" x14ac:dyDescent="0.25">
      <c r="B37" s="501"/>
      <c r="C37" s="501" t="s">
        <v>41</v>
      </c>
      <c r="D37" s="540">
        <f t="shared" ref="D37:D43" si="3">SUM(E37:F37)</f>
        <v>0</v>
      </c>
      <c r="E37" s="540">
        <f>SUBTOTAL(9,E38:E43)</f>
        <v>0</v>
      </c>
      <c r="F37" s="540">
        <f>SUBTOTAL(9,F38:F43)</f>
        <v>0</v>
      </c>
      <c r="G37" s="540"/>
      <c r="H37" s="540"/>
      <c r="I37" s="530"/>
      <c r="J37" s="509">
        <v>22.908491803533572</v>
      </c>
      <c r="K37" s="382">
        <v>3.0649003243031019</v>
      </c>
      <c r="L37" s="382">
        <v>3.5873586153121324</v>
      </c>
      <c r="M37" s="382">
        <v>6.4594459243031022</v>
      </c>
      <c r="N37" s="382">
        <v>6.0588486153121321</v>
      </c>
      <c r="O37" s="382">
        <v>3.7379383243031019</v>
      </c>
      <c r="P37" s="561" t="s">
        <v>247</v>
      </c>
      <c r="Q37" s="367"/>
    </row>
    <row r="38" spans="2:17" ht="28.5" x14ac:dyDescent="0.25">
      <c r="B38" s="383" t="s">
        <v>11</v>
      </c>
      <c r="C38" s="384" t="s">
        <v>248</v>
      </c>
      <c r="D38" s="540">
        <f t="shared" si="3"/>
        <v>0</v>
      </c>
      <c r="E38" s="384">
        <f>SUBTOTAL(9,E39:E42)</f>
        <v>0</v>
      </c>
      <c r="F38" s="384">
        <f>SUBTOTAL(9,F39:F42)</f>
        <v>0</v>
      </c>
      <c r="G38" s="384"/>
      <c r="H38" s="384"/>
      <c r="I38" s="530"/>
      <c r="J38" s="509">
        <v>19.658491803533572</v>
      </c>
      <c r="K38" s="385">
        <v>2.414900324303102</v>
      </c>
      <c r="L38" s="385">
        <v>2.9373586153121325</v>
      </c>
      <c r="M38" s="385">
        <v>5.8094459243031018</v>
      </c>
      <c r="N38" s="385">
        <v>5.4088486153121318</v>
      </c>
      <c r="O38" s="385">
        <v>3.087938324303102</v>
      </c>
      <c r="P38" s="561"/>
      <c r="Q38" s="367"/>
    </row>
    <row r="39" spans="2:17" ht="30" x14ac:dyDescent="0.25">
      <c r="B39" s="386">
        <v>1</v>
      </c>
      <c r="C39" s="577" t="s">
        <v>249</v>
      </c>
      <c r="D39" s="540">
        <f t="shared" si="3"/>
        <v>0</v>
      </c>
      <c r="E39" s="387">
        <f>'TH theo DV'!G23+'TH theo DV'!G24</f>
        <v>0</v>
      </c>
      <c r="F39" s="387">
        <f>'TH theo DV'!Q23+'TH theo DV'!Q24</f>
        <v>0</v>
      </c>
      <c r="G39" s="387"/>
      <c r="H39" s="387"/>
      <c r="I39" s="531"/>
      <c r="J39" s="510">
        <v>10.463055803533569</v>
      </c>
      <c r="K39" s="388">
        <v>1.6503343243031017</v>
      </c>
      <c r="L39" s="388">
        <v>2.2394226153121322</v>
      </c>
      <c r="M39" s="388">
        <v>2.1335019243031015</v>
      </c>
      <c r="N39" s="388">
        <v>2.2553446153121319</v>
      </c>
      <c r="O39" s="388">
        <v>2.1844523243031015</v>
      </c>
      <c r="P39" s="561" t="s">
        <v>250</v>
      </c>
      <c r="Q39" s="367"/>
    </row>
    <row r="40" spans="2:17" ht="30" x14ac:dyDescent="0.25">
      <c r="B40" s="386">
        <v>2</v>
      </c>
      <c r="C40" s="387" t="s">
        <v>251</v>
      </c>
      <c r="D40" s="540">
        <f t="shared" si="3"/>
        <v>0</v>
      </c>
      <c r="E40" s="387">
        <f>'TH theo DV'!G29</f>
        <v>0</v>
      </c>
      <c r="F40" s="387">
        <f>'TH theo DV'!Q29</f>
        <v>0</v>
      </c>
      <c r="G40" s="387"/>
      <c r="H40" s="387"/>
      <c r="I40" s="531"/>
      <c r="J40" s="510">
        <v>3.422552</v>
      </c>
      <c r="K40" s="388">
        <v>0</v>
      </c>
      <c r="L40" s="388">
        <v>8.3351999999999996E-2</v>
      </c>
      <c r="M40" s="388">
        <v>0.66135999999999995</v>
      </c>
      <c r="N40" s="388">
        <v>2.5389200000000001</v>
      </c>
      <c r="O40" s="388">
        <v>0.13891999999999999</v>
      </c>
      <c r="P40" s="561" t="s">
        <v>252</v>
      </c>
      <c r="Q40" s="367"/>
    </row>
    <row r="41" spans="2:17" ht="30" x14ac:dyDescent="0.25">
      <c r="B41" s="386">
        <v>3</v>
      </c>
      <c r="C41" s="387" t="s">
        <v>253</v>
      </c>
      <c r="D41" s="540">
        <f t="shared" si="3"/>
        <v>0</v>
      </c>
      <c r="E41" s="387">
        <f>'TH theo DV'!G28</f>
        <v>0</v>
      </c>
      <c r="F41" s="387">
        <f>'TH theo DV'!Q28</f>
        <v>0</v>
      </c>
      <c r="G41" s="387"/>
      <c r="H41" s="387"/>
      <c r="I41" s="531"/>
      <c r="J41" s="510">
        <v>4.9729200000000002</v>
      </c>
      <c r="K41" s="388">
        <v>0.51458400000000004</v>
      </c>
      <c r="L41" s="388">
        <v>0.51458400000000004</v>
      </c>
      <c r="M41" s="388">
        <v>2.9145840000000001</v>
      </c>
      <c r="N41" s="388">
        <v>0.51458400000000004</v>
      </c>
      <c r="O41" s="388">
        <v>0.51458400000000004</v>
      </c>
      <c r="P41" s="561" t="s">
        <v>254</v>
      </c>
      <c r="Q41" s="367"/>
    </row>
    <row r="42" spans="2:17" ht="30" x14ac:dyDescent="0.25">
      <c r="B42" s="375">
        <v>4</v>
      </c>
      <c r="C42" s="387" t="s">
        <v>255</v>
      </c>
      <c r="D42" s="540">
        <f t="shared" si="3"/>
        <v>0</v>
      </c>
      <c r="E42" s="387">
        <f>'TH theo DV'!G27</f>
        <v>0</v>
      </c>
      <c r="F42" s="387">
        <f>'TH theo DV'!Q27</f>
        <v>0</v>
      </c>
      <c r="G42" s="387"/>
      <c r="H42" s="387"/>
      <c r="I42" s="531"/>
      <c r="J42" s="510">
        <v>0.79996400000000001</v>
      </c>
      <c r="K42" s="388">
        <v>0.24998200000000001</v>
      </c>
      <c r="L42" s="388">
        <v>0.1</v>
      </c>
      <c r="M42" s="388">
        <v>0.1</v>
      </c>
      <c r="N42" s="388">
        <v>0.1</v>
      </c>
      <c r="O42" s="388">
        <v>0.24998200000000001</v>
      </c>
      <c r="P42" s="561" t="s">
        <v>256</v>
      </c>
      <c r="Q42" s="367"/>
    </row>
    <row r="43" spans="2:17" ht="28.5" x14ac:dyDescent="0.25">
      <c r="B43" s="383" t="s">
        <v>22</v>
      </c>
      <c r="C43" s="384" t="s">
        <v>257</v>
      </c>
      <c r="D43" s="540">
        <f t="shared" si="3"/>
        <v>0</v>
      </c>
      <c r="E43" s="384">
        <f>'TH theo DV'!G31</f>
        <v>0</v>
      </c>
      <c r="F43" s="384">
        <f>'TH theo DV'!Q31</f>
        <v>0</v>
      </c>
      <c r="G43" s="384"/>
      <c r="H43" s="384"/>
      <c r="I43" s="530"/>
      <c r="J43" s="509">
        <v>3.25</v>
      </c>
      <c r="K43" s="385">
        <v>0.65</v>
      </c>
      <c r="L43" s="385">
        <v>0.65</v>
      </c>
      <c r="M43" s="385">
        <v>0.65</v>
      </c>
      <c r="N43" s="385">
        <v>0.65</v>
      </c>
      <c r="O43" s="385">
        <v>0.65</v>
      </c>
      <c r="P43" s="561" t="s">
        <v>258</v>
      </c>
      <c r="Q43" s="367"/>
    </row>
    <row r="44" spans="2:17" x14ac:dyDescent="0.25">
      <c r="Q44" s="367"/>
    </row>
    <row r="45" spans="2:17" x14ac:dyDescent="0.25">
      <c r="B45" s="357" t="s">
        <v>259</v>
      </c>
      <c r="Q45" s="367"/>
    </row>
    <row r="46" spans="2:17" ht="15.6" customHeight="1" x14ac:dyDescent="0.25">
      <c r="B46" s="628" t="s">
        <v>48</v>
      </c>
      <c r="C46" s="619" t="s">
        <v>216</v>
      </c>
      <c r="D46" s="619" t="s">
        <v>41</v>
      </c>
      <c r="E46" s="619">
        <v>2027</v>
      </c>
      <c r="F46" s="619">
        <v>2028</v>
      </c>
      <c r="G46" s="619" t="s">
        <v>218</v>
      </c>
      <c r="H46" s="619"/>
      <c r="I46" s="502"/>
      <c r="J46" s="619" t="s">
        <v>217</v>
      </c>
      <c r="K46" s="619"/>
      <c r="L46" s="619"/>
      <c r="M46" s="619"/>
      <c r="N46" s="619"/>
      <c r="O46" s="619"/>
      <c r="P46" s="623" t="s">
        <v>246</v>
      </c>
      <c r="Q46" s="367"/>
    </row>
    <row r="47" spans="2:17" ht="15.75" x14ac:dyDescent="0.25">
      <c r="B47" s="628"/>
      <c r="C47" s="619"/>
      <c r="D47" s="619"/>
      <c r="E47" s="619"/>
      <c r="F47" s="619"/>
      <c r="G47" s="583">
        <v>2027</v>
      </c>
      <c r="H47" s="583">
        <v>2028</v>
      </c>
      <c r="I47" s="502"/>
      <c r="J47" s="503" t="s">
        <v>260</v>
      </c>
      <c r="K47" s="358">
        <v>2026</v>
      </c>
      <c r="L47" s="358">
        <v>2027</v>
      </c>
      <c r="M47" s="358">
        <v>2028</v>
      </c>
      <c r="N47" s="358">
        <v>2029</v>
      </c>
      <c r="O47" s="358">
        <v>2030</v>
      </c>
      <c r="P47" s="623"/>
      <c r="Q47" s="367"/>
    </row>
    <row r="48" spans="2:17" ht="15.75" x14ac:dyDescent="0.25">
      <c r="B48" s="501"/>
      <c r="C48" s="501" t="s">
        <v>41</v>
      </c>
      <c r="D48" s="540">
        <f t="shared" ref="D48:D57" si="4">SUM(E48:F48)</f>
        <v>0</v>
      </c>
      <c r="E48" s="540">
        <f>SUBTOTAL(9,E49:E57)</f>
        <v>0</v>
      </c>
      <c r="F48" s="540">
        <f>SUBTOTAL(9,F49:F57)</f>
        <v>0</v>
      </c>
      <c r="G48" s="540"/>
      <c r="H48" s="540"/>
      <c r="I48" s="497"/>
      <c r="J48" s="504">
        <v>18.608598336</v>
      </c>
      <c r="K48" s="359">
        <v>4.682423816</v>
      </c>
      <c r="L48" s="359">
        <v>5.5319648599999995</v>
      </c>
      <c r="M48" s="359">
        <v>4.2553343400000001</v>
      </c>
      <c r="N48" s="359">
        <v>2.2735215200000001</v>
      </c>
      <c r="O48" s="359">
        <v>1.8653537999999998</v>
      </c>
      <c r="P48" s="568"/>
      <c r="Q48" s="367"/>
    </row>
    <row r="49" spans="2:17" x14ac:dyDescent="0.25">
      <c r="B49" s="389">
        <v>1</v>
      </c>
      <c r="C49" s="361" t="s">
        <v>54</v>
      </c>
      <c r="D49" s="540">
        <f t="shared" si="4"/>
        <v>0</v>
      </c>
      <c r="E49" s="361">
        <f>E50</f>
        <v>0</v>
      </c>
      <c r="F49" s="361">
        <f>F50</f>
        <v>0</v>
      </c>
      <c r="G49" s="361"/>
      <c r="H49" s="361"/>
      <c r="I49" s="527"/>
      <c r="J49" s="511">
        <v>3.8975780827632387</v>
      </c>
      <c r="K49" s="390">
        <v>0.77923288195474516</v>
      </c>
      <c r="L49" s="390">
        <v>1.4217625180106339</v>
      </c>
      <c r="M49" s="390">
        <v>1.0507716009021422</v>
      </c>
      <c r="N49" s="390">
        <v>0.34650542317214467</v>
      </c>
      <c r="O49" s="390">
        <v>0.29930565872357306</v>
      </c>
      <c r="P49" s="561"/>
      <c r="Q49" s="367"/>
    </row>
    <row r="50" spans="2:17" ht="18.600000000000001" customHeight="1" x14ac:dyDescent="0.25">
      <c r="B50" s="391" t="s">
        <v>8</v>
      </c>
      <c r="C50" s="392" t="s">
        <v>219</v>
      </c>
      <c r="D50" s="540">
        <f t="shared" si="4"/>
        <v>0</v>
      </c>
      <c r="E50" s="392">
        <f>'TH theo DV'!H7</f>
        <v>0</v>
      </c>
      <c r="F50" s="392">
        <f>'TH theo DV'!R7</f>
        <v>0</v>
      </c>
      <c r="G50" s="392"/>
      <c r="H50" s="392"/>
      <c r="I50" s="531"/>
      <c r="J50" s="512">
        <v>0.98339502000000001</v>
      </c>
      <c r="K50" s="393">
        <v>0.21404855999999997</v>
      </c>
      <c r="L50" s="393">
        <v>0.31848520000000002</v>
      </c>
      <c r="M50" s="393">
        <v>0.28023068000000001</v>
      </c>
      <c r="N50" s="393">
        <v>9.1522079999999992E-2</v>
      </c>
      <c r="O50" s="393">
        <v>7.9108499999999998E-2</v>
      </c>
      <c r="P50" s="562" t="s">
        <v>261</v>
      </c>
      <c r="Q50" s="367"/>
    </row>
    <row r="51" spans="2:17" x14ac:dyDescent="0.25">
      <c r="B51" s="389">
        <v>2</v>
      </c>
      <c r="C51" s="368" t="s">
        <v>263</v>
      </c>
      <c r="D51" s="540">
        <f t="shared" si="4"/>
        <v>0</v>
      </c>
      <c r="E51" s="368"/>
      <c r="F51" s="368"/>
      <c r="G51" s="368"/>
      <c r="H51" s="368"/>
      <c r="I51" s="528"/>
      <c r="J51" s="511">
        <v>1.3217269565246501</v>
      </c>
      <c r="K51" s="390">
        <v>0.39191711005965429</v>
      </c>
      <c r="L51" s="390">
        <v>0.27337490104375178</v>
      </c>
      <c r="M51" s="390">
        <v>0.30389836641151968</v>
      </c>
      <c r="N51" s="390">
        <v>0.18076838287681612</v>
      </c>
      <c r="O51" s="390">
        <v>0.17176819613290822</v>
      </c>
      <c r="P51" s="561"/>
      <c r="Q51" s="367"/>
    </row>
    <row r="52" spans="2:17" ht="19.149999999999999" customHeight="1" x14ac:dyDescent="0.25">
      <c r="B52" s="391" t="s">
        <v>8</v>
      </c>
      <c r="C52" s="392" t="s">
        <v>219</v>
      </c>
      <c r="D52" s="540">
        <f t="shared" si="4"/>
        <v>0</v>
      </c>
      <c r="E52" s="392">
        <f>'TH theo DV'!H13</f>
        <v>0</v>
      </c>
      <c r="F52" s="392">
        <f>'TH theo DV'!R13</f>
        <v>0</v>
      </c>
      <c r="G52" s="392"/>
      <c r="H52" s="392"/>
      <c r="I52" s="531"/>
      <c r="J52" s="512">
        <v>0.8025987</v>
      </c>
      <c r="K52" s="393">
        <v>0.21275368000000003</v>
      </c>
      <c r="L52" s="393">
        <v>0.13423389999999999</v>
      </c>
      <c r="M52" s="393">
        <v>0.18085789999999999</v>
      </c>
      <c r="N52" s="393">
        <v>0.13275367999999999</v>
      </c>
      <c r="O52" s="393">
        <v>0.14199954000000001</v>
      </c>
      <c r="P52" s="562" t="s">
        <v>264</v>
      </c>
      <c r="Q52" s="367"/>
    </row>
    <row r="53" spans="2:17" ht="30" customHeight="1" x14ac:dyDescent="0.25">
      <c r="B53" s="391" t="s">
        <v>8</v>
      </c>
      <c r="C53" s="392" t="s">
        <v>221</v>
      </c>
      <c r="D53" s="540">
        <f t="shared" si="4"/>
        <v>0</v>
      </c>
      <c r="E53" s="392">
        <f>'TH theo DV'!H14</f>
        <v>0</v>
      </c>
      <c r="F53" s="392">
        <f>'TH theo DV'!R14</f>
        <v>0</v>
      </c>
      <c r="G53" s="392"/>
      <c r="H53" s="392"/>
      <c r="I53" s="531"/>
      <c r="J53" s="512">
        <v>0.51912825652465011</v>
      </c>
      <c r="K53" s="393">
        <v>0.17916343005965427</v>
      </c>
      <c r="L53" s="393">
        <v>0.13914100104375179</v>
      </c>
      <c r="M53" s="393">
        <v>0.12304046641151968</v>
      </c>
      <c r="N53" s="393">
        <v>4.801470287681614E-2</v>
      </c>
      <c r="O53" s="393">
        <v>2.976865613290822E-2</v>
      </c>
      <c r="P53" s="566" t="s">
        <v>265</v>
      </c>
      <c r="Q53" s="367"/>
    </row>
    <row r="54" spans="2:17" ht="31.15" customHeight="1" x14ac:dyDescent="0.25">
      <c r="B54" s="396">
        <v>3</v>
      </c>
      <c r="C54" s="368" t="s">
        <v>266</v>
      </c>
      <c r="D54" s="540">
        <f t="shared" si="4"/>
        <v>0</v>
      </c>
      <c r="E54" s="368">
        <f>'TH theo DV'!H15</f>
        <v>0</v>
      </c>
      <c r="F54" s="368">
        <f>'TH theo DV'!R15</f>
        <v>0</v>
      </c>
      <c r="G54" s="368"/>
      <c r="H54" s="368"/>
      <c r="I54" s="528"/>
      <c r="J54" s="511">
        <v>3.280188680712111</v>
      </c>
      <c r="K54" s="397">
        <v>0.58235224798560048</v>
      </c>
      <c r="L54" s="397">
        <v>1.1242816809456144</v>
      </c>
      <c r="M54" s="397">
        <v>0.9131186126863382</v>
      </c>
      <c r="N54" s="397">
        <v>0.3437019539510392</v>
      </c>
      <c r="O54" s="397">
        <v>0.31673418514351875</v>
      </c>
      <c r="P54" s="566" t="s">
        <v>267</v>
      </c>
      <c r="Q54" s="367"/>
    </row>
    <row r="55" spans="2:17" ht="18.600000000000001" customHeight="1" x14ac:dyDescent="0.25">
      <c r="B55" s="396">
        <v>4</v>
      </c>
      <c r="C55" s="368" t="s">
        <v>224</v>
      </c>
      <c r="D55" s="540">
        <f t="shared" si="4"/>
        <v>0</v>
      </c>
      <c r="E55" s="368">
        <f>'TH theo DV'!H28</f>
        <v>0</v>
      </c>
      <c r="F55" s="368">
        <f>'TH theo DV'!R28</f>
        <v>0</v>
      </c>
      <c r="G55" s="368"/>
      <c r="H55" s="368"/>
      <c r="I55" s="528"/>
      <c r="J55" s="511">
        <v>5.8375959999999996</v>
      </c>
      <c r="K55" s="397">
        <v>1.4075960000000001</v>
      </c>
      <c r="L55" s="397">
        <v>2.0249999999999999</v>
      </c>
      <c r="M55" s="397">
        <v>1.3</v>
      </c>
      <c r="N55" s="397">
        <v>0.71499999999999997</v>
      </c>
      <c r="O55" s="397">
        <v>0.39</v>
      </c>
      <c r="P55" s="566" t="s">
        <v>268</v>
      </c>
      <c r="Q55" s="367"/>
    </row>
    <row r="56" spans="2:17" ht="33.6" customHeight="1" x14ac:dyDescent="0.25">
      <c r="B56" s="389">
        <v>5</v>
      </c>
      <c r="C56" s="368" t="s">
        <v>226</v>
      </c>
      <c r="D56" s="540">
        <f t="shared" si="4"/>
        <v>0</v>
      </c>
      <c r="E56" s="368">
        <f>'TH theo DV'!H29</f>
        <v>0</v>
      </c>
      <c r="F56" s="368">
        <f>'TH theo DV'!R29</f>
        <v>0</v>
      </c>
      <c r="G56" s="368"/>
      <c r="H56" s="368"/>
      <c r="I56" s="528"/>
      <c r="J56" s="511">
        <v>2.5435183499999998</v>
      </c>
      <c r="K56" s="397">
        <v>1.1147687900000001</v>
      </c>
      <c r="L56" s="397">
        <v>0.35718738999999994</v>
      </c>
      <c r="M56" s="397">
        <v>0.35718738999999994</v>
      </c>
      <c r="N56" s="397">
        <v>0.35718738999999994</v>
      </c>
      <c r="O56" s="397">
        <v>0.35718738999999994</v>
      </c>
      <c r="P56" s="566" t="s">
        <v>269</v>
      </c>
      <c r="Q56" s="367"/>
    </row>
    <row r="57" spans="2:17" ht="24" customHeight="1" x14ac:dyDescent="0.25">
      <c r="B57" s="389">
        <v>6</v>
      </c>
      <c r="C57" s="368" t="s">
        <v>227</v>
      </c>
      <c r="D57" s="540">
        <f t="shared" si="4"/>
        <v>0</v>
      </c>
      <c r="E57" s="368">
        <f>'TH theo DV'!H27</f>
        <v>0</v>
      </c>
      <c r="F57" s="368">
        <f>'TH theo DV'!R27</f>
        <v>0</v>
      </c>
      <c r="G57" s="368"/>
      <c r="H57" s="368"/>
      <c r="I57" s="528"/>
      <c r="J57" s="511">
        <v>1.7279902659999995</v>
      </c>
      <c r="K57" s="397">
        <v>0.40655678599999984</v>
      </c>
      <c r="L57" s="397">
        <v>0.33035836999999996</v>
      </c>
      <c r="M57" s="397">
        <v>0.33035836999999996</v>
      </c>
      <c r="N57" s="397">
        <v>0.33035836999999996</v>
      </c>
      <c r="O57" s="397">
        <v>0.33035836999999996</v>
      </c>
      <c r="P57" s="566" t="s">
        <v>270</v>
      </c>
      <c r="Q57" s="367"/>
    </row>
    <row r="58" spans="2:17" x14ac:dyDescent="0.25">
      <c r="Q58" s="367"/>
    </row>
    <row r="59" spans="2:17" x14ac:dyDescent="0.25">
      <c r="B59" s="630" t="s">
        <v>271</v>
      </c>
      <c r="C59" s="630"/>
      <c r="D59" s="630"/>
      <c r="E59" s="630"/>
      <c r="F59" s="630"/>
      <c r="Q59" s="367"/>
    </row>
    <row r="60" spans="2:17" ht="15.6" customHeight="1" x14ac:dyDescent="0.25">
      <c r="B60" s="628" t="s">
        <v>48</v>
      </c>
      <c r="C60" s="619" t="s">
        <v>216</v>
      </c>
      <c r="D60" s="619" t="s">
        <v>41</v>
      </c>
      <c r="E60" s="619">
        <v>2027</v>
      </c>
      <c r="F60" s="619">
        <v>2028</v>
      </c>
      <c r="G60" s="619" t="s">
        <v>218</v>
      </c>
      <c r="H60" s="619"/>
      <c r="I60" s="502"/>
      <c r="J60" s="619" t="s">
        <v>217</v>
      </c>
      <c r="K60" s="619"/>
      <c r="L60" s="619"/>
      <c r="M60" s="619"/>
      <c r="N60" s="619"/>
      <c r="O60" s="619"/>
      <c r="P60" s="620" t="s">
        <v>218</v>
      </c>
      <c r="Q60" s="367"/>
    </row>
    <row r="61" spans="2:17" ht="15.75" x14ac:dyDescent="0.25">
      <c r="B61" s="628"/>
      <c r="C61" s="619"/>
      <c r="D61" s="619"/>
      <c r="E61" s="619"/>
      <c r="F61" s="619"/>
      <c r="G61" s="583">
        <v>2027</v>
      </c>
      <c r="H61" s="583">
        <v>2028</v>
      </c>
      <c r="I61" s="502"/>
      <c r="J61" s="503" t="s">
        <v>41</v>
      </c>
      <c r="K61" s="358">
        <v>2026</v>
      </c>
      <c r="L61" s="358">
        <v>2027</v>
      </c>
      <c r="M61" s="358">
        <v>2028</v>
      </c>
      <c r="N61" s="358">
        <v>2029</v>
      </c>
      <c r="O61" s="358">
        <v>2030</v>
      </c>
      <c r="P61" s="621"/>
      <c r="Q61" s="367"/>
    </row>
    <row r="62" spans="2:17" ht="15.75" x14ac:dyDescent="0.25">
      <c r="B62" s="501"/>
      <c r="C62" s="501" t="s">
        <v>41</v>
      </c>
      <c r="D62" s="540">
        <f t="shared" ref="D62:D70" si="5">SUM(E62:F62)</f>
        <v>0</v>
      </c>
      <c r="E62" s="540">
        <f t="shared" ref="E62" si="6">SUM(F62:G62)</f>
        <v>0</v>
      </c>
      <c r="F62" s="540">
        <f t="shared" ref="F62" si="7">SUM(G62:H62)</f>
        <v>0</v>
      </c>
      <c r="G62" s="540"/>
      <c r="H62" s="540"/>
      <c r="I62" s="532"/>
      <c r="J62" s="513">
        <v>13.205724</v>
      </c>
      <c r="K62" s="398">
        <v>3.9176030000000002</v>
      </c>
      <c r="L62" s="398">
        <v>3.6133709999999999</v>
      </c>
      <c r="M62" s="398">
        <v>2.1641330000000001</v>
      </c>
      <c r="N62" s="398">
        <v>1.8335649999999997</v>
      </c>
      <c r="O62" s="398">
        <v>1.677052</v>
      </c>
      <c r="P62" s="568"/>
      <c r="Q62" s="367"/>
    </row>
    <row r="63" spans="2:17" x14ac:dyDescent="0.25">
      <c r="B63" s="399">
        <v>1</v>
      </c>
      <c r="C63" s="400" t="s">
        <v>54</v>
      </c>
      <c r="D63" s="540">
        <f t="shared" si="5"/>
        <v>0</v>
      </c>
      <c r="E63" s="540">
        <f t="shared" ref="E63" si="8">SUM(F63:G63)</f>
        <v>0</v>
      </c>
      <c r="F63" s="540">
        <f t="shared" ref="F63" si="9">SUM(G63:H63)</f>
        <v>0</v>
      </c>
      <c r="G63" s="400"/>
      <c r="H63" s="400"/>
      <c r="I63" s="496"/>
      <c r="J63" s="514">
        <v>3.2775906650485771</v>
      </c>
      <c r="K63" s="402">
        <v>1.0104539000987092</v>
      </c>
      <c r="L63" s="402">
        <v>0.6106931434708015</v>
      </c>
      <c r="M63" s="402">
        <v>0.68074986250742586</v>
      </c>
      <c r="N63" s="402">
        <v>0.55388670276009777</v>
      </c>
      <c r="O63" s="402">
        <v>0.42180705621154235</v>
      </c>
      <c r="P63" s="570"/>
      <c r="Q63" s="367"/>
    </row>
    <row r="64" spans="2:17" ht="46.15" customHeight="1" x14ac:dyDescent="0.25">
      <c r="B64" s="391" t="s">
        <v>8</v>
      </c>
      <c r="C64" s="403" t="s">
        <v>272</v>
      </c>
      <c r="D64" s="540">
        <f t="shared" si="5"/>
        <v>0</v>
      </c>
      <c r="E64" s="392">
        <f>'TH theo DV'!I7</f>
        <v>0</v>
      </c>
      <c r="F64" s="392">
        <f>'TH theo DV'!S7</f>
        <v>0</v>
      </c>
      <c r="G64" s="403"/>
      <c r="H64" s="403"/>
      <c r="I64" s="533"/>
      <c r="J64" s="515">
        <v>1.2236339826704987</v>
      </c>
      <c r="K64" s="404">
        <v>0.30214270588235292</v>
      </c>
      <c r="L64" s="404">
        <v>0.4153059295154185</v>
      </c>
      <c r="M64" s="404">
        <v>0.36709922727272731</v>
      </c>
      <c r="N64" s="404">
        <v>7.3865866666666669E-2</v>
      </c>
      <c r="O64" s="404">
        <v>6.5220253333333339E-2</v>
      </c>
      <c r="P64" s="561" t="s">
        <v>273</v>
      </c>
      <c r="Q64" s="367"/>
    </row>
    <row r="65" spans="2:17" x14ac:dyDescent="0.25">
      <c r="B65" s="399">
        <v>2</v>
      </c>
      <c r="C65" s="400" t="s">
        <v>32</v>
      </c>
      <c r="D65" s="540">
        <f t="shared" si="5"/>
        <v>0</v>
      </c>
      <c r="E65" s="540">
        <f t="shared" ref="E65" si="10">SUM(F65:G65)</f>
        <v>0</v>
      </c>
      <c r="F65" s="540">
        <f t="shared" ref="F65" si="11">SUM(G65:H65)</f>
        <v>0</v>
      </c>
      <c r="G65" s="400"/>
      <c r="H65" s="400"/>
      <c r="I65" s="496"/>
      <c r="J65" s="514">
        <v>2.2201222632172573</v>
      </c>
      <c r="K65" s="402">
        <v>1.5784341653491021</v>
      </c>
      <c r="L65" s="402">
        <v>0.26647526195790056</v>
      </c>
      <c r="M65" s="402">
        <v>0.19843095591025497</v>
      </c>
      <c r="N65" s="402">
        <v>8.4418133333333326E-2</v>
      </c>
      <c r="O65" s="402">
        <v>9.2363746666666677E-2</v>
      </c>
      <c r="P65" s="561"/>
      <c r="Q65" s="367"/>
    </row>
    <row r="66" spans="2:17" ht="49.15" customHeight="1" x14ac:dyDescent="0.25">
      <c r="B66" s="391" t="s">
        <v>8</v>
      </c>
      <c r="C66" s="403" t="s">
        <v>276</v>
      </c>
      <c r="D66" s="540">
        <f t="shared" si="5"/>
        <v>0</v>
      </c>
      <c r="E66" s="392">
        <f>'TH theo DV'!I9</f>
        <v>0</v>
      </c>
      <c r="F66" s="392">
        <f>'TH theo DV'!S9</f>
        <v>0</v>
      </c>
      <c r="G66" s="403"/>
      <c r="H66" s="403"/>
      <c r="I66" s="533"/>
      <c r="J66" s="515">
        <v>0.42893901732950129</v>
      </c>
      <c r="K66" s="404">
        <v>2.8812294117647061E-2</v>
      </c>
      <c r="L66" s="404">
        <v>9.4578070484581486E-2</v>
      </c>
      <c r="M66" s="404">
        <v>0.12876677272727274</v>
      </c>
      <c r="N66" s="404">
        <v>8.4418133333333326E-2</v>
      </c>
      <c r="O66" s="404">
        <v>9.2363746666666677E-2</v>
      </c>
      <c r="P66" s="561" t="s">
        <v>277</v>
      </c>
      <c r="Q66" s="367"/>
    </row>
    <row r="67" spans="2:17" x14ac:dyDescent="0.25">
      <c r="B67" s="391" t="s">
        <v>8</v>
      </c>
      <c r="C67" s="403" t="s">
        <v>278</v>
      </c>
      <c r="D67" s="540">
        <f t="shared" si="5"/>
        <v>0</v>
      </c>
      <c r="E67" s="392">
        <f>'TH theo DV'!I14</f>
        <v>0</v>
      </c>
      <c r="F67" s="392">
        <f>'TH theo DV'!S14</f>
        <v>0</v>
      </c>
      <c r="G67" s="403"/>
      <c r="H67" s="403"/>
      <c r="I67" s="533"/>
      <c r="J67" s="515">
        <v>1.7911832458877566</v>
      </c>
      <c r="K67" s="404">
        <v>1.5496218712314551</v>
      </c>
      <c r="L67" s="404">
        <v>0.17189719147331908</v>
      </c>
      <c r="M67" s="404">
        <v>6.9664183182982231E-2</v>
      </c>
      <c r="N67" s="404">
        <v>0</v>
      </c>
      <c r="O67" s="404">
        <v>0</v>
      </c>
      <c r="P67" s="561" t="s">
        <v>279</v>
      </c>
      <c r="Q67" s="367"/>
    </row>
    <row r="68" spans="2:17" ht="63" customHeight="1" x14ac:dyDescent="0.25">
      <c r="B68" s="405">
        <v>3</v>
      </c>
      <c r="C68" s="406" t="s">
        <v>280</v>
      </c>
      <c r="D68" s="540">
        <f t="shared" si="5"/>
        <v>0</v>
      </c>
      <c r="E68" s="392">
        <f>'TH theo DV'!I15</f>
        <v>0</v>
      </c>
      <c r="F68" s="392">
        <f>'TH theo DV'!S15</f>
        <v>0</v>
      </c>
      <c r="G68" s="406"/>
      <c r="H68" s="406"/>
      <c r="I68" s="534"/>
      <c r="J68" s="514">
        <v>4.8369640717341653</v>
      </c>
      <c r="K68" s="407">
        <v>1.1560629345521887</v>
      </c>
      <c r="L68" s="407">
        <v>0.96283359457129813</v>
      </c>
      <c r="M68" s="407">
        <v>0.88028718158231911</v>
      </c>
      <c r="N68" s="407">
        <v>0.94334116390656864</v>
      </c>
      <c r="O68" s="407">
        <v>0.89443919712179099</v>
      </c>
      <c r="P68" s="561" t="s">
        <v>281</v>
      </c>
      <c r="Q68" s="367"/>
    </row>
    <row r="69" spans="2:17" ht="22.9" customHeight="1" x14ac:dyDescent="0.25">
      <c r="B69" s="405">
        <v>4</v>
      </c>
      <c r="C69" s="406" t="s">
        <v>160</v>
      </c>
      <c r="D69" s="540">
        <f t="shared" si="5"/>
        <v>0</v>
      </c>
      <c r="E69" s="392">
        <f>'TH theo DV'!I27</f>
        <v>0</v>
      </c>
      <c r="F69" s="392">
        <f>'TH theo DV'!S27</f>
        <v>0</v>
      </c>
      <c r="G69" s="406"/>
      <c r="H69" s="406"/>
      <c r="I69" s="534"/>
      <c r="J69" s="514">
        <v>1.3086470000000001</v>
      </c>
      <c r="K69" s="401">
        <v>0.172652</v>
      </c>
      <c r="L69" s="401">
        <v>0.21096899999999999</v>
      </c>
      <c r="M69" s="401">
        <v>0.404665</v>
      </c>
      <c r="N69" s="401">
        <v>0.251919</v>
      </c>
      <c r="O69" s="401">
        <v>0.26844200000000001</v>
      </c>
      <c r="P69" s="561" t="s">
        <v>282</v>
      </c>
      <c r="Q69" s="367"/>
    </row>
    <row r="70" spans="2:17" ht="45" customHeight="1" x14ac:dyDescent="0.25">
      <c r="B70" s="405">
        <v>5</v>
      </c>
      <c r="C70" s="408" t="s">
        <v>283</v>
      </c>
      <c r="D70" s="540">
        <f t="shared" si="5"/>
        <v>0</v>
      </c>
      <c r="E70" s="392">
        <f>'TH theo DV'!I21</f>
        <v>0</v>
      </c>
      <c r="F70" s="392">
        <f>'TH theo DV'!S21</f>
        <v>0</v>
      </c>
      <c r="G70" s="408"/>
      <c r="H70" s="408"/>
      <c r="I70" s="535"/>
      <c r="J70" s="514">
        <v>1.5624</v>
      </c>
      <c r="K70" s="409"/>
      <c r="L70" s="410">
        <v>1.5624</v>
      </c>
      <c r="M70" s="411"/>
      <c r="N70" s="411"/>
      <c r="O70" s="411"/>
      <c r="P70" s="561" t="s">
        <v>284</v>
      </c>
      <c r="Q70" s="367"/>
    </row>
    <row r="71" spans="2:17" x14ac:dyDescent="0.25">
      <c r="Q71" s="367"/>
    </row>
    <row r="72" spans="2:17" x14ac:dyDescent="0.25">
      <c r="B72" s="357" t="s">
        <v>285</v>
      </c>
      <c r="Q72" s="367"/>
    </row>
    <row r="73" spans="2:17" ht="15.6" customHeight="1" x14ac:dyDescent="0.25">
      <c r="B73" s="628" t="s">
        <v>48</v>
      </c>
      <c r="C73" s="619" t="s">
        <v>216</v>
      </c>
      <c r="D73" s="619" t="s">
        <v>41</v>
      </c>
      <c r="E73" s="619">
        <v>2027</v>
      </c>
      <c r="F73" s="619">
        <v>2028</v>
      </c>
      <c r="G73" s="619" t="s">
        <v>218</v>
      </c>
      <c r="H73" s="619"/>
      <c r="I73" s="502"/>
      <c r="J73" s="619" t="s">
        <v>217</v>
      </c>
      <c r="K73" s="619"/>
      <c r="L73" s="619"/>
      <c r="M73" s="619"/>
      <c r="N73" s="619"/>
      <c r="O73" s="619"/>
      <c r="P73" s="622" t="s">
        <v>218</v>
      </c>
      <c r="Q73" s="367"/>
    </row>
    <row r="74" spans="2:17" ht="15.75" x14ac:dyDescent="0.25">
      <c r="B74" s="628"/>
      <c r="C74" s="619"/>
      <c r="D74" s="619"/>
      <c r="E74" s="619"/>
      <c r="F74" s="619"/>
      <c r="G74" s="583">
        <v>2027</v>
      </c>
      <c r="H74" s="583">
        <v>2028</v>
      </c>
      <c r="I74" s="502"/>
      <c r="J74" s="516" t="s">
        <v>41</v>
      </c>
      <c r="K74" s="412">
        <v>2026</v>
      </c>
      <c r="L74" s="412">
        <v>2027</v>
      </c>
      <c r="M74" s="412">
        <v>2028</v>
      </c>
      <c r="N74" s="412">
        <v>2029</v>
      </c>
      <c r="O74" s="412">
        <v>2030</v>
      </c>
      <c r="P74" s="622"/>
      <c r="Q74" s="367"/>
    </row>
    <row r="75" spans="2:17" ht="15.75" x14ac:dyDescent="0.25">
      <c r="B75" s="501"/>
      <c r="C75" s="501" t="s">
        <v>41</v>
      </c>
      <c r="D75" s="540">
        <f t="shared" ref="D75:D78" si="12">SUM(E75:F75)</f>
        <v>0</v>
      </c>
      <c r="E75" s="540"/>
      <c r="F75" s="540"/>
      <c r="G75" s="540"/>
      <c r="H75" s="540"/>
      <c r="I75" s="497"/>
      <c r="J75" s="504">
        <v>13.398576470588235</v>
      </c>
      <c r="K75" s="359">
        <v>7.0185764705882354</v>
      </c>
      <c r="L75" s="359">
        <v>3.2192156862745103</v>
      </c>
      <c r="M75" s="359">
        <v>1.6882352941176473</v>
      </c>
      <c r="N75" s="359">
        <v>0.70000000000000018</v>
      </c>
      <c r="O75" s="359">
        <v>0.77254901960784306</v>
      </c>
      <c r="P75" s="568"/>
      <c r="Q75" s="367"/>
    </row>
    <row r="76" spans="2:17" x14ac:dyDescent="0.25">
      <c r="B76" s="413">
        <v>1</v>
      </c>
      <c r="C76" s="414" t="s">
        <v>283</v>
      </c>
      <c r="D76" s="540">
        <f t="shared" si="12"/>
        <v>0</v>
      </c>
      <c r="E76" s="414">
        <f>'TH theo DV'!J21</f>
        <v>0</v>
      </c>
      <c r="F76" s="414">
        <f>'TH theo DV'!T21</f>
        <v>0</v>
      </c>
      <c r="G76" s="414"/>
      <c r="H76" s="414"/>
      <c r="I76" s="536"/>
      <c r="J76" s="517">
        <v>11.964376470588237</v>
      </c>
      <c r="K76" s="415">
        <v>6.6843764705882354</v>
      </c>
      <c r="L76" s="415">
        <v>2.91921568627451</v>
      </c>
      <c r="M76" s="415">
        <v>1.3882352941176472</v>
      </c>
      <c r="N76" s="416">
        <v>0.40000000000000008</v>
      </c>
      <c r="O76" s="416">
        <v>0.5725490196078431</v>
      </c>
      <c r="P76" s="561" t="s">
        <v>286</v>
      </c>
      <c r="Q76" s="367"/>
    </row>
    <row r="77" spans="2:17" ht="30" x14ac:dyDescent="0.25">
      <c r="B77" s="417">
        <v>2</v>
      </c>
      <c r="C77" s="414" t="s">
        <v>287</v>
      </c>
      <c r="D77" s="540">
        <f t="shared" si="12"/>
        <v>0</v>
      </c>
      <c r="E77" s="414">
        <f>'TH theo DV'!J28</f>
        <v>0</v>
      </c>
      <c r="F77" s="414">
        <f>'TH theo DV'!T28</f>
        <v>0</v>
      </c>
      <c r="G77" s="414"/>
      <c r="H77" s="414"/>
      <c r="I77" s="536"/>
      <c r="J77" s="517">
        <v>0.30000000000000004</v>
      </c>
      <c r="K77" s="415">
        <v>0</v>
      </c>
      <c r="L77" s="415">
        <v>0.1</v>
      </c>
      <c r="M77" s="415">
        <v>0.1</v>
      </c>
      <c r="N77" s="416">
        <v>0.1</v>
      </c>
      <c r="O77" s="415">
        <v>0</v>
      </c>
      <c r="P77" s="561" t="s">
        <v>288</v>
      </c>
      <c r="Q77" s="367"/>
    </row>
    <row r="78" spans="2:17" x14ac:dyDescent="0.25">
      <c r="B78" s="413">
        <v>3</v>
      </c>
      <c r="C78" s="414" t="s">
        <v>233</v>
      </c>
      <c r="D78" s="540">
        <f t="shared" si="12"/>
        <v>0</v>
      </c>
      <c r="E78" s="414">
        <f>'TH theo DV'!J29</f>
        <v>0</v>
      </c>
      <c r="F78" s="414">
        <f>'TH theo DV'!T29</f>
        <v>0</v>
      </c>
      <c r="G78" s="414"/>
      <c r="H78" s="414"/>
      <c r="I78" s="536"/>
      <c r="J78" s="517">
        <v>1.1341999999999999</v>
      </c>
      <c r="K78" s="418">
        <v>0.3342</v>
      </c>
      <c r="L78" s="418">
        <v>0.2</v>
      </c>
      <c r="M78" s="418">
        <v>0.2</v>
      </c>
      <c r="N78" s="418">
        <v>0.2</v>
      </c>
      <c r="O78" s="418">
        <v>0.2</v>
      </c>
      <c r="P78" s="561" t="s">
        <v>289</v>
      </c>
      <c r="Q78" s="367"/>
    </row>
    <row r="79" spans="2:17" x14ac:dyDescent="0.25">
      <c r="Q79" s="367"/>
    </row>
    <row r="80" spans="2:17" x14ac:dyDescent="0.25">
      <c r="B80" s="624" t="s">
        <v>290</v>
      </c>
      <c r="C80" s="624"/>
      <c r="Q80" s="367"/>
    </row>
    <row r="81" spans="2:17" ht="15.6" customHeight="1" x14ac:dyDescent="0.25">
      <c r="B81" s="628" t="s">
        <v>48</v>
      </c>
      <c r="C81" s="619" t="s">
        <v>216</v>
      </c>
      <c r="D81" s="619" t="s">
        <v>41</v>
      </c>
      <c r="E81" s="619">
        <v>2027</v>
      </c>
      <c r="F81" s="619">
        <v>2028</v>
      </c>
      <c r="G81" s="619" t="s">
        <v>218</v>
      </c>
      <c r="H81" s="619"/>
      <c r="I81" s="502"/>
      <c r="J81" s="619" t="s">
        <v>217</v>
      </c>
      <c r="K81" s="619"/>
      <c r="L81" s="619"/>
      <c r="M81" s="619"/>
      <c r="N81" s="619"/>
      <c r="O81" s="619"/>
      <c r="P81" s="622" t="s">
        <v>218</v>
      </c>
      <c r="Q81" s="367"/>
    </row>
    <row r="82" spans="2:17" ht="15.75" x14ac:dyDescent="0.25">
      <c r="B82" s="628"/>
      <c r="C82" s="619"/>
      <c r="D82" s="619"/>
      <c r="E82" s="619"/>
      <c r="F82" s="619"/>
      <c r="G82" s="583">
        <v>2027</v>
      </c>
      <c r="H82" s="583">
        <v>2028</v>
      </c>
      <c r="I82" s="502"/>
      <c r="J82" s="516" t="s">
        <v>41</v>
      </c>
      <c r="K82" s="412">
        <v>2026</v>
      </c>
      <c r="L82" s="412">
        <v>2027</v>
      </c>
      <c r="M82" s="412">
        <v>2028</v>
      </c>
      <c r="N82" s="412">
        <v>2029</v>
      </c>
      <c r="O82" s="412">
        <v>2030</v>
      </c>
      <c r="P82" s="622"/>
      <c r="Q82" s="367"/>
    </row>
    <row r="83" spans="2:17" ht="15.75" x14ac:dyDescent="0.25">
      <c r="B83" s="501"/>
      <c r="C83" s="501" t="s">
        <v>41</v>
      </c>
      <c r="D83" s="540">
        <f t="shared" ref="D83:D91" si="13">SUM(E83:F83)</f>
        <v>0</v>
      </c>
      <c r="E83" s="540">
        <f>SUBTOTAL(9,E84:E91)</f>
        <v>0</v>
      </c>
      <c r="F83" s="540">
        <f>SUBTOTAL(9,F84:F91)</f>
        <v>0</v>
      </c>
      <c r="G83" s="540"/>
      <c r="H83" s="540"/>
      <c r="I83" s="497"/>
      <c r="J83" s="504">
        <v>10.653957000000002</v>
      </c>
      <c r="K83" s="359">
        <v>2.5895570000000001</v>
      </c>
      <c r="L83" s="359">
        <v>2.2687779999999997</v>
      </c>
      <c r="M83" s="359">
        <v>2.1056170000000001</v>
      </c>
      <c r="N83" s="359">
        <v>1.859979</v>
      </c>
      <c r="O83" s="359">
        <v>1.8300259999999999</v>
      </c>
      <c r="P83" s="568"/>
      <c r="Q83" s="367"/>
    </row>
    <row r="84" spans="2:17" x14ac:dyDescent="0.25">
      <c r="B84" s="399">
        <v>1</v>
      </c>
      <c r="C84" s="400" t="s">
        <v>54</v>
      </c>
      <c r="D84" s="540">
        <f t="shared" si="13"/>
        <v>0</v>
      </c>
      <c r="E84" s="400">
        <f>E85</f>
        <v>0</v>
      </c>
      <c r="F84" s="400">
        <f>F85</f>
        <v>0</v>
      </c>
      <c r="G84" s="400"/>
      <c r="H84" s="400"/>
      <c r="I84" s="496"/>
      <c r="J84" s="517">
        <v>0.80431999999999992</v>
      </c>
      <c r="K84" s="419">
        <v>0.22907</v>
      </c>
      <c r="L84" s="419">
        <v>0.27179999999999999</v>
      </c>
      <c r="M84" s="419">
        <v>0.17044000000000001</v>
      </c>
      <c r="N84" s="419">
        <v>9.0509999999999993E-2</v>
      </c>
      <c r="O84" s="419">
        <v>4.2500000000000003E-2</v>
      </c>
      <c r="P84" s="571"/>
      <c r="Q84" s="367"/>
    </row>
    <row r="85" spans="2:17" ht="72.599999999999994" customHeight="1" x14ac:dyDescent="0.25">
      <c r="B85" s="391" t="s">
        <v>8</v>
      </c>
      <c r="C85" s="403" t="s">
        <v>272</v>
      </c>
      <c r="D85" s="540">
        <f t="shared" si="13"/>
        <v>0</v>
      </c>
      <c r="E85" s="403">
        <f>'TH theo DV'!J7</f>
        <v>0</v>
      </c>
      <c r="F85" s="403">
        <f>'TH theo DV'!T7</f>
        <v>0</v>
      </c>
      <c r="G85" s="403"/>
      <c r="H85" s="403"/>
      <c r="I85" s="533"/>
      <c r="J85" s="518">
        <v>0.80431999999999992</v>
      </c>
      <c r="K85" s="421">
        <v>0.22907</v>
      </c>
      <c r="L85" s="421">
        <v>0.27179999999999999</v>
      </c>
      <c r="M85" s="421">
        <v>0.17044000000000001</v>
      </c>
      <c r="N85" s="421">
        <v>9.0509999999999993E-2</v>
      </c>
      <c r="O85" s="422">
        <v>4.2500000000000003E-2</v>
      </c>
      <c r="P85" s="561" t="s">
        <v>291</v>
      </c>
      <c r="Q85" s="367"/>
    </row>
    <row r="86" spans="2:17" x14ac:dyDescent="0.25">
      <c r="B86" s="399">
        <v>2</v>
      </c>
      <c r="C86" s="400" t="s">
        <v>32</v>
      </c>
      <c r="D86" s="540">
        <f t="shared" si="13"/>
        <v>0</v>
      </c>
      <c r="E86" s="400">
        <f>SUBTOTAL(9,E87:E88)</f>
        <v>0</v>
      </c>
      <c r="F86" s="400">
        <f>SUBTOTAL(9,F87:F88)</f>
        <v>0</v>
      </c>
      <c r="G86" s="400"/>
      <c r="H86" s="400"/>
      <c r="I86" s="496"/>
      <c r="J86" s="519">
        <v>2.5358719999999999</v>
      </c>
      <c r="K86" s="419">
        <v>0.70642900000000008</v>
      </c>
      <c r="L86" s="419">
        <v>0.58228599999999997</v>
      </c>
      <c r="M86" s="419">
        <v>0.52587200000000001</v>
      </c>
      <c r="N86" s="419">
        <v>0.354464</v>
      </c>
      <c r="O86" s="419">
        <v>0.36682100000000001</v>
      </c>
      <c r="P86" s="572"/>
      <c r="Q86" s="367"/>
    </row>
    <row r="87" spans="2:17" ht="61.9" customHeight="1" x14ac:dyDescent="0.25">
      <c r="B87" s="391" t="s">
        <v>8</v>
      </c>
      <c r="C87" s="403" t="s">
        <v>276</v>
      </c>
      <c r="D87" s="540">
        <f t="shared" si="13"/>
        <v>0</v>
      </c>
      <c r="E87" s="403">
        <f>'TH theo DV'!J13</f>
        <v>0</v>
      </c>
      <c r="F87" s="403">
        <f>'TH theo DV'!T13</f>
        <v>0</v>
      </c>
      <c r="G87" s="403"/>
      <c r="H87" s="403"/>
      <c r="I87" s="533"/>
      <c r="J87" s="518">
        <v>1.95912</v>
      </c>
      <c r="K87" s="423">
        <v>0.54123200000000005</v>
      </c>
      <c r="L87" s="423">
        <v>0.32057999999999998</v>
      </c>
      <c r="M87" s="423">
        <v>0.44297199999999998</v>
      </c>
      <c r="N87" s="423">
        <v>0.30520000000000003</v>
      </c>
      <c r="O87" s="424">
        <v>0.349136</v>
      </c>
      <c r="P87" s="561" t="s">
        <v>292</v>
      </c>
      <c r="Q87" s="367"/>
    </row>
    <row r="88" spans="2:17" ht="33.6" customHeight="1" x14ac:dyDescent="0.25">
      <c r="B88" s="391" t="s">
        <v>8</v>
      </c>
      <c r="C88" s="403" t="s">
        <v>278</v>
      </c>
      <c r="D88" s="540">
        <f t="shared" si="13"/>
        <v>0</v>
      </c>
      <c r="E88" s="403">
        <f>'TH theo DV'!J14</f>
        <v>0</v>
      </c>
      <c r="F88" s="403">
        <f>'TH theo DV'!T14</f>
        <v>0</v>
      </c>
      <c r="G88" s="403"/>
      <c r="H88" s="403"/>
      <c r="I88" s="533"/>
      <c r="J88" s="518">
        <v>0.57675199999999993</v>
      </c>
      <c r="K88" s="423">
        <v>0.16519700000000001</v>
      </c>
      <c r="L88" s="423">
        <v>0.26170599999999999</v>
      </c>
      <c r="M88" s="423">
        <v>8.2900000000000001E-2</v>
      </c>
      <c r="N88" s="423">
        <v>4.9264000000000002E-2</v>
      </c>
      <c r="O88" s="424">
        <v>1.7684999999999999E-2</v>
      </c>
      <c r="P88" s="561" t="s">
        <v>293</v>
      </c>
      <c r="Q88" s="367"/>
    </row>
    <row r="89" spans="2:17" ht="19.149999999999999" customHeight="1" x14ac:dyDescent="0.25">
      <c r="B89" s="405">
        <v>3</v>
      </c>
      <c r="C89" s="406" t="s">
        <v>280</v>
      </c>
      <c r="D89" s="540">
        <f t="shared" si="13"/>
        <v>0</v>
      </c>
      <c r="E89" s="406">
        <f>'TH theo DV'!J15</f>
        <v>0</v>
      </c>
      <c r="F89" s="406">
        <f>'TH theo DV'!T15</f>
        <v>0</v>
      </c>
      <c r="G89" s="406"/>
      <c r="H89" s="406"/>
      <c r="I89" s="534"/>
      <c r="J89" s="519">
        <v>0.124615</v>
      </c>
      <c r="K89" s="425">
        <v>2.7467999999999999E-2</v>
      </c>
      <c r="L89" s="425">
        <v>2.4052E-2</v>
      </c>
      <c r="M89" s="425">
        <v>1.8665000000000001E-2</v>
      </c>
      <c r="N89" s="425">
        <v>2.4365000000000001E-2</v>
      </c>
      <c r="O89" s="426">
        <v>3.0065000000000001E-2</v>
      </c>
      <c r="P89" s="561" t="s">
        <v>294</v>
      </c>
      <c r="Q89" s="367"/>
    </row>
    <row r="90" spans="2:17" ht="33" customHeight="1" x14ac:dyDescent="0.25">
      <c r="B90" s="405">
        <v>4</v>
      </c>
      <c r="C90" s="406" t="s">
        <v>287</v>
      </c>
      <c r="D90" s="540">
        <f t="shared" si="13"/>
        <v>0</v>
      </c>
      <c r="E90" s="406">
        <f>'TH theo DV'!J28</f>
        <v>0</v>
      </c>
      <c r="F90" s="406">
        <f>'TH theo DV'!T28</f>
        <v>0</v>
      </c>
      <c r="G90" s="406"/>
      <c r="H90" s="406"/>
      <c r="I90" s="534"/>
      <c r="J90" s="519">
        <v>0.68759999999999999</v>
      </c>
      <c r="K90" s="425">
        <v>0.20760000000000001</v>
      </c>
      <c r="L90" s="425">
        <v>0.12</v>
      </c>
      <c r="M90" s="425">
        <v>0.12</v>
      </c>
      <c r="N90" s="425">
        <v>0.12</v>
      </c>
      <c r="O90" s="426">
        <v>0.12</v>
      </c>
      <c r="P90" s="561" t="s">
        <v>295</v>
      </c>
      <c r="Q90" s="367"/>
    </row>
    <row r="91" spans="2:17" ht="58.9" customHeight="1" x14ac:dyDescent="0.25">
      <c r="B91" s="405">
        <v>5</v>
      </c>
      <c r="C91" s="406" t="s">
        <v>233</v>
      </c>
      <c r="D91" s="540">
        <f t="shared" si="13"/>
        <v>0</v>
      </c>
      <c r="E91" s="406">
        <f>'TH theo DV'!J29</f>
        <v>0</v>
      </c>
      <c r="F91" s="406">
        <f>'TH theo DV'!T29</f>
        <v>0</v>
      </c>
      <c r="G91" s="406"/>
      <c r="H91" s="406"/>
      <c r="I91" s="534"/>
      <c r="J91" s="519">
        <v>6.5015500000000008</v>
      </c>
      <c r="K91" s="425">
        <v>1.41899</v>
      </c>
      <c r="L91" s="425">
        <v>1.27064</v>
      </c>
      <c r="M91" s="425">
        <v>1.27064</v>
      </c>
      <c r="N91" s="425">
        <v>1.27064</v>
      </c>
      <c r="O91" s="426">
        <v>1.27064</v>
      </c>
      <c r="P91" s="561" t="s">
        <v>296</v>
      </c>
      <c r="Q91" s="367"/>
    </row>
    <row r="92" spans="2:17" x14ac:dyDescent="0.25">
      <c r="B92" s="427"/>
      <c r="C92" s="428"/>
      <c r="D92" s="428"/>
      <c r="E92" s="428"/>
      <c r="F92" s="428"/>
      <c r="G92" s="428"/>
      <c r="H92" s="428"/>
      <c r="I92" s="533"/>
      <c r="J92" s="429"/>
      <c r="K92" s="430"/>
      <c r="L92" s="430"/>
      <c r="M92" s="430"/>
      <c r="N92" s="430"/>
      <c r="O92" s="430"/>
      <c r="P92" s="573"/>
      <c r="Q92" s="367"/>
    </row>
    <row r="93" spans="2:17" x14ac:dyDescent="0.25">
      <c r="B93" s="357" t="s">
        <v>297</v>
      </c>
      <c r="Q93" s="367"/>
    </row>
    <row r="94" spans="2:17" ht="15.6" customHeight="1" x14ac:dyDescent="0.25">
      <c r="B94" s="628" t="s">
        <v>48</v>
      </c>
      <c r="C94" s="619" t="s">
        <v>216</v>
      </c>
      <c r="D94" s="619" t="s">
        <v>41</v>
      </c>
      <c r="E94" s="619">
        <v>2027</v>
      </c>
      <c r="F94" s="619">
        <v>2028</v>
      </c>
      <c r="G94" s="619" t="s">
        <v>218</v>
      </c>
      <c r="H94" s="619"/>
      <c r="I94" s="502"/>
      <c r="J94" s="619" t="s">
        <v>217</v>
      </c>
      <c r="K94" s="619"/>
      <c r="L94" s="619"/>
      <c r="M94" s="619"/>
      <c r="N94" s="619"/>
      <c r="O94" s="619"/>
      <c r="P94" s="625" t="s">
        <v>218</v>
      </c>
      <c r="Q94" s="367"/>
    </row>
    <row r="95" spans="2:17" ht="15.75" x14ac:dyDescent="0.25">
      <c r="B95" s="628"/>
      <c r="C95" s="619"/>
      <c r="D95" s="619"/>
      <c r="E95" s="619"/>
      <c r="F95" s="619"/>
      <c r="G95" s="583">
        <v>2027</v>
      </c>
      <c r="H95" s="583">
        <v>2028</v>
      </c>
      <c r="I95" s="502"/>
      <c r="J95" s="520" t="s">
        <v>41</v>
      </c>
      <c r="K95" s="431">
        <v>2026</v>
      </c>
      <c r="L95" s="431">
        <v>2027</v>
      </c>
      <c r="M95" s="431">
        <v>2028</v>
      </c>
      <c r="N95" s="431">
        <v>2029</v>
      </c>
      <c r="O95" s="431">
        <v>2030</v>
      </c>
      <c r="P95" s="627"/>
      <c r="Q95" s="367"/>
    </row>
    <row r="96" spans="2:17" ht="15.75" x14ac:dyDescent="0.25">
      <c r="B96" s="501"/>
      <c r="C96" s="501" t="s">
        <v>41</v>
      </c>
      <c r="D96" s="540">
        <f t="shared" ref="D96:D104" si="14">SUM(E96:F96)</f>
        <v>0</v>
      </c>
      <c r="E96" s="540">
        <f>SUBTOTAL(9,E97:E104)</f>
        <v>0</v>
      </c>
      <c r="F96" s="540">
        <f>SUBTOTAL(9,F97:F104)</f>
        <v>0</v>
      </c>
      <c r="G96" s="540"/>
      <c r="H96" s="540"/>
      <c r="I96" s="497"/>
      <c r="J96" s="521">
        <v>11.99551224311668</v>
      </c>
      <c r="K96" s="432">
        <v>1.803065328478477</v>
      </c>
      <c r="L96" s="432">
        <v>2.6376268299707331</v>
      </c>
      <c r="M96" s="432">
        <v>2.56156146589012</v>
      </c>
      <c r="N96" s="432">
        <v>2.5018883719725364</v>
      </c>
      <c r="O96" s="432">
        <v>2.4913702468048151</v>
      </c>
      <c r="P96" s="574"/>
      <c r="Q96" s="367"/>
    </row>
    <row r="97" spans="2:17" x14ac:dyDescent="0.25">
      <c r="B97" s="360">
        <v>1</v>
      </c>
      <c r="C97" s="433" t="s">
        <v>54</v>
      </c>
      <c r="D97" s="540">
        <f t="shared" si="14"/>
        <v>0</v>
      </c>
      <c r="E97" s="433">
        <f>E98</f>
        <v>0</v>
      </c>
      <c r="F97" s="433">
        <f>F98</f>
        <v>0</v>
      </c>
      <c r="G97" s="433"/>
      <c r="H97" s="433"/>
      <c r="I97" s="537"/>
      <c r="J97" s="522">
        <v>0.359296</v>
      </c>
      <c r="K97" s="434">
        <v>8.3006999999999997E-2</v>
      </c>
      <c r="L97" s="434">
        <v>0.12350800000000001</v>
      </c>
      <c r="M97" s="434">
        <v>0.108671</v>
      </c>
      <c r="N97" s="434">
        <v>2.3658999999999999E-2</v>
      </c>
      <c r="O97" s="434">
        <v>2.0451E-2</v>
      </c>
      <c r="P97" s="561"/>
      <c r="Q97" s="367"/>
    </row>
    <row r="98" spans="2:17" ht="21" customHeight="1" x14ac:dyDescent="0.25">
      <c r="B98" s="435" t="s">
        <v>8</v>
      </c>
      <c r="C98" s="436" t="s">
        <v>272</v>
      </c>
      <c r="D98" s="540">
        <f t="shared" si="14"/>
        <v>0</v>
      </c>
      <c r="E98" s="436">
        <f>'TH theo DV'!K7</f>
        <v>0</v>
      </c>
      <c r="F98" s="436">
        <f>'TH theo DV'!U7</f>
        <v>0</v>
      </c>
      <c r="G98" s="436"/>
      <c r="H98" s="436"/>
      <c r="I98" s="538"/>
      <c r="J98" s="523">
        <v>0.359296</v>
      </c>
      <c r="K98" s="437">
        <v>8.3006999999999997E-2</v>
      </c>
      <c r="L98" s="437">
        <v>0.12350800000000001</v>
      </c>
      <c r="M98" s="437">
        <v>0.108671</v>
      </c>
      <c r="N98" s="437">
        <v>2.3658999999999999E-2</v>
      </c>
      <c r="O98" s="437">
        <v>2.0451E-2</v>
      </c>
      <c r="P98" s="561" t="s">
        <v>298</v>
      </c>
      <c r="Q98" s="367"/>
    </row>
    <row r="99" spans="2:17" x14ac:dyDescent="0.25">
      <c r="B99" s="360">
        <v>2</v>
      </c>
      <c r="C99" s="433" t="s">
        <v>32</v>
      </c>
      <c r="D99" s="540">
        <f t="shared" si="14"/>
        <v>0</v>
      </c>
      <c r="E99" s="433">
        <f>SUBTOTAL(9,E100:E101)</f>
        <v>0</v>
      </c>
      <c r="F99" s="433">
        <f>SUBTOTAL(9,F100:F101)</f>
        <v>0</v>
      </c>
      <c r="G99" s="433"/>
      <c r="H99" s="433"/>
      <c r="I99" s="537"/>
      <c r="J99" s="522">
        <v>3.743357697662137</v>
      </c>
      <c r="K99" s="434">
        <v>1.5436983284784769</v>
      </c>
      <c r="L99" s="434">
        <v>0.58499419360709681</v>
      </c>
      <c r="M99" s="434">
        <v>0.52376582952648376</v>
      </c>
      <c r="N99" s="434">
        <v>0.54910473560890027</v>
      </c>
      <c r="O99" s="434">
        <v>0.54179461044117894</v>
      </c>
      <c r="P99" s="561"/>
      <c r="Q99" s="367"/>
    </row>
    <row r="100" spans="2:17" ht="21" customHeight="1" x14ac:dyDescent="0.25">
      <c r="B100" s="435" t="s">
        <v>8</v>
      </c>
      <c r="C100" s="436" t="s">
        <v>276</v>
      </c>
      <c r="D100" s="540">
        <f t="shared" si="14"/>
        <v>0</v>
      </c>
      <c r="E100" s="436">
        <f>'TH theo DV'!K13</f>
        <v>0</v>
      </c>
      <c r="F100" s="436">
        <f>'TH theo DV'!U13</f>
        <v>0</v>
      </c>
      <c r="G100" s="436"/>
      <c r="H100" s="436"/>
      <c r="I100" s="538"/>
      <c r="J100" s="523">
        <v>2.9887737110264516</v>
      </c>
      <c r="K100" s="437">
        <v>1.2923745521763452</v>
      </c>
      <c r="L100" s="437">
        <v>0.36317311207878045</v>
      </c>
      <c r="M100" s="437">
        <v>0.47943501366402536</v>
      </c>
      <c r="N100" s="437">
        <v>0.39243043487047646</v>
      </c>
      <c r="O100" s="437">
        <v>0.46136059823682396</v>
      </c>
      <c r="P100" s="561" t="s">
        <v>299</v>
      </c>
      <c r="Q100" s="367"/>
    </row>
    <row r="101" spans="2:17" ht="21" customHeight="1" x14ac:dyDescent="0.25">
      <c r="B101" s="435" t="s">
        <v>8</v>
      </c>
      <c r="C101" s="436" t="s">
        <v>278</v>
      </c>
      <c r="D101" s="540">
        <f t="shared" si="14"/>
        <v>0</v>
      </c>
      <c r="E101" s="436">
        <f>'TH theo DV'!K14</f>
        <v>0</v>
      </c>
      <c r="F101" s="436">
        <f>'TH theo DV'!U14</f>
        <v>0</v>
      </c>
      <c r="G101" s="436"/>
      <c r="H101" s="436"/>
      <c r="I101" s="538"/>
      <c r="J101" s="523">
        <v>0.75458398663568504</v>
      </c>
      <c r="K101" s="437">
        <v>0.2513237763021316</v>
      </c>
      <c r="L101" s="437">
        <v>0.22182108152831631</v>
      </c>
      <c r="M101" s="437">
        <v>4.4330815862458371E-2</v>
      </c>
      <c r="N101" s="437">
        <v>0.15667430073842384</v>
      </c>
      <c r="O101" s="437">
        <v>8.0434012204354977E-2</v>
      </c>
      <c r="P101" s="561" t="s">
        <v>300</v>
      </c>
      <c r="Q101" s="367"/>
    </row>
    <row r="102" spans="2:17" ht="28.5" x14ac:dyDescent="0.25">
      <c r="B102" s="360">
        <v>4</v>
      </c>
      <c r="C102" s="433" t="s">
        <v>287</v>
      </c>
      <c r="D102" s="540">
        <f t="shared" si="14"/>
        <v>0</v>
      </c>
      <c r="E102" s="576">
        <f>'TH theo DV'!K28</f>
        <v>0</v>
      </c>
      <c r="F102" s="576">
        <f>'TH theo DV'!U28</f>
        <v>0</v>
      </c>
      <c r="G102" s="576"/>
      <c r="H102" s="433"/>
      <c r="I102" s="537"/>
      <c r="J102" s="522">
        <v>0</v>
      </c>
      <c r="K102" s="434">
        <v>0</v>
      </c>
      <c r="L102" s="434">
        <v>0</v>
      </c>
      <c r="M102" s="434">
        <v>0</v>
      </c>
      <c r="N102" s="434">
        <v>0</v>
      </c>
      <c r="O102" s="434">
        <v>0</v>
      </c>
      <c r="P102" s="561"/>
      <c r="Q102" s="367"/>
    </row>
    <row r="103" spans="2:17" ht="32.450000000000003" customHeight="1" x14ac:dyDescent="0.25">
      <c r="B103" s="360">
        <v>5</v>
      </c>
      <c r="C103" s="433" t="s">
        <v>233</v>
      </c>
      <c r="D103" s="540">
        <f t="shared" si="14"/>
        <v>0</v>
      </c>
      <c r="E103" s="576">
        <f>'TH theo DV'!K29</f>
        <v>0</v>
      </c>
      <c r="F103" s="576">
        <f>'TH theo DV'!U29</f>
        <v>0</v>
      </c>
      <c r="G103" s="576"/>
      <c r="H103" s="433"/>
      <c r="I103" s="537"/>
      <c r="J103" s="522">
        <v>7.892858545454545</v>
      </c>
      <c r="K103" s="434">
        <v>0.17635999999999999</v>
      </c>
      <c r="L103" s="434">
        <v>1.9291246363636363</v>
      </c>
      <c r="M103" s="434">
        <v>1.9291246363636363</v>
      </c>
      <c r="N103" s="434">
        <v>1.9291246363636363</v>
      </c>
      <c r="O103" s="434">
        <v>1.9291246363636363</v>
      </c>
      <c r="P103" s="561" t="s">
        <v>301</v>
      </c>
      <c r="Q103" s="367"/>
    </row>
    <row r="104" spans="2:17" x14ac:dyDescent="0.25">
      <c r="B104" s="360">
        <v>6</v>
      </c>
      <c r="C104" s="433" t="s">
        <v>227</v>
      </c>
      <c r="D104" s="540">
        <f t="shared" si="14"/>
        <v>0</v>
      </c>
      <c r="E104" s="576">
        <f>'TH theo DV'!K27</f>
        <v>0</v>
      </c>
      <c r="F104" s="576">
        <f>'TH theo DV'!U27</f>
        <v>0</v>
      </c>
      <c r="G104" s="576"/>
      <c r="H104" s="433"/>
      <c r="I104" s="537"/>
      <c r="J104" s="522">
        <v>0</v>
      </c>
      <c r="K104" s="434">
        <v>0</v>
      </c>
      <c r="L104" s="434">
        <v>0</v>
      </c>
      <c r="M104" s="434">
        <v>0</v>
      </c>
      <c r="N104" s="434">
        <v>0</v>
      </c>
      <c r="O104" s="434">
        <v>0</v>
      </c>
      <c r="P104" s="561"/>
      <c r="Q104" s="367"/>
    </row>
    <row r="105" spans="2:17" x14ac:dyDescent="0.25">
      <c r="B105" s="438"/>
      <c r="C105" s="439"/>
      <c r="D105" s="439"/>
      <c r="E105" s="439"/>
      <c r="F105" s="439"/>
      <c r="G105" s="439"/>
      <c r="H105" s="439"/>
      <c r="I105" s="538"/>
      <c r="J105" s="440"/>
      <c r="K105" s="441"/>
      <c r="L105" s="441"/>
      <c r="M105" s="441"/>
      <c r="N105" s="441"/>
      <c r="O105" s="441"/>
      <c r="P105" s="442"/>
      <c r="Q105" s="367"/>
    </row>
    <row r="106" spans="2:17" x14ac:dyDescent="0.25">
      <c r="B106" s="624" t="s">
        <v>302</v>
      </c>
      <c r="C106" s="624"/>
      <c r="D106" s="624"/>
      <c r="Q106" s="367"/>
    </row>
    <row r="107" spans="2:17" ht="15.6" customHeight="1" x14ac:dyDescent="0.25">
      <c r="B107" s="628" t="s">
        <v>48</v>
      </c>
      <c r="C107" s="619" t="s">
        <v>216</v>
      </c>
      <c r="D107" s="619" t="s">
        <v>41</v>
      </c>
      <c r="E107" s="619">
        <v>2027</v>
      </c>
      <c r="F107" s="619">
        <v>2028</v>
      </c>
      <c r="G107" s="619" t="s">
        <v>218</v>
      </c>
      <c r="H107" s="619"/>
      <c r="I107" s="502"/>
      <c r="J107" s="619" t="s">
        <v>217</v>
      </c>
      <c r="K107" s="619"/>
      <c r="L107" s="619"/>
      <c r="M107" s="619"/>
      <c r="N107" s="619"/>
      <c r="O107" s="619"/>
      <c r="P107" s="625" t="s">
        <v>218</v>
      </c>
      <c r="Q107" s="367"/>
    </row>
    <row r="108" spans="2:17" ht="15.75" x14ac:dyDescent="0.25">
      <c r="B108" s="628"/>
      <c r="C108" s="619"/>
      <c r="D108" s="619"/>
      <c r="E108" s="619"/>
      <c r="F108" s="619"/>
      <c r="G108" s="583">
        <v>2027</v>
      </c>
      <c r="H108" s="583">
        <v>2028</v>
      </c>
      <c r="I108" s="502"/>
      <c r="J108" s="520" t="s">
        <v>41</v>
      </c>
      <c r="K108" s="431">
        <v>2026</v>
      </c>
      <c r="L108" s="431">
        <v>2027</v>
      </c>
      <c r="M108" s="431">
        <v>2028</v>
      </c>
      <c r="N108" s="431">
        <v>2029</v>
      </c>
      <c r="O108" s="431">
        <v>2030</v>
      </c>
      <c r="P108" s="627"/>
      <c r="Q108" s="367"/>
    </row>
    <row r="109" spans="2:17" ht="30" x14ac:dyDescent="0.25">
      <c r="B109" s="443">
        <v>1</v>
      </c>
      <c r="C109" s="444" t="s">
        <v>303</v>
      </c>
      <c r="D109" s="540">
        <f t="shared" ref="D109" si="15">SUM(E109:F109)</f>
        <v>0</v>
      </c>
      <c r="E109" s="444"/>
      <c r="F109" s="444"/>
      <c r="G109" s="444"/>
      <c r="H109" s="444"/>
      <c r="I109" s="539"/>
      <c r="J109" s="522">
        <v>0.90549999999999997</v>
      </c>
      <c r="K109" s="420">
        <v>0.19950000000000001</v>
      </c>
      <c r="L109" s="420">
        <v>0.188</v>
      </c>
      <c r="M109" s="420">
        <v>0.14199999999999999</v>
      </c>
      <c r="N109" s="420">
        <v>0.23400000000000001</v>
      </c>
      <c r="O109" s="420">
        <v>0.14199999999999999</v>
      </c>
      <c r="P109" s="561" t="s">
        <v>304</v>
      </c>
      <c r="Q109" s="367"/>
    </row>
    <row r="110" spans="2:17" x14ac:dyDescent="0.25">
      <c r="Q110" s="367"/>
    </row>
    <row r="111" spans="2:17" x14ac:dyDescent="0.25">
      <c r="B111" s="624" t="s">
        <v>305</v>
      </c>
      <c r="C111" s="624"/>
      <c r="D111" s="624"/>
      <c r="Q111" s="367"/>
    </row>
    <row r="112" spans="2:17" ht="15.6" customHeight="1" x14ac:dyDescent="0.25">
      <c r="B112" s="628" t="s">
        <v>48</v>
      </c>
      <c r="C112" s="619" t="s">
        <v>216</v>
      </c>
      <c r="D112" s="619" t="s">
        <v>41</v>
      </c>
      <c r="E112" s="619">
        <v>2027</v>
      </c>
      <c r="F112" s="619">
        <v>2028</v>
      </c>
      <c r="G112" s="619" t="s">
        <v>218</v>
      </c>
      <c r="H112" s="619"/>
      <c r="I112" s="502"/>
      <c r="J112" s="619" t="s">
        <v>217</v>
      </c>
      <c r="K112" s="619"/>
      <c r="L112" s="619"/>
      <c r="M112" s="619"/>
      <c r="N112" s="619"/>
      <c r="O112" s="619"/>
      <c r="P112" s="625" t="s">
        <v>218</v>
      </c>
      <c r="Q112" s="367"/>
    </row>
    <row r="113" spans="2:17" ht="15.75" x14ac:dyDescent="0.25">
      <c r="B113" s="628"/>
      <c r="C113" s="619"/>
      <c r="D113" s="619"/>
      <c r="E113" s="619"/>
      <c r="F113" s="619"/>
      <c r="G113" s="583">
        <v>2027</v>
      </c>
      <c r="H113" s="583">
        <v>2028</v>
      </c>
      <c r="I113" s="502"/>
      <c r="J113" s="524" t="s">
        <v>41</v>
      </c>
      <c r="K113" s="445">
        <v>2026</v>
      </c>
      <c r="L113" s="445">
        <v>2027</v>
      </c>
      <c r="M113" s="445">
        <v>2028</v>
      </c>
      <c r="N113" s="445">
        <v>2029</v>
      </c>
      <c r="O113" s="445">
        <v>2030</v>
      </c>
      <c r="P113" s="626"/>
      <c r="Q113" s="367"/>
    </row>
    <row r="114" spans="2:17" ht="30" x14ac:dyDescent="0.25">
      <c r="B114" s="443">
        <v>1</v>
      </c>
      <c r="C114" s="444" t="s">
        <v>306</v>
      </c>
      <c r="D114" s="540">
        <f t="shared" ref="D114" si="16">SUM(E114:F114)</f>
        <v>0</v>
      </c>
      <c r="E114" s="444">
        <f>'TH theo DV'!G25</f>
        <v>0</v>
      </c>
      <c r="F114" s="444">
        <f>'TH theo DV'!Q25</f>
        <v>0</v>
      </c>
      <c r="G114" s="444"/>
      <c r="H114" s="444"/>
      <c r="I114" s="539"/>
      <c r="J114" s="525">
        <v>2.3288775000000004</v>
      </c>
      <c r="K114" s="446">
        <v>0.2</v>
      </c>
      <c r="L114" s="446">
        <v>0.44416666666666671</v>
      </c>
      <c r="M114" s="446">
        <v>0.50903787878787887</v>
      </c>
      <c r="N114" s="446">
        <v>0.53903257575757579</v>
      </c>
      <c r="O114" s="446">
        <v>0.63664037878787894</v>
      </c>
      <c r="P114" s="561" t="s">
        <v>307</v>
      </c>
      <c r="Q114" s="367"/>
    </row>
  </sheetData>
  <mergeCells count="95">
    <mergeCell ref="B1:H1"/>
    <mergeCell ref="J3:J4"/>
    <mergeCell ref="K3:K4"/>
    <mergeCell ref="B59:F59"/>
    <mergeCell ref="G107:H107"/>
    <mergeCell ref="G81:H81"/>
    <mergeCell ref="B94:B95"/>
    <mergeCell ref="C94:C95"/>
    <mergeCell ref="D94:D95"/>
    <mergeCell ref="E94:E95"/>
    <mergeCell ref="F94:F95"/>
    <mergeCell ref="G94:H94"/>
    <mergeCell ref="B81:B82"/>
    <mergeCell ref="C81:C82"/>
    <mergeCell ref="D81:D82"/>
    <mergeCell ref="E81:E82"/>
    <mergeCell ref="B112:B113"/>
    <mergeCell ref="C112:C113"/>
    <mergeCell ref="D112:D113"/>
    <mergeCell ref="E112:E113"/>
    <mergeCell ref="F112:F113"/>
    <mergeCell ref="G60:H60"/>
    <mergeCell ref="B73:B74"/>
    <mergeCell ref="C73:C74"/>
    <mergeCell ref="D73:D74"/>
    <mergeCell ref="E73:E74"/>
    <mergeCell ref="F73:F74"/>
    <mergeCell ref="G73:H73"/>
    <mergeCell ref="B60:B61"/>
    <mergeCell ref="C60:C61"/>
    <mergeCell ref="D60:D61"/>
    <mergeCell ref="E60:E61"/>
    <mergeCell ref="F60:F61"/>
    <mergeCell ref="G35:H35"/>
    <mergeCell ref="B46:B47"/>
    <mergeCell ref="C46:C47"/>
    <mergeCell ref="D46:D47"/>
    <mergeCell ref="E46:E47"/>
    <mergeCell ref="F46:F47"/>
    <mergeCell ref="G46:H46"/>
    <mergeCell ref="B35:B36"/>
    <mergeCell ref="C35:C36"/>
    <mergeCell ref="D35:D36"/>
    <mergeCell ref="E35:E36"/>
    <mergeCell ref="F35:F36"/>
    <mergeCell ref="G15:H15"/>
    <mergeCell ref="B25:B26"/>
    <mergeCell ref="C25:C26"/>
    <mergeCell ref="D25:D26"/>
    <mergeCell ref="E25:E26"/>
    <mergeCell ref="F25:F26"/>
    <mergeCell ref="G25:H25"/>
    <mergeCell ref="B15:B16"/>
    <mergeCell ref="C15:C16"/>
    <mergeCell ref="D15:D16"/>
    <mergeCell ref="E15:E16"/>
    <mergeCell ref="F15:F16"/>
    <mergeCell ref="G3:H3"/>
    <mergeCell ref="B3:B4"/>
    <mergeCell ref="C3:C4"/>
    <mergeCell ref="D3:D4"/>
    <mergeCell ref="E3:E4"/>
    <mergeCell ref="F3:F4"/>
    <mergeCell ref="B106:D106"/>
    <mergeCell ref="J112:O112"/>
    <mergeCell ref="P112:P113"/>
    <mergeCell ref="B80:C80"/>
    <mergeCell ref="J94:O94"/>
    <mergeCell ref="P94:P95"/>
    <mergeCell ref="J107:O107"/>
    <mergeCell ref="P107:P108"/>
    <mergeCell ref="F81:F82"/>
    <mergeCell ref="G112:H112"/>
    <mergeCell ref="B107:B108"/>
    <mergeCell ref="C107:C108"/>
    <mergeCell ref="D107:D108"/>
    <mergeCell ref="E107:E108"/>
    <mergeCell ref="F107:F108"/>
    <mergeCell ref="B111:D111"/>
    <mergeCell ref="J73:O73"/>
    <mergeCell ref="P73:P74"/>
    <mergeCell ref="J81:O81"/>
    <mergeCell ref="P81:P82"/>
    <mergeCell ref="J46:O46"/>
    <mergeCell ref="P46:P47"/>
    <mergeCell ref="L3:Q3"/>
    <mergeCell ref="R3:R4"/>
    <mergeCell ref="J15:O15"/>
    <mergeCell ref="P15:P16"/>
    <mergeCell ref="J60:O60"/>
    <mergeCell ref="P60:P61"/>
    <mergeCell ref="J25:O25"/>
    <mergeCell ref="P25:P26"/>
    <mergeCell ref="J35:O35"/>
    <mergeCell ref="P35:P36"/>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6"/>
  <sheetViews>
    <sheetView zoomScale="55" zoomScaleNormal="55" workbookViewId="0">
      <selection activeCell="H10" sqref="H10"/>
    </sheetView>
  </sheetViews>
  <sheetFormatPr defaultColWidth="8.85546875" defaultRowHeight="15.75" x14ac:dyDescent="0.25"/>
  <cols>
    <col min="1" max="1" width="4.5703125" style="355" customWidth="1"/>
    <col min="2" max="2" width="6.140625" style="542" customWidth="1"/>
    <col min="3" max="3" width="9.42578125" style="542" customWidth="1"/>
    <col min="4" max="4" width="12.140625" style="542" customWidth="1"/>
    <col min="5" max="5" width="14.85546875" style="355" customWidth="1"/>
    <col min="6" max="6" width="13.140625" style="355" customWidth="1"/>
    <col min="7" max="7" width="11.28515625" style="355" customWidth="1"/>
    <col min="8" max="9" width="46.42578125" style="355" customWidth="1"/>
    <col min="10" max="10" width="14.85546875" style="490" customWidth="1"/>
    <col min="11" max="16" width="0" style="355" hidden="1" customWidth="1"/>
    <col min="17" max="17" width="86.140625" style="557" hidden="1" customWidth="1"/>
    <col min="18" max="29" width="0" style="355" hidden="1" customWidth="1"/>
    <col min="30" max="16384" width="8.85546875" style="355"/>
  </cols>
  <sheetData>
    <row r="1" spans="1:17" x14ac:dyDescent="0.25">
      <c r="B1" s="648" t="s">
        <v>308</v>
      </c>
      <c r="C1" s="648"/>
      <c r="D1" s="648"/>
      <c r="E1" s="648"/>
      <c r="F1" s="447"/>
      <c r="G1" s="447"/>
      <c r="J1" s="489"/>
    </row>
    <row r="3" spans="1:17" x14ac:dyDescent="0.25">
      <c r="B3" s="643" t="s">
        <v>309</v>
      </c>
      <c r="C3" s="643"/>
      <c r="D3" s="643"/>
      <c r="E3" s="643"/>
      <c r="F3" s="643"/>
      <c r="G3" s="643"/>
      <c r="H3" s="643"/>
      <c r="I3" s="581"/>
    </row>
    <row r="4" spans="1:17" x14ac:dyDescent="0.25">
      <c r="A4" s="447"/>
      <c r="B4" s="642" t="s">
        <v>310</v>
      </c>
      <c r="C4" s="642"/>
      <c r="D4" s="642"/>
      <c r="E4" s="642"/>
      <c r="F4" s="642"/>
      <c r="G4" s="642"/>
      <c r="H4" s="642"/>
      <c r="I4" s="580"/>
    </row>
    <row r="5" spans="1:17" ht="19.899999999999999" customHeight="1" x14ac:dyDescent="0.25">
      <c r="B5" s="636" t="s">
        <v>48</v>
      </c>
      <c r="C5" s="649" t="s">
        <v>311</v>
      </c>
      <c r="D5" s="636" t="s">
        <v>46</v>
      </c>
      <c r="E5" s="636" t="s">
        <v>41</v>
      </c>
      <c r="F5" s="636">
        <v>2027</v>
      </c>
      <c r="G5" s="636">
        <v>2028</v>
      </c>
      <c r="H5" s="636" t="s">
        <v>218</v>
      </c>
      <c r="I5" s="636"/>
      <c r="J5" s="491"/>
      <c r="K5" s="631" t="s">
        <v>217</v>
      </c>
      <c r="L5" s="632"/>
      <c r="M5" s="632"/>
      <c r="N5" s="632"/>
      <c r="O5" s="632"/>
      <c r="P5" s="633"/>
      <c r="Q5" s="634" t="s">
        <v>218</v>
      </c>
    </row>
    <row r="6" spans="1:17" x14ac:dyDescent="0.25">
      <c r="B6" s="636"/>
      <c r="C6" s="650"/>
      <c r="D6" s="636"/>
      <c r="E6" s="636"/>
      <c r="F6" s="636"/>
      <c r="G6" s="636"/>
      <c r="H6" s="584">
        <v>2027</v>
      </c>
      <c r="I6" s="478">
        <v>2028</v>
      </c>
      <c r="J6" s="492"/>
      <c r="K6" s="480" t="s">
        <v>41</v>
      </c>
      <c r="L6" s="448">
        <v>2026</v>
      </c>
      <c r="M6" s="448">
        <v>2027</v>
      </c>
      <c r="N6" s="448">
        <v>2028</v>
      </c>
      <c r="O6" s="448">
        <v>2029</v>
      </c>
      <c r="P6" s="448">
        <v>2030</v>
      </c>
      <c r="Q6" s="635"/>
    </row>
    <row r="7" spans="1:17" ht="22.15" customHeight="1" x14ac:dyDescent="0.25">
      <c r="B7" s="543"/>
      <c r="C7" s="543"/>
      <c r="D7" s="544" t="s">
        <v>41</v>
      </c>
      <c r="E7" s="541">
        <f>SUM(F7:G7)</f>
        <v>0</v>
      </c>
      <c r="F7" s="541"/>
      <c r="G7" s="541"/>
      <c r="H7" s="541"/>
      <c r="I7" s="541"/>
      <c r="J7" s="493"/>
      <c r="K7" s="481">
        <v>62.730464052789905</v>
      </c>
      <c r="L7" s="451">
        <v>16.425237401166711</v>
      </c>
      <c r="M7" s="451">
        <v>16.981045510870249</v>
      </c>
      <c r="N7" s="451">
        <v>16.867676491387648</v>
      </c>
      <c r="O7" s="451">
        <v>6.8385740042247791</v>
      </c>
      <c r="P7" s="451">
        <v>5.6179306451405164</v>
      </c>
      <c r="Q7" s="558"/>
    </row>
    <row r="8" spans="1:17" ht="13.9" customHeight="1" x14ac:dyDescent="0.25">
      <c r="B8" s="545">
        <v>1</v>
      </c>
      <c r="C8" s="645" t="s">
        <v>312</v>
      </c>
      <c r="D8" s="544" t="s">
        <v>54</v>
      </c>
      <c r="E8" s="541">
        <f t="shared" ref="E8:E12" si="0">SUM(F8:G8)</f>
        <v>0</v>
      </c>
      <c r="F8" s="452"/>
      <c r="G8" s="452"/>
      <c r="H8" s="454"/>
      <c r="I8" s="454"/>
      <c r="J8" s="494"/>
      <c r="K8" s="482">
        <v>30.592116622811801</v>
      </c>
      <c r="L8" s="453">
        <v>7.1214531570534545</v>
      </c>
      <c r="M8" s="453">
        <v>9.698812411481434</v>
      </c>
      <c r="N8" s="453">
        <v>9.0067555884095682</v>
      </c>
      <c r="O8" s="453">
        <v>2.7103548759322429</v>
      </c>
      <c r="P8" s="453">
        <v>2.0547405899351152</v>
      </c>
      <c r="Q8" s="559"/>
    </row>
    <row r="9" spans="1:17" x14ac:dyDescent="0.25">
      <c r="B9" s="545">
        <v>2</v>
      </c>
      <c r="C9" s="646"/>
      <c r="D9" s="546" t="s">
        <v>219</v>
      </c>
      <c r="E9" s="541">
        <f t="shared" si="0"/>
        <v>0</v>
      </c>
      <c r="F9" s="578">
        <f>'TH theo DV'!L7</f>
        <v>0</v>
      </c>
      <c r="G9" s="578">
        <f>'TH theo DV'!V7</f>
        <v>0</v>
      </c>
      <c r="H9" s="454"/>
      <c r="I9" s="454"/>
      <c r="J9" s="495"/>
      <c r="K9" s="483">
        <v>24.223976877670495</v>
      </c>
      <c r="L9" s="456">
        <v>5.5879576408823528</v>
      </c>
      <c r="M9" s="456">
        <v>8.170147879515417</v>
      </c>
      <c r="N9" s="456">
        <v>7.6625640322727273</v>
      </c>
      <c r="O9" s="456">
        <v>1.6353506966666669</v>
      </c>
      <c r="P9" s="456">
        <v>1.1679566283333331</v>
      </c>
      <c r="Q9" s="559" t="s">
        <v>313</v>
      </c>
    </row>
    <row r="10" spans="1:17" x14ac:dyDescent="0.25">
      <c r="B10" s="545">
        <v>4</v>
      </c>
      <c r="C10" s="646"/>
      <c r="D10" s="544" t="s">
        <v>32</v>
      </c>
      <c r="E10" s="541">
        <f t="shared" si="0"/>
        <v>0</v>
      </c>
      <c r="F10" s="452"/>
      <c r="G10" s="452"/>
      <c r="H10" s="457"/>
      <c r="I10" s="457"/>
      <c r="J10" s="494"/>
      <c r="K10" s="482">
        <v>32.138347429978083</v>
      </c>
      <c r="L10" s="453">
        <v>9.3037842441132561</v>
      </c>
      <c r="M10" s="453">
        <v>7.2822330993888151</v>
      </c>
      <c r="N10" s="453">
        <v>7.8609209029780782</v>
      </c>
      <c r="O10" s="453">
        <v>4.1282191282925362</v>
      </c>
      <c r="P10" s="453">
        <v>3.5631900552054017</v>
      </c>
      <c r="Q10" s="560"/>
    </row>
    <row r="11" spans="1:17" x14ac:dyDescent="0.25">
      <c r="B11" s="545">
        <v>5</v>
      </c>
      <c r="C11" s="646"/>
      <c r="D11" s="546" t="s">
        <v>219</v>
      </c>
      <c r="E11" s="541">
        <f t="shared" si="0"/>
        <v>0</v>
      </c>
      <c r="F11" s="455">
        <f>'TH theo DV'!L13</f>
        <v>0</v>
      </c>
      <c r="G11" s="455">
        <f>'TH theo DV'!V13</f>
        <v>0</v>
      </c>
      <c r="H11" s="457"/>
      <c r="I11" s="457"/>
      <c r="J11" s="495"/>
      <c r="K11" s="484">
        <v>10.405085181302926</v>
      </c>
      <c r="L11" s="458">
        <v>3.3427795287498023</v>
      </c>
      <c r="M11" s="458">
        <v>1.4026938325633618</v>
      </c>
      <c r="N11" s="458">
        <v>1.69219593688246</v>
      </c>
      <c r="O11" s="458">
        <v>2.5732764982038101</v>
      </c>
      <c r="P11" s="458">
        <v>1.3941393849034907</v>
      </c>
      <c r="Q11" s="560" t="s">
        <v>314</v>
      </c>
    </row>
    <row r="12" spans="1:17" x14ac:dyDescent="0.25">
      <c r="B12" s="545">
        <v>6</v>
      </c>
      <c r="C12" s="647"/>
      <c r="D12" s="546" t="s">
        <v>221</v>
      </c>
      <c r="E12" s="541">
        <f t="shared" si="0"/>
        <v>0</v>
      </c>
      <c r="F12" s="455">
        <f>'TH theo DV'!L14</f>
        <v>0</v>
      </c>
      <c r="G12" s="455">
        <f>'TH theo DV'!V14</f>
        <v>0</v>
      </c>
      <c r="H12" s="454"/>
      <c r="I12" s="454"/>
      <c r="J12" s="495"/>
      <c r="K12" s="484">
        <v>21.73326224867516</v>
      </c>
      <c r="L12" s="459">
        <v>5.9610047153634529</v>
      </c>
      <c r="M12" s="459">
        <v>5.8795392668254536</v>
      </c>
      <c r="N12" s="459">
        <v>6.1687249660956178</v>
      </c>
      <c r="O12" s="459">
        <v>1.5549426300887261</v>
      </c>
      <c r="P12" s="459">
        <v>2.1690506703019112</v>
      </c>
      <c r="Q12" s="559" t="s">
        <v>315</v>
      </c>
    </row>
    <row r="14" spans="1:17" x14ac:dyDescent="0.25">
      <c r="B14" s="642" t="s">
        <v>316</v>
      </c>
      <c r="C14" s="642"/>
      <c r="D14" s="642"/>
      <c r="E14" s="642"/>
      <c r="F14" s="642"/>
      <c r="G14" s="642"/>
      <c r="H14" s="642"/>
      <c r="I14" s="580"/>
    </row>
    <row r="15" spans="1:17" ht="19.899999999999999" customHeight="1" x14ac:dyDescent="0.25">
      <c r="B15" s="636" t="s">
        <v>48</v>
      </c>
      <c r="C15" s="649" t="s">
        <v>311</v>
      </c>
      <c r="D15" s="636" t="s">
        <v>46</v>
      </c>
      <c r="E15" s="636" t="s">
        <v>41</v>
      </c>
      <c r="F15" s="636">
        <v>2027</v>
      </c>
      <c r="G15" s="636">
        <v>2028</v>
      </c>
      <c r="H15" s="636" t="s">
        <v>218</v>
      </c>
      <c r="I15" s="636"/>
      <c r="J15" s="492"/>
      <c r="K15" s="619" t="s">
        <v>217</v>
      </c>
      <c r="L15" s="619"/>
      <c r="M15" s="619"/>
      <c r="N15" s="619"/>
      <c r="O15" s="619"/>
      <c r="P15" s="619"/>
      <c r="Q15" s="637" t="s">
        <v>218</v>
      </c>
    </row>
    <row r="16" spans="1:17" ht="15.6" customHeight="1" x14ac:dyDescent="0.25">
      <c r="B16" s="636"/>
      <c r="C16" s="650"/>
      <c r="D16" s="636"/>
      <c r="E16" s="636"/>
      <c r="F16" s="636"/>
      <c r="G16" s="636"/>
      <c r="H16" s="584">
        <v>2027</v>
      </c>
      <c r="I16" s="584">
        <v>2028</v>
      </c>
      <c r="J16" s="492"/>
      <c r="K16" s="480" t="s">
        <v>41</v>
      </c>
      <c r="L16" s="448">
        <v>2026</v>
      </c>
      <c r="M16" s="448">
        <v>2027</v>
      </c>
      <c r="N16" s="448">
        <v>2028</v>
      </c>
      <c r="O16" s="448">
        <v>2029</v>
      </c>
      <c r="P16" s="448">
        <v>2030</v>
      </c>
      <c r="Q16" s="637"/>
    </row>
    <row r="17" spans="2:17" x14ac:dyDescent="0.25">
      <c r="B17" s="543"/>
      <c r="C17" s="543"/>
      <c r="D17" s="544" t="s">
        <v>41</v>
      </c>
      <c r="E17" s="541">
        <f t="shared" ref="E17:E22" si="1">SUM(F17:G17)</f>
        <v>0</v>
      </c>
      <c r="F17" s="541"/>
      <c r="G17" s="541"/>
      <c r="H17" s="541"/>
      <c r="I17" s="541"/>
      <c r="J17" s="493"/>
      <c r="K17" s="481">
        <v>10.405085181302926</v>
      </c>
      <c r="L17" s="451">
        <v>3.3427795287498023</v>
      </c>
      <c r="M17" s="451">
        <v>1.4026938325633618</v>
      </c>
      <c r="N17" s="451">
        <v>1.69219593688246</v>
      </c>
      <c r="O17" s="451">
        <v>2.5732764982038101</v>
      </c>
      <c r="P17" s="451">
        <v>1.3941393849034907</v>
      </c>
      <c r="Q17" s="558"/>
    </row>
    <row r="18" spans="2:17" ht="15.75" customHeight="1" x14ac:dyDescent="0.25">
      <c r="B18" s="547">
        <v>1</v>
      </c>
      <c r="C18" s="645" t="s">
        <v>276</v>
      </c>
      <c r="D18" s="548" t="s">
        <v>29</v>
      </c>
      <c r="E18" s="541">
        <f t="shared" si="1"/>
        <v>0</v>
      </c>
      <c r="F18" s="414">
        <f>'TH theo DV'!D13</f>
        <v>0</v>
      </c>
      <c r="G18" s="414">
        <f>'TH theo DV'!N13</f>
        <v>0</v>
      </c>
      <c r="H18" s="366"/>
      <c r="I18" s="366"/>
      <c r="J18" s="496"/>
      <c r="K18" s="485">
        <v>4.2256537529469718</v>
      </c>
      <c r="L18" s="365">
        <v>1.2676070024558102</v>
      </c>
      <c r="M18" s="365">
        <v>0.49012875</v>
      </c>
      <c r="N18" s="365">
        <v>0.460164250491162</v>
      </c>
      <c r="O18" s="365">
        <v>1.65847425</v>
      </c>
      <c r="P18" s="365">
        <v>0.34927950000000002</v>
      </c>
      <c r="Q18" s="561" t="s">
        <v>222</v>
      </c>
    </row>
    <row r="19" spans="2:17" ht="31.9" customHeight="1" x14ac:dyDescent="0.25">
      <c r="B19" s="547">
        <v>2</v>
      </c>
      <c r="C19" s="646"/>
      <c r="D19" s="548" t="s">
        <v>30</v>
      </c>
      <c r="E19" s="541">
        <f t="shared" si="1"/>
        <v>0</v>
      </c>
      <c r="F19" s="414">
        <f>'TH theo DV'!H13</f>
        <v>0</v>
      </c>
      <c r="G19" s="414">
        <f>'TH theo DV'!R13</f>
        <v>0</v>
      </c>
      <c r="H19" s="394"/>
      <c r="I19" s="394"/>
      <c r="J19" s="496"/>
      <c r="K19" s="485">
        <v>0.8025987</v>
      </c>
      <c r="L19" s="460">
        <v>0.21275368000000003</v>
      </c>
      <c r="M19" s="460">
        <v>0.13423389999999999</v>
      </c>
      <c r="N19" s="460">
        <v>0.18085789999999999</v>
      </c>
      <c r="O19" s="460">
        <v>0.13275367999999999</v>
      </c>
      <c r="P19" s="460">
        <v>0.14199954000000001</v>
      </c>
      <c r="Q19" s="562" t="s">
        <v>264</v>
      </c>
    </row>
    <row r="20" spans="2:17" x14ac:dyDescent="0.25">
      <c r="B20" s="547">
        <v>3</v>
      </c>
      <c r="C20" s="646"/>
      <c r="D20" s="548" t="s">
        <v>317</v>
      </c>
      <c r="E20" s="541">
        <f t="shared" si="1"/>
        <v>0</v>
      </c>
      <c r="F20" s="414"/>
      <c r="G20" s="414"/>
      <c r="H20" s="462"/>
      <c r="I20" s="462"/>
      <c r="J20" s="496"/>
      <c r="K20" s="485">
        <v>0.42893901732950129</v>
      </c>
      <c r="L20" s="461">
        <v>2.8812294117647061E-2</v>
      </c>
      <c r="M20" s="461">
        <v>9.4578070484581486E-2</v>
      </c>
      <c r="N20" s="461">
        <v>0.12876677272727274</v>
      </c>
      <c r="O20" s="461">
        <v>8.4418133333333326E-2</v>
      </c>
      <c r="P20" s="461">
        <v>9.2363746666666677E-2</v>
      </c>
      <c r="Q20" s="563" t="s">
        <v>277</v>
      </c>
    </row>
    <row r="21" spans="2:17" x14ac:dyDescent="0.25">
      <c r="B21" s="547">
        <v>4</v>
      </c>
      <c r="C21" s="646"/>
      <c r="D21" s="548" t="s">
        <v>31</v>
      </c>
      <c r="E21" s="541">
        <f t="shared" si="1"/>
        <v>0</v>
      </c>
      <c r="F21" s="414">
        <f>'TH theo DV'!J13</f>
        <v>0</v>
      </c>
      <c r="G21" s="414">
        <f>'TH theo DV'!T13</f>
        <v>0</v>
      </c>
      <c r="H21" s="366"/>
      <c r="I21" s="366"/>
      <c r="J21" s="496"/>
      <c r="K21" s="485">
        <v>1.95912</v>
      </c>
      <c r="L21" s="423">
        <v>0.54123200000000005</v>
      </c>
      <c r="M21" s="423">
        <v>0.32057999999999998</v>
      </c>
      <c r="N21" s="423">
        <v>0.44297199999999998</v>
      </c>
      <c r="O21" s="423">
        <v>0.30520000000000003</v>
      </c>
      <c r="P21" s="423">
        <v>0.349136</v>
      </c>
      <c r="Q21" s="561" t="s">
        <v>292</v>
      </c>
    </row>
    <row r="22" spans="2:17" x14ac:dyDescent="0.25">
      <c r="B22" s="547">
        <v>5</v>
      </c>
      <c r="C22" s="647"/>
      <c r="D22" s="548" t="s">
        <v>318</v>
      </c>
      <c r="E22" s="541">
        <f t="shared" si="1"/>
        <v>0</v>
      </c>
      <c r="F22" s="414">
        <f>'TH theo DV'!K13</f>
        <v>0</v>
      </c>
      <c r="G22" s="414">
        <f>'TH theo DV'!U13</f>
        <v>0</v>
      </c>
      <c r="H22" s="462"/>
      <c r="I22" s="462"/>
      <c r="J22" s="496"/>
      <c r="K22" s="485">
        <v>2.9887737110264516</v>
      </c>
      <c r="L22" s="460">
        <v>1.2923745521763452</v>
      </c>
      <c r="M22" s="460">
        <v>0.36317311207878045</v>
      </c>
      <c r="N22" s="460">
        <v>0.47943501366402536</v>
      </c>
      <c r="O22" s="460">
        <v>0.39243043487047646</v>
      </c>
      <c r="P22" s="460">
        <v>0.46136059823682396</v>
      </c>
      <c r="Q22" s="563" t="s">
        <v>299</v>
      </c>
    </row>
    <row r="23" spans="2:17" x14ac:dyDescent="0.25">
      <c r="B23" s="549"/>
      <c r="C23" s="550"/>
      <c r="D23" s="551"/>
      <c r="E23" s="463"/>
      <c r="F23" s="463"/>
      <c r="G23" s="463"/>
      <c r="H23" s="466"/>
      <c r="I23" s="466"/>
      <c r="J23" s="494"/>
      <c r="K23" s="464"/>
      <c r="L23" s="465"/>
      <c r="M23" s="465"/>
      <c r="N23" s="465"/>
      <c r="O23" s="465"/>
      <c r="P23" s="465"/>
      <c r="Q23" s="564"/>
    </row>
    <row r="24" spans="2:17" x14ac:dyDescent="0.25">
      <c r="B24" s="642" t="s">
        <v>319</v>
      </c>
      <c r="C24" s="642"/>
      <c r="D24" s="642"/>
      <c r="E24" s="642"/>
      <c r="F24" s="642"/>
      <c r="G24" s="642"/>
      <c r="H24" s="642"/>
      <c r="I24" s="580"/>
    </row>
    <row r="25" spans="2:17" ht="19.899999999999999" customHeight="1" x14ac:dyDescent="0.25">
      <c r="B25" s="636" t="s">
        <v>48</v>
      </c>
      <c r="C25" s="649" t="s">
        <v>311</v>
      </c>
      <c r="D25" s="636" t="s">
        <v>46</v>
      </c>
      <c r="E25" s="636" t="s">
        <v>41</v>
      </c>
      <c r="F25" s="636">
        <v>2027</v>
      </c>
      <c r="G25" s="636">
        <v>2028</v>
      </c>
      <c r="H25" s="636" t="s">
        <v>218</v>
      </c>
      <c r="I25" s="636"/>
      <c r="J25" s="492"/>
      <c r="K25" s="619" t="s">
        <v>217</v>
      </c>
      <c r="L25" s="619"/>
      <c r="M25" s="619"/>
      <c r="N25" s="619"/>
      <c r="O25" s="619"/>
      <c r="P25" s="619"/>
      <c r="Q25" s="634" t="s">
        <v>218</v>
      </c>
    </row>
    <row r="26" spans="2:17" ht="15.6" customHeight="1" x14ac:dyDescent="0.25">
      <c r="B26" s="636"/>
      <c r="C26" s="650"/>
      <c r="D26" s="636"/>
      <c r="E26" s="636"/>
      <c r="F26" s="636"/>
      <c r="G26" s="636"/>
      <c r="H26" s="584">
        <v>2027</v>
      </c>
      <c r="I26" s="584">
        <v>2028</v>
      </c>
      <c r="J26" s="492"/>
      <c r="K26" s="480" t="s">
        <v>41</v>
      </c>
      <c r="L26" s="448">
        <v>2026</v>
      </c>
      <c r="M26" s="448">
        <v>2027</v>
      </c>
      <c r="N26" s="448">
        <v>2028</v>
      </c>
      <c r="O26" s="448">
        <v>2029</v>
      </c>
      <c r="P26" s="448">
        <v>2030</v>
      </c>
      <c r="Q26" s="635"/>
    </row>
    <row r="27" spans="2:17" x14ac:dyDescent="0.25">
      <c r="B27" s="543"/>
      <c r="C27" s="543"/>
      <c r="D27" s="544" t="s">
        <v>41</v>
      </c>
      <c r="E27" s="541">
        <f t="shared" ref="E27:E33" si="2">SUM(F27:G27)</f>
        <v>0</v>
      </c>
      <c r="F27" s="541"/>
      <c r="G27" s="541"/>
      <c r="H27" s="541"/>
      <c r="I27" s="541"/>
      <c r="J27" s="493"/>
      <c r="K27" s="481">
        <v>21.73326224867516</v>
      </c>
      <c r="L27" s="451">
        <v>5.9610047153634529</v>
      </c>
      <c r="M27" s="451">
        <v>5.8795392668254536</v>
      </c>
      <c r="N27" s="451">
        <v>6.1687249660956178</v>
      </c>
      <c r="O27" s="451">
        <v>1.5549426300887261</v>
      </c>
      <c r="P27" s="451">
        <v>2.1690506703019112</v>
      </c>
      <c r="Q27" s="558"/>
    </row>
    <row r="28" spans="2:17" ht="15.75" customHeight="1" x14ac:dyDescent="0.25">
      <c r="B28" s="547">
        <v>1</v>
      </c>
      <c r="C28" s="645" t="s">
        <v>278</v>
      </c>
      <c r="D28" s="548" t="s">
        <v>29</v>
      </c>
      <c r="E28" s="541">
        <f t="shared" si="2"/>
        <v>0</v>
      </c>
      <c r="F28" s="414">
        <f>'TH theo DV'!D14</f>
        <v>0</v>
      </c>
      <c r="G28" s="414">
        <f>'TH theo DV'!N14</f>
        <v>0</v>
      </c>
      <c r="H28" s="366"/>
      <c r="I28" s="366"/>
      <c r="J28" s="496"/>
      <c r="K28" s="486">
        <v>11.51161475962707</v>
      </c>
      <c r="L28" s="365">
        <v>2.9256986377702123</v>
      </c>
      <c r="M28" s="365">
        <v>2.9449739927800653</v>
      </c>
      <c r="N28" s="365">
        <v>4.6587895006386573</v>
      </c>
      <c r="O28" s="365">
        <v>0.27098962647348607</v>
      </c>
      <c r="P28" s="365">
        <v>0.71116300196464799</v>
      </c>
      <c r="Q28" s="561" t="s">
        <v>223</v>
      </c>
    </row>
    <row r="29" spans="2:17" x14ac:dyDescent="0.25">
      <c r="B29" s="547">
        <v>2</v>
      </c>
      <c r="C29" s="646"/>
      <c r="D29" s="548" t="s">
        <v>28</v>
      </c>
      <c r="E29" s="541">
        <f t="shared" si="2"/>
        <v>0</v>
      </c>
      <c r="F29" s="414">
        <f>'TH theo DV'!E14</f>
        <v>0</v>
      </c>
      <c r="G29" s="414">
        <f>'TH theo DV'!O14</f>
        <v>0</v>
      </c>
      <c r="H29" s="366"/>
      <c r="I29" s="366"/>
      <c r="J29" s="496"/>
      <c r="K29" s="486">
        <v>6.580000000000001</v>
      </c>
      <c r="L29" s="380">
        <v>0.89</v>
      </c>
      <c r="M29" s="380">
        <v>2.14</v>
      </c>
      <c r="N29" s="380">
        <v>1.19</v>
      </c>
      <c r="O29" s="380">
        <v>1.03</v>
      </c>
      <c r="P29" s="380">
        <v>1.33</v>
      </c>
      <c r="Q29" s="561" t="s">
        <v>241</v>
      </c>
    </row>
    <row r="30" spans="2:17" ht="30" customHeight="1" x14ac:dyDescent="0.25">
      <c r="B30" s="547">
        <v>3</v>
      </c>
      <c r="C30" s="646"/>
      <c r="D30" s="548" t="s">
        <v>30</v>
      </c>
      <c r="E30" s="541">
        <f t="shared" si="2"/>
        <v>0</v>
      </c>
      <c r="F30" s="414">
        <f>'TH theo DV'!H14</f>
        <v>0</v>
      </c>
      <c r="G30" s="414">
        <f>'TH theo DV'!R14</f>
        <v>0</v>
      </c>
      <c r="H30" s="394"/>
      <c r="I30" s="394"/>
      <c r="J30" s="496"/>
      <c r="K30" s="486">
        <v>0.51912825652465011</v>
      </c>
      <c r="L30" s="460">
        <v>0.17916343005965427</v>
      </c>
      <c r="M30" s="460">
        <v>0.13914100104375179</v>
      </c>
      <c r="N30" s="460">
        <v>0.12304046641151968</v>
      </c>
      <c r="O30" s="460">
        <v>4.801470287681614E-2</v>
      </c>
      <c r="P30" s="460">
        <v>2.976865613290822E-2</v>
      </c>
      <c r="Q30" s="562" t="s">
        <v>265</v>
      </c>
    </row>
    <row r="31" spans="2:17" x14ac:dyDescent="0.25">
      <c r="B31" s="547">
        <v>4</v>
      </c>
      <c r="C31" s="646"/>
      <c r="D31" s="548" t="s">
        <v>317</v>
      </c>
      <c r="E31" s="541">
        <f t="shared" si="2"/>
        <v>0</v>
      </c>
      <c r="F31" s="414"/>
      <c r="G31" s="414"/>
      <c r="H31" s="462"/>
      <c r="I31" s="462"/>
      <c r="J31" s="496"/>
      <c r="K31" s="486">
        <v>1.7911832458877566</v>
      </c>
      <c r="L31" s="461">
        <v>1.5496218712314551</v>
      </c>
      <c r="M31" s="461">
        <v>0.17189719147331908</v>
      </c>
      <c r="N31" s="461">
        <v>6.9664183182982231E-2</v>
      </c>
      <c r="O31" s="461">
        <v>0</v>
      </c>
      <c r="P31" s="461">
        <v>0</v>
      </c>
      <c r="Q31" s="579" t="s">
        <v>279</v>
      </c>
    </row>
    <row r="32" spans="2:17" x14ac:dyDescent="0.25">
      <c r="B32" s="547">
        <v>5</v>
      </c>
      <c r="C32" s="646"/>
      <c r="D32" s="548" t="s">
        <v>31</v>
      </c>
      <c r="E32" s="541">
        <f t="shared" si="2"/>
        <v>0</v>
      </c>
      <c r="F32" s="414">
        <f>'TH theo DV'!J14</f>
        <v>0</v>
      </c>
      <c r="G32" s="414">
        <f>'TH theo DV'!T14</f>
        <v>0</v>
      </c>
      <c r="H32" s="366"/>
      <c r="I32" s="366"/>
      <c r="J32" s="496"/>
      <c r="K32" s="486">
        <v>0.57675199999999993</v>
      </c>
      <c r="L32" s="423">
        <v>0.16519700000000001</v>
      </c>
      <c r="M32" s="423">
        <v>0.26170599999999999</v>
      </c>
      <c r="N32" s="423">
        <v>8.2900000000000001E-2</v>
      </c>
      <c r="O32" s="423">
        <v>4.9264000000000002E-2</v>
      </c>
      <c r="P32" s="424">
        <v>1.7684999999999999E-2</v>
      </c>
      <c r="Q32" s="561" t="s">
        <v>293</v>
      </c>
    </row>
    <row r="33" spans="2:18" x14ac:dyDescent="0.25">
      <c r="B33" s="547">
        <v>6</v>
      </c>
      <c r="C33" s="647"/>
      <c r="D33" s="548" t="s">
        <v>318</v>
      </c>
      <c r="E33" s="541">
        <f t="shared" si="2"/>
        <v>0</v>
      </c>
      <c r="F33" s="414">
        <f>'TH theo DV'!K14</f>
        <v>0</v>
      </c>
      <c r="G33" s="414">
        <f>'TH theo DV'!U14</f>
        <v>0</v>
      </c>
      <c r="H33" s="462"/>
      <c r="I33" s="462"/>
      <c r="J33" s="496"/>
      <c r="K33" s="486">
        <v>0.75458398663568504</v>
      </c>
      <c r="L33" s="460">
        <v>0.2513237763021316</v>
      </c>
      <c r="M33" s="460">
        <v>0.22182108152831631</v>
      </c>
      <c r="N33" s="460">
        <v>4.4330815862458371E-2</v>
      </c>
      <c r="O33" s="460">
        <v>0.15667430073842384</v>
      </c>
      <c r="P33" s="460">
        <v>8.0434012204354977E-2</v>
      </c>
      <c r="Q33" s="563" t="s">
        <v>320</v>
      </c>
    </row>
    <row r="35" spans="2:18" x14ac:dyDescent="0.25">
      <c r="B35" s="642" t="s">
        <v>321</v>
      </c>
      <c r="C35" s="642"/>
      <c r="D35" s="642"/>
      <c r="E35" s="642"/>
      <c r="F35" s="642"/>
      <c r="G35" s="642"/>
      <c r="H35" s="642"/>
      <c r="I35" s="580"/>
    </row>
    <row r="36" spans="2:18" ht="22.9" customHeight="1" x14ac:dyDescent="0.25">
      <c r="B36" s="636" t="s">
        <v>48</v>
      </c>
      <c r="C36" s="649" t="s">
        <v>311</v>
      </c>
      <c r="D36" s="636" t="s">
        <v>46</v>
      </c>
      <c r="E36" s="636" t="s">
        <v>41</v>
      </c>
      <c r="F36" s="636">
        <v>2027</v>
      </c>
      <c r="G36" s="636">
        <v>2028</v>
      </c>
      <c r="H36" s="636" t="s">
        <v>218</v>
      </c>
      <c r="I36" s="636"/>
      <c r="J36" s="492"/>
      <c r="K36" s="619" t="s">
        <v>217</v>
      </c>
      <c r="L36" s="619"/>
      <c r="M36" s="619"/>
      <c r="N36" s="619"/>
      <c r="O36" s="619"/>
      <c r="P36" s="619"/>
      <c r="Q36" s="634" t="s">
        <v>218</v>
      </c>
    </row>
    <row r="37" spans="2:18" x14ac:dyDescent="0.25">
      <c r="B37" s="636"/>
      <c r="C37" s="650"/>
      <c r="D37" s="636"/>
      <c r="E37" s="636"/>
      <c r="F37" s="636"/>
      <c r="G37" s="636"/>
      <c r="H37" s="584">
        <v>2027</v>
      </c>
      <c r="I37" s="584">
        <v>2028</v>
      </c>
      <c r="J37" s="492"/>
      <c r="K37" s="480" t="s">
        <v>41</v>
      </c>
      <c r="L37" s="448">
        <v>2026</v>
      </c>
      <c r="M37" s="448">
        <v>2027</v>
      </c>
      <c r="N37" s="448">
        <v>2028</v>
      </c>
      <c r="O37" s="448">
        <v>2029</v>
      </c>
      <c r="P37" s="448">
        <v>2030</v>
      </c>
      <c r="Q37" s="635"/>
    </row>
    <row r="38" spans="2:18" x14ac:dyDescent="0.25">
      <c r="B38" s="543"/>
      <c r="C38" s="543"/>
      <c r="D38" s="544" t="s">
        <v>41</v>
      </c>
      <c r="E38" s="541">
        <f t="shared" ref="E38:E43" si="3">SUM(F38:G38)</f>
        <v>0</v>
      </c>
      <c r="F38" s="541"/>
      <c r="G38" s="541"/>
      <c r="H38" s="541"/>
      <c r="I38" s="541"/>
      <c r="J38" s="493"/>
      <c r="K38" s="481">
        <v>24.223976877670495</v>
      </c>
      <c r="L38" s="451">
        <v>5.5879576408823528</v>
      </c>
      <c r="M38" s="451">
        <v>8.170147879515417</v>
      </c>
      <c r="N38" s="451">
        <v>7.6625640322727273</v>
      </c>
      <c r="O38" s="451">
        <v>1.6353506966666669</v>
      </c>
      <c r="P38" s="451">
        <v>1.1679566283333331</v>
      </c>
      <c r="Q38" s="558"/>
    </row>
    <row r="39" spans="2:18" ht="15.75" customHeight="1" x14ac:dyDescent="0.25">
      <c r="B39" s="547">
        <v>1</v>
      </c>
      <c r="C39" s="645" t="s">
        <v>272</v>
      </c>
      <c r="D39" s="548" t="s">
        <v>29</v>
      </c>
      <c r="E39" s="541">
        <f t="shared" si="3"/>
        <v>0</v>
      </c>
      <c r="F39" s="414">
        <f>'TH theo DV'!D7</f>
        <v>0</v>
      </c>
      <c r="G39" s="414">
        <f>'TH theo DV'!N7</f>
        <v>0</v>
      </c>
      <c r="H39" s="366"/>
      <c r="I39" s="366"/>
      <c r="J39" s="496"/>
      <c r="K39" s="486">
        <v>20.853331874999999</v>
      </c>
      <c r="L39" s="365">
        <v>4.7596893749999998</v>
      </c>
      <c r="M39" s="365">
        <v>7.0410487499999999</v>
      </c>
      <c r="N39" s="365">
        <v>6.7361231249999998</v>
      </c>
      <c r="O39" s="365">
        <v>1.3557937499999999</v>
      </c>
      <c r="P39" s="365">
        <v>0.96067687499999999</v>
      </c>
      <c r="Q39" s="561" t="s">
        <v>220</v>
      </c>
    </row>
    <row r="40" spans="2:18" x14ac:dyDescent="0.25">
      <c r="B40" s="547">
        <v>3</v>
      </c>
      <c r="C40" s="646"/>
      <c r="D40" s="548" t="s">
        <v>30</v>
      </c>
      <c r="E40" s="541">
        <f t="shared" si="3"/>
        <v>0</v>
      </c>
      <c r="F40" s="414">
        <f>'TH theo DV'!H7</f>
        <v>0</v>
      </c>
      <c r="G40" s="414">
        <f>'TH theo DV'!R7</f>
        <v>0</v>
      </c>
      <c r="H40" s="394"/>
      <c r="I40" s="394"/>
      <c r="J40" s="496"/>
      <c r="K40" s="486">
        <v>0.98339502000000001</v>
      </c>
      <c r="L40" s="467">
        <v>0.21404855999999997</v>
      </c>
      <c r="M40" s="468">
        <v>0.31848520000000002</v>
      </c>
      <c r="N40" s="468">
        <v>0.28023068000000001</v>
      </c>
      <c r="O40" s="468">
        <v>9.1522079999999992E-2</v>
      </c>
      <c r="P40" s="468">
        <v>7.9108499999999998E-2</v>
      </c>
      <c r="Q40" s="562" t="s">
        <v>261</v>
      </c>
    </row>
    <row r="41" spans="2:18" x14ac:dyDescent="0.25">
      <c r="B41" s="547">
        <v>2</v>
      </c>
      <c r="C41" s="646"/>
      <c r="D41" s="548" t="s">
        <v>317</v>
      </c>
      <c r="E41" s="541">
        <f t="shared" si="3"/>
        <v>0</v>
      </c>
      <c r="F41" s="414"/>
      <c r="G41" s="414"/>
      <c r="H41" s="462"/>
      <c r="I41" s="462"/>
      <c r="J41" s="496"/>
      <c r="K41" s="486">
        <v>1.2236339826704987</v>
      </c>
      <c r="L41" s="469">
        <v>0.30214270588235292</v>
      </c>
      <c r="M41" s="470">
        <v>0.4153059295154185</v>
      </c>
      <c r="N41" s="470">
        <v>0.36709922727272731</v>
      </c>
      <c r="O41" s="470">
        <v>7.3865866666666669E-2</v>
      </c>
      <c r="P41" s="470">
        <v>6.5220253333333339E-2</v>
      </c>
      <c r="Q41" s="563" t="s">
        <v>273</v>
      </c>
    </row>
    <row r="42" spans="2:18" x14ac:dyDescent="0.25">
      <c r="B42" s="547">
        <v>4</v>
      </c>
      <c r="C42" s="646"/>
      <c r="D42" s="548" t="s">
        <v>31</v>
      </c>
      <c r="E42" s="541">
        <f t="shared" si="3"/>
        <v>0</v>
      </c>
      <c r="F42" s="414">
        <f>'TH theo DV'!J7</f>
        <v>0</v>
      </c>
      <c r="G42" s="414">
        <f>'TH theo DV'!T7</f>
        <v>0</v>
      </c>
      <c r="H42" s="366"/>
      <c r="I42" s="366"/>
      <c r="J42" s="496"/>
      <c r="K42" s="486">
        <v>0.80431999999999992</v>
      </c>
      <c r="L42" s="421">
        <v>0.22907</v>
      </c>
      <c r="M42" s="421">
        <v>0.27179999999999999</v>
      </c>
      <c r="N42" s="421">
        <v>0.17044000000000001</v>
      </c>
      <c r="O42" s="421">
        <v>9.0509999999999993E-2</v>
      </c>
      <c r="P42" s="422">
        <v>4.2500000000000003E-2</v>
      </c>
      <c r="Q42" s="561" t="s">
        <v>291</v>
      </c>
    </row>
    <row r="43" spans="2:18" x14ac:dyDescent="0.25">
      <c r="B43" s="547">
        <v>5</v>
      </c>
      <c r="C43" s="647"/>
      <c r="D43" s="548" t="s">
        <v>318</v>
      </c>
      <c r="E43" s="541">
        <f t="shared" si="3"/>
        <v>0</v>
      </c>
      <c r="F43" s="414">
        <f>'TH theo DV'!K7</f>
        <v>0</v>
      </c>
      <c r="G43" s="414">
        <f>'TH theo DV'!U7</f>
        <v>0</v>
      </c>
      <c r="H43" s="462"/>
      <c r="I43" s="462"/>
      <c r="J43" s="496"/>
      <c r="K43" s="486">
        <v>0.359296</v>
      </c>
      <c r="L43" s="467">
        <v>8.3006999999999997E-2</v>
      </c>
      <c r="M43" s="468">
        <v>0.12350800000000001</v>
      </c>
      <c r="N43" s="468">
        <v>0.108671</v>
      </c>
      <c r="O43" s="468">
        <v>2.3658999999999999E-2</v>
      </c>
      <c r="P43" s="468">
        <v>2.0451E-2</v>
      </c>
      <c r="Q43" s="563" t="s">
        <v>298</v>
      </c>
      <c r="R43" s="471"/>
    </row>
    <row r="45" spans="2:18" x14ac:dyDescent="0.25">
      <c r="B45" s="642" t="s">
        <v>322</v>
      </c>
      <c r="C45" s="642"/>
      <c r="D45" s="642"/>
      <c r="E45" s="642"/>
      <c r="F45" s="642"/>
      <c r="G45" s="642"/>
      <c r="H45" s="642"/>
      <c r="I45" s="580"/>
    </row>
    <row r="46" spans="2:18" ht="17.45" customHeight="1" x14ac:dyDescent="0.25">
      <c r="B46" s="636" t="s">
        <v>48</v>
      </c>
      <c r="C46" s="649" t="s">
        <v>311</v>
      </c>
      <c r="D46" s="636" t="s">
        <v>46</v>
      </c>
      <c r="E46" s="636" t="s">
        <v>41</v>
      </c>
      <c r="F46" s="636">
        <v>2027</v>
      </c>
      <c r="G46" s="636">
        <v>2028</v>
      </c>
      <c r="H46" s="636" t="s">
        <v>218</v>
      </c>
      <c r="I46" s="636"/>
      <c r="J46" s="492"/>
      <c r="K46" s="619" t="s">
        <v>217</v>
      </c>
      <c r="L46" s="619"/>
      <c r="M46" s="619"/>
      <c r="N46" s="619"/>
      <c r="O46" s="619"/>
      <c r="P46" s="619"/>
      <c r="Q46" s="634" t="s">
        <v>218</v>
      </c>
    </row>
    <row r="47" spans="2:18" ht="14.45" customHeight="1" x14ac:dyDescent="0.25">
      <c r="B47" s="636"/>
      <c r="C47" s="650"/>
      <c r="D47" s="636"/>
      <c r="E47" s="636"/>
      <c r="F47" s="636"/>
      <c r="G47" s="636"/>
      <c r="H47" s="584">
        <v>2027</v>
      </c>
      <c r="I47" s="584">
        <v>2028</v>
      </c>
      <c r="J47" s="492"/>
      <c r="K47" s="480" t="s">
        <v>41</v>
      </c>
      <c r="L47" s="448">
        <v>2026</v>
      </c>
      <c r="M47" s="448">
        <v>2027</v>
      </c>
      <c r="N47" s="448">
        <v>2028</v>
      </c>
      <c r="O47" s="448">
        <v>2029</v>
      </c>
      <c r="P47" s="448">
        <v>2030</v>
      </c>
      <c r="Q47" s="635"/>
    </row>
    <row r="48" spans="2:18" x14ac:dyDescent="0.25">
      <c r="B48" s="449"/>
      <c r="C48" s="449"/>
      <c r="D48" s="450" t="s">
        <v>41</v>
      </c>
      <c r="E48" s="541">
        <f t="shared" ref="E48:E54" si="4">SUM(F48:G48)</f>
        <v>0</v>
      </c>
      <c r="F48" s="450"/>
      <c r="G48" s="450"/>
      <c r="H48" s="449"/>
      <c r="I48" s="449"/>
      <c r="J48" s="493"/>
      <c r="K48" s="481">
        <v>6.3681397451413169</v>
      </c>
      <c r="L48" s="451">
        <v>1.5334955161711015</v>
      </c>
      <c r="M48" s="451">
        <v>1.5286645319660168</v>
      </c>
      <c r="N48" s="451">
        <v>1.3441915561368407</v>
      </c>
      <c r="O48" s="451">
        <v>1.0750041792655758</v>
      </c>
      <c r="P48" s="451">
        <v>0.88678396160178208</v>
      </c>
      <c r="Q48" s="558"/>
    </row>
    <row r="49" spans="2:17" ht="13.9" customHeight="1" x14ac:dyDescent="0.25">
      <c r="B49" s="547">
        <v>1</v>
      </c>
      <c r="C49" s="645" t="s">
        <v>274</v>
      </c>
      <c r="D49" s="548" t="s">
        <v>29</v>
      </c>
      <c r="E49" s="541">
        <f t="shared" si="4"/>
        <v>0</v>
      </c>
      <c r="F49" s="400"/>
      <c r="G49" s="400"/>
      <c r="H49" s="462"/>
      <c r="I49" s="462"/>
      <c r="J49" s="496"/>
      <c r="K49" s="486">
        <v>0</v>
      </c>
      <c r="L49" s="468">
        <v>0</v>
      </c>
      <c r="M49" s="468">
        <v>0</v>
      </c>
      <c r="N49" s="468">
        <v>0</v>
      </c>
      <c r="O49" s="468">
        <v>0</v>
      </c>
      <c r="P49" s="468">
        <v>0</v>
      </c>
      <c r="Q49" s="563"/>
    </row>
    <row r="50" spans="2:17" ht="43.9" customHeight="1" x14ac:dyDescent="0.25">
      <c r="B50" s="547">
        <v>2</v>
      </c>
      <c r="C50" s="646"/>
      <c r="D50" s="548" t="s">
        <v>28</v>
      </c>
      <c r="E50" s="541">
        <f t="shared" si="4"/>
        <v>0</v>
      </c>
      <c r="F50" s="400"/>
      <c r="G50" s="400"/>
      <c r="H50" s="462"/>
      <c r="I50" s="462"/>
      <c r="J50" s="496"/>
      <c r="K50" s="486">
        <v>1.4000000000000001</v>
      </c>
      <c r="L50" s="472">
        <v>0.26</v>
      </c>
      <c r="M50" s="472">
        <v>0.23</v>
      </c>
      <c r="N50" s="472">
        <v>0.26</v>
      </c>
      <c r="O50" s="472">
        <v>0.34</v>
      </c>
      <c r="P50" s="472">
        <v>0.31</v>
      </c>
      <c r="Q50" s="563" t="s">
        <v>239</v>
      </c>
    </row>
    <row r="51" spans="2:17" ht="33.6" customHeight="1" x14ac:dyDescent="0.25">
      <c r="B51" s="547">
        <v>3</v>
      </c>
      <c r="C51" s="646"/>
      <c r="D51" s="548" t="s">
        <v>30</v>
      </c>
      <c r="E51" s="541">
        <f t="shared" si="4"/>
        <v>0</v>
      </c>
      <c r="F51" s="400"/>
      <c r="G51" s="400"/>
      <c r="H51" s="394"/>
      <c r="I51" s="394"/>
      <c r="J51" s="496"/>
      <c r="K51" s="486">
        <v>2.914183062763239</v>
      </c>
      <c r="L51" s="468">
        <v>0.56518432195474522</v>
      </c>
      <c r="M51" s="468">
        <v>1.1032773180106339</v>
      </c>
      <c r="N51" s="468">
        <v>0.7705409209021421</v>
      </c>
      <c r="O51" s="468">
        <v>0.25498334317214466</v>
      </c>
      <c r="P51" s="468">
        <v>0.22019715872357304</v>
      </c>
      <c r="Q51" s="562" t="s">
        <v>262</v>
      </c>
    </row>
    <row r="52" spans="2:17" ht="49.15" customHeight="1" x14ac:dyDescent="0.25">
      <c r="B52" s="547">
        <v>4</v>
      </c>
      <c r="C52" s="646"/>
      <c r="D52" s="548" t="s">
        <v>317</v>
      </c>
      <c r="E52" s="541">
        <f t="shared" si="4"/>
        <v>0</v>
      </c>
      <c r="F52" s="400"/>
      <c r="G52" s="400"/>
      <c r="H52" s="462"/>
      <c r="I52" s="462"/>
      <c r="J52" s="496"/>
      <c r="K52" s="486">
        <v>2.0539566823780779</v>
      </c>
      <c r="L52" s="470">
        <v>0.70831119421635624</v>
      </c>
      <c r="M52" s="470">
        <v>0.19538721395538297</v>
      </c>
      <c r="N52" s="470">
        <v>0.31365063523469855</v>
      </c>
      <c r="O52" s="470">
        <v>0.4800208360934311</v>
      </c>
      <c r="P52" s="470">
        <v>0.35658680287820904</v>
      </c>
      <c r="Q52" s="579" t="s">
        <v>275</v>
      </c>
    </row>
    <row r="53" spans="2:17" x14ac:dyDescent="0.25">
      <c r="B53" s="547">
        <v>5</v>
      </c>
      <c r="C53" s="646"/>
      <c r="D53" s="548" t="s">
        <v>31</v>
      </c>
      <c r="E53" s="541">
        <f t="shared" si="4"/>
        <v>0</v>
      </c>
      <c r="F53" s="400"/>
      <c r="G53" s="400"/>
      <c r="H53" s="462"/>
      <c r="I53" s="462"/>
      <c r="J53" s="496"/>
      <c r="K53" s="486">
        <v>0</v>
      </c>
      <c r="L53" s="468">
        <v>0</v>
      </c>
      <c r="M53" s="468">
        <v>0</v>
      </c>
      <c r="N53" s="468">
        <v>0</v>
      </c>
      <c r="O53" s="468">
        <v>0</v>
      </c>
      <c r="P53" s="468">
        <v>0</v>
      </c>
      <c r="Q53" s="563"/>
    </row>
    <row r="54" spans="2:17" x14ac:dyDescent="0.25">
      <c r="B54" s="547">
        <v>6</v>
      </c>
      <c r="C54" s="647"/>
      <c r="D54" s="548" t="s">
        <v>318</v>
      </c>
      <c r="E54" s="541">
        <f t="shared" si="4"/>
        <v>0</v>
      </c>
      <c r="F54" s="400"/>
      <c r="G54" s="400"/>
      <c r="H54" s="462"/>
      <c r="I54" s="462"/>
      <c r="J54" s="496"/>
      <c r="K54" s="486">
        <v>0</v>
      </c>
      <c r="L54" s="468">
        <v>0</v>
      </c>
      <c r="M54" s="468">
        <v>0</v>
      </c>
      <c r="N54" s="468">
        <v>0</v>
      </c>
      <c r="O54" s="468">
        <v>0</v>
      </c>
      <c r="P54" s="468">
        <v>0</v>
      </c>
      <c r="Q54" s="563"/>
    </row>
    <row r="57" spans="2:17" x14ac:dyDescent="0.25">
      <c r="B57" s="643" t="s">
        <v>323</v>
      </c>
      <c r="C57" s="643"/>
      <c r="D57" s="643"/>
      <c r="E57" s="643"/>
      <c r="F57" s="643"/>
      <c r="G57" s="643"/>
      <c r="H57" s="643"/>
      <c r="I57" s="581"/>
    </row>
    <row r="58" spans="2:17" x14ac:dyDescent="0.25">
      <c r="B58" s="642" t="s">
        <v>324</v>
      </c>
      <c r="C58" s="642"/>
      <c r="D58" s="642"/>
      <c r="E58" s="642"/>
      <c r="F58" s="642"/>
      <c r="G58" s="642"/>
      <c r="H58" s="642"/>
      <c r="I58" s="580"/>
    </row>
    <row r="59" spans="2:17" ht="19.899999999999999" customHeight="1" x14ac:dyDescent="0.25">
      <c r="B59" s="636" t="s">
        <v>48</v>
      </c>
      <c r="C59" s="649" t="s">
        <v>311</v>
      </c>
      <c r="D59" s="636" t="s">
        <v>46</v>
      </c>
      <c r="E59" s="636" t="s">
        <v>41</v>
      </c>
      <c r="F59" s="636">
        <v>2027</v>
      </c>
      <c r="G59" s="636">
        <v>2028</v>
      </c>
      <c r="H59" s="636" t="s">
        <v>218</v>
      </c>
      <c r="I59" s="636"/>
      <c r="J59" s="492"/>
      <c r="K59" s="619" t="s">
        <v>217</v>
      </c>
      <c r="L59" s="619"/>
      <c r="M59" s="619"/>
      <c r="N59" s="619"/>
      <c r="O59" s="619"/>
      <c r="P59" s="619"/>
      <c r="Q59" s="634" t="s">
        <v>218</v>
      </c>
    </row>
    <row r="60" spans="2:17" ht="15.6" customHeight="1" x14ac:dyDescent="0.25">
      <c r="B60" s="636"/>
      <c r="C60" s="650"/>
      <c r="D60" s="636"/>
      <c r="E60" s="636"/>
      <c r="F60" s="636"/>
      <c r="G60" s="636"/>
      <c r="H60" s="584">
        <v>2027</v>
      </c>
      <c r="I60" s="584">
        <v>2028</v>
      </c>
      <c r="J60" s="492"/>
      <c r="K60" s="480" t="s">
        <v>41</v>
      </c>
      <c r="L60" s="448">
        <v>2026</v>
      </c>
      <c r="M60" s="448">
        <v>2027</v>
      </c>
      <c r="N60" s="448">
        <v>2028</v>
      </c>
      <c r="O60" s="448">
        <v>2029</v>
      </c>
      <c r="P60" s="448">
        <v>2030</v>
      </c>
      <c r="Q60" s="635"/>
    </row>
    <row r="61" spans="2:17" x14ac:dyDescent="0.25">
      <c r="B61" s="543"/>
      <c r="C61" s="543"/>
      <c r="D61" s="544" t="s">
        <v>41</v>
      </c>
      <c r="E61" s="541">
        <f t="shared" ref="E61:E67" si="5">SUM(F61:G61)</f>
        <v>0</v>
      </c>
      <c r="F61" s="541"/>
      <c r="G61" s="541"/>
      <c r="H61" s="541"/>
      <c r="I61" s="541"/>
      <c r="J61" s="493"/>
      <c r="K61" s="481">
        <v>17.074970752446276</v>
      </c>
      <c r="L61" s="451">
        <v>3.4223591825377895</v>
      </c>
      <c r="M61" s="451">
        <v>4.2081832755169124</v>
      </c>
      <c r="N61" s="451">
        <v>3.7746937942686571</v>
      </c>
      <c r="O61" s="451">
        <v>2.8023251178576079</v>
      </c>
      <c r="P61" s="451">
        <v>2.8674093822653099</v>
      </c>
      <c r="Q61" s="558"/>
    </row>
    <row r="62" spans="2:17" ht="34.9" customHeight="1" x14ac:dyDescent="0.25">
      <c r="B62" s="547">
        <v>1</v>
      </c>
      <c r="C62" s="645" t="s">
        <v>325</v>
      </c>
      <c r="D62" s="548" t="s">
        <v>326</v>
      </c>
      <c r="E62" s="541">
        <f t="shared" si="5"/>
        <v>0</v>
      </c>
      <c r="F62" s="414">
        <f>'TH theo DV'!F17</f>
        <v>0</v>
      </c>
      <c r="G62" s="414">
        <f>'TH theo DV'!P17</f>
        <v>0</v>
      </c>
      <c r="H62" s="462"/>
      <c r="I62" s="462"/>
      <c r="J62" s="496"/>
      <c r="K62" s="485">
        <v>1.5767199999999999</v>
      </c>
      <c r="L62" s="468">
        <v>7.1999999999999995E-2</v>
      </c>
      <c r="M62" s="468">
        <v>0.86448000000000003</v>
      </c>
      <c r="N62" s="468">
        <v>0.64024000000000003</v>
      </c>
      <c r="O62" s="468">
        <v>0</v>
      </c>
      <c r="P62" s="468">
        <v>0</v>
      </c>
      <c r="Q62" s="563" t="s">
        <v>327</v>
      </c>
    </row>
    <row r="63" spans="2:17" ht="34.9" customHeight="1" x14ac:dyDescent="0.25">
      <c r="B63" s="547">
        <v>2</v>
      </c>
      <c r="C63" s="646"/>
      <c r="D63" s="548" t="s">
        <v>328</v>
      </c>
      <c r="E63" s="541">
        <f t="shared" si="5"/>
        <v>0</v>
      </c>
      <c r="F63" s="414">
        <f>'TH theo DV'!F16</f>
        <v>0</v>
      </c>
      <c r="G63" s="414">
        <f>'TH theo DV'!P16</f>
        <v>0</v>
      </c>
      <c r="H63" s="462"/>
      <c r="I63" s="462"/>
      <c r="J63" s="496"/>
      <c r="K63" s="485">
        <v>6.9064829999999997</v>
      </c>
      <c r="L63" s="377">
        <v>1.5144759999999999</v>
      </c>
      <c r="M63" s="468">
        <v>1.162536</v>
      </c>
      <c r="N63" s="468">
        <v>1.252383</v>
      </c>
      <c r="O63" s="468">
        <v>1.420917</v>
      </c>
      <c r="P63" s="468">
        <v>1.556171</v>
      </c>
      <c r="Q63" s="563" t="s">
        <v>329</v>
      </c>
    </row>
    <row r="64" spans="2:17" ht="34.9" customHeight="1" x14ac:dyDescent="0.25">
      <c r="B64" s="547"/>
      <c r="C64" s="646"/>
      <c r="D64" s="548" t="s">
        <v>330</v>
      </c>
      <c r="E64" s="541">
        <f t="shared" si="5"/>
        <v>0</v>
      </c>
      <c r="F64" s="414">
        <f>'TH theo DV'!F28</f>
        <v>0</v>
      </c>
      <c r="G64" s="414">
        <f>'TH theo DV'!P28</f>
        <v>0</v>
      </c>
      <c r="H64" s="462"/>
      <c r="I64" s="462"/>
      <c r="J64" s="496"/>
      <c r="K64" s="485">
        <v>0.35000000000000003</v>
      </c>
      <c r="L64" s="468">
        <v>7.0000000000000007E-2</v>
      </c>
      <c r="M64" s="468">
        <v>7.0000000000000007E-2</v>
      </c>
      <c r="N64" s="468">
        <v>7.0000000000000007E-2</v>
      </c>
      <c r="O64" s="468">
        <v>7.0000000000000007E-2</v>
      </c>
      <c r="P64" s="468">
        <v>7.0000000000000007E-2</v>
      </c>
      <c r="Q64" s="563" t="s">
        <v>232</v>
      </c>
    </row>
    <row r="65" spans="2:17" ht="34.9" customHeight="1" x14ac:dyDescent="0.25">
      <c r="B65" s="547">
        <v>4</v>
      </c>
      <c r="C65" s="646"/>
      <c r="D65" s="548" t="s">
        <v>30</v>
      </c>
      <c r="E65" s="541">
        <f t="shared" si="5"/>
        <v>0</v>
      </c>
      <c r="F65" s="414">
        <f>'TH theo DV'!H15</f>
        <v>0</v>
      </c>
      <c r="G65" s="414">
        <f>'TH theo DV'!R15</f>
        <v>0</v>
      </c>
      <c r="H65" s="394"/>
      <c r="I65" s="394"/>
      <c r="J65" s="496"/>
      <c r="K65" s="485">
        <v>3.280188680712111</v>
      </c>
      <c r="L65" s="468">
        <v>0.58235224798560048</v>
      </c>
      <c r="M65" s="468">
        <v>1.1242816809456144</v>
      </c>
      <c r="N65" s="468">
        <v>0.9131186126863382</v>
      </c>
      <c r="O65" s="468">
        <v>0.3437019539510392</v>
      </c>
      <c r="P65" s="468">
        <v>0.31673418514351875</v>
      </c>
      <c r="Q65" s="562" t="s">
        <v>267</v>
      </c>
    </row>
    <row r="66" spans="2:17" ht="70.150000000000006" customHeight="1" x14ac:dyDescent="0.25">
      <c r="B66" s="547">
        <v>5</v>
      </c>
      <c r="C66" s="646"/>
      <c r="D66" s="548" t="s">
        <v>317</v>
      </c>
      <c r="E66" s="541">
        <f t="shared" si="5"/>
        <v>0</v>
      </c>
      <c r="F66" s="414"/>
      <c r="G66" s="414"/>
      <c r="H66" s="462"/>
      <c r="I66" s="462"/>
      <c r="J66" s="496"/>
      <c r="K66" s="485">
        <v>4.8369640717341653</v>
      </c>
      <c r="L66" s="470">
        <v>1.1560629345521887</v>
      </c>
      <c r="M66" s="470">
        <v>0.96283359457129813</v>
      </c>
      <c r="N66" s="470">
        <v>0.88028718158231911</v>
      </c>
      <c r="O66" s="470">
        <v>0.94334116390656864</v>
      </c>
      <c r="P66" s="470">
        <v>0.89443919712179099</v>
      </c>
      <c r="Q66" s="563" t="s">
        <v>281</v>
      </c>
    </row>
    <row r="67" spans="2:17" ht="22.15" customHeight="1" x14ac:dyDescent="0.25">
      <c r="B67" s="547">
        <v>6</v>
      </c>
      <c r="C67" s="647"/>
      <c r="D67" s="548" t="s">
        <v>31</v>
      </c>
      <c r="E67" s="541">
        <f t="shared" si="5"/>
        <v>0</v>
      </c>
      <c r="F67" s="414">
        <f>'TH theo DV'!J15</f>
        <v>0</v>
      </c>
      <c r="G67" s="414">
        <f>'TH theo DV'!T15</f>
        <v>0</v>
      </c>
      <c r="H67" s="366"/>
      <c r="I67" s="366"/>
      <c r="J67" s="496"/>
      <c r="K67" s="485">
        <v>0.124615</v>
      </c>
      <c r="L67" s="421">
        <v>2.7467999999999999E-2</v>
      </c>
      <c r="M67" s="421">
        <v>2.4052E-2</v>
      </c>
      <c r="N67" s="421">
        <v>1.8665000000000001E-2</v>
      </c>
      <c r="O67" s="421">
        <v>2.4365000000000001E-2</v>
      </c>
      <c r="P67" s="422">
        <v>3.0065000000000001E-2</v>
      </c>
      <c r="Q67" s="561" t="s">
        <v>294</v>
      </c>
    </row>
    <row r="69" spans="2:17" x14ac:dyDescent="0.25">
      <c r="B69" s="643" t="s">
        <v>331</v>
      </c>
      <c r="C69" s="643"/>
      <c r="D69" s="643"/>
      <c r="E69" s="643"/>
      <c r="F69" s="643"/>
      <c r="G69" s="643"/>
      <c r="H69" s="643"/>
      <c r="I69" s="581"/>
    </row>
    <row r="70" spans="2:17" x14ac:dyDescent="0.25">
      <c r="B70" s="642" t="s">
        <v>332</v>
      </c>
      <c r="C70" s="642"/>
      <c r="D70" s="642"/>
      <c r="E70" s="642"/>
      <c r="F70" s="642"/>
      <c r="G70" s="642"/>
      <c r="H70" s="642"/>
      <c r="I70" s="580"/>
    </row>
    <row r="71" spans="2:17" ht="19.899999999999999" customHeight="1" x14ac:dyDescent="0.25">
      <c r="B71" s="636" t="s">
        <v>48</v>
      </c>
      <c r="C71" s="636" t="s">
        <v>311</v>
      </c>
      <c r="D71" s="636" t="s">
        <v>46</v>
      </c>
      <c r="E71" s="636" t="s">
        <v>41</v>
      </c>
      <c r="F71" s="636">
        <v>2027</v>
      </c>
      <c r="G71" s="636">
        <v>2028</v>
      </c>
      <c r="H71" s="636" t="s">
        <v>218</v>
      </c>
      <c r="I71" s="636"/>
      <c r="J71" s="492"/>
      <c r="K71" s="619" t="s">
        <v>217</v>
      </c>
      <c r="L71" s="619"/>
      <c r="M71" s="619"/>
      <c r="N71" s="619"/>
      <c r="O71" s="619"/>
      <c r="P71" s="619"/>
      <c r="Q71" s="634" t="s">
        <v>218</v>
      </c>
    </row>
    <row r="72" spans="2:17" ht="15.6" customHeight="1" x14ac:dyDescent="0.25">
      <c r="B72" s="636"/>
      <c r="C72" s="636"/>
      <c r="D72" s="636"/>
      <c r="E72" s="636"/>
      <c r="F72" s="636"/>
      <c r="G72" s="636"/>
      <c r="H72" s="584">
        <v>2027</v>
      </c>
      <c r="I72" s="584">
        <v>2028</v>
      </c>
      <c r="J72" s="492"/>
      <c r="K72" s="480" t="s">
        <v>41</v>
      </c>
      <c r="L72" s="448">
        <v>2026</v>
      </c>
      <c r="M72" s="448">
        <v>2027</v>
      </c>
      <c r="N72" s="448">
        <v>2028</v>
      </c>
      <c r="O72" s="448">
        <v>2029</v>
      </c>
      <c r="P72" s="448">
        <v>2030</v>
      </c>
      <c r="Q72" s="635"/>
    </row>
    <row r="73" spans="2:17" x14ac:dyDescent="0.25">
      <c r="B73" s="543"/>
      <c r="C73" s="543"/>
      <c r="D73" s="544" t="s">
        <v>41</v>
      </c>
      <c r="E73" s="541">
        <f t="shared" ref="E73:E75" si="6">SUM(F73:G73)</f>
        <v>0</v>
      </c>
      <c r="F73" s="541"/>
      <c r="G73" s="541"/>
      <c r="H73" s="541"/>
      <c r="I73" s="541"/>
      <c r="J73" s="493"/>
      <c r="K73" s="481">
        <v>13.713055803533569</v>
      </c>
      <c r="L73" s="451">
        <v>2.3003343243031016</v>
      </c>
      <c r="M73" s="451">
        <v>2.8894226153121321</v>
      </c>
      <c r="N73" s="451">
        <v>2.7835019243031014</v>
      </c>
      <c r="O73" s="451">
        <v>2.9053446153121318</v>
      </c>
      <c r="P73" s="451">
        <v>2.8344523243031015</v>
      </c>
      <c r="Q73" s="558"/>
    </row>
    <row r="74" spans="2:17" ht="40.15" customHeight="1" x14ac:dyDescent="0.25">
      <c r="B74" s="547">
        <v>2</v>
      </c>
      <c r="C74" s="644" t="s">
        <v>21</v>
      </c>
      <c r="D74" s="552" t="s">
        <v>333</v>
      </c>
      <c r="E74" s="541">
        <f t="shared" si="6"/>
        <v>0</v>
      </c>
      <c r="F74" s="376">
        <f>'TH theo DV'!L23</f>
        <v>0</v>
      </c>
      <c r="G74" s="376">
        <f>'TH theo DV'!V23</f>
        <v>0</v>
      </c>
      <c r="H74" s="462"/>
      <c r="I74" s="462"/>
      <c r="J74" s="497"/>
      <c r="K74" s="485">
        <v>3.25</v>
      </c>
      <c r="L74" s="468">
        <v>0.65</v>
      </c>
      <c r="M74" s="468">
        <v>0.65</v>
      </c>
      <c r="N74" s="468">
        <v>0.65</v>
      </c>
      <c r="O74" s="468">
        <v>0.65</v>
      </c>
      <c r="P74" s="468">
        <v>0.65</v>
      </c>
      <c r="Q74" s="563" t="s">
        <v>258</v>
      </c>
    </row>
    <row r="75" spans="2:17" ht="47.25" x14ac:dyDescent="0.25">
      <c r="B75" s="547">
        <v>3</v>
      </c>
      <c r="C75" s="644"/>
      <c r="D75" s="548" t="s">
        <v>334</v>
      </c>
      <c r="E75" s="541">
        <f t="shared" si="6"/>
        <v>0</v>
      </c>
      <c r="F75" s="414">
        <f>'TH theo DV'!L24</f>
        <v>0</v>
      </c>
      <c r="G75" s="414">
        <f>'TH theo DV'!V24</f>
        <v>0</v>
      </c>
      <c r="H75" s="462"/>
      <c r="I75" s="462"/>
      <c r="J75" s="496"/>
      <c r="K75" s="485">
        <v>10.463055803533569</v>
      </c>
      <c r="L75" s="468">
        <v>1.6503343243031017</v>
      </c>
      <c r="M75" s="468">
        <v>2.2394226153121322</v>
      </c>
      <c r="N75" s="468">
        <v>2.1335019243031015</v>
      </c>
      <c r="O75" s="468">
        <v>2.2553446153121319</v>
      </c>
      <c r="P75" s="468">
        <v>2.1844523243031015</v>
      </c>
      <c r="Q75" s="563" t="s">
        <v>250</v>
      </c>
    </row>
    <row r="77" spans="2:17" x14ac:dyDescent="0.25">
      <c r="B77" s="643" t="s">
        <v>335</v>
      </c>
      <c r="C77" s="643"/>
      <c r="D77" s="643"/>
      <c r="E77" s="643"/>
      <c r="F77" s="643"/>
      <c r="G77" s="643"/>
      <c r="H77" s="643"/>
      <c r="I77" s="581"/>
    </row>
    <row r="78" spans="2:17" ht="18.600000000000001" customHeight="1" x14ac:dyDescent="0.25">
      <c r="B78" s="500"/>
      <c r="C78" s="500"/>
      <c r="D78" s="500"/>
      <c r="E78" s="492"/>
      <c r="F78" s="492"/>
      <c r="G78" s="492"/>
      <c r="H78" s="500"/>
      <c r="I78" s="500"/>
      <c r="J78" s="492"/>
      <c r="K78" s="619" t="s">
        <v>217</v>
      </c>
      <c r="L78" s="619"/>
      <c r="M78" s="619"/>
      <c r="N78" s="619"/>
      <c r="O78" s="619"/>
      <c r="P78" s="619"/>
      <c r="Q78" s="634" t="s">
        <v>218</v>
      </c>
    </row>
    <row r="79" spans="2:17" ht="18.600000000000001" customHeight="1" x14ac:dyDescent="0.25">
      <c r="B79" s="479" t="s">
        <v>48</v>
      </c>
      <c r="C79" s="479" t="s">
        <v>311</v>
      </c>
      <c r="D79" s="479" t="s">
        <v>46</v>
      </c>
      <c r="E79" s="448" t="s">
        <v>41</v>
      </c>
      <c r="F79" s="448">
        <v>2027</v>
      </c>
      <c r="G79" s="448">
        <v>2028</v>
      </c>
      <c r="H79" s="479" t="s">
        <v>218</v>
      </c>
      <c r="I79" s="479" t="s">
        <v>218</v>
      </c>
      <c r="J79" s="492"/>
      <c r="K79" s="480" t="s">
        <v>41</v>
      </c>
      <c r="L79" s="448">
        <v>2026</v>
      </c>
      <c r="M79" s="448">
        <v>2027</v>
      </c>
      <c r="N79" s="448">
        <v>2028</v>
      </c>
      <c r="O79" s="448">
        <v>2029</v>
      </c>
      <c r="P79" s="448">
        <v>2030</v>
      </c>
      <c r="Q79" s="635"/>
    </row>
    <row r="80" spans="2:17" ht="18.600000000000001" customHeight="1" x14ac:dyDescent="0.25">
      <c r="B80" s="543"/>
      <c r="C80" s="543"/>
      <c r="D80" s="544" t="s">
        <v>41</v>
      </c>
      <c r="E80" s="541">
        <f t="shared" ref="E80:E83" si="7">SUM(F80:G80)</f>
        <v>0</v>
      </c>
      <c r="F80" s="541"/>
      <c r="G80" s="541"/>
      <c r="H80" s="541"/>
      <c r="I80" s="541"/>
      <c r="J80" s="493"/>
      <c r="K80" s="481">
        <v>13.398576470588237</v>
      </c>
      <c r="L80" s="451">
        <v>7.0185764705882354</v>
      </c>
      <c r="M80" s="451">
        <v>3.2192156862745103</v>
      </c>
      <c r="N80" s="451">
        <v>1.6882352941176473</v>
      </c>
      <c r="O80" s="451">
        <v>0.70000000000000018</v>
      </c>
      <c r="P80" s="451">
        <v>0.77254901960784306</v>
      </c>
      <c r="Q80" s="558"/>
    </row>
    <row r="81" spans="2:17" ht="43.9" customHeight="1" x14ac:dyDescent="0.25">
      <c r="B81" s="545">
        <v>1</v>
      </c>
      <c r="C81" s="638" t="s">
        <v>336</v>
      </c>
      <c r="D81" s="552" t="s">
        <v>337</v>
      </c>
      <c r="E81" s="541">
        <f t="shared" si="7"/>
        <v>0</v>
      </c>
      <c r="F81" s="473"/>
      <c r="G81" s="473"/>
      <c r="H81" s="366"/>
      <c r="I81" s="366"/>
      <c r="J81" s="497"/>
      <c r="K81" s="487">
        <v>11.964376470588237</v>
      </c>
      <c r="L81" s="377">
        <v>6.6843764705882354</v>
      </c>
      <c r="M81" s="377">
        <v>2.91921568627451</v>
      </c>
      <c r="N81" s="377">
        <v>1.3882352941176472</v>
      </c>
      <c r="O81" s="377">
        <v>0.40000000000000008</v>
      </c>
      <c r="P81" s="377">
        <v>0.5725490196078431</v>
      </c>
      <c r="Q81" s="561" t="s">
        <v>286</v>
      </c>
    </row>
    <row r="82" spans="2:17" ht="22.9" customHeight="1" x14ac:dyDescent="0.25">
      <c r="B82" s="545">
        <v>2</v>
      </c>
      <c r="C82" s="638"/>
      <c r="D82" s="552" t="s">
        <v>338</v>
      </c>
      <c r="E82" s="541">
        <f t="shared" si="7"/>
        <v>0</v>
      </c>
      <c r="F82" s="473"/>
      <c r="G82" s="473"/>
      <c r="H82" s="366"/>
      <c r="I82" s="366"/>
      <c r="J82" s="497"/>
      <c r="K82" s="487">
        <v>0.30000000000000004</v>
      </c>
      <c r="L82" s="377">
        <v>0</v>
      </c>
      <c r="M82" s="377">
        <v>0.1</v>
      </c>
      <c r="N82" s="377">
        <v>0.1</v>
      </c>
      <c r="O82" s="377">
        <v>0.1</v>
      </c>
      <c r="P82" s="377">
        <v>0</v>
      </c>
      <c r="Q82" s="561" t="s">
        <v>288</v>
      </c>
    </row>
    <row r="83" spans="2:17" x14ac:dyDescent="0.25">
      <c r="B83" s="545">
        <v>3</v>
      </c>
      <c r="C83" s="638"/>
      <c r="D83" s="552" t="s">
        <v>160</v>
      </c>
      <c r="E83" s="541">
        <f t="shared" si="7"/>
        <v>0</v>
      </c>
      <c r="F83" s="473"/>
      <c r="G83" s="473"/>
      <c r="H83" s="366"/>
      <c r="I83" s="366"/>
      <c r="J83" s="497"/>
      <c r="K83" s="487">
        <v>1.1341999999999999</v>
      </c>
      <c r="L83" s="377">
        <v>0.3342</v>
      </c>
      <c r="M83" s="377">
        <v>0.2</v>
      </c>
      <c r="N83" s="377">
        <v>0.2</v>
      </c>
      <c r="O83" s="377">
        <v>0.2</v>
      </c>
      <c r="P83" s="377">
        <v>0.2</v>
      </c>
      <c r="Q83" s="561" t="s">
        <v>289</v>
      </c>
    </row>
    <row r="84" spans="2:17" ht="14.65" customHeight="1" x14ac:dyDescent="0.25">
      <c r="B84" s="549"/>
      <c r="C84" s="553"/>
      <c r="D84" s="554"/>
      <c r="E84" s="474"/>
      <c r="F84" s="474"/>
      <c r="G84" s="474"/>
      <c r="H84" s="475"/>
      <c r="I84" s="475"/>
      <c r="J84" s="498"/>
      <c r="K84" s="464"/>
      <c r="L84" s="465"/>
      <c r="M84" s="465"/>
      <c r="N84" s="465"/>
      <c r="O84" s="465"/>
      <c r="P84" s="465"/>
      <c r="Q84" s="565"/>
    </row>
    <row r="85" spans="2:17" ht="16.149999999999999" customHeight="1" x14ac:dyDescent="0.25">
      <c r="B85" s="549"/>
      <c r="C85" s="553"/>
      <c r="D85" s="554"/>
      <c r="E85" s="474"/>
      <c r="F85" s="474"/>
      <c r="G85" s="474"/>
      <c r="H85" s="475"/>
      <c r="I85" s="475"/>
      <c r="J85" s="498"/>
      <c r="K85" s="464"/>
      <c r="L85" s="465"/>
      <c r="M85" s="465"/>
      <c r="N85" s="465"/>
      <c r="O85" s="465"/>
      <c r="P85" s="465"/>
      <c r="Q85" s="565"/>
    </row>
    <row r="86" spans="2:17" x14ac:dyDescent="0.25">
      <c r="B86" s="643" t="s">
        <v>339</v>
      </c>
      <c r="C86" s="643"/>
      <c r="D86" s="643"/>
      <c r="E86" s="643"/>
      <c r="F86" s="643"/>
      <c r="G86" s="643"/>
      <c r="H86" s="643"/>
      <c r="I86" s="581"/>
    </row>
    <row r="87" spans="2:17" x14ac:dyDescent="0.25">
      <c r="B87" s="642" t="s">
        <v>287</v>
      </c>
      <c r="C87" s="642"/>
      <c r="D87" s="642"/>
      <c r="E87" s="642"/>
      <c r="F87" s="642"/>
      <c r="G87" s="642"/>
      <c r="H87" s="642"/>
      <c r="I87" s="580"/>
    </row>
    <row r="88" spans="2:17" ht="19.899999999999999" customHeight="1" x14ac:dyDescent="0.25">
      <c r="B88" s="636" t="s">
        <v>48</v>
      </c>
      <c r="C88" s="636" t="s">
        <v>311</v>
      </c>
      <c r="D88" s="636" t="s">
        <v>46</v>
      </c>
      <c r="E88" s="636" t="s">
        <v>41</v>
      </c>
      <c r="F88" s="636">
        <v>2027</v>
      </c>
      <c r="G88" s="636">
        <v>2028</v>
      </c>
      <c r="H88" s="636" t="s">
        <v>218</v>
      </c>
      <c r="I88" s="636"/>
      <c r="J88" s="492"/>
      <c r="K88" s="619" t="s">
        <v>217</v>
      </c>
      <c r="L88" s="619"/>
      <c r="M88" s="619"/>
      <c r="N88" s="619"/>
      <c r="O88" s="619"/>
      <c r="P88" s="619"/>
      <c r="Q88" s="634" t="s">
        <v>218</v>
      </c>
    </row>
    <row r="89" spans="2:17" x14ac:dyDescent="0.25">
      <c r="B89" s="636"/>
      <c r="C89" s="636"/>
      <c r="D89" s="636"/>
      <c r="E89" s="636"/>
      <c r="F89" s="636"/>
      <c r="G89" s="636"/>
      <c r="H89" s="584">
        <v>2027</v>
      </c>
      <c r="I89" s="584">
        <v>2028</v>
      </c>
      <c r="J89" s="492"/>
      <c r="K89" s="480" t="s">
        <v>41</v>
      </c>
      <c r="L89" s="448">
        <v>2026</v>
      </c>
      <c r="M89" s="448">
        <v>2027</v>
      </c>
      <c r="N89" s="448">
        <v>2028</v>
      </c>
      <c r="O89" s="448">
        <v>2029</v>
      </c>
      <c r="P89" s="448">
        <v>2030</v>
      </c>
      <c r="Q89" s="635"/>
    </row>
    <row r="90" spans="2:17" x14ac:dyDescent="0.25">
      <c r="B90" s="543"/>
      <c r="C90" s="543"/>
      <c r="D90" s="544" t="s">
        <v>41</v>
      </c>
      <c r="E90" s="541">
        <f t="shared" ref="E90:E97" si="8">SUM(F90:G90)</f>
        <v>0</v>
      </c>
      <c r="F90" s="541"/>
      <c r="G90" s="541"/>
      <c r="H90" s="541"/>
      <c r="I90" s="541"/>
      <c r="J90" s="493"/>
      <c r="K90" s="481">
        <v>15.9454405</v>
      </c>
      <c r="L90" s="451">
        <v>2.8421045000000005</v>
      </c>
      <c r="M90" s="451">
        <v>4.5570839999999997</v>
      </c>
      <c r="N90" s="451">
        <v>5.5945840000000002</v>
      </c>
      <c r="O90" s="451">
        <v>1.8270840000000002</v>
      </c>
      <c r="P90" s="451">
        <v>1.124584</v>
      </c>
      <c r="Q90" s="558"/>
    </row>
    <row r="91" spans="2:17" ht="45" customHeight="1" x14ac:dyDescent="0.25">
      <c r="B91" s="545">
        <v>1</v>
      </c>
      <c r="C91" s="638" t="s">
        <v>287</v>
      </c>
      <c r="D91" s="552" t="s">
        <v>29</v>
      </c>
      <c r="E91" s="541">
        <f t="shared" si="8"/>
        <v>0</v>
      </c>
      <c r="F91" s="376">
        <f>'TH theo DV'!D28</f>
        <v>0</v>
      </c>
      <c r="G91" s="376">
        <f>'TH theo DV'!N28</f>
        <v>0</v>
      </c>
      <c r="H91" s="394"/>
      <c r="I91" s="394"/>
      <c r="J91" s="497"/>
      <c r="K91" s="488">
        <v>1.3273245</v>
      </c>
      <c r="L91" s="365">
        <v>0.17232449999999999</v>
      </c>
      <c r="M91" s="365">
        <v>0.47749999999999998</v>
      </c>
      <c r="N91" s="365">
        <v>0.1</v>
      </c>
      <c r="O91" s="365">
        <v>0.47749999999999998</v>
      </c>
      <c r="P91" s="365">
        <v>0.1</v>
      </c>
      <c r="Q91" s="562" t="s">
        <v>340</v>
      </c>
    </row>
    <row r="92" spans="2:17" x14ac:dyDescent="0.25">
      <c r="B92" s="545">
        <v>2</v>
      </c>
      <c r="C92" s="638"/>
      <c r="D92" s="552" t="s">
        <v>28</v>
      </c>
      <c r="E92" s="541">
        <f t="shared" si="8"/>
        <v>0</v>
      </c>
      <c r="F92" s="376">
        <f>'TH theo DV'!E28</f>
        <v>0</v>
      </c>
      <c r="G92" s="376">
        <f>'TH theo DV'!O28</f>
        <v>0</v>
      </c>
      <c r="H92" s="462"/>
      <c r="I92" s="462"/>
      <c r="J92" s="497"/>
      <c r="K92" s="488">
        <v>3.12</v>
      </c>
      <c r="L92" s="472">
        <v>0.54</v>
      </c>
      <c r="M92" s="472">
        <v>1.42</v>
      </c>
      <c r="N92" s="472">
        <v>1.1599999999999999</v>
      </c>
      <c r="O92" s="468">
        <v>0</v>
      </c>
      <c r="P92" s="468">
        <v>0</v>
      </c>
      <c r="Q92" s="563" t="s">
        <v>243</v>
      </c>
    </row>
    <row r="93" spans="2:17" ht="31.5" x14ac:dyDescent="0.25">
      <c r="B93" s="545">
        <v>3</v>
      </c>
      <c r="C93" s="638"/>
      <c r="D93" s="552" t="s">
        <v>341</v>
      </c>
      <c r="E93" s="541">
        <f t="shared" si="8"/>
        <v>0</v>
      </c>
      <c r="F93" s="376">
        <f>'TH theo DV'!H28</f>
        <v>0</v>
      </c>
      <c r="G93" s="376">
        <f>'TH theo DV'!R28</f>
        <v>0</v>
      </c>
      <c r="H93" s="395"/>
      <c r="I93" s="395"/>
      <c r="J93" s="497"/>
      <c r="K93" s="488">
        <v>5.8375959999999996</v>
      </c>
      <c r="L93" s="393">
        <v>1.4075960000000001</v>
      </c>
      <c r="M93" s="393">
        <v>2.0249999999999999</v>
      </c>
      <c r="N93" s="393">
        <v>1.3</v>
      </c>
      <c r="O93" s="393">
        <v>0.71499999999999997</v>
      </c>
      <c r="P93" s="393">
        <v>0.39</v>
      </c>
      <c r="Q93" s="566" t="s">
        <v>268</v>
      </c>
    </row>
    <row r="94" spans="2:17" ht="31.5" x14ac:dyDescent="0.25">
      <c r="B94" s="545"/>
      <c r="C94" s="638"/>
      <c r="D94" s="552" t="s">
        <v>342</v>
      </c>
      <c r="E94" s="541">
        <f t="shared" si="8"/>
        <v>0</v>
      </c>
      <c r="F94" s="376"/>
      <c r="G94" s="376"/>
      <c r="H94" s="462"/>
      <c r="I94" s="462"/>
      <c r="J94" s="497"/>
      <c r="K94" s="488">
        <v>0</v>
      </c>
      <c r="L94" s="468">
        <v>0</v>
      </c>
      <c r="M94" s="468">
        <v>0</v>
      </c>
      <c r="N94" s="468">
        <v>0</v>
      </c>
      <c r="O94" s="468">
        <v>0</v>
      </c>
      <c r="P94" s="468">
        <v>0</v>
      </c>
      <c r="Q94" s="563"/>
    </row>
    <row r="95" spans="2:17" ht="58.9" customHeight="1" x14ac:dyDescent="0.25">
      <c r="B95" s="545">
        <v>4</v>
      </c>
      <c r="C95" s="638"/>
      <c r="D95" s="552" t="s">
        <v>21</v>
      </c>
      <c r="E95" s="541">
        <f t="shared" si="8"/>
        <v>0</v>
      </c>
      <c r="F95" s="376">
        <f>'TH theo DV'!G28</f>
        <v>0</v>
      </c>
      <c r="G95" s="376">
        <f>'TH theo DV'!Q28</f>
        <v>0</v>
      </c>
      <c r="H95" s="462"/>
      <c r="I95" s="462"/>
      <c r="J95" s="497"/>
      <c r="K95" s="488">
        <v>4.9729200000000002</v>
      </c>
      <c r="L95" s="468">
        <v>0.51458400000000004</v>
      </c>
      <c r="M95" s="468">
        <v>0.51458400000000004</v>
      </c>
      <c r="N95" s="468">
        <v>2.9145840000000001</v>
      </c>
      <c r="O95" s="468">
        <v>0.51458400000000004</v>
      </c>
      <c r="P95" s="468">
        <v>0.51458400000000004</v>
      </c>
      <c r="Q95" s="563" t="s">
        <v>343</v>
      </c>
    </row>
    <row r="96" spans="2:17" ht="33.6" customHeight="1" x14ac:dyDescent="0.25">
      <c r="B96" s="545"/>
      <c r="C96" s="638"/>
      <c r="D96" s="552" t="s">
        <v>31</v>
      </c>
      <c r="E96" s="541">
        <f t="shared" si="8"/>
        <v>0</v>
      </c>
      <c r="F96" s="376">
        <f>'TH theo DV'!J28</f>
        <v>0</v>
      </c>
      <c r="G96" s="376">
        <f>'TH theo DV'!T28</f>
        <v>0</v>
      </c>
      <c r="H96" s="366"/>
      <c r="I96" s="366"/>
      <c r="J96" s="497"/>
      <c r="K96" s="488">
        <v>0.68759999999999999</v>
      </c>
      <c r="L96" s="421">
        <v>0.20760000000000001</v>
      </c>
      <c r="M96" s="421">
        <v>0.12</v>
      </c>
      <c r="N96" s="421">
        <v>0.12</v>
      </c>
      <c r="O96" s="421">
        <v>0.12</v>
      </c>
      <c r="P96" s="422">
        <v>0.12</v>
      </c>
      <c r="Q96" s="561" t="s">
        <v>295</v>
      </c>
    </row>
    <row r="97" spans="2:17" x14ac:dyDescent="0.25">
      <c r="B97" s="545">
        <v>5</v>
      </c>
      <c r="C97" s="638"/>
      <c r="D97" s="552" t="s">
        <v>318</v>
      </c>
      <c r="E97" s="541">
        <f t="shared" si="8"/>
        <v>0</v>
      </c>
      <c r="F97" s="575">
        <f>'TH theo DV'!K28</f>
        <v>0</v>
      </c>
      <c r="G97" s="575">
        <f>'TH theo DV'!U28</f>
        <v>0</v>
      </c>
      <c r="H97" s="462"/>
      <c r="I97" s="462"/>
      <c r="J97" s="497"/>
      <c r="K97" s="488">
        <v>0</v>
      </c>
      <c r="L97" s="468">
        <v>0</v>
      </c>
      <c r="M97" s="468">
        <v>0</v>
      </c>
      <c r="N97" s="468">
        <v>0</v>
      </c>
      <c r="O97" s="468">
        <v>0</v>
      </c>
      <c r="P97" s="468">
        <v>0</v>
      </c>
      <c r="Q97" s="563"/>
    </row>
    <row r="99" spans="2:17" x14ac:dyDescent="0.25">
      <c r="B99" s="642" t="s">
        <v>344</v>
      </c>
      <c r="C99" s="642"/>
      <c r="D99" s="642"/>
      <c r="E99" s="642"/>
      <c r="F99" s="642"/>
      <c r="G99" s="642"/>
      <c r="H99" s="642"/>
      <c r="I99" s="580"/>
    </row>
    <row r="100" spans="2:17" ht="19.899999999999999" customHeight="1" x14ac:dyDescent="0.25">
      <c r="B100" s="636" t="s">
        <v>48</v>
      </c>
      <c r="C100" s="636" t="s">
        <v>311</v>
      </c>
      <c r="D100" s="636" t="s">
        <v>46</v>
      </c>
      <c r="E100" s="636" t="s">
        <v>41</v>
      </c>
      <c r="F100" s="636">
        <v>2027</v>
      </c>
      <c r="G100" s="636">
        <v>2028</v>
      </c>
      <c r="H100" s="636" t="s">
        <v>218</v>
      </c>
      <c r="I100" s="636"/>
      <c r="J100" s="492"/>
      <c r="K100" s="619" t="s">
        <v>217</v>
      </c>
      <c r="L100" s="619"/>
      <c r="M100" s="619"/>
      <c r="N100" s="619"/>
      <c r="O100" s="619"/>
      <c r="P100" s="619"/>
      <c r="Q100" s="634" t="s">
        <v>218</v>
      </c>
    </row>
    <row r="101" spans="2:17" ht="15.6" customHeight="1" x14ac:dyDescent="0.25">
      <c r="B101" s="636"/>
      <c r="C101" s="636"/>
      <c r="D101" s="636"/>
      <c r="E101" s="636"/>
      <c r="F101" s="636"/>
      <c r="G101" s="636"/>
      <c r="H101" s="584">
        <v>2027</v>
      </c>
      <c r="I101" s="584">
        <v>2028</v>
      </c>
      <c r="J101" s="492"/>
      <c r="K101" s="480" t="s">
        <v>41</v>
      </c>
      <c r="L101" s="448">
        <v>2026</v>
      </c>
      <c r="M101" s="448">
        <v>2027</v>
      </c>
      <c r="N101" s="448">
        <v>2028</v>
      </c>
      <c r="O101" s="448">
        <v>2029</v>
      </c>
      <c r="P101" s="448">
        <v>2030</v>
      </c>
      <c r="Q101" s="635"/>
    </row>
    <row r="102" spans="2:17" x14ac:dyDescent="0.25">
      <c r="B102" s="543"/>
      <c r="C102" s="543"/>
      <c r="D102" s="544" t="s">
        <v>41</v>
      </c>
      <c r="E102" s="541">
        <f t="shared" ref="E102:E109" si="9">SUM(F102:G102)</f>
        <v>0</v>
      </c>
      <c r="F102" s="541"/>
      <c r="G102" s="541"/>
      <c r="H102" s="541"/>
      <c r="I102" s="541"/>
      <c r="J102" s="493"/>
      <c r="K102" s="481">
        <v>23.097358895454544</v>
      </c>
      <c r="L102" s="451">
        <v>3.0201187899999997</v>
      </c>
      <c r="M102" s="451">
        <v>6.0671840263636359</v>
      </c>
      <c r="N102" s="451">
        <v>4.2183120263636358</v>
      </c>
      <c r="O102" s="451">
        <v>6.0958720263636366</v>
      </c>
      <c r="P102" s="451">
        <v>3.6958720263636362</v>
      </c>
      <c r="Q102" s="558"/>
    </row>
    <row r="103" spans="2:17" x14ac:dyDescent="0.25">
      <c r="B103" s="545">
        <v>1</v>
      </c>
      <c r="C103" s="639" t="s">
        <v>233</v>
      </c>
      <c r="D103" s="555" t="s">
        <v>325</v>
      </c>
      <c r="E103" s="541">
        <f t="shared" si="9"/>
        <v>0</v>
      </c>
      <c r="F103" s="476">
        <f>'TH theo DV'!D29</f>
        <v>0</v>
      </c>
      <c r="G103" s="476">
        <f>'TH theo DV'!N29</f>
        <v>0</v>
      </c>
      <c r="H103" s="462"/>
      <c r="I103" s="462"/>
      <c r="J103" s="498"/>
      <c r="K103" s="488">
        <v>0.96448</v>
      </c>
      <c r="L103" s="468">
        <v>0.1</v>
      </c>
      <c r="M103" s="468">
        <v>0.86448000000000003</v>
      </c>
      <c r="N103" s="468">
        <v>0</v>
      </c>
      <c r="O103" s="468">
        <v>0</v>
      </c>
      <c r="P103" s="468">
        <v>0</v>
      </c>
      <c r="Q103" s="563" t="s">
        <v>234</v>
      </c>
    </row>
    <row r="104" spans="2:17" ht="15.6" customHeight="1" x14ac:dyDescent="0.25">
      <c r="B104" s="545">
        <v>2</v>
      </c>
      <c r="C104" s="640"/>
      <c r="D104" s="555" t="s">
        <v>28</v>
      </c>
      <c r="E104" s="541">
        <f t="shared" si="9"/>
        <v>0</v>
      </c>
      <c r="F104" s="476">
        <f>'TH theo DV'!E29</f>
        <v>0</v>
      </c>
      <c r="G104" s="476">
        <f>'TH theo DV'!O29</f>
        <v>0</v>
      </c>
      <c r="H104" s="462"/>
      <c r="I104" s="462"/>
      <c r="J104" s="498"/>
      <c r="K104" s="488">
        <v>0.21</v>
      </c>
      <c r="L104" s="472">
        <v>0.21</v>
      </c>
      <c r="M104" s="468">
        <v>0</v>
      </c>
      <c r="N104" s="468">
        <v>0</v>
      </c>
      <c r="O104" s="468">
        <v>0</v>
      </c>
      <c r="P104" s="468">
        <v>0</v>
      </c>
      <c r="Q104" s="563" t="s">
        <v>244</v>
      </c>
    </row>
    <row r="105" spans="2:17" ht="31.5" x14ac:dyDescent="0.25">
      <c r="B105" s="545">
        <v>3</v>
      </c>
      <c r="C105" s="640"/>
      <c r="D105" s="555" t="s">
        <v>341</v>
      </c>
      <c r="E105" s="541">
        <f t="shared" si="9"/>
        <v>0</v>
      </c>
      <c r="F105" s="476">
        <f>'TH theo DV'!H29</f>
        <v>0</v>
      </c>
      <c r="G105" s="476">
        <f>'TH theo DV'!R29</f>
        <v>0</v>
      </c>
      <c r="H105" s="395"/>
      <c r="I105" s="395"/>
      <c r="J105" s="498"/>
      <c r="K105" s="488">
        <v>2.5435183499999998</v>
      </c>
      <c r="L105" s="393">
        <v>1.1147687900000001</v>
      </c>
      <c r="M105" s="393">
        <v>0.35718738999999994</v>
      </c>
      <c r="N105" s="393">
        <v>0.35718738999999994</v>
      </c>
      <c r="O105" s="393">
        <v>0.35718738999999994</v>
      </c>
      <c r="P105" s="393">
        <v>0.35718738999999994</v>
      </c>
      <c r="Q105" s="566" t="s">
        <v>269</v>
      </c>
    </row>
    <row r="106" spans="2:17" ht="31.5" x14ac:dyDescent="0.25">
      <c r="B106" s="545">
        <v>4</v>
      </c>
      <c r="C106" s="640"/>
      <c r="D106" s="555" t="s">
        <v>342</v>
      </c>
      <c r="E106" s="541">
        <f t="shared" si="9"/>
        <v>0</v>
      </c>
      <c r="F106" s="476"/>
      <c r="G106" s="476"/>
      <c r="H106" s="462"/>
      <c r="I106" s="462"/>
      <c r="J106" s="498"/>
      <c r="K106" s="488">
        <v>1.5624</v>
      </c>
      <c r="L106" s="468"/>
      <c r="M106" s="468">
        <v>1.5624</v>
      </c>
      <c r="N106" s="468"/>
      <c r="O106" s="468"/>
      <c r="P106" s="468"/>
      <c r="Q106" s="563" t="s">
        <v>345</v>
      </c>
    </row>
    <row r="107" spans="2:17" x14ac:dyDescent="0.25">
      <c r="B107" s="545">
        <v>5</v>
      </c>
      <c r="C107" s="640"/>
      <c r="D107" s="555" t="s">
        <v>31</v>
      </c>
      <c r="E107" s="541">
        <f t="shared" si="9"/>
        <v>0</v>
      </c>
      <c r="F107" s="476">
        <f>'TH theo DV'!J29</f>
        <v>0</v>
      </c>
      <c r="G107" s="476">
        <f>'TH theo DV'!T29</f>
        <v>0</v>
      </c>
      <c r="H107" s="366"/>
      <c r="I107" s="366"/>
      <c r="J107" s="498"/>
      <c r="K107" s="488">
        <v>6.5015500000000008</v>
      </c>
      <c r="L107" s="421">
        <v>1.41899</v>
      </c>
      <c r="M107" s="421">
        <v>1.27064</v>
      </c>
      <c r="N107" s="421">
        <v>1.27064</v>
      </c>
      <c r="O107" s="421">
        <v>1.27064</v>
      </c>
      <c r="P107" s="422">
        <v>1.27064</v>
      </c>
      <c r="Q107" s="561" t="s">
        <v>346</v>
      </c>
    </row>
    <row r="108" spans="2:17" x14ac:dyDescent="0.25">
      <c r="B108" s="545">
        <v>6</v>
      </c>
      <c r="C108" s="640"/>
      <c r="D108" s="555" t="s">
        <v>21</v>
      </c>
      <c r="E108" s="541">
        <f t="shared" si="9"/>
        <v>0</v>
      </c>
      <c r="F108" s="476">
        <f>'TH theo DV'!G29</f>
        <v>0</v>
      </c>
      <c r="G108" s="476">
        <f>'TH theo DV'!Q29</f>
        <v>0</v>
      </c>
      <c r="H108" s="462"/>
      <c r="I108" s="462"/>
      <c r="J108" s="498"/>
      <c r="K108" s="488">
        <v>3.422552</v>
      </c>
      <c r="L108" s="468">
        <v>0</v>
      </c>
      <c r="M108" s="468">
        <v>8.3351999999999996E-2</v>
      </c>
      <c r="N108" s="468">
        <v>0.66135999999999995</v>
      </c>
      <c r="O108" s="468">
        <v>2.5389200000000001</v>
      </c>
      <c r="P108" s="468">
        <v>0.13891999999999999</v>
      </c>
      <c r="Q108" s="563" t="s">
        <v>252</v>
      </c>
    </row>
    <row r="109" spans="2:17" x14ac:dyDescent="0.25">
      <c r="B109" s="545">
        <v>7</v>
      </c>
      <c r="C109" s="641"/>
      <c r="D109" s="555" t="s">
        <v>318</v>
      </c>
      <c r="E109" s="541">
        <f t="shared" si="9"/>
        <v>0</v>
      </c>
      <c r="F109" s="582">
        <f>'TH theo DV'!K29</f>
        <v>0</v>
      </c>
      <c r="G109" s="582">
        <f>'TH theo DV'!U29</f>
        <v>0</v>
      </c>
      <c r="H109" s="462"/>
      <c r="I109" s="462"/>
      <c r="J109" s="498"/>
      <c r="K109" s="488">
        <v>7.892858545454545</v>
      </c>
      <c r="L109" s="468">
        <v>0.17635999999999999</v>
      </c>
      <c r="M109" s="468">
        <v>1.9291246363636363</v>
      </c>
      <c r="N109" s="468">
        <v>1.9291246363636363</v>
      </c>
      <c r="O109" s="468">
        <v>1.9291246363636363</v>
      </c>
      <c r="P109" s="468">
        <v>1.9291246363636363</v>
      </c>
      <c r="Q109" s="563" t="s">
        <v>347</v>
      </c>
    </row>
    <row r="111" spans="2:17" x14ac:dyDescent="0.25">
      <c r="B111" s="642" t="s">
        <v>348</v>
      </c>
      <c r="C111" s="642"/>
      <c r="D111" s="642"/>
      <c r="E111" s="642"/>
      <c r="F111" s="642"/>
      <c r="G111" s="642"/>
      <c r="H111" s="642"/>
      <c r="I111" s="580"/>
    </row>
    <row r="112" spans="2:17" ht="19.899999999999999" customHeight="1" x14ac:dyDescent="0.25">
      <c r="B112" s="636" t="s">
        <v>48</v>
      </c>
      <c r="C112" s="636" t="s">
        <v>311</v>
      </c>
      <c r="D112" s="636" t="s">
        <v>46</v>
      </c>
      <c r="E112" s="636" t="s">
        <v>41</v>
      </c>
      <c r="F112" s="636">
        <v>2027</v>
      </c>
      <c r="G112" s="636">
        <v>2028</v>
      </c>
      <c r="H112" s="636" t="s">
        <v>218</v>
      </c>
      <c r="I112" s="636"/>
      <c r="J112" s="492"/>
      <c r="K112" s="619" t="s">
        <v>217</v>
      </c>
      <c r="L112" s="619"/>
      <c r="M112" s="619"/>
      <c r="N112" s="619"/>
      <c r="O112" s="619"/>
      <c r="P112" s="619"/>
      <c r="Q112" s="637" t="s">
        <v>218</v>
      </c>
    </row>
    <row r="113" spans="2:17" ht="15.6" customHeight="1" x14ac:dyDescent="0.25">
      <c r="B113" s="636"/>
      <c r="C113" s="636"/>
      <c r="D113" s="636"/>
      <c r="E113" s="636"/>
      <c r="F113" s="636"/>
      <c r="G113" s="636"/>
      <c r="H113" s="584">
        <v>2027</v>
      </c>
      <c r="I113" s="584">
        <v>2028</v>
      </c>
      <c r="J113" s="492"/>
      <c r="K113" s="480" t="s">
        <v>41</v>
      </c>
      <c r="L113" s="448">
        <v>2026</v>
      </c>
      <c r="M113" s="448">
        <v>2027</v>
      </c>
      <c r="N113" s="448">
        <v>2028</v>
      </c>
      <c r="O113" s="448">
        <v>2029</v>
      </c>
      <c r="P113" s="448">
        <v>2030</v>
      </c>
      <c r="Q113" s="637"/>
    </row>
    <row r="114" spans="2:17" x14ac:dyDescent="0.25">
      <c r="B114" s="543"/>
      <c r="C114" s="543"/>
      <c r="D114" s="544" t="s">
        <v>41</v>
      </c>
      <c r="E114" s="541">
        <f t="shared" ref="E114:E121" si="10">SUM(F114:G114)</f>
        <v>0</v>
      </c>
      <c r="F114" s="541"/>
      <c r="G114" s="541"/>
      <c r="H114" s="541"/>
      <c r="I114" s="541"/>
      <c r="J114" s="493"/>
      <c r="K114" s="481">
        <v>5.2597092659999998</v>
      </c>
      <c r="L114" s="451">
        <v>1.0909237859999998</v>
      </c>
      <c r="M114" s="451">
        <v>0.91352036999999986</v>
      </c>
      <c r="N114" s="451">
        <v>1.1179643699999999</v>
      </c>
      <c r="O114" s="451">
        <v>0.98433336999999987</v>
      </c>
      <c r="P114" s="451">
        <v>1.1529673699999998</v>
      </c>
      <c r="Q114" s="558"/>
    </row>
    <row r="115" spans="2:17" ht="30" customHeight="1" x14ac:dyDescent="0.25">
      <c r="B115" s="545">
        <v>1</v>
      </c>
      <c r="C115" s="638" t="s">
        <v>160</v>
      </c>
      <c r="D115" s="555" t="s">
        <v>29</v>
      </c>
      <c r="E115" s="541">
        <f t="shared" si="10"/>
        <v>0</v>
      </c>
      <c r="F115" s="376">
        <f>'TH theo DV'!D27</f>
        <v>0</v>
      </c>
      <c r="G115" s="376">
        <f>'TH theo DV'!N27</f>
        <v>0</v>
      </c>
      <c r="H115" s="370"/>
      <c r="I115" s="370"/>
      <c r="J115" s="499"/>
      <c r="K115" s="487">
        <v>0.77035000000000009</v>
      </c>
      <c r="L115" s="365">
        <v>0.15407000000000001</v>
      </c>
      <c r="M115" s="365">
        <v>0.15407000000000001</v>
      </c>
      <c r="N115" s="365">
        <v>0.15407000000000001</v>
      </c>
      <c r="O115" s="365">
        <v>0.15407000000000001</v>
      </c>
      <c r="P115" s="365">
        <v>0.15407000000000001</v>
      </c>
      <c r="Q115" s="567" t="s">
        <v>228</v>
      </c>
    </row>
    <row r="116" spans="2:17" ht="18" customHeight="1" x14ac:dyDescent="0.25">
      <c r="B116" s="545">
        <v>2</v>
      </c>
      <c r="C116" s="638"/>
      <c r="D116" s="555" t="s">
        <v>28</v>
      </c>
      <c r="E116" s="541">
        <f t="shared" si="10"/>
        <v>0</v>
      </c>
      <c r="F116" s="376">
        <f>'TH theo DV'!E27</f>
        <v>0</v>
      </c>
      <c r="G116" s="376">
        <f>'TH theo DV'!O27</f>
        <v>0</v>
      </c>
      <c r="H116" s="462"/>
      <c r="I116" s="462"/>
      <c r="J116" s="499"/>
      <c r="K116" s="487">
        <v>0</v>
      </c>
      <c r="L116" s="460">
        <v>0</v>
      </c>
      <c r="M116" s="460">
        <v>0</v>
      </c>
      <c r="N116" s="460">
        <v>0</v>
      </c>
      <c r="O116" s="460">
        <v>0</v>
      </c>
      <c r="P116" s="460">
        <v>0</v>
      </c>
      <c r="Q116" s="563"/>
    </row>
    <row r="117" spans="2:17" ht="30" customHeight="1" x14ac:dyDescent="0.25">
      <c r="B117" s="545">
        <v>3</v>
      </c>
      <c r="C117" s="638"/>
      <c r="D117" s="555" t="s">
        <v>341</v>
      </c>
      <c r="E117" s="541">
        <f t="shared" si="10"/>
        <v>0</v>
      </c>
      <c r="F117" s="376">
        <f>'TH theo DV'!H27</f>
        <v>0</v>
      </c>
      <c r="G117" s="376">
        <f>'TH theo DV'!R27</f>
        <v>0</v>
      </c>
      <c r="H117" s="394"/>
      <c r="I117" s="394"/>
      <c r="J117" s="499"/>
      <c r="K117" s="487">
        <v>1.7279902659999995</v>
      </c>
      <c r="L117" s="460">
        <v>0.40655678599999984</v>
      </c>
      <c r="M117" s="460">
        <v>0.33035836999999996</v>
      </c>
      <c r="N117" s="460">
        <v>0.33035836999999996</v>
      </c>
      <c r="O117" s="460">
        <v>0.33035836999999996</v>
      </c>
      <c r="P117" s="460">
        <v>0.33035836999999996</v>
      </c>
      <c r="Q117" s="562" t="s">
        <v>349</v>
      </c>
    </row>
    <row r="118" spans="2:17" ht="19.899999999999999" customHeight="1" x14ac:dyDescent="0.25">
      <c r="B118" s="545">
        <v>4</v>
      </c>
      <c r="C118" s="638"/>
      <c r="D118" s="555" t="s">
        <v>342</v>
      </c>
      <c r="E118" s="541">
        <f t="shared" si="10"/>
        <v>0</v>
      </c>
      <c r="F118" s="376"/>
      <c r="G118" s="376"/>
      <c r="H118" s="462"/>
      <c r="I118" s="462"/>
      <c r="J118" s="499"/>
      <c r="K118" s="487">
        <v>1.3086470000000001</v>
      </c>
      <c r="L118" s="460">
        <v>0.172652</v>
      </c>
      <c r="M118" s="460">
        <v>0.21096899999999999</v>
      </c>
      <c r="N118" s="460">
        <v>0.404665</v>
      </c>
      <c r="O118" s="460">
        <v>0.251919</v>
      </c>
      <c r="P118" s="460">
        <v>0.26844200000000001</v>
      </c>
      <c r="Q118" s="563" t="s">
        <v>282</v>
      </c>
    </row>
    <row r="119" spans="2:17" ht="18" customHeight="1" x14ac:dyDescent="0.25">
      <c r="B119" s="545">
        <v>5</v>
      </c>
      <c r="C119" s="638"/>
      <c r="D119" s="555" t="s">
        <v>31</v>
      </c>
      <c r="E119" s="541">
        <f t="shared" si="10"/>
        <v>0</v>
      </c>
      <c r="F119" s="376">
        <f>'TH theo DV'!J27</f>
        <v>0</v>
      </c>
      <c r="G119" s="376">
        <f>'TH theo DV'!T27</f>
        <v>0</v>
      </c>
      <c r="H119" s="462"/>
      <c r="I119" s="462"/>
      <c r="J119" s="499"/>
      <c r="K119" s="487">
        <v>0</v>
      </c>
      <c r="L119" s="460">
        <v>0</v>
      </c>
      <c r="M119" s="460">
        <v>0</v>
      </c>
      <c r="N119" s="460">
        <v>0</v>
      </c>
      <c r="O119" s="460">
        <v>0</v>
      </c>
      <c r="P119" s="460">
        <v>0</v>
      </c>
      <c r="Q119" s="563"/>
    </row>
    <row r="120" spans="2:17" ht="43.15" customHeight="1" x14ac:dyDescent="0.25">
      <c r="B120" s="545">
        <v>6</v>
      </c>
      <c r="C120" s="638"/>
      <c r="D120" s="555" t="s">
        <v>21</v>
      </c>
      <c r="E120" s="541">
        <f t="shared" si="10"/>
        <v>0</v>
      </c>
      <c r="F120" s="376">
        <f>'TH theo DV'!G27</f>
        <v>0</v>
      </c>
      <c r="G120" s="376">
        <f>'TH theo DV'!Q27</f>
        <v>0</v>
      </c>
      <c r="H120" s="366"/>
      <c r="I120" s="366"/>
      <c r="J120" s="499"/>
      <c r="K120" s="487">
        <v>0.79996400000000001</v>
      </c>
      <c r="L120" s="388">
        <v>0.24998200000000001</v>
      </c>
      <c r="M120" s="388">
        <v>0.1</v>
      </c>
      <c r="N120" s="388">
        <v>0.1</v>
      </c>
      <c r="O120" s="388">
        <v>0.1</v>
      </c>
      <c r="P120" s="388">
        <v>0.24998200000000001</v>
      </c>
      <c r="Q120" s="561" t="s">
        <v>256</v>
      </c>
    </row>
    <row r="121" spans="2:17" ht="19.899999999999999" customHeight="1" x14ac:dyDescent="0.25">
      <c r="B121" s="545">
        <v>7</v>
      </c>
      <c r="C121" s="638"/>
      <c r="D121" s="555" t="s">
        <v>325</v>
      </c>
      <c r="E121" s="541">
        <f t="shared" si="10"/>
        <v>0</v>
      </c>
      <c r="F121" s="376">
        <f>'TH theo DV'!F27</f>
        <v>0</v>
      </c>
      <c r="G121" s="376">
        <f>'TH theo DV'!U27</f>
        <v>0</v>
      </c>
      <c r="H121" s="462"/>
      <c r="I121" s="462"/>
      <c r="J121" s="499"/>
      <c r="K121" s="487">
        <v>0.65275799999999995</v>
      </c>
      <c r="L121" s="460">
        <v>0.10766299999999999</v>
      </c>
      <c r="M121" s="460">
        <v>0.11812300000000001</v>
      </c>
      <c r="N121" s="460">
        <v>0.12887100000000001</v>
      </c>
      <c r="O121" s="460">
        <v>0.14798600000000001</v>
      </c>
      <c r="P121" s="460">
        <v>0.150115</v>
      </c>
      <c r="Q121" s="563" t="s">
        <v>236</v>
      </c>
    </row>
    <row r="123" spans="2:17" x14ac:dyDescent="0.25">
      <c r="C123" s="556"/>
    </row>
    <row r="124" spans="2:17" x14ac:dyDescent="0.25">
      <c r="C124" s="556"/>
      <c r="L124" s="477"/>
    </row>
    <row r="126" spans="2:17" x14ac:dyDescent="0.25">
      <c r="C126" s="556"/>
    </row>
  </sheetData>
  <mergeCells count="119">
    <mergeCell ref="B112:B113"/>
    <mergeCell ref="C112:C113"/>
    <mergeCell ref="D112:D113"/>
    <mergeCell ref="B46:B47"/>
    <mergeCell ref="C46:C47"/>
    <mergeCell ref="D46:D47"/>
    <mergeCell ref="B87:H87"/>
    <mergeCell ref="B88:B89"/>
    <mergeCell ref="C88:C89"/>
    <mergeCell ref="D88:D89"/>
    <mergeCell ref="E88:E89"/>
    <mergeCell ref="F88:F89"/>
    <mergeCell ref="B99:H99"/>
    <mergeCell ref="B111:H111"/>
    <mergeCell ref="C5:C6"/>
    <mergeCell ref="C49:C54"/>
    <mergeCell ref="C39:C43"/>
    <mergeCell ref="C28:C33"/>
    <mergeCell ref="C18:C22"/>
    <mergeCell ref="C8:C12"/>
    <mergeCell ref="F25:F26"/>
    <mergeCell ref="G59:G60"/>
    <mergeCell ref="H59:I59"/>
    <mergeCell ref="B71:B72"/>
    <mergeCell ref="C71:C72"/>
    <mergeCell ref="D71:D72"/>
    <mergeCell ref="E71:E72"/>
    <mergeCell ref="F71:F72"/>
    <mergeCell ref="G71:G72"/>
    <mergeCell ref="H71:I71"/>
    <mergeCell ref="B59:B60"/>
    <mergeCell ref="C59:C60"/>
    <mergeCell ref="D59:D60"/>
    <mergeCell ref="E59:E60"/>
    <mergeCell ref="F59:F60"/>
    <mergeCell ref="B1:E1"/>
    <mergeCell ref="B24:H24"/>
    <mergeCell ref="B14:H14"/>
    <mergeCell ref="B4:H4"/>
    <mergeCell ref="B3:H3"/>
    <mergeCell ref="B57:H57"/>
    <mergeCell ref="B58:H58"/>
    <mergeCell ref="B35:H35"/>
    <mergeCell ref="B5:B6"/>
    <mergeCell ref="B15:B16"/>
    <mergeCell ref="C15:C16"/>
    <mergeCell ref="D15:D16"/>
    <mergeCell ref="E15:E16"/>
    <mergeCell ref="E46:E47"/>
    <mergeCell ref="F46:F47"/>
    <mergeCell ref="B36:B37"/>
    <mergeCell ref="C36:C37"/>
    <mergeCell ref="D36:D37"/>
    <mergeCell ref="E36:E37"/>
    <mergeCell ref="F36:F37"/>
    <mergeCell ref="B25:B26"/>
    <mergeCell ref="C25:C26"/>
    <mergeCell ref="D25:D26"/>
    <mergeCell ref="E25:E26"/>
    <mergeCell ref="Q88:Q89"/>
    <mergeCell ref="Q100:Q101"/>
    <mergeCell ref="Q112:Q113"/>
    <mergeCell ref="B45:H45"/>
    <mergeCell ref="B70:H70"/>
    <mergeCell ref="B69:H69"/>
    <mergeCell ref="B77:H77"/>
    <mergeCell ref="Q71:Q72"/>
    <mergeCell ref="K112:P112"/>
    <mergeCell ref="K78:P78"/>
    <mergeCell ref="C81:C83"/>
    <mergeCell ref="K71:P71"/>
    <mergeCell ref="C74:C75"/>
    <mergeCell ref="K59:P59"/>
    <mergeCell ref="C62:C67"/>
    <mergeCell ref="B86:H86"/>
    <mergeCell ref="H46:I46"/>
    <mergeCell ref="E112:E113"/>
    <mergeCell ref="F112:F113"/>
    <mergeCell ref="B100:B101"/>
    <mergeCell ref="C100:C101"/>
    <mergeCell ref="D100:D101"/>
    <mergeCell ref="E100:E101"/>
    <mergeCell ref="F100:F101"/>
    <mergeCell ref="Q25:Q26"/>
    <mergeCell ref="Q36:Q37"/>
    <mergeCell ref="Q46:Q47"/>
    <mergeCell ref="Q59:Q60"/>
    <mergeCell ref="Q78:Q79"/>
    <mergeCell ref="C115:C121"/>
    <mergeCell ref="K100:P100"/>
    <mergeCell ref="C103:C109"/>
    <mergeCell ref="K88:P88"/>
    <mergeCell ref="C91:C97"/>
    <mergeCell ref="G88:G89"/>
    <mergeCell ref="H88:I88"/>
    <mergeCell ref="G100:G101"/>
    <mergeCell ref="H100:I100"/>
    <mergeCell ref="G112:G113"/>
    <mergeCell ref="H112:I112"/>
    <mergeCell ref="K46:P46"/>
    <mergeCell ref="K36:P36"/>
    <mergeCell ref="K25:P25"/>
    <mergeCell ref="G25:G26"/>
    <mergeCell ref="H25:I25"/>
    <mergeCell ref="G36:G37"/>
    <mergeCell ref="H36:I36"/>
    <mergeCell ref="G46:G47"/>
    <mergeCell ref="K15:P15"/>
    <mergeCell ref="K5:P5"/>
    <mergeCell ref="Q5:Q6"/>
    <mergeCell ref="H5:I5"/>
    <mergeCell ref="E5:E6"/>
    <mergeCell ref="D5:D6"/>
    <mergeCell ref="F5:F6"/>
    <mergeCell ref="G5:G6"/>
    <mergeCell ref="Q15:Q16"/>
    <mergeCell ref="F15:F16"/>
    <mergeCell ref="G15:G16"/>
    <mergeCell ref="H15:I15"/>
  </mergeCells>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abSelected="1" zoomScale="85" zoomScaleNormal="85" workbookViewId="0">
      <selection activeCell="D11" sqref="D11"/>
    </sheetView>
  </sheetViews>
  <sheetFormatPr defaultRowHeight="15" x14ac:dyDescent="0.25"/>
  <cols>
    <col min="2" max="2" width="24" bestFit="1" customWidth="1"/>
    <col min="3" max="6" width="9" customWidth="1"/>
    <col min="7" max="7" width="10.5703125" customWidth="1"/>
    <col min="8" max="8" width="10" customWidth="1"/>
    <col min="9" max="9" width="14.140625" customWidth="1"/>
    <col min="10" max="10" width="13.140625" customWidth="1"/>
    <col min="11" max="11" width="19.140625" customWidth="1"/>
  </cols>
  <sheetData>
    <row r="1" spans="1:11" x14ac:dyDescent="0.25">
      <c r="A1" s="663"/>
      <c r="B1" s="663" t="s">
        <v>352</v>
      </c>
      <c r="C1" s="664" t="s">
        <v>355</v>
      </c>
      <c r="D1" s="664"/>
      <c r="E1" s="664"/>
      <c r="F1" s="664" t="s">
        <v>353</v>
      </c>
      <c r="G1" s="664"/>
      <c r="H1" s="664"/>
      <c r="I1" s="665" t="s">
        <v>356</v>
      </c>
      <c r="J1" s="667"/>
      <c r="K1" s="666"/>
    </row>
    <row r="2" spans="1:11" x14ac:dyDescent="0.25">
      <c r="A2" s="663" t="s">
        <v>48</v>
      </c>
      <c r="B2" s="663"/>
      <c r="C2" s="663" t="s">
        <v>354</v>
      </c>
      <c r="D2" s="663">
        <v>2027</v>
      </c>
      <c r="E2" s="663">
        <v>2028</v>
      </c>
      <c r="F2" s="663" t="s">
        <v>354</v>
      </c>
      <c r="G2" s="663">
        <v>2027</v>
      </c>
      <c r="H2" s="663">
        <v>2028</v>
      </c>
      <c r="I2" s="663" t="s">
        <v>354</v>
      </c>
      <c r="J2" s="663">
        <v>2027</v>
      </c>
      <c r="K2" s="663">
        <v>2028</v>
      </c>
    </row>
    <row r="3" spans="1:11" x14ac:dyDescent="0.25">
      <c r="A3" s="668"/>
      <c r="B3" s="668" t="s">
        <v>360</v>
      </c>
      <c r="C3" s="669">
        <f>SUBTOTAL(9,C4:C15)</f>
        <v>0</v>
      </c>
      <c r="D3" s="669">
        <f>SUBTOTAL(9,D4:D15)</f>
        <v>0</v>
      </c>
      <c r="E3" s="669">
        <f>SUBTOTAL(9,E4:E15)</f>
        <v>0</v>
      </c>
      <c r="F3" s="669">
        <f>SUBTOTAL(9,F4:F15)</f>
        <v>0</v>
      </c>
      <c r="G3" s="669">
        <f>SUBTOTAL(9,G4:G15)</f>
        <v>0</v>
      </c>
      <c r="H3" s="669">
        <f>SUBTOTAL(9,H4:H15)</f>
        <v>0</v>
      </c>
      <c r="I3" s="669"/>
      <c r="J3" s="669"/>
      <c r="K3" s="669"/>
    </row>
    <row r="4" spans="1:11" x14ac:dyDescent="0.25">
      <c r="A4" s="375">
        <v>1</v>
      </c>
      <c r="B4" s="662" t="s">
        <v>29</v>
      </c>
      <c r="C4" s="670">
        <f>SUM(D4:E4)</f>
        <v>0</v>
      </c>
      <c r="D4" s="670">
        <f>'TH theo DV'!D4</f>
        <v>0</v>
      </c>
      <c r="E4" s="670">
        <f>'TH theo DV'!N4</f>
        <v>0</v>
      </c>
      <c r="F4" s="670"/>
      <c r="G4" s="670"/>
      <c r="H4" s="670"/>
      <c r="I4" s="662">
        <f>C4-F4</f>
        <v>0</v>
      </c>
      <c r="J4" s="662">
        <f>D4-G4</f>
        <v>0</v>
      </c>
      <c r="K4" s="662">
        <f>E4-H4</f>
        <v>0</v>
      </c>
    </row>
    <row r="5" spans="1:11" x14ac:dyDescent="0.25">
      <c r="A5" s="375">
        <v>2</v>
      </c>
      <c r="B5" s="662" t="s">
        <v>28</v>
      </c>
      <c r="C5" s="670">
        <f t="shared" ref="C5:C15" si="0">SUM(D5:E5)</f>
        <v>0</v>
      </c>
      <c r="D5" s="670">
        <f>'TH theo DV'!E4</f>
        <v>0</v>
      </c>
      <c r="E5" s="670">
        <f>'TH theo DV'!O4</f>
        <v>0</v>
      </c>
      <c r="F5" s="670"/>
      <c r="G5" s="670"/>
      <c r="H5" s="670"/>
      <c r="I5" s="662">
        <f t="shared" ref="I5:I15" si="1">C5-F5</f>
        <v>0</v>
      </c>
      <c r="J5" s="662">
        <f t="shared" ref="J5:J15" si="2">D5-G5</f>
        <v>0</v>
      </c>
      <c r="K5" s="662">
        <f t="shared" ref="K5:K15" si="3">E5-H5</f>
        <v>0</v>
      </c>
    </row>
    <row r="6" spans="1:11" x14ac:dyDescent="0.25">
      <c r="A6" s="375">
        <v>3</v>
      </c>
      <c r="B6" s="662" t="s">
        <v>362</v>
      </c>
      <c r="C6" s="670">
        <f t="shared" si="0"/>
        <v>0</v>
      </c>
      <c r="D6" s="670">
        <f>'TH theo DV'!F4</f>
        <v>0</v>
      </c>
      <c r="E6" s="670">
        <f>'TH theo DV'!P4</f>
        <v>0</v>
      </c>
      <c r="F6" s="670"/>
      <c r="G6" s="670"/>
      <c r="H6" s="670"/>
      <c r="I6" s="662">
        <f t="shared" si="1"/>
        <v>0</v>
      </c>
      <c r="J6" s="662">
        <f t="shared" si="2"/>
        <v>0</v>
      </c>
      <c r="K6" s="662">
        <f t="shared" si="3"/>
        <v>0</v>
      </c>
    </row>
    <row r="7" spans="1:11" x14ac:dyDescent="0.25">
      <c r="A7" s="375">
        <v>4</v>
      </c>
      <c r="B7" s="662" t="s">
        <v>357</v>
      </c>
      <c r="C7" s="670">
        <f t="shared" si="0"/>
        <v>0</v>
      </c>
      <c r="D7" s="671"/>
      <c r="E7" s="671"/>
      <c r="F7" s="670"/>
      <c r="G7" s="670"/>
      <c r="H7" s="670"/>
      <c r="I7" s="662">
        <f t="shared" si="1"/>
        <v>0</v>
      </c>
      <c r="J7" s="662">
        <f t="shared" si="2"/>
        <v>0</v>
      </c>
      <c r="K7" s="662">
        <f t="shared" si="3"/>
        <v>0</v>
      </c>
    </row>
    <row r="8" spans="1:11" x14ac:dyDescent="0.25">
      <c r="A8" s="375">
        <v>5</v>
      </c>
      <c r="B8" s="662" t="s">
        <v>120</v>
      </c>
      <c r="C8" s="670">
        <f t="shared" si="0"/>
        <v>0</v>
      </c>
      <c r="D8" s="671"/>
      <c r="E8" s="671"/>
      <c r="F8" s="670"/>
      <c r="G8" s="670"/>
      <c r="H8" s="670"/>
      <c r="I8" s="662">
        <f>C8-F8</f>
        <v>0</v>
      </c>
      <c r="J8" s="662">
        <f>D8-G8</f>
        <v>0</v>
      </c>
      <c r="K8" s="662">
        <f>E8-H8</f>
        <v>0</v>
      </c>
    </row>
    <row r="9" spans="1:11" x14ac:dyDescent="0.25">
      <c r="A9" s="375">
        <v>6</v>
      </c>
      <c r="B9" s="662" t="s">
        <v>361</v>
      </c>
      <c r="C9" s="670">
        <f t="shared" si="0"/>
        <v>0</v>
      </c>
      <c r="D9" s="671"/>
      <c r="E9" s="671"/>
      <c r="F9" s="670"/>
      <c r="G9" s="670"/>
      <c r="H9" s="670"/>
      <c r="I9" s="662">
        <f>C9-F9</f>
        <v>0</v>
      </c>
      <c r="J9" s="662">
        <f>D9-G9</f>
        <v>0</v>
      </c>
      <c r="K9" s="662">
        <f>E9-H9</f>
        <v>0</v>
      </c>
    </row>
    <row r="10" spans="1:11" x14ac:dyDescent="0.25">
      <c r="A10" s="375">
        <v>7</v>
      </c>
      <c r="B10" s="662" t="s">
        <v>208</v>
      </c>
      <c r="C10" s="670">
        <f t="shared" si="0"/>
        <v>0</v>
      </c>
      <c r="D10" s="671"/>
      <c r="E10" s="671"/>
      <c r="F10" s="670"/>
      <c r="G10" s="670"/>
      <c r="H10" s="670"/>
      <c r="I10" s="662">
        <f t="shared" si="1"/>
        <v>0</v>
      </c>
      <c r="J10" s="662">
        <f t="shared" si="2"/>
        <v>0</v>
      </c>
      <c r="K10" s="662">
        <f t="shared" si="3"/>
        <v>0</v>
      </c>
    </row>
    <row r="11" spans="1:11" x14ac:dyDescent="0.25">
      <c r="A11" s="375">
        <v>8</v>
      </c>
      <c r="B11" s="662" t="s">
        <v>341</v>
      </c>
      <c r="C11" s="670">
        <f t="shared" si="0"/>
        <v>0</v>
      </c>
      <c r="D11" s="670">
        <f>'TH theo DV'!H4</f>
        <v>0</v>
      </c>
      <c r="E11" s="670">
        <f>'TH theo DV'!R4</f>
        <v>0</v>
      </c>
      <c r="F11" s="670"/>
      <c r="G11" s="670"/>
      <c r="H11" s="670"/>
      <c r="I11" s="662">
        <f t="shared" si="1"/>
        <v>0</v>
      </c>
      <c r="J11" s="662">
        <f t="shared" si="2"/>
        <v>0</v>
      </c>
      <c r="K11" s="662">
        <f t="shared" si="3"/>
        <v>0</v>
      </c>
    </row>
    <row r="12" spans="1:11" x14ac:dyDescent="0.25">
      <c r="A12" s="375">
        <v>9</v>
      </c>
      <c r="B12" s="662" t="s">
        <v>342</v>
      </c>
      <c r="C12" s="670">
        <f t="shared" si="0"/>
        <v>0</v>
      </c>
      <c r="D12" s="670">
        <f>'TH theo DV'!I4</f>
        <v>0</v>
      </c>
      <c r="E12" s="670">
        <f>'TH theo DV'!S4</f>
        <v>0</v>
      </c>
      <c r="F12" s="670"/>
      <c r="G12" s="670"/>
      <c r="H12" s="670"/>
      <c r="I12" s="662">
        <f t="shared" si="1"/>
        <v>0</v>
      </c>
      <c r="J12" s="662">
        <f t="shared" si="2"/>
        <v>0</v>
      </c>
      <c r="K12" s="662">
        <f t="shared" si="3"/>
        <v>0</v>
      </c>
    </row>
    <row r="13" spans="1:11" x14ac:dyDescent="0.25">
      <c r="A13" s="375">
        <v>10</v>
      </c>
      <c r="B13" s="662" t="s">
        <v>358</v>
      </c>
      <c r="C13" s="670">
        <f t="shared" si="0"/>
        <v>0</v>
      </c>
      <c r="D13" s="671"/>
      <c r="E13" s="671"/>
      <c r="F13" s="670"/>
      <c r="G13" s="670"/>
      <c r="H13" s="670"/>
      <c r="I13" s="662">
        <f t="shared" si="1"/>
        <v>0</v>
      </c>
      <c r="J13" s="662">
        <f t="shared" si="2"/>
        <v>0</v>
      </c>
      <c r="K13" s="662">
        <f t="shared" si="3"/>
        <v>0</v>
      </c>
    </row>
    <row r="14" spans="1:11" x14ac:dyDescent="0.25">
      <c r="A14" s="375">
        <v>11</v>
      </c>
      <c r="B14" s="662" t="s">
        <v>359</v>
      </c>
      <c r="C14" s="670">
        <f t="shared" si="0"/>
        <v>0</v>
      </c>
      <c r="D14" s="671"/>
      <c r="E14" s="671"/>
      <c r="F14" s="670"/>
      <c r="G14" s="670"/>
      <c r="H14" s="670"/>
      <c r="I14" s="662">
        <f t="shared" si="1"/>
        <v>0</v>
      </c>
      <c r="J14" s="662">
        <f t="shared" si="2"/>
        <v>0</v>
      </c>
      <c r="K14" s="662">
        <f t="shared" si="3"/>
        <v>0</v>
      </c>
    </row>
    <row r="15" spans="1:11" x14ac:dyDescent="0.25">
      <c r="A15" s="375">
        <v>12</v>
      </c>
      <c r="B15" s="662" t="s">
        <v>318</v>
      </c>
      <c r="C15" s="670">
        <f t="shared" si="0"/>
        <v>0</v>
      </c>
      <c r="D15" s="670">
        <f>'TH theo DV'!K4</f>
        <v>0</v>
      </c>
      <c r="E15" s="670">
        <f>'TH theo DV'!U4</f>
        <v>0</v>
      </c>
      <c r="F15" s="670"/>
      <c r="G15" s="670"/>
      <c r="H15" s="670"/>
      <c r="I15" s="662">
        <f t="shared" si="1"/>
        <v>0</v>
      </c>
      <c r="J15" s="662">
        <f t="shared" si="2"/>
        <v>0</v>
      </c>
      <c r="K15" s="662">
        <f t="shared" si="3"/>
        <v>0</v>
      </c>
    </row>
  </sheetData>
  <mergeCells count="3">
    <mergeCell ref="F1:H1"/>
    <mergeCell ref="C1:E1"/>
    <mergeCell ref="I1:K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EE0033"/>
    <outlinePr summaryBelow="0" summaryRight="0"/>
    <pageSetUpPr fitToPage="1"/>
  </sheetPr>
  <dimension ref="A1:N57"/>
  <sheetViews>
    <sheetView zoomScale="90" zoomScaleNormal="90" workbookViewId="0">
      <pane xSplit="4" ySplit="4" topLeftCell="E17" activePane="bottomRight" state="frozen"/>
      <selection activeCell="N27" sqref="N27"/>
      <selection pane="topRight" activeCell="N27" sqref="N27"/>
      <selection pane="bottomLeft" activeCell="N27" sqref="N27"/>
      <selection pane="bottomRight" activeCell="K11" sqref="K11"/>
    </sheetView>
  </sheetViews>
  <sheetFormatPr defaultColWidth="9.28515625" defaultRowHeight="12.75" outlineLevelRow="2" x14ac:dyDescent="0.25"/>
  <cols>
    <col min="1" max="1" width="3.28515625" style="124" bestFit="1" customWidth="1"/>
    <col min="2" max="2" width="24.7109375" style="200" customWidth="1"/>
    <col min="3" max="3" width="17.7109375" style="209" customWidth="1"/>
    <col min="4" max="4" width="57" style="120" customWidth="1"/>
    <col min="5" max="5" width="7.28515625" style="120" customWidth="1"/>
    <col min="6" max="6" width="16.28515625" style="210" customWidth="1"/>
    <col min="7" max="7" width="53.5703125" style="120" customWidth="1"/>
    <col min="8" max="8" width="7.28515625" style="120" customWidth="1"/>
    <col min="9" max="9" width="17" style="130" customWidth="1"/>
    <col min="10" max="10" width="9.140625" style="130" customWidth="1"/>
    <col min="11" max="12" width="9.28515625" style="124" customWidth="1"/>
    <col min="13" max="16384" width="9.28515625" style="120"/>
  </cols>
  <sheetData>
    <row r="1" spans="1:13" ht="18.75" x14ac:dyDescent="0.25">
      <c r="A1" s="652" t="s">
        <v>171</v>
      </c>
      <c r="B1" s="653"/>
      <c r="C1" s="653"/>
      <c r="D1" s="653"/>
      <c r="E1" s="653"/>
      <c r="F1" s="653"/>
      <c r="G1" s="653"/>
      <c r="H1" s="653"/>
      <c r="I1" s="653"/>
      <c r="J1" s="653"/>
    </row>
    <row r="2" spans="1:13" x14ac:dyDescent="0.25">
      <c r="C2" s="201"/>
      <c r="F2" s="202"/>
      <c r="I2" s="203"/>
      <c r="J2" s="203"/>
    </row>
    <row r="3" spans="1:13" s="204" customFormat="1" x14ac:dyDescent="0.25">
      <c r="A3" s="655" t="s">
        <v>0</v>
      </c>
      <c r="B3" s="654" t="s">
        <v>33</v>
      </c>
      <c r="C3" s="655">
        <v>2027</v>
      </c>
      <c r="D3" s="655"/>
      <c r="E3" s="655"/>
      <c r="F3" s="655">
        <v>2028</v>
      </c>
      <c r="G3" s="655"/>
      <c r="H3" s="655"/>
      <c r="I3" s="656" t="s">
        <v>170</v>
      </c>
      <c r="J3" s="654" t="s">
        <v>88</v>
      </c>
      <c r="K3" s="651" t="s">
        <v>213</v>
      </c>
      <c r="L3" s="651"/>
      <c r="M3" s="651"/>
    </row>
    <row r="4" spans="1:13" ht="38.25" x14ac:dyDescent="0.25">
      <c r="A4" s="655"/>
      <c r="B4" s="654"/>
      <c r="C4" s="180" t="s">
        <v>168</v>
      </c>
      <c r="D4" s="179" t="s">
        <v>89</v>
      </c>
      <c r="E4" s="179" t="s">
        <v>88</v>
      </c>
      <c r="F4" s="180" t="s">
        <v>168</v>
      </c>
      <c r="G4" s="179" t="s">
        <v>89</v>
      </c>
      <c r="H4" s="179" t="s">
        <v>88</v>
      </c>
      <c r="I4" s="656"/>
      <c r="J4" s="654"/>
      <c r="K4" s="150" t="s">
        <v>209</v>
      </c>
      <c r="L4" s="150" t="s">
        <v>44</v>
      </c>
      <c r="M4" s="150"/>
    </row>
    <row r="5" spans="1:13" x14ac:dyDescent="0.25">
      <c r="A5" s="150"/>
      <c r="B5" s="206" t="s">
        <v>34</v>
      </c>
      <c r="C5" s="207" t="e">
        <f>SUBTOTAL(9,C6:C57)</f>
        <v>#REF!</v>
      </c>
      <c r="D5" s="205"/>
      <c r="E5" s="151" t="e">
        <f>C5/I5</f>
        <v>#REF!</v>
      </c>
      <c r="F5" s="207" t="e">
        <f>SUBTOTAL(9,F7:F57)</f>
        <v>#REF!</v>
      </c>
      <c r="G5" s="205"/>
      <c r="H5" s="151" t="e">
        <f>F5/I5</f>
        <v>#REF!</v>
      </c>
      <c r="I5" s="207" t="e">
        <f>SUBTOTAL(9,I6:I57)</f>
        <v>#REF!</v>
      </c>
      <c r="J5" s="208"/>
      <c r="K5" s="121"/>
      <c r="L5" s="121"/>
      <c r="M5" s="293"/>
    </row>
    <row r="6" spans="1:13" ht="25.5" x14ac:dyDescent="0.25">
      <c r="A6" s="13" t="s">
        <v>11</v>
      </c>
      <c r="B6" s="15" t="s">
        <v>107</v>
      </c>
      <c r="C6" s="199">
        <f>SUBTOTAL(9,C7:C14)</f>
        <v>0</v>
      </c>
      <c r="D6" s="211"/>
      <c r="E6" s="16" t="e">
        <f>C6/$C$5</f>
        <v>#REF!</v>
      </c>
      <c r="F6" s="31">
        <f>SUBTOTAL(9,F7:F13)</f>
        <v>0</v>
      </c>
      <c r="G6" s="14"/>
      <c r="H6" s="16" t="e">
        <f>F6/$F$5</f>
        <v>#REF!</v>
      </c>
      <c r="I6" s="31">
        <f>SUBTOTAL(9,I7:I14)</f>
        <v>0</v>
      </c>
      <c r="J6" s="16" t="e">
        <f>I6/$I$5</f>
        <v>#REF!</v>
      </c>
      <c r="K6" s="121"/>
      <c r="L6" s="121"/>
      <c r="M6" s="293"/>
    </row>
    <row r="7" spans="1:13" s="204" customFormat="1" outlineLevel="1" x14ac:dyDescent="0.25">
      <c r="A7" s="13" t="s">
        <v>4</v>
      </c>
      <c r="B7" s="15" t="s">
        <v>54</v>
      </c>
      <c r="C7" s="212">
        <f>SUBTOTAL(9,C8:C11)</f>
        <v>0</v>
      </c>
      <c r="D7" s="211"/>
      <c r="E7" s="16" t="e">
        <f>C7/$C$5</f>
        <v>#REF!</v>
      </c>
      <c r="F7" s="213">
        <f>SUBTOTAL(9,F8:F11)</f>
        <v>0</v>
      </c>
      <c r="G7" s="214">
        <v>0</v>
      </c>
      <c r="H7" s="16" t="e">
        <f>F7/$F$5</f>
        <v>#REF!</v>
      </c>
      <c r="I7" s="46">
        <f>SUBTOTAL(9,I8:I11)</f>
        <v>0</v>
      </c>
      <c r="J7" s="16" t="e">
        <f>I7/$I$5</f>
        <v>#REF!</v>
      </c>
      <c r="K7" s="150"/>
      <c r="L7" s="294"/>
      <c r="M7" s="295"/>
    </row>
    <row r="8" spans="1:13" ht="25.5" outlineLevel="2" x14ac:dyDescent="0.25">
      <c r="A8" s="215">
        <v>1</v>
      </c>
      <c r="B8" s="216" t="s">
        <v>29</v>
      </c>
      <c r="C8" s="217">
        <f>SUMIFS('PL1.1 ML2027-2028'!$G:$G,'PL1.1 ML2027-2028'!$J:$J,K8,'PL1.1 ML2027-2028'!$K:$K,L8)/10^6</f>
        <v>0</v>
      </c>
      <c r="D8" s="218" t="s">
        <v>193</v>
      </c>
      <c r="E8" s="219"/>
      <c r="F8" s="220">
        <f>SUMIFS('PL1.1 ML2027-2028'!$H:$H,'PL1.1 ML2027-2028'!$J:$J,K8,'PL1.1 ML2027-2028'!$K:$K,L8)/10^6</f>
        <v>0</v>
      </c>
      <c r="G8" s="218" t="s">
        <v>194</v>
      </c>
      <c r="H8" s="219"/>
      <c r="I8" s="213">
        <f>C8+F8</f>
        <v>0</v>
      </c>
      <c r="J8" s="219" t="e">
        <f t="shared" ref="J8:J12" si="0">I8/$I$5</f>
        <v>#REF!</v>
      </c>
      <c r="K8" s="121" t="s">
        <v>7</v>
      </c>
      <c r="L8" s="121" t="s">
        <v>47</v>
      </c>
      <c r="M8" s="293"/>
    </row>
    <row r="9" spans="1:13" outlineLevel="2" x14ac:dyDescent="0.25">
      <c r="A9" s="215">
        <v>2</v>
      </c>
      <c r="B9" s="216" t="s">
        <v>28</v>
      </c>
      <c r="C9" s="217">
        <f>SUMIFS('PL1.1 ML2027-2028'!$G:$G,'PL1.1 ML2027-2028'!$J:$J,K9,'PL1.1 ML2027-2028'!$K:$K,L9)/10^6</f>
        <v>0</v>
      </c>
      <c r="D9" s="218"/>
      <c r="E9" s="219" t="e">
        <f t="shared" ref="E9:E14" si="1">C9/$C$5</f>
        <v>#REF!</v>
      </c>
      <c r="F9" s="220">
        <f>SUMIFS('PL1.1 ML2027-2028'!$H:$H,'PL1.1 ML2027-2028'!$J:$J,K9,'PL1.1 ML2027-2028'!$K:$K,L9)/10^6</f>
        <v>0</v>
      </c>
      <c r="G9" s="218"/>
      <c r="H9" s="219"/>
      <c r="I9" s="213">
        <f t="shared" ref="I9:I14" si="2">C9+F9</f>
        <v>0</v>
      </c>
      <c r="J9" s="219" t="e">
        <f t="shared" si="0"/>
        <v>#REF!</v>
      </c>
      <c r="K9" s="121" t="s">
        <v>14</v>
      </c>
      <c r="L9" s="121" t="s">
        <v>47</v>
      </c>
      <c r="M9" s="293"/>
    </row>
    <row r="10" spans="1:13" ht="38.25" outlineLevel="2" x14ac:dyDescent="0.25">
      <c r="A10" s="215">
        <v>3</v>
      </c>
      <c r="B10" s="216" t="s">
        <v>30</v>
      </c>
      <c r="C10" s="217">
        <f>SUMIFS('PL1.1 ML2027-2028'!$G:$G,'PL1.1 ML2027-2028'!$J:$J,K10,'PL1.1 ML2027-2028'!$K:$K,L10)/10^6</f>
        <v>0</v>
      </c>
      <c r="D10" s="218" t="s">
        <v>195</v>
      </c>
      <c r="E10" s="219" t="e">
        <f t="shared" si="1"/>
        <v>#REF!</v>
      </c>
      <c r="F10" s="220">
        <f>SUMIFS('PL1.1 ML2027-2028'!$H:$H,'PL1.1 ML2027-2028'!$J:$J,K10,'PL1.1 ML2027-2028'!$K:$K,L10)/10^6</f>
        <v>0</v>
      </c>
      <c r="G10" s="214">
        <v>0</v>
      </c>
      <c r="H10" s="219"/>
      <c r="I10" s="213">
        <f t="shared" si="2"/>
        <v>0</v>
      </c>
      <c r="J10" s="219" t="e">
        <f t="shared" si="0"/>
        <v>#REF!</v>
      </c>
      <c r="K10" s="121" t="s">
        <v>17</v>
      </c>
      <c r="L10" s="121" t="s">
        <v>47</v>
      </c>
      <c r="M10" s="293"/>
    </row>
    <row r="11" spans="1:13" ht="38.25" outlineLevel="2" x14ac:dyDescent="0.25">
      <c r="A11" s="215">
        <v>4</v>
      </c>
      <c r="B11" s="216" t="s">
        <v>31</v>
      </c>
      <c r="C11" s="217">
        <f>SUMIFS('PL1.1 ML2027-2028'!$G:$G,'PL1.1 ML2027-2028'!$J:$J,K11,'PL1.1 ML2027-2028'!$K:$K,L11)/10^6</f>
        <v>0</v>
      </c>
      <c r="D11" s="221" t="s">
        <v>169</v>
      </c>
      <c r="E11" s="219" t="e">
        <f t="shared" si="1"/>
        <v>#REF!</v>
      </c>
      <c r="F11" s="220">
        <f>SUMIFS('PL1.1 ML2027-2028'!$H:$H,'PL1.1 ML2027-2028'!$J:$J,K11,'PL1.1 ML2027-2028'!$K:$K,L11)/10^6</f>
        <v>0</v>
      </c>
      <c r="G11" s="214">
        <v>0</v>
      </c>
      <c r="H11" s="219"/>
      <c r="I11" s="213">
        <f t="shared" si="2"/>
        <v>0</v>
      </c>
      <c r="J11" s="219" t="e">
        <f t="shared" si="0"/>
        <v>#REF!</v>
      </c>
      <c r="K11" s="121" t="s">
        <v>6</v>
      </c>
      <c r="L11" s="121" t="s">
        <v>47</v>
      </c>
      <c r="M11" s="293"/>
    </row>
    <row r="12" spans="1:13" s="204" customFormat="1" outlineLevel="2" x14ac:dyDescent="0.25">
      <c r="A12" s="13" t="s">
        <v>10</v>
      </c>
      <c r="B12" s="222" t="s">
        <v>108</v>
      </c>
      <c r="C12" s="217">
        <f>SUMIFS('PL1.1 ML2027-2028'!$G:$G,'PL1.1 ML2027-2028'!$J:$J,K12,'PL1.1 ML2027-2028'!$K:$K,L12)/10^6</f>
        <v>0</v>
      </c>
      <c r="D12" s="221" t="s">
        <v>148</v>
      </c>
      <c r="E12" s="16" t="e">
        <f t="shared" si="1"/>
        <v>#REF!</v>
      </c>
      <c r="F12" s="220">
        <f>SUMIFS('PL1.1 ML2027-2028'!$H:$H,'PL1.1 ML2027-2028'!$J:$J,K12,'PL1.1 ML2027-2028'!$K:$K,L12)/10^6</f>
        <v>0</v>
      </c>
      <c r="G12" s="223">
        <v>0</v>
      </c>
      <c r="H12" s="16"/>
      <c r="I12" s="46">
        <f t="shared" si="2"/>
        <v>0</v>
      </c>
      <c r="J12" s="219" t="e">
        <f t="shared" si="0"/>
        <v>#REF!</v>
      </c>
      <c r="K12" s="121" t="s">
        <v>19</v>
      </c>
      <c r="L12" s="121" t="s">
        <v>108</v>
      </c>
      <c r="M12" s="295"/>
    </row>
    <row r="13" spans="1:13" ht="25.5" outlineLevel="2" x14ac:dyDescent="0.25">
      <c r="A13" s="13" t="s">
        <v>15</v>
      </c>
      <c r="B13" s="222" t="s">
        <v>109</v>
      </c>
      <c r="C13" s="217">
        <f>SUMIFS('PL1.1 ML2027-2028'!$G:$G,'PL1.1 ML2027-2028'!$J:$J,K13,'PL1.1 ML2027-2028'!$K:$K,L13)/10^6</f>
        <v>0</v>
      </c>
      <c r="D13" s="224" t="s">
        <v>200</v>
      </c>
      <c r="E13" s="16" t="e">
        <f t="shared" si="1"/>
        <v>#REF!</v>
      </c>
      <c r="F13" s="220">
        <f>SUMIFS('PL1.1 ML2027-2028'!$H:$H,'PL1.1 ML2027-2028'!$J:$J,K13,'PL1.1 ML2027-2028'!$K:$K,L13)/10^6</f>
        <v>0</v>
      </c>
      <c r="G13" s="224" t="s">
        <v>201</v>
      </c>
      <c r="H13" s="219"/>
      <c r="I13" s="213">
        <f t="shared" si="2"/>
        <v>0</v>
      </c>
      <c r="J13" s="219" t="e">
        <f>I13/$I$5</f>
        <v>#REF!</v>
      </c>
      <c r="K13" s="121" t="s">
        <v>21</v>
      </c>
      <c r="L13" s="121" t="s">
        <v>109</v>
      </c>
      <c r="M13" s="293"/>
    </row>
    <row r="14" spans="1:13" outlineLevel="2" x14ac:dyDescent="0.25">
      <c r="A14" s="13" t="s">
        <v>18</v>
      </c>
      <c r="B14" s="222" t="s">
        <v>105</v>
      </c>
      <c r="C14" s="217">
        <f>SUMIFS('PL1.1 ML2027-2028'!$G:$G,'PL1.1 ML2027-2028'!$J:$J,K14,'PL1.1 ML2027-2028'!$K:$K,L14)/10^6</f>
        <v>0</v>
      </c>
      <c r="D14" s="218" t="s">
        <v>149</v>
      </c>
      <c r="E14" s="16" t="e">
        <f t="shared" si="1"/>
        <v>#REF!</v>
      </c>
      <c r="F14" s="220">
        <f>SUMIFS('PL1.1 ML2027-2028'!$H:$H,'PL1.1 ML2027-2028'!$J:$J,K14,'PL1.1 ML2027-2028'!$K:$K,L14)/10^6</f>
        <v>0</v>
      </c>
      <c r="G14" s="214">
        <v>0</v>
      </c>
      <c r="H14" s="219"/>
      <c r="I14" s="213">
        <f t="shared" si="2"/>
        <v>0</v>
      </c>
      <c r="J14" s="219" t="e">
        <f>I14/$I$5</f>
        <v>#REF!</v>
      </c>
      <c r="K14" s="121" t="s">
        <v>14</v>
      </c>
      <c r="L14" s="121" t="s">
        <v>110</v>
      </c>
      <c r="M14" s="293"/>
    </row>
    <row r="15" spans="1:13" ht="25.5" x14ac:dyDescent="0.25">
      <c r="A15" s="33" t="s">
        <v>22</v>
      </c>
      <c r="B15" s="225" t="s">
        <v>111</v>
      </c>
      <c r="C15" s="226" t="e">
        <f>SUBTOTAL(9,C16:C34)</f>
        <v>#REF!</v>
      </c>
      <c r="D15" s="110"/>
      <c r="E15" s="227" t="e">
        <f>C15/$C$5</f>
        <v>#REF!</v>
      </c>
      <c r="F15" s="182" t="e">
        <f>SUBTOTAL(9,F16:F34)</f>
        <v>#REF!</v>
      </c>
      <c r="G15" s="228"/>
      <c r="H15" s="227" t="e">
        <f>F15/$F$5</f>
        <v>#REF!</v>
      </c>
      <c r="I15" s="182" t="e">
        <f>SUBTOTAL(9,I16:I34)</f>
        <v>#REF!</v>
      </c>
      <c r="J15" s="227" t="e">
        <f>I15/$I$5</f>
        <v>#REF!</v>
      </c>
      <c r="K15" s="296"/>
      <c r="L15" s="121"/>
      <c r="M15" s="293"/>
    </row>
    <row r="16" spans="1:13" s="204" customFormat="1" outlineLevel="1" x14ac:dyDescent="0.25">
      <c r="A16" s="33" t="s">
        <v>4</v>
      </c>
      <c r="B16" s="229" t="s">
        <v>29</v>
      </c>
      <c r="C16" s="226">
        <f>SUBTOTAL(9,C17:C18)</f>
        <v>0</v>
      </c>
      <c r="D16" s="230"/>
      <c r="E16" s="227" t="e">
        <f>C16/C5</f>
        <v>#REF!</v>
      </c>
      <c r="F16" s="231">
        <f>SUBTOTAL(9,F17:F18)</f>
        <v>0</v>
      </c>
      <c r="G16" s="232">
        <v>0</v>
      </c>
      <c r="H16" s="227" t="e">
        <f>F16/F5</f>
        <v>#REF!</v>
      </c>
      <c r="I16" s="231">
        <f>SUBTOTAL(9,I17:I18)</f>
        <v>0</v>
      </c>
      <c r="J16" s="227" t="e">
        <f>I16/$I$5</f>
        <v>#REF!</v>
      </c>
      <c r="K16" s="150"/>
      <c r="L16" s="150"/>
      <c r="M16" s="295"/>
    </row>
    <row r="17" spans="1:13" outlineLevel="2" x14ac:dyDescent="0.25">
      <c r="A17" s="233">
        <v>1</v>
      </c>
      <c r="B17" s="234" t="s">
        <v>212</v>
      </c>
      <c r="C17" s="235">
        <f>SUMIFS('PL1.1 ML2027-2028'!$G:$G,'PL1.1 ML2027-2028'!$J:$J,K17,'PL1.1 ML2027-2028'!$K:$K,L17)/10^6
+ SUMIFS('PL1.1 ML2027-2028'!$G:$G,'PL1.1 ML2027-2028'!$J:$J,M17,'PL1.1 ML2027-2028'!$K:$K,L17)/10^6</f>
        <v>0</v>
      </c>
      <c r="D17" s="110" t="s">
        <v>187</v>
      </c>
      <c r="E17" s="236" t="e">
        <f t="shared" ref="E17:E18" si="3">C17/$C$5</f>
        <v>#REF!</v>
      </c>
      <c r="F17" s="231">
        <f>SUMIFS('PL1.1 ML2027-2028'!$H:$H,'PL1.1 ML2027-2028'!$J:$J,K17,'PL1.1 ML2027-2028'!$K:$K,L17)/10^6
+ SUMIFS('PL1.1 ML2027-2028'!$H:$H,'PL1.1 ML2027-2028'!$J:$J,M17,'PL1.1 ML2027-2028'!$K:$K,L17)/10^6</f>
        <v>0</v>
      </c>
      <c r="G17" s="232" t="s">
        <v>188</v>
      </c>
      <c r="H17" s="236"/>
      <c r="I17" s="231">
        <f>C17+F17</f>
        <v>0</v>
      </c>
      <c r="J17" s="236" t="e">
        <f>I17/$I$5</f>
        <v>#REF!</v>
      </c>
      <c r="K17" s="121" t="s">
        <v>7</v>
      </c>
      <c r="L17" s="121" t="s">
        <v>68</v>
      </c>
      <c r="M17" s="121" t="s">
        <v>9</v>
      </c>
    </row>
    <row r="18" spans="1:13" ht="114.6" customHeight="1" outlineLevel="2" x14ac:dyDescent="0.25">
      <c r="A18" s="233">
        <v>2</v>
      </c>
      <c r="B18" s="234" t="s">
        <v>35</v>
      </c>
      <c r="C18" s="235">
        <f>SUMIFS('PL1.1 ML2027-2028'!$G:$G,'PL1.1 ML2027-2028'!$J:$J,K18,'PL1.1 ML2027-2028'!$K:$K,L18)/10^6
+ SUMIFS('PL1.1 ML2027-2028'!$G:$G,'PL1.1 ML2027-2028'!$J:$J,M18,'PL1.1 ML2027-2028'!$K:$K,L18)/10^6</f>
        <v>0</v>
      </c>
      <c r="D18" s="110" t="s">
        <v>189</v>
      </c>
      <c r="E18" s="236" t="e">
        <f t="shared" si="3"/>
        <v>#REF!</v>
      </c>
      <c r="F18" s="231">
        <f>SUMIFS('PL1.1 ML2027-2028'!$H:$H,'PL1.1 ML2027-2028'!$J:$J,K18,'PL1.1 ML2027-2028'!$K:$K,L18)/10^6
+ SUMIFS('PL1.1 ML2027-2028'!$H:$H,'PL1.1 ML2027-2028'!$J:$J,M18,'PL1.1 ML2027-2028'!$K:$K,L18)/10^6</f>
        <v>0</v>
      </c>
      <c r="G18" s="110" t="s">
        <v>190</v>
      </c>
      <c r="H18" s="236"/>
      <c r="I18" s="231">
        <f>C18+F18</f>
        <v>0</v>
      </c>
      <c r="J18" s="236" t="e">
        <f t="shared" ref="J18" si="4">I18/$I$5</f>
        <v>#REF!</v>
      </c>
      <c r="K18" s="121" t="s">
        <v>7</v>
      </c>
      <c r="L18" s="121" t="s">
        <v>69</v>
      </c>
      <c r="M18" s="121" t="s">
        <v>9</v>
      </c>
    </row>
    <row r="19" spans="1:13" outlineLevel="1" x14ac:dyDescent="0.25">
      <c r="A19" s="33" t="s">
        <v>15</v>
      </c>
      <c r="B19" s="229" t="s">
        <v>28</v>
      </c>
      <c r="C19" s="226">
        <f>SUBTOTAL(9,C20:C20)</f>
        <v>0</v>
      </c>
      <c r="D19" s="238"/>
      <c r="E19" s="227" t="e">
        <f>C19/C5</f>
        <v>#REF!</v>
      </c>
      <c r="F19" s="239">
        <f>SUBTOTAL(9,F20:F20)</f>
        <v>0</v>
      </c>
      <c r="G19" s="232">
        <v>0</v>
      </c>
      <c r="H19" s="227" t="e">
        <f>F19/F5</f>
        <v>#REF!</v>
      </c>
      <c r="I19" s="182">
        <f>SUBTOTAL(9,I20:I20)</f>
        <v>0</v>
      </c>
      <c r="J19" s="227" t="e">
        <f>I19/$I$5</f>
        <v>#REF!</v>
      </c>
      <c r="K19" s="296"/>
      <c r="L19" s="296"/>
      <c r="M19" s="293"/>
    </row>
    <row r="20" spans="1:13" ht="76.5" outlineLevel="2" x14ac:dyDescent="0.25">
      <c r="A20" s="233">
        <v>1</v>
      </c>
      <c r="B20" s="234" t="s">
        <v>36</v>
      </c>
      <c r="C20" s="235">
        <f>SUMIFS('PL1.1 ML2027-2028'!$G:$G,'PL1.1 ML2027-2028'!$J:$J,K20,'PL1.1 ML2027-2028'!$K:$K,L20)/10^6</f>
        <v>0</v>
      </c>
      <c r="D20" s="237" t="s">
        <v>176</v>
      </c>
      <c r="E20" s="240"/>
      <c r="F20" s="241">
        <f>SUMIFS('PL1.1 ML2027-2028'!$H:$H,'PL1.1 ML2027-2028'!$J:$J,K20,'PL1.1 ML2027-2028'!$K:$K,L20)/10^6</f>
        <v>0</v>
      </c>
      <c r="G20" s="237" t="s">
        <v>177</v>
      </c>
      <c r="H20" s="236"/>
      <c r="I20" s="231">
        <f t="shared" ref="I20:I34" si="5">C20+F20</f>
        <v>0</v>
      </c>
      <c r="J20" s="236" t="e">
        <f>I20/$I$5</f>
        <v>#REF!</v>
      </c>
      <c r="K20" s="121" t="s">
        <v>14</v>
      </c>
      <c r="L20" s="121" t="s">
        <v>69</v>
      </c>
      <c r="M20" s="293"/>
    </row>
    <row r="21" spans="1:13" s="204" customFormat="1" outlineLevel="1" x14ac:dyDescent="0.25">
      <c r="A21" s="33" t="s">
        <v>18</v>
      </c>
      <c r="B21" s="229" t="s">
        <v>37</v>
      </c>
      <c r="C21" s="226">
        <f>SUBTOTAL(9,C22:C24)</f>
        <v>0</v>
      </c>
      <c r="D21" s="242"/>
      <c r="E21" s="243" t="e">
        <f>C21/C5</f>
        <v>#REF!</v>
      </c>
      <c r="F21" s="182">
        <f>SUBTOTAL(9,F22:F24)</f>
        <v>0</v>
      </c>
      <c r="G21" s="232">
        <v>0</v>
      </c>
      <c r="H21" s="227" t="e">
        <f>F21/F5</f>
        <v>#REF!</v>
      </c>
      <c r="I21" s="182">
        <f>SUBTOTAL(9,I22:I24)</f>
        <v>0</v>
      </c>
      <c r="J21" s="227" t="e">
        <f>I21/$I$5</f>
        <v>#REF!</v>
      </c>
      <c r="K21" s="150"/>
      <c r="L21" s="150"/>
      <c r="M21" s="295"/>
    </row>
    <row r="22" spans="1:13" ht="25.5" outlineLevel="2" x14ac:dyDescent="0.25">
      <c r="A22" s="233">
        <v>1</v>
      </c>
      <c r="B22" s="234" t="s">
        <v>74</v>
      </c>
      <c r="C22" s="235">
        <f>SUMIFS('PL1.1 ML2027-2028'!$G:$G,'PL1.1 ML2027-2028'!$K:$K,L22)/10^6</f>
        <v>0</v>
      </c>
      <c r="D22" s="237"/>
      <c r="E22" s="244"/>
      <c r="F22" s="241">
        <f>SUMIFS('PL1.1 ML2027-2028'!$H:$H,'PL1.1 ML2027-2028'!$K:$K,L22)/10^6</f>
        <v>0</v>
      </c>
      <c r="G22" s="245"/>
      <c r="H22" s="236"/>
      <c r="I22" s="231">
        <f t="shared" si="5"/>
        <v>0</v>
      </c>
      <c r="J22" s="236" t="e">
        <f t="shared" ref="J22:J24" si="6">I22/$I$5</f>
        <v>#REF!</v>
      </c>
      <c r="K22" s="121"/>
      <c r="L22" s="121" t="s">
        <v>70</v>
      </c>
      <c r="M22" s="293"/>
    </row>
    <row r="23" spans="1:13" outlineLevel="2" x14ac:dyDescent="0.25">
      <c r="A23" s="233">
        <v>2</v>
      </c>
      <c r="B23" s="234" t="s">
        <v>75</v>
      </c>
      <c r="C23" s="235">
        <f>SUMIFS('PL1.1 ML2027-2028'!$G:$G,'PL1.1 ML2027-2028'!$K:$K,L23)/10^6</f>
        <v>0</v>
      </c>
      <c r="D23" s="110"/>
      <c r="E23" s="236"/>
      <c r="F23" s="241">
        <f>SUMIFS('PL1.1 ML2027-2028'!$H:$H,'PL1.1 ML2027-2028'!$K:$K,L23)/10^6</f>
        <v>0</v>
      </c>
      <c r="G23" s="232">
        <v>0</v>
      </c>
      <c r="H23" s="236"/>
      <c r="I23" s="231">
        <f t="shared" si="5"/>
        <v>0</v>
      </c>
      <c r="J23" s="236" t="e">
        <f t="shared" si="6"/>
        <v>#REF!</v>
      </c>
      <c r="K23" s="121"/>
      <c r="L23" s="121" t="s">
        <v>71</v>
      </c>
      <c r="M23" s="293"/>
    </row>
    <row r="24" spans="1:13" outlineLevel="2" x14ac:dyDescent="0.25">
      <c r="A24" s="233">
        <v>3</v>
      </c>
      <c r="B24" s="234" t="s">
        <v>76</v>
      </c>
      <c r="C24" s="235">
        <f>SUMIFS('PL1.1 ML2027-2028'!$G:$G,'PL1.1 ML2027-2028'!$K:$K,L24)/10^6</f>
        <v>0</v>
      </c>
      <c r="D24" s="110"/>
      <c r="E24" s="236"/>
      <c r="F24" s="241">
        <f>SUMIFS('PL1.1 ML2027-2028'!$H:$H,'PL1.1 ML2027-2028'!$K:$K,L24)/10^6</f>
        <v>0</v>
      </c>
      <c r="G24" s="232">
        <v>0</v>
      </c>
      <c r="H24" s="236"/>
      <c r="I24" s="231">
        <f t="shared" si="5"/>
        <v>0</v>
      </c>
      <c r="J24" s="236" t="e">
        <f t="shared" si="6"/>
        <v>#REF!</v>
      </c>
      <c r="K24" s="121"/>
      <c r="L24" s="121" t="s">
        <v>66</v>
      </c>
      <c r="M24" s="293"/>
    </row>
    <row r="25" spans="1:13" s="204" customFormat="1" outlineLevel="1" x14ac:dyDescent="0.25">
      <c r="A25" s="33" t="s">
        <v>20</v>
      </c>
      <c r="B25" s="229" t="s">
        <v>21</v>
      </c>
      <c r="C25" s="226">
        <f>SUBTOTAL(9,C26:C28)</f>
        <v>0</v>
      </c>
      <c r="D25" s="242"/>
      <c r="E25" s="243" t="e">
        <f>C25/C5</f>
        <v>#REF!</v>
      </c>
      <c r="F25" s="231">
        <f>SUBTOTAL(9,F26:F28)</f>
        <v>0</v>
      </c>
      <c r="G25" s="232">
        <v>0</v>
      </c>
      <c r="H25" s="227" t="e">
        <f>F25/F5</f>
        <v>#REF!</v>
      </c>
      <c r="I25" s="182">
        <f>SUBTOTAL(9,I26:I28)</f>
        <v>0</v>
      </c>
      <c r="J25" s="227" t="e">
        <f>I25/$I$5</f>
        <v>#REF!</v>
      </c>
      <c r="K25" s="150"/>
      <c r="L25" s="150"/>
      <c r="M25" s="295"/>
    </row>
    <row r="26" spans="1:13" ht="38.25" outlineLevel="2" x14ac:dyDescent="0.25">
      <c r="A26" s="233">
        <v>1</v>
      </c>
      <c r="B26" s="234" t="s">
        <v>113</v>
      </c>
      <c r="C26" s="235">
        <f>SUMIFS('PL1.1 ML2027-2028'!$G:$G,'PL1.1 ML2027-2028'!$J:$J,K26,'PL1.1 ML2027-2028'!$K:$K,L26)/10^6</f>
        <v>0</v>
      </c>
      <c r="D26" s="110" t="s">
        <v>202</v>
      </c>
      <c r="E26" s="236"/>
      <c r="F26" s="241">
        <f>SUMIFS('PL1.1 ML2027-2028'!$H:$H,'PL1.1 ML2027-2028'!$J:$J,K26,'PL1.1 ML2027-2028'!$K:$K,L26)/10^6</f>
        <v>0</v>
      </c>
      <c r="G26" s="110" t="s">
        <v>202</v>
      </c>
      <c r="H26" s="236"/>
      <c r="I26" s="231">
        <f t="shared" si="5"/>
        <v>0</v>
      </c>
      <c r="J26" s="236" t="e">
        <f t="shared" ref="J26" si="7">I26/$I$5</f>
        <v>#REF!</v>
      </c>
      <c r="K26" s="121" t="s">
        <v>21</v>
      </c>
      <c r="L26" s="121" t="s">
        <v>116</v>
      </c>
      <c r="M26" s="293"/>
    </row>
    <row r="27" spans="1:13" ht="242.25" outlineLevel="2" x14ac:dyDescent="0.25">
      <c r="A27" s="233">
        <v>2</v>
      </c>
      <c r="B27" s="234" t="s">
        <v>114</v>
      </c>
      <c r="C27" s="235">
        <f>SUMIFS('PL1.1 ML2027-2028'!$G:$G,'PL1.1 ML2027-2028'!$J:$J,K27,'PL1.1 ML2027-2028'!$K:$K,L27)/10^6</f>
        <v>0</v>
      </c>
      <c r="D27" s="246" t="s">
        <v>204</v>
      </c>
      <c r="E27" s="236"/>
      <c r="F27" s="241">
        <f>SUMIFS('PL1.1 ML2027-2028'!$H:$H,'PL1.1 ML2027-2028'!$J:$J,K27,'PL1.1 ML2027-2028'!$K:$K,L27)/10^6</f>
        <v>0</v>
      </c>
      <c r="G27" s="246" t="s">
        <v>203</v>
      </c>
      <c r="H27" s="236"/>
      <c r="I27" s="231">
        <f t="shared" ref="I27" si="8">C27+F27</f>
        <v>0</v>
      </c>
      <c r="J27" s="236" t="e">
        <f>I27/$I$5</f>
        <v>#REF!</v>
      </c>
      <c r="K27" s="121" t="s">
        <v>21</v>
      </c>
      <c r="L27" s="121" t="s">
        <v>117</v>
      </c>
      <c r="M27" s="293"/>
    </row>
    <row r="28" spans="1:13" outlineLevel="2" x14ac:dyDescent="0.25">
      <c r="A28" s="233">
        <v>3</v>
      </c>
      <c r="B28" s="234" t="s">
        <v>120</v>
      </c>
      <c r="C28" s="235">
        <f>SUMIFS('PL1.1 ML2027-2028'!$G:$G,'PL1.1 ML2027-2028'!$J:$J,K28,'PL1.1 ML2027-2028'!$K:$K,L28)/10^6</f>
        <v>0</v>
      </c>
      <c r="D28" s="237" t="s">
        <v>121</v>
      </c>
      <c r="E28" s="236"/>
      <c r="F28" s="241">
        <f>SUMIFS('PL1.1 ML2027-2028'!$H:$H,'PL1.1 ML2027-2028'!$J:$J,K28,'PL1.1 ML2027-2028'!$K:$K,L28)/10^6</f>
        <v>0</v>
      </c>
      <c r="G28" s="232">
        <v>0</v>
      </c>
      <c r="H28" s="236"/>
      <c r="I28" s="231">
        <f>C28+F28</f>
        <v>0</v>
      </c>
      <c r="J28" s="236" t="e">
        <f>I28/$I$5</f>
        <v>#REF!</v>
      </c>
      <c r="K28" s="121" t="s">
        <v>21</v>
      </c>
      <c r="L28" s="121" t="s">
        <v>51</v>
      </c>
      <c r="M28" s="293"/>
    </row>
    <row r="29" spans="1:13" s="204" customFormat="1" outlineLevel="1" x14ac:dyDescent="0.25">
      <c r="A29" s="33" t="s">
        <v>50</v>
      </c>
      <c r="B29" s="229" t="s">
        <v>30</v>
      </c>
      <c r="C29" s="226" t="e">
        <f>SUBTOTAL(9,C30:C31)</f>
        <v>#REF!</v>
      </c>
      <c r="D29" s="242"/>
      <c r="E29" s="243" t="e">
        <f>C29/C5</f>
        <v>#REF!</v>
      </c>
      <c r="F29" s="182" t="e">
        <f>SUBTOTAL(9,F30:F31)</f>
        <v>#REF!</v>
      </c>
      <c r="G29" s="232">
        <v>0</v>
      </c>
      <c r="H29" s="227" t="e">
        <f>F29/F5</f>
        <v>#REF!</v>
      </c>
      <c r="I29" s="182" t="e">
        <f>SUBTOTAL(9,I30:I31)</f>
        <v>#REF!</v>
      </c>
      <c r="J29" s="227" t="e">
        <f>I29/$I$5</f>
        <v>#REF!</v>
      </c>
      <c r="K29" s="150"/>
      <c r="L29" s="150"/>
      <c r="M29" s="295"/>
    </row>
    <row r="30" spans="1:13" ht="25.5" outlineLevel="2" x14ac:dyDescent="0.25">
      <c r="A30" s="233">
        <v>1</v>
      </c>
      <c r="B30" s="234" t="s">
        <v>78</v>
      </c>
      <c r="C30" s="235">
        <f>'TH theo DV'!H13+'TH theo DV'!H16</f>
        <v>0</v>
      </c>
      <c r="D30" s="110" t="s">
        <v>196</v>
      </c>
      <c r="E30" s="236"/>
      <c r="F30" s="231">
        <f>'TH theo DV'!R13+'TH theo DV'!R16</f>
        <v>0</v>
      </c>
      <c r="G30" s="232">
        <v>0</v>
      </c>
      <c r="H30" s="236"/>
      <c r="I30" s="231">
        <f>C30+F30</f>
        <v>0</v>
      </c>
      <c r="J30" s="236" t="e">
        <f t="shared" ref="J30:J31" si="9">I30/$I$5</f>
        <v>#REF!</v>
      </c>
      <c r="K30" s="121" t="s">
        <v>17</v>
      </c>
      <c r="L30" s="121" t="s">
        <v>17</v>
      </c>
      <c r="M30" s="293"/>
    </row>
    <row r="31" spans="1:13" ht="51" outlineLevel="2" x14ac:dyDescent="0.25">
      <c r="A31" s="233">
        <v>2</v>
      </c>
      <c r="B31" s="234" t="s">
        <v>35</v>
      </c>
      <c r="C31" s="235" t="e">
        <f>'TH theo DV'!H14+'TH theo DV'!H17+'TH theo DV'!H18+'TH theo DV'!H19+'TH theo DV'!H20+'TH theo DV'!H21+'TH theo DV'!H22+'TH theo DV'!#REF!</f>
        <v>#REF!</v>
      </c>
      <c r="D31" s="110" t="s">
        <v>197</v>
      </c>
      <c r="E31" s="236"/>
      <c r="F31" s="231" t="e">
        <f>'TH theo DV'!R14+'TH theo DV'!R17+'TH theo DV'!R18+'TH theo DV'!R19+'TH theo DV'!R20+'TH theo DV'!R21+'TH theo DV'!R22+'TH theo DV'!#REF!</f>
        <v>#REF!</v>
      </c>
      <c r="G31" s="232">
        <v>0</v>
      </c>
      <c r="H31" s="236"/>
      <c r="I31" s="231" t="e">
        <f>C31+F31</f>
        <v>#REF!</v>
      </c>
      <c r="J31" s="236" t="e">
        <f t="shared" si="9"/>
        <v>#REF!</v>
      </c>
      <c r="K31" s="121" t="s">
        <v>17</v>
      </c>
      <c r="L31" s="121" t="s">
        <v>17</v>
      </c>
      <c r="M31" s="293"/>
    </row>
    <row r="32" spans="1:13" s="204" customFormat="1" outlineLevel="1" x14ac:dyDescent="0.25">
      <c r="A32" s="33" t="s">
        <v>50</v>
      </c>
      <c r="B32" s="229" t="s">
        <v>31</v>
      </c>
      <c r="C32" s="226" t="e">
        <f>SUBTOTAL(9,C33:C34)</f>
        <v>#REF!</v>
      </c>
      <c r="D32" s="247"/>
      <c r="E32" s="248" t="e">
        <f>C32/$C$5</f>
        <v>#REF!</v>
      </c>
      <c r="F32" s="231" t="e">
        <f>SUBTOTAL(9,F33:F34)</f>
        <v>#REF!</v>
      </c>
      <c r="G32" s="232">
        <v>0</v>
      </c>
      <c r="H32" s="248" t="e">
        <f>F32/$F$5</f>
        <v>#REF!</v>
      </c>
      <c r="I32" s="182" t="e">
        <f>SUBTOTAL(9,I33:I34)</f>
        <v>#REF!</v>
      </c>
      <c r="J32" s="227" t="e">
        <f>I32/$I$5</f>
        <v>#REF!</v>
      </c>
      <c r="K32" s="150"/>
      <c r="L32" s="150"/>
      <c r="M32" s="295"/>
    </row>
    <row r="33" spans="1:13" ht="127.5" outlineLevel="2" x14ac:dyDescent="0.25">
      <c r="A33" s="233">
        <v>1</v>
      </c>
      <c r="B33" s="234" t="s">
        <v>78</v>
      </c>
      <c r="C33" s="235">
        <f>'TH theo DV'!J13+'TH theo DV'!J16</f>
        <v>0</v>
      </c>
      <c r="D33" s="110" t="s">
        <v>172</v>
      </c>
      <c r="E33" s="249"/>
      <c r="F33" s="231">
        <f>'TH theo DV'!T13+'TH theo DV'!T16</f>
        <v>0</v>
      </c>
      <c r="G33" s="232">
        <v>0</v>
      </c>
      <c r="H33" s="249"/>
      <c r="I33" s="231">
        <f t="shared" si="5"/>
        <v>0</v>
      </c>
      <c r="J33" s="236" t="e">
        <f t="shared" ref="J33:J34" si="10">I33/$I$5</f>
        <v>#REF!</v>
      </c>
      <c r="K33" s="121" t="s">
        <v>6</v>
      </c>
      <c r="L33" s="121" t="s">
        <v>6</v>
      </c>
      <c r="M33" s="293"/>
    </row>
    <row r="34" spans="1:13" ht="25.5" outlineLevel="2" x14ac:dyDescent="0.25">
      <c r="A34" s="233">
        <v>2</v>
      </c>
      <c r="B34" s="234" t="s">
        <v>35</v>
      </c>
      <c r="C34" s="235" t="e">
        <f>'TH theo DV'!J14+'TH theo DV'!J17+'TH theo DV'!J18+'TH theo DV'!J19+'TH theo DV'!J20+'TH theo DV'!J21+'TH theo DV'!J22+'TH theo DV'!#REF!</f>
        <v>#REF!</v>
      </c>
      <c r="D34" s="250"/>
      <c r="E34" s="249"/>
      <c r="F34" s="231" t="e">
        <f>'TH theo DV'!T14+'TH theo DV'!T17+'TH theo DV'!T18+'TH theo DV'!T19+'TH theo DV'!T20+'TH theo DV'!T21+'TH theo DV'!T22+'TH theo DV'!#REF!</f>
        <v>#REF!</v>
      </c>
      <c r="G34" s="250"/>
      <c r="H34" s="249"/>
      <c r="I34" s="231" t="e">
        <f t="shared" si="5"/>
        <v>#REF!</v>
      </c>
      <c r="J34" s="236" t="e">
        <f t="shared" si="10"/>
        <v>#REF!</v>
      </c>
      <c r="K34" s="121" t="s">
        <v>6</v>
      </c>
      <c r="L34" s="121" t="s">
        <v>6</v>
      </c>
      <c r="M34" s="293"/>
    </row>
    <row r="35" spans="1:13" x14ac:dyDescent="0.25">
      <c r="A35" s="13" t="s">
        <v>23</v>
      </c>
      <c r="B35" s="15" t="s">
        <v>159</v>
      </c>
      <c r="C35" s="212">
        <f>SUBTOTAL(9,C36:C41)</f>
        <v>0</v>
      </c>
      <c r="D35" s="284"/>
      <c r="E35" s="285" t="e">
        <f>C35/$C$5</f>
        <v>#REF!</v>
      </c>
      <c r="F35" s="46">
        <f>SUBTOTAL(9,F36:F41)</f>
        <v>0</v>
      </c>
      <c r="G35" s="284"/>
      <c r="H35" s="286" t="e">
        <f>F35/$F$5</f>
        <v>#REF!</v>
      </c>
      <c r="I35" s="46">
        <f>SUBTOTAL(9,I36:I41)</f>
        <v>0</v>
      </c>
      <c r="J35" s="285" t="e">
        <f>I35/$I$5</f>
        <v>#REF!</v>
      </c>
      <c r="K35" s="121"/>
      <c r="L35" s="121"/>
      <c r="M35" s="293"/>
    </row>
    <row r="36" spans="1:13" ht="12.95" customHeight="1" outlineLevel="1" x14ac:dyDescent="0.25">
      <c r="A36" s="215">
        <v>1</v>
      </c>
      <c r="B36" s="216" t="s">
        <v>29</v>
      </c>
      <c r="C36" s="217">
        <f>SUMIFS('PL1.1 ML2027-2028'!$G:$G,'PL1.1 ML2027-2028'!$J:$J,K36,'PL1.1 ML2027-2028'!$K:$K,L36)/10^6</f>
        <v>0</v>
      </c>
      <c r="D36" s="218" t="s">
        <v>191</v>
      </c>
      <c r="E36" s="287"/>
      <c r="F36" s="220">
        <f>SUMIFS('PL1.1 ML2027-2028'!$H:$H,'PL1.1 ML2027-2028'!$J:$J,K36,'PL1.1 ML2027-2028'!$K:$K,L36)/10^6</f>
        <v>0</v>
      </c>
      <c r="G36" s="214" t="s">
        <v>191</v>
      </c>
      <c r="H36" s="219"/>
      <c r="I36" s="213">
        <f t="shared" ref="I36:I41" si="11">C36+F36</f>
        <v>0</v>
      </c>
      <c r="J36" s="219" t="e">
        <f t="shared" ref="J36:J41" si="12">I36/$I$5</f>
        <v>#REF!</v>
      </c>
      <c r="K36" s="121" t="s">
        <v>7</v>
      </c>
      <c r="L36" s="121" t="s">
        <v>160</v>
      </c>
      <c r="M36" s="293"/>
    </row>
    <row r="37" spans="1:13" ht="12.95" customHeight="1" outlineLevel="1" x14ac:dyDescent="0.25">
      <c r="A37" s="215">
        <v>2</v>
      </c>
      <c r="B37" s="216" t="s">
        <v>28</v>
      </c>
      <c r="C37" s="217">
        <f>SUMIFS('PL1.1 ML2027-2028'!$G:$G,'PL1.1 ML2027-2028'!$J:$J,K37,'PL1.1 ML2027-2028'!$K:$K,L37)/10^6</f>
        <v>0</v>
      </c>
      <c r="D37" s="218"/>
      <c r="E37" s="287"/>
      <c r="F37" s="220">
        <f>SUMIFS('PL1.1 ML2027-2028'!$H:$H,'PL1.1 ML2027-2028'!$J:$J,K37,'PL1.1 ML2027-2028'!$K:$K,L37)/10^6</f>
        <v>0</v>
      </c>
      <c r="G37" s="218"/>
      <c r="H37" s="219"/>
      <c r="I37" s="213">
        <f t="shared" si="11"/>
        <v>0</v>
      </c>
      <c r="J37" s="219" t="e">
        <f t="shared" si="12"/>
        <v>#REF!</v>
      </c>
      <c r="K37" s="121" t="s">
        <v>14</v>
      </c>
      <c r="L37" s="121" t="s">
        <v>160</v>
      </c>
      <c r="M37" s="293"/>
    </row>
    <row r="38" spans="1:13" ht="12.95" customHeight="1" outlineLevel="1" x14ac:dyDescent="0.25">
      <c r="A38" s="215">
        <v>3</v>
      </c>
      <c r="B38" s="216" t="s">
        <v>21</v>
      </c>
      <c r="C38" s="217">
        <f>SUMIFS('PL1.1 ML2027-2028'!$G:$G,'PL1.1 ML2027-2028'!$J:$J,K38,'PL1.1 ML2027-2028'!$K:$K,L38)/10^6</f>
        <v>0</v>
      </c>
      <c r="D38" s="221" t="s">
        <v>134</v>
      </c>
      <c r="E38" s="219"/>
      <c r="F38" s="220">
        <f>SUMIFS('PL1.1 ML2027-2028'!$H:$H,'PL1.1 ML2027-2028'!$J:$J,K38,'PL1.1 ML2027-2028'!$K:$K,L38)/10^6</f>
        <v>0</v>
      </c>
      <c r="G38" s="214">
        <v>0</v>
      </c>
      <c r="H38" s="219"/>
      <c r="I38" s="213">
        <f t="shared" si="11"/>
        <v>0</v>
      </c>
      <c r="J38" s="219" t="e">
        <f t="shared" si="12"/>
        <v>#REF!</v>
      </c>
      <c r="K38" s="121" t="s">
        <v>21</v>
      </c>
      <c r="L38" s="121" t="s">
        <v>160</v>
      </c>
      <c r="M38" s="293"/>
    </row>
    <row r="39" spans="1:13" outlineLevel="1" x14ac:dyDescent="0.25">
      <c r="A39" s="215">
        <v>4</v>
      </c>
      <c r="B39" s="216" t="s">
        <v>30</v>
      </c>
      <c r="C39" s="217">
        <f>SUMIFS('PL1.1 ML2027-2028'!$G:$G,'PL1.1 ML2027-2028'!$J:$J,K39,'PL1.1 ML2027-2028'!$K:$K,L39)/10^6</f>
        <v>0</v>
      </c>
      <c r="D39" s="218" t="s">
        <v>199</v>
      </c>
      <c r="E39" s="219"/>
      <c r="F39" s="220">
        <f>SUMIFS('PL1.1 ML2027-2028'!$H:$H,'PL1.1 ML2027-2028'!$J:$J,K39,'PL1.1 ML2027-2028'!$K:$K,L39)/10^6</f>
        <v>0</v>
      </c>
      <c r="G39" s="214">
        <v>0</v>
      </c>
      <c r="H39" s="219"/>
      <c r="I39" s="213">
        <f t="shared" si="11"/>
        <v>0</v>
      </c>
      <c r="J39" s="219" t="e">
        <f t="shared" si="12"/>
        <v>#REF!</v>
      </c>
      <c r="K39" s="121" t="s">
        <v>17</v>
      </c>
      <c r="L39" s="121" t="s">
        <v>160</v>
      </c>
      <c r="M39" s="293"/>
    </row>
    <row r="40" spans="1:13" ht="89.25" outlineLevel="1" x14ac:dyDescent="0.25">
      <c r="A40" s="215">
        <v>5</v>
      </c>
      <c r="B40" s="216" t="s">
        <v>37</v>
      </c>
      <c r="C40" s="217">
        <f>SUMIFS('PL1.1 ML2027-2028'!$G:$G,'PL1.1 ML2027-2028'!$J:$J,K40,'PL1.1 ML2027-2028'!$K:$K,L40)/10^6</f>
        <v>0</v>
      </c>
      <c r="D40" s="218" t="s">
        <v>126</v>
      </c>
      <c r="E40" s="219"/>
      <c r="F40" s="220">
        <f>SUMIFS('PL1.1 ML2027-2028'!$H:$H,'PL1.1 ML2027-2028'!$J:$J,K40,'PL1.1 ML2027-2028'!$K:$K,L40)/10^6</f>
        <v>0</v>
      </c>
      <c r="G40" s="214">
        <v>0</v>
      </c>
      <c r="H40" s="219"/>
      <c r="I40" s="213">
        <f t="shared" si="11"/>
        <v>0</v>
      </c>
      <c r="J40" s="219" t="e">
        <f t="shared" si="12"/>
        <v>#REF!</v>
      </c>
      <c r="K40" s="121" t="s">
        <v>19</v>
      </c>
      <c r="L40" s="121" t="s">
        <v>160</v>
      </c>
      <c r="M40" s="293"/>
    </row>
    <row r="41" spans="1:13" ht="63.75" outlineLevel="1" x14ac:dyDescent="0.25">
      <c r="A41" s="215">
        <v>5</v>
      </c>
      <c r="B41" s="216" t="s">
        <v>31</v>
      </c>
      <c r="C41" s="217">
        <f>SUMIFS('PL1.1 ML2027-2028'!$G:$G,'PL1.1 ML2027-2028'!$J:$J,K41,'PL1.1 ML2027-2028'!$K:$K,L41)/10^6</f>
        <v>0</v>
      </c>
      <c r="D41" s="218" t="s">
        <v>128</v>
      </c>
      <c r="E41" s="219"/>
      <c r="F41" s="220">
        <f>SUMIFS('PL1.1 ML2027-2028'!$H:$H,'PL1.1 ML2027-2028'!$J:$J,K41,'PL1.1 ML2027-2028'!$K:$K,L41)/10^6</f>
        <v>0</v>
      </c>
      <c r="G41" s="214">
        <v>0</v>
      </c>
      <c r="H41" s="219"/>
      <c r="I41" s="213">
        <f t="shared" si="11"/>
        <v>0</v>
      </c>
      <c r="J41" s="219" t="e">
        <f t="shared" si="12"/>
        <v>#REF!</v>
      </c>
      <c r="K41" s="121" t="s">
        <v>6</v>
      </c>
      <c r="L41" s="121" t="s">
        <v>160</v>
      </c>
      <c r="M41" s="293"/>
    </row>
    <row r="42" spans="1:13" ht="25.5" x14ac:dyDescent="0.25">
      <c r="A42" s="251" t="s">
        <v>23</v>
      </c>
      <c r="B42" s="252" t="s">
        <v>73</v>
      </c>
      <c r="C42" s="253">
        <f>SUBTOTAL(9,C43:C48)</f>
        <v>0</v>
      </c>
      <c r="D42" s="254"/>
      <c r="E42" s="255" t="e">
        <f>C42/$C$5</f>
        <v>#REF!</v>
      </c>
      <c r="F42" s="256">
        <f>SUBTOTAL(9,F43:F48)</f>
        <v>0</v>
      </c>
      <c r="G42" s="254"/>
      <c r="H42" s="257" t="e">
        <f>F42/$F$5</f>
        <v>#REF!</v>
      </c>
      <c r="I42" s="256">
        <f>SUBTOTAL(9,I43:I48)</f>
        <v>0</v>
      </c>
      <c r="J42" s="255" t="e">
        <f>I42/$I$5</f>
        <v>#REF!</v>
      </c>
      <c r="K42" s="121"/>
      <c r="L42" s="121"/>
      <c r="M42" s="293"/>
    </row>
    <row r="43" spans="1:13" ht="25.5" outlineLevel="1" x14ac:dyDescent="0.25">
      <c r="A43" s="258">
        <v>1</v>
      </c>
      <c r="B43" s="259" t="s">
        <v>29</v>
      </c>
      <c r="C43" s="260">
        <f>SUMIFS('PL1.1 ML2027-2028'!$G:$G,'PL1.1 ML2027-2028'!$J:$J,K43,'PL1.1 ML2027-2028'!$K:$K,L43)/10^6</f>
        <v>0</v>
      </c>
      <c r="D43" s="261" t="s">
        <v>192</v>
      </c>
      <c r="E43" s="262"/>
      <c r="F43" s="263">
        <f>SUMIFS('PL1.1 ML2027-2028'!$H:$H,'PL1.1 ML2027-2028'!$J:$J,K43,'PL1.1 ML2027-2028'!$K:$K,L43)/10^6</f>
        <v>0</v>
      </c>
      <c r="G43" s="261" t="s">
        <v>192</v>
      </c>
      <c r="H43" s="264"/>
      <c r="I43" s="265">
        <f t="shared" ref="I43:I48" si="13">C43+F43</f>
        <v>0</v>
      </c>
      <c r="J43" s="264" t="e">
        <f t="shared" ref="J43:J48" si="14">I43/$I$5</f>
        <v>#REF!</v>
      </c>
      <c r="K43" s="121" t="s">
        <v>7</v>
      </c>
      <c r="L43" s="121" t="s">
        <v>77</v>
      </c>
      <c r="M43" s="293"/>
    </row>
    <row r="44" spans="1:13" ht="38.25" outlineLevel="1" x14ac:dyDescent="0.25">
      <c r="A44" s="258">
        <v>2</v>
      </c>
      <c r="B44" s="259" t="s">
        <v>28</v>
      </c>
      <c r="C44" s="260">
        <f>SUMIFS('PL1.1 ML2027-2028'!$G:$G,'PL1.1 ML2027-2028'!$J:$J,K44,'PL1.1 ML2027-2028'!$K:$K,L44)/10^6</f>
        <v>0</v>
      </c>
      <c r="D44" s="261" t="s">
        <v>178</v>
      </c>
      <c r="E44" s="262"/>
      <c r="F44" s="263">
        <f>SUMIFS('PL1.1 ML2027-2028'!$H:$H,'PL1.1 ML2027-2028'!$J:$J,K44,'PL1.1 ML2027-2028'!$K:$K,L44)/10^6</f>
        <v>0</v>
      </c>
      <c r="G44" s="266" t="s">
        <v>179</v>
      </c>
      <c r="H44" s="264"/>
      <c r="I44" s="265">
        <f t="shared" si="13"/>
        <v>0</v>
      </c>
      <c r="J44" s="264" t="e">
        <f t="shared" si="14"/>
        <v>#REF!</v>
      </c>
      <c r="K44" s="121" t="s">
        <v>14</v>
      </c>
      <c r="L44" s="121" t="s">
        <v>77</v>
      </c>
      <c r="M44" s="293"/>
    </row>
    <row r="45" spans="1:13" ht="38.25" outlineLevel="1" x14ac:dyDescent="0.25">
      <c r="A45" s="258">
        <v>3</v>
      </c>
      <c r="B45" s="259" t="s">
        <v>21</v>
      </c>
      <c r="C45" s="260">
        <f>SUMIFS('PL1.1 ML2027-2028'!$G:$G,'PL1.1 ML2027-2028'!$J:$J,K45,'PL1.1 ML2027-2028'!$K:$K,L45)/10^6</f>
        <v>0</v>
      </c>
      <c r="D45" s="267" t="s">
        <v>134</v>
      </c>
      <c r="E45" s="264"/>
      <c r="F45" s="263">
        <f>SUMIFS('PL1.1 ML2027-2028'!$H:$H,'PL1.1 ML2027-2028'!$J:$J,K45,'PL1.1 ML2027-2028'!$K:$K,L45)/10^6</f>
        <v>0</v>
      </c>
      <c r="G45" s="268">
        <v>0</v>
      </c>
      <c r="H45" s="264"/>
      <c r="I45" s="265">
        <f t="shared" si="13"/>
        <v>0</v>
      </c>
      <c r="J45" s="264" t="e">
        <f t="shared" si="14"/>
        <v>#REF!</v>
      </c>
      <c r="K45" s="121" t="s">
        <v>21</v>
      </c>
      <c r="L45" s="121" t="s">
        <v>77</v>
      </c>
      <c r="M45" s="293"/>
    </row>
    <row r="46" spans="1:13" outlineLevel="1" x14ac:dyDescent="0.25">
      <c r="A46" s="258">
        <v>4</v>
      </c>
      <c r="B46" s="259" t="s">
        <v>30</v>
      </c>
      <c r="C46" s="260">
        <f>SUMIFS('PL1.1 ML2027-2028'!$G:$G,'PL1.1 ML2027-2028'!$J:$J,K46,'PL1.1 ML2027-2028'!$K:$K,L46)/10^6</f>
        <v>0</v>
      </c>
      <c r="D46" s="261"/>
      <c r="E46" s="264"/>
      <c r="F46" s="263">
        <f>SUMIFS('PL1.1 ML2027-2028'!$H:$H,'PL1.1 ML2027-2028'!$J:$J,K46,'PL1.1 ML2027-2028'!$K:$K,L46)/10^6</f>
        <v>0</v>
      </c>
      <c r="G46" s="268">
        <v>0</v>
      </c>
      <c r="H46" s="264"/>
      <c r="I46" s="265">
        <f t="shared" si="13"/>
        <v>0</v>
      </c>
      <c r="J46" s="264" t="e">
        <f t="shared" si="14"/>
        <v>#REF!</v>
      </c>
      <c r="K46" s="121" t="s">
        <v>17</v>
      </c>
      <c r="L46" s="121" t="s">
        <v>77</v>
      </c>
      <c r="M46" s="293"/>
    </row>
    <row r="47" spans="1:13" outlineLevel="1" x14ac:dyDescent="0.25">
      <c r="A47" s="258">
        <v>5</v>
      </c>
      <c r="B47" s="259" t="s">
        <v>37</v>
      </c>
      <c r="C47" s="260">
        <f>SUMIFS('PL1.1 ML2027-2028'!$G:$G,'PL1.1 ML2027-2028'!$J:$J,K47,'PL1.1 ML2027-2028'!$K:$K,L47)/10^6</f>
        <v>0</v>
      </c>
      <c r="D47" s="261"/>
      <c r="E47" s="264"/>
      <c r="F47" s="263">
        <f>SUMIFS('PL1.1 ML2027-2028'!$H:$H,'PL1.1 ML2027-2028'!$J:$J,K47,'PL1.1 ML2027-2028'!$K:$K,L47)/10^6</f>
        <v>0</v>
      </c>
      <c r="G47" s="268">
        <v>0</v>
      </c>
      <c r="H47" s="264"/>
      <c r="I47" s="265">
        <f t="shared" si="13"/>
        <v>0</v>
      </c>
      <c r="J47" s="264" t="e">
        <f t="shared" ref="J47" si="15">I47/$I$5</f>
        <v>#REF!</v>
      </c>
      <c r="K47" s="121" t="s">
        <v>19</v>
      </c>
      <c r="L47" s="121" t="s">
        <v>77</v>
      </c>
      <c r="M47" s="293"/>
    </row>
    <row r="48" spans="1:13" ht="63.75" outlineLevel="1" x14ac:dyDescent="0.25">
      <c r="A48" s="258">
        <v>5</v>
      </c>
      <c r="B48" s="259" t="s">
        <v>31</v>
      </c>
      <c r="C48" s="260">
        <f>SUMIFS('PL1.1 ML2027-2028'!$G:$G,'PL1.1 ML2027-2028'!$J:$J,K48,'PL1.1 ML2027-2028'!$K:$K,L48)/10^6</f>
        <v>0</v>
      </c>
      <c r="D48" s="261" t="s">
        <v>128</v>
      </c>
      <c r="E48" s="264"/>
      <c r="F48" s="263">
        <f>SUMIFS('PL1.1 ML2027-2028'!$H:$H,'PL1.1 ML2027-2028'!$J:$J,K48,'PL1.1 ML2027-2028'!$K:$K,L48)/10^6</f>
        <v>0</v>
      </c>
      <c r="G48" s="268">
        <v>0</v>
      </c>
      <c r="H48" s="264"/>
      <c r="I48" s="265">
        <f t="shared" si="13"/>
        <v>0</v>
      </c>
      <c r="J48" s="264" t="e">
        <f t="shared" si="14"/>
        <v>#REF!</v>
      </c>
      <c r="K48" s="121" t="s">
        <v>6</v>
      </c>
      <c r="L48" s="121" t="s">
        <v>77</v>
      </c>
      <c r="M48" s="293"/>
    </row>
    <row r="49" spans="1:14" x14ac:dyDescent="0.25">
      <c r="A49" s="33" t="s">
        <v>24</v>
      </c>
      <c r="B49" s="288" t="s">
        <v>59</v>
      </c>
      <c r="C49" s="226">
        <f>SUBTOTAL(9,C50:C53)</f>
        <v>0</v>
      </c>
      <c r="D49" s="283"/>
      <c r="E49" s="248" t="e">
        <f>C49/$C$5</f>
        <v>#REF!</v>
      </c>
      <c r="F49" s="182">
        <f>SUBTOTAL(9,F50:F53)</f>
        <v>0</v>
      </c>
      <c r="G49" s="283"/>
      <c r="H49" s="248" t="e">
        <f>F49/$F$5</f>
        <v>#REF!</v>
      </c>
      <c r="I49" s="182">
        <f>SUBTOTAL(9,I50:I53)</f>
        <v>0</v>
      </c>
      <c r="J49" s="248" t="e">
        <f>I49/$I$5</f>
        <v>#REF!</v>
      </c>
      <c r="K49" s="121"/>
      <c r="L49" s="121"/>
      <c r="M49" s="293"/>
    </row>
    <row r="50" spans="1:14" outlineLevel="1" x14ac:dyDescent="0.25">
      <c r="A50" s="233">
        <v>1</v>
      </c>
      <c r="B50" s="234" t="s">
        <v>29</v>
      </c>
      <c r="C50" s="235">
        <f>SUMIFS('PL1.1 ML2027-2028'!$G:$G,'PL1.1 ML2027-2028'!$J:$J,K50,'PL1.1 ML2027-2028'!$K:$K,L50)/10^6</f>
        <v>0</v>
      </c>
      <c r="D50" s="237" t="s">
        <v>135</v>
      </c>
      <c r="E50" s="236"/>
      <c r="F50" s="241">
        <f>SUMIFS('PL1.1 ML2027-2028'!$H:$H,'PL1.1 ML2027-2028'!$J:$J,K50,'PL1.1 ML2027-2028'!$K:$K,L50)/10^6</f>
        <v>0</v>
      </c>
      <c r="G50" s="232">
        <v>0</v>
      </c>
      <c r="H50" s="236"/>
      <c r="I50" s="231">
        <f>C50+F50</f>
        <v>0</v>
      </c>
      <c r="J50" s="236" t="e">
        <f t="shared" ref="J50:J53" si="16">I50/$I$5</f>
        <v>#REF!</v>
      </c>
      <c r="K50" s="121" t="s">
        <v>7</v>
      </c>
      <c r="L50" s="121" t="s">
        <v>118</v>
      </c>
      <c r="M50" s="293"/>
    </row>
    <row r="51" spans="1:14" ht="25.5" outlineLevel="1" x14ac:dyDescent="0.25">
      <c r="A51" s="233">
        <v>2</v>
      </c>
      <c r="B51" s="234" t="s">
        <v>37</v>
      </c>
      <c r="C51" s="235">
        <f>SUMIFS('PL1.1 ML2027-2028'!$G:$G,'PL1.1 ML2027-2028'!$J:$J,K51,'PL1.1 ML2027-2028'!$K:$K,L51)/10^6</f>
        <v>0</v>
      </c>
      <c r="D51" s="237" t="s">
        <v>119</v>
      </c>
      <c r="E51" s="236"/>
      <c r="F51" s="241">
        <f>SUMIFS('PL1.1 ML2027-2028'!$H:$H,'PL1.1 ML2027-2028'!$J:$J,K51,'PL1.1 ML2027-2028'!$K:$K,L51)/10^6</f>
        <v>0</v>
      </c>
      <c r="G51" s="232">
        <v>0</v>
      </c>
      <c r="H51" s="236"/>
      <c r="I51" s="231">
        <f>C51+F51</f>
        <v>0</v>
      </c>
      <c r="J51" s="236" t="e">
        <f t="shared" si="16"/>
        <v>#REF!</v>
      </c>
      <c r="K51" s="121" t="s">
        <v>19</v>
      </c>
      <c r="L51" s="121" t="s">
        <v>118</v>
      </c>
      <c r="M51" s="293"/>
    </row>
    <row r="52" spans="1:14" ht="51" outlineLevel="1" x14ac:dyDescent="0.25">
      <c r="A52" s="233">
        <v>3</v>
      </c>
      <c r="B52" s="234" t="s">
        <v>30</v>
      </c>
      <c r="C52" s="235">
        <f>SUMIFS('PL1.1 ML2027-2028'!$G:$G,'PL1.1 ML2027-2028'!$J:$J,K52,'PL1.1 ML2027-2028'!$K:$K,L52)/10^6+SUMIFS('PL1.1 ML2027-2028'!$G:$G,'PL1.1 ML2027-2028'!$J:$J,M52,'PL1.1 ML2027-2028'!$K:$K,L52)/10^6</f>
        <v>0</v>
      </c>
      <c r="D52" s="110" t="s">
        <v>198</v>
      </c>
      <c r="E52" s="289"/>
      <c r="F52" s="241">
        <f>SUMIFS('PL1.1 ML2027-2028'!$H:$H,'PL1.1 ML2027-2028'!$J:$J,K52,'PL1.1 ML2027-2028'!$K:$K,L52)/10^6+SUMIFS('PL1.1 ML2027-2028'!$H:$H,'PL1.1 ML2027-2028'!$J:$J,M52,'PL1.1 ML2027-2028'!$K:$K,L52)/10^6</f>
        <v>0</v>
      </c>
      <c r="G52" s="232">
        <v>0</v>
      </c>
      <c r="H52" s="289"/>
      <c r="I52" s="231">
        <f>C52+F52</f>
        <v>0</v>
      </c>
      <c r="J52" s="236" t="e">
        <f t="shared" si="16"/>
        <v>#REF!</v>
      </c>
      <c r="K52" s="121" t="s">
        <v>17</v>
      </c>
      <c r="L52" s="121" t="s">
        <v>118</v>
      </c>
      <c r="M52" s="121" t="s">
        <v>9</v>
      </c>
      <c r="N52" s="124"/>
    </row>
    <row r="53" spans="1:14" ht="102" outlineLevel="1" x14ac:dyDescent="0.25">
      <c r="A53" s="233">
        <v>4</v>
      </c>
      <c r="B53" s="234" t="s">
        <v>31</v>
      </c>
      <c r="C53" s="235">
        <f>SUMIFS('PL1.1 ML2027-2028'!$G:$G,'PL1.1 ML2027-2028'!$J:$J,K53,'PL1.1 ML2027-2028'!$K:$K,L53)/10^6</f>
        <v>0</v>
      </c>
      <c r="D53" s="110" t="s">
        <v>129</v>
      </c>
      <c r="E53" s="249"/>
      <c r="F53" s="241">
        <f>SUMIFS('PL1.1 ML2027-2028'!$H:$H,'PL1.1 ML2027-2028'!$J:$J,K53,'PL1.1 ML2027-2028'!$K:$K,L53)/10^6</f>
        <v>0</v>
      </c>
      <c r="G53" s="232">
        <v>0</v>
      </c>
      <c r="H53" s="249"/>
      <c r="I53" s="231">
        <f>C53+F53</f>
        <v>0</v>
      </c>
      <c r="J53" s="236" t="e">
        <f t="shared" si="16"/>
        <v>#REF!</v>
      </c>
      <c r="K53" s="121" t="s">
        <v>6</v>
      </c>
      <c r="L53" s="121" t="s">
        <v>118</v>
      </c>
      <c r="M53" s="293"/>
    </row>
    <row r="54" spans="1:14" ht="25.5" x14ac:dyDescent="0.25">
      <c r="A54" s="269" t="s">
        <v>25</v>
      </c>
      <c r="B54" s="290" t="s">
        <v>98</v>
      </c>
      <c r="C54" s="270">
        <f>SUBTOTAL(9,C55:C57)</f>
        <v>0</v>
      </c>
      <c r="D54" s="271"/>
      <c r="E54" s="272" t="e">
        <f>C54/$C$5</f>
        <v>#REF!</v>
      </c>
      <c r="F54" s="273">
        <f>SUBTOTAL(9,F55:F57)</f>
        <v>0</v>
      </c>
      <c r="G54" s="271"/>
      <c r="H54" s="272" t="e">
        <f>F54/$F$5</f>
        <v>#REF!</v>
      </c>
      <c r="I54" s="273">
        <f>SUBTOTAL(9,I55:I57)</f>
        <v>0</v>
      </c>
      <c r="J54" s="272" t="e">
        <f>I54/$I$5</f>
        <v>#REF!</v>
      </c>
      <c r="K54" s="121"/>
      <c r="L54" s="121"/>
      <c r="M54" s="293"/>
    </row>
    <row r="55" spans="1:14" ht="38.25" outlineLevel="1" x14ac:dyDescent="0.25">
      <c r="A55" s="274">
        <v>1</v>
      </c>
      <c r="B55" s="275" t="s">
        <v>29</v>
      </c>
      <c r="C55" s="276">
        <f>SUMIFS('PL1.1 ML2027-2028'!$G:$G,'PL1.1 ML2027-2028'!$J:$J,K55,'PL1.1 ML2027-2028'!$K:$K,L55)/10^6</f>
        <v>0</v>
      </c>
      <c r="D55" s="282" t="s">
        <v>138</v>
      </c>
      <c r="E55" s="280"/>
      <c r="F55" s="278">
        <f>SUMIFS('PL1.1 ML2027-2028'!$H:$H,'PL1.1 ML2027-2028'!$J:$J,K55,'PL1.1 ML2027-2028'!$K:$K,L55)/10^6</f>
        <v>0</v>
      </c>
      <c r="G55" s="279">
        <v>0</v>
      </c>
      <c r="H55" s="280"/>
      <c r="I55" s="281">
        <f>C55+F55</f>
        <v>0</v>
      </c>
      <c r="J55" s="280" t="e">
        <f t="shared" ref="J55:J57" si="17">I55/$I$5</f>
        <v>#REF!</v>
      </c>
      <c r="K55" s="121" t="s">
        <v>7</v>
      </c>
      <c r="L55" s="121" t="s">
        <v>99</v>
      </c>
      <c r="M55" s="293"/>
    </row>
    <row r="56" spans="1:14" ht="76.5" outlineLevel="1" x14ac:dyDescent="0.25">
      <c r="A56" s="274">
        <v>2</v>
      </c>
      <c r="B56" s="275" t="s">
        <v>30</v>
      </c>
      <c r="C56" s="276">
        <f>SUMIFS('PL1.1 ML2027-2028'!$G:$G,'PL1.1 ML2027-2028'!$J:$J,K56,'PL1.1 ML2027-2028'!$K:$K,L56)/10^6</f>
        <v>0</v>
      </c>
      <c r="D56" s="277" t="s">
        <v>127</v>
      </c>
      <c r="E56" s="291"/>
      <c r="F56" s="278">
        <f>SUMIFS('PL1.1 ML2027-2028'!$H:$H,'PL1.1 ML2027-2028'!$J:$J,K56,'PL1.1 ML2027-2028'!$K:$K,L56)/10^6</f>
        <v>0</v>
      </c>
      <c r="G56" s="279">
        <v>0</v>
      </c>
      <c r="H56" s="291"/>
      <c r="I56" s="281">
        <f>C56+F56</f>
        <v>0</v>
      </c>
      <c r="J56" s="280" t="e">
        <f t="shared" si="17"/>
        <v>#REF!</v>
      </c>
      <c r="K56" s="121" t="s">
        <v>17</v>
      </c>
      <c r="L56" s="121" t="s">
        <v>99</v>
      </c>
      <c r="M56" s="293"/>
    </row>
    <row r="57" spans="1:14" ht="51" outlineLevel="1" x14ac:dyDescent="0.25">
      <c r="A57" s="274">
        <v>3</v>
      </c>
      <c r="B57" s="275" t="s">
        <v>31</v>
      </c>
      <c r="C57" s="276">
        <f>SUMIFS('PL1.1 ML2027-2028'!$G:$G,'PL1.1 ML2027-2028'!$J:$J,K57,'PL1.1 ML2027-2028'!$K:$K,L57)/10^6</f>
        <v>0</v>
      </c>
      <c r="D57" s="277" t="s">
        <v>130</v>
      </c>
      <c r="E57" s="292"/>
      <c r="F57" s="278">
        <f>SUMIFS('PL1.1 ML2027-2028'!$H:$H,'PL1.1 ML2027-2028'!$J:$J,K57,'PL1.1 ML2027-2028'!$K:$K,L57)/10^6</f>
        <v>0</v>
      </c>
      <c r="G57" s="279">
        <v>0</v>
      </c>
      <c r="H57" s="292"/>
      <c r="I57" s="281">
        <f>C57+F57</f>
        <v>0</v>
      </c>
      <c r="J57" s="280" t="e">
        <f t="shared" si="17"/>
        <v>#REF!</v>
      </c>
      <c r="K57" s="121" t="s">
        <v>6</v>
      </c>
      <c r="L57" s="121" t="s">
        <v>99</v>
      </c>
      <c r="M57" s="293"/>
    </row>
  </sheetData>
  <autoFilter ref="A5:K57"/>
  <mergeCells count="8">
    <mergeCell ref="K3:M3"/>
    <mergeCell ref="A1:J1"/>
    <mergeCell ref="J3:J4"/>
    <mergeCell ref="A3:A4"/>
    <mergeCell ref="B3:B4"/>
    <mergeCell ref="C3:E3"/>
    <mergeCell ref="F3:H3"/>
    <mergeCell ref="I3:I4"/>
  </mergeCells>
  <pageMargins left="0.39" right="0.18" top="0.2" bottom="0.14000000000000001" header="0.21" footer="0.13"/>
  <pageSetup paperSize="9" scale="75" fitToHeight="0"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EE0033"/>
    <outlinePr summaryBelow="0" summaryRight="0"/>
    <pageSetUpPr fitToPage="1"/>
  </sheetPr>
  <dimension ref="A1:K29"/>
  <sheetViews>
    <sheetView zoomScale="90" zoomScaleNormal="90" workbookViewId="0">
      <pane xSplit="2" ySplit="3" topLeftCell="C4" activePane="bottomRight" state="frozen"/>
      <selection activeCell="N27" sqref="N27"/>
      <selection pane="topRight" activeCell="N27" sqref="N27"/>
      <selection pane="bottomLeft" activeCell="N27" sqref="N27"/>
      <selection pane="bottomRight" activeCell="F11" sqref="F11"/>
    </sheetView>
  </sheetViews>
  <sheetFormatPr defaultColWidth="9.28515625" defaultRowHeight="12.75" outlineLevelRow="1" x14ac:dyDescent="0.2"/>
  <cols>
    <col min="1" max="1" width="3.28515625" style="7" bestFit="1" customWidth="1"/>
    <col min="2" max="2" width="26.7109375" style="7" customWidth="1"/>
    <col min="3" max="3" width="78" style="7" customWidth="1"/>
    <col min="4" max="4" width="10.85546875" style="22" customWidth="1"/>
    <col min="5" max="5" width="7.140625" style="26" customWidth="1"/>
    <col min="6" max="6" width="59.5703125" style="7" customWidth="1"/>
    <col min="7" max="7" width="9.28515625" style="23" hidden="1" customWidth="1"/>
    <col min="8" max="8" width="14.28515625" style="38" customWidth="1"/>
    <col min="9" max="16384" width="9.28515625" style="7"/>
  </cols>
  <sheetData>
    <row r="1" spans="1:9" ht="18.75" x14ac:dyDescent="0.2">
      <c r="A1" s="657" t="s">
        <v>140</v>
      </c>
      <c r="B1" s="658"/>
      <c r="C1" s="658"/>
      <c r="D1" s="658"/>
      <c r="E1" s="658"/>
      <c r="F1" s="658"/>
      <c r="G1" s="25"/>
      <c r="H1" s="25"/>
      <c r="I1" s="25"/>
    </row>
    <row r="2" spans="1:9" x14ac:dyDescent="0.2">
      <c r="C2" s="53"/>
    </row>
    <row r="3" spans="1:9" ht="25.5" x14ac:dyDescent="0.2">
      <c r="A3" s="2" t="s">
        <v>0</v>
      </c>
      <c r="B3" s="3" t="s">
        <v>38</v>
      </c>
      <c r="C3" s="3" t="s">
        <v>39</v>
      </c>
      <c r="D3" s="63" t="s">
        <v>168</v>
      </c>
      <c r="E3" s="27" t="s">
        <v>40</v>
      </c>
      <c r="F3" s="3" t="s">
        <v>55</v>
      </c>
    </row>
    <row r="4" spans="1:9" x14ac:dyDescent="0.2">
      <c r="A4" s="2"/>
      <c r="B4" s="117" t="s">
        <v>34</v>
      </c>
      <c r="C4" s="117"/>
      <c r="D4" s="20">
        <f>SUBTOTAL(9,D5:D29)</f>
        <v>0</v>
      </c>
      <c r="E4" s="27"/>
      <c r="F4" s="117"/>
    </row>
    <row r="5" spans="1:9" x14ac:dyDescent="0.2">
      <c r="A5" s="2" t="s">
        <v>4</v>
      </c>
      <c r="B5" s="73" t="s">
        <v>107</v>
      </c>
      <c r="C5" s="74"/>
      <c r="D5" s="12">
        <f>SUBTOTAL(9,D6:D9)</f>
        <v>0</v>
      </c>
      <c r="E5" s="75" t="e">
        <f>D5/$D$4</f>
        <v>#DIV/0!</v>
      </c>
      <c r="F5" s="74"/>
    </row>
    <row r="6" spans="1:9" s="131" customFormat="1" ht="114.75" outlineLevel="1" x14ac:dyDescent="0.2">
      <c r="A6" s="121">
        <v>1</v>
      </c>
      <c r="B6" s="119" t="s">
        <v>54</v>
      </c>
      <c r="C6" s="123" t="s">
        <v>147</v>
      </c>
      <c r="D6" s="118">
        <f>'TH theo DV'!AE7</f>
        <v>0</v>
      </c>
      <c r="E6" s="128" t="e">
        <f>D6/$D$4</f>
        <v>#DIV/0!</v>
      </c>
      <c r="F6" s="123" t="s">
        <v>146</v>
      </c>
      <c r="G6" s="129" t="s">
        <v>47</v>
      </c>
      <c r="H6" s="130"/>
      <c r="I6" s="148"/>
    </row>
    <row r="7" spans="1:9" ht="25.5" outlineLevel="1" x14ac:dyDescent="0.2">
      <c r="A7" s="17">
        <v>2</v>
      </c>
      <c r="B7" s="105" t="s">
        <v>108</v>
      </c>
      <c r="C7" s="71" t="s">
        <v>148</v>
      </c>
      <c r="D7" s="59">
        <f>'TH theo DV'!AE8</f>
        <v>0</v>
      </c>
      <c r="E7" s="24" t="e">
        <f>D7/$D$4</f>
        <v>#DIV/0!</v>
      </c>
      <c r="F7" s="106" t="s">
        <v>123</v>
      </c>
    </row>
    <row r="8" spans="1:9" s="138" customFormat="1" ht="25.5" outlineLevel="1" x14ac:dyDescent="0.2">
      <c r="A8" s="126">
        <v>3</v>
      </c>
      <c r="B8" s="149" t="s">
        <v>109</v>
      </c>
      <c r="C8" s="153" t="s">
        <v>200</v>
      </c>
      <c r="D8" s="134">
        <f>'TH theo DV'!AE9</f>
        <v>0</v>
      </c>
      <c r="E8" s="135" t="e">
        <f>D8/$D$4</f>
        <v>#DIV/0!</v>
      </c>
      <c r="F8" s="125" t="s">
        <v>133</v>
      </c>
      <c r="G8" s="136" t="s">
        <v>21</v>
      </c>
      <c r="H8" s="137"/>
    </row>
    <row r="9" spans="1:9" ht="25.5" outlineLevel="1" x14ac:dyDescent="0.2">
      <c r="A9" s="17">
        <v>4</v>
      </c>
      <c r="B9" s="54" t="s">
        <v>105</v>
      </c>
      <c r="C9" s="106" t="s">
        <v>149</v>
      </c>
      <c r="D9" s="59">
        <f>'TH theo DV'!AE10</f>
        <v>0</v>
      </c>
      <c r="E9" s="24" t="e">
        <f>D9/$D$4</f>
        <v>#DIV/0!</v>
      </c>
      <c r="F9" s="106" t="s">
        <v>132</v>
      </c>
      <c r="G9" s="23" t="s">
        <v>110</v>
      </c>
    </row>
    <row r="10" spans="1:9" x14ac:dyDescent="0.2">
      <c r="A10" s="39" t="s">
        <v>10</v>
      </c>
      <c r="B10" s="40" t="s">
        <v>111</v>
      </c>
      <c r="C10" s="107"/>
      <c r="D10" s="60">
        <f>SUBTOTAL(9,D11:D24)</f>
        <v>0</v>
      </c>
      <c r="E10" s="32" t="e">
        <f>D10/D4</f>
        <v>#DIV/0!</v>
      </c>
      <c r="F10" s="111"/>
    </row>
    <row r="11" spans="1:9" outlineLevel="1" x14ac:dyDescent="0.2">
      <c r="A11" s="93">
        <v>1</v>
      </c>
      <c r="B11" s="82" t="s">
        <v>32</v>
      </c>
      <c r="C11" s="108"/>
      <c r="D11" s="112">
        <f>SUBTOTAL(9,D12:D13)</f>
        <v>0</v>
      </c>
      <c r="E11" s="24" t="e">
        <f t="shared" ref="E11:E19" si="0">D11/$D$4</f>
        <v>#DIV/0!</v>
      </c>
      <c r="F11" s="71"/>
    </row>
    <row r="12" spans="1:9" ht="114.75" outlineLevel="1" x14ac:dyDescent="0.2">
      <c r="A12" s="17" t="s">
        <v>8</v>
      </c>
      <c r="B12" s="76" t="s">
        <v>101</v>
      </c>
      <c r="C12" s="106" t="s">
        <v>145</v>
      </c>
      <c r="D12" s="59">
        <f>'TH theo DV'!AE13</f>
        <v>0</v>
      </c>
      <c r="E12" s="24" t="e">
        <f t="shared" si="0"/>
        <v>#DIV/0!</v>
      </c>
      <c r="F12" s="106" t="s">
        <v>150</v>
      </c>
      <c r="G12" s="23" t="s">
        <v>7</v>
      </c>
    </row>
    <row r="13" spans="1:9" s="131" customFormat="1" ht="140.25" outlineLevel="1" x14ac:dyDescent="0.2">
      <c r="A13" s="121" t="s">
        <v>8</v>
      </c>
      <c r="B13" s="127" t="s">
        <v>102</v>
      </c>
      <c r="C13" s="123" t="s">
        <v>185</v>
      </c>
      <c r="D13" s="118">
        <f>'TH theo DV'!AE14</f>
        <v>0</v>
      </c>
      <c r="E13" s="128" t="e">
        <f t="shared" si="0"/>
        <v>#DIV/0!</v>
      </c>
      <c r="F13" s="123" t="s">
        <v>184</v>
      </c>
      <c r="G13" s="129" t="s">
        <v>14</v>
      </c>
      <c r="H13" s="130"/>
    </row>
    <row r="14" spans="1:9" outlineLevel="1" x14ac:dyDescent="0.2">
      <c r="A14" s="78">
        <v>2</v>
      </c>
      <c r="B14" s="82" t="s">
        <v>103</v>
      </c>
      <c r="C14" s="109"/>
      <c r="D14" s="112">
        <f>SUBTOTAL(9,D15:D18)</f>
        <v>0</v>
      </c>
      <c r="E14" s="24" t="e">
        <f t="shared" si="0"/>
        <v>#DIV/0!</v>
      </c>
      <c r="F14" s="106"/>
    </row>
    <row r="15" spans="1:9" ht="51" outlineLevel="1" x14ac:dyDescent="0.2">
      <c r="A15" s="18" t="s">
        <v>8</v>
      </c>
      <c r="B15" s="76" t="s">
        <v>62</v>
      </c>
      <c r="C15" s="106" t="s">
        <v>152</v>
      </c>
      <c r="D15" s="59">
        <f>'TH theo DV'!AE16</f>
        <v>0</v>
      </c>
      <c r="E15" s="24" t="e">
        <f t="shared" si="0"/>
        <v>#DIV/0!</v>
      </c>
      <c r="F15" s="106" t="s">
        <v>151</v>
      </c>
      <c r="G15" s="23" t="s">
        <v>19</v>
      </c>
    </row>
    <row r="16" spans="1:9" ht="114.75" outlineLevel="1" x14ac:dyDescent="0.2">
      <c r="A16" s="18" t="s">
        <v>8</v>
      </c>
      <c r="B16" s="76" t="s">
        <v>75</v>
      </c>
      <c r="C16" s="106" t="s">
        <v>153</v>
      </c>
      <c r="D16" s="59">
        <f>'TH theo DV'!AE17</f>
        <v>0</v>
      </c>
      <c r="E16" s="24" t="e">
        <f t="shared" si="0"/>
        <v>#DIV/0!</v>
      </c>
      <c r="F16" s="106" t="s">
        <v>154</v>
      </c>
      <c r="G16" s="23" t="s">
        <v>19</v>
      </c>
    </row>
    <row r="17" spans="1:11" ht="76.5" outlineLevel="1" x14ac:dyDescent="0.2">
      <c r="A17" s="18" t="s">
        <v>8</v>
      </c>
      <c r="B17" s="76" t="s">
        <v>76</v>
      </c>
      <c r="C17" s="106" t="s">
        <v>163</v>
      </c>
      <c r="D17" s="59">
        <f>'TH theo DV'!AE18</f>
        <v>0</v>
      </c>
      <c r="E17" s="24" t="e">
        <f t="shared" si="0"/>
        <v>#DIV/0!</v>
      </c>
      <c r="F17" s="106" t="s">
        <v>155</v>
      </c>
      <c r="G17" s="23" t="s">
        <v>19</v>
      </c>
    </row>
    <row r="18" spans="1:11" ht="25.5" outlineLevel="1" x14ac:dyDescent="0.2">
      <c r="A18" s="18" t="s">
        <v>8</v>
      </c>
      <c r="B18" s="76" t="s">
        <v>91</v>
      </c>
      <c r="C18" s="106" t="s">
        <v>125</v>
      </c>
      <c r="D18" s="59">
        <f>'TH theo DV'!AE19</f>
        <v>0</v>
      </c>
      <c r="E18" s="24" t="e">
        <f t="shared" si="0"/>
        <v>#DIV/0!</v>
      </c>
      <c r="F18" s="106" t="s">
        <v>124</v>
      </c>
      <c r="G18" s="23" t="s">
        <v>17</v>
      </c>
    </row>
    <row r="19" spans="1:11" s="138" customFormat="1" ht="25.5" outlineLevel="1" x14ac:dyDescent="0.2">
      <c r="A19" s="145">
        <v>3</v>
      </c>
      <c r="B19" s="146" t="s">
        <v>60</v>
      </c>
      <c r="C19" s="125" t="s">
        <v>144</v>
      </c>
      <c r="D19" s="147">
        <f>'TH theo DV'!AE20</f>
        <v>0</v>
      </c>
      <c r="E19" s="135" t="e">
        <f t="shared" si="0"/>
        <v>#DIV/0!</v>
      </c>
      <c r="F19" s="125" t="s">
        <v>8</v>
      </c>
      <c r="G19" s="136" t="s">
        <v>21</v>
      </c>
      <c r="H19" s="137"/>
      <c r="J19" s="139"/>
    </row>
    <row r="20" spans="1:11" ht="25.5" outlineLevel="1" x14ac:dyDescent="0.2">
      <c r="A20" s="78">
        <v>4</v>
      </c>
      <c r="B20" s="82" t="s">
        <v>61</v>
      </c>
      <c r="C20" s="106" t="s">
        <v>156</v>
      </c>
      <c r="D20" s="112">
        <f>'TH theo DV'!AE21</f>
        <v>0</v>
      </c>
      <c r="E20" s="24"/>
      <c r="F20" s="106" t="s">
        <v>157</v>
      </c>
      <c r="G20" s="23" t="s">
        <v>65</v>
      </c>
      <c r="J20" s="30"/>
    </row>
    <row r="21" spans="1:11" outlineLevel="1" x14ac:dyDescent="0.2">
      <c r="A21" s="78">
        <v>5</v>
      </c>
      <c r="B21" s="82" t="s">
        <v>106</v>
      </c>
      <c r="C21" s="106"/>
      <c r="D21" s="112">
        <f>SUBTOTAL(9,D22:D24)</f>
        <v>0</v>
      </c>
      <c r="E21" s="24"/>
      <c r="F21" s="106"/>
      <c r="J21" s="30"/>
    </row>
    <row r="22" spans="1:11" s="138" customFormat="1" ht="25.5" outlineLevel="1" x14ac:dyDescent="0.2">
      <c r="A22" s="132" t="s">
        <v>8</v>
      </c>
      <c r="B22" s="133" t="s">
        <v>113</v>
      </c>
      <c r="C22" s="125" t="s">
        <v>206</v>
      </c>
      <c r="D22" s="134">
        <f>'TH theo DV'!AE23</f>
        <v>0</v>
      </c>
      <c r="E22" s="135"/>
      <c r="F22" s="659" t="s">
        <v>162</v>
      </c>
      <c r="G22" s="136" t="s">
        <v>21</v>
      </c>
      <c r="H22" s="137"/>
      <c r="J22" s="139"/>
    </row>
    <row r="23" spans="1:11" s="138" customFormat="1" ht="51" outlineLevel="1" x14ac:dyDescent="0.2">
      <c r="A23" s="132" t="s">
        <v>8</v>
      </c>
      <c r="B23" s="133" t="s">
        <v>114</v>
      </c>
      <c r="C23" s="125" t="s">
        <v>205</v>
      </c>
      <c r="D23" s="134">
        <f>'TH theo DV'!AE24</f>
        <v>0</v>
      </c>
      <c r="E23" s="135"/>
      <c r="F23" s="660"/>
      <c r="G23" s="136" t="s">
        <v>21</v>
      </c>
      <c r="H23" s="137"/>
      <c r="J23" s="139"/>
    </row>
    <row r="24" spans="1:11" s="138" customFormat="1" ht="25.5" outlineLevel="1" x14ac:dyDescent="0.2">
      <c r="A24" s="132" t="s">
        <v>8</v>
      </c>
      <c r="B24" s="133" t="s">
        <v>51</v>
      </c>
      <c r="C24" s="125" t="s">
        <v>121</v>
      </c>
      <c r="D24" s="134">
        <f>'TH theo DV'!AE25</f>
        <v>0</v>
      </c>
      <c r="E24" s="135" t="e">
        <f>D24/$D$4</f>
        <v>#DIV/0!</v>
      </c>
      <c r="F24" s="125" t="s">
        <v>122</v>
      </c>
      <c r="G24" s="136" t="s">
        <v>21</v>
      </c>
      <c r="H24" s="137"/>
      <c r="I24" s="140"/>
      <c r="J24" s="141"/>
      <c r="K24" s="139"/>
    </row>
    <row r="25" spans="1:11" x14ac:dyDescent="0.2">
      <c r="A25" s="33" t="s">
        <v>15</v>
      </c>
      <c r="B25" s="34" t="s">
        <v>115</v>
      </c>
      <c r="C25" s="110"/>
      <c r="D25" s="61">
        <f>SUBTOTAL(9,D27:D29)</f>
        <v>0</v>
      </c>
      <c r="E25" s="35" t="e">
        <f>D25/$D$4</f>
        <v>#DIV/0!</v>
      </c>
      <c r="F25" s="110"/>
    </row>
    <row r="26" spans="1:11" s="138" customFormat="1" ht="76.5" outlineLevel="1" x14ac:dyDescent="0.2">
      <c r="A26" s="126">
        <v>1</v>
      </c>
      <c r="B26" s="142" t="s">
        <v>159</v>
      </c>
      <c r="C26" s="125" t="s">
        <v>180</v>
      </c>
      <c r="D26" s="134">
        <f>'TH theo DV'!AE27</f>
        <v>0</v>
      </c>
      <c r="E26" s="143"/>
      <c r="F26" s="125" t="s">
        <v>181</v>
      </c>
      <c r="G26" s="136"/>
      <c r="H26" s="137"/>
    </row>
    <row r="27" spans="1:11" s="138" customFormat="1" ht="114.75" outlineLevel="1" x14ac:dyDescent="0.2">
      <c r="A27" s="126">
        <v>2</v>
      </c>
      <c r="B27" s="144" t="s">
        <v>158</v>
      </c>
      <c r="C27" s="125" t="s">
        <v>182</v>
      </c>
      <c r="D27" s="134">
        <f>'TH theo DV'!AE28</f>
        <v>0</v>
      </c>
      <c r="E27" s="135"/>
      <c r="F27" s="125" t="s">
        <v>183</v>
      </c>
      <c r="G27" s="136"/>
      <c r="H27" s="137"/>
    </row>
    <row r="28" spans="1:11" ht="153" outlineLevel="1" x14ac:dyDescent="0.2">
      <c r="A28" s="17">
        <v>3</v>
      </c>
      <c r="B28" s="72" t="s">
        <v>161</v>
      </c>
      <c r="C28" s="106" t="s">
        <v>136</v>
      </c>
      <c r="D28" s="59">
        <f>'TH theo DV'!AE29</f>
        <v>0</v>
      </c>
      <c r="E28" s="24"/>
      <c r="F28" s="106" t="s">
        <v>131</v>
      </c>
    </row>
    <row r="29" spans="1:11" ht="153" outlineLevel="1" x14ac:dyDescent="0.2">
      <c r="A29" s="17">
        <v>4</v>
      </c>
      <c r="B29" s="85" t="s">
        <v>98</v>
      </c>
      <c r="C29" s="106" t="s">
        <v>139</v>
      </c>
      <c r="D29" s="59">
        <f>'TH theo DV'!AE30</f>
        <v>0</v>
      </c>
      <c r="E29" s="24"/>
      <c r="F29" s="106" t="s">
        <v>137</v>
      </c>
    </row>
  </sheetData>
  <autoFilter ref="A3:G29"/>
  <mergeCells count="2">
    <mergeCell ref="A1:F1"/>
    <mergeCell ref="F22:F23"/>
  </mergeCells>
  <pageMargins left="0.45" right="0.2" top="0.25" bottom="0.2" header="0.2" footer="0.2"/>
  <pageSetup paperSize="9" scale="75" fitToHeight="0" orientation="landscape"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K35"/>
  <sheetViews>
    <sheetView workbookViewId="0">
      <selection activeCell="I38" sqref="I38"/>
    </sheetView>
  </sheetViews>
  <sheetFormatPr defaultColWidth="8.7109375" defaultRowHeight="12.75" x14ac:dyDescent="0.25"/>
  <cols>
    <col min="1" max="2" width="8.7109375" style="6"/>
    <col min="3" max="3" width="12.7109375" style="6" bestFit="1" customWidth="1"/>
    <col min="4" max="6" width="8.7109375" style="6"/>
    <col min="7" max="7" width="2.7109375" style="6" bestFit="1" customWidth="1"/>
    <col min="8" max="8" width="8.7109375" style="94"/>
    <col min="9" max="16384" width="8.7109375" style="6"/>
  </cols>
  <sheetData>
    <row r="2" spans="2:11" x14ac:dyDescent="0.25">
      <c r="B2" s="661" t="s">
        <v>67</v>
      </c>
      <c r="C2" s="661"/>
      <c r="D2" s="661"/>
    </row>
    <row r="3" spans="2:11" x14ac:dyDescent="0.25">
      <c r="B3" s="19" t="s">
        <v>43</v>
      </c>
      <c r="C3" s="19" t="s">
        <v>44</v>
      </c>
      <c r="D3" s="19" t="s">
        <v>45</v>
      </c>
    </row>
    <row r="4" spans="2:11" x14ac:dyDescent="0.25">
      <c r="B4" s="28" t="s">
        <v>7</v>
      </c>
      <c r="C4" s="18" t="s">
        <v>47</v>
      </c>
      <c r="D4" s="1" t="s">
        <v>53</v>
      </c>
      <c r="G4" s="11" t="s">
        <v>4</v>
      </c>
      <c r="H4" s="95" t="s">
        <v>112</v>
      </c>
      <c r="I4" s="92"/>
      <c r="J4" s="92"/>
      <c r="K4" s="92"/>
    </row>
    <row r="5" spans="2:11" x14ac:dyDescent="0.25">
      <c r="B5" s="28"/>
      <c r="C5" s="18" t="s">
        <v>93</v>
      </c>
      <c r="D5" s="1"/>
      <c r="G5" s="21">
        <v>1</v>
      </c>
      <c r="H5" s="96" t="s">
        <v>54</v>
      </c>
      <c r="I5" s="92"/>
      <c r="J5" s="92"/>
      <c r="K5" s="92"/>
    </row>
    <row r="6" spans="2:11" x14ac:dyDescent="0.25">
      <c r="B6" s="28" t="s">
        <v>14</v>
      </c>
      <c r="C6" s="28"/>
      <c r="D6" s="1" t="s">
        <v>27</v>
      </c>
      <c r="G6" s="21">
        <v>2</v>
      </c>
      <c r="H6" s="96" t="s">
        <v>108</v>
      </c>
      <c r="I6" s="92"/>
      <c r="J6" s="92"/>
      <c r="K6" s="92"/>
    </row>
    <row r="7" spans="2:11" x14ac:dyDescent="0.25">
      <c r="B7" s="28" t="s">
        <v>19</v>
      </c>
      <c r="C7" s="28" t="s">
        <v>64</v>
      </c>
      <c r="D7" s="1"/>
      <c r="G7" s="21">
        <v>3</v>
      </c>
      <c r="H7" s="96" t="s">
        <v>109</v>
      </c>
      <c r="I7" s="92"/>
      <c r="J7" s="92"/>
      <c r="K7" s="92"/>
    </row>
    <row r="8" spans="2:11" x14ac:dyDescent="0.25">
      <c r="B8" s="28" t="s">
        <v>9</v>
      </c>
      <c r="C8" s="28"/>
      <c r="D8" s="1"/>
      <c r="G8" s="21">
        <v>4</v>
      </c>
      <c r="H8" s="96" t="s">
        <v>105</v>
      </c>
      <c r="I8" s="92"/>
      <c r="J8" s="92"/>
      <c r="K8" s="92"/>
    </row>
    <row r="9" spans="2:11" x14ac:dyDescent="0.25">
      <c r="B9" s="28"/>
      <c r="C9" s="28" t="s">
        <v>95</v>
      </c>
      <c r="D9" s="1"/>
      <c r="G9" s="11" t="s">
        <v>10</v>
      </c>
      <c r="H9" s="95" t="s">
        <v>111</v>
      </c>
      <c r="I9" s="92"/>
      <c r="J9" s="92"/>
      <c r="K9" s="92"/>
    </row>
    <row r="10" spans="2:11" x14ac:dyDescent="0.25">
      <c r="B10" s="28" t="s">
        <v>21</v>
      </c>
      <c r="C10" s="29" t="s">
        <v>65</v>
      </c>
      <c r="D10" s="1"/>
      <c r="G10" s="21">
        <v>2</v>
      </c>
      <c r="H10" s="96" t="s">
        <v>32</v>
      </c>
      <c r="I10" s="92"/>
      <c r="J10" s="92"/>
      <c r="K10" s="92"/>
    </row>
    <row r="11" spans="2:11" x14ac:dyDescent="0.25">
      <c r="B11" s="28" t="s">
        <v>17</v>
      </c>
      <c r="C11" s="18" t="s">
        <v>68</v>
      </c>
      <c r="D11" s="1"/>
      <c r="G11" s="21" t="s">
        <v>8</v>
      </c>
      <c r="H11" s="96" t="s">
        <v>101</v>
      </c>
      <c r="I11" s="92"/>
      <c r="J11" s="92"/>
      <c r="K11" s="92"/>
    </row>
    <row r="12" spans="2:11" x14ac:dyDescent="0.25">
      <c r="B12" s="28" t="s">
        <v>6</v>
      </c>
      <c r="C12" s="18" t="s">
        <v>69</v>
      </c>
      <c r="D12" s="1"/>
      <c r="G12" s="21" t="s">
        <v>8</v>
      </c>
      <c r="H12" s="96" t="s">
        <v>102</v>
      </c>
      <c r="I12" s="92"/>
      <c r="J12" s="92"/>
      <c r="K12" s="92"/>
    </row>
    <row r="13" spans="2:11" x14ac:dyDescent="0.25">
      <c r="B13" s="28" t="s">
        <v>56</v>
      </c>
      <c r="C13" s="18" t="s">
        <v>70</v>
      </c>
      <c r="D13" s="1"/>
      <c r="G13" s="21">
        <v>3</v>
      </c>
      <c r="H13" s="96" t="s">
        <v>103</v>
      </c>
      <c r="I13" s="92"/>
      <c r="J13" s="92"/>
      <c r="K13" s="92"/>
    </row>
    <row r="14" spans="2:11" x14ac:dyDescent="0.25">
      <c r="B14" s="1"/>
      <c r="C14" s="18" t="s">
        <v>71</v>
      </c>
      <c r="D14" s="1"/>
      <c r="G14" s="21" t="s">
        <v>8</v>
      </c>
      <c r="H14" s="96" t="s">
        <v>57</v>
      </c>
      <c r="I14" s="92"/>
      <c r="J14" s="92"/>
      <c r="K14" s="92"/>
    </row>
    <row r="15" spans="2:11" x14ac:dyDescent="0.25">
      <c r="B15" s="1"/>
      <c r="C15" s="18" t="s">
        <v>108</v>
      </c>
      <c r="D15" s="1"/>
      <c r="G15" s="21" t="s">
        <v>8</v>
      </c>
      <c r="H15" s="96" t="s">
        <v>84</v>
      </c>
      <c r="I15" s="92"/>
      <c r="J15" s="92"/>
      <c r="K15" s="92"/>
    </row>
    <row r="16" spans="2:11" x14ac:dyDescent="0.25">
      <c r="B16" s="1"/>
      <c r="C16" s="18" t="s">
        <v>66</v>
      </c>
      <c r="D16" s="1"/>
      <c r="G16" s="21" t="s">
        <v>8</v>
      </c>
      <c r="H16" s="96" t="s">
        <v>85</v>
      </c>
      <c r="I16" s="92"/>
      <c r="J16" s="92"/>
      <c r="K16" s="92"/>
    </row>
    <row r="17" spans="2:11" x14ac:dyDescent="0.25">
      <c r="B17" s="1"/>
      <c r="C17" s="18" t="s">
        <v>116</v>
      </c>
      <c r="D17" s="1"/>
      <c r="G17" s="21" t="s">
        <v>8</v>
      </c>
      <c r="H17" s="96" t="s">
        <v>92</v>
      </c>
      <c r="I17" s="92"/>
      <c r="J17" s="92"/>
      <c r="K17" s="92"/>
    </row>
    <row r="18" spans="2:11" x14ac:dyDescent="0.25">
      <c r="B18" s="1"/>
      <c r="C18" s="18" t="s">
        <v>117</v>
      </c>
      <c r="D18" s="1"/>
      <c r="G18" s="21">
        <v>4</v>
      </c>
      <c r="H18" s="96" t="s">
        <v>60</v>
      </c>
      <c r="I18" s="92"/>
      <c r="J18" s="92"/>
      <c r="K18" s="92"/>
    </row>
    <row r="19" spans="2:11" x14ac:dyDescent="0.25">
      <c r="B19" s="1"/>
      <c r="C19" s="18" t="s">
        <v>58</v>
      </c>
      <c r="D19" s="1"/>
      <c r="G19" s="21">
        <v>5</v>
      </c>
      <c r="H19" s="96" t="s">
        <v>61</v>
      </c>
      <c r="I19" s="92"/>
      <c r="J19" s="92"/>
      <c r="K19" s="92"/>
    </row>
    <row r="20" spans="2:11" x14ac:dyDescent="0.25">
      <c r="B20" s="1"/>
      <c r="C20" s="18" t="s">
        <v>86</v>
      </c>
      <c r="D20" s="1"/>
      <c r="G20" s="21">
        <v>6</v>
      </c>
      <c r="H20" s="96" t="s">
        <v>106</v>
      </c>
      <c r="I20" s="92"/>
      <c r="J20" s="92"/>
      <c r="K20" s="92"/>
    </row>
    <row r="21" spans="2:11" x14ac:dyDescent="0.25">
      <c r="B21" s="1"/>
      <c r="C21" s="18" t="s">
        <v>83</v>
      </c>
      <c r="D21" s="1"/>
      <c r="G21" s="21" t="s">
        <v>8</v>
      </c>
      <c r="H21" s="97" t="s">
        <v>113</v>
      </c>
      <c r="I21" s="92"/>
      <c r="J21" s="92"/>
      <c r="K21" s="92"/>
    </row>
    <row r="22" spans="2:11" x14ac:dyDescent="0.25">
      <c r="B22" s="1"/>
      <c r="C22" s="18" t="s">
        <v>94</v>
      </c>
      <c r="D22" s="1"/>
      <c r="G22" s="21" t="s">
        <v>8</v>
      </c>
      <c r="H22" s="97" t="s">
        <v>114</v>
      </c>
      <c r="I22" s="92"/>
      <c r="J22" s="92"/>
      <c r="K22" s="92"/>
    </row>
    <row r="23" spans="2:11" x14ac:dyDescent="0.25">
      <c r="B23" s="1"/>
      <c r="C23" s="45" t="s">
        <v>109</v>
      </c>
      <c r="D23" s="1"/>
      <c r="G23" s="21" t="s">
        <v>8</v>
      </c>
      <c r="H23" s="97" t="s">
        <v>51</v>
      </c>
      <c r="I23" s="92"/>
      <c r="J23" s="92"/>
      <c r="K23" s="92"/>
    </row>
    <row r="24" spans="2:11" x14ac:dyDescent="0.25">
      <c r="B24" s="1"/>
      <c r="C24" s="18" t="s">
        <v>110</v>
      </c>
      <c r="D24" s="1"/>
      <c r="G24" s="11" t="s">
        <v>15</v>
      </c>
      <c r="H24" s="95" t="s">
        <v>115</v>
      </c>
      <c r="I24" s="92"/>
      <c r="J24" s="92"/>
      <c r="K24" s="92"/>
    </row>
    <row r="25" spans="2:11" x14ac:dyDescent="0.25">
      <c r="B25" s="1"/>
      <c r="C25" s="18" t="s">
        <v>87</v>
      </c>
      <c r="D25" s="1"/>
      <c r="G25" s="21">
        <v>1</v>
      </c>
      <c r="H25" s="96" t="s">
        <v>100</v>
      </c>
      <c r="I25" s="92"/>
      <c r="J25" s="92"/>
      <c r="K25" s="92"/>
    </row>
    <row r="26" spans="2:11" x14ac:dyDescent="0.25">
      <c r="B26" s="1"/>
      <c r="C26" s="18" t="s">
        <v>51</v>
      </c>
      <c r="D26" s="1"/>
      <c r="G26" s="21">
        <v>2</v>
      </c>
      <c r="H26" s="96" t="s">
        <v>104</v>
      </c>
      <c r="I26" s="92"/>
      <c r="J26" s="92"/>
      <c r="K26" s="92"/>
    </row>
    <row r="27" spans="2:11" x14ac:dyDescent="0.25">
      <c r="B27" s="1"/>
      <c r="C27" s="18" t="s">
        <v>160</v>
      </c>
      <c r="D27" s="1"/>
      <c r="G27" s="21"/>
      <c r="H27" s="96"/>
      <c r="I27" s="92"/>
      <c r="J27" s="92"/>
      <c r="K27" s="92"/>
    </row>
    <row r="28" spans="2:11" ht="12.6" customHeight="1" x14ac:dyDescent="0.25">
      <c r="B28" s="21"/>
      <c r="C28" s="18" t="s">
        <v>77</v>
      </c>
      <c r="D28" s="21"/>
      <c r="G28" s="21">
        <v>3</v>
      </c>
      <c r="H28" s="96" t="s">
        <v>98</v>
      </c>
      <c r="I28" s="92"/>
      <c r="J28" s="92"/>
      <c r="K28" s="92"/>
    </row>
    <row r="29" spans="2:11" x14ac:dyDescent="0.25">
      <c r="B29" s="21"/>
      <c r="C29" s="18" t="s">
        <v>99</v>
      </c>
      <c r="D29" s="21"/>
    </row>
    <row r="30" spans="2:11" x14ac:dyDescent="0.25">
      <c r="B30" s="21"/>
      <c r="C30" s="18" t="s">
        <v>118</v>
      </c>
      <c r="D30" s="21"/>
    </row>
    <row r="31" spans="2:11" x14ac:dyDescent="0.25">
      <c r="B31" s="21"/>
      <c r="C31" s="21" t="s">
        <v>79</v>
      </c>
      <c r="D31" s="21"/>
    </row>
    <row r="32" spans="2:11" x14ac:dyDescent="0.25">
      <c r="B32" s="21"/>
      <c r="C32" s="21" t="s">
        <v>80</v>
      </c>
      <c r="D32" s="21"/>
    </row>
    <row r="33" spans="2:4" x14ac:dyDescent="0.25">
      <c r="B33" s="21"/>
      <c r="C33" s="21" t="s">
        <v>81</v>
      </c>
      <c r="D33" s="21"/>
    </row>
    <row r="34" spans="2:4" x14ac:dyDescent="0.25">
      <c r="C34" s="6" t="s">
        <v>207</v>
      </c>
    </row>
    <row r="35" spans="2:4" x14ac:dyDescent="0.25">
      <c r="C35" s="6" t="s">
        <v>351</v>
      </c>
    </row>
  </sheetData>
  <mergeCells count="1">
    <mergeCell ref="B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PL1.1 ML2027-2028</vt:lpstr>
      <vt:lpstr>TH theo DV</vt:lpstr>
      <vt:lpstr>TH theo Mảng</vt:lpstr>
      <vt:lpstr>TH theo Dịch vụ</vt:lpstr>
      <vt:lpstr>So sanh CL</vt:lpstr>
      <vt:lpstr>PL1.2 TH theo mục đích</vt:lpstr>
      <vt:lpstr>PL1.3 Buc tranh sau QH</vt:lpstr>
      <vt:lpstr>Mã</vt:lpstr>
      <vt:lpstr>'PL1.1 ML2027-2028'!Print_Area</vt:lpstr>
      <vt:lpstr>'PL1.2 TH theo mục đích'!Print_Area</vt:lpstr>
      <vt:lpstr>'PL1.3 Buc tranh sau QH'!Print_Area</vt:lpstr>
      <vt:lpstr>'PL1.1 ML2027-2028'!Print_Titles</vt:lpstr>
      <vt:lpstr>'PL1.2 TH theo mục đích'!Print_Titles</vt:lpstr>
      <vt:lpstr>'PL1.3 Buc tranh sau QH'!Print_Titles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thunm6</dc:creator>
  <cp:lastModifiedBy>hntna</cp:lastModifiedBy>
  <cp:lastPrinted>2026-07-18T15:56:07Z</cp:lastPrinted>
  <dcterms:created xsi:type="dcterms:W3CDTF">2019-10-23T01:10:24Z</dcterms:created>
  <dcterms:modified xsi:type="dcterms:W3CDTF">2026-09-27T09:34:55Z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