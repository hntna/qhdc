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workspace\QHDC3\"/>
    </mc:Choice>
  </mc:AlternateContent>
  <bookViews>
    <workbookView xWindow="3720" yWindow="0" windowWidth="19200" windowHeight="7050" tabRatio="729" activeTab="3"/>
  </bookViews>
  <sheets>
    <sheet name="PL1.1 ML2027-2028" sheetId="1" r:id="rId1"/>
    <sheet name="TH theo DV" sheetId="14" r:id="rId2"/>
    <sheet name="PL1.2 TH theo mục đích" sheetId="18" r:id="rId3"/>
    <sheet name="PL1.3 Buc tranh sau QH" sheetId="4" r:id="rId4"/>
    <sheet name="Mã" sheetId="15" r:id="rId5"/>
  </sheets>
  <definedNames>
    <definedName name="\p">#REF!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oi1">#REF!</definedName>
    <definedName name="__boi2">#REF!</definedName>
    <definedName name="__CON1">#REF!</definedName>
    <definedName name="__CON2">#REF!</definedName>
    <definedName name="__cpd1">#REF!</definedName>
    <definedName name="__cpd2">#REF!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lap1">#REF!</definedName>
    <definedName name="__lap2">#REF!</definedName>
    <definedName name="__nc151">#REF!</definedName>
    <definedName name="__NET2">#REF!</definedName>
    <definedName name="__NSO2" hidden="1">{"'Sheet1'!$L$16"}</definedName>
    <definedName name="__SHR1">#REF!</definedName>
    <definedName name="__SHR2">#REF!</definedName>
    <definedName name="__tax1">#REF!</definedName>
    <definedName name="__tax2">#REF!</definedName>
    <definedName name="__tax3">#REF!</definedName>
    <definedName name="__tax4">#REF!</definedName>
    <definedName name="__tct5">#REF!</definedName>
    <definedName name="__tg427">#REF!</definedName>
    <definedName name="__TH20">#REF!</definedName>
    <definedName name="_1">#REF!</definedName>
    <definedName name="_1000A01">#REF!</definedName>
    <definedName name="_2">#REF!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TT_REG_DCOM_3G">#REF!</definedName>
    <definedName name="_ATT_REG_MI_3G">#REF!</definedName>
    <definedName name="_ATT_REG_voice_2G">#REF!</definedName>
    <definedName name="_ATT_REG_voice_3G">#REF!</definedName>
    <definedName name="_boi1">#REF!</definedName>
    <definedName name="_boi2">#REF!</definedName>
    <definedName name="_C_Lphi_4ab">#REF!</definedName>
    <definedName name="_chk1">#REF!</definedName>
    <definedName name="_CON1">#REF!</definedName>
    <definedName name="_CON2">#REF!</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d2">#REF!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Fill" localSheetId="0" hidden="1">#REF!</definedName>
    <definedName name="_Fill" hidden="1">#REF!</definedName>
    <definedName name="_xlnm._FilterDatabase" localSheetId="0" hidden="1">'PL1.1 ML2027-2028'!$A$7:$Q$16</definedName>
    <definedName name="_xlnm._FilterDatabase" localSheetId="2" hidden="1">'PL1.2 TH theo mục đích'!$A$5:$K$57</definedName>
    <definedName name="_xlnm._FilterDatabase" localSheetId="3" hidden="1">'PL1.3 Buc tranh sau QH'!$A$3:$G$29</definedName>
    <definedName name="_xlnm._FilterDatabase" hidden="1">#REF!</definedName>
    <definedName name="_H500866">#REF!</definedName>
    <definedName name="_kbps_sub_ATT_DCOM_3G">#REF!</definedName>
    <definedName name="_kbps_sub_ATT_MI_3G">#REF!</definedName>
    <definedName name="_Key1" localSheetId="0" hidden="1">#REF!</definedName>
    <definedName name="_Key1" hidden="1">#REF!</definedName>
    <definedName name="_Key2" localSheetId="0" hidden="1">#REF!</definedName>
    <definedName name="_Key2" hidden="1">#REF!</definedName>
    <definedName name="_lap1">#REF!</definedName>
    <definedName name="_lap2">#REF!</definedName>
    <definedName name="_mErl_sub_ATT_voice_2G">#REF!</definedName>
    <definedName name="_mErl_sub_ATT_voice_3G">#REF!</definedName>
    <definedName name="_n23" localSheetId="0" hidden="1">{"'Sheet1'!$L$16"}</definedName>
    <definedName name="_n23" hidden="1">{"'Sheet1'!$L$16"}</definedName>
    <definedName name="_NET2">#REF!</definedName>
    <definedName name="_NSO2" localSheetId="0" hidden="1">{"'Sheet1'!$L$16"}</definedName>
    <definedName name="_NSO2" hidden="1">{"'Sheet1'!$L$16"}</definedName>
    <definedName name="_Order1" hidden="1">255</definedName>
    <definedName name="_Order2" hidden="1">255</definedName>
    <definedName name="_SHR1">#REF!</definedName>
    <definedName name="_SHR2">#REF!</definedName>
    <definedName name="_Sort" localSheetId="0" hidden="1">#REF!</definedName>
    <definedName name="_Sort" hidden="1">#REF!</definedName>
    <definedName name="_T8" localSheetId="0" hidden="1">{"'Sheet1'!$L$16"}</definedName>
    <definedName name="_T8" hidden="1">{"'Sheet1'!$L$16"}</definedName>
    <definedName name="_tax1">#REF!</definedName>
    <definedName name="_tax2">#REF!</definedName>
    <definedName name="_tax3">#REF!</definedName>
    <definedName name="_tax4">#REF!</definedName>
    <definedName name="_tct5">#REF!</definedName>
    <definedName name="_TDT35">#REF!</definedName>
    <definedName name="_tg427">#REF!</definedName>
    <definedName name="_TH20">#REF!</definedName>
    <definedName name="_Tỉ_lệ_peak_GD_ngày_max">#REF!</definedName>
    <definedName name="A">#REF!</definedName>
    <definedName name="a.">#REF!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277Print_Titles">#REF!</definedName>
    <definedName name="A372m372">#REF!</definedName>
    <definedName name="AA">#REF!</definedName>
    <definedName name="AAA_DOCTOPS" hidden="1">"AAA_SET"</definedName>
    <definedName name="AAA_duser" hidden="1">"OFF"</definedName>
    <definedName name="aaaa">#REF!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 localSheetId="0" hidden="1">{"'Sheet1'!$L$16"}</definedName>
    <definedName name="aadd" hidden="1">{"'Sheet1'!$L$16"}</definedName>
    <definedName name="aass" localSheetId="0" hidden="1">{"'Sheet1'!$L$16"}</definedName>
    <definedName name="aass" hidden="1">{"'Sheet1'!$L$16"}</definedName>
    <definedName name="ac">#REF!</definedName>
    <definedName name="ádfg" localSheetId="0" hidden="1">{"'Sheet1'!$L$16"}</definedName>
    <definedName name="ádfg" hidden="1">{"'Sheet1'!$L$16"}</definedName>
    <definedName name="AirportVisitors">#REF!</definedName>
    <definedName name="AirportVisitorsS">#REF!</definedName>
    <definedName name="All_Item">#REF!</definedName>
    <definedName name="ALPIN">#REF!</definedName>
    <definedName name="ALPJYOU">#REF!</definedName>
    <definedName name="ALPTOI">#REF!</definedName>
    <definedName name="amiang">#REF!</definedName>
    <definedName name="anscount" hidden="1">8</definedName>
    <definedName name="As_">#REF!</definedName>
    <definedName name="AS2DocOpenMode" hidden="1">"AS2DocumentEdit"</definedName>
    <definedName name="AU" localSheetId="0" hidden="1">{"'Sheet1'!$L$16"}</definedName>
    <definedName name="AU" hidden="1">{"'Sheet1'!$L$16"}</definedName>
    <definedName name="Av">#REF!</definedName>
    <definedName name="b_eh">#REF!</definedName>
    <definedName name="b_eh1">#REF!</definedName>
    <definedName name="b_ev">#REF!</definedName>
    <definedName name="b_ev1">#REF!</definedName>
    <definedName name="b_FR">#REF!</definedName>
    <definedName name="b_fr1">#REF!</definedName>
    <definedName name="b_LL">#REF!</definedName>
    <definedName name="b_ll1">#REF!</definedName>
    <definedName name="b_WL">#REF!</definedName>
    <definedName name="b_WL1">#REF!</definedName>
    <definedName name="b_WS">#REF!</definedName>
    <definedName name="b_ws1">#REF!</definedName>
    <definedName name="b3_">#REF!</definedName>
    <definedName name="b4_">#REF!</definedName>
    <definedName name="Bang_cly">#REF!</definedName>
    <definedName name="Bang_CVC">#REF!</definedName>
    <definedName name="bang_gia">#REF!</definedName>
    <definedName name="Bang_travl">#REF!</definedName>
    <definedName name="bangtinh">#REF!</definedName>
    <definedName name="BarData">#REF!</definedName>
    <definedName name="BB">#REF!</definedName>
    <definedName name="bchcj">#REF!</definedName>
    <definedName name="bchvch">#REF!</definedName>
    <definedName name="Bcuc">#REF!</definedName>
    <definedName name="bdd">1.5</definedName>
    <definedName name="BL">"$A$1:$f$11"</definedName>
    <definedName name="blang">#REF!</definedName>
    <definedName name="blong">#REF!</definedName>
    <definedName name="bn">#REF!</definedName>
    <definedName name="BO" localSheetId="0" hidden="1">{"'Sheet1'!$L$16"}</definedName>
    <definedName name="BO" hidden="1">{"'Sheet1'!$L$16"}</definedName>
    <definedName name="BOQ">#REF!</definedName>
    <definedName name="boxes">#REF!</definedName>
    <definedName name="bson">#REF!</definedName>
    <definedName name="BT">#REF!</definedName>
    <definedName name="btai">#REF!</definedName>
    <definedName name="btham">#REF!</definedName>
    <definedName name="btong">#REF!</definedName>
    <definedName name="button_area_1">#REF!</definedName>
    <definedName name="bv">#REF!</definedName>
    <definedName name="BVCISUMMARY">#REF!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5.">#REF!</definedName>
    <definedName name="CACAU">1415247</definedName>
    <definedName name="cap">#REF!</definedName>
    <definedName name="cap0.7">#REF!</definedName>
    <definedName name="Category_All">#REF!</definedName>
    <definedName name="CATIN">#REF!</definedName>
    <definedName name="CATJYOU">#REF!</definedName>
    <definedName name="CATREC">#REF!</definedName>
    <definedName name="CATSYU">#REF!</definedName>
    <definedName name="CC">#REF!</definedName>
    <definedName name="CCT">#REF!</definedName>
    <definedName name="cd">#REF!</definedName>
    <definedName name="CDB">#REF!</definedName>
    <definedName name="cdn">#REF!</definedName>
    <definedName name="CDR">#REF!</definedName>
    <definedName name="celltips_area">#REF!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k">#REF!</definedName>
    <definedName name="Chøng_tõ">#REF!</definedName>
    <definedName name="Chtinh">#REF!</definedName>
    <definedName name="chuc1">#REF!</definedName>
    <definedName name="CL">#REF!</definedName>
    <definedName name="CLVL">#REF!</definedName>
    <definedName name="CNC">#REF!</definedName>
    <definedName name="CND">#REF!</definedName>
    <definedName name="CNG">#REF!</definedName>
    <definedName name="Co">#REF!</definedName>
    <definedName name="coc">#REF!</definedName>
    <definedName name="coldex">#REF!</definedName>
    <definedName name="COMMON">#REF!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TIEN">#REF!</definedName>
    <definedName name="CONST_EQ">#REF!</definedName>
    <definedName name="COT">#REF!</definedName>
    <definedName name="COVER">#REF!</definedName>
    <definedName name="CPC">#REF!</definedName>
    <definedName name="cpdd1">#REF!</definedName>
    <definedName name="cpdd2">#REF!</definedName>
    <definedName name="CRITINST">#REF!</definedName>
    <definedName name="CRITPURC">#REF!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tdn9697">#REF!</definedName>
    <definedName name="ctiep">#REF!</definedName>
    <definedName name="ctmai">#REF!</definedName>
    <definedName name="CTO">#REF!</definedName>
    <definedName name="ctong">#REF!</definedName>
    <definedName name="ctre">#REF!</definedName>
    <definedName name="CU_LY">#REF!</definedName>
    <definedName name="cui">#REF!</definedName>
    <definedName name="cuoc_vc">#REF!</definedName>
    <definedName name="CURRENCY">#REF!</definedName>
    <definedName name="cx">#REF!</definedName>
    <definedName name="d_">#REF!</definedName>
    <definedName name="D_7101A_B">#REF!</definedName>
    <definedName name="d1_">#REF!</definedName>
    <definedName name="d2_">#REF!</definedName>
    <definedName name="d3_">#REF!</definedName>
    <definedName name="d4_">#REF!</definedName>
    <definedName name="d5_">#REF!</definedName>
    <definedName name="DAILATHANH" localSheetId="0" hidden="1">{"'Sheet1'!$L$16"}</definedName>
    <definedName name="DAILATHANH" hidden="1">{"'Sheet1'!$L$16"}</definedName>
    <definedName name="dapdbm1">#REF!</definedName>
    <definedName name="dapdbm2">#REF!</definedName>
    <definedName name="DAT">#REF!</definedName>
    <definedName name="data">#REF!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8">#REF!</definedName>
    <definedName name="data9">#REF!</definedName>
    <definedName name="_xlnm.Database">#REF!</definedName>
    <definedName name="datak">#REF!</definedName>
    <definedName name="datal">#REF!</definedName>
    <definedName name="db">#REF!</definedName>
    <definedName name="dc">#REF!</definedName>
    <definedName name="dche">#REF!</definedName>
    <definedName name="dd4x6">#REF!</definedName>
    <definedName name="ddabm">#REF!</definedName>
    <definedName name="dday">#REF!</definedName>
    <definedName name="ddbm500">#REF!</definedName>
    <definedName name="dden">#REF!</definedName>
    <definedName name="ddia">#REF!</definedName>
    <definedName name="DDK">#REF!</definedName>
    <definedName name="de">#REF!</definedName>
    <definedName name="den_bu">#REF!</definedName>
    <definedName name="denbu">#REF!</definedName>
    <definedName name="Det40x4">#REF!</definedName>
    <definedName name="Det50x5">#REF!</definedName>
    <definedName name="Det63x6">#REF!</definedName>
    <definedName name="Det75x6">#REF!</definedName>
    <definedName name="df">#REF!</definedName>
    <definedName name="dfg" hidden="1">{"'Sheet1'!$L$16"}</definedName>
    <definedName name="dfgdf">#REF!</definedName>
    <definedName name="dfgdfggf">#REF!</definedName>
    <definedName name="dflk">#REF!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g">#REF!</definedName>
    <definedName name="DGCS">33500</definedName>
    <definedName name="DGCTI592">#REF!</definedName>
    <definedName name="dh">#REF!</definedName>
    <definedName name="dien">#REF!</definedName>
    <definedName name="dim">#REF!</definedName>
    <definedName name="display_area_1">#REF!</definedName>
    <definedName name="display_area_2">#REF!</definedName>
    <definedName name="Dist">#REF!</definedName>
    <definedName name="dmdv">#REF!</definedName>
    <definedName name="DMHH">#REF!</definedName>
    <definedName name="dmoi">#REF!</definedName>
    <definedName name="DN">#REF!</definedName>
    <definedName name="DÑt45x4">#REF!</definedName>
    <definedName name="DOANH_SO">#REF!</definedName>
    <definedName name="Doanh_thu">#REF!</definedName>
    <definedName name="dobt">#REF!</definedName>
    <definedName name="Document_array">{"ONGNGOAINHA.xls","Sheet1"}</definedName>
    <definedName name="dong" localSheetId="0" hidden="1">{"'Sheet1'!$L$16"}</definedName>
    <definedName name="dong" hidden="1">{"'Sheet1'!$L$16"}</definedName>
    <definedName name="drda">#REF!</definedName>
    <definedName name="drdat">#REF!</definedName>
    <definedName name="DSUMDATA">#REF!</definedName>
    <definedName name="DTBH">#REF!</definedName>
    <definedName name="DUCKY_CO_CD">#REF!</definedName>
    <definedName name="DUCKY_NO_CD">#REF!</definedName>
    <definedName name="DUDKY_CO_CD">#REF!</definedName>
    <definedName name="DUDKY_NO_CD">#REF!</definedName>
    <definedName name="dxd">#REF!</definedName>
    <definedName name="e">13</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_xlnm.Extract">#REF!</definedName>
    <definedName name="FACTOR">#REF!</definedName>
    <definedName name="Fax">#REF!</definedName>
    <definedName name="Fay">#REF!</definedName>
    <definedName name="fy_">#REF!</definedName>
    <definedName name="g">2</definedName>
    <definedName name="gd">#REF!</definedName>
    <definedName name="gd.">#REF!</definedName>
    <definedName name="GDL">#REF!</definedName>
    <definedName name="ghichu">#REF!</definedName>
    <definedName name="gi">0.4</definedName>
    <definedName name="Gia_tien">#REF!</definedName>
    <definedName name="gia_tien_BTN">#REF!</definedName>
    <definedName name="GiaKHUSD" comment="Giá gói thầu theo KHLCNT USD">#REF!</definedName>
    <definedName name="GiaKHVND" comment="Giá gói thầu theo KHLCNT (VND)">#REF!</definedName>
    <definedName name="gjj">#REF!</definedName>
    <definedName name="gld">#REF!</definedName>
    <definedName name="GLL">#REF!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rB">#REF!</definedName>
    <definedName name="GTXL">#REF!</definedName>
    <definedName name="gxm">#REF!</definedName>
    <definedName name="h" hidden="1">{"'Sheet1'!$L$16"}</definedName>
    <definedName name="Ha">#REF!</definedName>
    <definedName name="ha.">#REF!</definedName>
    <definedName name="haichau6">#REF!</definedName>
    <definedName name="hb.">#REF!</definedName>
    <definedName name="hc.">#REF!</definedName>
    <definedName name="HCM">#REF!</definedName>
    <definedName name="hg">#REF!</definedName>
    <definedName name="hgj">#REF!</definedName>
    <definedName name="HH">#REF!</definedName>
    <definedName name="hien">#REF!</definedName>
    <definedName name="Hinhthuc">#REF!</definedName>
    <definedName name="hnhnhn" localSheetId="0" hidden="1">{"'Sheet1'!$L$16"}</definedName>
    <definedName name="hnhnhn" hidden="1">{"'Sheet1'!$L$16"}</definedName>
    <definedName name="ho">#REF!</definedName>
    <definedName name="hoa" localSheetId="0" hidden="1">{"'Sheet1'!$L$16"}</definedName>
    <definedName name="hoa" hidden="1">{"'Sheet1'!$L$16"}</definedName>
    <definedName name="HOME_MANP">#REF!</definedName>
    <definedName name="HOMEOFFICE_COST">#REF!</definedName>
    <definedName name="hsn">0.5</definedName>
    <definedName name="HSPCKV">0.3</definedName>
    <definedName name="HT">#REF!</definedName>
    <definedName name="HTML_CodePage" hidden="1">950</definedName>
    <definedName name="HTML_Control" localSheetId="0"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0" hidden="1">{"'Sheet1'!$L$16"}</definedName>
    <definedName name="huy" hidden="1">{"'Sheet1'!$L$16"}</definedName>
    <definedName name="huynhhaichau">#REF!</definedName>
    <definedName name="i">1.11</definedName>
    <definedName name="IDLAB_COST">#REF!</definedName>
    <definedName name="IND_LAB">#REF!</definedName>
    <definedName name="INDMANP">#REF!</definedName>
    <definedName name="K">#REF!</definedName>
    <definedName name="k..">#REF!</definedName>
    <definedName name="KA">#REF!</definedName>
    <definedName name="ka.">#REF!</definedName>
    <definedName name="KAE">#REF!</definedName>
    <definedName name="kcong">#REF!</definedName>
    <definedName name="kdien">#REF!</definedName>
    <definedName name="KhuyenmaiUPS">"AutoShape 264"</definedName>
    <definedName name="kiem">#REF!</definedName>
    <definedName name="Kiem_tra_trung_ten">#REF!</definedName>
    <definedName name="kk">0.8</definedName>
    <definedName name="kl">#REF!</definedName>
    <definedName name="KPC">0.7</definedName>
    <definedName name="kstk">#REF!</definedName>
    <definedName name="KVC">#REF!</definedName>
    <definedName name="l">4.584</definedName>
    <definedName name="lai" localSheetId="0" hidden="1">{"'Sheet1'!$L$16"}</definedName>
    <definedName name="lai" hidden="1">{"'Sheet1'!$L$16"}</definedName>
    <definedName name="LAMTHEM">#REF!</definedName>
    <definedName name="Lb">#REF!</definedName>
    <definedName name="Lf">#REF!</definedName>
    <definedName name="LgL">#REF!</definedName>
    <definedName name="lk" localSheetId="0" hidden="1">{"'Sheet1'!$L$16"}</definedName>
    <definedName name="lk" hidden="1">{"'Sheet1'!$L$16"}</definedName>
    <definedName name="LLs">#REF!</definedName>
    <definedName name="LN">#REF!</definedName>
    <definedName name="LOC">#REF!</definedName>
    <definedName name="Log_Normal_Fade_Margin">#REF!</definedName>
    <definedName name="long">#REF!</definedName>
    <definedName name="Lop">#REF!</definedName>
    <definedName name="LTR">#REF!</definedName>
    <definedName name="ltre">#REF!</definedName>
    <definedName name="Luanthanh">#REF!</definedName>
    <definedName name="LUONG">#REF!</definedName>
    <definedName name="lVC">#REF!</definedName>
    <definedName name="m" hidden="1">{"'Sheet1'!$L$16"}</definedName>
    <definedName name="M0.4">#REF!</definedName>
    <definedName name="MAJ_CON_EQP">#REF!</definedName>
    <definedName name="Masterlist_CNTT" hidden="1">#REF!</definedName>
    <definedName name="Masterlist_ML" hidden="1">#REF!</definedName>
    <definedName name="matit">#REF!</definedName>
    <definedName name="MATK">#REF!</definedName>
    <definedName name="MATK_CD">#REF!</definedName>
    <definedName name="MATK_M">#REF!</definedName>
    <definedName name="MC">#REF!</definedName>
    <definedName name="me">#REF!</definedName>
    <definedName name="MG_A">#REF!</definedName>
    <definedName name="minh1">#REF!</definedName>
    <definedName name="ML">#REF!</definedName>
    <definedName name="MN">#REF!</definedName>
    <definedName name="mncvhjkhj" localSheetId="0" hidden="1">{"'Sheet1'!$L$16"}</definedName>
    <definedName name="mncvhjkhj" hidden="1">{"'Sheet1'!$L$16"}</definedName>
    <definedName name="MUN">#REF!</definedName>
    <definedName name="n1_">#REF!</definedName>
    <definedName name="n2_">#REF!</definedName>
    <definedName name="n3_">#REF!</definedName>
    <definedName name="n4_">#REF!</definedName>
    <definedName name="ncb">#N/A</definedName>
    <definedName name="NCcap0.7">#REF!</definedName>
    <definedName name="NCcap1">#REF!</definedName>
    <definedName name="NCKT">#REF!</definedName>
    <definedName name="NDemand01">#REF!</definedName>
    <definedName name="NDemand02">#REF!</definedName>
    <definedName name="NDemand03">#REF!</definedName>
    <definedName name="Néi_dung">#REF!</definedName>
    <definedName name="NET">#REF!</definedName>
    <definedName name="NET_1">#REF!</definedName>
    <definedName name="NET_ANA">#REF!</definedName>
    <definedName name="NET_ANA_1">#REF!</definedName>
    <definedName name="NET_ANA_2">#REF!</definedName>
    <definedName name="Ng_y__i">#REF!</definedName>
    <definedName name="ngau">#REF!</definedName>
    <definedName name="Ngay_BC.KQ_1" comment="Ngày báo cáo Hội đồng kết quả tài chính (2 túi HS)/KQ gói thầu (1 túi HS) lần 1">#REF!</definedName>
    <definedName name="Ngay_BC_KT_1" comment="Ngày báo cáo hội đồng KQ kỹ thuật lần 1">#REF!</definedName>
    <definedName name="Ngay_dong_thau">#REF!</definedName>
    <definedName name="Ngay_hoan.thanh_KQ">#REF!</definedName>
    <definedName name="Ngay_hoan.thanh_KT">#REF!</definedName>
    <definedName name="Ngay_mo_HSDX.TC">#REF!</definedName>
    <definedName name="Ngay_phat_hanh" comment="Ngày phát hành hồ sơ">#REF!</definedName>
    <definedName name="Ngay_thong.qua_KQ">#REF!</definedName>
    <definedName name="Ngay_thong.qua_KT">#REF!</definedName>
    <definedName name="NGAYCTU_B">#REF!</definedName>
    <definedName name="NGHI">#REF!</definedName>
    <definedName name="NH">#REF!</definedName>
    <definedName name="Nhancong">#REF!</definedName>
    <definedName name="NHANTIEN">#REF!</definedName>
    <definedName name="nhap1">#N/A</definedName>
    <definedName name="nhap2">#N/A</definedName>
    <definedName name="nhapcb">#N/A</definedName>
    <definedName name="NhNgam">#REF!</definedName>
    <definedName name="NHot">#REF!</definedName>
    <definedName name="NhTreo">#REF!</definedName>
    <definedName name="nhua">#REF!</definedName>
    <definedName name="nm" localSheetId="0" hidden="1">{"'Sheet1'!$L$16"}</definedName>
    <definedName name="nm" hidden="1">{"'Sheet1'!$L$16"}</definedName>
    <definedName name="nn">1.15</definedName>
    <definedName name="No">#REF!</definedName>
    <definedName name="NOCU">#REF!</definedName>
    <definedName name="NS">#REF!</definedName>
    <definedName name="NvsASD">"V1995-11-24"</definedName>
    <definedName name="NvsAutoDrillOk">"VN"</definedName>
    <definedName name="NvsElapsedTime">0.000677083335176576</definedName>
    <definedName name="NvsEndTime">35083.4744131944</definedName>
    <definedName name="NvsInstSpec">"%"</definedName>
    <definedName name="NvsLayoutType">"M3"</definedName>
    <definedName name="NvsNplSpec">"%,X,RZF..,CZF.."</definedName>
    <definedName name="NvsPanelEffdt">"V1995-11-24"</definedName>
    <definedName name="NvsPanelSetid">"VMODEL"</definedName>
    <definedName name="NvsReqBU">"VMODEL"</definedName>
    <definedName name="NvsReqBUOnly">"VN"</definedName>
    <definedName name="NvsTransLed">"VN"</definedName>
    <definedName name="NvsTreeASD">"V1995-11-24"</definedName>
    <definedName name="NvsValTbl.OFFCENTER_CHG">"OFFDEPT_CHG_VAL"</definedName>
    <definedName name="p2_">#REF!</definedName>
    <definedName name="PA">#REF!</definedName>
    <definedName name="Phuongthuc" comment="Phương thức lựa chọn nhà thầu">#REF!</definedName>
    <definedName name="PK">#REF!</definedName>
    <definedName name="PRICE">#REF!</definedName>
    <definedName name="PRICE1">#REF!</definedName>
    <definedName name="_xlnm.Print_Area" localSheetId="0">'PL1.1 ML2027-2028'!$A$1:$I$10</definedName>
    <definedName name="_xlnm.Print_Area" localSheetId="2">'PL1.2 TH theo mục đích'!$A$1:$J$58</definedName>
    <definedName name="_xlnm.Print_Area" localSheetId="3">'PL1.3 Buc tranh sau QH'!$A$1:$F$29</definedName>
    <definedName name="_xlnm.Print_Area">#REF!</definedName>
    <definedName name="PRINT_AREA_MI">#REF!</definedName>
    <definedName name="_xlnm.Print_Titles" localSheetId="0">'PL1.1 ML2027-2028'!$4:$7</definedName>
    <definedName name="_xlnm.Print_Titles" localSheetId="2">'PL1.2 TH theo mục đích'!$3:$4</definedName>
    <definedName name="_xlnm.Print_Titles" localSheetId="3">'PL1.3 Buc tranh sau QH'!$3:$3</definedName>
    <definedName name="_xlnm.Print_Titles">#N/A</definedName>
    <definedName name="PRINT_TITLES_MI">#REF!</definedName>
    <definedName name="PRINTA">#REF!</definedName>
    <definedName name="PRINTB">#REF!</definedName>
    <definedName name="PRINTC">#REF!</definedName>
    <definedName name="PROPOSAL">#REF!</definedName>
    <definedName name="PSCO_CD">#REF!</definedName>
    <definedName name="PSNO_CD">#REF!</definedName>
    <definedName name="pt">#REF!</definedName>
    <definedName name="PT_Duong">#REF!</definedName>
    <definedName name="ptdg">#REF!</definedName>
    <definedName name="PTDG_cau">#REF!</definedName>
    <definedName name="ptdg_cong">#REF!</definedName>
    <definedName name="ptdg_duong">#REF!</definedName>
    <definedName name="qh">#REF!</definedName>
    <definedName name="ql">#REF!</definedName>
    <definedName name="qp">#REF!</definedName>
    <definedName name="qtebt">#REF!</definedName>
    <definedName name="Query1">#REF!</definedName>
    <definedName name="qx">#REF!</definedName>
    <definedName name="qy">#REF!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#REF!</definedName>
    <definedName name="rang1">#REF!</definedName>
    <definedName name="range">#REF!</definedName>
    <definedName name="Rate">14563</definedName>
    <definedName name="re" hidden="1">{"'Sheet1'!$L$16"}</definedName>
    <definedName name="RECOUT">#REF!</definedName>
    <definedName name="REPORT01">#REF!</definedName>
    <definedName name="REPORT02">#REF!</definedName>
    <definedName name="RFP003A">#REF!</definedName>
    <definedName name="RFP003B">#REF!</definedName>
    <definedName name="RFP003C">#REF!</definedName>
    <definedName name="RFP003D">#REF!</definedName>
    <definedName name="RFP003E">#REF!</definedName>
    <definedName name="RFP003F">#REF!</definedName>
    <definedName name="rnp">32</definedName>
    <definedName name="s1_">#REF!</definedName>
    <definedName name="s2_">#REF!</definedName>
    <definedName name="s3_">#REF!</definedName>
    <definedName name="s4_">#REF!</definedName>
    <definedName name="SCCR">#REF!</definedName>
    <definedName name="scdk">#REF!</definedName>
    <definedName name="scdl">#REF!</definedName>
    <definedName name="SCDT">#REF!</definedName>
    <definedName name="SCH">#REF!</definedName>
    <definedName name="sctdl">#REF!</definedName>
    <definedName name="sctqdl">#REF!</definedName>
    <definedName name="SDemand02">#REF!</definedName>
    <definedName name="SDemand03">#REF!</definedName>
    <definedName name="sencount" hidden="1">1</definedName>
    <definedName name="Shoes">#REF!</definedName>
    <definedName name="SIZE">#REF!</definedName>
    <definedName name="SL">#REF!</definedName>
    <definedName name="slk">#REF!</definedName>
    <definedName name="sll">#REF!</definedName>
    <definedName name="SOCTU_NK_BH">#REF!</definedName>
    <definedName name="Soi">#REF!</definedName>
    <definedName name="SORT">#REF!</definedName>
    <definedName name="SOTIEN_B">#REF!</definedName>
    <definedName name="SOTIEN_CO_NK">#REF!</definedName>
    <definedName name="SOTIEN_NO_NK">#REF!</definedName>
    <definedName name="SPEC">#REF!</definedName>
    <definedName name="SPECSUMMARY">#REF!</definedName>
    <definedName name="spk">#REF!</definedName>
    <definedName name="SS">#REF!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us">#REF!</definedName>
    <definedName name="std.">#REF!</definedName>
    <definedName name="stop" localSheetId="0" hidden="1">{0}</definedName>
    <definedName name="stop" hidden="1">{0}</definedName>
    <definedName name="STT_NC">#REF!</definedName>
    <definedName name="STT_NCT">#REF!</definedName>
    <definedName name="STT_PH">#REF!</definedName>
    <definedName name="SU">#REF!</definedName>
    <definedName name="sua" localSheetId="0" hidden="1">{"'Sheet1'!$L$16"}</definedName>
    <definedName name="sua" hidden="1">{"'Sheet1'!$L$16"}</definedName>
    <definedName name="SUM">#REF!,#REF!</definedName>
    <definedName name="SUMMARY">#REF!</definedName>
    <definedName name="T">#REF!</definedName>
    <definedName name="TAMUNG">#REF!</definedName>
    <definedName name="TaxTV">10%</definedName>
    <definedName name="TaxXL">10%</definedName>
    <definedName name="TBA">#REF!</definedName>
    <definedName name="tc">#REF!</definedName>
    <definedName name="TD">#REF!</definedName>
    <definedName name="tdo">#REF!</definedName>
    <definedName name="tdt">#REF!</definedName>
    <definedName name="TenNgam">#REF!</definedName>
    <definedName name="TenTreo">#REF!</definedName>
    <definedName name="ter">#REF!</definedName>
    <definedName name="THCTO">#REF!</definedName>
    <definedName name="thdt">#REF!</definedName>
    <definedName name="thepma">30408</definedName>
    <definedName name="thepmaBL">34500</definedName>
    <definedName name="thepmacl">34500</definedName>
    <definedName name="THI">#REF!</definedName>
    <definedName name="thinh">#REF!</definedName>
    <definedName name="Thoi_gian_BC_KT" comment="Thời gian từ ngày ra b/c KT tới ngày được hội đồng thông qua KQ kỹ thuật">#REF!</definedName>
    <definedName name="Thoi_gian_D.G_KT" comment="Thời gian hoàn thành đánh giá HSĐX kỹ thuật từ ngày đóng thầu tới ngày TCG trình báo cáo KQ đánh giá KT lên HĐ">#REF!</definedName>
    <definedName name="Thoi_gian_D.G_tong.hop">#REF!</definedName>
    <definedName name="Thoi_gian_HT_B.C" comment="Thời gian hoàn thành báo cáo đánh giá tài chính (2 túi HS) hoặc hoàn thành báo cáo KQ đánh giá HSDT">#REF!</definedName>
    <definedName name="Thoi_gian_HT_D.G" comment="Thời gian hoàn thành đánh giá HSĐX tài chính (2 túi HS) hoặc thời gian hoàn thành đánh giá HSDT (1 túi HS)">#REF!</definedName>
    <definedName name="Thu__GTGT">#REF!</definedName>
    <definedName name="THUE_GTGT">#REF!</definedName>
    <definedName name="THUONG">#REF!</definedName>
    <definedName name="Tien">#REF!</definedName>
    <definedName name="Tim_Lan_Xuat_Hien">#REF!</definedName>
    <definedName name="tim_xuat_hien">#REF!</definedName>
    <definedName name="TITAN">#REF!</definedName>
    <definedName name="tk">#N/A</definedName>
    <definedName name="tke">#N/A</definedName>
    <definedName name="TKNO_NK">#REF!</definedName>
    <definedName name="tkt" localSheetId="0" hidden="1">{"'Sheet1'!$L$16"}</definedName>
    <definedName name="tkt" hidden="1">{"'Sheet1'!$L$16"}</definedName>
    <definedName name="Tle">#REF!</definedName>
    <definedName name="TN">"$A$1:$I$11"</definedName>
    <definedName name="tnewry">#REF!</definedName>
    <definedName name="ton">#REF!</definedName>
    <definedName name="TOT">#REF!</definedName>
    <definedName name="TPLRP">#REF!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TON" localSheetId="0" hidden="1">{"'Sheet1'!$L$16"}</definedName>
    <definedName name="TRAMTON" hidden="1">{"'Sheet1'!$L$16"}</definedName>
    <definedName name="Trang.thai.goi.thau" comment="Trạng thái hiện tại của các gói thầu">#REF!</definedName>
    <definedName name="TRANO">#REF!</definedName>
    <definedName name="TRAVL">#REF!</definedName>
    <definedName name="TRUNGHI">#REF!</definedName>
    <definedName name="ttam">#REF!</definedName>
    <definedName name="ttao">#REF!</definedName>
    <definedName name="ttbt">#REF!</definedName>
    <definedName name="tthi">#REF!</definedName>
    <definedName name="ty_le">#REF!</definedName>
    <definedName name="ty_le_BTN">#REF!</definedName>
    <definedName name="Ty_le1">#REF!</definedName>
    <definedName name="u">#REF!</definedName>
    <definedName name="ư34y">#REF!</definedName>
    <definedName name="ưb2u45etm">#REF!</definedName>
    <definedName name="ưebty">#REF!</definedName>
    <definedName name="UP">#REF!,#REF!,#REF!,#REF!,#REF!,#REF!,#REF!,#REF!,#REF!,#REF!,#REF!</definedName>
    <definedName name="USD">15820</definedName>
    <definedName name="VARIINST">#REF!</definedName>
    <definedName name="VARIPURC">#REF!</definedName>
    <definedName name="vbnmb">#REF!</definedName>
    <definedName name="vc">#REF!</definedName>
    <definedName name="vccot">#REF!</definedName>
    <definedName name="vcdatd">#REF!</definedName>
    <definedName name="vcddx">#REF!</definedName>
    <definedName name="vctb">#REF!</definedName>
    <definedName name="Vf">#REF!</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lcap0.7">#REF!</definedName>
    <definedName name="VLcap1">#REF!</definedName>
    <definedName name="Vs">#REF!</definedName>
    <definedName name="vungnhapk">#REF!</definedName>
    <definedName name="vungnhapl">#REF!</definedName>
    <definedName name="vungxuatk">#REF!</definedName>
    <definedName name="vungxuatl">#REF!</definedName>
    <definedName name="vxgf">#REF!</definedName>
    <definedName name="W">#REF!</definedName>
    <definedName name="wb">#REF!</definedName>
    <definedName name="wrn.chi._.tiÆt." localSheetId="0" hidden="1">{#N/A,#N/A,FALSE,"Chi tiÆt"}</definedName>
    <definedName name="wrn.chi._.tiÆt." hidden="1">{#N/A,#N/A,FALSE,"Chi tiÆt"}</definedName>
    <definedName name="wup">#REF!</definedName>
    <definedName name="X">#REF!</definedName>
    <definedName name="x_list">#REF!</definedName>
    <definedName name="x1_">#REF!</definedName>
    <definedName name="x2_">#REF!</definedName>
    <definedName name="XA">#REF!</definedName>
    <definedName name="xaylap">#REF!</definedName>
    <definedName name="xcp">#REF!</definedName>
    <definedName name="xe">#REF!</definedName>
    <definedName name="xh">#REF!</definedName>
    <definedName name="xl">#REF!</definedName>
    <definedName name="xlc">#REF!</definedName>
    <definedName name="xlk">#REF!</definedName>
    <definedName name="xmp40">#REF!</definedName>
    <definedName name="xn">#REF!</definedName>
    <definedName name="xoanhapk">#REF!,#REF!</definedName>
    <definedName name="xoanhapl">#REF!,#REF!</definedName>
    <definedName name="xoaxuatk">#REF!</definedName>
    <definedName name="xoaxuatl">#REF!</definedName>
    <definedName name="y" localSheetId="0" hidden="1">{"'Sheet1'!$L$16"}</definedName>
    <definedName name="y" hidden="1">{"'Sheet1'!$L$16"}</definedName>
    <definedName name="y_list">#REF!</definedName>
    <definedName name="ycp">#REF!</definedName>
    <definedName name="YvNgam">#REF!</definedName>
    <definedName name="YvTreo">#REF!</definedName>
    <definedName name="ZYX">#REF!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 i="1" l="1"/>
  <c r="H16" i="1"/>
  <c r="H9" i="1"/>
  <c r="G9" i="1"/>
  <c r="F24" i="18" l="1"/>
  <c r="C24" i="18"/>
  <c r="F57" i="18"/>
  <c r="F55" i="18"/>
  <c r="F50" i="18"/>
  <c r="F43" i="18"/>
  <c r="F36" i="18"/>
  <c r="F12" i="18"/>
  <c r="F11" i="18"/>
  <c r="F8" i="18"/>
  <c r="C57" i="18"/>
  <c r="C55" i="18"/>
  <c r="C36" i="18"/>
  <c r="C50" i="18"/>
  <c r="C43" i="18"/>
  <c r="C12" i="18" l="1"/>
  <c r="C11" i="18"/>
  <c r="C26" i="18"/>
  <c r="C47" i="18"/>
  <c r="C51" i="18"/>
  <c r="C14" i="18"/>
  <c r="F20" i="18"/>
  <c r="F14" i="18"/>
  <c r="F56" i="18" l="1"/>
  <c r="F40" i="18"/>
  <c r="F51" i="18"/>
  <c r="F47" i="18"/>
  <c r="F27" i="18"/>
  <c r="F26" i="18"/>
  <c r="C17" i="18"/>
  <c r="F39" i="18"/>
  <c r="C56" i="18"/>
  <c r="F48" i="18"/>
  <c r="C46" i="18"/>
  <c r="F52" i="18"/>
  <c r="C41" i="18"/>
  <c r="F23" i="18"/>
  <c r="C38" i="18"/>
  <c r="F9" i="18"/>
  <c r="C37" i="18"/>
  <c r="C22" i="18"/>
  <c r="F38" i="18"/>
  <c r="F28" i="18"/>
  <c r="F46" i="18"/>
  <c r="F41" i="18"/>
  <c r="F17" i="18"/>
  <c r="C28" i="18"/>
  <c r="C9" i="18"/>
  <c r="F44" i="18"/>
  <c r="F37" i="18"/>
  <c r="F22" i="18"/>
  <c r="F13" i="18"/>
  <c r="C45" i="18"/>
  <c r="C48" i="18"/>
  <c r="C53" i="18"/>
  <c r="C18" i="18"/>
  <c r="C23" i="18"/>
  <c r="C40" i="18"/>
  <c r="C27" i="18"/>
  <c r="F45" i="18"/>
  <c r="F10" i="18"/>
  <c r="C39" i="18"/>
  <c r="C52" i="18"/>
  <c r="F53" i="18"/>
  <c r="F18" i="18"/>
  <c r="C8" i="18"/>
  <c r="C13" i="18"/>
  <c r="C10" i="18"/>
  <c r="C20" i="18"/>
  <c r="C16" i="18" l="1"/>
  <c r="C44" i="18"/>
  <c r="H10" i="1"/>
  <c r="G10" i="1"/>
  <c r="G16" i="1"/>
  <c r="H12" i="1"/>
  <c r="H15" i="1"/>
  <c r="G12" i="1"/>
  <c r="H11" i="1"/>
  <c r="G11" i="1"/>
  <c r="G14" i="1" l="1"/>
  <c r="G13" i="1"/>
  <c r="H14" i="1"/>
  <c r="H13" i="1"/>
  <c r="G15" i="1"/>
  <c r="P34" i="14" l="1"/>
  <c r="G34" i="14"/>
  <c r="V34" i="14" l="1"/>
  <c r="W34" i="14"/>
  <c r="X34" i="14"/>
  <c r="Z34" i="14"/>
  <c r="AA34" i="14"/>
  <c r="T34" i="14"/>
  <c r="K34" i="14"/>
  <c r="Y34" i="14" l="1"/>
  <c r="AB34" i="14" s="1"/>
  <c r="I24" i="18" l="1"/>
  <c r="I23" i="18"/>
  <c r="F21" i="18"/>
  <c r="F19" i="18"/>
  <c r="S33" i="14"/>
  <c r="R33" i="14"/>
  <c r="Q33" i="14"/>
  <c r="P33" i="14"/>
  <c r="O33" i="14"/>
  <c r="N33" i="14"/>
  <c r="I33" i="14"/>
  <c r="H33" i="14"/>
  <c r="G33" i="14"/>
  <c r="F33" i="14"/>
  <c r="E33" i="14"/>
  <c r="S32" i="14"/>
  <c r="R32" i="14"/>
  <c r="Q32" i="14"/>
  <c r="P32" i="14"/>
  <c r="O32" i="14"/>
  <c r="N32" i="14"/>
  <c r="M32" i="14"/>
  <c r="J32" i="14"/>
  <c r="I32" i="14"/>
  <c r="H32" i="14"/>
  <c r="G32" i="14"/>
  <c r="F32" i="14"/>
  <c r="E32" i="14"/>
  <c r="D32" i="14"/>
  <c r="S31" i="14"/>
  <c r="R31" i="14"/>
  <c r="Q31" i="14"/>
  <c r="P31" i="14"/>
  <c r="O31" i="14"/>
  <c r="N31" i="14"/>
  <c r="J31" i="14"/>
  <c r="I31" i="14"/>
  <c r="H31" i="14"/>
  <c r="I46" i="18" s="1"/>
  <c r="G31" i="14"/>
  <c r="F31" i="14"/>
  <c r="E31" i="14"/>
  <c r="S30" i="14"/>
  <c r="R30" i="14"/>
  <c r="Q30" i="14"/>
  <c r="P30" i="14"/>
  <c r="O30" i="14"/>
  <c r="N30" i="14"/>
  <c r="J30" i="14"/>
  <c r="I30" i="14"/>
  <c r="H30" i="14"/>
  <c r="G30" i="14"/>
  <c r="F30" i="14"/>
  <c r="E30" i="14"/>
  <c r="S28" i="14"/>
  <c r="R28" i="14"/>
  <c r="Q28" i="14"/>
  <c r="P28" i="14"/>
  <c r="O28" i="14"/>
  <c r="N28" i="14"/>
  <c r="M28" i="14"/>
  <c r="J28" i="14"/>
  <c r="I28" i="14"/>
  <c r="H28" i="14"/>
  <c r="G28" i="14"/>
  <c r="F28" i="14"/>
  <c r="E28" i="14"/>
  <c r="D28" i="14"/>
  <c r="S27" i="14"/>
  <c r="R27" i="14"/>
  <c r="Q27" i="14"/>
  <c r="P27" i="14"/>
  <c r="O27" i="14"/>
  <c r="N27" i="14"/>
  <c r="M27" i="14"/>
  <c r="J27" i="14"/>
  <c r="I27" i="14"/>
  <c r="H27" i="14"/>
  <c r="G27" i="14"/>
  <c r="F27" i="14"/>
  <c r="E27" i="14"/>
  <c r="D27" i="14"/>
  <c r="S25" i="14"/>
  <c r="R25" i="14"/>
  <c r="Q25" i="14"/>
  <c r="P25" i="14"/>
  <c r="O25" i="14"/>
  <c r="N25" i="14"/>
  <c r="M25" i="14"/>
  <c r="J25" i="14"/>
  <c r="I25" i="14"/>
  <c r="H25" i="14"/>
  <c r="G25" i="14"/>
  <c r="F25" i="14"/>
  <c r="E25" i="14"/>
  <c r="D25" i="14"/>
  <c r="S24" i="14"/>
  <c r="R24" i="14"/>
  <c r="Q24" i="14"/>
  <c r="P24" i="14"/>
  <c r="O24" i="14"/>
  <c r="N24" i="14"/>
  <c r="M24" i="14"/>
  <c r="J24" i="14"/>
  <c r="I24" i="14"/>
  <c r="H24" i="14"/>
  <c r="G24" i="14"/>
  <c r="F24" i="14"/>
  <c r="E24" i="14"/>
  <c r="D24" i="14"/>
  <c r="S23" i="14"/>
  <c r="R23" i="14"/>
  <c r="Q23" i="14"/>
  <c r="P23" i="14"/>
  <c r="O23" i="14"/>
  <c r="N23" i="14"/>
  <c r="M23" i="14"/>
  <c r="J23" i="14"/>
  <c r="I23" i="14"/>
  <c r="H23" i="14"/>
  <c r="G23" i="14"/>
  <c r="F23" i="14"/>
  <c r="E23" i="14"/>
  <c r="D23" i="14"/>
  <c r="S21" i="14"/>
  <c r="R21" i="14"/>
  <c r="Q21" i="14"/>
  <c r="P21" i="14"/>
  <c r="O21" i="14"/>
  <c r="N21" i="14"/>
  <c r="M21" i="14"/>
  <c r="J21" i="14"/>
  <c r="I21" i="14"/>
  <c r="H21" i="14"/>
  <c r="G21" i="14"/>
  <c r="F21" i="14"/>
  <c r="E21" i="14"/>
  <c r="D21" i="14"/>
  <c r="S20" i="14"/>
  <c r="R20" i="14"/>
  <c r="Q20" i="14"/>
  <c r="P20" i="14"/>
  <c r="O20" i="14"/>
  <c r="N20" i="14"/>
  <c r="M20" i="14"/>
  <c r="J20" i="14"/>
  <c r="I20" i="14"/>
  <c r="H20" i="14"/>
  <c r="G20" i="14"/>
  <c r="F20" i="14"/>
  <c r="E20" i="14"/>
  <c r="D20" i="14"/>
  <c r="S19" i="14"/>
  <c r="R19" i="14"/>
  <c r="Q19" i="14"/>
  <c r="P19" i="14"/>
  <c r="O19" i="14"/>
  <c r="N19" i="14"/>
  <c r="M19" i="14"/>
  <c r="J19" i="14"/>
  <c r="I19" i="14"/>
  <c r="H19" i="14"/>
  <c r="G19" i="14"/>
  <c r="F19" i="14"/>
  <c r="E19" i="14"/>
  <c r="D19" i="14"/>
  <c r="S18" i="14"/>
  <c r="R18" i="14"/>
  <c r="Q18" i="14"/>
  <c r="P18" i="14"/>
  <c r="O18" i="14"/>
  <c r="N18" i="14"/>
  <c r="M18" i="14"/>
  <c r="J18" i="14"/>
  <c r="I18" i="14"/>
  <c r="H18" i="14"/>
  <c r="G18" i="14"/>
  <c r="F18" i="14"/>
  <c r="E18" i="14"/>
  <c r="D18" i="14"/>
  <c r="S17" i="14"/>
  <c r="R17" i="14"/>
  <c r="Q17" i="14"/>
  <c r="P17" i="14"/>
  <c r="O17" i="14"/>
  <c r="N17" i="14"/>
  <c r="M17" i="14"/>
  <c r="J17" i="14"/>
  <c r="I17" i="14"/>
  <c r="H17" i="14"/>
  <c r="G17" i="14"/>
  <c r="F17" i="14"/>
  <c r="E17" i="14"/>
  <c r="D17" i="14"/>
  <c r="S16" i="14"/>
  <c r="R16" i="14"/>
  <c r="Q16" i="14"/>
  <c r="P16" i="14"/>
  <c r="O16" i="14"/>
  <c r="N16" i="14"/>
  <c r="M16" i="14"/>
  <c r="J16" i="14"/>
  <c r="I16" i="14"/>
  <c r="H16" i="14"/>
  <c r="G16" i="14"/>
  <c r="F16" i="14"/>
  <c r="E16" i="14"/>
  <c r="D16" i="14"/>
  <c r="S14" i="14"/>
  <c r="R14" i="14"/>
  <c r="Q14" i="14"/>
  <c r="P14" i="14"/>
  <c r="O14" i="14"/>
  <c r="N14" i="14"/>
  <c r="J14" i="14"/>
  <c r="I14" i="14"/>
  <c r="H14" i="14"/>
  <c r="G14" i="14"/>
  <c r="F14" i="14"/>
  <c r="E14" i="14"/>
  <c r="S13" i="14"/>
  <c r="S12" i="14" s="1"/>
  <c r="R13" i="14"/>
  <c r="R12" i="14" s="1"/>
  <c r="Q13" i="14"/>
  <c r="P13" i="14"/>
  <c r="P12" i="14" s="1"/>
  <c r="O13" i="14"/>
  <c r="O12" i="14" s="1"/>
  <c r="N13" i="14"/>
  <c r="N12" i="14" s="1"/>
  <c r="J13" i="14"/>
  <c r="J12" i="14" s="1"/>
  <c r="I13" i="14"/>
  <c r="H13" i="14"/>
  <c r="G13" i="14"/>
  <c r="F13" i="14"/>
  <c r="E13" i="14"/>
  <c r="S10" i="14"/>
  <c r="R10" i="14"/>
  <c r="Q10" i="14"/>
  <c r="P10" i="14"/>
  <c r="O10" i="14"/>
  <c r="N10" i="14"/>
  <c r="M10" i="14"/>
  <c r="J10" i="14"/>
  <c r="I10" i="14"/>
  <c r="H10" i="14"/>
  <c r="G10" i="14"/>
  <c r="F10" i="14"/>
  <c r="E10" i="14"/>
  <c r="D10" i="14"/>
  <c r="S9" i="14"/>
  <c r="R9" i="14"/>
  <c r="Q9" i="14"/>
  <c r="P9" i="14"/>
  <c r="O9" i="14"/>
  <c r="N9" i="14"/>
  <c r="M9" i="14"/>
  <c r="J9" i="14"/>
  <c r="I9" i="14"/>
  <c r="H9" i="14"/>
  <c r="G9" i="14"/>
  <c r="F9" i="14"/>
  <c r="E9" i="14"/>
  <c r="D9" i="14"/>
  <c r="S8" i="14"/>
  <c r="R8" i="14"/>
  <c r="Q8" i="14"/>
  <c r="P8" i="14"/>
  <c r="O8" i="14"/>
  <c r="N8" i="14"/>
  <c r="M8" i="14"/>
  <c r="J8" i="14"/>
  <c r="I8" i="14"/>
  <c r="H8" i="14"/>
  <c r="G8" i="14"/>
  <c r="F8" i="14"/>
  <c r="E8" i="14"/>
  <c r="D8" i="14"/>
  <c r="S7" i="14"/>
  <c r="R7" i="14"/>
  <c r="Q7" i="14"/>
  <c r="P7" i="14"/>
  <c r="O7" i="14"/>
  <c r="N7" i="14"/>
  <c r="J7" i="14"/>
  <c r="I7" i="14"/>
  <c r="H7" i="14"/>
  <c r="G7" i="14"/>
  <c r="F7" i="14"/>
  <c r="E7" i="14"/>
  <c r="M33" i="14"/>
  <c r="Q12" i="14" l="1"/>
  <c r="S29" i="14"/>
  <c r="S26" i="14" s="1"/>
  <c r="C33" i="18"/>
  <c r="X32" i="14"/>
  <c r="O29" i="14"/>
  <c r="O26" i="14" s="1"/>
  <c r="M15" i="14"/>
  <c r="Q15" i="14"/>
  <c r="I48" i="18"/>
  <c r="F25" i="18"/>
  <c r="H12" i="14"/>
  <c r="C30" i="18"/>
  <c r="X33" i="14"/>
  <c r="W32" i="14"/>
  <c r="S22" i="14"/>
  <c r="G29" i="14"/>
  <c r="G26" i="14" s="1"/>
  <c r="R29" i="14"/>
  <c r="R26" i="14" s="1"/>
  <c r="Y31" i="14"/>
  <c r="W31" i="14"/>
  <c r="AA31" i="14"/>
  <c r="H22" i="14"/>
  <c r="N6" i="14"/>
  <c r="R6" i="14"/>
  <c r="F15" i="14"/>
  <c r="J15" i="14"/>
  <c r="N15" i="14"/>
  <c r="R15" i="14"/>
  <c r="D22" i="14"/>
  <c r="Y32" i="14"/>
  <c r="I20" i="18"/>
  <c r="I19" i="18" s="1"/>
  <c r="I27" i="18"/>
  <c r="I37" i="18"/>
  <c r="I39" i="18"/>
  <c r="I41" i="18"/>
  <c r="I45" i="18"/>
  <c r="I9" i="18"/>
  <c r="P29" i="14"/>
  <c r="P26" i="14" s="1"/>
  <c r="P15" i="14"/>
  <c r="Y23" i="14"/>
  <c r="T23" i="14"/>
  <c r="W24" i="14"/>
  <c r="AA24" i="14"/>
  <c r="O22" i="14"/>
  <c r="Y25" i="14"/>
  <c r="AA27" i="14"/>
  <c r="Y28" i="14"/>
  <c r="N22" i="14"/>
  <c r="P22" i="14"/>
  <c r="Y24" i="14"/>
  <c r="W25" i="14"/>
  <c r="AA25" i="14"/>
  <c r="Y27" i="14"/>
  <c r="W28" i="14"/>
  <c r="I6" i="14"/>
  <c r="W16" i="14"/>
  <c r="AA16" i="14"/>
  <c r="Y17" i="14"/>
  <c r="W18" i="14"/>
  <c r="AA18" i="14"/>
  <c r="Y19" i="14"/>
  <c r="W20" i="14"/>
  <c r="AA20" i="14"/>
  <c r="Y21" i="14"/>
  <c r="R22" i="14"/>
  <c r="F22" i="14"/>
  <c r="J22" i="14"/>
  <c r="Z24" i="14"/>
  <c r="X25" i="14"/>
  <c r="H26" i="14"/>
  <c r="X28" i="14"/>
  <c r="X30" i="14"/>
  <c r="X31" i="14"/>
  <c r="V8" i="14"/>
  <c r="Z8" i="14"/>
  <c r="X9" i="14"/>
  <c r="V10" i="14"/>
  <c r="Z10" i="14"/>
  <c r="H15" i="14"/>
  <c r="W17" i="14"/>
  <c r="AA17" i="14"/>
  <c r="Y18" i="14"/>
  <c r="W19" i="14"/>
  <c r="AA19" i="14"/>
  <c r="Y20" i="14"/>
  <c r="W21" i="14"/>
  <c r="AA21" i="14"/>
  <c r="Q6" i="14"/>
  <c r="E6" i="14"/>
  <c r="O6" i="14"/>
  <c r="S6" i="14"/>
  <c r="G6" i="14"/>
  <c r="X8" i="14"/>
  <c r="P6" i="14"/>
  <c r="K9" i="14"/>
  <c r="Z9" i="14"/>
  <c r="X10" i="14"/>
  <c r="D15" i="14"/>
  <c r="Z16" i="14"/>
  <c r="X17" i="14"/>
  <c r="Z18" i="14"/>
  <c r="X19" i="14"/>
  <c r="V20" i="14"/>
  <c r="Z20" i="14"/>
  <c r="X21" i="14"/>
  <c r="W13" i="14"/>
  <c r="W14" i="14"/>
  <c r="O15" i="14"/>
  <c r="S15" i="14"/>
  <c r="T17" i="14"/>
  <c r="Z17" i="14"/>
  <c r="T19" i="14"/>
  <c r="T21" i="14"/>
  <c r="Z21" i="14"/>
  <c r="F30" i="18"/>
  <c r="Q29" i="14"/>
  <c r="Q26" i="14" s="1"/>
  <c r="T33" i="14"/>
  <c r="Y8" i="14"/>
  <c r="T8" i="14"/>
  <c r="W9" i="14"/>
  <c r="AA9" i="14"/>
  <c r="Y10" i="14"/>
  <c r="T10" i="14"/>
  <c r="I14" i="18" s="1"/>
  <c r="I12" i="14"/>
  <c r="X13" i="14"/>
  <c r="X14" i="14"/>
  <c r="Z14" i="14"/>
  <c r="X16" i="14"/>
  <c r="V17" i="14"/>
  <c r="X18" i="14"/>
  <c r="K19" i="14"/>
  <c r="Z19" i="14"/>
  <c r="X20" i="14"/>
  <c r="V21" i="14"/>
  <c r="K23" i="14"/>
  <c r="Z23" i="14"/>
  <c r="X24" i="14"/>
  <c r="V25" i="14"/>
  <c r="Z25" i="14"/>
  <c r="T25" i="14"/>
  <c r="X27" i="14"/>
  <c r="V28" i="14"/>
  <c r="Z28" i="14"/>
  <c r="T28" i="14"/>
  <c r="AA28" i="14"/>
  <c r="I29" i="14"/>
  <c r="I26" i="14" s="1"/>
  <c r="Z30" i="14"/>
  <c r="W33" i="14"/>
  <c r="AA33" i="14"/>
  <c r="I51" i="18"/>
  <c r="E12" i="14"/>
  <c r="Y14" i="14"/>
  <c r="G15" i="14"/>
  <c r="T18" i="14"/>
  <c r="G22" i="14"/>
  <c r="Q22" i="14"/>
  <c r="E22" i="14"/>
  <c r="I22" i="14"/>
  <c r="C34" i="18" s="1"/>
  <c r="T24" i="14"/>
  <c r="T27" i="14"/>
  <c r="N29" i="14"/>
  <c r="N26" i="14" s="1"/>
  <c r="W30" i="14"/>
  <c r="AA30" i="14"/>
  <c r="Y30" i="14"/>
  <c r="K32" i="14"/>
  <c r="Y33" i="14"/>
  <c r="C19" i="18"/>
  <c r="I28" i="18"/>
  <c r="I38" i="18"/>
  <c r="I40" i="18"/>
  <c r="I44" i="18"/>
  <c r="E15" i="14"/>
  <c r="W7" i="14"/>
  <c r="Y13" i="14"/>
  <c r="F7" i="18"/>
  <c r="H6" i="14"/>
  <c r="F6" i="14"/>
  <c r="J6" i="14"/>
  <c r="K8" i="14"/>
  <c r="AA8" i="14"/>
  <c r="Y9" i="14"/>
  <c r="T9" i="14"/>
  <c r="I13" i="18" s="1"/>
  <c r="K10" i="14"/>
  <c r="AA10" i="14"/>
  <c r="G12" i="14"/>
  <c r="I15" i="14"/>
  <c r="T16" i="14"/>
  <c r="K18" i="14"/>
  <c r="T20" i="14"/>
  <c r="K24" i="14"/>
  <c r="K27" i="14"/>
  <c r="F29" i="14"/>
  <c r="F26" i="14" s="1"/>
  <c r="I47" i="18"/>
  <c r="D14" i="14"/>
  <c r="I17" i="18"/>
  <c r="M13" i="14"/>
  <c r="M14" i="14"/>
  <c r="T14" i="14" s="1"/>
  <c r="M31" i="14"/>
  <c r="T31" i="14" s="1"/>
  <c r="F42" i="18"/>
  <c r="X7" i="14"/>
  <c r="W8" i="14"/>
  <c r="V9" i="14"/>
  <c r="D33" i="14"/>
  <c r="D30" i="14"/>
  <c r="D7" i="14"/>
  <c r="I10" i="18"/>
  <c r="Y7" i="14"/>
  <c r="F12" i="14"/>
  <c r="D13" i="14"/>
  <c r="Z13" i="14"/>
  <c r="F35" i="18"/>
  <c r="M30" i="14"/>
  <c r="I11" i="18"/>
  <c r="M7" i="14"/>
  <c r="Z7" i="14"/>
  <c r="W10" i="14"/>
  <c r="F33" i="18"/>
  <c r="AA13" i="14"/>
  <c r="D31" i="14"/>
  <c r="AA7" i="14"/>
  <c r="AA14" i="14"/>
  <c r="K16" i="14"/>
  <c r="V18" i="14"/>
  <c r="K20" i="14"/>
  <c r="V23" i="14"/>
  <c r="K25" i="14"/>
  <c r="K28" i="14"/>
  <c r="T32" i="14"/>
  <c r="F49" i="18"/>
  <c r="Y16" i="14"/>
  <c r="K17" i="14"/>
  <c r="V19" i="14"/>
  <c r="K21" i="14"/>
  <c r="W23" i="14"/>
  <c r="AA23" i="14"/>
  <c r="V24" i="14"/>
  <c r="V27" i="14"/>
  <c r="Z27" i="14"/>
  <c r="I52" i="18"/>
  <c r="V32" i="14"/>
  <c r="I56" i="18"/>
  <c r="I26" i="18"/>
  <c r="C25" i="18"/>
  <c r="C49" i="18"/>
  <c r="V16" i="14"/>
  <c r="M22" i="14"/>
  <c r="X23" i="14"/>
  <c r="W27" i="14"/>
  <c r="H29" i="14"/>
  <c r="I53" i="18"/>
  <c r="I57" i="18"/>
  <c r="Z33" i="14"/>
  <c r="I12" i="18"/>
  <c r="E29" i="14"/>
  <c r="E26" i="14" s="1"/>
  <c r="Z31" i="14"/>
  <c r="Z32" i="14"/>
  <c r="I22" i="18"/>
  <c r="C21" i="18"/>
  <c r="I50" i="18"/>
  <c r="F54" i="18"/>
  <c r="AA32" i="14"/>
  <c r="AA29" i="14" s="1"/>
  <c r="Z6" i="14" l="1"/>
  <c r="Q11" i="14"/>
  <c r="F34" i="18"/>
  <c r="F32" i="18" s="1"/>
  <c r="R11" i="14"/>
  <c r="N11" i="14"/>
  <c r="N4" i="14" s="1"/>
  <c r="I11" i="14"/>
  <c r="I4" i="14" s="1"/>
  <c r="H11" i="14"/>
  <c r="H4" i="14" s="1"/>
  <c r="T22" i="14"/>
  <c r="C31" i="18"/>
  <c r="C29" i="18" s="1"/>
  <c r="F31" i="18"/>
  <c r="F29" i="18" s="1"/>
  <c r="W15" i="14"/>
  <c r="AA22" i="14"/>
  <c r="S11" i="14"/>
  <c r="S4" i="14" s="1"/>
  <c r="X6" i="14"/>
  <c r="AA26" i="14"/>
  <c r="W22" i="14"/>
  <c r="Y29" i="14"/>
  <c r="Y26" i="14" s="1"/>
  <c r="W29" i="14"/>
  <c r="W26" i="14" s="1"/>
  <c r="AA15" i="14"/>
  <c r="X29" i="14"/>
  <c r="X26" i="14" s="1"/>
  <c r="F11" i="14"/>
  <c r="F4" i="14" s="1"/>
  <c r="R4" i="14"/>
  <c r="P11" i="14"/>
  <c r="P4" i="14" s="1"/>
  <c r="Z15" i="14"/>
  <c r="O11" i="14"/>
  <c r="O4" i="14" s="1"/>
  <c r="AB20" i="14"/>
  <c r="D19" i="4" s="1"/>
  <c r="Y15" i="14"/>
  <c r="Y22" i="14"/>
  <c r="X15" i="14"/>
  <c r="Y12" i="14"/>
  <c r="T15" i="14"/>
  <c r="AB24" i="14"/>
  <c r="D23" i="4" s="1"/>
  <c r="K26" i="14"/>
  <c r="X22" i="14"/>
  <c r="AA6" i="14"/>
  <c r="G11" i="14"/>
  <c r="G4" i="14" s="1"/>
  <c r="F6" i="18"/>
  <c r="W6" i="14"/>
  <c r="AB17" i="14"/>
  <c r="D16" i="4" s="1"/>
  <c r="X12" i="14"/>
  <c r="W12" i="14"/>
  <c r="AB10" i="14"/>
  <c r="D9" i="4" s="1"/>
  <c r="Z12" i="14"/>
  <c r="Y6" i="14"/>
  <c r="AB21" i="14"/>
  <c r="AB18" i="14"/>
  <c r="D17" i="4" s="1"/>
  <c r="I33" i="18"/>
  <c r="AB19" i="14"/>
  <c r="D18" i="4" s="1"/>
  <c r="AB9" i="14"/>
  <c r="D8" i="4" s="1"/>
  <c r="Q4" i="14"/>
  <c r="C32" i="18"/>
  <c r="AB28" i="14"/>
  <c r="Z22" i="14"/>
  <c r="AB25" i="14"/>
  <c r="D24" i="4" s="1"/>
  <c r="E11" i="14"/>
  <c r="E4" i="14" s="1"/>
  <c r="AB32" i="14"/>
  <c r="V22" i="14"/>
  <c r="AB23" i="14"/>
  <c r="AA12" i="14"/>
  <c r="I21" i="18"/>
  <c r="V15" i="14"/>
  <c r="AB16" i="14"/>
  <c r="I25" i="18"/>
  <c r="AB27" i="14"/>
  <c r="K15" i="14"/>
  <c r="K31" i="14"/>
  <c r="V31" i="14"/>
  <c r="M29" i="14"/>
  <c r="M26" i="14" s="1"/>
  <c r="T30" i="14"/>
  <c r="K22" i="14"/>
  <c r="K30" i="14"/>
  <c r="D29" i="14"/>
  <c r="D26" i="14" s="1"/>
  <c r="V30" i="14"/>
  <c r="AB30" i="14" s="1"/>
  <c r="I30" i="18"/>
  <c r="I36" i="18"/>
  <c r="C35" i="18"/>
  <c r="V14" i="14"/>
  <c r="AB14" i="14" s="1"/>
  <c r="K14" i="14"/>
  <c r="AB8" i="14"/>
  <c r="T7" i="14"/>
  <c r="T6" i="14" s="1"/>
  <c r="M6" i="14"/>
  <c r="Z29" i="14"/>
  <c r="Z26" i="14" s="1"/>
  <c r="V13" i="14"/>
  <c r="D12" i="14"/>
  <c r="D11" i="14" s="1"/>
  <c r="K13" i="14"/>
  <c r="I8" i="18"/>
  <c r="C7" i="18"/>
  <c r="T13" i="14"/>
  <c r="T12" i="14" s="1"/>
  <c r="M12" i="14"/>
  <c r="M11" i="14" s="1"/>
  <c r="I18" i="18"/>
  <c r="I43" i="18"/>
  <c r="C42" i="18"/>
  <c r="J33" i="14"/>
  <c r="J29" i="14" s="1"/>
  <c r="J26" i="14" s="1"/>
  <c r="J11" i="14" s="1"/>
  <c r="V33" i="14"/>
  <c r="AB33" i="14" s="1"/>
  <c r="I49" i="18"/>
  <c r="D6" i="14"/>
  <c r="V7" i="14"/>
  <c r="K7" i="14"/>
  <c r="I55" i="18"/>
  <c r="C54" i="18"/>
  <c r="F16" i="18"/>
  <c r="I34" i="18" l="1"/>
  <c r="I31" i="18"/>
  <c r="G8" i="1"/>
  <c r="G7" i="1" s="1"/>
  <c r="H7" i="1"/>
  <c r="J4" i="14"/>
  <c r="AA11" i="14"/>
  <c r="AA4" i="14" s="1"/>
  <c r="Y11" i="14"/>
  <c r="Y4" i="14" s="1"/>
  <c r="I32" i="18"/>
  <c r="X11" i="14"/>
  <c r="X4" i="14" s="1"/>
  <c r="W11" i="14"/>
  <c r="W4" i="14" s="1"/>
  <c r="D4" i="14"/>
  <c r="Z11" i="14"/>
  <c r="Z4" i="14" s="1"/>
  <c r="D20" i="4"/>
  <c r="C15" i="18"/>
  <c r="I54" i="18"/>
  <c r="V6" i="14"/>
  <c r="AB7" i="14"/>
  <c r="D29" i="4"/>
  <c r="K12" i="14"/>
  <c r="M4" i="14"/>
  <c r="D13" i="4"/>
  <c r="AB31" i="14"/>
  <c r="V29" i="14"/>
  <c r="V26" i="14" s="1"/>
  <c r="D15" i="4"/>
  <c r="AB15" i="14"/>
  <c r="D22" i="4"/>
  <c r="D21" i="4" s="1"/>
  <c r="AB22" i="14"/>
  <c r="C6" i="18"/>
  <c r="I29" i="18"/>
  <c r="T29" i="14"/>
  <c r="D28" i="4"/>
  <c r="F15" i="18"/>
  <c r="K6" i="14"/>
  <c r="K33" i="14"/>
  <c r="I42" i="18"/>
  <c r="I7" i="18"/>
  <c r="AB13" i="14"/>
  <c r="V12" i="14"/>
  <c r="D7" i="4"/>
  <c r="I16" i="18"/>
  <c r="I35" i="18"/>
  <c r="D26" i="4"/>
  <c r="V11" i="14" l="1"/>
  <c r="V4" i="14" s="1"/>
  <c r="D12" i="4"/>
  <c r="AB12" i="14"/>
  <c r="D6" i="4"/>
  <c r="AB6" i="14"/>
  <c r="I6" i="18"/>
  <c r="T26" i="14"/>
  <c r="C5" i="18"/>
  <c r="D14" i="4"/>
  <c r="D27" i="4"/>
  <c r="D25" i="4" s="1"/>
  <c r="AB29" i="14"/>
  <c r="K11" i="14"/>
  <c r="I15" i="18"/>
  <c r="F5" i="18"/>
  <c r="H15" i="18" s="1"/>
  <c r="K29" i="14"/>
  <c r="K4" i="14" l="1"/>
  <c r="L34" i="14" s="1"/>
  <c r="I5" i="18"/>
  <c r="J6" i="18" s="1"/>
  <c r="E13" i="18"/>
  <c r="E9" i="18"/>
  <c r="E11" i="18"/>
  <c r="E32" i="18"/>
  <c r="E12" i="18"/>
  <c r="E10" i="18"/>
  <c r="E19" i="18"/>
  <c r="E17" i="18"/>
  <c r="E14" i="18"/>
  <c r="E49" i="18"/>
  <c r="E18" i="18"/>
  <c r="E21" i="18"/>
  <c r="E25" i="18"/>
  <c r="E7" i="18"/>
  <c r="E35" i="18"/>
  <c r="E16" i="18"/>
  <c r="E54" i="18"/>
  <c r="E29" i="18"/>
  <c r="E42" i="18"/>
  <c r="T11" i="14"/>
  <c r="AB11" i="14"/>
  <c r="E6" i="18"/>
  <c r="E15" i="18"/>
  <c r="H25" i="18"/>
  <c r="H19" i="18"/>
  <c r="H21" i="18"/>
  <c r="H7" i="18"/>
  <c r="H29" i="18"/>
  <c r="H35" i="18"/>
  <c r="H49" i="18"/>
  <c r="H32" i="18"/>
  <c r="H42" i="18"/>
  <c r="H54" i="18"/>
  <c r="H6" i="18"/>
  <c r="H16" i="18"/>
  <c r="AB26" i="14"/>
  <c r="D5" i="4"/>
  <c r="D11" i="4"/>
  <c r="H5" i="18" l="1"/>
  <c r="J15" i="18"/>
  <c r="E5" i="18"/>
  <c r="D10" i="4"/>
  <c r="AB4" i="14"/>
  <c r="K5" i="14"/>
  <c r="L32" i="14"/>
  <c r="L24" i="14"/>
  <c r="G5" i="14"/>
  <c r="S5" i="14"/>
  <c r="L10" i="14"/>
  <c r="L23" i="14"/>
  <c r="L9" i="14"/>
  <c r="I5" i="14"/>
  <c r="L8" i="14"/>
  <c r="L19" i="14"/>
  <c r="L18" i="14"/>
  <c r="L27" i="14"/>
  <c r="L26" i="14"/>
  <c r="L21" i="14"/>
  <c r="L16" i="14"/>
  <c r="L20" i="14"/>
  <c r="E5" i="14"/>
  <c r="F5" i="14"/>
  <c r="H5" i="14"/>
  <c r="L25" i="14"/>
  <c r="L17" i="14"/>
  <c r="L28" i="14"/>
  <c r="L22" i="14"/>
  <c r="L13" i="14"/>
  <c r="J5" i="14"/>
  <c r="D5" i="14"/>
  <c r="L30" i="14"/>
  <c r="L31" i="14"/>
  <c r="L7" i="14"/>
  <c r="L14" i="14"/>
  <c r="L15" i="14"/>
  <c r="L6" i="14"/>
  <c r="L33" i="14"/>
  <c r="L12" i="14"/>
  <c r="L29" i="14"/>
  <c r="T4" i="14"/>
  <c r="U34" i="14" s="1"/>
  <c r="J24" i="18"/>
  <c r="J40" i="18"/>
  <c r="J20" i="18"/>
  <c r="J41" i="18"/>
  <c r="J37" i="18"/>
  <c r="J13" i="18"/>
  <c r="J46" i="18"/>
  <c r="J47" i="18"/>
  <c r="J19" i="18"/>
  <c r="J27" i="18"/>
  <c r="J38" i="18"/>
  <c r="J28" i="18"/>
  <c r="J34" i="18"/>
  <c r="J39" i="18"/>
  <c r="J23" i="18"/>
  <c r="J44" i="18"/>
  <c r="J45" i="18"/>
  <c r="J9" i="18"/>
  <c r="J48" i="18"/>
  <c r="J51" i="18"/>
  <c r="J17" i="18"/>
  <c r="J12" i="18"/>
  <c r="J26" i="18"/>
  <c r="J10" i="18"/>
  <c r="J53" i="18"/>
  <c r="J14" i="18"/>
  <c r="J57" i="18"/>
  <c r="J56" i="18"/>
  <c r="J33" i="18"/>
  <c r="J52" i="18"/>
  <c r="J22" i="18"/>
  <c r="J11" i="18"/>
  <c r="J50" i="18"/>
  <c r="J18" i="18"/>
  <c r="J55" i="18"/>
  <c r="J30" i="18"/>
  <c r="J49" i="18"/>
  <c r="J8" i="18"/>
  <c r="J32" i="18"/>
  <c r="J36" i="18"/>
  <c r="J21" i="18"/>
  <c r="J31" i="18"/>
  <c r="J43" i="18"/>
  <c r="J25" i="18"/>
  <c r="J16" i="18"/>
  <c r="J42" i="18"/>
  <c r="J29" i="18"/>
  <c r="J7" i="18"/>
  <c r="J35" i="18"/>
  <c r="J54" i="18"/>
  <c r="L11" i="14"/>
  <c r="AC11" i="14" l="1"/>
  <c r="AC34" i="14"/>
  <c r="AC26" i="14"/>
  <c r="AB5" i="14"/>
  <c r="AC4" i="14"/>
  <c r="AC21" i="14"/>
  <c r="AC25" i="14"/>
  <c r="AC17" i="14"/>
  <c r="AC28" i="14"/>
  <c r="AC19" i="14"/>
  <c r="AC24" i="14"/>
  <c r="AC18" i="14"/>
  <c r="AC9" i="14"/>
  <c r="AC10" i="14"/>
  <c r="AC20" i="14"/>
  <c r="Z5" i="14"/>
  <c r="AC27" i="14"/>
  <c r="X5" i="14"/>
  <c r="AA5" i="14"/>
  <c r="AC14" i="14"/>
  <c r="AC23" i="14"/>
  <c r="AC32" i="14"/>
  <c r="Y5" i="14"/>
  <c r="AC33" i="14"/>
  <c r="AC16" i="14"/>
  <c r="AC8" i="14"/>
  <c r="AC30" i="14"/>
  <c r="W5" i="14"/>
  <c r="AC13" i="14"/>
  <c r="AC7" i="14"/>
  <c r="AC15" i="14"/>
  <c r="AC22" i="14"/>
  <c r="AC31" i="14"/>
  <c r="AC12" i="14"/>
  <c r="AC6" i="14"/>
  <c r="AC29" i="14"/>
  <c r="V5" i="14"/>
  <c r="T5" i="14"/>
  <c r="R5" i="14"/>
  <c r="O5" i="14"/>
  <c r="Q5" i="14"/>
  <c r="U33" i="14"/>
  <c r="N5" i="14"/>
  <c r="U22" i="14"/>
  <c r="U15" i="14"/>
  <c r="P5" i="14"/>
  <c r="U32" i="14"/>
  <c r="U31" i="14"/>
  <c r="U30" i="14"/>
  <c r="U6" i="14"/>
  <c r="U12" i="14"/>
  <c r="U29" i="14"/>
  <c r="M5" i="14"/>
  <c r="U26" i="14"/>
  <c r="U11" i="14"/>
  <c r="D4" i="4"/>
  <c r="E24" i="4" l="1"/>
  <c r="E16" i="4"/>
  <c r="E17" i="4"/>
  <c r="E19" i="4"/>
  <c r="E18" i="4"/>
  <c r="E8" i="4"/>
  <c r="E9" i="4"/>
  <c r="E7" i="4"/>
  <c r="E13" i="4"/>
  <c r="E15" i="4"/>
  <c r="E25" i="4"/>
  <c r="E12" i="4"/>
  <c r="E14" i="4"/>
  <c r="E6" i="4"/>
  <c r="E5" i="4"/>
  <c r="E11" i="4"/>
  <c r="E10" i="4"/>
</calcChain>
</file>

<file path=xl/sharedStrings.xml><?xml version="1.0" encoding="utf-8"?>
<sst xmlns="http://schemas.openxmlformats.org/spreadsheetml/2006/main" count="511" uniqueCount="219">
  <si>
    <t>TT</t>
  </si>
  <si>
    <t>Nội dung/ hạng mục đầu tư, mua sắm</t>
  </si>
  <si>
    <t>Đơn vị tính</t>
  </si>
  <si>
    <t>USD</t>
  </si>
  <si>
    <t>I</t>
  </si>
  <si>
    <t>CƠ ĐIỆN</t>
  </si>
  <si>
    <t>CĐ</t>
  </si>
  <si>
    <t>VT</t>
  </si>
  <si>
    <t>-</t>
  </si>
  <si>
    <t>HT</t>
  </si>
  <si>
    <t>II</t>
  </si>
  <si>
    <t>A</t>
  </si>
  <si>
    <t>VÔ TUYẾN</t>
  </si>
  <si>
    <t>MẠNG LÕI</t>
  </si>
  <si>
    <t>ML</t>
  </si>
  <si>
    <t>III</t>
  </si>
  <si>
    <t>TRUYỀN DẪN</t>
  </si>
  <si>
    <t>TD</t>
  </si>
  <si>
    <t>IV</t>
  </si>
  <si>
    <t>CĐBR</t>
  </si>
  <si>
    <t>V</t>
  </si>
  <si>
    <t>CNTT</t>
  </si>
  <si>
    <t>B</t>
  </si>
  <si>
    <t>C</t>
  </si>
  <si>
    <t>D</t>
  </si>
  <si>
    <t>E</t>
  </si>
  <si>
    <t>F</t>
  </si>
  <si>
    <t>TK</t>
  </si>
  <si>
    <t>Mạng lõi</t>
  </si>
  <si>
    <t>Vô tuyến</t>
  </si>
  <si>
    <t>Truyền dẫn</t>
  </si>
  <si>
    <t>Cơ điện</t>
  </si>
  <si>
    <t>Mạng 4G</t>
  </si>
  <si>
    <t>Nội dung</t>
  </si>
  <si>
    <t>TỔNG ĐẦU TƯ</t>
  </si>
  <si>
    <t>Dung lượng (đầu tư + triển khai)</t>
  </si>
  <si>
    <t>Dung lượng (đầu tư)</t>
  </si>
  <si>
    <t>CĐBR-TH</t>
  </si>
  <si>
    <t>Lĩnh vực</t>
  </si>
  <si>
    <t>Khối lượng các hạng mục đầu tư chính</t>
  </si>
  <si>
    <t>Tỷ trọng</t>
  </si>
  <si>
    <t>Tổng</t>
  </si>
  <si>
    <t>Tỷ trọng (%)</t>
  </si>
  <si>
    <t>Mã mảng</t>
  </si>
  <si>
    <t>Mã DV</t>
  </si>
  <si>
    <t>Mã loại</t>
  </si>
  <si>
    <t>Mảng</t>
  </si>
  <si>
    <t>5G</t>
  </si>
  <si>
    <t>STT</t>
  </si>
  <si>
    <t>*</t>
  </si>
  <si>
    <t>VII</t>
  </si>
  <si>
    <t>ATTT</t>
  </si>
  <si>
    <t>P1</t>
  </si>
  <si>
    <t>VTTB</t>
  </si>
  <si>
    <t>Mạng 5G</t>
  </si>
  <si>
    <t>Bức tranh mạng lưới sau QHĐC</t>
  </si>
  <si>
    <t>Datacenter</t>
  </si>
  <si>
    <t xml:space="preserve">   Vùng phủ GPON</t>
  </si>
  <si>
    <t xml:space="preserve">   ERP</t>
  </si>
  <si>
    <t>Củng cố kiên cố</t>
  </si>
  <si>
    <t>Phục vụ kinh doanh Cloud</t>
  </si>
  <si>
    <t>Data Center</t>
  </si>
  <si>
    <t>Vùng phủ GPON</t>
  </si>
  <si>
    <t>Đơn giá dự kiến</t>
  </si>
  <si>
    <t>Cloud_KD</t>
  </si>
  <si>
    <t>DC</t>
  </si>
  <si>
    <t>TH</t>
  </si>
  <si>
    <t>Không xóa</t>
  </si>
  <si>
    <t>VPDĐ</t>
  </si>
  <si>
    <t>DLDĐ</t>
  </si>
  <si>
    <t>VPGPON</t>
  </si>
  <si>
    <t>DLGPON</t>
  </si>
  <si>
    <t>KHÔNG XÓA</t>
  </si>
  <si>
    <t>Đảm bảo VHKT và chất lượng mạng</t>
  </si>
  <si>
    <t>Vùng phủ ngoài trời (VTTB + Triển khai)</t>
  </si>
  <si>
    <t>Dung lượng Internet</t>
  </si>
  <si>
    <t>Dung lượng Truyền hình</t>
  </si>
  <si>
    <t>VHKT</t>
  </si>
  <si>
    <t>Vùng phủ (đầu tư thiết bị + triển khai)</t>
  </si>
  <si>
    <t>DLMETRO</t>
  </si>
  <si>
    <t>DLIPBN</t>
  </si>
  <si>
    <t>DC_X</t>
  </si>
  <si>
    <t>Ko xóa</t>
  </si>
  <si>
    <t>IoT</t>
  </si>
  <si>
    <t xml:space="preserve">   Dung lượng Internet</t>
  </si>
  <si>
    <t xml:space="preserve">   Dung lượng Truyền hình</t>
  </si>
  <si>
    <t xml:space="preserve">   VAS</t>
  </si>
  <si>
    <t xml:space="preserve">   Fintech</t>
  </si>
  <si>
    <t>Tỷ trọng
(%)</t>
  </si>
  <si>
    <t>Hạng mục đầu tư, triển khai chính</t>
  </si>
  <si>
    <t>Tỷ trọng theo mảng</t>
  </si>
  <si>
    <t>Kênh truyền</t>
  </si>
  <si>
    <t xml:space="preserve">   Kênh truyền</t>
  </si>
  <si>
    <t>DV5G</t>
  </si>
  <si>
    <t>KT</t>
  </si>
  <si>
    <t>BigData</t>
  </si>
  <si>
    <t>Thành tiền dự kiến (VNĐ)</t>
  </si>
  <si>
    <t>Dự kiến đơn vị đầu tư, mua sắm</t>
  </si>
  <si>
    <t>Bền vững mạng lưới trong thiên tai</t>
  </si>
  <si>
    <t>PCTT</t>
  </si>
  <si>
    <t xml:space="preserve">Đảm bảo VHKT </t>
  </si>
  <si>
    <t>4G vùng phủ</t>
  </si>
  <si>
    <t>4G dung lượng</t>
  </si>
  <si>
    <t>Mạng BRCĐ&amp;TH</t>
  </si>
  <si>
    <t>Kiên cố thường trình</t>
  </si>
  <si>
    <t>Private Mobile Network</t>
  </si>
  <si>
    <t>Triển khai hạ tầng CNTT</t>
  </si>
  <si>
    <t>Công nghệ mới triển khai diện rộng cho kinh doanh</t>
  </si>
  <si>
    <t>XGSPON</t>
  </si>
  <si>
    <t>AI/GPU</t>
  </si>
  <si>
    <t>PMN</t>
  </si>
  <si>
    <t>Mở rộng mạng lưới hiện tại cho kinh doanh</t>
  </si>
  <si>
    <t xml:space="preserve">Công nghệ mới triển khai diện rộng cho kinh doanh </t>
  </si>
  <si>
    <t>Trực tiếp kinh doanh</t>
  </si>
  <si>
    <t>Hỗ trợ kinh doanh và quản trị</t>
  </si>
  <si>
    <t>Đảm bảo VHKT, kiên cố, bền vững trong thiên tai</t>
  </si>
  <si>
    <t>TTKD</t>
  </si>
  <si>
    <t>HTKD</t>
  </si>
  <si>
    <t>KCTT</t>
  </si>
  <si>
    <t>Triển khai cho 1.136 km cáp quang trong đó: Tách cáp chung lộ 139.8 km; ngầm hoá tuyến cáp 996.2 km</t>
  </si>
  <si>
    <t>An toàn thông tin</t>
  </si>
  <si>
    <t>Đầu tư giải pháp WAF và giải pháp DDoS</t>
  </si>
  <si>
    <t>Hạ tầng CNTT được bảo vệ bằng các biện pháp ATTT triển khai đồng bộ theo tiêu chuẩn NIST Cyber Securiy Framework.</t>
  </si>
  <si>
    <t>Mở rộng vùng phủ XGSPON đáp ứng nhu cầu kinh doanh gói cước ARPU cao</t>
  </si>
  <si>
    <t>Đáp ứng nhu cầu kinh doanh kênh thuê riêng của VTS</t>
  </si>
  <si>
    <t xml:space="preserve"> Đầu tư thiết bị IP theo nhu cầu đấu nối của VTS và thiết bị DWDM theo nhu cầu kênh thuê riêng VTS.</t>
  </si>
  <si>
    <t>- Swap thay thế 08 thiết bị máy chủ của Headend đã EoL, EoS đầu tư từ 2017(~119 kênh);
- Triển khai multi-site Headend (2 site KV2, KV3);  
- Đầu tư bổ sung hệ thống đo kiểm chất lượng kênh truyền hình triển khai đến POP CDN (dung lượng 216 kênh OTT và 4 POP)
 --&gt; Giúp tăng dự phòng, khả năng giám sát và nâng cao chất lượng dịch vụ truyền hình OTT.</t>
  </si>
  <si>
    <t>- Swap Metro QNH và QNM (swap AGG, CT); đấu CT mới 02 tỉnh QNH và QNM; bổ sung thiết bị Viba, VSAT; 
- Triển khai kiên cố TD liên tỉnh (vùng gió III, IV; Sạt lở) ~ 38/63 tỉnh/TP ~ 56%; liên huyện: (vùng gió IV và sạt lở) ~ 207/704 huyện~30% ; Trạm UT (vùng gió 4, sạt lở) ~ 1293/3530 trạm UT vùng gói III, IV ~ 37%</t>
  </si>
  <si>
    <t>Đầu tư thay thế các thiết bị EOL, đến ngưỡng (12 hệ thống UPS frame 200kVA; 16 hệ thống tủ nguồn DC 2000A; 20 hệ thống ĐHCX 150.000 BTU/h; 33 tổ ắc quy chì 2V-2000Ah; 15 tổ ắc quy chì 2V-1000Ah) và các giải pháp đo kiểm, đánh giá, nâng cao chất lượng VHKT các tổng trạm khu vực</t>
  </si>
  <si>
    <t>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 và chi phí triển khai.</t>
  </si>
  <si>
    <t>Đầu tư 600 máy phát điện dầu 20kVA; 1.662 máy phát điện dầu 12kVA; 2.262 ATS 3 pha 63A; 4.623 bình ắc quy Lithium 48V-100Ah; 2.486 bình portable battery Lithium; Xây mới 1.884 bệ đặt máy phát điện + 348 nhà đặt máy phát điện vượt lũ và chi phí triển khai</t>
  </si>
  <si>
    <t>- Ngầm hoá theo yêu cầu của UBND tỉnh/TP góp phần làm đẹp cảnh quan đô thị và bền vững mạng lưới truyền dẫn.
- Cơ điện: Củng cố hạ tầng cơ điện trạm BTS đáp ứng yêu cầu thiết kế cũng như vận hành khai thác</t>
  </si>
  <si>
    <t>Đây là dịch vụ mới, chi phí đầu tư cao, cần có thêm đánh giá hiệu quả đầu tư thực tế mới có thể triển khai đại trà</t>
  </si>
  <si>
    <t>Đầu tư thiết bị GPU phục vụ nhu cầu kinh doanh toàn Tập đoàn, lũy kế 554 máy chủ</t>
  </si>
  <si>
    <t>Nâng cao chất lượng mạng lưới (thay thế, bổ sung dung lượng dự phòng,...) với 119 máy chủ, 8 thiết bị lưu trữ SAN, 0,308 PB lưu trữ NAS, 4,7 PB lưu trữ Object và thiết bị mạng.</t>
  </si>
  <si>
    <t>Triển khai kiên cố cho 550 trạm quá tải trọng hàng năm</t>
  </si>
  <si>
    <t>- Vô tuyến: Triển khai kiên cố cho 550 trạm quá tải trọng hàng năm
- BRCĐ: Triển khai cho 1.136 km cáp quang trong đó: Tách cáp chung lộ 139.8 km; ngầm hoá tuyến cáp 996.2 km.
- Truyền dẫn: Triển khai ngầm XHH tại 10 tỉnh ~ 455 km cống bể/ trên 234km đường theo đề xuất VT tỉnh TP (đã trừ 7 tỉnh ven biển trùng chương trình kiên cố bão ~ 230km cống bể/120 km đường).
- Cơ điện: 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t>
  </si>
  <si>
    <r>
      <t xml:space="preserve">- Đảm bảo kiên cố hạ tầng cột, nhà trạm và truyền dẫn trục Quốc gia theo kiến trúc mới.
- 33/63 tỉnh có 02 cáp kiên cố là của Viettel. 207/705 huyện vùng gió IV và sạt lở đảm bảo kiên cố.
- Swap thiết bị AGG/CT Metro QNH và QNM theo thiết kế kiến cố mới, vật tư swap ra tiếp tục triển khai nâng cấp dung lượng và kiên cố các tỉnh khác.
- Đảm bảo tài nguyên cơ điện cho 25 tỉnh ven biển và 11 tỉnh thường xuyên lũ lụt, sạt lở, giúp duy trì mạng lưới xuyên suốt ngay cả trong thiên tai
</t>
    </r>
    <r>
      <rPr>
        <i/>
        <sz val="10"/>
        <rFont val="Times New Roman"/>
        <family val="1"/>
      </rPr>
      <t>=&gt; Đảm bảo vùng phủ outdoor 4G đạt tối thiểu 90% trong và sau thiên tai tại khu vực vùng gió IV và sạt lở.</t>
    </r>
  </si>
  <si>
    <t>Đầu tư gá antena, gia cố jumper, dây quang; thực hiện kiên cố hạ tầng cột, nhà trạm theo cho 321 trạm theo ưu tiên 1 và đầu tư xe phát sóng chỉ huy, dã chiến đảm bảo hoạt động liên tục trong thiên tai</t>
  </si>
  <si>
    <t>- Vô tuyến: Đầu tư gá antena, gia cố jumper, dây quang; thực hiện kiên cố hạ tầng cột, nhà trạm theo cho 321 trạm theo ưu tiên 1 và đầu tư xe phát sóng chỉ huy, dã chiến đảm bảo hoạt động liên tục trong thiên tai
- Truyền dẫn: Swap Metro QNH và QNM (swap AGG, CT); đấu CT mới 02 tỉnh QNH và QNM; bổ sung thiết bị Viba, VSAT; Triển khai kiên cố TD liên tỉnh (vùng gió III, IV; Sạt lở) ~ 38/63 tỉnh/TP ~ 56%; liên huyện: (vùng gió IV và sạt lở) ~ 207/704 huyện~30% ; Trạm UT (vùng gió 4, sạt lở) ~ 1293/3530 trạm UT vùng gói III, IV ~ 37%
- Cơ điện: Đầu tư 600 máy phát điện dầu 20kVA; 1.662 máy phát điện dầu 12kVA; 2.262 ATS 3 pha 63A; 4.623 bình ắc quy Lithium 48V-100Ah; 2.486 bình portable battery Lithium; Xây mới 1.884 bệ đặt máy phát điện + 348 nhà đặt máy phát điện vượt lũ.</t>
  </si>
  <si>
    <r>
      <t xml:space="preserve">PHỤ LỤC 1.3: BẢNG TỔNG HỢP ĐẦU TƯ THEO DỊCH VỤ VÀ BỨC TRANH SAU QHĐC 2027-2028
</t>
    </r>
    <r>
      <rPr>
        <i/>
        <sz val="14"/>
        <rFont val="Times New Roman"/>
        <family val="1"/>
      </rPr>
      <t>(Ban hành kèm theo Công văn số                      của Tổng Công ty VTNet)</t>
    </r>
  </si>
  <si>
    <t>2027 (triệu USD)</t>
  </si>
  <si>
    <t>2028 (triệu USD)</t>
  </si>
  <si>
    <t>2027-2028 (triệu USD)</t>
  </si>
  <si>
    <t xml:space="preserve">- CNTT: 
- Truyền dẫn: </t>
  </si>
  <si>
    <t xml:space="preserve">- Vô tuyến: 
- Truyền dẫn: .
- Cơ điện: </t>
  </si>
  <si>
    <t>- Vùng phủ: Sau khi triển khai ...., vùng phủ 5G đạt vùng phủ ~....% dân số tại TPT/TTH/KCN/KDL với tốc độ biên cell DL/UL 50Mbps/1Mbps; ~...% dân số tại khu vực nông thôn ....
- Dung lượng mạng lõi đáp ứng ....
- Mạng cáp đáp ứng luỹ kế .... trạm vô tuyến 5G.
- Đảm bảo hạ tầng cơ điện cho triển khai 5G; các trạm 5G chạy mixed-mode với 4G và các trạm 5G quan trọng phục vụ khu vực hot/vip được đầu tư bổ sung ắc quy backup; các trạm theo quy hoạch đặt MPĐ cố định được tính toán đảm bảo công suất sẵn sàng UCTT khi mất điện.</t>
  </si>
  <si>
    <t>- Vô tuyến: Đầu tư .... gNodeB (... trạm loại 64T64R, .... trạm 32T32R), .... RRU classic cho IBD, ... card Baseband, ... small cell, nâng cấp 01 hệ thống 5G cho tòa ..... Chi phí lắp đặt thiết bị và kiên cố ... trạm cho 5G.
- Mạng lõi: Đầu tư bổ sung .....
- Truyền dẫn: ... SRT 5G smallcell, .... SRT 100G cho 5G NEW, card 10G AGG đấu nối ring 5G NEW, ....
- Cơ điện: Đầu tư .... bình ắc quy Lithium 48V-100Ah; .... tủ nguồn DC indoor và ... rectifier đồng bộ; 1.062 tủ Compact Minishelter;.... tủ nguồn DC mini; ...converter quang FE;.....</t>
  </si>
  <si>
    <t>Triển khai …. trạm XGSPON combo tại nội thành, ngoại thành cho ….</t>
  </si>
  <si>
    <t>Đầu tư trước …. bộ 5GC Mini để đảm bảo nhu cầu kinh doanh</t>
  </si>
  <si>
    <t>- Vùng phủ: Sau khi triển khai: .... vị trí mới (... macro, ... RRU, 191 inbuilding),
và ... vị trí di dời; .... trạm cosite băng thấp. =&gt; Vùng phủ 4G tăng từ ... lên ...%.
- Cáp quang: Luỹ kế toàn mạng là ... nghìn km. Tỷ lệ quang hoá đạt ...%. ...% xã đất liền được quang hoá.
- Cơ điện: Lũy kế có .... MPĐ/..... trạm Macro - đạt tỷ lệ ...%. có .../.... trạm Macro sử dụng ắc quy Lib, đạt tỷ lệ ~...%. ....% trạm Macro hoàn thành giám sát hệ thống nguồn DC, ắc quy lithium.</t>
  </si>
  <si>
    <t>Vùng phủ lũy kế toàn mạng đạt ... triệu cổng, nâng tỷ lệ phủ dân đạt ...%, lũy kế toàn mạng thực hiện ... dự án trên tổng số ... dự án ~ ... % số dự án và lũy kế triển khai được ...trạm, phủ toàn bộ ...., các vị trí đông dân cư tại ngoại thành ...và thủ phủ tỉnh, trung tâm huyện.</t>
  </si>
  <si>
    <t>Triển khai …. triệu cổng GPON (...tr cổng năm 2025, ...k cổng năm 2026) và ... dự án toà nhà mới ~ ...k cổng.</t>
  </si>
  <si>
    <t>- BRCĐ-TH: Đầu tư .... đáp ứng cho ... triệu thuê bao, đầu tư ... hệ thống DPI cho ...K subs, mở rộng hệ thống AAA với .... nghìn subs, đầu tư hệ thống Analytics quản trị tập trung dữ liệu mạng BRCĐ, mở rộng hệ thống DNS đáp ứng cho ...nghìn subs; đầu tư CGNAT đáp ứng cho tăng trưởng băng thông và đổ tải ... triệu subs FTTH, bổ sung tính năng mới cho ACS tích hợp với AP multivendor, đầu tư phần cứng cho các hệ thống ITO, VQT, ICP.
- Truyền dẫn: SRT 100G cho OLT không trùng 5G ~ ... SRT, .... tỷ card AGG 100G đấu ring OLT, ... tỷ card Core tỉnh, CKV, PECĐ) theo tỷ lệ dưới Metro, trên Metro; WDM theo nhu cầu tăng dung lượng liên huyện, liên tỉnh, KNQT với tỷ lệ Internet là ...% theo tỷ lệ di động trên Metro, dưới Metro</t>
  </si>
  <si>
    <t>- Đáp ứng lũy kế đạt .... triệu thuê bao Internet.
- Dung lượng và hiệu suất từng phân lớp: Lớp xã/huyện có dung lượng ...Tbps, hiệu suất lớp xã đạt ...%, hiệu suất lớp huyện đạt ...%; lớp liên tỉnh tăng từ ... Tbps lên .... Tbps, hiệu suất ~...%. Lớp trục ....Tbps.</t>
  </si>
  <si>
    <t>Đáp ứng lũy kế ... triệu thuê bao truyền hình (... triệu thuê bao OTT và …. triệu thuê bao IPTV) và lũy kế đáp ứng …. kênh truyền hình cho dịch vụ OTT (….HD, ... UHD/4K) đến hết 2026</t>
  </si>
  <si>
    <t>- Truyền dẫn: Đầu tư thiết bị IP tại tổng trạm ... và thiết bị WDM theo nhu cầu triển khai tại tổng trạm mới …</t>
  </si>
  <si>
    <t>- Phục vụ kết nối liên tổng trạm mới …</t>
  </si>
  <si>
    <t>Đảm bảo VHKT và nâng cao chất lượng mạng</t>
  </si>
  <si>
    <t>Đảm bảo dự phòng ƯCTT</t>
  </si>
  <si>
    <t>ƯCTT</t>
  </si>
  <si>
    <t>Củng cố kiên cố thường trình</t>
  </si>
  <si>
    <t>Lũy kế đầu tư …. máy chủ vật lý, ... PB dung lượng lưu trữ, đảm bảo các nhu cầu triển khai hạ tầng CNTT của Viettel</t>
  </si>
  <si>
    <t>- BRCĐ-TH: Đầu tư nâng cấp tính năng mới cho CDN OTT; đầu tư thiết bị và license  upmap, frame rate conversion (FRC) cho ... kênh tại Headend; đầu tư 01 hệ thống Water marking; đầu tư Backend và ứng dụng Trợ lý ảo TV360.
- Truyền dẫn: SRT 100G cho OLT không trùng 5G ~ ... SRT, card AGG 100G, Core tỉnh, CKV, PECĐ, PETH) theo tỷ lệ truyền hình ...% của CĐBR; WDM theo nhu cầu tăng dung lượng liên huyện, liên tỉnh, KNQT với tỷ lệ TH là ....%</t>
  </si>
  <si>
    <t>TỔNG ĐẦU TƯ VTTB VÀ XÂY LẮP 2027-2028</t>
  </si>
  <si>
    <t>TỔNG ĐẦU TƯ VTTB 2027-2028</t>
  </si>
  <si>
    <r>
      <t xml:space="preserve">PHỤ LỤC 1.1: BẢNG TỔNG HỢP CHI TIẾT NHU CẦU ĐẦU TƯ, MUA SẮM THEO QHĐC NĂM 2027-2028
</t>
    </r>
    <r>
      <rPr>
        <i/>
        <sz val="14"/>
        <rFont val="Times New Roman"/>
        <family val="1"/>
      </rPr>
      <t>(Ban hành kèm theo Tờ trình số                      của Tập đoàn CNVTQĐ)</t>
    </r>
  </si>
  <si>
    <t>Khối lượng</t>
  </si>
  <si>
    <r>
      <t xml:space="preserve">Chi phí
</t>
    </r>
    <r>
      <rPr>
        <i/>
        <sz val="10"/>
        <rFont val="Times New Roman"/>
        <family val="1"/>
      </rPr>
      <t>(triệu USD)</t>
    </r>
  </si>
  <si>
    <t>Đầu tư .... bình ắc quy Lithium 48V-100Ah; .... tủ nguồn DC indoor và ... rectifier đồng bộ; 1.062 tủ Compact Minishelter;.... tủ nguồn DC mini; ...converter quang FE;.....và chi phí lắp đặt.</t>
  </si>
  <si>
    <t>Tổng đầu tư và triển khai 2027-2028 (triệu USD)</t>
  </si>
  <si>
    <r>
      <t xml:space="preserve">PHỤ LỤC 1.2: BẢNG TỔNG HỢP ĐẦU TƯ THEO MỤC ĐÍCH QHĐC 2027-2028
</t>
    </r>
    <r>
      <rPr>
        <i/>
        <sz val="14"/>
        <rFont val="Times New Roman"/>
        <family val="1"/>
      </rPr>
      <t>(Ban hành kèm theo Công văn số                      của Tổng Công ty VTNet)</t>
    </r>
  </si>
  <si>
    <t>- Vùng phủ trạm mới: đầu tư ... bình ắc quy Lithium 48V-100Ah; ... tủ nguồn DC indoor và 1.188 rectifier đồng bộ; ... tủ Compact Minishelter; ... tủ nguồn DC mini; ... converter quang FE; 479 module SFP quang; ... tủ nguồn AC V5-3P; ... bộ DAQ; ... bộ converter quang FE loại 1G; ... bộ iACV; ... bộ cảnh báo khói + cảnh báo mở cửa và chi phí triển khai.
- Vùng phủ cosite: đầu tư tài nguyên cho ... trạm trục/hub (... hệ thống micro datacenter outdoor; ... bình ắc quy Lithium 48V-100Ah; ... tủ nguồn DC indoor và ... rectifier đồng bộ; ... điều hòa ... BTU/h; ... tủ nguồn AC V5-3P; ... và chi phí triển khai</t>
  </si>
  <si>
    <t>Mạng 2/3/4G</t>
  </si>
  <si>
    <t>2/3/4G vùng phủ</t>
  </si>
  <si>
    <t>2/3/4G dung lượng</t>
  </si>
  <si>
    <t>01 vMSC (HW:1072K ATT, 1.5M Reg, 45K Erl, SW: 572K ATT, 800K Reg, 22.857K Erl), MSC (SW: CSFB: 1M sub), UDM (SW: 200K FE 2G/3G, 400K BE 2G/3G, 300K FE 4G, 2.9M BE 4G), 1 vEPC (HW: 1M SAU, 1.5M PDP, 100 Gbps, SW: 1M SAU, 1.5M PDP, 60 Gbps). vEPC4 (SW: 650K SAU, 975K PDP, 49.4 Gbps). SMSC (SW: 1400 MOMT). 2 IMS (HW: 500K, SW: 100K).</t>
  </si>
  <si>
    <t>vEPC5 (SW: 34 Gbps). UDM (SW: 300K FE 2G/3G, 500K BE 2G/3G, 400K FE 4G, 1.9M BE 4G).</t>
  </si>
  <si>
    <t>Swap EoS BUMS03, BUMW03 bằng 1 vMSC (HW:1072K ATT, 1.5M Reg, 45K Erl, SW: 835K ATT, 1.15M Reg, 34.5K Erl).</t>
  </si>
  <si>
    <t>Chuyển 01/02 UDM từ tổng trạng cũ sang tổng trạm mới và hiện đại hóa 01 cặp HSS cũ (thông qua mở rộng UDM với DL tương ứng của HSS cũ)</t>
  </si>
  <si>
    <t>- Vô tuyến:...
- Mạng lõi: Mối năm có budget 100K USD để mua hàng dự phòng
- BRCĐ-TH: ...
- CNTT: ...
- Truyền dẫn: 
- Cơ điện: …</t>
  </si>
  <si>
    <t xml:space="preserve">Mạng lõi: Đảm bảo hàng dự phòng
</t>
  </si>
  <si>
    <t>- Vô tuyến:...
- Mạng lõi: Năm 2027: Swap EoS BUMS03, BUMW03 bằng 1 vMSC (HW:1072K ATT, 1.5M Reg, 45K Erl, SW: 835K ATT, 1.15M Reg, 34.5K Erl).
Năm 2028: Chuyển 01/02 UDM từ tổng trạng cũ sang tổng trạm mới và hiện đại hóa 01 cặp HSS cũ (thông qua mở rộng UDM với DL tương ứng của HSS cũ).
- BRCĐ-TH: ...
- CNTT: ...
- Truyền dẫn: 
- Cơ điện: …</t>
  </si>
  <si>
    <t>- Thêm 01 cloud MSC mới để hiện đại hóa 1 MSC cũ đã hết niên hạn sử dụng. Hiện đại hóa hệ thống HLR/HSS cũ để năm 2028 chạy hết trên hệ thống UDM mới.</t>
  </si>
  <si>
    <t>- Vô tuyến
- Mạng lõi: Có thêm 01 cloud MSC mới,  1 vEPC mới, 2 node IMS mới đáp ứng như cầu tăng trưởng dung lượng. Các node MSC, vEPC và 1 node IMS sẽ lắp tại tổng trạm mới.
- cáp quang:
- Cơ điện:</t>
  </si>
  <si>
    <t>- Vô tuyến
- Mạng lõi:
Năm 2027:  01 vMSC (HW:1072K ATT, 1.5M Reg, 45K Erl, SW: 572K ATT, 800K Reg, 22.857K Erl), MSC (SW: CSFB: 1M sub), UDM (SW: 200K FE 2G/3G, 400K BE 2G/3G, 300K FE 4G, 2.9M BE 4G), 1 vEPC (HW: 1M SAU, 1.5M PDP, 100 Gbps, SW: 1M SAU, 1.5M PDP, 60 Gbps). vEPC4 (SW: 650K SAU, 975K PDP, 49.4 Gbps). SMSC (SW: 1400 MOMT). 2 IMS (HW: 500K, SW: 100K).
Năm 2028: vEPC5 (SW: 34 Gbps). UDM (SW: 300K FE 2G/3G, 500K BE 2G/3G, 400K FE 4G, 1.9M BE 4G).
- Truyền dẫn:
- Cơ điện:</t>
  </si>
  <si>
    <t>CNTT+VÍ</t>
  </si>
  <si>
    <t>Triển khai 208 vị trí triển khai vùng phủ mới cho 4G kết hợp cosite 2G</t>
  </si>
  <si>
    <t>Triển khai 230 vị trí triển khai vùng phủ mới cho 4G kết hợp cosite 2G</t>
  </si>
  <si>
    <t>- 2G:
+) Bổ sung thêm 101 vị trí mới cho lưu lượng nhằm đáp ứng nhu cầu KD và giảm TU mạng 2G
+) Bổ sung thêm 48 trạm cosite 900MHz 
Tổng chi phí dự kiến 2.5M USD
- 4G:
+) 802 tủ MM 2.6+3.5GHz, 157 card BB, 83 sector 800, 293 sector 700, 197 sector 1800. Tổng chi phí dự kiến 38M USD</t>
  </si>
  <si>
    <t>- 2G:
+) Bổ sung thêm 38 vị trí mới cho lưu lượng nhằm đáp ứng nhu cầu KD và giảm TU mạng 2G
+) Bổ sung thêm 3 tủ 900MHz 
Tổng chi phí dự kiến 707K USD
- 4G:
+) 14 vị trí mới DL
+) 98 tủ MM 2.6+3.5GHz, 25 card BB, 21 sector 800, 298 sector 700, 353 sector 1800,
Tổng chi phí dự kiến 8.6M USD</t>
  </si>
  <si>
    <t>Gói UCTT: dự kiến 2.5M USD</t>
  </si>
  <si>
    <t>+) Gói công cụ tối ưu mạng thử nghiệm (CEM): dự kiến 200K USD
+) Swap anten đa băng 200tram/năm: 360K USD</t>
  </si>
  <si>
    <t xml:space="preserve">- Đầu tư 802 gNodeB Massive MIMO dualband 2.6+3.5GHz cosite tại vị trí 4G dung lượng. </t>
  </si>
  <si>
    <t xml:space="preserve">- Đầu tư 98 gNodeB Massive MIMO dualband 2.6+3.5GHz cosite tại vị trí 4G dung lượng. </t>
  </si>
  <si>
    <t>Dung lượng Metro</t>
  </si>
  <si>
    <t>Dung lượng IPBN</t>
  </si>
  <si>
    <t>Mạng truyền dẫn</t>
  </si>
  <si>
    <t>- IP: ... SRT 5G smallcell, .... SRT 100G cho 5G NEW, card 10G AGG đấu nối ring 5G NEW, ....
- 262 tuyến Viba E-Band triển khai 5G cosite</t>
  </si>
  <si>
    <t>2200km Cáp quang phụ kiện + viba đáp ứng 1730 4G, 2G trạm lưu lượng, vùng phủ</t>
  </si>
  <si>
    <t xml:space="preserve">- Đáp ứng nhu cầu tăng trưởng dung lượng mạng 2/3/4G từ 400Gbps lên 700Gbps.
- Đáp ứng nhu cầu dung lượng CĐBR toàn mạng lũy kế 70G
</t>
  </si>
  <si>
    <t>1. Triển khai mạng DWDM 1C (34 node) + ngầm hóa 700km
2. Ngầm trục 1B, 1C 300km/năm
3. Mỗi năm thay thế 300km cáp xuống cấp, 12km cột gỗ + 450km cáp vu hồi, tách ring. Ngầm trục 1B, 1C 300km/năm</t>
  </si>
  <si>
    <t>600km cáp quang+ card quang+ phụ kiện các loại dp uctt hàng năm</t>
  </si>
  <si>
    <t>-Triển khai giải pháp AI như : Agent AI (áp dụng trong năm 2027 giải pháp Conversational AI cho CSKH); Camera AI cho Kỹ thuật ….</t>
  </si>
  <si>
    <t>-Triển khai giải pháp AI như : Agent AI; Camera AI cho Kỹ thuật ….</t>
  </si>
  <si>
    <t>- Triển khai các hệ thống mới: Dịch vụ Betting, hệ thống cx Cloud cho doanh nghiệp…
- Triển khai giải pháp ATTT SoC cho kinh doanh ngoài Movitel</t>
  </si>
  <si>
    <t>OCS 4.0: Tổng chi phí đầu tư dự kiến : 3.2tr $
- Thực hiện mở rộng license phần mềm hêm 2M (nâng tổng số license là 22M) với đơn giá 0.35$/subs (đơn giá này là đơn giá của Kinh doanh VHT gửi)
- Thực hiện mở rộng phần cứng thêm 5M nâng tổng năng lực phần cứng hỗ trợ lên 25M với đơn giá 0.5$/subs
+ Triển khai các giải pháp số hóa cho các lĩnh vực : VAS, Đâu tư, Tài chính, CSKH …
+ Triển khai mới 03 hệ thống OSS: DCIM, NCMS , vDCIM …</t>
  </si>
  <si>
    <t>+ OCS4.0: Tổng chi phí đầu tư dự kiến : 19.12tr $
-	Phần mềm : 19M với đơn giá 0.48$/subs --.&gt; Nhằm đảm bảo năng lực license cho phép cắt chuyển toàn bộ 20M subs từ hệ thống vOCS 3.0 hiện tại sang vOCS 4.0
-	Phần cứng : Đầu tư cụm DR với dung lượng 20M  Do chi phí phần cứng tăng cao nên em đang để mục này là x3 lần giá ký HĐ trong năm 2026 là ~ 0.5$/subs
+ Triển khai các giải pháp số hóa cho các lĩnh vực : VAS, Đâu tư, Tài chính, CSKH …
+ Triển khai mới 03 hệ thống OSS: DCIM, NCMS , vDCIM …
+ Cloud: Triển khai cho cụm hệ thống SENSOR - NSM,  cụm máy chủ hệ thống Cloudrity, cụm máy chủ hệ thống PAM, Proxy
- Thực hiện mở rộng 30 VM cụm USSDGW/VASGW + Process/Sender dịch vụ USSD155 cho đầu số 88x
- Triển khai mở rộng 20 VM mở rộng cụm provisioning + SMSGW
- Triển khai mở rộng 10 VM cho hệ thống SuperApp đảm bảo chạy 2 chân cho các cụm webservice
Triển khai DB Standby cho cặp DB VAS 155 và DB VASCPn (Vas public)</t>
  </si>
  <si>
    <t xml:space="preserve">- Triển khai các giải pháp số hóa cho các lĩnh vực : VAS, Đâu tư, Tài chính, CSKH …
- Triển khai mới 03 hệ thống OSS: DCIM, NCMS , vDCIM …
'- Triển khai cặp  DB Active-Standby (oracle) Số hóa, DB hệ thống SMSFW/Voice Firewall
</t>
  </si>
  <si>
    <t>- Triển khai các hệ thống mới: Dịch vụ Betting, hệ thống CX Cloud cho doanh nghiệp…
- Triển khai giải pháp ATTT SoC cho kinh doanh ngoài Movitel</t>
  </si>
  <si>
    <t>Trực tiếp kinh doanh (ví)</t>
  </si>
  <si>
    <t>VI</t>
  </si>
  <si>
    <t>Ví điện tử</t>
  </si>
  <si>
    <t>CNTT+Ví</t>
  </si>
  <si>
    <t>Mã Mảng</t>
  </si>
  <si>
    <t>P2</t>
  </si>
  <si>
    <t xml:space="preserve">TRIỂN KHAI HẠ TẦNG </t>
  </si>
  <si>
    <t>Vùng phủ  (đầu tư + triển khai)</t>
  </si>
  <si>
    <t>Không xoá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</si>
</sst>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3">
    <numFmt numFmtId="43" formatCode="_(* #,##0.00_);_(* \(#,##0.00\);_(* &quot;-&quot;??_);_(@_)"/>
    <numFmt numFmtId="164" formatCode="_-* #,##0.00\ _₫_-;\-* #,##0.00\ _₫_-;_-* &quot;-&quot;??\ _₫_-;_-@_-"/>
    <numFmt numFmtId="165" formatCode="_(* #,##0_);_(* \(#,##0\);_(* &quot;-&quot;??_);_(@_)"/>
    <numFmt numFmtId="166" formatCode="_(* #,##0.0_);_(* \(#,##0.0\);_(* &quot;-&quot;??_);_(@_)"/>
    <numFmt numFmtId="167" formatCode="0.0%"/>
    <numFmt numFmtId="168" formatCode="_-* #,##0.00\ _€_-;\-* #,##0.00\ _€_-;_-* &quot;-&quot;??\ _€_-;_-@_-"/>
    <numFmt numFmtId="169" formatCode="_(* #,##0.000_);_(* \(#,##0.000\);_(* &quot;-&quot;??_);_(@_)"/>
    <numFmt numFmtId="170" formatCode="[$-409]dd\-mmm\-yy;@"/>
    <numFmt numFmtId="171" formatCode="_([$€-2]* #,##0.00_);_([$€-2]* \(#,##0.00\);_([$€-2]* &quot;-&quot;??_)"/>
    <numFmt numFmtId="172" formatCode="_-* #,##0.00_-;\-* #,##0.00_-;_-* &quot;-&quot;??_-;_-@_-"/>
    <numFmt numFmtId="173" formatCode="_(* #.##0.00_);_(* \(#.##0.00\);_(* &quot;-&quot;??_);_(@_)"/>
    <numFmt numFmtId="175" formatCode="_-* #,##0_-;\-* #,##0_-;_-* &quot;-&quot;_-;_-@_-"/>
    <numFmt numFmtId="176" formatCode="_([$€-2]* #.##0.00_);_([$€-2]* \(#.##0.00\);_([$€-2]* &quot;-&quot;??_)"/>
  </numFmts>
  <fonts count="37" x14ac:knownFonts="1">
    <font>
      <sz val="11"/>
      <color theme="1"/>
      <name val="Calibri"/>
      <family val="2"/>
      <scheme val="minor"/>
    </font>
    <font>
      <sz val="11"/>
      <color theme="1"/>
      <name val="Calibri"/>
      <family val="2"/>
      <charset val="163"/>
      <scheme val="minor"/>
    </font>
    <font>
      <sz val="11"/>
      <color theme="1"/>
      <name val="Calibri"/>
      <family val="2"/>
      <charset val="163"/>
      <scheme val="minor"/>
    </font>
    <font>
      <sz val="11"/>
      <color theme="1"/>
      <name val="Calibri"/>
      <family val="2"/>
      <charset val="163"/>
      <scheme val="minor"/>
    </font>
    <font>
      <sz val="11"/>
      <color theme="1"/>
      <name val="Calibri"/>
      <family val="2"/>
      <scheme val="minor"/>
    </font>
    <font>
      <sz val="10"/>
      <name val="Times New Roman"/>
      <family val="1"/>
    </font>
    <font>
      <b/>
      <sz val="10"/>
      <name val="Times New Roman"/>
      <family val="1"/>
    </font>
    <font>
      <b/>
      <sz val="14"/>
      <name val="Times New Roman"/>
      <family val="1"/>
    </font>
    <font>
      <i/>
      <sz val="10"/>
      <name val="Times New Roman"/>
      <family val="1"/>
    </font>
    <font>
      <sz val="10"/>
      <name val="Arial"/>
      <family val="2"/>
    </font>
    <font>
      <b/>
      <i/>
      <sz val="10"/>
      <name val="Times New Roman"/>
      <family val="1"/>
    </font>
    <font>
      <b/>
      <sz val="10"/>
      <color rgb="FFFF0000"/>
      <name val="Times New Roman"/>
      <family val="1"/>
    </font>
    <font>
      <sz val="11"/>
      <color theme="1"/>
      <name val="Calibri"/>
      <family val="2"/>
      <charset val="163"/>
      <scheme val="minor"/>
    </font>
    <font>
      <sz val="11"/>
      <name val="Times New Roman"/>
      <family val="1"/>
    </font>
    <font>
      <sz val="10"/>
      <color rgb="FFFF0000"/>
      <name val="Times New Roman"/>
      <family val="1"/>
    </font>
    <font>
      <i/>
      <sz val="10"/>
      <color rgb="FFFF0000"/>
      <name val="Times New Roman"/>
      <family val="1"/>
    </font>
    <font>
      <sz val="10"/>
      <color theme="1"/>
      <name val="Times New Roman"/>
      <family val="1"/>
    </font>
    <font>
      <b/>
      <sz val="10"/>
      <color theme="1"/>
      <name val="Times New Roman"/>
      <family val="1"/>
    </font>
    <font>
      <sz val="8.25"/>
      <name val="Microsoft Sans Serif"/>
      <family val="2"/>
    </font>
    <font>
      <sz val="10"/>
      <color theme="1"/>
      <name val="Arial"/>
      <family val="2"/>
    </font>
    <font>
      <sz val="8.25"/>
      <name val="Microsoft Sans Serif"/>
      <family val="2"/>
      <charset val="163"/>
    </font>
    <font>
      <sz val="10"/>
      <name val=".VnArial"/>
      <family val="2"/>
    </font>
    <font>
      <sz val="12"/>
      <color theme="1"/>
      <name val="Times New Roman"/>
      <family val="2"/>
    </font>
    <font>
      <sz val="10"/>
      <name val="Arial"/>
      <family val="2"/>
      <charset val="163"/>
    </font>
    <font>
      <b/>
      <sz val="10"/>
      <color theme="0"/>
      <name val="Times New Roman"/>
      <family val="1"/>
    </font>
    <font>
      <sz val="8"/>
      <color rgb="FFFF0000"/>
      <name val="Times New Roman"/>
      <family val="1"/>
    </font>
    <font>
      <sz val="10"/>
      <color rgb="FF0000FF"/>
      <name val="Times New Roman"/>
      <family val="1"/>
    </font>
    <font>
      <sz val="10"/>
      <color theme="0"/>
      <name val="Times New Roman"/>
      <family val="1"/>
    </font>
    <font>
      <i/>
      <sz val="14"/>
      <name val="Times New Roman"/>
      <family val="1"/>
    </font>
    <font>
      <sz val="12"/>
      <color theme="1"/>
      <name val="Calibri"/>
      <family val="2"/>
      <scheme val="minor"/>
    </font>
    <font>
      <sz val="10"/>
      <name val="Arial"/>
      <family val="2"/>
    </font>
    <font>
      <sz val="11"/>
      <color indexed="8"/>
      <name val="Calibri"/>
      <family val="2"/>
      <charset val="163"/>
    </font>
    <font>
      <b/>
      <sz val="11"/>
      <name val="Times New Roman"/>
      <family val="1"/>
    </font>
    <font>
      <i/>
      <sz val="11"/>
      <name val="Times New Roman"/>
      <family val="1"/>
    </font>
    <font>
      <sz val="11"/>
      <color rgb="FF0000FF"/>
      <name val="Times New Roman"/>
      <family val="1"/>
    </font>
    <font>
      <b/>
      <sz val="10"/>
      <color rgb="FF0000FF"/>
      <name val="Times New Roman"/>
      <family val="1"/>
    </font>
    <font>
      <b/>
      <sz val="11"/>
      <color rgb="FF0000FF"/>
      <name val="Times New Roman"/>
      <family val="1"/>
    </font>
  </fonts>
  <fills count="1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EE0033"/>
        <bgColor indexed="64"/>
      </patternFill>
    </fill>
    <fill>
      <patternFill patternType="solid">
        <fgColor rgb="FF00B050"/>
        <bgColor indexed="64"/>
      </patternFill>
    </fill>
    <fill>
      <patternFill patternType="solid">
        <fgColor theme="7" tint="0.79998168889431442"/>
        <bgColor indexed="64"/>
      </patternFill>
    </fill>
    <fill>
      <patternFill patternType="solid">
        <fgColor rgb="FFE3ABFF"/>
        <bgColor indexed="64"/>
      </patternFill>
    </fill>
    <fill>
      <patternFill patternType="solid">
        <fgColor rgb="FF73DCF1"/>
        <bgColor indexed="64"/>
      </patternFill>
    </fill>
    <fill>
      <patternFill patternType="solid">
        <fgColor rgb="FF88BD67"/>
        <bgColor indexed="64"/>
      </patternFill>
    </fill>
    <fill>
      <patternFill patternType="solid">
        <fgColor rgb="FF579BFF"/>
        <bgColor indexed="64"/>
      </patternFill>
    </fill>
    <fill>
      <patternFill patternType="solid">
        <fgColor rgb="FFFCE4D6"/>
        <bgColor indexed="64"/>
      </patternFill>
    </fill>
  </fills>
  <borders count="13">
    <border>
      <left/>
      <right/>
      <top/>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s>
  <cellStyleXfs count="288">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9" fillId="0" borderId="0">
      <alignment vertical="top"/>
    </xf>
    <xf numFmtId="43" fontId="9" fillId="0" borderId="0" applyFont="0" applyFill="0" applyBorder="0" applyAlignment="0" applyProtection="0"/>
    <xf numFmtId="168" fontId="4" fillId="0" borderId="0" applyFont="0" applyFill="0" applyBorder="0" applyAlignment="0" applyProtection="0"/>
    <xf numFmtId="0" fontId="9" fillId="0" borderId="0">
      <alignment vertical="top"/>
    </xf>
    <xf numFmtId="0" fontId="12" fillId="0" borderId="0"/>
    <xf numFmtId="43" fontId="9" fillId="0" borderId="0" applyFont="0" applyFill="0" applyBorder="0" applyAlignment="0" applyProtection="0"/>
    <xf numFmtId="43" fontId="9" fillId="0" borderId="0" applyFont="0" applyFill="0" applyBorder="0" applyAlignment="0" applyProtection="0"/>
    <xf numFmtId="0" fontId="4" fillId="0" borderId="0"/>
    <xf numFmtId="43" fontId="9"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4" fillId="0" borderId="0"/>
    <xf numFmtId="0" fontId="4" fillId="0" borderId="0"/>
    <xf numFmtId="0" fontId="12" fillId="0" borderId="0"/>
    <xf numFmtId="0" fontId="9" fillId="0" borderId="0"/>
    <xf numFmtId="170" fontId="4" fillId="0" borderId="0"/>
    <xf numFmtId="164" fontId="9"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0" fontId="12" fillId="0" borderId="0"/>
    <xf numFmtId="0" fontId="12" fillId="0" borderId="0"/>
    <xf numFmtId="171" fontId="4" fillId="0" borderId="0"/>
    <xf numFmtId="0" fontId="12" fillId="0" borderId="0"/>
    <xf numFmtId="0" fontId="4" fillId="0" borderId="0"/>
    <xf numFmtId="0" fontId="18" fillId="0" borderId="0">
      <protection locked="0"/>
    </xf>
    <xf numFmtId="0" fontId="4" fillId="0" borderId="0"/>
    <xf numFmtId="0" fontId="4" fillId="0" borderId="0"/>
    <xf numFmtId="0" fontId="4" fillId="0" borderId="0"/>
    <xf numFmtId="0" fontId="4" fillId="0" borderId="0"/>
    <xf numFmtId="0" fontId="4" fillId="0" borderId="0"/>
    <xf numFmtId="172" fontId="4" fillId="0" borderId="0" applyFont="0" applyFill="0" applyBorder="0" applyAlignment="0" applyProtection="0"/>
    <xf numFmtId="0" fontId="9" fillId="0" borderId="0">
      <alignment vertical="top"/>
    </xf>
    <xf numFmtId="43" fontId="9" fillId="0" borderId="0" applyFont="0" applyFill="0" applyBorder="0" applyAlignment="0" applyProtection="0"/>
    <xf numFmtId="0" fontId="4"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0" fontId="18" fillId="0" borderId="0">
      <protection locked="0"/>
    </xf>
    <xf numFmtId="0" fontId="18" fillId="0" borderId="0">
      <protection locked="0"/>
    </xf>
    <xf numFmtId="0" fontId="4" fillId="0" borderId="0"/>
    <xf numFmtId="0" fontId="19" fillId="0" borderId="0"/>
    <xf numFmtId="171" fontId="9" fillId="0" borderId="0">
      <alignment vertical="top"/>
    </xf>
    <xf numFmtId="43" fontId="4" fillId="0" borderId="0" applyFont="0" applyFill="0" applyBorder="0" applyAlignment="0" applyProtection="0"/>
    <xf numFmtId="168" fontId="4" fillId="0" borderId="0" applyFont="0" applyFill="0" applyBorder="0" applyAlignment="0" applyProtection="0"/>
    <xf numFmtId="168" fontId="4" fillId="0" borderId="0" applyFont="0" applyFill="0" applyBorder="0" applyAlignment="0" applyProtection="0"/>
    <xf numFmtId="171" fontId="20" fillId="0" borderId="0">
      <protection locked="0"/>
    </xf>
    <xf numFmtId="0" fontId="9" fillId="0" borderId="0">
      <alignment vertical="top"/>
    </xf>
    <xf numFmtId="43" fontId="21" fillId="0" borderId="0" applyFont="0" applyFill="0" applyBorder="0" applyAlignment="0" applyProtection="0"/>
    <xf numFmtId="0" fontId="9" fillId="0" borderId="0">
      <alignment vertical="top"/>
    </xf>
    <xf numFmtId="0" fontId="21" fillId="0" borderId="0">
      <alignment vertical="top"/>
    </xf>
    <xf numFmtId="9" fontId="21" fillId="0" borderId="0" applyFont="0" applyFill="0" applyBorder="0" applyAlignment="0" applyProtection="0"/>
    <xf numFmtId="0" fontId="21" fillId="0" borderId="0">
      <alignment vertical="top"/>
    </xf>
    <xf numFmtId="43" fontId="4" fillId="0" borderId="0" applyFont="0" applyFill="0" applyBorder="0" applyAlignment="0" applyProtection="0"/>
    <xf numFmtId="172" fontId="4" fillId="0" borderId="0" applyFont="0" applyFill="0" applyBorder="0" applyAlignment="0" applyProtection="0"/>
    <xf numFmtId="0" fontId="12" fillId="0" borderId="0"/>
    <xf numFmtId="164" fontId="12" fillId="0" borderId="0" applyFont="0" applyFill="0" applyBorder="0" applyAlignment="0" applyProtection="0"/>
    <xf numFmtId="0" fontId="22" fillId="0" borderId="0"/>
    <xf numFmtId="0" fontId="9" fillId="0" borderId="0"/>
    <xf numFmtId="0" fontId="12" fillId="0" borderId="0"/>
    <xf numFmtId="164" fontId="12" fillId="0" borderId="0" applyFont="0" applyFill="0" applyBorder="0" applyAlignment="0" applyProtection="0"/>
    <xf numFmtId="0" fontId="23" fillId="0" borderId="0"/>
    <xf numFmtId="164" fontId="12" fillId="0" borderId="0" applyFont="0" applyFill="0" applyBorder="0" applyAlignment="0" applyProtection="0"/>
    <xf numFmtId="164" fontId="12" fillId="0" borderId="0" applyFont="0" applyFill="0" applyBorder="0" applyAlignment="0" applyProtection="0"/>
    <xf numFmtId="0" fontId="22" fillId="0" borderId="0"/>
    <xf numFmtId="0" fontId="18" fillId="0" borderId="0">
      <protection locked="0"/>
    </xf>
    <xf numFmtId="0" fontId="12" fillId="0" borderId="0"/>
    <xf numFmtId="0" fontId="4" fillId="0" borderId="0"/>
    <xf numFmtId="0" fontId="12" fillId="0" borderId="0"/>
    <xf numFmtId="164" fontId="12" fillId="0" borderId="0" applyFont="0" applyFill="0" applyBorder="0" applyAlignment="0" applyProtection="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 fillId="0" borderId="0">
      <protection locked="0"/>
    </xf>
    <xf numFmtId="0" fontId="9" fillId="0" borderId="0"/>
    <xf numFmtId="173" fontId="9" fillId="0" borderId="0" applyFont="0" applyFill="0" applyBorder="0" applyAlignment="0" applyProtection="0"/>
    <xf numFmtId="171" fontId="4" fillId="0" borderId="0"/>
    <xf numFmtId="171" fontId="9" fillId="0" borderId="0"/>
    <xf numFmtId="43" fontId="4" fillId="0" borderId="0" applyFont="0" applyFill="0" applyBorder="0" applyAlignment="0" applyProtection="0"/>
    <xf numFmtId="0" fontId="1" fillId="0" borderId="0"/>
    <xf numFmtId="0" fontId="9" fillId="0" borderId="0"/>
    <xf numFmtId="175" fontId="4" fillId="0" borderId="0" applyFont="0" applyFill="0" applyBorder="0" applyAlignment="0" applyProtection="0"/>
    <xf numFmtId="0" fontId="29" fillId="0" borderId="0"/>
    <xf numFmtId="171" fontId="4" fillId="0" borderId="0"/>
    <xf numFmtId="171" fontId="4" fillId="0" borderId="0"/>
    <xf numFmtId="0" fontId="4" fillId="0" borderId="0"/>
    <xf numFmtId="171" fontId="4" fillId="0" borderId="0"/>
    <xf numFmtId="43" fontId="4" fillId="0" borderId="0" applyFont="0" applyFill="0" applyBorder="0" applyAlignment="0" applyProtection="0"/>
    <xf numFmtId="0" fontId="4" fillId="0" borderId="0"/>
    <xf numFmtId="171" fontId="4" fillId="0" borderId="0"/>
    <xf numFmtId="0" fontId="9" fillId="0" borderId="0"/>
    <xf numFmtId="0" fontId="9" fillId="0" borderId="0"/>
    <xf numFmtId="176" fontId="4" fillId="0" borderId="0"/>
    <xf numFmtId="0" fontId="9" fillId="0" borderId="0"/>
    <xf numFmtId="0" fontId="9" fillId="0" borderId="0"/>
    <xf numFmtId="0" fontId="29" fillId="0" borderId="0"/>
    <xf numFmtId="0" fontId="4" fillId="0" borderId="0"/>
    <xf numFmtId="0" fontId="30" fillId="0" borderId="0"/>
    <xf numFmtId="43" fontId="31" fillId="0" borderId="0" applyFont="0" applyFill="0" applyBorder="0" applyAlignment="0" applyProtection="0"/>
    <xf numFmtId="0" fontId="4" fillId="0" borderId="0"/>
    <xf numFmtId="43" fontId="4" fillId="0" borderId="0" applyFont="0" applyFill="0" applyBorder="0" applyAlignment="0" applyProtection="0"/>
    <xf numFmtId="0" fontId="4" fillId="0" borderId="0"/>
  </cellStyleXfs>
  <cellXfs count="396">
    <xf numFmtId="0" fontId="0" fillId="0" borderId="0" xfId="0"/>
    <xf numFmtId="0" fontId="5" fillId="2" borderId="3" xfId="0" applyFont="1" applyFill="1" applyBorder="1" applyAlignment="1">
      <alignment horizontal="center"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5" fillId="0" borderId="0" xfId="0" applyFont="1" applyAlignment="1">
      <alignment vertical="center"/>
    </xf>
    <xf numFmtId="0" fontId="5" fillId="0" borderId="0" xfId="0" applyFont="1" applyAlignment="1">
      <alignment horizontal="center" vertical="center"/>
    </xf>
    <xf numFmtId="0" fontId="16" fillId="0" borderId="0" xfId="0" applyFont="1" applyAlignment="1">
      <alignment vertical="center"/>
    </xf>
    <xf numFmtId="0" fontId="5" fillId="0" borderId="0" xfId="0" applyFont="1"/>
    <xf numFmtId="0" fontId="6" fillId="0" borderId="3" xfId="0" applyFont="1" applyBorder="1" applyAlignment="1">
      <alignment horizontal="center" vertical="center" wrapText="1" readingOrder="1"/>
    </xf>
    <xf numFmtId="9" fontId="6" fillId="0" borderId="3" xfId="2" applyFont="1" applyFill="1" applyBorder="1" applyAlignment="1">
      <alignment horizontal="center" vertical="center" wrapText="1" readingOrder="1"/>
    </xf>
    <xf numFmtId="165" fontId="5" fillId="0" borderId="0" xfId="1" applyNumberFormat="1" applyFont="1" applyAlignment="1">
      <alignment vertical="center"/>
    </xf>
    <xf numFmtId="0" fontId="17" fillId="0" borderId="3" xfId="0" applyFont="1" applyBorder="1" applyAlignment="1">
      <alignment horizontal="center" vertical="center"/>
    </xf>
    <xf numFmtId="165" fontId="6" fillId="3" borderId="3" xfId="1" applyNumberFormat="1" applyFont="1" applyFill="1" applyBorder="1" applyAlignment="1">
      <alignment horizontal="center" vertical="center" wrapText="1"/>
    </xf>
    <xf numFmtId="0" fontId="6" fillId="4" borderId="3"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3" xfId="0" applyFont="1" applyFill="1" applyBorder="1" applyAlignment="1">
      <alignment horizontal="left" vertical="center" wrapText="1"/>
    </xf>
    <xf numFmtId="9" fontId="6" fillId="4" borderId="3" xfId="2" applyFont="1" applyFill="1" applyBorder="1" applyAlignment="1">
      <alignment horizontal="center" vertical="center" wrapText="1"/>
    </xf>
    <xf numFmtId="0" fontId="5" fillId="7" borderId="3" xfId="0" applyFont="1" applyFill="1" applyBorder="1" applyAlignment="1">
      <alignment horizontal="center" vertical="center"/>
    </xf>
    <xf numFmtId="0" fontId="5" fillId="2" borderId="3" xfId="0" applyFont="1" applyFill="1" applyBorder="1" applyAlignment="1">
      <alignment horizontal="center" vertical="center" wrapText="1" readingOrder="1"/>
    </xf>
    <xf numFmtId="0" fontId="17" fillId="3" borderId="3" xfId="0" applyFont="1" applyFill="1" applyBorder="1" applyAlignment="1">
      <alignment horizontal="center" vertical="center"/>
    </xf>
    <xf numFmtId="165" fontId="6" fillId="2" borderId="3" xfId="1" applyNumberFormat="1" applyFont="1" applyFill="1" applyBorder="1" applyAlignment="1">
      <alignment horizontal="center" vertical="center" wrapText="1"/>
    </xf>
    <xf numFmtId="0" fontId="16" fillId="0" borderId="3" xfId="0" applyFont="1" applyBorder="1" applyAlignment="1">
      <alignment horizontal="center" vertical="center"/>
    </xf>
    <xf numFmtId="165" fontId="5" fillId="0" borderId="0" xfId="1" applyNumberFormat="1" applyFont="1"/>
    <xf numFmtId="166" fontId="5" fillId="0" borderId="0" xfId="1" applyNumberFormat="1" applyFont="1" applyAlignment="1">
      <alignment vertical="center"/>
    </xf>
    <xf numFmtId="167" fontId="5" fillId="7" borderId="3" xfId="2" applyNumberFormat="1" applyFont="1" applyFill="1" applyBorder="1" applyAlignment="1">
      <alignment horizontal="center" vertical="center" wrapText="1"/>
    </xf>
    <xf numFmtId="0" fontId="7" fillId="0" borderId="0" xfId="0" applyFont="1" applyAlignment="1">
      <alignment vertical="center"/>
    </xf>
    <xf numFmtId="167" fontId="5" fillId="0" borderId="0" xfId="0" applyNumberFormat="1" applyFont="1"/>
    <xf numFmtId="167" fontId="6" fillId="3" borderId="3" xfId="0" applyNumberFormat="1" applyFont="1" applyFill="1" applyBorder="1" applyAlignment="1">
      <alignment horizontal="center" vertical="center" wrapText="1"/>
    </xf>
    <xf numFmtId="165" fontId="5" fillId="2" borderId="3" xfId="1" applyNumberFormat="1" applyFont="1" applyFill="1" applyBorder="1" applyAlignment="1">
      <alignment horizontal="center" vertical="center" readingOrder="1"/>
    </xf>
    <xf numFmtId="165" fontId="5" fillId="2" borderId="3" xfId="1" applyNumberFormat="1" applyFont="1" applyFill="1" applyBorder="1" applyAlignment="1">
      <alignment horizontal="center" vertical="center" wrapText="1" readingOrder="1"/>
    </xf>
    <xf numFmtId="10" fontId="5" fillId="0" borderId="0" xfId="0" applyNumberFormat="1" applyFont="1"/>
    <xf numFmtId="165" fontId="6" fillId="4" borderId="3" xfId="1" applyNumberFormat="1" applyFont="1" applyFill="1" applyBorder="1" applyAlignment="1">
      <alignment horizontal="center" vertical="center" wrapText="1"/>
    </xf>
    <xf numFmtId="167" fontId="6" fillId="8" borderId="3" xfId="2" applyNumberFormat="1" applyFont="1" applyFill="1" applyBorder="1" applyAlignment="1">
      <alignment horizontal="center" vertical="center" wrapText="1"/>
    </xf>
    <xf numFmtId="0" fontId="6" fillId="9" borderId="3" xfId="0" applyFont="1" applyFill="1" applyBorder="1" applyAlignment="1">
      <alignment horizontal="center" vertical="center"/>
    </xf>
    <xf numFmtId="0" fontId="6" fillId="9" borderId="3" xfId="0" applyFont="1" applyFill="1" applyBorder="1" applyAlignment="1">
      <alignment horizontal="left" vertical="center"/>
    </xf>
    <xf numFmtId="167" fontId="6" fillId="9" borderId="3" xfId="2" applyNumberFormat="1" applyFont="1" applyFill="1" applyBorder="1" applyAlignment="1">
      <alignment horizontal="center" vertical="center" wrapText="1"/>
    </xf>
    <xf numFmtId="0" fontId="5" fillId="2" borderId="0" xfId="0" applyFont="1" applyFill="1" applyAlignment="1">
      <alignment vertical="center"/>
    </xf>
    <xf numFmtId="0" fontId="6" fillId="2" borderId="0" xfId="0" applyFont="1" applyFill="1" applyAlignment="1">
      <alignment horizontal="center" vertical="center"/>
    </xf>
    <xf numFmtId="43" fontId="5" fillId="0" borderId="0" xfId="1" applyFont="1" applyAlignment="1">
      <alignment vertical="center"/>
    </xf>
    <xf numFmtId="0" fontId="6" fillId="8" borderId="3" xfId="0" applyFont="1" applyFill="1" applyBorder="1" applyAlignment="1">
      <alignment horizontal="center" vertical="center"/>
    </xf>
    <xf numFmtId="0" fontId="6" fillId="8" borderId="3" xfId="0" applyFont="1" applyFill="1" applyBorder="1" applyAlignment="1">
      <alignment vertical="center"/>
    </xf>
    <xf numFmtId="0" fontId="14" fillId="0" borderId="3" xfId="0" applyFont="1" applyBorder="1" applyAlignment="1">
      <alignment horizontal="center" vertical="center" wrapText="1" readingOrder="1"/>
    </xf>
    <xf numFmtId="1" fontId="25" fillId="0" borderId="0" xfId="0" applyNumberFormat="1" applyFont="1" applyAlignment="1">
      <alignment horizontal="right" vertical="center"/>
    </xf>
    <xf numFmtId="0" fontId="11" fillId="0" borderId="6" xfId="0" applyFont="1" applyBorder="1" applyAlignment="1">
      <alignment horizontal="center" vertical="center" wrapText="1" readingOrder="1"/>
    </xf>
    <xf numFmtId="0" fontId="5" fillId="0" borderId="3" xfId="0" applyFont="1" applyBorder="1" applyAlignment="1">
      <alignment horizontal="center" vertical="center" wrapText="1" readingOrder="1"/>
    </xf>
    <xf numFmtId="165" fontId="5" fillId="0" borderId="0" xfId="0" applyNumberFormat="1" applyFont="1" applyAlignment="1">
      <alignment vertical="center"/>
    </xf>
    <xf numFmtId="0" fontId="5" fillId="2" borderId="3" xfId="0" applyFont="1" applyFill="1" applyBorder="1" applyAlignment="1">
      <alignment horizontal="center" vertical="center" readingOrder="1"/>
    </xf>
    <xf numFmtId="165" fontId="6" fillId="4" borderId="3" xfId="1" applyNumberFormat="1" applyFont="1" applyFill="1" applyBorder="1" applyAlignment="1">
      <alignment vertical="center"/>
    </xf>
    <xf numFmtId="0" fontId="6" fillId="2" borderId="0" xfId="0" applyFont="1" applyFill="1" applyAlignment="1">
      <alignment vertical="center"/>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0" xfId="0" applyFont="1" applyFill="1" applyAlignment="1">
      <alignment vertical="center"/>
    </xf>
    <xf numFmtId="0" fontId="5" fillId="2" borderId="3" xfId="0" applyFont="1" applyFill="1" applyBorder="1" applyAlignment="1">
      <alignment horizontal="left" vertical="center"/>
    </xf>
    <xf numFmtId="165" fontId="5" fillId="0" borderId="0" xfId="1" applyNumberFormat="1" applyFont="1" applyFill="1" applyAlignment="1">
      <alignment horizontal="right" vertical="center"/>
    </xf>
    <xf numFmtId="0" fontId="5" fillId="0" borderId="0" xfId="0" applyFont="1" applyAlignment="1">
      <alignment vertical="center" wrapText="1"/>
    </xf>
    <xf numFmtId="0" fontId="5" fillId="7" borderId="3" xfId="0" applyFont="1" applyFill="1" applyBorder="1" applyAlignment="1">
      <alignment vertical="center" wrapText="1"/>
    </xf>
    <xf numFmtId="0" fontId="24" fillId="10" borderId="3" xfId="0" applyFont="1" applyFill="1" applyBorder="1" applyAlignment="1">
      <alignment horizontal="center" vertical="center" wrapText="1" readingOrder="1"/>
    </xf>
    <xf numFmtId="165" fontId="24" fillId="10" borderId="3" xfId="1" applyNumberFormat="1" applyFont="1" applyFill="1" applyBorder="1" applyAlignment="1">
      <alignment horizontal="center" vertical="center" wrapText="1" readingOrder="1"/>
    </xf>
    <xf numFmtId="0" fontId="6" fillId="3" borderId="3" xfId="0" applyFont="1" applyFill="1" applyBorder="1" applyAlignment="1">
      <alignment horizontal="center" vertical="center" wrapText="1" readingOrder="1"/>
    </xf>
    <xf numFmtId="165" fontId="6" fillId="3" borderId="3" xfId="1" applyNumberFormat="1" applyFont="1" applyFill="1" applyBorder="1" applyAlignment="1">
      <alignment horizontal="center" vertical="center" wrapText="1" readingOrder="1"/>
    </xf>
    <xf numFmtId="165" fontId="5" fillId="7" borderId="3" xfId="1" applyNumberFormat="1" applyFont="1" applyFill="1" applyBorder="1" applyAlignment="1">
      <alignment horizontal="center" vertical="center" wrapText="1"/>
    </xf>
    <xf numFmtId="165" fontId="6" fillId="8" borderId="3" xfId="1" applyNumberFormat="1" applyFont="1" applyFill="1" applyBorder="1" applyAlignment="1">
      <alignment horizontal="center" vertical="center" wrapText="1"/>
    </xf>
    <xf numFmtId="165" fontId="6" fillId="9" borderId="3" xfId="1" applyNumberFormat="1" applyFont="1" applyFill="1" applyBorder="1" applyAlignment="1">
      <alignment horizontal="center" vertical="center" wrapText="1"/>
    </xf>
    <xf numFmtId="0" fontId="15" fillId="0" borderId="0" xfId="0" applyFont="1" applyAlignment="1">
      <alignment vertical="center"/>
    </xf>
    <xf numFmtId="43" fontId="6" fillId="3" borderId="3" xfId="1" applyFont="1" applyFill="1" applyBorder="1" applyAlignment="1">
      <alignment horizontal="center" vertical="center" wrapText="1"/>
    </xf>
    <xf numFmtId="165" fontId="5" fillId="0" borderId="3" xfId="1" applyNumberFormat="1" applyFont="1" applyFill="1" applyBorder="1" applyAlignment="1">
      <alignment horizontal="left" vertical="center" wrapText="1" readingOrder="1"/>
    </xf>
    <xf numFmtId="165" fontId="5" fillId="0" borderId="3" xfId="1" quotePrefix="1" applyNumberFormat="1" applyFont="1" applyFill="1" applyBorder="1" applyAlignment="1">
      <alignment horizontal="center" vertical="center" readingOrder="1"/>
    </xf>
    <xf numFmtId="165" fontId="6" fillId="3" borderId="3" xfId="1" applyNumberFormat="1" applyFont="1" applyFill="1" applyBorder="1" applyAlignment="1">
      <alignment horizontal="left" vertical="center" wrapText="1" readingOrder="1"/>
    </xf>
    <xf numFmtId="167" fontId="5" fillId="0" borderId="3" xfId="2" applyNumberFormat="1" applyFont="1" applyFill="1" applyBorder="1" applyAlignment="1">
      <alignment horizontal="center" vertical="center" wrapText="1" readingOrder="1"/>
    </xf>
    <xf numFmtId="0" fontId="5" fillId="0" borderId="3" xfId="0" applyFont="1" applyBorder="1" applyAlignment="1">
      <alignment horizontal="left" vertical="center" wrapText="1" indent="1" readingOrder="1"/>
    </xf>
    <xf numFmtId="0" fontId="6" fillId="0" borderId="3" xfId="0" applyFont="1" applyBorder="1" applyAlignment="1">
      <alignment vertical="center" wrapText="1" readingOrder="1"/>
    </xf>
    <xf numFmtId="165" fontId="5" fillId="0" borderId="3" xfId="1" applyNumberFormat="1" applyFont="1" applyFill="1" applyBorder="1" applyAlignment="1">
      <alignment horizontal="center" vertical="center" wrapText="1" readingOrder="1"/>
    </xf>
    <xf numFmtId="0" fontId="5" fillId="0" borderId="3" xfId="0" applyFont="1" applyBorder="1" applyAlignment="1">
      <alignment horizontal="center" vertical="center" readingOrder="1"/>
    </xf>
    <xf numFmtId="0" fontId="5" fillId="7" borderId="3" xfId="0" applyFont="1" applyFill="1" applyBorder="1" applyAlignment="1">
      <alignment horizontal="left" vertical="center" wrapText="1" indent="1"/>
    </xf>
    <xf numFmtId="0" fontId="5" fillId="0" borderId="3" xfId="0" applyFont="1" applyBorder="1" applyAlignment="1">
      <alignment horizontal="left" vertical="center" wrapText="1" readingOrder="1"/>
    </xf>
    <xf numFmtId="0" fontId="6" fillId="3" borderId="3" xfId="0" applyFont="1" applyFill="1" applyBorder="1" applyAlignment="1">
      <alignment horizontal="left" vertical="center"/>
    </xf>
    <xf numFmtId="0" fontId="5" fillId="3" borderId="3" xfId="0" quotePrefix="1" applyFont="1" applyFill="1" applyBorder="1" applyAlignment="1">
      <alignment horizontal="justify" vertical="center" wrapText="1"/>
    </xf>
    <xf numFmtId="167" fontId="6" fillId="3" borderId="3" xfId="2" applyNumberFormat="1" applyFont="1" applyFill="1" applyBorder="1" applyAlignment="1">
      <alignment horizontal="center" vertical="center" wrapText="1"/>
    </xf>
    <xf numFmtId="0" fontId="5" fillId="2" borderId="3" xfId="0" applyFont="1" applyFill="1" applyBorder="1" applyAlignment="1">
      <alignment horizontal="left" vertical="center" wrapText="1" indent="1" readingOrder="1"/>
    </xf>
    <xf numFmtId="165" fontId="6" fillId="2" borderId="3" xfId="1" applyNumberFormat="1" applyFont="1" applyFill="1" applyBorder="1" applyAlignment="1">
      <alignment horizontal="left" vertical="center" wrapText="1" readingOrder="1"/>
    </xf>
    <xf numFmtId="0" fontId="6" fillId="2" borderId="3" xfId="0" applyFont="1" applyFill="1" applyBorder="1" applyAlignment="1">
      <alignment horizontal="center" vertical="center" wrapText="1" readingOrder="1"/>
    </xf>
    <xf numFmtId="0" fontId="10" fillId="2" borderId="3" xfId="0" applyFont="1" applyFill="1" applyBorder="1" applyAlignment="1">
      <alignment horizontal="center" vertical="center" wrapText="1" readingOrder="1"/>
    </xf>
    <xf numFmtId="0" fontId="8" fillId="2" borderId="3" xfId="0" applyFont="1" applyFill="1" applyBorder="1" applyAlignment="1">
      <alignment horizontal="center" vertical="center" wrapText="1" readingOrder="1"/>
    </xf>
    <xf numFmtId="9" fontId="10" fillId="2" borderId="3" xfId="2" applyFont="1" applyFill="1" applyBorder="1" applyAlignment="1">
      <alignment horizontal="center" vertical="center" wrapText="1" readingOrder="1"/>
    </xf>
    <xf numFmtId="0" fontId="6" fillId="2" borderId="3" xfId="0" applyFont="1" applyFill="1" applyBorder="1" applyAlignment="1">
      <alignment horizontal="left" vertical="center" wrapText="1" readingOrder="1"/>
    </xf>
    <xf numFmtId="165" fontId="5" fillId="2" borderId="3" xfId="1" applyNumberFormat="1" applyFont="1" applyFill="1" applyBorder="1" applyAlignment="1">
      <alignment horizontal="left" vertical="center" wrapText="1" readingOrder="1"/>
    </xf>
    <xf numFmtId="165" fontId="5" fillId="2" borderId="3" xfId="1" quotePrefix="1" applyNumberFormat="1" applyFont="1" applyFill="1" applyBorder="1" applyAlignment="1">
      <alignment horizontal="center" vertical="center" readingOrder="1"/>
    </xf>
    <xf numFmtId="0" fontId="5" fillId="2" borderId="3" xfId="0" applyFont="1" applyFill="1" applyBorder="1" applyAlignment="1">
      <alignment horizontal="left" vertical="center" wrapText="1" readingOrder="1"/>
    </xf>
    <xf numFmtId="0" fontId="5" fillId="3" borderId="3" xfId="0" applyFont="1" applyFill="1" applyBorder="1" applyAlignment="1">
      <alignment horizontal="center" vertical="center" wrapText="1" readingOrder="1"/>
    </xf>
    <xf numFmtId="165" fontId="5" fillId="3" borderId="3" xfId="1" applyNumberFormat="1" applyFont="1" applyFill="1" applyBorder="1" applyAlignment="1">
      <alignment horizontal="center" vertical="center" wrapText="1" readingOrder="1"/>
    </xf>
    <xf numFmtId="165" fontId="6" fillId="3" borderId="3" xfId="1" quotePrefix="1" applyNumberFormat="1" applyFont="1" applyFill="1" applyBorder="1" applyAlignment="1">
      <alignment horizontal="center" vertical="center" readingOrder="1"/>
    </xf>
    <xf numFmtId="9" fontId="6" fillId="3" borderId="3" xfId="2" applyFont="1" applyFill="1" applyBorder="1" applyAlignment="1">
      <alignment horizontal="center" vertical="center" wrapText="1" readingOrder="1"/>
    </xf>
    <xf numFmtId="9" fontId="6" fillId="2" borderId="3" xfId="2" applyFont="1" applyFill="1" applyBorder="1" applyAlignment="1">
      <alignment horizontal="center" vertical="center" wrapText="1" readingOrder="1"/>
    </xf>
    <xf numFmtId="167" fontId="10" fillId="2" borderId="3" xfId="2" applyNumberFormat="1" applyFont="1" applyFill="1" applyBorder="1" applyAlignment="1">
      <alignment horizontal="center" vertical="center" wrapText="1" readingOrder="1"/>
    </xf>
    <xf numFmtId="0" fontId="16" fillId="0" borderId="3" xfId="0" applyFont="1" applyBorder="1" applyAlignment="1">
      <alignment vertical="center"/>
    </xf>
    <xf numFmtId="9" fontId="5" fillId="2" borderId="0" xfId="2" applyFont="1" applyFill="1" applyAlignment="1">
      <alignment horizontal="center" vertical="center"/>
    </xf>
    <xf numFmtId="0" fontId="6" fillId="7" borderId="3" xfId="0" applyFont="1" applyFill="1" applyBorder="1" applyAlignment="1">
      <alignment horizontal="center" vertical="center"/>
    </xf>
    <xf numFmtId="0" fontId="16" fillId="0" borderId="0" xfId="0" applyFont="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horizontal="left" vertical="center"/>
    </xf>
    <xf numFmtId="0" fontId="16" fillId="0" borderId="3" xfId="0" applyFont="1" applyBorder="1" applyAlignment="1">
      <alignment horizontal="left" vertical="center" indent="1"/>
    </xf>
    <xf numFmtId="165" fontId="5" fillId="0" borderId="3" xfId="1" applyNumberFormat="1" applyFont="1" applyFill="1" applyBorder="1" applyAlignment="1">
      <alignment horizontal="center" vertical="center" readingOrder="1"/>
    </xf>
    <xf numFmtId="9" fontId="5" fillId="2" borderId="3" xfId="2" applyFont="1" applyFill="1" applyBorder="1" applyAlignment="1">
      <alignment horizontal="center" vertical="center" wrapText="1" readingOrder="1"/>
    </xf>
    <xf numFmtId="167" fontId="5" fillId="2" borderId="3" xfId="2" applyNumberFormat="1" applyFont="1" applyFill="1" applyBorder="1" applyAlignment="1">
      <alignment horizontal="center" vertical="center" wrapText="1" readingOrder="1"/>
    </xf>
    <xf numFmtId="0" fontId="6" fillId="3" borderId="3" xfId="0" applyFont="1" applyFill="1" applyBorder="1" applyAlignment="1">
      <alignment horizontal="left" vertical="center" wrapText="1" readingOrder="1"/>
    </xf>
    <xf numFmtId="9" fontId="6" fillId="2" borderId="3" xfId="2" applyFont="1" applyFill="1" applyBorder="1" applyAlignment="1">
      <alignment horizontal="left" vertical="center" wrapText="1" readingOrder="1"/>
    </xf>
    <xf numFmtId="9" fontId="10" fillId="2" borderId="3" xfId="2" applyFont="1" applyFill="1" applyBorder="1" applyAlignment="1">
      <alignment horizontal="left" vertical="center" wrapText="1" readingOrder="1"/>
    </xf>
    <xf numFmtId="167" fontId="6" fillId="3" borderId="3" xfId="2" applyNumberFormat="1" applyFont="1" applyFill="1" applyBorder="1" applyAlignment="1">
      <alignment horizontal="center" vertical="center" wrapText="1" readingOrder="1"/>
    </xf>
    <xf numFmtId="0" fontId="5" fillId="7" borderId="3" xfId="0" applyFont="1" applyFill="1" applyBorder="1" applyAlignment="1">
      <alignment vertical="center"/>
    </xf>
    <xf numFmtId="0" fontId="5" fillId="7" borderId="3" xfId="0" quotePrefix="1" applyFont="1" applyFill="1" applyBorder="1" applyAlignment="1">
      <alignment horizontal="left" vertical="center" wrapText="1" indent="1"/>
    </xf>
    <xf numFmtId="0" fontId="6" fillId="8" borderId="3" xfId="0" applyFont="1" applyFill="1" applyBorder="1" applyAlignment="1">
      <alignment horizontal="left" vertical="center" indent="1"/>
    </xf>
    <xf numFmtId="0" fontId="6" fillId="7" borderId="3" xfId="0" applyFont="1" applyFill="1" applyBorder="1" applyAlignment="1">
      <alignment horizontal="left" vertical="center" wrapText="1" indent="1"/>
    </xf>
    <xf numFmtId="0" fontId="5" fillId="2" borderId="3" xfId="0" quotePrefix="1" applyFont="1" applyFill="1" applyBorder="1" applyAlignment="1">
      <alignment horizontal="left" vertical="center" wrapText="1" indent="1"/>
    </xf>
    <xf numFmtId="0" fontId="5" fillId="9" borderId="3" xfId="0" quotePrefix="1" applyFont="1" applyFill="1" applyBorder="1" applyAlignment="1">
      <alignment horizontal="left" vertical="center" wrapText="1" indent="1"/>
    </xf>
    <xf numFmtId="0" fontId="6" fillId="8" borderId="3" xfId="0" applyFont="1" applyFill="1" applyBorder="1" applyAlignment="1">
      <alignment horizontal="left" vertical="center" wrapText="1" indent="1"/>
    </xf>
    <xf numFmtId="165" fontId="6" fillId="7" borderId="3" xfId="1" applyNumberFormat="1" applyFont="1" applyFill="1" applyBorder="1" applyAlignment="1">
      <alignment horizontal="center" vertical="center" wrapText="1"/>
    </xf>
    <xf numFmtId="1" fontId="5" fillId="0" borderId="0" xfId="2" applyNumberFormat="1" applyFont="1" applyAlignment="1">
      <alignment horizontal="center" vertical="center"/>
    </xf>
    <xf numFmtId="1" fontId="5" fillId="0" borderId="0" xfId="0" applyNumberFormat="1" applyFont="1" applyAlignment="1">
      <alignment horizontal="center" vertical="center"/>
    </xf>
    <xf numFmtId="0" fontId="26" fillId="3" borderId="0" xfId="0" applyFont="1" applyFill="1" applyAlignment="1">
      <alignment horizontal="center" vertical="center"/>
    </xf>
    <xf numFmtId="0" fontId="27" fillId="0" borderId="0" xfId="0" applyFont="1" applyAlignment="1">
      <alignment vertical="center"/>
    </xf>
    <xf numFmtId="0" fontId="24" fillId="0" borderId="0" xfId="0" applyFont="1" applyAlignment="1">
      <alignment vertical="center"/>
    </xf>
    <xf numFmtId="0" fontId="6" fillId="3" borderId="3" xfId="0" applyFont="1" applyFill="1" applyBorder="1" applyAlignment="1">
      <alignment horizontal="center" vertical="center" wrapText="1"/>
    </xf>
    <xf numFmtId="165" fontId="5" fillId="0" borderId="3" xfId="1" applyNumberFormat="1" applyFont="1" applyFill="1" applyBorder="1" applyAlignment="1">
      <alignment horizontal="center" vertical="center" wrapText="1"/>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5" fillId="0" borderId="3" xfId="0" applyFont="1" applyFill="1" applyBorder="1" applyAlignment="1">
      <alignment horizontal="center" vertical="center"/>
    </xf>
    <xf numFmtId="43" fontId="5" fillId="2" borderId="3" xfId="1" quotePrefix="1" applyNumberFormat="1" applyFont="1" applyFill="1" applyBorder="1" applyAlignment="1">
      <alignment horizontal="center" vertical="center" readingOrder="1"/>
    </xf>
    <xf numFmtId="0" fontId="5" fillId="0" borderId="3" xfId="0" quotePrefix="1" applyFont="1" applyFill="1" applyBorder="1" applyAlignment="1">
      <alignment horizontal="left" vertical="center" wrapText="1" indent="1"/>
    </xf>
    <xf numFmtId="0" fontId="5" fillId="0" borderId="0" xfId="0" applyFont="1" applyFill="1" applyAlignment="1">
      <alignment horizontal="center" vertical="center"/>
    </xf>
    <xf numFmtId="0" fontId="5" fillId="11" borderId="3" xfId="0" quotePrefix="1" applyFont="1" applyFill="1" applyBorder="1" applyAlignment="1">
      <alignment horizontal="left" vertical="center" wrapText="1" indent="1"/>
    </xf>
    <xf numFmtId="0" fontId="5" fillId="11" borderId="3" xfId="0" applyFont="1" applyFill="1" applyBorder="1" applyAlignment="1">
      <alignment horizontal="center" vertical="center"/>
    </xf>
    <xf numFmtId="0" fontId="5" fillId="0" borderId="3" xfId="0" applyFont="1" applyFill="1" applyBorder="1" applyAlignment="1">
      <alignment horizontal="left" vertical="center" wrapText="1" indent="1" readingOrder="1"/>
    </xf>
    <xf numFmtId="167" fontId="5" fillId="0" borderId="3" xfId="2" applyNumberFormat="1" applyFont="1" applyFill="1" applyBorder="1" applyAlignment="1">
      <alignment horizontal="center" vertical="center" wrapText="1"/>
    </xf>
    <xf numFmtId="166" fontId="5" fillId="0" borderId="0" xfId="1" applyNumberFormat="1" applyFont="1" applyFill="1" applyAlignment="1">
      <alignment vertical="center"/>
    </xf>
    <xf numFmtId="43" fontId="5" fillId="0" borderId="0" xfId="1" applyFont="1" applyFill="1" applyAlignment="1">
      <alignment vertical="center"/>
    </xf>
    <xf numFmtId="0" fontId="5" fillId="0" borderId="0" xfId="0" applyFont="1" applyFill="1"/>
    <xf numFmtId="0" fontId="5" fillId="11" borderId="3" xfId="0" applyFont="1" applyFill="1" applyBorder="1" applyAlignment="1">
      <alignment horizontal="center" vertical="center" wrapText="1" readingOrder="1"/>
    </xf>
    <xf numFmtId="0" fontId="5" fillId="11" borderId="3" xfId="0" applyFont="1" applyFill="1" applyBorder="1" applyAlignment="1">
      <alignment horizontal="left" vertical="center" wrapText="1" indent="1" readingOrder="1"/>
    </xf>
    <xf numFmtId="165" fontId="5" fillId="11" borderId="3" xfId="1" applyNumberFormat="1" applyFont="1" applyFill="1" applyBorder="1" applyAlignment="1">
      <alignment horizontal="center" vertical="center" wrapText="1"/>
    </xf>
    <xf numFmtId="167" fontId="5" fillId="11" borderId="3" xfId="2" applyNumberFormat="1" applyFont="1" applyFill="1" applyBorder="1" applyAlignment="1">
      <alignment horizontal="center" vertical="center" wrapText="1"/>
    </xf>
    <xf numFmtId="166" fontId="5" fillId="11" borderId="0" xfId="1" applyNumberFormat="1" applyFont="1" applyFill="1" applyAlignment="1">
      <alignment vertical="center"/>
    </xf>
    <xf numFmtId="43" fontId="5" fillId="11" borderId="0" xfId="1" applyFont="1" applyFill="1" applyAlignment="1">
      <alignment vertical="center"/>
    </xf>
    <xf numFmtId="0" fontId="5" fillId="11" borderId="0" xfId="0" applyFont="1" applyFill="1"/>
    <xf numFmtId="10" fontId="5" fillId="11" borderId="0" xfId="0" applyNumberFormat="1" applyFont="1" applyFill="1"/>
    <xf numFmtId="43" fontId="5" fillId="11" borderId="0" xfId="0" applyNumberFormat="1" applyFont="1" applyFill="1"/>
    <xf numFmtId="10" fontId="5" fillId="11" borderId="0" xfId="2" applyNumberFormat="1" applyFont="1" applyFill="1"/>
    <xf numFmtId="0" fontId="5" fillId="11" borderId="3" xfId="0" applyFont="1" applyFill="1" applyBorder="1" applyAlignment="1">
      <alignment horizontal="left" vertical="center"/>
    </xf>
    <xf numFmtId="167" fontId="6" fillId="11" borderId="3" xfId="2" applyNumberFormat="1" applyFont="1" applyFill="1" applyBorder="1" applyAlignment="1">
      <alignment horizontal="center" vertical="center" wrapText="1"/>
    </xf>
    <xf numFmtId="0" fontId="5" fillId="11" borderId="3" xfId="0" applyFont="1" applyFill="1" applyBorder="1" applyAlignment="1">
      <alignment horizontal="left" vertical="center" wrapText="1" readingOrder="1"/>
    </xf>
    <xf numFmtId="0" fontId="6" fillId="11" borderId="3" xfId="0" applyFont="1" applyFill="1" applyBorder="1" applyAlignment="1">
      <alignment horizontal="center" vertical="center" wrapText="1" readingOrder="1"/>
    </xf>
    <xf numFmtId="0" fontId="6" fillId="11" borderId="3" xfId="0" applyFont="1" applyFill="1" applyBorder="1" applyAlignment="1">
      <alignment horizontal="left" vertical="center" wrapText="1" readingOrder="1"/>
    </xf>
    <xf numFmtId="165" fontId="6" fillId="11" borderId="3" xfId="1" applyNumberFormat="1" applyFont="1" applyFill="1" applyBorder="1" applyAlignment="1">
      <alignment horizontal="center" vertical="center" wrapText="1"/>
    </xf>
    <xf numFmtId="43" fontId="5" fillId="0" borderId="0" xfId="0" applyNumberFormat="1" applyFont="1" applyFill="1"/>
    <xf numFmtId="0" fontId="5" fillId="11" borderId="3" xfId="0" applyFont="1" applyFill="1" applyBorder="1" applyAlignment="1">
      <alignment vertical="center" wrapText="1"/>
    </xf>
    <xf numFmtId="0" fontId="6" fillId="0" borderId="3" xfId="0" applyFont="1" applyFill="1" applyBorder="1" applyAlignment="1">
      <alignment horizontal="center" vertical="center"/>
    </xf>
    <xf numFmtId="9" fontId="6" fillId="0" borderId="3" xfId="2" applyFont="1" applyFill="1" applyBorder="1" applyAlignment="1">
      <alignment horizontal="center" vertical="center" wrapText="1"/>
    </xf>
    <xf numFmtId="43" fontId="5" fillId="0" borderId="3" xfId="1" quotePrefix="1" applyNumberFormat="1" applyFont="1" applyFill="1" applyBorder="1" applyAlignment="1">
      <alignment horizontal="center" vertical="center" readingOrder="1"/>
    </xf>
    <xf numFmtId="0" fontId="5" fillId="2" borderId="3" xfId="0" quotePrefix="1" applyFont="1" applyFill="1" applyBorder="1" applyAlignment="1">
      <alignment vertical="center" wrapText="1"/>
    </xf>
    <xf numFmtId="0" fontId="32" fillId="0" borderId="0" xfId="0" applyFont="1" applyAlignment="1">
      <alignment horizontal="center" vertical="center" wrapText="1"/>
    </xf>
    <xf numFmtId="0" fontId="32" fillId="3" borderId="3" xfId="1" applyNumberFormat="1"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applyAlignment="1">
      <alignment vertical="center"/>
    </xf>
    <xf numFmtId="0" fontId="32" fillId="5" borderId="3" xfId="0" applyFont="1" applyFill="1" applyBorder="1" applyAlignment="1">
      <alignment horizontal="center" vertical="center" wrapText="1"/>
    </xf>
    <xf numFmtId="165" fontId="32" fillId="5" borderId="3" xfId="1" applyNumberFormat="1" applyFont="1" applyFill="1" applyBorder="1" applyAlignment="1">
      <alignment vertical="center"/>
    </xf>
    <xf numFmtId="0" fontId="32" fillId="0" borderId="0" xfId="0" applyFont="1" applyAlignment="1">
      <alignment vertical="center"/>
    </xf>
    <xf numFmtId="166" fontId="6" fillId="2" borderId="3" xfId="1" applyNumberFormat="1" applyFont="1" applyFill="1" applyBorder="1" applyAlignment="1">
      <alignment horizontal="left" vertical="center" wrapText="1" readingOrder="1"/>
    </xf>
    <xf numFmtId="166" fontId="6" fillId="3" borderId="3" xfId="1" applyNumberFormat="1" applyFont="1" applyFill="1" applyBorder="1" applyAlignment="1">
      <alignment horizontal="left" vertical="center" wrapText="1" readingOrder="1"/>
    </xf>
    <xf numFmtId="166" fontId="5" fillId="0" borderId="3" xfId="1" quotePrefix="1" applyNumberFormat="1" applyFont="1" applyFill="1" applyBorder="1" applyAlignment="1">
      <alignment horizontal="center" vertical="center" readingOrder="1"/>
    </xf>
    <xf numFmtId="166" fontId="5" fillId="0" borderId="3" xfId="1" applyNumberFormat="1" applyFont="1" applyFill="1" applyBorder="1" applyAlignment="1">
      <alignment horizontal="left" vertical="center" wrapText="1" readingOrder="1"/>
    </xf>
    <xf numFmtId="166" fontId="6" fillId="3" borderId="3" xfId="1" quotePrefix="1" applyNumberFormat="1" applyFont="1" applyFill="1" applyBorder="1" applyAlignment="1">
      <alignment horizontal="center" vertical="center" readingOrder="1"/>
    </xf>
    <xf numFmtId="166" fontId="5" fillId="2" borderId="3" xfId="1" applyNumberFormat="1" applyFont="1" applyFill="1" applyBorder="1" applyAlignment="1">
      <alignment horizontal="left" vertical="center" wrapText="1" readingOrder="1"/>
    </xf>
    <xf numFmtId="166" fontId="5" fillId="2" borderId="3" xfId="1" quotePrefix="1" applyNumberFormat="1" applyFont="1" applyFill="1" applyBorder="1" applyAlignment="1">
      <alignment horizontal="center" vertical="center" readingOrder="1"/>
    </xf>
    <xf numFmtId="167" fontId="6" fillId="2" borderId="3" xfId="2" applyNumberFormat="1" applyFont="1" applyFill="1" applyBorder="1" applyAlignment="1">
      <alignment horizontal="left" vertical="center" wrapText="1" readingOrder="1"/>
    </xf>
    <xf numFmtId="167" fontId="10" fillId="2" borderId="3" xfId="2" applyNumberFormat="1" applyFont="1" applyFill="1" applyBorder="1" applyAlignment="1">
      <alignment horizontal="left" vertical="center" wrapText="1" readingOrder="1"/>
    </xf>
    <xf numFmtId="167" fontId="5" fillId="0" borderId="3" xfId="2" applyNumberFormat="1" applyFont="1" applyFill="1" applyBorder="1" applyAlignment="1">
      <alignment horizontal="left" vertical="center" wrapText="1" readingOrder="1"/>
    </xf>
    <xf numFmtId="167" fontId="6" fillId="2" borderId="3" xfId="2" applyNumberFormat="1" applyFont="1" applyFill="1" applyBorder="1" applyAlignment="1">
      <alignment horizontal="center" vertical="center" wrapText="1" readingOrder="1"/>
    </xf>
    <xf numFmtId="167" fontId="5" fillId="2" borderId="3" xfId="2" applyNumberFormat="1" applyFont="1" applyFill="1" applyBorder="1" applyAlignment="1">
      <alignment horizontal="left" vertical="center" wrapText="1" readingOrder="1"/>
    </xf>
    <xf numFmtId="167" fontId="6" fillId="0" borderId="3" xfId="2" applyNumberFormat="1" applyFont="1" applyFill="1" applyBorder="1" applyAlignment="1">
      <alignment horizontal="center" vertical="center" wrapText="1" readingOrder="1"/>
    </xf>
    <xf numFmtId="9" fontId="10" fillId="2" borderId="3" xfId="1" applyNumberFormat="1" applyFont="1" applyFill="1" applyBorder="1" applyAlignment="1">
      <alignment horizontal="left" vertical="center" wrapText="1" readingOrder="1"/>
    </xf>
    <xf numFmtId="43" fontId="5" fillId="0" borderId="3" xfId="1" applyNumberFormat="1" applyFont="1" applyFill="1" applyBorder="1" applyAlignment="1">
      <alignment horizontal="left" vertical="center" wrapText="1" readingOrder="1"/>
    </xf>
    <xf numFmtId="43" fontId="6" fillId="3" borderId="3" xfId="1" applyNumberFormat="1" applyFont="1" applyFill="1" applyBorder="1" applyAlignment="1">
      <alignment horizontal="left" vertical="center" wrapText="1" readingOrder="1"/>
    </xf>
    <xf numFmtId="43" fontId="6" fillId="2" borderId="3" xfId="1" applyNumberFormat="1" applyFont="1" applyFill="1" applyBorder="1" applyAlignment="1">
      <alignment horizontal="left" vertical="center" wrapText="1" readingOrder="1"/>
    </xf>
    <xf numFmtId="169" fontId="6" fillId="2" borderId="3" xfId="1" applyNumberFormat="1" applyFont="1" applyFill="1" applyBorder="1" applyAlignment="1">
      <alignment horizontal="left" vertical="center" wrapText="1" readingOrder="1"/>
    </xf>
    <xf numFmtId="0" fontId="6" fillId="3" borderId="3" xfId="0" applyFont="1" applyFill="1" applyBorder="1" applyAlignment="1">
      <alignment horizontal="center" vertical="center" wrapText="1"/>
    </xf>
    <xf numFmtId="43" fontId="6" fillId="3" borderId="3" xfId="1"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165" fontId="6" fillId="9" borderId="3" xfId="1" applyNumberFormat="1" applyFont="1" applyFill="1" applyBorder="1" applyAlignment="1">
      <alignment vertical="center"/>
    </xf>
    <xf numFmtId="0" fontId="32" fillId="12" borderId="3" xfId="0" applyFont="1" applyFill="1" applyBorder="1" applyAlignment="1" applyProtection="1">
      <alignment horizontal="center" vertical="center"/>
      <protection locked="0"/>
    </xf>
    <xf numFmtId="0" fontId="32" fillId="12" borderId="3" xfId="0" applyFont="1" applyFill="1" applyBorder="1" applyAlignment="1" applyProtection="1">
      <alignment vertical="center" wrapText="1"/>
      <protection locked="0"/>
    </xf>
    <xf numFmtId="0" fontId="32" fillId="12" borderId="3" xfId="0" applyFont="1" applyFill="1" applyBorder="1" applyAlignment="1">
      <alignment horizontal="center" vertical="center" wrapText="1"/>
    </xf>
    <xf numFmtId="165" fontId="32" fillId="12" borderId="3" xfId="1" applyNumberFormat="1" applyFont="1" applyFill="1" applyBorder="1" applyAlignment="1">
      <alignment vertical="center"/>
    </xf>
    <xf numFmtId="165" fontId="32" fillId="12" borderId="3" xfId="1" applyNumberFormat="1" applyFont="1" applyFill="1" applyBorder="1" applyAlignment="1">
      <alignment horizontal="right" vertical="center"/>
    </xf>
    <xf numFmtId="165" fontId="13" fillId="0" borderId="3" xfId="1" applyNumberFormat="1" applyFont="1" applyFill="1" applyBorder="1" applyAlignment="1">
      <alignment horizontal="center" vertical="center"/>
    </xf>
    <xf numFmtId="0" fontId="13" fillId="0" borderId="3" xfId="0" applyFont="1" applyFill="1" applyBorder="1" applyAlignment="1">
      <alignment horizontal="center" vertical="center"/>
    </xf>
    <xf numFmtId="0" fontId="34" fillId="0" borderId="0" xfId="0" applyFont="1" applyFill="1" applyAlignment="1">
      <alignment horizontal="center" vertical="center"/>
    </xf>
    <xf numFmtId="0" fontId="32" fillId="0" borderId="3" xfId="0" applyFont="1" applyFill="1" applyBorder="1" applyAlignment="1">
      <alignment horizontal="center" vertical="center"/>
    </xf>
    <xf numFmtId="165" fontId="32" fillId="0" borderId="3" xfId="1" applyNumberFormat="1" applyFont="1" applyFill="1" applyBorder="1" applyAlignment="1">
      <alignment horizontal="center" vertical="center"/>
    </xf>
    <xf numFmtId="165" fontId="32" fillId="0" borderId="3" xfId="1" applyNumberFormat="1" applyFont="1" applyFill="1" applyBorder="1" applyAlignment="1">
      <alignment vertical="center"/>
    </xf>
    <xf numFmtId="165" fontId="32" fillId="0" borderId="3" xfId="0" applyNumberFormat="1" applyFont="1" applyFill="1" applyBorder="1" applyAlignment="1">
      <alignment vertical="center"/>
    </xf>
    <xf numFmtId="0" fontId="36" fillId="0" borderId="0" xfId="0" applyFont="1" applyFill="1" applyAlignment="1">
      <alignment horizontal="center" vertical="center"/>
    </xf>
    <xf numFmtId="0" fontId="32" fillId="5" borderId="3" xfId="0" applyFont="1" applyFill="1" applyBorder="1" applyAlignment="1" applyProtection="1">
      <alignment horizontal="center" vertical="center"/>
      <protection locked="0"/>
    </xf>
    <xf numFmtId="0" fontId="32" fillId="5" borderId="3" xfId="0" applyFont="1" applyFill="1" applyBorder="1" applyAlignment="1" applyProtection="1">
      <alignment vertical="center" wrapText="1"/>
      <protection locked="0"/>
    </xf>
    <xf numFmtId="165" fontId="32" fillId="5" borderId="3" xfId="1" applyNumberFormat="1" applyFont="1" applyFill="1" applyBorder="1" applyAlignment="1">
      <alignment horizontal="right" vertical="center"/>
    </xf>
    <xf numFmtId="39" fontId="6" fillId="4" borderId="3" xfId="1" applyNumberFormat="1" applyFont="1" applyFill="1" applyBorder="1" applyAlignment="1">
      <alignment horizontal="center" vertical="center" wrapText="1"/>
    </xf>
    <xf numFmtId="0" fontId="5" fillId="0" borderId="0" xfId="0" applyFont="1" applyFill="1" applyAlignment="1">
      <alignment horizontal="left" vertical="center" wrapText="1"/>
    </xf>
    <xf numFmtId="43" fontId="5" fillId="0" borderId="0" xfId="1" applyFont="1" applyFill="1" applyBorder="1" applyAlignment="1">
      <alignment horizontal="center" vertical="center"/>
    </xf>
    <xf numFmtId="165" fontId="5" fillId="0" borderId="0" xfId="1" applyNumberFormat="1" applyFont="1" applyFill="1" applyBorder="1" applyAlignment="1">
      <alignment vertical="center"/>
    </xf>
    <xf numFmtId="43" fontId="5" fillId="0" borderId="0" xfId="1" applyFont="1" applyFill="1" applyBorder="1" applyAlignment="1">
      <alignment vertical="center"/>
    </xf>
    <xf numFmtId="0" fontId="6" fillId="0" borderId="0" xfId="0" applyFont="1" applyFill="1" applyAlignment="1">
      <alignment vertical="center"/>
    </xf>
    <xf numFmtId="0" fontId="6" fillId="0" borderId="3" xfId="0" applyFont="1" applyFill="1" applyBorder="1" applyAlignment="1">
      <alignment horizontal="center" vertical="center" wrapText="1"/>
    </xf>
    <xf numFmtId="0" fontId="6" fillId="0" borderId="3" xfId="0" applyFont="1" applyFill="1" applyBorder="1" applyAlignment="1">
      <alignment horizontal="left" vertical="center" wrapText="1"/>
    </xf>
    <xf numFmtId="39" fontId="6" fillId="0" borderId="3" xfId="1" applyNumberFormat="1" applyFont="1" applyFill="1" applyBorder="1" applyAlignment="1">
      <alignment horizontal="center" vertical="center" wrapText="1"/>
    </xf>
    <xf numFmtId="165" fontId="6" fillId="0" borderId="3" xfId="1" applyNumberFormat="1" applyFont="1" applyFill="1" applyBorder="1" applyAlignment="1">
      <alignment horizontal="center" vertical="center" wrapText="1"/>
    </xf>
    <xf numFmtId="43" fontId="5" fillId="0" borderId="0" xfId="1" applyFont="1" applyFill="1" applyAlignment="1">
      <alignment horizontal="center" vertical="center"/>
    </xf>
    <xf numFmtId="165" fontId="5" fillId="0" borderId="0" xfId="1" applyNumberFormat="1" applyFont="1" applyFill="1" applyAlignment="1">
      <alignment vertical="center"/>
    </xf>
    <xf numFmtId="0" fontId="6" fillId="4" borderId="3" xfId="0" applyFont="1" applyFill="1" applyBorder="1" applyAlignment="1">
      <alignment horizontal="left" vertical="center" wrapText="1" indent="1"/>
    </xf>
    <xf numFmtId="39" fontId="6" fillId="4" borderId="3" xfId="1" applyNumberFormat="1" applyFont="1" applyFill="1" applyBorder="1" applyAlignment="1">
      <alignment horizontal="center" vertical="center"/>
    </xf>
    <xf numFmtId="165" fontId="5" fillId="4" borderId="3" xfId="1" applyNumberFormat="1" applyFont="1" applyFill="1" applyBorder="1" applyAlignment="1">
      <alignment vertical="center"/>
    </xf>
    <xf numFmtId="165" fontId="5" fillId="4" borderId="3" xfId="1" applyNumberFormat="1" applyFont="1" applyFill="1" applyBorder="1" applyAlignment="1">
      <alignment horizontal="left" vertical="center" indent="1"/>
    </xf>
    <xf numFmtId="0" fontId="5" fillId="4" borderId="3" xfId="0" applyFont="1" applyFill="1" applyBorder="1" applyAlignment="1">
      <alignment horizontal="center" vertical="center"/>
    </xf>
    <xf numFmtId="0" fontId="5" fillId="4" borderId="3" xfId="0" applyFont="1" applyFill="1" applyBorder="1" applyAlignment="1">
      <alignment horizontal="left" vertical="center" wrapText="1"/>
    </xf>
    <xf numFmtId="39" fontId="5" fillId="4" borderId="3" xfId="1" applyNumberFormat="1" applyFont="1" applyFill="1" applyBorder="1" applyAlignment="1">
      <alignment horizontal="center" vertical="center"/>
    </xf>
    <xf numFmtId="0" fontId="5" fillId="4" borderId="3" xfId="0" quotePrefix="1" applyFont="1" applyFill="1" applyBorder="1" applyAlignment="1">
      <alignment horizontal="left" vertical="center" wrapText="1" indent="1"/>
    </xf>
    <xf numFmtId="9" fontId="5" fillId="4" borderId="3" xfId="2" applyFont="1" applyFill="1" applyBorder="1" applyAlignment="1">
      <alignment horizontal="center" vertical="center" wrapText="1"/>
    </xf>
    <xf numFmtId="39" fontId="5" fillId="4" borderId="3" xfId="1" applyNumberFormat="1" applyFont="1" applyFill="1" applyBorder="1" applyAlignment="1">
      <alignment vertical="center"/>
    </xf>
    <xf numFmtId="0" fontId="5" fillId="4" borderId="3" xfId="0" applyFont="1" applyFill="1" applyBorder="1" applyAlignment="1">
      <alignment horizontal="left" vertical="center" wrapText="1" indent="1"/>
    </xf>
    <xf numFmtId="0" fontId="6" fillId="4" borderId="3" xfId="0" applyFont="1" applyFill="1" applyBorder="1" applyAlignment="1">
      <alignment horizontal="justify" vertical="center" wrapText="1"/>
    </xf>
    <xf numFmtId="165" fontId="6" fillId="4" borderId="3" xfId="1" applyNumberFormat="1" applyFont="1" applyFill="1" applyBorder="1" applyAlignment="1">
      <alignment horizontal="left" vertical="center" indent="1"/>
    </xf>
    <xf numFmtId="0" fontId="5" fillId="4" borderId="3" xfId="0" quotePrefix="1" applyFont="1" applyFill="1" applyBorder="1" applyAlignment="1">
      <alignment vertical="center" wrapText="1"/>
    </xf>
    <xf numFmtId="0" fontId="6" fillId="9" borderId="3" xfId="0" applyFont="1" applyFill="1" applyBorder="1" applyAlignment="1">
      <alignment vertical="center" wrapText="1"/>
    </xf>
    <xf numFmtId="39" fontId="6" fillId="9" borderId="3" xfId="1" applyNumberFormat="1" applyFont="1" applyFill="1" applyBorder="1" applyAlignment="1">
      <alignment horizontal="center" vertical="center"/>
    </xf>
    <xf numFmtId="9" fontId="6" fillId="9" borderId="3" xfId="2" applyFont="1" applyFill="1" applyBorder="1" applyAlignment="1">
      <alignment horizontal="center" vertical="center" wrapText="1"/>
    </xf>
    <xf numFmtId="165" fontId="6" fillId="9" borderId="3" xfId="1" applyNumberFormat="1" applyFont="1" applyFill="1" applyBorder="1" applyAlignment="1">
      <alignment horizontal="left" vertical="center" indent="1"/>
    </xf>
    <xf numFmtId="0" fontId="6" fillId="9" borderId="3" xfId="0" applyFont="1" applyFill="1" applyBorder="1" applyAlignment="1">
      <alignment horizontal="left" vertical="center" wrapText="1"/>
    </xf>
    <xf numFmtId="0" fontId="6" fillId="9" borderId="3" xfId="0" applyFont="1" applyFill="1" applyBorder="1" applyAlignment="1">
      <alignment horizontal="left" vertical="center" wrapText="1" indent="1"/>
    </xf>
    <xf numFmtId="165" fontId="5" fillId="9" borderId="3" xfId="1" applyNumberFormat="1" applyFont="1" applyFill="1" applyBorder="1" applyAlignment="1">
      <alignment vertical="center"/>
    </xf>
    <xf numFmtId="165" fontId="5" fillId="9" borderId="3" xfId="1" applyNumberFormat="1" applyFont="1" applyFill="1" applyBorder="1" applyAlignment="1">
      <alignment horizontal="left" vertical="center" indent="1"/>
    </xf>
    <xf numFmtId="0" fontId="5" fillId="9" borderId="3" xfId="0" applyFont="1" applyFill="1" applyBorder="1" applyAlignment="1">
      <alignment horizontal="center" vertical="center"/>
    </xf>
    <xf numFmtId="0" fontId="5" fillId="9" borderId="3" xfId="0" applyFont="1" applyFill="1" applyBorder="1" applyAlignment="1">
      <alignment horizontal="left" vertical="center" wrapText="1"/>
    </xf>
    <xf numFmtId="39" fontId="5" fillId="9" borderId="3" xfId="1" applyNumberFormat="1" applyFont="1" applyFill="1" applyBorder="1" applyAlignment="1">
      <alignment horizontal="center" vertical="center"/>
    </xf>
    <xf numFmtId="9" fontId="5" fillId="9" borderId="3" xfId="2" applyFont="1" applyFill="1" applyBorder="1" applyAlignment="1">
      <alignment horizontal="center" vertical="center" wrapText="1"/>
    </xf>
    <xf numFmtId="0" fontId="5" fillId="9" borderId="3" xfId="0" applyFont="1" applyFill="1" applyBorder="1" applyAlignment="1">
      <alignment horizontal="left" vertical="center" wrapText="1" indent="1"/>
    </xf>
    <xf numFmtId="165" fontId="6" fillId="9" borderId="3" xfId="0" applyNumberFormat="1" applyFont="1" applyFill="1" applyBorder="1" applyAlignment="1">
      <alignment horizontal="left" vertical="center" wrapText="1" indent="1"/>
    </xf>
    <xf numFmtId="169" fontId="5" fillId="9" borderId="3" xfId="1" applyNumberFormat="1" applyFont="1" applyFill="1" applyBorder="1" applyAlignment="1">
      <alignment vertical="center"/>
    </xf>
    <xf numFmtId="9" fontId="5" fillId="9" borderId="3" xfId="2" quotePrefix="1" applyFont="1" applyFill="1" applyBorder="1" applyAlignment="1">
      <alignment horizontal="center" vertical="center" wrapText="1"/>
    </xf>
    <xf numFmtId="39" fontId="5" fillId="9" borderId="3" xfId="1" applyNumberFormat="1" applyFont="1" applyFill="1" applyBorder="1" applyAlignment="1">
      <alignment vertical="center"/>
    </xf>
    <xf numFmtId="0" fontId="6" fillId="9" borderId="3" xfId="0" quotePrefix="1" applyFont="1" applyFill="1" applyBorder="1" applyAlignment="1">
      <alignment horizontal="left" vertical="center" wrapText="1" indent="1"/>
    </xf>
    <xf numFmtId="9" fontId="6" fillId="9" borderId="3" xfId="2" quotePrefix="1" applyFont="1" applyFill="1" applyBorder="1" applyAlignment="1">
      <alignment horizontal="center" vertical="center" wrapText="1"/>
    </xf>
    <xf numFmtId="1" fontId="5" fillId="9" borderId="3" xfId="2" applyNumberFormat="1" applyFont="1" applyFill="1" applyBorder="1" applyAlignment="1">
      <alignment horizontal="center" vertical="center" wrapText="1"/>
    </xf>
    <xf numFmtId="165" fontId="5" fillId="9" borderId="3" xfId="1" applyNumberFormat="1" applyFont="1" applyFill="1" applyBorder="1" applyAlignment="1">
      <alignment horizontal="left" vertical="center" wrapText="1" indent="1"/>
    </xf>
    <xf numFmtId="0" fontId="5" fillId="9" borderId="0" xfId="0" quotePrefix="1" applyFont="1" applyFill="1" applyAlignment="1">
      <alignment vertical="center" wrapText="1"/>
    </xf>
    <xf numFmtId="1" fontId="6" fillId="9" borderId="3" xfId="0" applyNumberFormat="1" applyFont="1" applyFill="1" applyBorder="1" applyAlignment="1">
      <alignment horizontal="left" vertical="center" indent="1"/>
    </xf>
    <xf numFmtId="9" fontId="6" fillId="9" borderId="3" xfId="2" applyFont="1" applyFill="1" applyBorder="1" applyAlignment="1">
      <alignment horizontal="center" vertical="center"/>
    </xf>
    <xf numFmtId="0" fontId="5" fillId="9" borderId="3" xfId="0" applyFont="1" applyFill="1" applyBorder="1" applyAlignment="1">
      <alignment vertical="center" wrapText="1"/>
    </xf>
    <xf numFmtId="0" fontId="5" fillId="9" borderId="0" xfId="0" applyFont="1" applyFill="1" applyAlignment="1">
      <alignment vertical="center"/>
    </xf>
    <xf numFmtId="0" fontId="32" fillId="3" borderId="2" xfId="0" applyFont="1" applyFill="1" applyBorder="1" applyAlignment="1" applyProtection="1">
      <alignment horizontal="center" vertical="center" wrapText="1"/>
      <protection locked="0"/>
    </xf>
    <xf numFmtId="0" fontId="32" fillId="3" borderId="9" xfId="0" applyFont="1" applyFill="1" applyBorder="1" applyAlignment="1" applyProtection="1">
      <alignment horizontal="center" vertical="center" wrapText="1"/>
      <protection locked="0"/>
    </xf>
    <xf numFmtId="0" fontId="32" fillId="3" borderId="10" xfId="0" applyFont="1" applyFill="1" applyBorder="1" applyAlignment="1" applyProtection="1">
      <alignment horizontal="center" vertical="center" wrapText="1"/>
      <protection locked="0"/>
    </xf>
    <xf numFmtId="0" fontId="32" fillId="3" borderId="2" xfId="0" applyFont="1" applyFill="1" applyBorder="1" applyAlignment="1">
      <alignment horizontal="center" vertical="center" wrapText="1"/>
    </xf>
    <xf numFmtId="0" fontId="32" fillId="3" borderId="9" xfId="0" applyFont="1" applyFill="1" applyBorder="1" applyAlignment="1">
      <alignment horizontal="center" vertical="center" wrapText="1"/>
    </xf>
    <xf numFmtId="0" fontId="32" fillId="3" borderId="10" xfId="0" applyFont="1" applyFill="1" applyBorder="1" applyAlignment="1">
      <alignment horizontal="center" vertical="center" wrapText="1"/>
    </xf>
    <xf numFmtId="165" fontId="32" fillId="3" borderId="4" xfId="1" applyNumberFormat="1" applyFont="1" applyFill="1" applyBorder="1" applyAlignment="1">
      <alignment horizontal="center" vertical="center" wrapText="1"/>
    </xf>
    <xf numFmtId="165" fontId="32" fillId="3" borderId="5" xfId="1" applyNumberFormat="1" applyFont="1" applyFill="1" applyBorder="1" applyAlignment="1">
      <alignment horizontal="center" vertical="center" wrapText="1"/>
    </xf>
    <xf numFmtId="165" fontId="32" fillId="3" borderId="11" xfId="1" applyNumberFormat="1" applyFont="1" applyFill="1" applyBorder="1" applyAlignment="1">
      <alignment horizontal="center" vertical="center" wrapText="1"/>
    </xf>
    <xf numFmtId="165" fontId="32" fillId="3" borderId="12" xfId="1" applyNumberFormat="1" applyFont="1" applyFill="1" applyBorder="1" applyAlignment="1">
      <alignment horizontal="center" vertical="center" wrapText="1"/>
    </xf>
    <xf numFmtId="0" fontId="32" fillId="3" borderId="4" xfId="0" applyFont="1" applyFill="1" applyBorder="1" applyAlignment="1">
      <alignment horizontal="center" vertical="center" wrapText="1"/>
    </xf>
    <xf numFmtId="0" fontId="32" fillId="3" borderId="11" xfId="0"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6" fillId="3" borderId="6" xfId="0" applyFont="1" applyFill="1" applyBorder="1" applyAlignment="1">
      <alignment horizontal="center" vertical="center" wrapText="1" readingOrder="1"/>
    </xf>
    <xf numFmtId="0" fontId="6" fillId="3" borderId="7" xfId="0" applyFont="1" applyFill="1" applyBorder="1" applyAlignment="1">
      <alignment horizontal="center" vertical="center" wrapText="1" readingOrder="1"/>
    </xf>
    <xf numFmtId="0" fontId="6" fillId="3" borderId="8" xfId="0" applyFont="1" applyFill="1" applyBorder="1" applyAlignment="1">
      <alignment horizontal="center" vertical="center" wrapText="1" readingOrder="1"/>
    </xf>
    <xf numFmtId="0" fontId="24" fillId="10" borderId="6" xfId="0" applyFont="1" applyFill="1" applyBorder="1" applyAlignment="1">
      <alignment horizontal="center" vertical="center" wrapText="1" readingOrder="1"/>
    </xf>
    <xf numFmtId="0" fontId="24" fillId="10" borderId="7" xfId="0" applyFont="1" applyFill="1" applyBorder="1" applyAlignment="1">
      <alignment horizontal="center" vertical="center" wrapText="1" readingOrder="1"/>
    </xf>
    <xf numFmtId="0" fontId="24" fillId="10" borderId="8" xfId="0" applyFont="1" applyFill="1" applyBorder="1" applyAlignment="1">
      <alignment horizontal="center" vertical="center" wrapText="1" readingOrder="1"/>
    </xf>
    <xf numFmtId="0" fontId="7" fillId="0" borderId="0" xfId="0" applyFont="1" applyFill="1" applyAlignment="1">
      <alignment horizontal="center" vertical="center" wrapText="1"/>
    </xf>
    <xf numFmtId="0" fontId="7" fillId="0" borderId="0" xfId="0" applyFont="1" applyFill="1" applyAlignment="1">
      <alignment horizontal="center"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xf>
    <xf numFmtId="43" fontId="6" fillId="3" borderId="3" xfId="1" applyFont="1" applyFill="1" applyBorder="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center" vertical="center"/>
    </xf>
    <xf numFmtId="0" fontId="5" fillId="11" borderId="2" xfId="0" quotePrefix="1" applyFont="1" applyFill="1" applyBorder="1" applyAlignment="1">
      <alignment horizontal="left" vertical="center" wrapText="1"/>
    </xf>
    <xf numFmtId="0" fontId="5" fillId="11" borderId="10" xfId="0" quotePrefix="1" applyFont="1" applyFill="1" applyBorder="1" applyAlignment="1">
      <alignment horizontal="left" vertical="center" wrapText="1"/>
    </xf>
    <xf numFmtId="0" fontId="11" fillId="0" borderId="1" xfId="0" applyFont="1" applyBorder="1" applyAlignment="1">
      <alignment horizontal="center" vertical="center"/>
    </xf>
    <xf numFmtId="0" fontId="6" fillId="6" borderId="3" xfId="0" applyFont="1" applyFill="1" applyBorder="1" applyAlignment="1">
      <alignment horizontal="center" vertical="center"/>
    </xf>
    <xf numFmtId="0" fontId="6" fillId="6" borderId="3" xfId="0" applyFont="1" applyFill="1" applyBorder="1" applyAlignment="1">
      <alignment horizontal="left" vertical="center" wrapText="1"/>
    </xf>
    <xf numFmtId="39" fontId="6" fillId="6" borderId="3" xfId="1" applyNumberFormat="1" applyFont="1" applyFill="1" applyBorder="1" applyAlignment="1">
      <alignment horizontal="center" vertical="center"/>
    </xf>
    <xf numFmtId="0" fontId="5" fillId="6" borderId="3" xfId="0" applyFont="1" applyFill="1" applyBorder="1" applyAlignment="1">
      <alignment horizontal="left" vertical="center" indent="1"/>
    </xf>
    <xf numFmtId="9" fontId="6" fillId="6" borderId="3" xfId="2" applyFont="1" applyFill="1" applyBorder="1" applyAlignment="1">
      <alignment horizontal="center" vertical="center"/>
    </xf>
    <xf numFmtId="165" fontId="6" fillId="6" borderId="3" xfId="1" applyNumberFormat="1" applyFont="1" applyFill="1" applyBorder="1" applyAlignment="1">
      <alignment vertical="center"/>
    </xf>
    <xf numFmtId="43" fontId="6" fillId="6" borderId="3" xfId="1" applyFont="1" applyFill="1" applyBorder="1" applyAlignment="1">
      <alignment vertical="center"/>
    </xf>
    <xf numFmtId="0" fontId="5" fillId="6" borderId="3" xfId="0" applyFont="1" applyFill="1" applyBorder="1" applyAlignment="1">
      <alignment horizontal="center" vertical="center"/>
    </xf>
    <xf numFmtId="0" fontId="5" fillId="6" borderId="3" xfId="0" applyFont="1" applyFill="1" applyBorder="1" applyAlignment="1">
      <alignment horizontal="left" vertical="center" wrapText="1"/>
    </xf>
    <xf numFmtId="39" fontId="5" fillId="6" borderId="3" xfId="1" applyNumberFormat="1" applyFont="1" applyFill="1" applyBorder="1" applyAlignment="1">
      <alignment horizontal="center" vertical="center"/>
    </xf>
    <xf numFmtId="0" fontId="5" fillId="6" borderId="3" xfId="0" quotePrefix="1" applyFont="1" applyFill="1" applyBorder="1" applyAlignment="1">
      <alignment horizontal="left" vertical="center" wrapText="1" indent="1"/>
    </xf>
    <xf numFmtId="9" fontId="5" fillId="6" borderId="3" xfId="2" quotePrefix="1" applyFont="1" applyFill="1" applyBorder="1" applyAlignment="1">
      <alignment horizontal="center" vertical="center" wrapText="1"/>
    </xf>
    <xf numFmtId="39" fontId="5" fillId="6" borderId="3" xfId="1" applyNumberFormat="1" applyFont="1" applyFill="1" applyBorder="1" applyAlignment="1">
      <alignment vertical="center"/>
    </xf>
    <xf numFmtId="9" fontId="5" fillId="6" borderId="3" xfId="2" applyFont="1" applyFill="1" applyBorder="1" applyAlignment="1">
      <alignment horizontal="center" vertical="center" wrapText="1"/>
    </xf>
    <xf numFmtId="165" fontId="5" fillId="6" borderId="3" xfId="1" applyNumberFormat="1" applyFont="1" applyFill="1" applyBorder="1" applyAlignment="1">
      <alignment vertical="center"/>
    </xf>
    <xf numFmtId="165" fontId="5" fillId="6" borderId="3" xfId="1" quotePrefix="1" applyNumberFormat="1" applyFont="1" applyFill="1" applyBorder="1" applyAlignment="1">
      <alignment horizontal="left" vertical="center" wrapText="1" indent="1"/>
    </xf>
    <xf numFmtId="0" fontId="5" fillId="6" borderId="3" xfId="0" applyFont="1" applyFill="1" applyBorder="1" applyAlignment="1">
      <alignment horizontal="left" vertical="center" wrapText="1" indent="1"/>
    </xf>
    <xf numFmtId="165" fontId="5" fillId="6" borderId="3" xfId="1" applyNumberFormat="1" applyFont="1" applyFill="1" applyBorder="1" applyAlignment="1">
      <alignment horizontal="left" vertical="center" indent="1"/>
    </xf>
    <xf numFmtId="0" fontId="6" fillId="12" borderId="3" xfId="0" applyFont="1" applyFill="1" applyBorder="1" applyAlignment="1">
      <alignment horizontal="center" vertical="center"/>
    </xf>
    <xf numFmtId="39" fontId="6" fillId="12" borderId="3" xfId="1" applyNumberFormat="1" applyFont="1" applyFill="1" applyBorder="1" applyAlignment="1">
      <alignment horizontal="center" vertical="center"/>
    </xf>
    <xf numFmtId="0" fontId="5" fillId="12" borderId="3" xfId="0" applyFont="1" applyFill="1" applyBorder="1" applyAlignment="1">
      <alignment horizontal="left" vertical="center" indent="1"/>
    </xf>
    <xf numFmtId="9" fontId="6" fillId="12" borderId="3" xfId="2" applyFont="1" applyFill="1" applyBorder="1" applyAlignment="1">
      <alignment horizontal="center" vertical="center"/>
    </xf>
    <xf numFmtId="165" fontId="6" fillId="12" borderId="3" xfId="1" applyNumberFormat="1" applyFont="1" applyFill="1" applyBorder="1" applyAlignment="1">
      <alignment vertical="center"/>
    </xf>
    <xf numFmtId="0" fontId="5" fillId="12" borderId="3" xfId="0" applyFont="1" applyFill="1" applyBorder="1" applyAlignment="1">
      <alignment horizontal="center" vertical="center"/>
    </xf>
    <xf numFmtId="0" fontId="5" fillId="12" borderId="3" xfId="0" applyFont="1" applyFill="1" applyBorder="1" applyAlignment="1">
      <alignment horizontal="left" vertical="center" wrapText="1"/>
    </xf>
    <xf numFmtId="39" fontId="5" fillId="12" borderId="3" xfId="1" applyNumberFormat="1" applyFont="1" applyFill="1" applyBorder="1" applyAlignment="1">
      <alignment horizontal="center" vertical="center"/>
    </xf>
    <xf numFmtId="0" fontId="5" fillId="12" borderId="3" xfId="0" quotePrefix="1" applyFont="1" applyFill="1" applyBorder="1" applyAlignment="1">
      <alignment horizontal="left" vertical="center" wrapText="1" indent="1"/>
    </xf>
    <xf numFmtId="39" fontId="5" fillId="12" borderId="3" xfId="1" applyNumberFormat="1" applyFont="1" applyFill="1" applyBorder="1" applyAlignment="1">
      <alignment vertical="center"/>
    </xf>
    <xf numFmtId="165" fontId="5" fillId="12" borderId="3" xfId="1" applyNumberFormat="1" applyFont="1" applyFill="1" applyBorder="1" applyAlignment="1">
      <alignment horizontal="left" vertical="center" indent="1"/>
    </xf>
    <xf numFmtId="9" fontId="5" fillId="12" borderId="3" xfId="2" applyFont="1" applyFill="1" applyBorder="1" applyAlignment="1">
      <alignment horizontal="center" vertical="center" wrapText="1"/>
    </xf>
    <xf numFmtId="165" fontId="5" fillId="12" borderId="3" xfId="1" applyNumberFormat="1" applyFont="1" applyFill="1" applyBorder="1" applyAlignment="1">
      <alignment vertical="center"/>
    </xf>
    <xf numFmtId="0" fontId="5" fillId="12" borderId="3" xfId="0" applyFont="1" applyFill="1" applyBorder="1" applyAlignment="1">
      <alignment horizontal="left" vertical="center" wrapText="1" indent="1"/>
    </xf>
    <xf numFmtId="0" fontId="5" fillId="9" borderId="3" xfId="0" applyFont="1" applyFill="1" applyBorder="1" applyAlignment="1">
      <alignment horizontal="left" vertical="center" indent="1"/>
    </xf>
    <xf numFmtId="0" fontId="5" fillId="4" borderId="3" xfId="0" applyFont="1" applyFill="1" applyBorder="1" applyAlignment="1">
      <alignment horizontal="left" vertical="center" indent="1"/>
    </xf>
    <xf numFmtId="9" fontId="6" fillId="4" borderId="3" xfId="2" applyFont="1" applyFill="1" applyBorder="1" applyAlignment="1">
      <alignment horizontal="center" vertical="center"/>
    </xf>
    <xf numFmtId="43" fontId="6" fillId="4" borderId="3" xfId="1" applyFont="1" applyFill="1" applyBorder="1" applyAlignment="1">
      <alignment vertical="center"/>
    </xf>
    <xf numFmtId="9" fontId="5" fillId="4" borderId="3" xfId="2" quotePrefix="1" applyFont="1" applyFill="1" applyBorder="1" applyAlignment="1">
      <alignment horizontal="center" vertical="center" wrapText="1"/>
    </xf>
    <xf numFmtId="0" fontId="6" fillId="9" borderId="3" xfId="0" applyFont="1" applyFill="1" applyBorder="1" applyAlignment="1">
      <alignment horizontal="justify" vertical="center" wrapText="1"/>
    </xf>
    <xf numFmtId="9" fontId="13" fillId="9" borderId="3" xfId="2" applyFont="1" applyFill="1" applyBorder="1" applyAlignment="1">
      <alignment horizontal="center" vertical="center" wrapText="1"/>
    </xf>
    <xf numFmtId="0" fontId="6" fillId="12" borderId="3" xfId="0" applyFont="1" applyFill="1" applyBorder="1" applyAlignment="1">
      <alignment horizontal="justify" vertical="center" wrapText="1"/>
    </xf>
    <xf numFmtId="9" fontId="13" fillId="12" borderId="3" xfId="2" applyFont="1" applyFill="1" applyBorder="1" applyAlignment="1">
      <alignment horizontal="center" vertical="center" wrapText="1"/>
    </xf>
    <xf numFmtId="0" fontId="5" fillId="12" borderId="3" xfId="0" applyFont="1" applyFill="1" applyBorder="1" applyAlignment="1">
      <alignment vertical="center" wrapText="1"/>
    </xf>
    <xf numFmtId="0" fontId="6" fillId="0" borderId="3" xfId="0" applyFont="1" applyFill="1" applyBorder="1" applyAlignment="1">
      <alignment horizontal="center" vertical="center"/>
    </xf>
    <xf numFmtId="0" fontId="5" fillId="0" borderId="3" xfId="0" applyFont="1" applyFill="1" applyBorder="1" applyAlignment="1">
      <alignment vertical="center"/>
    </xf>
    <xf numFmtId="43" fontId="6" fillId="0" borderId="3" xfId="0" applyNumberFormat="1" applyFont="1" applyFill="1" applyBorder="1" applyAlignment="1">
      <alignment horizontal="center" vertical="center"/>
    </xf>
    <xf numFmtId="0" fontId="6" fillId="0" borderId="3" xfId="0" applyFont="1" applyFill="1" applyBorder="1" applyAlignment="1">
      <alignment vertical="center"/>
    </xf>
    <xf numFmtId="43" fontId="5" fillId="0" borderId="3" xfId="0" applyNumberFormat="1" applyFont="1" applyFill="1" applyBorder="1" applyAlignment="1">
      <alignment horizontal="center" vertical="center"/>
    </xf>
    <xf numFmtId="0" fontId="7" fillId="0" borderId="0" xfId="0" applyFont="1" applyFill="1" applyAlignment="1" applyProtection="1">
      <alignment horizontal="center" vertical="center" wrapText="1"/>
      <protection locked="0"/>
    </xf>
    <xf numFmtId="0" fontId="6" fillId="0" borderId="2" xfId="0" applyFont="1" applyFill="1" applyBorder="1" applyAlignment="1" applyProtection="1">
      <alignment horizontal="center" vertical="center" wrapText="1"/>
      <protection locked="0"/>
    </xf>
    <xf numFmtId="0" fontId="8" fillId="0" borderId="0" xfId="0" applyFont="1" applyFill="1" applyAlignment="1" applyProtection="1">
      <alignment horizontal="left" vertical="center" wrapText="1"/>
      <protection locked="0"/>
    </xf>
    <xf numFmtId="0" fontId="27" fillId="0" borderId="0" xfId="0" applyFont="1" applyFill="1" applyAlignment="1">
      <alignment horizontal="center" vertical="center" wrapText="1"/>
    </xf>
    <xf numFmtId="165" fontId="27" fillId="0" borderId="0" xfId="1" applyNumberFormat="1" applyFont="1" applyFill="1" applyAlignment="1">
      <alignment horizontal="right" vertical="center"/>
    </xf>
    <xf numFmtId="14" fontId="27" fillId="0" borderId="0" xfId="0" applyNumberFormat="1" applyFont="1" applyFill="1" applyAlignment="1">
      <alignment horizontal="center" vertical="center"/>
    </xf>
    <xf numFmtId="0" fontId="27" fillId="0" borderId="0" xfId="0" applyFont="1" applyFill="1" applyAlignment="1">
      <alignment horizontal="center" vertical="center"/>
    </xf>
    <xf numFmtId="0" fontId="27" fillId="0" borderId="0" xfId="0" applyFont="1" applyFill="1" applyAlignment="1">
      <alignment vertical="center"/>
    </xf>
    <xf numFmtId="0" fontId="6" fillId="0" borderId="9" xfId="0" applyFont="1" applyFill="1" applyBorder="1" applyAlignment="1" applyProtection="1">
      <alignment horizontal="center" vertical="center" wrapText="1"/>
      <protection locked="0"/>
    </xf>
    <xf numFmtId="0" fontId="8" fillId="0" borderId="1" xfId="0" applyFont="1" applyFill="1" applyBorder="1" applyAlignment="1" applyProtection="1">
      <alignment horizontal="left" vertical="center" wrapText="1"/>
      <protection locked="0"/>
    </xf>
    <xf numFmtId="0" fontId="24" fillId="0" borderId="1" xfId="0" applyFont="1" applyFill="1" applyBorder="1" applyAlignment="1">
      <alignment horizontal="center" vertical="center" wrapText="1"/>
    </xf>
    <xf numFmtId="165" fontId="24" fillId="0" borderId="0" xfId="1" applyNumberFormat="1" applyFont="1" applyFill="1" applyAlignment="1">
      <alignment horizontal="right" vertical="center" wrapText="1"/>
    </xf>
    <xf numFmtId="165" fontId="27" fillId="0" borderId="0" xfId="1" applyNumberFormat="1" applyFont="1" applyFill="1" applyAlignment="1">
      <alignment horizontal="right" vertical="center" wrapText="1"/>
    </xf>
    <xf numFmtId="165" fontId="24" fillId="0" borderId="1" xfId="1" applyNumberFormat="1" applyFont="1" applyFill="1" applyBorder="1" applyAlignment="1">
      <alignment horizontal="center" vertical="center" wrapText="1"/>
    </xf>
    <xf numFmtId="0" fontId="24" fillId="0" borderId="0" xfId="0" applyFont="1" applyFill="1" applyAlignment="1">
      <alignment horizontal="center" vertical="center"/>
    </xf>
    <xf numFmtId="0" fontId="24" fillId="0" borderId="0" xfId="0" applyFont="1" applyFill="1" applyAlignment="1">
      <alignment vertical="center"/>
    </xf>
    <xf numFmtId="0" fontId="32" fillId="0" borderId="2" xfId="0" applyFont="1" applyFill="1" applyBorder="1" applyAlignment="1">
      <alignment horizontal="center" vertical="center" wrapText="1"/>
    </xf>
    <xf numFmtId="0" fontId="13" fillId="0" borderId="0" xfId="0" applyFont="1" applyFill="1" applyAlignment="1">
      <alignment horizontal="center" vertical="center" wrapText="1"/>
    </xf>
    <xf numFmtId="0" fontId="13" fillId="0" borderId="0" xfId="0" applyFont="1" applyFill="1" applyAlignment="1">
      <alignment horizontal="center" vertical="center"/>
    </xf>
    <xf numFmtId="0" fontId="32" fillId="0" borderId="0" xfId="0" applyFont="1" applyFill="1" applyAlignment="1">
      <alignment horizontal="center" vertical="center" wrapText="1"/>
    </xf>
    <xf numFmtId="0" fontId="32" fillId="0" borderId="9" xfId="0" applyFont="1" applyFill="1" applyBorder="1" applyAlignment="1">
      <alignment horizontal="center" vertical="center" wrapText="1"/>
    </xf>
    <xf numFmtId="0" fontId="32" fillId="0" borderId="10" xfId="0" applyFont="1" applyFill="1" applyBorder="1" applyAlignment="1">
      <alignment horizontal="center" vertical="center" wrapText="1"/>
    </xf>
    <xf numFmtId="165" fontId="32" fillId="0" borderId="3" xfId="1" applyNumberFormat="1" applyFont="1" applyFill="1" applyBorder="1" applyAlignment="1">
      <alignment horizontal="center" vertical="center" wrapText="1"/>
    </xf>
    <xf numFmtId="0" fontId="13" fillId="0" borderId="3" xfId="0" applyFont="1" applyFill="1" applyBorder="1" applyAlignment="1">
      <alignment horizontal="center" vertical="center" wrapText="1"/>
    </xf>
    <xf numFmtId="165" fontId="13" fillId="0" borderId="3" xfId="1" applyNumberFormat="1" applyFont="1" applyFill="1" applyBorder="1" applyAlignment="1" applyProtection="1">
      <alignment horizontal="center" vertical="center" wrapText="1"/>
    </xf>
    <xf numFmtId="165" fontId="33" fillId="0" borderId="3" xfId="1" applyNumberFormat="1" applyFont="1" applyFill="1" applyBorder="1" applyAlignment="1" applyProtection="1">
      <alignment horizontal="center" vertical="center" wrapText="1"/>
    </xf>
    <xf numFmtId="0" fontId="32" fillId="0" borderId="3" xfId="0" applyFont="1" applyFill="1" applyBorder="1" applyAlignment="1">
      <alignment horizontal="center" vertical="center" wrapText="1"/>
    </xf>
    <xf numFmtId="0" fontId="32" fillId="0" borderId="3" xfId="0" applyFont="1" applyFill="1" applyBorder="1" applyAlignment="1">
      <alignment horizontal="left" vertical="center"/>
    </xf>
    <xf numFmtId="0" fontId="13" fillId="0" borderId="0" xfId="0" applyFont="1" applyFill="1" applyAlignment="1">
      <alignment horizontal="left" vertical="center"/>
    </xf>
    <xf numFmtId="0" fontId="13" fillId="0" borderId="0" xfId="0" applyFont="1" applyFill="1" applyAlignment="1">
      <alignment vertical="center"/>
    </xf>
    <xf numFmtId="0" fontId="32" fillId="0" borderId="3" xfId="0" applyFont="1" applyFill="1" applyBorder="1" applyAlignment="1">
      <alignment horizontal="left" vertical="center" wrapText="1"/>
    </xf>
    <xf numFmtId="0" fontId="32" fillId="0" borderId="0" xfId="0" applyFont="1" applyFill="1" applyAlignment="1">
      <alignment horizontal="center" vertical="center"/>
    </xf>
    <xf numFmtId="0" fontId="32" fillId="0" borderId="0" xfId="0" applyFont="1" applyFill="1" applyAlignment="1">
      <alignment vertical="center"/>
    </xf>
    <xf numFmtId="165" fontId="6" fillId="0" borderId="3" xfId="0" applyNumberFormat="1" applyFont="1" applyFill="1" applyBorder="1" applyAlignment="1">
      <alignment vertical="center"/>
    </xf>
    <xf numFmtId="0" fontId="26" fillId="0" borderId="0" xfId="0" applyFont="1" applyFill="1" applyAlignment="1">
      <alignment horizontal="center" vertical="center"/>
    </xf>
    <xf numFmtId="0" fontId="35" fillId="0" borderId="0" xfId="0" applyFont="1" applyFill="1" applyAlignment="1">
      <alignment horizontal="center" vertical="center"/>
    </xf>
    <xf numFmtId="165" fontId="36" fillId="0" borderId="0" xfId="0" applyNumberFormat="1" applyFont="1" applyFill="1" applyAlignment="1">
      <alignment horizontal="center" vertical="center"/>
    </xf>
    <xf numFmtId="0" fontId="5" fillId="0" borderId="0" xfId="0" applyFont="1" applyFill="1" applyAlignment="1" applyProtection="1">
      <alignment horizontal="center" vertical="center"/>
      <protection locked="0"/>
    </xf>
    <xf numFmtId="0" fontId="5" fillId="0" borderId="0" xfId="0" applyFont="1" applyFill="1" applyAlignment="1" applyProtection="1">
      <alignment vertical="center" wrapText="1"/>
      <protection locked="0"/>
    </xf>
    <xf numFmtId="0" fontId="5" fillId="0" borderId="0" xfId="0" applyFont="1" applyFill="1" applyAlignment="1">
      <alignment horizontal="center" vertical="center" wrapText="1"/>
    </xf>
    <xf numFmtId="14" fontId="5" fillId="0" borderId="0" xfId="0" applyNumberFormat="1" applyFont="1" applyFill="1" applyAlignment="1">
      <alignment horizontal="center" vertical="center"/>
    </xf>
    <xf numFmtId="0" fontId="32" fillId="13" borderId="3" xfId="0" applyFont="1" applyFill="1" applyBorder="1" applyAlignment="1" applyProtection="1">
      <alignment horizontal="center" vertical="center"/>
      <protection locked="0"/>
    </xf>
    <xf numFmtId="0" fontId="32" fillId="13" borderId="3" xfId="0" applyFont="1" applyFill="1" applyBorder="1" applyAlignment="1" applyProtection="1">
      <alignment vertical="center" wrapText="1"/>
      <protection locked="0"/>
    </xf>
    <xf numFmtId="0" fontId="32" fillId="13" borderId="3" xfId="0" applyFont="1" applyFill="1" applyBorder="1" applyAlignment="1">
      <alignment horizontal="center" vertical="center" wrapText="1"/>
    </xf>
    <xf numFmtId="165" fontId="32" fillId="13" borderId="3" xfId="1" applyNumberFormat="1" applyFont="1" applyFill="1" applyBorder="1" applyAlignment="1">
      <alignment vertical="center"/>
    </xf>
    <xf numFmtId="165" fontId="32" fillId="13" borderId="3" xfId="1" applyNumberFormat="1" applyFont="1" applyFill="1" applyBorder="1" applyAlignment="1">
      <alignment horizontal="right" vertical="center"/>
    </xf>
    <xf numFmtId="0" fontId="32" fillId="14" borderId="3" xfId="0" applyFont="1" applyFill="1" applyBorder="1" applyAlignment="1" applyProtection="1">
      <alignment horizontal="center" vertical="center"/>
      <protection locked="0"/>
    </xf>
    <xf numFmtId="0" fontId="32" fillId="14" borderId="3" xfId="0" applyFont="1" applyFill="1" applyBorder="1" applyAlignment="1" applyProtection="1">
      <alignment vertical="center" wrapText="1"/>
      <protection locked="0"/>
    </xf>
    <xf numFmtId="0" fontId="32" fillId="14" borderId="3" xfId="0" applyFont="1" applyFill="1" applyBorder="1" applyAlignment="1">
      <alignment horizontal="center" vertical="center" wrapText="1"/>
    </xf>
    <xf numFmtId="165" fontId="32" fillId="14" borderId="3" xfId="1" applyNumberFormat="1" applyFont="1" applyFill="1" applyBorder="1" applyAlignment="1">
      <alignment vertical="center"/>
    </xf>
    <xf numFmtId="165" fontId="32" fillId="14" borderId="3" xfId="1" applyNumberFormat="1" applyFont="1" applyFill="1" applyBorder="1" applyAlignment="1">
      <alignment horizontal="right" vertical="center"/>
    </xf>
    <xf numFmtId="0" fontId="32" fillId="15" borderId="3" xfId="0" applyFont="1" applyFill="1" applyBorder="1" applyAlignment="1" applyProtection="1">
      <alignment horizontal="center" vertical="center"/>
      <protection locked="0"/>
    </xf>
    <xf numFmtId="0" fontId="32" fillId="15" borderId="3" xfId="0" applyFont="1" applyFill="1" applyBorder="1" applyAlignment="1">
      <alignment vertical="center" wrapText="1"/>
    </xf>
    <xf numFmtId="0" fontId="32" fillId="15" borderId="3" xfId="0" applyFont="1" applyFill="1" applyBorder="1" applyAlignment="1">
      <alignment horizontal="center" vertical="center" wrapText="1"/>
    </xf>
    <xf numFmtId="165" fontId="32" fillId="15" borderId="3" xfId="1" applyNumberFormat="1" applyFont="1" applyFill="1" applyBorder="1" applyAlignment="1">
      <alignment vertical="center"/>
    </xf>
    <xf numFmtId="165" fontId="32" fillId="15" borderId="3" xfId="1" applyNumberFormat="1" applyFont="1" applyFill="1" applyBorder="1" applyAlignment="1">
      <alignment horizontal="right" vertical="center"/>
    </xf>
    <xf numFmtId="0" fontId="32" fillId="16" borderId="3" xfId="0" applyFont="1" applyFill="1" applyBorder="1" applyAlignment="1">
      <alignment horizontal="center" vertical="center"/>
    </xf>
    <xf numFmtId="0" fontId="32" fillId="16" borderId="3" xfId="0" applyFont="1" applyFill="1" applyBorder="1" applyAlignment="1">
      <alignment vertical="center" wrapText="1"/>
    </xf>
    <xf numFmtId="0" fontId="32" fillId="16" borderId="3" xfId="0" applyFont="1" applyFill="1" applyBorder="1" applyAlignment="1">
      <alignment horizontal="center" vertical="center" wrapText="1"/>
    </xf>
    <xf numFmtId="165" fontId="32" fillId="16" borderId="3" xfId="1" applyNumberFormat="1" applyFont="1" applyFill="1" applyBorder="1" applyAlignment="1">
      <alignment vertical="center"/>
    </xf>
    <xf numFmtId="165" fontId="32" fillId="17" borderId="3" xfId="1" applyNumberFormat="1" applyFont="1" applyFill="1" applyBorder="1" applyAlignment="1">
      <alignment horizontal="right" vertical="center"/>
    </xf>
    <xf numFmtId="0" fontId="32" fillId="17" borderId="3" xfId="0" applyFont="1" applyFill="1" applyBorder="1" applyAlignment="1" applyProtection="1">
      <alignment horizontal="center" vertical="center"/>
      <protection locked="0"/>
    </xf>
    <xf numFmtId="0" fontId="32" fillId="17" borderId="3" xfId="0" applyFont="1" applyFill="1" applyBorder="1" applyAlignment="1" applyProtection="1">
      <alignment vertical="center" wrapText="1"/>
      <protection locked="0"/>
    </xf>
    <xf numFmtId="0" fontId="32" fillId="17" borderId="3" xfId="0" applyFont="1" applyFill="1" applyBorder="1" applyAlignment="1">
      <alignment horizontal="center" vertical="center" wrapText="1"/>
    </xf>
    <xf numFmtId="165" fontId="32" fillId="17" borderId="3" xfId="1" applyNumberFormat="1" applyFont="1" applyFill="1" applyBorder="1" applyAlignment="1">
      <alignment vertical="center"/>
    </xf>
  </cellXfs>
  <cellStyles count="288">
    <cellStyle name="Comma" xfId="1" builtinId="3"/>
    <cellStyle name="Comma [0] 2" xfId="267"/>
    <cellStyle name="Comma 10" xfId="5"/>
    <cellStyle name="Comma 10 10" xfId="286"/>
    <cellStyle name="Comma 10 2" xfId="13"/>
    <cellStyle name="Comma 10 2 2" xfId="28"/>
    <cellStyle name="Comma 10 4" xfId="14"/>
    <cellStyle name="Comma 101 8" xfId="72"/>
    <cellStyle name="Comma 101 8 2" xfId="82"/>
    <cellStyle name="Comma 101 8 2 2" xfId="107"/>
    <cellStyle name="Comma 101 8 2 2 2" xfId="157"/>
    <cellStyle name="Comma 101 8 2 2 2 2" xfId="257"/>
    <cellStyle name="Comma 101 8 2 2 3" xfId="207"/>
    <cellStyle name="Comma 101 8 2 3" xfId="132"/>
    <cellStyle name="Comma 101 8 2 3 2" xfId="232"/>
    <cellStyle name="Comma 101 8 2 4" xfId="182"/>
    <cellStyle name="Comma 101 8 3" xfId="100"/>
    <cellStyle name="Comma 101 8 3 2" xfId="150"/>
    <cellStyle name="Comma 101 8 3 2 2" xfId="250"/>
    <cellStyle name="Comma 101 8 3 3" xfId="200"/>
    <cellStyle name="Comma 101 8 4" xfId="125"/>
    <cellStyle name="Comma 101 8 4 2" xfId="225"/>
    <cellStyle name="Comma 101 8 5" xfId="175"/>
    <cellStyle name="Comma 11 10 15" xfId="69"/>
    <cellStyle name="Comma 11 10 15 2" xfId="80"/>
    <cellStyle name="Comma 11 10 15 2 2" xfId="105"/>
    <cellStyle name="Comma 11 10 15 2 2 2" xfId="155"/>
    <cellStyle name="Comma 11 10 15 2 2 2 2" xfId="255"/>
    <cellStyle name="Comma 11 10 15 2 2 3" xfId="205"/>
    <cellStyle name="Comma 11 10 15 2 3" xfId="130"/>
    <cellStyle name="Comma 11 10 15 2 3 2" xfId="230"/>
    <cellStyle name="Comma 11 10 15 2 4" xfId="180"/>
    <cellStyle name="Comma 11 10 15 3" xfId="98"/>
    <cellStyle name="Comma 11 10 15 3 2" xfId="148"/>
    <cellStyle name="Comma 11 10 15 3 2 2" xfId="248"/>
    <cellStyle name="Comma 11 10 15 3 3" xfId="198"/>
    <cellStyle name="Comma 11 10 15 4" xfId="123"/>
    <cellStyle name="Comma 11 10 15 4 2" xfId="223"/>
    <cellStyle name="Comma 11 10 15 5" xfId="173"/>
    <cellStyle name="Comma 11 2 2" xfId="62"/>
    <cellStyle name="Comma 13" xfId="3"/>
    <cellStyle name="Comma 2" xfId="46"/>
    <cellStyle name="Comma 2 10 3 2" xfId="261"/>
    <cellStyle name="Comma 2 2" xfId="10"/>
    <cellStyle name="Comma 2 2 2" xfId="12"/>
    <cellStyle name="Comma 2 2 2 2" xfId="42"/>
    <cellStyle name="Comma 2 25" xfId="57"/>
    <cellStyle name="Comma 2 26 3" xfId="264"/>
    <cellStyle name="Comma 2 3" xfId="52"/>
    <cellStyle name="Comma 2 3 2" xfId="71"/>
    <cellStyle name="Comma 2 3 2 2" xfId="81"/>
    <cellStyle name="Comma 2 3 2 2 2" xfId="106"/>
    <cellStyle name="Comma 2 3 2 2 2 2" xfId="156"/>
    <cellStyle name="Comma 2 3 2 2 2 2 2" xfId="256"/>
    <cellStyle name="Comma 2 3 2 2 2 3" xfId="206"/>
    <cellStyle name="Comma 2 3 2 2 3" xfId="131"/>
    <cellStyle name="Comma 2 3 2 2 3 2" xfId="231"/>
    <cellStyle name="Comma 2 3 2 2 4" xfId="181"/>
    <cellStyle name="Comma 2 3 2 3" xfId="99"/>
    <cellStyle name="Comma 2 3 2 3 2" xfId="149"/>
    <cellStyle name="Comma 2 3 2 3 2 2" xfId="249"/>
    <cellStyle name="Comma 2 3 2 3 3" xfId="199"/>
    <cellStyle name="Comma 2 3 2 4" xfId="124"/>
    <cellStyle name="Comma 2 3 2 4 2" xfId="224"/>
    <cellStyle name="Comma 2 3 2 5" xfId="174"/>
    <cellStyle name="Comma 2 4" xfId="63"/>
    <cellStyle name="Comma 2 5" xfId="284"/>
    <cellStyle name="Comma 3" xfId="6"/>
    <cellStyle name="Comma 3 2" xfId="53"/>
    <cellStyle name="Comma 3 2 2" xfId="9"/>
    <cellStyle name="Comma 3 3" xfId="65"/>
    <cellStyle name="Comma 3 3 2" xfId="54"/>
    <cellStyle name="Comma 3 3 2 2" xfId="78"/>
    <cellStyle name="Comma 3 3 2 2 2" xfId="103"/>
    <cellStyle name="Comma 3 3 2 2 2 2" xfId="153"/>
    <cellStyle name="Comma 3 3 2 2 2 2 2" xfId="253"/>
    <cellStyle name="Comma 3 3 2 2 2 3" xfId="203"/>
    <cellStyle name="Comma 3 3 2 2 3" xfId="128"/>
    <cellStyle name="Comma 3 3 2 2 3 2" xfId="228"/>
    <cellStyle name="Comma 3 3 2 2 4" xfId="178"/>
    <cellStyle name="Comma 3 3 3" xfId="96"/>
    <cellStyle name="Comma 3 3 3 2" xfId="146"/>
    <cellStyle name="Comma 3 3 3 2 2" xfId="246"/>
    <cellStyle name="Comma 3 3 3 3" xfId="196"/>
    <cellStyle name="Comma 3 3 4" xfId="121"/>
    <cellStyle name="Comma 3 3 4 2" xfId="221"/>
    <cellStyle name="Comma 3 3 5" xfId="171"/>
    <cellStyle name="Comma 3 4" xfId="273"/>
    <cellStyle name="Comma 37" xfId="26"/>
    <cellStyle name="Comma 4" xfId="45"/>
    <cellStyle name="Comma 5" xfId="40"/>
    <cellStyle name="Ledger 17 x 11 in" xfId="276"/>
    <cellStyle name="Normal" xfId="0" builtinId="0"/>
    <cellStyle name="Normal 10" xfId="271"/>
    <cellStyle name="Normal 10 3" xfId="274"/>
    <cellStyle name="Normal 11 2" xfId="7"/>
    <cellStyle name="Normal 11 2 2" xfId="51"/>
    <cellStyle name="Normal 161" xfId="260"/>
    <cellStyle name="Normal 2" xfId="11"/>
    <cellStyle name="Normal 2 10" xfId="24"/>
    <cellStyle name="Normal 2 11" xfId="266"/>
    <cellStyle name="Normal 2 15" xfId="272"/>
    <cellStyle name="Normal 2 19" xfId="75"/>
    <cellStyle name="Normal 2 19 2" xfId="41"/>
    <cellStyle name="Normal 2 19 2 2" xfId="83"/>
    <cellStyle name="Normal 2 19 2 2 2" xfId="108"/>
    <cellStyle name="Normal 2 19 2 2 2 2" xfId="158"/>
    <cellStyle name="Normal 2 19 2 2 2 2 2" xfId="258"/>
    <cellStyle name="Normal 2 19 2 2 2 3" xfId="208"/>
    <cellStyle name="Normal 2 19 2 2 3" xfId="133"/>
    <cellStyle name="Normal 2 19 2 2 3 2" xfId="233"/>
    <cellStyle name="Normal 2 19 2 2 4" xfId="183"/>
    <cellStyle name="Normal 2 19 3" xfId="101"/>
    <cellStyle name="Normal 2 19 3 2" xfId="151"/>
    <cellStyle name="Normal 2 19 3 2 2" xfId="251"/>
    <cellStyle name="Normal 2 19 3 3" xfId="201"/>
    <cellStyle name="Normal 2 19 4" xfId="126"/>
    <cellStyle name="Normal 2 19 4 2" xfId="226"/>
    <cellStyle name="Normal 2 19 5" xfId="176"/>
    <cellStyle name="Normal 2 2" xfId="25"/>
    <cellStyle name="Normal 2 2 10" xfId="34"/>
    <cellStyle name="Normal 2 2 10 2 2" xfId="43"/>
    <cellStyle name="Normal 2 2 10 3" xfId="259"/>
    <cellStyle name="Normal 2 2 13" xfId="22"/>
    <cellStyle name="Normal 2 2 13 2" xfId="35"/>
    <cellStyle name="Normal 2 2 14" xfId="32"/>
    <cellStyle name="Normal 2 2 14 2" xfId="94"/>
    <cellStyle name="Normal 2 2 14 2 2" xfId="144"/>
    <cellStyle name="Normal 2 2 14 2 2 2" xfId="244"/>
    <cellStyle name="Normal 2 2 14 2 3" xfId="194"/>
    <cellStyle name="Normal 2 2 14 3" xfId="119"/>
    <cellStyle name="Normal 2 2 14 3 2" xfId="219"/>
    <cellStyle name="Normal 2 2 14 4" xfId="169"/>
    <cellStyle name="Normal 2 2 16" xfId="279"/>
    <cellStyle name="Normal 2 2 2" xfId="263"/>
    <cellStyle name="Normal 2 2 2 19" xfId="269"/>
    <cellStyle name="Normal 2 2 2 19 2" xfId="278"/>
    <cellStyle name="Normal 2 2 2 3" xfId="64"/>
    <cellStyle name="Normal 2 2 2 3 2" xfId="77"/>
    <cellStyle name="Normal 2 2 2 3 2 2" xfId="102"/>
    <cellStyle name="Normal 2 2 2 3 2 2 2" xfId="152"/>
    <cellStyle name="Normal 2 2 2 3 2 2 2 2" xfId="252"/>
    <cellStyle name="Normal 2 2 2 3 2 2 3" xfId="202"/>
    <cellStyle name="Normal 2 2 2 3 2 3" xfId="127"/>
    <cellStyle name="Normal 2 2 2 3 2 3 2" xfId="227"/>
    <cellStyle name="Normal 2 2 2 3 2 4" xfId="177"/>
    <cellStyle name="Normal 2 2 2 3 3" xfId="95"/>
    <cellStyle name="Normal 2 2 2 3 3 2" xfId="145"/>
    <cellStyle name="Normal 2 2 2 3 3 2 2" xfId="245"/>
    <cellStyle name="Normal 2 2 2 3 3 3" xfId="195"/>
    <cellStyle name="Normal 2 2 2 3 4" xfId="120"/>
    <cellStyle name="Normal 2 2 2 3 4 2" xfId="220"/>
    <cellStyle name="Normal 2 2 2 3 5" xfId="170"/>
    <cellStyle name="Normal 2 2 26" xfId="55"/>
    <cellStyle name="Normal 2 2 33" xfId="277"/>
    <cellStyle name="Normal 2 2 6" xfId="47"/>
    <cellStyle name="Normal 2 2 8" xfId="48"/>
    <cellStyle name="Normal 2 3" xfId="39"/>
    <cellStyle name="Normal 2 3 2 2 2" xfId="4"/>
    <cellStyle name="Normal 2 4" xfId="262"/>
    <cellStyle name="Normal 2 5" xfId="281"/>
    <cellStyle name="Normal 2 6 2" xfId="265"/>
    <cellStyle name="Normal 2_Tong muc dau tu" xfId="287"/>
    <cellStyle name="Normal 21" xfId="20"/>
    <cellStyle name="Normal 21 2" xfId="29"/>
    <cellStyle name="Normal 21 2 2" xfId="92"/>
    <cellStyle name="Normal 21 2 2 2" xfId="142"/>
    <cellStyle name="Normal 21 2 2 2 2" xfId="242"/>
    <cellStyle name="Normal 21 2 2 3" xfId="192"/>
    <cellStyle name="Normal 21 2 3" xfId="117"/>
    <cellStyle name="Normal 21 2 3 2" xfId="217"/>
    <cellStyle name="Normal 21 2 4" xfId="167"/>
    <cellStyle name="Normal 21 3" xfId="68"/>
    <cellStyle name="Normal 21 3 2" xfId="79"/>
    <cellStyle name="Normal 21 3 2 2" xfId="104"/>
    <cellStyle name="Normal 21 3 2 2 2" xfId="154"/>
    <cellStyle name="Normal 21 3 2 2 2 2" xfId="254"/>
    <cellStyle name="Normal 21 3 2 2 3" xfId="204"/>
    <cellStyle name="Normal 21 3 2 3" xfId="129"/>
    <cellStyle name="Normal 21 3 2 3 2" xfId="229"/>
    <cellStyle name="Normal 21 3 2 4" xfId="179"/>
    <cellStyle name="Normal 21 3 3" xfId="97"/>
    <cellStyle name="Normal 21 3 3 2" xfId="147"/>
    <cellStyle name="Normal 21 3 3 2 2" xfId="247"/>
    <cellStyle name="Normal 21 3 3 3" xfId="197"/>
    <cellStyle name="Normal 21 3 4" xfId="122"/>
    <cellStyle name="Normal 21 3 4 2" xfId="222"/>
    <cellStyle name="Normal 21 3 5" xfId="172"/>
    <cellStyle name="Normal 21 4" xfId="90"/>
    <cellStyle name="Normal 21 4 2" xfId="140"/>
    <cellStyle name="Normal 21 4 2 2" xfId="240"/>
    <cellStyle name="Normal 21 4 3" xfId="190"/>
    <cellStyle name="Normal 21 5" xfId="115"/>
    <cellStyle name="Normal 21 5 2" xfId="215"/>
    <cellStyle name="Normal 21 6" xfId="165"/>
    <cellStyle name="Normal 278" xfId="282"/>
    <cellStyle name="Normal 3" xfId="8"/>
    <cellStyle name="Normal 3 19" xfId="21"/>
    <cellStyle name="Normal 3 2" xfId="30"/>
    <cellStyle name="Normal 3 2 2" xfId="66"/>
    <cellStyle name="Normal 3 2 2 2" xfId="268"/>
    <cellStyle name="Normal 3 2 3" xfId="93"/>
    <cellStyle name="Normal 3 2 3 2" xfId="143"/>
    <cellStyle name="Normal 3 2 3 2 2" xfId="243"/>
    <cellStyle name="Normal 3 2 3 3" xfId="193"/>
    <cellStyle name="Normal 3 2 4" xfId="118"/>
    <cellStyle name="Normal 3 2 4 2" xfId="218"/>
    <cellStyle name="Normal 3 2 5" xfId="168"/>
    <cellStyle name="Normal 3 3" xfId="50"/>
    <cellStyle name="Normal 3 3 2" xfId="270"/>
    <cellStyle name="Normal 3 4" xfId="84"/>
    <cellStyle name="Normal 3 4 2" xfId="134"/>
    <cellStyle name="Normal 3 4 2 2" xfId="234"/>
    <cellStyle name="Normal 3 4 3" xfId="184"/>
    <cellStyle name="Normal 3 5" xfId="109"/>
    <cellStyle name="Normal 3 5 2" xfId="209"/>
    <cellStyle name="Normal 3 6" xfId="159"/>
    <cellStyle name="Normal 38" xfId="59"/>
    <cellStyle name="Normal 38 2" xfId="61"/>
    <cellStyle name="Normal 39" xfId="76"/>
    <cellStyle name="Normal 4" xfId="23"/>
    <cellStyle name="Normal 4 2" xfId="70"/>
    <cellStyle name="Normal 4 3" xfId="91"/>
    <cellStyle name="Normal 4 3 2" xfId="141"/>
    <cellStyle name="Normal 4 3 2 2" xfId="241"/>
    <cellStyle name="Normal 4 3 3" xfId="191"/>
    <cellStyle name="Normal 4 4" xfId="116"/>
    <cellStyle name="Normal 4 4 2" xfId="216"/>
    <cellStyle name="Normal 4 5" xfId="166"/>
    <cellStyle name="Normal 408" xfId="15"/>
    <cellStyle name="Normal 408 2" xfId="85"/>
    <cellStyle name="Normal 408 2 2" xfId="135"/>
    <cellStyle name="Normal 408 2 2 2" xfId="235"/>
    <cellStyle name="Normal 408 2 3" xfId="185"/>
    <cellStyle name="Normal 408 3" xfId="110"/>
    <cellStyle name="Normal 408 3 2" xfId="210"/>
    <cellStyle name="Normal 408 4" xfId="160"/>
    <cellStyle name="Normal 409 2 3" xfId="38"/>
    <cellStyle name="Normal 41" xfId="31"/>
    <cellStyle name="Normal 41 2" xfId="280"/>
    <cellStyle name="Normal 410" xfId="16"/>
    <cellStyle name="Normal 410 2" xfId="86"/>
    <cellStyle name="Normal 410 2 2" xfId="136"/>
    <cellStyle name="Normal 410 2 2 2" xfId="236"/>
    <cellStyle name="Normal 410 2 3" xfId="186"/>
    <cellStyle name="Normal 410 3" xfId="111"/>
    <cellStyle name="Normal 410 3 2" xfId="211"/>
    <cellStyle name="Normal 410 4" xfId="161"/>
    <cellStyle name="Normal 411" xfId="17"/>
    <cellStyle name="Normal 411 2" xfId="87"/>
    <cellStyle name="Normal 411 2 2" xfId="137"/>
    <cellStyle name="Normal 411 2 2 2" xfId="237"/>
    <cellStyle name="Normal 411 2 3" xfId="187"/>
    <cellStyle name="Normal 411 3" xfId="112"/>
    <cellStyle name="Normal 411 3 2" xfId="212"/>
    <cellStyle name="Normal 411 4" xfId="162"/>
    <cellStyle name="Normal 412" xfId="18"/>
    <cellStyle name="Normal 412 2" xfId="88"/>
    <cellStyle name="Normal 412 2 2" xfId="138"/>
    <cellStyle name="Normal 412 2 2 2" xfId="238"/>
    <cellStyle name="Normal 412 2 3" xfId="188"/>
    <cellStyle name="Normal 412 3" xfId="113"/>
    <cellStyle name="Normal 412 3 2" xfId="213"/>
    <cellStyle name="Normal 412 4" xfId="163"/>
    <cellStyle name="Normal 413" xfId="19"/>
    <cellStyle name="Normal 413 2" xfId="89"/>
    <cellStyle name="Normal 413 2 2" xfId="139"/>
    <cellStyle name="Normal 413 2 2 2" xfId="239"/>
    <cellStyle name="Normal 413 2 3" xfId="189"/>
    <cellStyle name="Normal 413 3" xfId="114"/>
    <cellStyle name="Normal 413 3 2" xfId="214"/>
    <cellStyle name="Normal 413 4" xfId="164"/>
    <cellStyle name="Normal 415" xfId="36"/>
    <cellStyle name="Normal 415 3" xfId="37"/>
    <cellStyle name="Normal 42 2" xfId="56"/>
    <cellStyle name="Normal 42 2 2" xfId="58"/>
    <cellStyle name="Normal 428" xfId="49"/>
    <cellStyle name="Normal 44" xfId="285"/>
    <cellStyle name="Normal 5" xfId="73"/>
    <cellStyle name="Normal 6" xfId="283"/>
    <cellStyle name="Normal 65" xfId="44"/>
    <cellStyle name="Normal 7 3" xfId="74"/>
    <cellStyle name="Normal 8" xfId="33"/>
    <cellStyle name="Normal 9" xfId="275"/>
    <cellStyle name="Normal 96 2" xfId="67"/>
    <cellStyle name="Percent" xfId="2" builtinId="5"/>
    <cellStyle name="Percent 10" xfId="27"/>
    <cellStyle name="Percent 2 4" xfId="60"/>
  </cellStyles>
  <dxfs count="0"/>
  <tableStyles count="0" defaultTableStyle="TableStyleMedium2" defaultPivotStyle="PivotStyleLight16"/>
  <colors>
    <mruColors>
      <color rgb="FFFCE4D6"/>
      <color rgb="FF73DCF1"/>
      <color rgb="FF579BFF"/>
      <color rgb="FF0000FF"/>
      <color rgb="FF88BD67"/>
      <color rgb="FF9FC8E9"/>
      <color rgb="FFFF65D7"/>
      <color rgb="FFE3ABFF"/>
      <color rgb="FFCC66FF"/>
      <color rgb="FFEE00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EE0033"/>
    <outlinePr summaryBelow="0" summaryRight="0"/>
    <pageSetUpPr fitToPage="1"/>
  </sheetPr>
  <dimension ref="A1:S16"/>
  <sheetViews>
    <sheetView zoomScaleNormal="100" workbookViewId="0">
      <pane xSplit="3" ySplit="7" topLeftCell="D8" activePane="bottomRight" state="frozen"/>
      <selection activeCell="AD1" sqref="AD1:AI1048576"/>
      <selection pane="topRight" activeCell="AD1" sqref="AD1:AI1048576"/>
      <selection pane="bottomLeft" activeCell="AD1" sqref="AD1:AI1048576"/>
      <selection pane="bottomRight" activeCell="D38" sqref="D38"/>
    </sheetView>
  </sheetViews>
  <sheetFormatPr defaultColWidth="9.28515625" defaultRowHeight="12.75" outlineLevelRow="1" outlineLevelCol="1" x14ac:dyDescent="0.25"/>
  <cols>
    <col min="1" max="1" width="6.140625" style="368" customWidth="1"/>
    <col min="2" max="2" width="62" style="369" customWidth="1"/>
    <col min="3" max="3" width="6.7109375" style="370" customWidth="1"/>
    <col min="4" max="5" width="16.7109375" style="53" customWidth="1" outlineLevel="1"/>
    <col min="6" max="6" width="11.42578125" style="53" customWidth="1" outlineLevel="1" collapsed="1"/>
    <col min="7" max="7" width="21.5703125" style="53" customWidth="1" outlineLevel="1"/>
    <col min="8" max="8" width="22.42578125" style="53" customWidth="1" outlineLevel="1"/>
    <col min="9" max="9" width="13.140625" style="371" customWidth="1"/>
    <col min="10" max="10" width="6.7109375" style="128" customWidth="1"/>
    <col min="11" max="11" width="7.7109375" style="128" customWidth="1" outlineLevel="1"/>
    <col min="12" max="12" width="4.5703125" style="128" customWidth="1" outlineLevel="1"/>
    <col min="13" max="13" width="12.5703125" style="128" customWidth="1" outlineLevel="1"/>
    <col min="14" max="14" width="10.140625" style="128" customWidth="1" outlineLevel="1"/>
    <col min="15" max="15" width="9.140625" style="124" customWidth="1" outlineLevel="1"/>
    <col min="16" max="16" width="57.140625" style="124" customWidth="1"/>
    <col min="17" max="17" width="16.42578125" style="124" customWidth="1"/>
    <col min="18" max="19" width="9.28515625" style="124" customWidth="1"/>
    <col min="20" max="25" width="9.28515625" style="4" customWidth="1"/>
    <col min="26" max="16384" width="9.28515625" style="4"/>
  </cols>
  <sheetData>
    <row r="1" spans="1:19" ht="39.950000000000003" customHeight="1" x14ac:dyDescent="0.25">
      <c r="A1" s="331" t="s">
        <v>166</v>
      </c>
      <c r="B1" s="331"/>
      <c r="C1" s="331"/>
      <c r="D1" s="331"/>
      <c r="E1" s="331"/>
      <c r="F1" s="331"/>
      <c r="G1" s="331"/>
      <c r="H1" s="331"/>
      <c r="I1" s="331"/>
      <c r="O1" s="128"/>
      <c r="P1" s="332"/>
    </row>
    <row r="2" spans="1:19" s="119" customFormat="1" ht="6.6" customHeight="1" x14ac:dyDescent="0.25">
      <c r="A2" s="333"/>
      <c r="B2" s="333"/>
      <c r="C2" s="334"/>
      <c r="D2" s="335"/>
      <c r="E2" s="335"/>
      <c r="F2" s="335"/>
      <c r="G2" s="335"/>
      <c r="H2" s="335"/>
      <c r="I2" s="336"/>
      <c r="J2" s="337"/>
      <c r="K2" s="337"/>
      <c r="L2" s="337"/>
      <c r="M2" s="337"/>
      <c r="N2" s="337"/>
      <c r="O2" s="338"/>
      <c r="P2" s="339"/>
      <c r="Q2" s="338"/>
      <c r="R2" s="338"/>
      <c r="S2" s="338"/>
    </row>
    <row r="3" spans="1:19" s="120" customFormat="1" x14ac:dyDescent="0.25">
      <c r="A3" s="340"/>
      <c r="B3" s="340"/>
      <c r="C3" s="341"/>
      <c r="D3" s="342"/>
      <c r="E3" s="342"/>
      <c r="F3" s="343"/>
      <c r="G3" s="344" t="s">
        <v>72</v>
      </c>
      <c r="H3" s="344"/>
      <c r="I3" s="345"/>
      <c r="J3" s="346" t="s">
        <v>72</v>
      </c>
      <c r="K3" s="346"/>
      <c r="L3" s="346"/>
      <c r="M3" s="337"/>
      <c r="N3" s="337"/>
      <c r="O3" s="346"/>
      <c r="P3" s="339"/>
      <c r="Q3" s="346"/>
      <c r="R3" s="346"/>
      <c r="S3" s="346"/>
    </row>
    <row r="4" spans="1:19" s="158" customFormat="1" ht="26.25" customHeight="1" x14ac:dyDescent="0.25">
      <c r="A4" s="255" t="s">
        <v>0</v>
      </c>
      <c r="B4" s="255" t="s">
        <v>1</v>
      </c>
      <c r="C4" s="258" t="s">
        <v>2</v>
      </c>
      <c r="D4" s="261" t="s">
        <v>167</v>
      </c>
      <c r="E4" s="262"/>
      <c r="F4" s="265" t="s">
        <v>63</v>
      </c>
      <c r="G4" s="267" t="s">
        <v>96</v>
      </c>
      <c r="H4" s="267"/>
      <c r="I4" s="347" t="s">
        <v>97</v>
      </c>
      <c r="J4" s="348" t="s">
        <v>43</v>
      </c>
      <c r="K4" s="348" t="s">
        <v>44</v>
      </c>
      <c r="L4" s="348" t="s">
        <v>45</v>
      </c>
      <c r="M4" s="349"/>
      <c r="N4" s="349"/>
      <c r="O4" s="349"/>
      <c r="P4" s="339"/>
      <c r="Q4" s="350"/>
      <c r="R4" s="350"/>
      <c r="S4" s="350"/>
    </row>
    <row r="5" spans="1:19" s="158" customFormat="1" ht="13.15" customHeight="1" x14ac:dyDescent="0.25">
      <c r="A5" s="256"/>
      <c r="B5" s="256"/>
      <c r="C5" s="259"/>
      <c r="D5" s="263"/>
      <c r="E5" s="264"/>
      <c r="F5" s="266"/>
      <c r="G5" s="267"/>
      <c r="H5" s="267"/>
      <c r="I5" s="351"/>
      <c r="J5" s="348"/>
      <c r="K5" s="348"/>
      <c r="L5" s="348"/>
      <c r="M5" s="349"/>
      <c r="N5" s="349"/>
      <c r="O5" s="349"/>
      <c r="P5" s="339"/>
      <c r="Q5" s="350"/>
      <c r="R5" s="350"/>
      <c r="S5" s="350"/>
    </row>
    <row r="6" spans="1:19" s="158" customFormat="1" ht="15" x14ac:dyDescent="0.25">
      <c r="A6" s="257"/>
      <c r="B6" s="257"/>
      <c r="C6" s="260"/>
      <c r="D6" s="159">
        <v>2027</v>
      </c>
      <c r="E6" s="159">
        <v>2028</v>
      </c>
      <c r="F6" s="185" t="s">
        <v>3</v>
      </c>
      <c r="G6" s="159">
        <v>2027</v>
      </c>
      <c r="H6" s="159">
        <v>2028</v>
      </c>
      <c r="I6" s="351"/>
      <c r="J6" s="348"/>
      <c r="K6" s="348"/>
      <c r="L6" s="348"/>
      <c r="M6" s="349"/>
      <c r="N6" s="349"/>
      <c r="O6" s="349"/>
      <c r="P6" s="339"/>
      <c r="Q6" s="350"/>
      <c r="R6" s="350"/>
      <c r="S6" s="350"/>
    </row>
    <row r="7" spans="1:19" s="160" customFormat="1" ht="15" outlineLevel="1" x14ac:dyDescent="0.25">
      <c r="A7" s="193"/>
      <c r="B7" s="354"/>
      <c r="C7" s="354">
        <v>6</v>
      </c>
      <c r="D7" s="355"/>
      <c r="E7" s="355"/>
      <c r="F7" s="192">
        <v>7</v>
      </c>
      <c r="G7" s="356">
        <f>SUBTOTAL(9,G8:G10)</f>
        <v>0</v>
      </c>
      <c r="H7" s="356">
        <f>SUBTOTAL(9,H8:H10)</f>
        <v>0</v>
      </c>
      <c r="I7" s="352"/>
      <c r="J7" s="349"/>
      <c r="K7" s="349"/>
      <c r="L7" s="349"/>
      <c r="M7" s="349"/>
      <c r="N7" s="349"/>
      <c r="O7" s="349"/>
      <c r="P7" s="339"/>
      <c r="Q7" s="349"/>
      <c r="R7" s="349"/>
      <c r="S7" s="349"/>
    </row>
    <row r="8" spans="1:19" s="161" customFormat="1" ht="15" x14ac:dyDescent="0.25">
      <c r="A8" s="357"/>
      <c r="B8" s="358" t="s">
        <v>164</v>
      </c>
      <c r="C8" s="357"/>
      <c r="D8" s="353"/>
      <c r="E8" s="353"/>
      <c r="F8" s="353"/>
      <c r="G8" s="197">
        <f>SUBTOTAL(9,G9:G16)</f>
        <v>0</v>
      </c>
      <c r="H8" s="197">
        <f>SUBTOTAL(9,H9:H16)</f>
        <v>0</v>
      </c>
      <c r="I8" s="196"/>
      <c r="J8" s="359"/>
      <c r="K8" s="349"/>
      <c r="L8" s="349"/>
      <c r="M8" s="349"/>
      <c r="N8" s="349"/>
      <c r="O8" s="360"/>
      <c r="P8" s="360"/>
      <c r="Q8" s="360"/>
      <c r="R8" s="360"/>
      <c r="S8" s="360"/>
    </row>
    <row r="9" spans="1:19" s="161" customFormat="1" ht="15" x14ac:dyDescent="0.25">
      <c r="A9" s="195" t="s">
        <v>52</v>
      </c>
      <c r="B9" s="361" t="s">
        <v>165</v>
      </c>
      <c r="C9" s="357"/>
      <c r="D9" s="353"/>
      <c r="E9" s="353"/>
      <c r="F9" s="353"/>
      <c r="G9" s="197">
        <f>SUBTOTAL(9,G10:G15)</f>
        <v>0</v>
      </c>
      <c r="H9" s="197">
        <f>SUBTOTAL(9,H10:H15)</f>
        <v>0</v>
      </c>
      <c r="I9" s="197"/>
      <c r="J9" s="349"/>
      <c r="K9" s="349"/>
      <c r="L9" s="349"/>
      <c r="M9" s="349"/>
      <c r="N9" s="349"/>
      <c r="O9" s="360"/>
      <c r="P9" s="360"/>
      <c r="Q9" s="360"/>
      <c r="R9" s="360"/>
      <c r="S9" s="360"/>
    </row>
    <row r="10" spans="1:19" s="164" customFormat="1" ht="14.25" x14ac:dyDescent="0.25">
      <c r="A10" s="387" t="s">
        <v>11</v>
      </c>
      <c r="B10" s="388" t="s">
        <v>12</v>
      </c>
      <c r="C10" s="389"/>
      <c r="D10" s="390"/>
      <c r="E10" s="390"/>
      <c r="F10" s="390"/>
      <c r="G10" s="390" t="e">
        <f>SUBTOTAL(9,#REF!)</f>
        <v>#REF!</v>
      </c>
      <c r="H10" s="390" t="e">
        <f>SUBTOTAL(9,#REF!)</f>
        <v>#REF!</v>
      </c>
      <c r="I10" s="197"/>
      <c r="J10" s="362"/>
      <c r="K10" s="362"/>
      <c r="L10" s="362"/>
      <c r="M10" s="363"/>
      <c r="N10" s="363"/>
      <c r="O10" s="363"/>
      <c r="P10" s="363"/>
      <c r="Q10" s="363"/>
      <c r="R10" s="363"/>
      <c r="S10" s="363"/>
    </row>
    <row r="11" spans="1:19" ht="14.25" x14ac:dyDescent="0.25">
      <c r="A11" s="382" t="s">
        <v>22</v>
      </c>
      <c r="B11" s="383" t="s">
        <v>13</v>
      </c>
      <c r="C11" s="384"/>
      <c r="D11" s="385"/>
      <c r="E11" s="385"/>
      <c r="F11" s="386"/>
      <c r="G11" s="385" t="e">
        <f>SUBTOTAL(9,#REF!)</f>
        <v>#REF!</v>
      </c>
      <c r="H11" s="385" t="e">
        <f>SUBTOTAL(9,#REF!)</f>
        <v>#REF!</v>
      </c>
      <c r="I11" s="364"/>
      <c r="J11" s="365"/>
      <c r="K11" s="366"/>
      <c r="L11" s="366"/>
    </row>
    <row r="12" spans="1:19" ht="15" x14ac:dyDescent="0.25">
      <c r="A12" s="187" t="s">
        <v>23</v>
      </c>
      <c r="B12" s="188" t="s">
        <v>19</v>
      </c>
      <c r="C12" s="189"/>
      <c r="D12" s="190"/>
      <c r="E12" s="190"/>
      <c r="F12" s="191"/>
      <c r="G12" s="190" t="e">
        <f>SUBTOTAL(9,#REF!)</f>
        <v>#REF!</v>
      </c>
      <c r="H12" s="190" t="e">
        <f>SUBTOTAL(9,#REF!)</f>
        <v>#REF!</v>
      </c>
      <c r="I12" s="198"/>
      <c r="J12" s="194"/>
      <c r="K12" s="367"/>
      <c r="L12" s="367"/>
    </row>
    <row r="13" spans="1:19" ht="15" x14ac:dyDescent="0.25">
      <c r="A13" s="377" t="s">
        <v>24</v>
      </c>
      <c r="B13" s="378" t="s">
        <v>186</v>
      </c>
      <c r="C13" s="379"/>
      <c r="D13" s="380"/>
      <c r="E13" s="380"/>
      <c r="F13" s="381"/>
      <c r="G13" s="380" t="e">
        <f>SUBTOTAL(9,#REF!)</f>
        <v>#REF!</v>
      </c>
      <c r="H13" s="380" t="e">
        <f>SUBTOTAL(9,#REF!)</f>
        <v>#REF!</v>
      </c>
      <c r="I13" s="198"/>
      <c r="J13" s="194"/>
      <c r="K13" s="199"/>
      <c r="L13" s="199"/>
    </row>
    <row r="14" spans="1:19" ht="15" x14ac:dyDescent="0.25">
      <c r="A14" s="200" t="s">
        <v>26</v>
      </c>
      <c r="B14" s="201" t="s">
        <v>16</v>
      </c>
      <c r="C14" s="162"/>
      <c r="D14" s="163"/>
      <c r="E14" s="163"/>
      <c r="F14" s="202"/>
      <c r="G14" s="163" t="e">
        <f>SUBTOTAL(9,#REF!)</f>
        <v>#REF!</v>
      </c>
      <c r="H14" s="163" t="e">
        <f>SUBTOTAL(9,#REF!)</f>
        <v>#REF!</v>
      </c>
      <c r="I14" s="198"/>
      <c r="J14" s="194"/>
      <c r="K14" s="199"/>
      <c r="L14" s="199"/>
    </row>
    <row r="15" spans="1:19" ht="15" x14ac:dyDescent="0.25">
      <c r="A15" s="372" t="s">
        <v>26</v>
      </c>
      <c r="B15" s="373" t="s">
        <v>5</v>
      </c>
      <c r="C15" s="374"/>
      <c r="D15" s="375"/>
      <c r="E15" s="375"/>
      <c r="F15" s="376"/>
      <c r="G15" s="375" t="e">
        <f>SUBTOTAL(9,#REF!)</f>
        <v>#REF!</v>
      </c>
      <c r="H15" s="375" t="e">
        <f>SUBTOTAL(9,#REF!)</f>
        <v>#REF!</v>
      </c>
      <c r="I15" s="198"/>
      <c r="J15" s="194"/>
      <c r="K15" s="199"/>
      <c r="L15" s="199"/>
    </row>
    <row r="16" spans="1:19" ht="15" x14ac:dyDescent="0.25">
      <c r="A16" s="392" t="s">
        <v>215</v>
      </c>
      <c r="B16" s="393" t="s">
        <v>216</v>
      </c>
      <c r="C16" s="394"/>
      <c r="D16" s="395"/>
      <c r="E16" s="395"/>
      <c r="F16" s="391"/>
      <c r="G16" s="395" t="e">
        <f>SUBTOTAL(9,#REF!)</f>
        <v>#REF!</v>
      </c>
      <c r="H16" s="395" t="e">
        <f>SUBTOTAL(9,#REF!)</f>
        <v>#REF!</v>
      </c>
      <c r="I16" s="198"/>
      <c r="J16" s="349"/>
      <c r="K16" s="362"/>
      <c r="L16" s="362"/>
    </row>
  </sheetData>
  <autoFilter ref="A7:Q16"/>
  <dataConsolidate/>
  <mergeCells count="11">
    <mergeCell ref="P1:P7"/>
    <mergeCell ref="A2:B3"/>
    <mergeCell ref="I4:I7"/>
    <mergeCell ref="A1:I1"/>
    <mergeCell ref="A4:A6"/>
    <mergeCell ref="B4:B6"/>
    <mergeCell ref="C4:C6"/>
    <mergeCell ref="G3:H3"/>
    <mergeCell ref="D4:E5"/>
    <mergeCell ref="F4:F5"/>
    <mergeCell ref="G4:H5"/>
  </mergeCells>
  <pageMargins left="0.4" right="0" top="0.28000000000000003" bottom="0" header="0.1" footer="0"/>
  <pageSetup paperSize="8" scale="85" fitToHeight="0" orientation="landscape" horizontalDpi="4294967295" verticalDpi="4294967295"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Mã!$D$4:$D$6</xm:f>
          </x14:formula1>
          <xm:sqref>L1:L10</xm:sqref>
        </x14:dataValidation>
        <x14:dataValidation type="list" allowBlank="1" showInputMessage="1" showErrorMessage="1">
          <x14:formula1>
            <xm:f>Mã!$B$4:$B$13</xm:f>
          </x14:formula1>
          <xm:sqref>J1:J10</xm:sqref>
        </x14:dataValidation>
        <x14:dataValidation type="list" allowBlank="1" showInputMessage="1" showErrorMessage="1">
          <x14:formula1>
            <xm:f>Mã!$C$4:$C$33</xm:f>
          </x14:formula1>
          <xm:sqref>K10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0000FF"/>
    <outlinePr summaryBelow="0" summaryRight="0"/>
  </sheetPr>
  <dimension ref="A1:AF34"/>
  <sheetViews>
    <sheetView zoomScale="85" zoomScaleNormal="85" workbookViewId="0">
      <pane xSplit="3" ySplit="4" topLeftCell="D5" activePane="bottomRight" state="frozen"/>
      <selection pane="topRight" activeCell="D1" sqref="D1"/>
      <selection pane="bottomLeft" activeCell="A5" sqref="A5"/>
      <selection pane="bottomRight" activeCell="B45" sqref="B45"/>
    </sheetView>
  </sheetViews>
  <sheetFormatPr defaultColWidth="8.7109375" defaultRowHeight="12.75" outlineLevelRow="1" outlineLevelCol="2" x14ac:dyDescent="0.25"/>
  <cols>
    <col min="1" max="1" width="3.5703125" style="4" bestFit="1" customWidth="1"/>
    <col min="2" max="2" width="26.42578125" style="4" customWidth="1"/>
    <col min="3" max="3" width="9.28515625" style="5" customWidth="1" outlineLevel="1"/>
    <col min="4" max="4" width="12.140625" style="4" customWidth="1" outlineLevel="2"/>
    <col min="5" max="5" width="8" style="4" customWidth="1" outlineLevel="2"/>
    <col min="6" max="6" width="7.7109375" style="4" customWidth="1" outlineLevel="2"/>
    <col min="7" max="7" width="11.28515625" style="4" customWidth="1" outlineLevel="2"/>
    <col min="8" max="8" width="7.85546875" style="4" customWidth="1" outlineLevel="2"/>
    <col min="9" max="10" width="8.85546875" style="4" customWidth="1" outlineLevel="2"/>
    <col min="11" max="11" width="8.28515625" style="4" customWidth="1" outlineLevel="2"/>
    <col min="12" max="12" width="8.42578125" style="10" customWidth="1" outlineLevel="1"/>
    <col min="13" max="13" width="9.7109375" style="4" bestFit="1" customWidth="1" outlineLevel="1"/>
    <col min="14" max="14" width="8.5703125" style="4" customWidth="1" outlineLevel="2"/>
    <col min="15" max="15" width="8.42578125" style="4" customWidth="1" outlineLevel="2"/>
    <col min="16" max="16" width="9.7109375" style="4" customWidth="1" outlineLevel="2"/>
    <col min="17" max="17" width="8" style="4" customWidth="1" outlineLevel="2"/>
    <col min="18" max="18" width="9.28515625" style="4" customWidth="1" outlineLevel="2"/>
    <col min="19" max="19" width="8.85546875" style="4" customWidth="1" outlineLevel="2"/>
    <col min="20" max="20" width="8" style="4" customWidth="1" outlineLevel="2"/>
    <col min="21" max="21" width="7.7109375" style="4" customWidth="1" outlineLevel="2"/>
    <col min="22" max="22" width="7.140625" style="10" customWidth="1" outlineLevel="1"/>
    <col min="23" max="23" width="7.7109375" style="4" customWidth="1" outlineLevel="1"/>
    <col min="24" max="24" width="8.28515625" style="10" customWidth="1"/>
    <col min="25" max="25" width="9" style="4" bestFit="1" customWidth="1"/>
    <col min="26" max="29" width="8.7109375" style="4"/>
    <col min="30" max="30" width="8.7109375" style="5"/>
    <col min="31" max="31" width="4.140625" style="4" bestFit="1" customWidth="1"/>
    <col min="32" max="32" width="4.7109375" style="4" bestFit="1" customWidth="1"/>
    <col min="33" max="16384" width="8.7109375" style="4"/>
  </cols>
  <sheetData>
    <row r="1" spans="1:32" x14ac:dyDescent="0.25">
      <c r="D1" s="42">
        <v>1000000</v>
      </c>
      <c r="H1" s="63"/>
      <c r="W1" s="10"/>
      <c r="Y1" s="10"/>
      <c r="Z1" s="10"/>
      <c r="AA1" s="10"/>
      <c r="AB1" s="10"/>
      <c r="AC1" s="10"/>
    </row>
    <row r="2" spans="1:32" ht="13.15" customHeight="1" x14ac:dyDescent="0.25">
      <c r="A2" s="70" t="s">
        <v>48</v>
      </c>
      <c r="B2" s="8" t="s">
        <v>33</v>
      </c>
      <c r="C2" s="43" t="s">
        <v>82</v>
      </c>
      <c r="D2" s="271" t="s">
        <v>141</v>
      </c>
      <c r="E2" s="272"/>
      <c r="F2" s="272"/>
      <c r="G2" s="272"/>
      <c r="H2" s="272"/>
      <c r="I2" s="272"/>
      <c r="J2" s="272"/>
      <c r="K2" s="272"/>
      <c r="L2" s="273"/>
      <c r="M2" s="268" t="s">
        <v>142</v>
      </c>
      <c r="N2" s="269"/>
      <c r="O2" s="269"/>
      <c r="P2" s="269"/>
      <c r="Q2" s="269"/>
      <c r="R2" s="269"/>
      <c r="S2" s="269"/>
      <c r="T2" s="269"/>
      <c r="U2" s="270"/>
      <c r="V2" s="271" t="s">
        <v>143</v>
      </c>
      <c r="W2" s="272"/>
      <c r="X2" s="272"/>
      <c r="Y2" s="272"/>
      <c r="Z2" s="272"/>
      <c r="AA2" s="272"/>
      <c r="AB2" s="272"/>
      <c r="AC2" s="273"/>
    </row>
    <row r="3" spans="1:32" ht="25.5" x14ac:dyDescent="0.25">
      <c r="A3" s="70"/>
      <c r="B3" s="8" t="s">
        <v>46</v>
      </c>
      <c r="C3" s="41" t="s">
        <v>44</v>
      </c>
      <c r="D3" s="56" t="s">
        <v>7</v>
      </c>
      <c r="E3" s="56" t="s">
        <v>14</v>
      </c>
      <c r="F3" s="56" t="s">
        <v>19</v>
      </c>
      <c r="G3" s="56" t="s">
        <v>21</v>
      </c>
      <c r="H3" s="56" t="s">
        <v>17</v>
      </c>
      <c r="I3" s="56" t="s">
        <v>6</v>
      </c>
      <c r="J3" s="56" t="s">
        <v>9</v>
      </c>
      <c r="K3" s="57" t="s">
        <v>41</v>
      </c>
      <c r="L3" s="56" t="s">
        <v>42</v>
      </c>
      <c r="M3" s="58" t="s">
        <v>7</v>
      </c>
      <c r="N3" s="58" t="s">
        <v>14</v>
      </c>
      <c r="O3" s="58" t="s">
        <v>19</v>
      </c>
      <c r="P3" s="58" t="s">
        <v>21</v>
      </c>
      <c r="Q3" s="58" t="s">
        <v>17</v>
      </c>
      <c r="R3" s="58" t="s">
        <v>6</v>
      </c>
      <c r="S3" s="58" t="s">
        <v>9</v>
      </c>
      <c r="T3" s="59" t="s">
        <v>41</v>
      </c>
      <c r="U3" s="58" t="s">
        <v>42</v>
      </c>
      <c r="V3" s="56" t="s">
        <v>7</v>
      </c>
      <c r="W3" s="56" t="s">
        <v>14</v>
      </c>
      <c r="X3" s="56" t="s">
        <v>19</v>
      </c>
      <c r="Y3" s="56" t="s">
        <v>213</v>
      </c>
      <c r="Z3" s="56" t="s">
        <v>17</v>
      </c>
      <c r="AA3" s="56" t="s">
        <v>6</v>
      </c>
      <c r="AB3" s="57" t="s">
        <v>41</v>
      </c>
      <c r="AC3" s="56" t="s">
        <v>42</v>
      </c>
    </row>
    <row r="4" spans="1:32" s="36" customFormat="1" outlineLevel="1" x14ac:dyDescent="0.25">
      <c r="A4" s="80" t="s">
        <v>49</v>
      </c>
      <c r="B4" s="80" t="s">
        <v>41</v>
      </c>
      <c r="C4" s="18"/>
      <c r="D4" s="181">
        <f t="shared" ref="D4:J4" si="0">SUBTOTAL(9,D6:D33)</f>
        <v>0</v>
      </c>
      <c r="E4" s="181">
        <f t="shared" si="0"/>
        <v>0</v>
      </c>
      <c r="F4" s="165">
        <f t="shared" si="0"/>
        <v>0</v>
      </c>
      <c r="G4" s="181">
        <f>SUBTOTAL(9,G6:G34)</f>
        <v>0</v>
      </c>
      <c r="H4" s="165">
        <f t="shared" si="0"/>
        <v>0</v>
      </c>
      <c r="I4" s="181">
        <f t="shared" si="0"/>
        <v>0</v>
      </c>
      <c r="J4" s="181">
        <f t="shared" si="0"/>
        <v>0</v>
      </c>
      <c r="K4" s="181">
        <f>SUBTOTAL(9,K6:K34)</f>
        <v>0</v>
      </c>
      <c r="L4" s="105"/>
      <c r="M4" s="181">
        <f t="shared" ref="M4:T4" si="1">SUBTOTAL(9,M6:M33)</f>
        <v>0</v>
      </c>
      <c r="N4" s="181">
        <f t="shared" si="1"/>
        <v>0</v>
      </c>
      <c r="O4" s="165">
        <f t="shared" si="1"/>
        <v>0</v>
      </c>
      <c r="P4" s="181">
        <f>SUBTOTAL(9,P6:P34)</f>
        <v>0</v>
      </c>
      <c r="Q4" s="165">
        <f t="shared" si="1"/>
        <v>0</v>
      </c>
      <c r="R4" s="181">
        <f t="shared" si="1"/>
        <v>0</v>
      </c>
      <c r="S4" s="181">
        <f t="shared" si="1"/>
        <v>0</v>
      </c>
      <c r="T4" s="182">
        <f t="shared" si="1"/>
        <v>0</v>
      </c>
      <c r="U4" s="172"/>
      <c r="V4" s="79">
        <f t="shared" ref="V4:AB4" si="2">SUBTOTAL(9,V6:V33)</f>
        <v>0</v>
      </c>
      <c r="W4" s="79">
        <f t="shared" si="2"/>
        <v>0</v>
      </c>
      <c r="X4" s="79">
        <f t="shared" si="2"/>
        <v>0</v>
      </c>
      <c r="Y4" s="79">
        <f t="shared" si="2"/>
        <v>0</v>
      </c>
      <c r="Z4" s="79">
        <f t="shared" si="2"/>
        <v>0</v>
      </c>
      <c r="AA4" s="79">
        <f t="shared" si="2"/>
        <v>0</v>
      </c>
      <c r="AB4" s="79">
        <f t="shared" si="2"/>
        <v>0</v>
      </c>
      <c r="AC4" s="92" t="e">
        <f>AB4/$AB$4</f>
        <v>#DIV/0!</v>
      </c>
      <c r="AD4" s="49"/>
    </row>
    <row r="5" spans="1:32" s="51" customFormat="1" ht="13.5" outlineLevel="1" x14ac:dyDescent="0.25">
      <c r="A5" s="81"/>
      <c r="B5" s="81" t="s">
        <v>90</v>
      </c>
      <c r="C5" s="82"/>
      <c r="D5" s="178" t="e">
        <f t="shared" ref="D5:K5" si="3">D4/$K$4</f>
        <v>#DIV/0!</v>
      </c>
      <c r="E5" s="178" t="e">
        <f t="shared" si="3"/>
        <v>#DIV/0!</v>
      </c>
      <c r="F5" s="178" t="e">
        <f t="shared" si="3"/>
        <v>#DIV/0!</v>
      </c>
      <c r="G5" s="178" t="e">
        <f t="shared" si="3"/>
        <v>#DIV/0!</v>
      </c>
      <c r="H5" s="178" t="e">
        <f t="shared" si="3"/>
        <v>#DIV/0!</v>
      </c>
      <c r="I5" s="178" t="e">
        <f t="shared" si="3"/>
        <v>#DIV/0!</v>
      </c>
      <c r="J5" s="178" t="e">
        <f t="shared" si="3"/>
        <v>#DIV/0!</v>
      </c>
      <c r="K5" s="178" t="e">
        <f t="shared" si="3"/>
        <v>#DIV/0!</v>
      </c>
      <c r="L5" s="106"/>
      <c r="M5" s="178" t="e">
        <f t="shared" ref="M5:R5" si="4">M4/$T$4</f>
        <v>#DIV/0!</v>
      </c>
      <c r="N5" s="178" t="e">
        <f t="shared" si="4"/>
        <v>#DIV/0!</v>
      </c>
      <c r="O5" s="178" t="e">
        <f t="shared" si="4"/>
        <v>#DIV/0!</v>
      </c>
      <c r="P5" s="178" t="e">
        <f t="shared" si="4"/>
        <v>#DIV/0!</v>
      </c>
      <c r="Q5" s="178" t="e">
        <f t="shared" si="4"/>
        <v>#DIV/0!</v>
      </c>
      <c r="R5" s="178" t="e">
        <f t="shared" si="4"/>
        <v>#DIV/0!</v>
      </c>
      <c r="S5" s="178" t="e">
        <f>S4/$K$4</f>
        <v>#DIV/0!</v>
      </c>
      <c r="T5" s="178" t="e">
        <f>T4/$T$4</f>
        <v>#DIV/0!</v>
      </c>
      <c r="U5" s="173"/>
      <c r="V5" s="83" t="e">
        <f t="shared" ref="V5:AB5" si="5">V4/$AB$4</f>
        <v>#DIV/0!</v>
      </c>
      <c r="W5" s="93" t="e">
        <f t="shared" si="5"/>
        <v>#DIV/0!</v>
      </c>
      <c r="X5" s="83" t="e">
        <f t="shared" si="5"/>
        <v>#DIV/0!</v>
      </c>
      <c r="Y5" s="93" t="e">
        <f t="shared" si="5"/>
        <v>#DIV/0!</v>
      </c>
      <c r="Z5" s="83" t="e">
        <f t="shared" si="5"/>
        <v>#DIV/0!</v>
      </c>
      <c r="AA5" s="83" t="e">
        <f t="shared" si="5"/>
        <v>#DIV/0!</v>
      </c>
      <c r="AB5" s="83" t="e">
        <f t="shared" si="5"/>
        <v>#DIV/0!</v>
      </c>
      <c r="AC5" s="83"/>
      <c r="AD5" s="50"/>
    </row>
    <row r="6" spans="1:32" ht="25.5" outlineLevel="1" x14ac:dyDescent="0.25">
      <c r="A6" s="58" t="s">
        <v>4</v>
      </c>
      <c r="B6" s="104" t="s">
        <v>107</v>
      </c>
      <c r="C6" s="88"/>
      <c r="D6" s="166">
        <f>SUBTOTAL(9,D7:D10)</f>
        <v>0</v>
      </c>
      <c r="E6" s="166">
        <f t="shared" ref="E6:K6" si="6">SUBTOTAL(9,E7:E10)</f>
        <v>0</v>
      </c>
      <c r="F6" s="166">
        <f t="shared" si="6"/>
        <v>0</v>
      </c>
      <c r="G6" s="166">
        <f t="shared" si="6"/>
        <v>0</v>
      </c>
      <c r="H6" s="166">
        <f t="shared" si="6"/>
        <v>0</v>
      </c>
      <c r="I6" s="166">
        <f t="shared" si="6"/>
        <v>0</v>
      </c>
      <c r="J6" s="166">
        <f t="shared" ref="J6" si="7">SUBTOTAL(9,J7:J10)</f>
        <v>0</v>
      </c>
      <c r="K6" s="180">
        <f t="shared" si="6"/>
        <v>0</v>
      </c>
      <c r="L6" s="107" t="e">
        <f>K6/$K$4</f>
        <v>#DIV/0!</v>
      </c>
      <c r="M6" s="166">
        <f>SUBTOTAL(9,M7:M10)</f>
        <v>0</v>
      </c>
      <c r="N6" s="166">
        <f t="shared" ref="N6:T6" si="8">SUBTOTAL(9,N7:N10)</f>
        <v>0</v>
      </c>
      <c r="O6" s="166">
        <f t="shared" si="8"/>
        <v>0</v>
      </c>
      <c r="P6" s="166">
        <f t="shared" si="8"/>
        <v>0</v>
      </c>
      <c r="Q6" s="166">
        <f t="shared" si="8"/>
        <v>0</v>
      </c>
      <c r="R6" s="166">
        <f t="shared" si="8"/>
        <v>0</v>
      </c>
      <c r="S6" s="166">
        <f t="shared" si="8"/>
        <v>0</v>
      </c>
      <c r="T6" s="166">
        <f t="shared" si="8"/>
        <v>0</v>
      </c>
      <c r="U6" s="107" t="e">
        <f>T6/$T$4</f>
        <v>#DIV/0!</v>
      </c>
      <c r="V6" s="67">
        <f t="shared" ref="V6:AA6" si="9">SUBTOTAL(9,V7:V9)</f>
        <v>0</v>
      </c>
      <c r="W6" s="67">
        <f t="shared" si="9"/>
        <v>0</v>
      </c>
      <c r="X6" s="67">
        <f t="shared" si="9"/>
        <v>0</v>
      </c>
      <c r="Y6" s="67">
        <f t="shared" si="9"/>
        <v>0</v>
      </c>
      <c r="Z6" s="67">
        <f t="shared" si="9"/>
        <v>0</v>
      </c>
      <c r="AA6" s="67">
        <f t="shared" si="9"/>
        <v>0</v>
      </c>
      <c r="AB6" s="67">
        <f>SUBTOTAL(9,AB7:AB10)</f>
        <v>0</v>
      </c>
      <c r="AC6" s="91" t="e">
        <f t="shared" ref="AC6:AC33" si="10">AB6/$AB$4</f>
        <v>#DIV/0!</v>
      </c>
      <c r="AD6" s="117"/>
    </row>
    <row r="7" spans="1:32" outlineLevel="1" x14ac:dyDescent="0.25">
      <c r="A7" s="44">
        <v>1</v>
      </c>
      <c r="B7" s="74" t="s">
        <v>54</v>
      </c>
      <c r="C7" s="44" t="s">
        <v>47</v>
      </c>
      <c r="D7" s="167">
        <f>SUMIFS('PL1.1 ML2027-2028'!$G:$G,'PL1.1 ML2027-2028'!$J:$J,'TH theo DV'!$D$3,'PL1.1 ML2027-2028'!$K:$K,'TH theo DV'!C7)/$D$1</f>
        <v>0</v>
      </c>
      <c r="E7" s="167">
        <f>SUMIFS('PL1.1 ML2027-2028'!$G:$G,'PL1.1 ML2027-2028'!$J:$J,'TH theo DV'!$E$3,'PL1.1 ML2027-2028'!$K:$K,'TH theo DV'!C7)/$D$1</f>
        <v>0</v>
      </c>
      <c r="F7" s="167">
        <f>SUMIFS('PL1.1 ML2027-2028'!$G:$G,'PL1.1 ML2027-2028'!$J:$J,'TH theo DV'!$F$3,'PL1.1 ML2027-2028'!$K:$K,'TH theo DV'!C7)/$D$1</f>
        <v>0</v>
      </c>
      <c r="G7" s="167">
        <f>SUMIFS('PL1.1 ML2027-2028'!$G:$G,'PL1.1 ML2027-2028'!$J:$J,'TH theo DV'!$G$3,'PL1.1 ML2027-2028'!$K:$K,'TH theo DV'!C7)/$D$1</f>
        <v>0</v>
      </c>
      <c r="H7" s="167">
        <f>SUMIFS('PL1.1 ML2027-2028'!$G:$G,'PL1.1 ML2027-2028'!$J:$J,'TH theo DV'!$H$3,'PL1.1 ML2027-2028'!$K:$K,'TH theo DV'!C7)/$D$1</f>
        <v>0</v>
      </c>
      <c r="I7" s="167">
        <f>SUMIFS('PL1.1 ML2027-2028'!$G:$G,'PL1.1 ML2027-2028'!$J:$J,'TH theo DV'!$I$3,'PL1.1 ML2027-2028'!$K:$K,'TH theo DV'!C7)/$D$1</f>
        <v>0</v>
      </c>
      <c r="J7" s="167">
        <f>SUMIFS('PL1.1 ML2027-2028'!$G:$G,'PL1.1 ML2027-2028'!$J:$J,'TH theo DV'!J$3,'PL1.1 ML2027-2028'!$K:$K,'TH theo DV'!$C7)/$D$1</f>
        <v>0</v>
      </c>
      <c r="K7" s="179">
        <f>SUM(D7:J7)</f>
        <v>0</v>
      </c>
      <c r="L7" s="103" t="e">
        <f>K7/$K$4</f>
        <v>#DIV/0!</v>
      </c>
      <c r="M7" s="167">
        <f>SUMIFS('PL1.1 ML2027-2028'!$H:$H,'PL1.1 ML2027-2028'!$J:$J,'TH theo DV'!M$3,'PL1.1 ML2027-2028'!$K:$K,'TH theo DV'!$C7)/$D$1</f>
        <v>0</v>
      </c>
      <c r="N7" s="167">
        <f>SUMIFS('PL1.1 ML2027-2028'!$H:$H,'PL1.1 ML2027-2028'!$J:$J,'TH theo DV'!N$3,'PL1.1 ML2027-2028'!$K:$K,'TH theo DV'!$C7)/$D$1</f>
        <v>0</v>
      </c>
      <c r="O7" s="167">
        <f>SUMIFS('PL1.1 ML2027-2028'!$H:$H,'PL1.1 ML2027-2028'!$J:$J,'TH theo DV'!O$3,'PL1.1 ML2027-2028'!$K:$K,'TH theo DV'!$C7)/$D$1</f>
        <v>0</v>
      </c>
      <c r="P7" s="167">
        <f>SUMIFS('PL1.1 ML2027-2028'!$H:$H,'PL1.1 ML2027-2028'!$J:$J,'TH theo DV'!P$3,'PL1.1 ML2027-2028'!$K:$K,'TH theo DV'!$C7)/$D$1</f>
        <v>0</v>
      </c>
      <c r="Q7" s="167">
        <f>SUMIFS('PL1.1 ML2027-2028'!$H:$H,'PL1.1 ML2027-2028'!$J:$J,'TH theo DV'!Q$3,'PL1.1 ML2027-2028'!$K:$K,'TH theo DV'!$C7)/$D$1</f>
        <v>0</v>
      </c>
      <c r="R7" s="167">
        <f>SUMIFS('PL1.1 ML2027-2028'!$H:$H,'PL1.1 ML2027-2028'!$J:$J,'TH theo DV'!R$3,'PL1.1 ML2027-2028'!$K:$K,'TH theo DV'!$C7)/$D$1</f>
        <v>0</v>
      </c>
      <c r="S7" s="167">
        <f>SUMIFS('PL1.1 ML2027-2028'!$H:$H,'PL1.1 ML2027-2028'!$J:$J,'TH theo DV'!S$3,'PL1.1 ML2027-2028'!$K:$K,'TH theo DV'!$C7)/$D$1</f>
        <v>0</v>
      </c>
      <c r="T7" s="170">
        <f t="shared" ref="T7:T10" si="11">SUM(M7:S7)</f>
        <v>0</v>
      </c>
      <c r="U7" s="174"/>
      <c r="V7" s="66">
        <f t="shared" ref="V7:AA10" si="12">D7+M7</f>
        <v>0</v>
      </c>
      <c r="W7" s="66">
        <f t="shared" si="12"/>
        <v>0</v>
      </c>
      <c r="X7" s="66">
        <f t="shared" si="12"/>
        <v>0</v>
      </c>
      <c r="Y7" s="66">
        <f t="shared" si="12"/>
        <v>0</v>
      </c>
      <c r="Z7" s="66">
        <f t="shared" si="12"/>
        <v>0</v>
      </c>
      <c r="AA7" s="66">
        <f t="shared" si="12"/>
        <v>0</v>
      </c>
      <c r="AB7" s="65">
        <f>SUM(V7:AA7)</f>
        <v>0</v>
      </c>
      <c r="AC7" s="9" t="e">
        <f t="shared" si="10"/>
        <v>#DIV/0!</v>
      </c>
      <c r="AD7" s="116"/>
      <c r="AE7" s="95"/>
      <c r="AF7" s="45"/>
    </row>
    <row r="8" spans="1:32" outlineLevel="1" x14ac:dyDescent="0.25">
      <c r="A8" s="44">
        <v>2</v>
      </c>
      <c r="B8" s="74" t="s">
        <v>108</v>
      </c>
      <c r="C8" s="101" t="s">
        <v>108</v>
      </c>
      <c r="D8" s="167">
        <f>SUMIFS('PL1.1 ML2027-2028'!$G:$G,'PL1.1 ML2027-2028'!$J:$J,'TH theo DV'!$D$3,'PL1.1 ML2027-2028'!$K:$K,'TH theo DV'!C8)/$D$1</f>
        <v>0</v>
      </c>
      <c r="E8" s="167">
        <f>SUMIFS('PL1.1 ML2027-2028'!$G:$G,'PL1.1 ML2027-2028'!$J:$J,'TH theo DV'!$E$3,'PL1.1 ML2027-2028'!$K:$K,'TH theo DV'!C8)/$D$1</f>
        <v>0</v>
      </c>
      <c r="F8" s="167">
        <f>SUMIFS('PL1.1 ML2027-2028'!$G:$G,'PL1.1 ML2027-2028'!$J:$J,'TH theo DV'!$F$3,'PL1.1 ML2027-2028'!$K:$K,'TH theo DV'!C8)/$D$1</f>
        <v>0</v>
      </c>
      <c r="G8" s="167">
        <f>SUMIFS('PL1.1 ML2027-2028'!$G:$G,'PL1.1 ML2027-2028'!$J:$J,'TH theo DV'!$G$3,'PL1.1 ML2027-2028'!$K:$K,'TH theo DV'!C8)/$D$1 * 0.43287</f>
        <v>0</v>
      </c>
      <c r="H8" s="167">
        <f>SUMIFS('PL1.1 ML2027-2028'!$G:$G,'PL1.1 ML2027-2028'!$J:$J,'TH theo DV'!$H$3,'PL1.1 ML2027-2028'!$K:$K,'TH theo DV'!C8)/$D$1</f>
        <v>0</v>
      </c>
      <c r="I8" s="167">
        <f>SUMIFS('PL1.1 ML2027-2028'!$G:$G,'PL1.1 ML2027-2028'!$J:$J,'TH theo DV'!$I$3,'PL1.1 ML2027-2028'!$K:$K,'TH theo DV'!C8)/$D$1</f>
        <v>0</v>
      </c>
      <c r="J8" s="167">
        <f>SUMIFS('PL1.1 ML2027-2028'!$G:$G,'PL1.1 ML2027-2028'!$J:$J,'TH theo DV'!J$3,'PL1.1 ML2027-2028'!$K:$K,'TH theo DV'!$C8)/$D$1</f>
        <v>0</v>
      </c>
      <c r="K8" s="168">
        <f>SUM(D8:J8)</f>
        <v>0</v>
      </c>
      <c r="L8" s="103" t="e">
        <f t="shared" ref="L8:L25" si="13">K8/$K$4</f>
        <v>#DIV/0!</v>
      </c>
      <c r="M8" s="167">
        <f>SUMIFS('PL1.1 ML2027-2028'!$H:$H,'PL1.1 ML2027-2028'!$J:$J,'TH theo DV'!M$3,'PL1.1 ML2027-2028'!$K:$K,'TH theo DV'!$C8)/$D$1</f>
        <v>0</v>
      </c>
      <c r="N8" s="167">
        <f>SUMIFS('PL1.1 ML2027-2028'!$H:$H,'PL1.1 ML2027-2028'!$J:$J,'TH theo DV'!N$3,'PL1.1 ML2027-2028'!$K:$K,'TH theo DV'!$C8)/$D$1</f>
        <v>0</v>
      </c>
      <c r="O8" s="167">
        <f>SUMIFS('PL1.1 ML2027-2028'!$H:$H,'PL1.1 ML2027-2028'!$J:$J,'TH theo DV'!O$3,'PL1.1 ML2027-2028'!$K:$K,'TH theo DV'!$C8)/$D$1</f>
        <v>0</v>
      </c>
      <c r="P8" s="167">
        <f>SUMIFS('PL1.1 ML2027-2028'!$H:$H,'PL1.1 ML2027-2028'!$J:$J,'TH theo DV'!P$3,'PL1.1 ML2027-2028'!$K:$K,'TH theo DV'!$C8)/$D$1</f>
        <v>0</v>
      </c>
      <c r="Q8" s="167">
        <f>SUMIFS('PL1.1 ML2027-2028'!$H:$H,'PL1.1 ML2027-2028'!$J:$J,'TH theo DV'!Q$3,'PL1.1 ML2027-2028'!$K:$K,'TH theo DV'!$C8)/$D$1</f>
        <v>0</v>
      </c>
      <c r="R8" s="167">
        <f>SUMIFS('PL1.1 ML2027-2028'!$H:$H,'PL1.1 ML2027-2028'!$J:$J,'TH theo DV'!R$3,'PL1.1 ML2027-2028'!$K:$K,'TH theo DV'!$C8)/$D$1</f>
        <v>0</v>
      </c>
      <c r="S8" s="167">
        <f>SUMIFS('PL1.1 ML2027-2028'!$H:$H,'PL1.1 ML2027-2028'!$J:$J,'TH theo DV'!S$3,'PL1.1 ML2027-2028'!$K:$K,'TH theo DV'!$C8)/$D$1</f>
        <v>0</v>
      </c>
      <c r="T8" s="170">
        <f t="shared" si="11"/>
        <v>0</v>
      </c>
      <c r="U8" s="174"/>
      <c r="V8" s="66">
        <f t="shared" si="12"/>
        <v>0</v>
      </c>
      <c r="W8" s="66">
        <f t="shared" si="12"/>
        <v>0</v>
      </c>
      <c r="X8" s="66">
        <f t="shared" si="12"/>
        <v>0</v>
      </c>
      <c r="Y8" s="66">
        <f t="shared" si="12"/>
        <v>0</v>
      </c>
      <c r="Z8" s="66">
        <f t="shared" si="12"/>
        <v>0</v>
      </c>
      <c r="AA8" s="66">
        <f t="shared" si="12"/>
        <v>0</v>
      </c>
      <c r="AB8" s="65">
        <f>SUM(V8:AA8)</f>
        <v>0</v>
      </c>
      <c r="AC8" s="9" t="e">
        <f t="shared" si="10"/>
        <v>#DIV/0!</v>
      </c>
    </row>
    <row r="9" spans="1:32" outlineLevel="1" x14ac:dyDescent="0.25">
      <c r="A9" s="44">
        <v>3</v>
      </c>
      <c r="B9" s="74" t="s">
        <v>109</v>
      </c>
      <c r="C9" s="71" t="s">
        <v>109</v>
      </c>
      <c r="D9" s="167">
        <f>SUMIFS('PL1.1 ML2027-2028'!$G:$G,'PL1.1 ML2027-2028'!$J:$J,'TH theo DV'!$D$3,'PL1.1 ML2027-2028'!$K:$K,'TH theo DV'!C9)/$D$1</f>
        <v>0</v>
      </c>
      <c r="E9" s="167">
        <f>SUMIFS('PL1.1 ML2027-2028'!$G:$G,'PL1.1 ML2027-2028'!$J:$J,'TH theo DV'!$E$3,'PL1.1 ML2027-2028'!$K:$K,'TH theo DV'!C9)/$D$1</f>
        <v>0</v>
      </c>
      <c r="F9" s="167">
        <f>SUMIFS('PL1.1 ML2027-2028'!$G:$G,'PL1.1 ML2027-2028'!$J:$J,'TH theo DV'!$F$3,'PL1.1 ML2027-2028'!$K:$K,'TH theo DV'!C9)/$D$1</f>
        <v>0</v>
      </c>
      <c r="G9" s="167">
        <f>SUMIFS('PL1.1 ML2027-2028'!$G:$G,'PL1.1 ML2027-2028'!$J:$J,'TH theo DV'!G$3,'PL1.1 ML2027-2028'!$K:$K,'TH theo DV'!$C9)/$D$1</f>
        <v>0</v>
      </c>
      <c r="H9" s="167">
        <f>SUMIFS('PL1.1 ML2027-2028'!$G:$G,'PL1.1 ML2027-2028'!$J:$J,'TH theo DV'!$H$3,'PL1.1 ML2027-2028'!$K:$K,'TH theo DV'!C9)/$D$1</f>
        <v>0</v>
      </c>
      <c r="I9" s="167">
        <f>SUMIFS('PL1.1 ML2027-2028'!$G:$G,'PL1.1 ML2027-2028'!$J:$J,'TH theo DV'!$I$3,'PL1.1 ML2027-2028'!$K:$K,'TH theo DV'!C9)/$D$1</f>
        <v>0</v>
      </c>
      <c r="J9" s="167">
        <f>SUMIFS('PL1.1 ML2027-2028'!$G:$G,'PL1.1 ML2027-2028'!$J:$J,'TH theo DV'!J$3,'PL1.1 ML2027-2028'!$K:$K,'TH theo DV'!$C9)/$D$1</f>
        <v>0</v>
      </c>
      <c r="K9" s="168">
        <f>SUM(D9:J9)</f>
        <v>0</v>
      </c>
      <c r="L9" s="103" t="e">
        <f t="shared" si="13"/>
        <v>#DIV/0!</v>
      </c>
      <c r="M9" s="167">
        <f>SUMIFS('PL1.1 ML2027-2028'!$H:$H,'PL1.1 ML2027-2028'!$J:$J,'TH theo DV'!M$3,'PL1.1 ML2027-2028'!$K:$K,'TH theo DV'!$C9)/$D$1</f>
        <v>0</v>
      </c>
      <c r="N9" s="167">
        <f>SUMIFS('PL1.1 ML2027-2028'!$H:$H,'PL1.1 ML2027-2028'!$J:$J,'TH theo DV'!N$3,'PL1.1 ML2027-2028'!$K:$K,'TH theo DV'!$C9)/$D$1</f>
        <v>0</v>
      </c>
      <c r="O9" s="167">
        <f>SUMIFS('PL1.1 ML2027-2028'!$H:$H,'PL1.1 ML2027-2028'!$J:$J,'TH theo DV'!O$3,'PL1.1 ML2027-2028'!$K:$K,'TH theo DV'!$C9)/$D$1</f>
        <v>0</v>
      </c>
      <c r="P9" s="167">
        <f>SUMIFS('PL1.1 ML2027-2028'!$H:$H,'PL1.1 ML2027-2028'!$J:$J,'TH theo DV'!P$3,'PL1.1 ML2027-2028'!$K:$K,'TH theo DV'!$C9)/$D$1</f>
        <v>0</v>
      </c>
      <c r="Q9" s="167">
        <f>SUMIFS('PL1.1 ML2027-2028'!$H:$H,'PL1.1 ML2027-2028'!$J:$J,'TH theo DV'!Q$3,'PL1.1 ML2027-2028'!$K:$K,'TH theo DV'!$C9)/$D$1</f>
        <v>0</v>
      </c>
      <c r="R9" s="167">
        <f>SUMIFS('PL1.1 ML2027-2028'!$H:$H,'PL1.1 ML2027-2028'!$J:$J,'TH theo DV'!R$3,'PL1.1 ML2027-2028'!$K:$K,'TH theo DV'!$C9)/$D$1</f>
        <v>0</v>
      </c>
      <c r="S9" s="167">
        <f>SUMIFS('PL1.1 ML2027-2028'!$H:$H,'PL1.1 ML2027-2028'!$J:$J,'TH theo DV'!S$3,'PL1.1 ML2027-2028'!$K:$K,'TH theo DV'!$C9)/$D$1</f>
        <v>0</v>
      </c>
      <c r="T9" s="170">
        <f t="shared" si="11"/>
        <v>0</v>
      </c>
      <c r="U9" s="174"/>
      <c r="V9" s="66">
        <f t="shared" si="12"/>
        <v>0</v>
      </c>
      <c r="W9" s="66">
        <f t="shared" si="12"/>
        <v>0</v>
      </c>
      <c r="X9" s="66">
        <f t="shared" si="12"/>
        <v>0</v>
      </c>
      <c r="Y9" s="66">
        <f t="shared" si="12"/>
        <v>0</v>
      </c>
      <c r="Z9" s="66">
        <f t="shared" si="12"/>
        <v>0</v>
      </c>
      <c r="AA9" s="66">
        <f t="shared" si="12"/>
        <v>0</v>
      </c>
      <c r="AB9" s="65">
        <f>SUM(V9:AA9)</f>
        <v>0</v>
      </c>
      <c r="AC9" s="68" t="e">
        <f t="shared" si="10"/>
        <v>#DIV/0!</v>
      </c>
    </row>
    <row r="10" spans="1:32" outlineLevel="1" x14ac:dyDescent="0.25">
      <c r="A10" s="44">
        <v>4</v>
      </c>
      <c r="B10" s="74" t="s">
        <v>105</v>
      </c>
      <c r="C10" s="71" t="s">
        <v>110</v>
      </c>
      <c r="D10" s="167">
        <f>SUMIFS('PL1.1 ML2027-2028'!$G:$G,'PL1.1 ML2027-2028'!$J:$J,'TH theo DV'!$D$3,'PL1.1 ML2027-2028'!$K:$K,'TH theo DV'!C10)/$D$1</f>
        <v>0</v>
      </c>
      <c r="E10" s="167">
        <f>SUMIFS('PL1.1 ML2027-2028'!$G:$G,'PL1.1 ML2027-2028'!$J:$J,'TH theo DV'!$E$3,'PL1.1 ML2027-2028'!$K:$K,'TH theo DV'!C10)/$D$1</f>
        <v>0</v>
      </c>
      <c r="F10" s="167">
        <f>SUMIFS('PL1.1 ML2027-2028'!$G:$G,'PL1.1 ML2027-2028'!$J:$J,'TH theo DV'!$F$3,'PL1.1 ML2027-2028'!$K:$K,'TH theo DV'!C10)/$D$1</f>
        <v>0</v>
      </c>
      <c r="G10" s="167">
        <f>SUMIFS('PL1.1 ML2027-2028'!$G:$G,'PL1.1 ML2027-2028'!$J:$J,'TH theo DV'!$G$3,'PL1.1 ML2027-2028'!$K:$K,'TH theo DV'!C10)/$D$1</f>
        <v>0</v>
      </c>
      <c r="H10" s="167">
        <f>SUMIFS('PL1.1 ML2027-2028'!$G:$G,'PL1.1 ML2027-2028'!$J:$J,'TH theo DV'!$H$3,'PL1.1 ML2027-2028'!$K:$K,'TH theo DV'!C10)/$D$1</f>
        <v>0</v>
      </c>
      <c r="I10" s="167">
        <f>SUMIFS('PL1.1 ML2027-2028'!$G:$G,'PL1.1 ML2027-2028'!$J:$J,'TH theo DV'!$I$3,'PL1.1 ML2027-2028'!$K:$K,'TH theo DV'!C10)/$D$1</f>
        <v>0</v>
      </c>
      <c r="J10" s="167">
        <f>SUMIFS('PL1.1 ML2027-2028'!$G:$G,'PL1.1 ML2027-2028'!$J:$J,'TH theo DV'!J$3,'PL1.1 ML2027-2028'!$K:$K,'TH theo DV'!$C10)/$D$1</f>
        <v>0</v>
      </c>
      <c r="K10" s="168">
        <f>SUM(D10:J10)</f>
        <v>0</v>
      </c>
      <c r="L10" s="103" t="e">
        <f t="shared" si="13"/>
        <v>#DIV/0!</v>
      </c>
      <c r="M10" s="167">
        <f>SUMIFS('PL1.1 ML2027-2028'!$H:$H,'PL1.1 ML2027-2028'!$J:$J,'TH theo DV'!M$3,'PL1.1 ML2027-2028'!$K:$K,'TH theo DV'!$C10)/$D$1</f>
        <v>0</v>
      </c>
      <c r="N10" s="167">
        <f>SUMIFS('PL1.1 ML2027-2028'!$H:$H,'PL1.1 ML2027-2028'!$J:$J,'TH theo DV'!N$3,'PL1.1 ML2027-2028'!$K:$K,'TH theo DV'!$C10)/$D$1</f>
        <v>0</v>
      </c>
      <c r="O10" s="167">
        <f>SUMIFS('PL1.1 ML2027-2028'!$H:$H,'PL1.1 ML2027-2028'!$J:$J,'TH theo DV'!O$3,'PL1.1 ML2027-2028'!$K:$K,'TH theo DV'!$C10)/$D$1</f>
        <v>0</v>
      </c>
      <c r="P10" s="167">
        <f>SUMIFS('PL1.1 ML2027-2028'!$H:$H,'PL1.1 ML2027-2028'!$J:$J,'TH theo DV'!P$3,'PL1.1 ML2027-2028'!$K:$K,'TH theo DV'!$C10)/$D$1</f>
        <v>0</v>
      </c>
      <c r="Q10" s="167">
        <f>SUMIFS('PL1.1 ML2027-2028'!$H:$H,'PL1.1 ML2027-2028'!$J:$J,'TH theo DV'!Q$3,'PL1.1 ML2027-2028'!$K:$K,'TH theo DV'!$C10)/$D$1</f>
        <v>0</v>
      </c>
      <c r="R10" s="167">
        <f>SUMIFS('PL1.1 ML2027-2028'!$H:$H,'PL1.1 ML2027-2028'!$J:$J,'TH theo DV'!R$3,'PL1.1 ML2027-2028'!$K:$K,'TH theo DV'!$C10)/$D$1</f>
        <v>0</v>
      </c>
      <c r="S10" s="167">
        <f>SUMIFS('PL1.1 ML2027-2028'!$H:$H,'PL1.1 ML2027-2028'!$J:$J,'TH theo DV'!S$3,'PL1.1 ML2027-2028'!$K:$K,'TH theo DV'!$C10)/$D$1</f>
        <v>0</v>
      </c>
      <c r="T10" s="170">
        <f t="shared" si="11"/>
        <v>0</v>
      </c>
      <c r="U10" s="174"/>
      <c r="V10" s="66">
        <f t="shared" si="12"/>
        <v>0</v>
      </c>
      <c r="W10" s="66">
        <f t="shared" si="12"/>
        <v>0</v>
      </c>
      <c r="X10" s="66">
        <f t="shared" si="12"/>
        <v>0</v>
      </c>
      <c r="Y10" s="66">
        <f t="shared" si="12"/>
        <v>0</v>
      </c>
      <c r="Z10" s="66">
        <f t="shared" si="12"/>
        <v>0</v>
      </c>
      <c r="AA10" s="66">
        <f t="shared" si="12"/>
        <v>0</v>
      </c>
      <c r="AB10" s="65">
        <f>SUM(V10:AA10)</f>
        <v>0</v>
      </c>
      <c r="AC10" s="9" t="e">
        <f t="shared" si="10"/>
        <v>#DIV/0!</v>
      </c>
    </row>
    <row r="11" spans="1:32" ht="25.5" outlineLevel="1" x14ac:dyDescent="0.25">
      <c r="A11" s="58" t="s">
        <v>10</v>
      </c>
      <c r="B11" s="104" t="s">
        <v>111</v>
      </c>
      <c r="C11" s="89"/>
      <c r="D11" s="169">
        <f>SUBTOTAL(9,D12:D25)</f>
        <v>0</v>
      </c>
      <c r="E11" s="169">
        <f t="shared" ref="E11:F11" si="14">SUBTOTAL(9,E12:E25)</f>
        <v>0</v>
      </c>
      <c r="F11" s="169">
        <f t="shared" si="14"/>
        <v>0</v>
      </c>
      <c r="G11" s="169">
        <f>SUBTOTAL(9,G12:G25)</f>
        <v>0</v>
      </c>
      <c r="H11" s="169">
        <f>SUBTOTAL(9,H12:H28)</f>
        <v>0</v>
      </c>
      <c r="I11" s="169">
        <f>SUBTOTAL(9,I12:I28)</f>
        <v>0</v>
      </c>
      <c r="J11" s="169">
        <f>SUBTOTAL(9,J12:J28)</f>
        <v>0</v>
      </c>
      <c r="K11" s="169">
        <f>SUBTOTAL(9,K12:K28)</f>
        <v>0</v>
      </c>
      <c r="L11" s="107" t="e">
        <f>K11/$K$4</f>
        <v>#DIV/0!</v>
      </c>
      <c r="M11" s="169">
        <f>SUBTOTAL(9,M12:M25)</f>
        <v>0</v>
      </c>
      <c r="N11" s="169">
        <f t="shared" ref="N11:O11" si="15">SUBTOTAL(9,N12:N25)</f>
        <v>0</v>
      </c>
      <c r="O11" s="169">
        <f t="shared" si="15"/>
        <v>0</v>
      </c>
      <c r="P11" s="169">
        <f>SUBTOTAL(9,P12:P25)</f>
        <v>0</v>
      </c>
      <c r="Q11" s="169">
        <f>SUBTOTAL(9,Q12:Q25)</f>
        <v>0</v>
      </c>
      <c r="R11" s="169">
        <f>SUBTOTAL(9,R12:R25)</f>
        <v>0</v>
      </c>
      <c r="S11" s="169">
        <f>SUBTOTAL(9,S12:S25)</f>
        <v>0</v>
      </c>
      <c r="T11" s="169">
        <f>SUBTOTAL(9,T12:T28)</f>
        <v>0</v>
      </c>
      <c r="U11" s="107" t="e">
        <f>T11/$T$4</f>
        <v>#DIV/0!</v>
      </c>
      <c r="V11" s="90">
        <f t="shared" ref="V11:AA11" si="16">SUBTOTAL(9,V12:V32)</f>
        <v>0</v>
      </c>
      <c r="W11" s="90">
        <f t="shared" si="16"/>
        <v>0</v>
      </c>
      <c r="X11" s="90">
        <f t="shared" si="16"/>
        <v>0</v>
      </c>
      <c r="Y11" s="90">
        <f t="shared" si="16"/>
        <v>0</v>
      </c>
      <c r="Z11" s="90">
        <f t="shared" si="16"/>
        <v>0</v>
      </c>
      <c r="AA11" s="90">
        <f t="shared" si="16"/>
        <v>0</v>
      </c>
      <c r="AB11" s="90">
        <f>SUBTOTAL(9,AB12:AB25)</f>
        <v>0</v>
      </c>
      <c r="AC11" s="91" t="e">
        <f t="shared" si="10"/>
        <v>#DIV/0!</v>
      </c>
    </row>
    <row r="12" spans="1:32" s="48" customFormat="1" outlineLevel="1" x14ac:dyDescent="0.25">
      <c r="A12" s="80">
        <v>1</v>
      </c>
      <c r="B12" s="84" t="s">
        <v>173</v>
      </c>
      <c r="C12" s="80"/>
      <c r="D12" s="167">
        <f>SUBTOTAL(9,D13:D14)</f>
        <v>0</v>
      </c>
      <c r="E12" s="167">
        <f>SUBTOTAL(9,E13:E14)</f>
        <v>0</v>
      </c>
      <c r="F12" s="167">
        <f t="shared" ref="F12:I12" si="17">SUBTOTAL(9,F13:F14)</f>
        <v>0</v>
      </c>
      <c r="G12" s="167">
        <f t="shared" si="17"/>
        <v>0</v>
      </c>
      <c r="H12" s="167">
        <f t="shared" si="17"/>
        <v>0</v>
      </c>
      <c r="I12" s="167">
        <f t="shared" si="17"/>
        <v>0</v>
      </c>
      <c r="J12" s="167">
        <f t="shared" ref="J12" si="18">SUBTOTAL(9,J13:J14)</f>
        <v>0</v>
      </c>
      <c r="K12" s="167">
        <f>SUBTOTAL(9,K13:K14)</f>
        <v>0</v>
      </c>
      <c r="L12" s="167" t="e">
        <f t="shared" si="13"/>
        <v>#DIV/0!</v>
      </c>
      <c r="M12" s="165">
        <f>SUBTOTAL(9,M13:M14)</f>
        <v>0</v>
      </c>
      <c r="N12" s="165">
        <f t="shared" ref="N12:S12" si="19">SUBTOTAL(9,N13:N14)</f>
        <v>0</v>
      </c>
      <c r="O12" s="165">
        <f t="shared" si="19"/>
        <v>0</v>
      </c>
      <c r="P12" s="165">
        <f t="shared" si="19"/>
        <v>0</v>
      </c>
      <c r="Q12" s="165">
        <f t="shared" si="19"/>
        <v>0</v>
      </c>
      <c r="R12" s="165">
        <f t="shared" si="19"/>
        <v>0</v>
      </c>
      <c r="S12" s="170">
        <f t="shared" si="19"/>
        <v>0</v>
      </c>
      <c r="T12" s="165">
        <f>SUBTOTAL(9,T13:T14)</f>
        <v>0</v>
      </c>
      <c r="U12" s="175" t="e">
        <f>T12/$T$4</f>
        <v>#DIV/0!</v>
      </c>
      <c r="V12" s="85">
        <f t="shared" ref="V12:AB12" si="20">SUBTOTAL(9,V13:V14)</f>
        <v>0</v>
      </c>
      <c r="W12" s="85">
        <f t="shared" si="20"/>
        <v>0</v>
      </c>
      <c r="X12" s="85">
        <f t="shared" si="20"/>
        <v>0</v>
      </c>
      <c r="Y12" s="85">
        <f t="shared" si="20"/>
        <v>0</v>
      </c>
      <c r="Z12" s="85">
        <f t="shared" si="20"/>
        <v>0</v>
      </c>
      <c r="AA12" s="85">
        <f t="shared" si="20"/>
        <v>0</v>
      </c>
      <c r="AB12" s="85">
        <f t="shared" si="20"/>
        <v>0</v>
      </c>
      <c r="AC12" s="102" t="e">
        <f t="shared" si="10"/>
        <v>#DIV/0!</v>
      </c>
      <c r="AD12" s="37"/>
    </row>
    <row r="13" spans="1:32" s="36" customFormat="1" outlineLevel="1" x14ac:dyDescent="0.25">
      <c r="A13" s="18" t="s">
        <v>8</v>
      </c>
      <c r="B13" s="78" t="s">
        <v>174</v>
      </c>
      <c r="C13" s="18" t="s">
        <v>68</v>
      </c>
      <c r="D13" s="167">
        <f>SUMIFS('PL1.1 ML2027-2028'!$G:$G,'PL1.1 ML2027-2028'!$J:$J,'TH theo DV'!$D$3,'PL1.1 ML2027-2028'!$K:$K,'TH theo DV'!C13)/$D$1</f>
        <v>0</v>
      </c>
      <c r="E13" s="167">
        <f>SUMIFS('PL1.1 ML2027-2028'!$G:$G,'PL1.1 ML2027-2028'!$J:$J,'TH theo DV'!$E$3,'PL1.1 ML2027-2028'!$K:$K,'TH theo DV'!C13)/$D$1</f>
        <v>0</v>
      </c>
      <c r="F13" s="167">
        <f>SUMIFS('PL1.1 ML2027-2028'!$G:$G,'PL1.1 ML2027-2028'!$J:$J,'TH theo DV'!$F$3,'PL1.1 ML2027-2028'!$K:$K,'TH theo DV'!C13)/$D$1</f>
        <v>0</v>
      </c>
      <c r="G13" s="167">
        <f>SUMIFS('PL1.1 ML2027-2028'!$G:$G,'PL1.1 ML2027-2028'!$J:$J,'TH theo DV'!$G$3,'PL1.1 ML2027-2028'!$K:$K,'TH theo DV'!C13)/$D$1</f>
        <v>0</v>
      </c>
      <c r="H13" s="167">
        <f>SUMIFS('PL1.1 ML2027-2028'!$G:$G,'PL1.1 ML2027-2028'!$J:$J,'TH theo DV'!H$3,'PL1.1 ML2027-2028'!$K:$K,'TH theo DV'!$C13)/$D$1</f>
        <v>0</v>
      </c>
      <c r="I13" s="167">
        <f>SUMIFS('PL1.1 ML2027-2028'!$G:$G,'PL1.1 ML2027-2028'!$J:$J,'TH theo DV'!$I$3,'PL1.1 ML2027-2028'!$K:$K,'TH theo DV'!C13)/$D$1</f>
        <v>0</v>
      </c>
      <c r="J13" s="167">
        <f>SUMIFS('PL1.1 ML2027-2028'!$G:$G,'PL1.1 ML2027-2028'!$J:$J,'TH theo DV'!J$3,'PL1.1 ML2027-2028'!$K:$K,'TH theo DV'!$C13)/$D$1</f>
        <v>0</v>
      </c>
      <c r="K13" s="167">
        <f>SUM(D13:J13)</f>
        <v>0</v>
      </c>
      <c r="L13" s="167" t="e">
        <f t="shared" si="13"/>
        <v>#DIV/0!</v>
      </c>
      <c r="M13" s="167">
        <f>SUMIFS('PL1.1 ML2027-2028'!$H:$H,'PL1.1 ML2027-2028'!$J:$J,'TH theo DV'!M$3,'PL1.1 ML2027-2028'!$K:$K,'TH theo DV'!$C13)/$D$1</f>
        <v>0</v>
      </c>
      <c r="N13" s="167">
        <f>SUMIFS('PL1.1 ML2027-2028'!$H:$H,'PL1.1 ML2027-2028'!$J:$J,'TH theo DV'!N$3,'PL1.1 ML2027-2028'!$K:$K,'TH theo DV'!$C13)/$D$1</f>
        <v>0</v>
      </c>
      <c r="O13" s="167">
        <f>SUMIFS('PL1.1 ML2027-2028'!$H:$H,'PL1.1 ML2027-2028'!$J:$J,'TH theo DV'!O$3,'PL1.1 ML2027-2028'!$K:$K,'TH theo DV'!$C13)/$D$1</f>
        <v>0</v>
      </c>
      <c r="P13" s="167">
        <f>SUMIFS('PL1.1 ML2027-2028'!$H:$H,'PL1.1 ML2027-2028'!$J:$J,'TH theo DV'!P$3,'PL1.1 ML2027-2028'!$K:$K,'TH theo DV'!$C13)/$D$1</f>
        <v>0</v>
      </c>
      <c r="Q13" s="167">
        <f>SUMIFS('PL1.1 ML2027-2028'!$H:$H,'PL1.1 ML2027-2028'!$J:$J,'TH theo DV'!Q$3,'PL1.1 ML2027-2028'!$K:$K,'TH theo DV'!$C13)/$D$1</f>
        <v>0</v>
      </c>
      <c r="R13" s="167">
        <f>SUMIFS('PL1.1 ML2027-2028'!$H:$H,'PL1.1 ML2027-2028'!$J:$J,'TH theo DV'!R$3,'PL1.1 ML2027-2028'!$K:$K,'TH theo DV'!$C13)/$D$1</f>
        <v>0</v>
      </c>
      <c r="S13" s="167">
        <f>SUMIFS('PL1.1 ML2027-2028'!$H:$H,'PL1.1 ML2027-2028'!$J:$J,'TH theo DV'!S$3,'PL1.1 ML2027-2028'!$K:$K,'TH theo DV'!$C13)/$D$1</f>
        <v>0</v>
      </c>
      <c r="T13" s="170">
        <f>SUM(M13:S13)</f>
        <v>0</v>
      </c>
      <c r="U13" s="176"/>
      <c r="V13" s="86">
        <f t="shared" ref="V13:AA14" si="21">D13+M13</f>
        <v>0</v>
      </c>
      <c r="W13" s="86">
        <f t="shared" si="21"/>
        <v>0</v>
      </c>
      <c r="X13" s="86">
        <f t="shared" si="21"/>
        <v>0</v>
      </c>
      <c r="Y13" s="86">
        <f t="shared" si="21"/>
        <v>0</v>
      </c>
      <c r="Z13" s="86">
        <f t="shared" si="21"/>
        <v>0</v>
      </c>
      <c r="AA13" s="86">
        <f t="shared" si="21"/>
        <v>0</v>
      </c>
      <c r="AB13" s="85">
        <f>SUM(V13:AA13)</f>
        <v>0</v>
      </c>
      <c r="AC13" s="102" t="e">
        <f t="shared" si="10"/>
        <v>#DIV/0!</v>
      </c>
      <c r="AD13" s="116"/>
    </row>
    <row r="14" spans="1:32" s="36" customFormat="1" outlineLevel="1" x14ac:dyDescent="0.25">
      <c r="A14" s="18" t="s">
        <v>8</v>
      </c>
      <c r="B14" s="78" t="s">
        <v>175</v>
      </c>
      <c r="C14" s="18" t="s">
        <v>69</v>
      </c>
      <c r="D14" s="167">
        <f>SUMIFS('PL1.1 ML2027-2028'!$G:$G,'PL1.1 ML2027-2028'!$J:$J,'TH theo DV'!$D$3,'PL1.1 ML2027-2028'!$K:$K,'TH theo DV'!C14)/$D$1</f>
        <v>0</v>
      </c>
      <c r="E14" s="167">
        <f>SUMIFS('PL1.1 ML2027-2028'!$G:$G,'PL1.1 ML2027-2028'!$J:$J,'TH theo DV'!$E$3,'PL1.1 ML2027-2028'!$K:$K,'TH theo DV'!C14)/$D$1</f>
        <v>0</v>
      </c>
      <c r="F14" s="167">
        <f>SUMIFS('PL1.1 ML2027-2028'!$G:$G,'PL1.1 ML2027-2028'!$J:$J,'TH theo DV'!$F$3,'PL1.1 ML2027-2028'!$K:$K,'TH theo DV'!C14)/$D$1</f>
        <v>0</v>
      </c>
      <c r="G14" s="167">
        <f>SUMIFS('PL1.1 ML2027-2028'!$G:$G,'PL1.1 ML2027-2028'!$J:$J,'TH theo DV'!$G$3,'PL1.1 ML2027-2028'!$K:$K,'TH theo DV'!C14)/$D$1</f>
        <v>0</v>
      </c>
      <c r="H14" s="167">
        <f>SUMIFS('PL1.1 ML2027-2028'!$G:$G,'PL1.1 ML2027-2028'!$J:$J,'TH theo DV'!H$3,'PL1.1 ML2027-2028'!$K:$K,'TH theo DV'!$C14)/$D$1</f>
        <v>0</v>
      </c>
      <c r="I14" s="167">
        <f>SUMIFS('PL1.1 ML2027-2028'!$G:$G,'PL1.1 ML2027-2028'!$J:$J,'TH theo DV'!$I$3,'PL1.1 ML2027-2028'!$K:$K,'TH theo DV'!C14)/$D$1</f>
        <v>0</v>
      </c>
      <c r="J14" s="167">
        <f>SUMIFS('PL1.1 ML2027-2028'!$G:$G,'PL1.1 ML2027-2028'!$J:$J,'TH theo DV'!J$3,'PL1.1 ML2027-2028'!$K:$K,'TH theo DV'!$C14)/$D$1</f>
        <v>0</v>
      </c>
      <c r="K14" s="167">
        <f>SUM(D14:J14)</f>
        <v>0</v>
      </c>
      <c r="L14" s="167" t="e">
        <f t="shared" si="13"/>
        <v>#DIV/0!</v>
      </c>
      <c r="M14" s="167">
        <f>SUMIFS('PL1.1 ML2027-2028'!$H:$H,'PL1.1 ML2027-2028'!$J:$J,'TH theo DV'!M$3,'PL1.1 ML2027-2028'!$K:$K,'TH theo DV'!$C14)/$D$1</f>
        <v>0</v>
      </c>
      <c r="N14" s="167">
        <f>SUMIFS('PL1.1 ML2027-2028'!$H:$H,'PL1.1 ML2027-2028'!$J:$J,'TH theo DV'!N$3,'PL1.1 ML2027-2028'!$K:$K,'TH theo DV'!$C14)/$D$1</f>
        <v>0</v>
      </c>
      <c r="O14" s="167">
        <f>SUMIFS('PL1.1 ML2027-2028'!$H:$H,'PL1.1 ML2027-2028'!$J:$J,'TH theo DV'!O$3,'PL1.1 ML2027-2028'!$K:$K,'TH theo DV'!$C14)/$D$1</f>
        <v>0</v>
      </c>
      <c r="P14" s="167">
        <f>SUMIFS('PL1.1 ML2027-2028'!$H:$H,'PL1.1 ML2027-2028'!$J:$J,'TH theo DV'!P$3,'PL1.1 ML2027-2028'!$K:$K,'TH theo DV'!$C14)/$D$1</f>
        <v>0</v>
      </c>
      <c r="Q14" s="167">
        <f>SUMIFS('PL1.1 ML2027-2028'!$H:$H,'PL1.1 ML2027-2028'!$J:$J,'TH theo DV'!Q$3,'PL1.1 ML2027-2028'!$K:$K,'TH theo DV'!$C14)/$D$1</f>
        <v>0</v>
      </c>
      <c r="R14" s="167">
        <f>SUMIFS('PL1.1 ML2027-2028'!$H:$H,'PL1.1 ML2027-2028'!$J:$J,'TH theo DV'!R$3,'PL1.1 ML2027-2028'!$K:$K,'TH theo DV'!$C14)/$D$1</f>
        <v>0</v>
      </c>
      <c r="S14" s="167">
        <f>SUMIFS('PL1.1 ML2027-2028'!$H:$H,'PL1.1 ML2027-2028'!$J:$J,'TH theo DV'!S$3,'PL1.1 ML2027-2028'!$K:$K,'TH theo DV'!$C14)/$D$1</f>
        <v>0</v>
      </c>
      <c r="T14" s="170">
        <f>SUM(M14:S14)</f>
        <v>0</v>
      </c>
      <c r="U14" s="176"/>
      <c r="V14" s="86">
        <f t="shared" si="21"/>
        <v>0</v>
      </c>
      <c r="W14" s="86">
        <f t="shared" si="21"/>
        <v>0</v>
      </c>
      <c r="X14" s="86">
        <f t="shared" si="21"/>
        <v>0</v>
      </c>
      <c r="Y14" s="86">
        <f t="shared" si="21"/>
        <v>0</v>
      </c>
      <c r="Z14" s="86">
        <f t="shared" si="21"/>
        <v>0</v>
      </c>
      <c r="AA14" s="86">
        <f t="shared" si="21"/>
        <v>0</v>
      </c>
      <c r="AB14" s="85">
        <f>SUM(V14:AA14)</f>
        <v>0</v>
      </c>
      <c r="AC14" s="102" t="e">
        <f t="shared" si="10"/>
        <v>#DIV/0!</v>
      </c>
      <c r="AD14" s="49"/>
    </row>
    <row r="15" spans="1:32" s="36" customFormat="1" outlineLevel="1" x14ac:dyDescent="0.25">
      <c r="A15" s="80">
        <v>2</v>
      </c>
      <c r="B15" s="84" t="s">
        <v>103</v>
      </c>
      <c r="C15" s="18"/>
      <c r="D15" s="167">
        <f t="shared" ref="D15:G15" si="22">SUBTOTAL(9,D16:D19)</f>
        <v>0</v>
      </c>
      <c r="E15" s="167">
        <f t="shared" si="22"/>
        <v>0</v>
      </c>
      <c r="F15" s="167">
        <f>SUBTOTAL(9,F16:F19)</f>
        <v>0</v>
      </c>
      <c r="G15" s="167">
        <f t="shared" si="22"/>
        <v>0</v>
      </c>
      <c r="H15" s="167">
        <f>SUBTOTAL(9,H16:H19)</f>
        <v>0</v>
      </c>
      <c r="I15" s="167">
        <f t="shared" ref="I15:J15" si="23">SUBTOTAL(9,I16:I19)</f>
        <v>0</v>
      </c>
      <c r="J15" s="167">
        <f t="shared" si="23"/>
        <v>0</v>
      </c>
      <c r="K15" s="167">
        <f>SUBTOTAL(9,K16:K19)</f>
        <v>0</v>
      </c>
      <c r="L15" s="167" t="e">
        <f t="shared" si="13"/>
        <v>#DIV/0!</v>
      </c>
      <c r="M15" s="165">
        <f>SUBTOTAL(9,M16:M19)</f>
        <v>0</v>
      </c>
      <c r="N15" s="165">
        <f t="shared" ref="N15:T15" si="24">SUBTOTAL(9,N16:N19)</f>
        <v>0</v>
      </c>
      <c r="O15" s="165">
        <f t="shared" si="24"/>
        <v>0</v>
      </c>
      <c r="P15" s="165">
        <f t="shared" si="24"/>
        <v>0</v>
      </c>
      <c r="Q15" s="165">
        <f t="shared" si="24"/>
        <v>0</v>
      </c>
      <c r="R15" s="165">
        <f t="shared" si="24"/>
        <v>0</v>
      </c>
      <c r="S15" s="170">
        <f t="shared" si="24"/>
        <v>0</v>
      </c>
      <c r="T15" s="165">
        <f t="shared" si="24"/>
        <v>0</v>
      </c>
      <c r="U15" s="175" t="e">
        <f>T15/$T$4</f>
        <v>#DIV/0!</v>
      </c>
      <c r="V15" s="85">
        <f t="shared" ref="V15:AB15" si="25">SUBTOTAL(9,V16:V19)</f>
        <v>0</v>
      </c>
      <c r="W15" s="85">
        <f t="shared" si="25"/>
        <v>0</v>
      </c>
      <c r="X15" s="85">
        <f t="shared" si="25"/>
        <v>0</v>
      </c>
      <c r="Y15" s="85">
        <f t="shared" si="25"/>
        <v>0</v>
      </c>
      <c r="Z15" s="85">
        <f t="shared" si="25"/>
        <v>0</v>
      </c>
      <c r="AA15" s="85">
        <f t="shared" si="25"/>
        <v>0</v>
      </c>
      <c r="AB15" s="85">
        <f t="shared" si="25"/>
        <v>0</v>
      </c>
      <c r="AC15" s="102" t="e">
        <f t="shared" si="10"/>
        <v>#DIV/0!</v>
      </c>
      <c r="AD15" s="49"/>
    </row>
    <row r="16" spans="1:32" s="36" customFormat="1" ht="14.65" customHeight="1" outlineLevel="1" x14ac:dyDescent="0.25">
      <c r="A16" s="18" t="s">
        <v>8</v>
      </c>
      <c r="B16" s="78" t="s">
        <v>62</v>
      </c>
      <c r="C16" s="46" t="s">
        <v>70</v>
      </c>
      <c r="D16" s="167">
        <f>SUMIFS('PL1.1 ML2027-2028'!$G:$G,'PL1.1 ML2027-2028'!$J:$J,'TH theo DV'!$D$3,'PL1.1 ML2027-2028'!$K:$K,'TH theo DV'!C16)/$D$1</f>
        <v>0</v>
      </c>
      <c r="E16" s="167">
        <f>SUMIFS('PL1.1 ML2027-2028'!$G:$G,'PL1.1 ML2027-2028'!$J:$J,'TH theo DV'!$E$3,'PL1.1 ML2027-2028'!$K:$K,'TH theo DV'!C16)/$D$1</f>
        <v>0</v>
      </c>
      <c r="F16" s="167">
        <f>SUMIFS('PL1.1 ML2027-2028'!$G:$G,'PL1.1 ML2027-2028'!$J:$J,'TH theo DV'!$F$3,'PL1.1 ML2027-2028'!$K:$K,'TH theo DV'!C16)/$D$1</f>
        <v>0</v>
      </c>
      <c r="G16" s="167">
        <f>SUMIFS('PL1.1 ML2027-2028'!$G:$G,'PL1.1 ML2027-2028'!$J:$J,'TH theo DV'!$G$3,'PL1.1 ML2027-2028'!$K:$K,'TH theo DV'!C16)/$D$1</f>
        <v>0</v>
      </c>
      <c r="H16" s="167">
        <f>SUMIFS('PL1.1 ML2027-2028'!$G:$G,'PL1.1 ML2027-2028'!$J:$J,'TH theo DV'!$H$3,'PL1.1 ML2027-2028'!$K:$K,'TH theo DV'!C16)/$D$1</f>
        <v>0</v>
      </c>
      <c r="I16" s="167">
        <f>SUMIFS('PL1.1 ML2027-2028'!$G:$G,'PL1.1 ML2027-2028'!$J:$J,'TH theo DV'!$I$3,'PL1.1 ML2027-2028'!$K:$K,'TH theo DV'!C16)/$D$1</f>
        <v>0</v>
      </c>
      <c r="J16" s="167">
        <f>SUMIFS('PL1.1 ML2027-2028'!$G:$G,'PL1.1 ML2027-2028'!$J:$J,'TH theo DV'!J$3,'PL1.1 ML2027-2028'!$K:$K,'TH theo DV'!$C16)/$D$1</f>
        <v>0</v>
      </c>
      <c r="K16" s="167">
        <f t="shared" ref="K16:K21" si="26">SUM(D16:J16)</f>
        <v>0</v>
      </c>
      <c r="L16" s="167" t="e">
        <f t="shared" si="13"/>
        <v>#DIV/0!</v>
      </c>
      <c r="M16" s="167">
        <f>SUMIFS('PL1.1 ML2027-2028'!$H:$H,'PL1.1 ML2027-2028'!$J:$J,'TH theo DV'!M$3,'PL1.1 ML2027-2028'!$K:$K,'TH theo DV'!$C16)/$D$1</f>
        <v>0</v>
      </c>
      <c r="N16" s="167">
        <f>SUMIFS('PL1.1 ML2027-2028'!$H:$H,'PL1.1 ML2027-2028'!$J:$J,'TH theo DV'!N$3,'PL1.1 ML2027-2028'!$K:$K,'TH theo DV'!$C16)/$D$1</f>
        <v>0</v>
      </c>
      <c r="O16" s="167">
        <f>SUMIFS('PL1.1 ML2027-2028'!$H:$H,'PL1.1 ML2027-2028'!$J:$J,'TH theo DV'!O$3,'PL1.1 ML2027-2028'!$K:$K,'TH theo DV'!$C16)/$D$1</f>
        <v>0</v>
      </c>
      <c r="P16" s="167">
        <f>SUMIFS('PL1.1 ML2027-2028'!$H:$H,'PL1.1 ML2027-2028'!$J:$J,'TH theo DV'!P$3,'PL1.1 ML2027-2028'!$K:$K,'TH theo DV'!$C16)/$D$1</f>
        <v>0</v>
      </c>
      <c r="Q16" s="167">
        <f>SUMIFS('PL1.1 ML2027-2028'!$H:$H,'PL1.1 ML2027-2028'!$J:$J,'TH theo DV'!Q$3,'PL1.1 ML2027-2028'!$K:$K,'TH theo DV'!$C16)/$D$1</f>
        <v>0</v>
      </c>
      <c r="R16" s="167">
        <f>SUMIFS('PL1.1 ML2027-2028'!$H:$H,'PL1.1 ML2027-2028'!$J:$J,'TH theo DV'!R$3,'PL1.1 ML2027-2028'!$K:$K,'TH theo DV'!$C16)/$D$1</f>
        <v>0</v>
      </c>
      <c r="S16" s="167">
        <f>SUMIFS('PL1.1 ML2027-2028'!$H:$H,'PL1.1 ML2027-2028'!$J:$J,'TH theo DV'!S$3,'PL1.1 ML2027-2028'!$K:$K,'TH theo DV'!$C16)/$D$1</f>
        <v>0</v>
      </c>
      <c r="T16" s="170">
        <f t="shared" ref="T16:T19" si="27">SUM(M16:S16)</f>
        <v>0</v>
      </c>
      <c r="U16" s="176"/>
      <c r="V16" s="86">
        <f t="shared" ref="V16:AA21" si="28">D16+M16</f>
        <v>0</v>
      </c>
      <c r="W16" s="86">
        <f t="shared" si="28"/>
        <v>0</v>
      </c>
      <c r="X16" s="86">
        <f t="shared" si="28"/>
        <v>0</v>
      </c>
      <c r="Y16" s="86">
        <f t="shared" si="28"/>
        <v>0</v>
      </c>
      <c r="Z16" s="86">
        <f t="shared" si="28"/>
        <v>0</v>
      </c>
      <c r="AA16" s="86">
        <f t="shared" si="28"/>
        <v>0</v>
      </c>
      <c r="AB16" s="85">
        <f t="shared" ref="AB16:AB21" si="29">SUM(V16:AA16)</f>
        <v>0</v>
      </c>
      <c r="AC16" s="103" t="e">
        <f t="shared" si="10"/>
        <v>#DIV/0!</v>
      </c>
      <c r="AD16" s="49"/>
    </row>
    <row r="17" spans="1:32" s="36" customFormat="1" outlineLevel="1" x14ac:dyDescent="0.25">
      <c r="A17" s="18" t="s">
        <v>8</v>
      </c>
      <c r="B17" s="78" t="s">
        <v>75</v>
      </c>
      <c r="C17" s="46" t="s">
        <v>71</v>
      </c>
      <c r="D17" s="167">
        <f>SUMIFS('PL1.1 ML2027-2028'!$G:$G,'PL1.1 ML2027-2028'!$J:$J,'TH theo DV'!$D$3,'PL1.1 ML2027-2028'!$K:$K,'TH theo DV'!C17)/$D$1</f>
        <v>0</v>
      </c>
      <c r="E17" s="167">
        <f>SUMIFS('PL1.1 ML2027-2028'!$G:$G,'PL1.1 ML2027-2028'!$J:$J,'TH theo DV'!$E$3,'PL1.1 ML2027-2028'!$K:$K,'TH theo DV'!C17)/$D$1</f>
        <v>0</v>
      </c>
      <c r="F17" s="167">
        <f>SUMIFS('PL1.1 ML2027-2028'!$G:$G,'PL1.1 ML2027-2028'!$J:$J,'TH theo DV'!$F$3,'PL1.1 ML2027-2028'!$K:$K,'TH theo DV'!C17)/$D$1</f>
        <v>0</v>
      </c>
      <c r="G17" s="167">
        <f>SUMIFS('PL1.1 ML2027-2028'!$G:$G,'PL1.1 ML2027-2028'!$J:$J,'TH theo DV'!$G$3,'PL1.1 ML2027-2028'!$K:$K,'TH theo DV'!C17)/$D$1</f>
        <v>0</v>
      </c>
      <c r="H17" s="167">
        <f>SUMIFS('PL1.1 ML2027-2028'!$G:$G,'PL1.1 ML2027-2028'!$J:$J,'TH theo DV'!$H$3,'PL1.1 ML2027-2028'!$K:$K,'TH theo DV'!C17)/$D$1</f>
        <v>0</v>
      </c>
      <c r="I17" s="167">
        <f>SUMIFS('PL1.1 ML2027-2028'!$G:$G,'PL1.1 ML2027-2028'!$J:$J,'TH theo DV'!$I$3,'PL1.1 ML2027-2028'!$K:$K,'TH theo DV'!C17)/$D$1</f>
        <v>0</v>
      </c>
      <c r="J17" s="167">
        <f>SUMIFS('PL1.1 ML2027-2028'!$G:$G,'PL1.1 ML2027-2028'!$J:$J,'TH theo DV'!J$3,'PL1.1 ML2027-2028'!$K:$K,'TH theo DV'!$C17)/$D$1</f>
        <v>0</v>
      </c>
      <c r="K17" s="167">
        <f t="shared" si="26"/>
        <v>0</v>
      </c>
      <c r="L17" s="167" t="e">
        <f t="shared" si="13"/>
        <v>#DIV/0!</v>
      </c>
      <c r="M17" s="167">
        <f>SUMIFS('PL1.1 ML2027-2028'!$H:$H,'PL1.1 ML2027-2028'!$J:$J,'TH theo DV'!M$3,'PL1.1 ML2027-2028'!$K:$K,'TH theo DV'!$C17)/$D$1</f>
        <v>0</v>
      </c>
      <c r="N17" s="167">
        <f>SUMIFS('PL1.1 ML2027-2028'!$H:$H,'PL1.1 ML2027-2028'!$J:$J,'TH theo DV'!N$3,'PL1.1 ML2027-2028'!$K:$K,'TH theo DV'!$C17)/$D$1</f>
        <v>0</v>
      </c>
      <c r="O17" s="167">
        <f>SUMIFS('PL1.1 ML2027-2028'!$H:$H,'PL1.1 ML2027-2028'!$J:$J,'TH theo DV'!O$3,'PL1.1 ML2027-2028'!$K:$K,'TH theo DV'!$C17)/$D$1</f>
        <v>0</v>
      </c>
      <c r="P17" s="167">
        <f>SUMIFS('PL1.1 ML2027-2028'!$H:$H,'PL1.1 ML2027-2028'!$J:$J,'TH theo DV'!P$3,'PL1.1 ML2027-2028'!$K:$K,'TH theo DV'!$C17)/$D$1</f>
        <v>0</v>
      </c>
      <c r="Q17" s="167">
        <f>SUMIFS('PL1.1 ML2027-2028'!$H:$H,'PL1.1 ML2027-2028'!$J:$J,'TH theo DV'!Q$3,'PL1.1 ML2027-2028'!$K:$K,'TH theo DV'!$C17)/$D$1</f>
        <v>0</v>
      </c>
      <c r="R17" s="167">
        <f>SUMIFS('PL1.1 ML2027-2028'!$H:$H,'PL1.1 ML2027-2028'!$J:$J,'TH theo DV'!R$3,'PL1.1 ML2027-2028'!$K:$K,'TH theo DV'!$C17)/$D$1</f>
        <v>0</v>
      </c>
      <c r="S17" s="167">
        <f>SUMIFS('PL1.1 ML2027-2028'!$H:$H,'PL1.1 ML2027-2028'!$J:$J,'TH theo DV'!S$3,'PL1.1 ML2027-2028'!$K:$K,'TH theo DV'!$C17)/$D$1</f>
        <v>0</v>
      </c>
      <c r="T17" s="170">
        <f t="shared" si="27"/>
        <v>0</v>
      </c>
      <c r="U17" s="176"/>
      <c r="V17" s="86">
        <f t="shared" si="28"/>
        <v>0</v>
      </c>
      <c r="W17" s="86">
        <f t="shared" si="28"/>
        <v>0</v>
      </c>
      <c r="X17" s="86">
        <f t="shared" si="28"/>
        <v>0</v>
      </c>
      <c r="Y17" s="86">
        <f t="shared" si="28"/>
        <v>0</v>
      </c>
      <c r="Z17" s="86">
        <f t="shared" si="28"/>
        <v>0</v>
      </c>
      <c r="AA17" s="86">
        <f t="shared" si="28"/>
        <v>0</v>
      </c>
      <c r="AB17" s="85">
        <f t="shared" si="29"/>
        <v>0</v>
      </c>
      <c r="AC17" s="103" t="e">
        <f t="shared" si="10"/>
        <v>#DIV/0!</v>
      </c>
      <c r="AD17" s="116"/>
      <c r="AE17" s="95"/>
      <c r="AF17" s="45"/>
    </row>
    <row r="18" spans="1:32" s="36" customFormat="1" outlineLevel="1" x14ac:dyDescent="0.25">
      <c r="A18" s="18" t="s">
        <v>8</v>
      </c>
      <c r="B18" s="78" t="s">
        <v>76</v>
      </c>
      <c r="C18" s="18" t="s">
        <v>66</v>
      </c>
      <c r="D18" s="167">
        <f>SUMIFS('PL1.1 ML2027-2028'!$G:$G,'PL1.1 ML2027-2028'!$J:$J,'TH theo DV'!$D$3,'PL1.1 ML2027-2028'!$K:$K,'TH theo DV'!C18)/$D$1</f>
        <v>0</v>
      </c>
      <c r="E18" s="167">
        <f>SUMIFS('PL1.1 ML2027-2028'!$G:$G,'PL1.1 ML2027-2028'!$J:$J,'TH theo DV'!$E$3,'PL1.1 ML2027-2028'!$K:$K,'TH theo DV'!C18)/$D$1</f>
        <v>0</v>
      </c>
      <c r="F18" s="167">
        <f>SUMIFS('PL1.1 ML2027-2028'!$G:$G,'PL1.1 ML2027-2028'!$J:$J,'TH theo DV'!$F$3,'PL1.1 ML2027-2028'!$K:$K,'TH theo DV'!C18)/$D$1</f>
        <v>0</v>
      </c>
      <c r="G18" s="167">
        <f>SUMIFS('PL1.1 ML2027-2028'!$G:$G,'PL1.1 ML2027-2028'!$J:$J,'TH theo DV'!$G$3,'PL1.1 ML2027-2028'!$K:$K,'TH theo DV'!C18)/$D$1</f>
        <v>0</v>
      </c>
      <c r="H18" s="167">
        <f>SUMIFS('PL1.1 ML2027-2028'!$G:$G,'PL1.1 ML2027-2028'!$J:$J,'TH theo DV'!$H$3,'PL1.1 ML2027-2028'!$K:$K,'TH theo DV'!C18)/$D$1</f>
        <v>0</v>
      </c>
      <c r="I18" s="167">
        <f>SUMIFS('PL1.1 ML2027-2028'!$G:$G,'PL1.1 ML2027-2028'!$J:$J,'TH theo DV'!$I$3,'PL1.1 ML2027-2028'!$K:$K,'TH theo DV'!C18)/$D$1</f>
        <v>0</v>
      </c>
      <c r="J18" s="167">
        <f>SUMIFS('PL1.1 ML2027-2028'!$G:$G,'PL1.1 ML2027-2028'!$J:$J,'TH theo DV'!J$3,'PL1.1 ML2027-2028'!$K:$K,'TH theo DV'!$C18)/$D$1</f>
        <v>0</v>
      </c>
      <c r="K18" s="167">
        <f t="shared" si="26"/>
        <v>0</v>
      </c>
      <c r="L18" s="167" t="e">
        <f t="shared" si="13"/>
        <v>#DIV/0!</v>
      </c>
      <c r="M18" s="167">
        <f>SUMIFS('PL1.1 ML2027-2028'!$H:$H,'PL1.1 ML2027-2028'!$J:$J,'TH theo DV'!M$3,'PL1.1 ML2027-2028'!$K:$K,'TH theo DV'!$C18)/$D$1</f>
        <v>0</v>
      </c>
      <c r="N18" s="167">
        <f>SUMIFS('PL1.1 ML2027-2028'!$H:$H,'PL1.1 ML2027-2028'!$J:$J,'TH theo DV'!N$3,'PL1.1 ML2027-2028'!$K:$K,'TH theo DV'!$C18)/$D$1</f>
        <v>0</v>
      </c>
      <c r="O18" s="167">
        <f>SUMIFS('PL1.1 ML2027-2028'!$H:$H,'PL1.1 ML2027-2028'!$J:$J,'TH theo DV'!O$3,'PL1.1 ML2027-2028'!$K:$K,'TH theo DV'!$C18)/$D$1</f>
        <v>0</v>
      </c>
      <c r="P18" s="167">
        <f>SUMIFS('PL1.1 ML2027-2028'!$H:$H,'PL1.1 ML2027-2028'!$J:$J,'TH theo DV'!P$3,'PL1.1 ML2027-2028'!$K:$K,'TH theo DV'!$C18)/$D$1</f>
        <v>0</v>
      </c>
      <c r="Q18" s="167">
        <f>SUMIFS('PL1.1 ML2027-2028'!$H:$H,'PL1.1 ML2027-2028'!$J:$J,'TH theo DV'!Q$3,'PL1.1 ML2027-2028'!$K:$K,'TH theo DV'!$C18)/$D$1</f>
        <v>0</v>
      </c>
      <c r="R18" s="167">
        <f>SUMIFS('PL1.1 ML2027-2028'!$H:$H,'PL1.1 ML2027-2028'!$J:$J,'TH theo DV'!R$3,'PL1.1 ML2027-2028'!$K:$K,'TH theo DV'!$C18)/$D$1</f>
        <v>0</v>
      </c>
      <c r="S18" s="167">
        <f>SUMIFS('PL1.1 ML2027-2028'!$H:$H,'PL1.1 ML2027-2028'!$J:$J,'TH theo DV'!S$3,'PL1.1 ML2027-2028'!$K:$K,'TH theo DV'!$C18)/$D$1</f>
        <v>0</v>
      </c>
      <c r="T18" s="170">
        <f t="shared" si="27"/>
        <v>0</v>
      </c>
      <c r="U18" s="176"/>
      <c r="V18" s="86">
        <f t="shared" si="28"/>
        <v>0</v>
      </c>
      <c r="W18" s="86">
        <f t="shared" si="28"/>
        <v>0</v>
      </c>
      <c r="X18" s="86">
        <f t="shared" si="28"/>
        <v>0</v>
      </c>
      <c r="Y18" s="86">
        <f t="shared" si="28"/>
        <v>0</v>
      </c>
      <c r="Z18" s="86">
        <f t="shared" si="28"/>
        <v>0</v>
      </c>
      <c r="AA18" s="86">
        <f t="shared" si="28"/>
        <v>0</v>
      </c>
      <c r="AB18" s="85">
        <f t="shared" si="29"/>
        <v>0</v>
      </c>
      <c r="AC18" s="103" t="e">
        <f t="shared" si="10"/>
        <v>#DIV/0!</v>
      </c>
      <c r="AD18" s="116"/>
      <c r="AE18" s="95"/>
      <c r="AF18" s="45"/>
    </row>
    <row r="19" spans="1:32" s="36" customFormat="1" outlineLevel="1" x14ac:dyDescent="0.25">
      <c r="A19" s="18" t="s">
        <v>8</v>
      </c>
      <c r="B19" s="78" t="s">
        <v>91</v>
      </c>
      <c r="C19" s="18" t="s">
        <v>94</v>
      </c>
      <c r="D19" s="167">
        <f>SUMIFS('PL1.1 ML2027-2028'!$G:$G,'PL1.1 ML2027-2028'!$J:$J,'TH theo DV'!$D$3,'PL1.1 ML2027-2028'!$K:$K,'TH theo DV'!C19)/$D$1</f>
        <v>0</v>
      </c>
      <c r="E19" s="167">
        <f>SUMIFS('PL1.1 ML2027-2028'!$G:$G,'PL1.1 ML2027-2028'!$J:$J,'TH theo DV'!$E$3,'PL1.1 ML2027-2028'!$K:$K,'TH theo DV'!C19)/$D$1</f>
        <v>0</v>
      </c>
      <c r="F19" s="167">
        <f>SUMIFS('PL1.1 ML2027-2028'!$G:$G,'PL1.1 ML2027-2028'!$J:$J,'TH theo DV'!$F$3,'PL1.1 ML2027-2028'!$K:$K,'TH theo DV'!C19)/$D$1</f>
        <v>0</v>
      </c>
      <c r="G19" s="167">
        <f>SUMIFS('PL1.1 ML2027-2028'!$G:$G,'PL1.1 ML2027-2028'!$J:$J,'TH theo DV'!$G$3,'PL1.1 ML2027-2028'!$K:$K,'TH theo DV'!C19)/$D$1</f>
        <v>0</v>
      </c>
      <c r="H19" s="167">
        <f>SUMIFS('PL1.1 ML2027-2028'!$G:$G,'PL1.1 ML2027-2028'!$J:$J,'TH theo DV'!$H$3,'PL1.1 ML2027-2028'!$K:$K,'TH theo DV'!C19)/$D$1</f>
        <v>0</v>
      </c>
      <c r="I19" s="167">
        <f>SUMIFS('PL1.1 ML2027-2028'!$G:$G,'PL1.1 ML2027-2028'!$J:$J,'TH theo DV'!$I$3,'PL1.1 ML2027-2028'!$K:$K,'TH theo DV'!C19)/$D$1</f>
        <v>0</v>
      </c>
      <c r="J19" s="167">
        <f>SUMIFS('PL1.1 ML2027-2028'!$G:$G,'PL1.1 ML2027-2028'!$J:$J,'TH theo DV'!J$3,'PL1.1 ML2027-2028'!$K:$K,'TH theo DV'!$C19)/$D$1</f>
        <v>0</v>
      </c>
      <c r="K19" s="167">
        <f t="shared" si="26"/>
        <v>0</v>
      </c>
      <c r="L19" s="167" t="e">
        <f t="shared" si="13"/>
        <v>#DIV/0!</v>
      </c>
      <c r="M19" s="167">
        <f>SUMIFS('PL1.1 ML2027-2028'!$H:$H,'PL1.1 ML2027-2028'!$J:$J,'TH theo DV'!M$3,'PL1.1 ML2027-2028'!$K:$K,'TH theo DV'!$C19)/$D$1</f>
        <v>0</v>
      </c>
      <c r="N19" s="167">
        <f>SUMIFS('PL1.1 ML2027-2028'!$H:$H,'PL1.1 ML2027-2028'!$J:$J,'TH theo DV'!N$3,'PL1.1 ML2027-2028'!$K:$K,'TH theo DV'!$C19)/$D$1</f>
        <v>0</v>
      </c>
      <c r="O19" s="167">
        <f>SUMIFS('PL1.1 ML2027-2028'!$H:$H,'PL1.1 ML2027-2028'!$J:$J,'TH theo DV'!O$3,'PL1.1 ML2027-2028'!$K:$K,'TH theo DV'!$C19)/$D$1</f>
        <v>0</v>
      </c>
      <c r="P19" s="167">
        <f>SUMIFS('PL1.1 ML2027-2028'!$H:$H,'PL1.1 ML2027-2028'!$J:$J,'TH theo DV'!P$3,'PL1.1 ML2027-2028'!$K:$K,'TH theo DV'!$C19)/$D$1</f>
        <v>0</v>
      </c>
      <c r="Q19" s="167">
        <f>SUMIFS('PL1.1 ML2027-2028'!$H:$H,'PL1.1 ML2027-2028'!$J:$J,'TH theo DV'!Q$3,'PL1.1 ML2027-2028'!$K:$K,'TH theo DV'!$C19)/$D$1</f>
        <v>0</v>
      </c>
      <c r="R19" s="167">
        <f>SUMIFS('PL1.1 ML2027-2028'!$H:$H,'PL1.1 ML2027-2028'!$J:$J,'TH theo DV'!R$3,'PL1.1 ML2027-2028'!$K:$K,'TH theo DV'!$C19)/$D$1</f>
        <v>0</v>
      </c>
      <c r="S19" s="167">
        <f>SUMIFS('PL1.1 ML2027-2028'!$H:$H,'PL1.1 ML2027-2028'!$J:$J,'TH theo DV'!S$3,'PL1.1 ML2027-2028'!$K:$K,'TH theo DV'!$C19)/$D$1</f>
        <v>0</v>
      </c>
      <c r="T19" s="170">
        <f t="shared" si="27"/>
        <v>0</v>
      </c>
      <c r="U19" s="176"/>
      <c r="V19" s="86">
        <f t="shared" si="28"/>
        <v>0</v>
      </c>
      <c r="W19" s="86">
        <f t="shared" si="28"/>
        <v>0</v>
      </c>
      <c r="X19" s="86">
        <f t="shared" si="28"/>
        <v>0</v>
      </c>
      <c r="Y19" s="86">
        <f t="shared" si="28"/>
        <v>0</v>
      </c>
      <c r="Z19" s="86">
        <f t="shared" si="28"/>
        <v>0</v>
      </c>
      <c r="AA19" s="86">
        <f t="shared" si="28"/>
        <v>0</v>
      </c>
      <c r="AB19" s="85">
        <f t="shared" si="29"/>
        <v>0</v>
      </c>
      <c r="AC19" s="103" t="e">
        <f t="shared" si="10"/>
        <v>#DIV/0!</v>
      </c>
      <c r="AD19" s="116"/>
      <c r="AE19" s="95"/>
      <c r="AF19" s="45"/>
    </row>
    <row r="20" spans="1:32" s="36" customFormat="1" outlineLevel="1" x14ac:dyDescent="0.25">
      <c r="A20" s="80">
        <v>3</v>
      </c>
      <c r="B20" s="84" t="s">
        <v>60</v>
      </c>
      <c r="C20" s="46" t="s">
        <v>64</v>
      </c>
      <c r="D20" s="167">
        <f>SUMIFS('PL1.1 ML2027-2028'!$G:$G,'PL1.1 ML2027-2028'!$J:$J,'TH theo DV'!$D$3,'PL1.1 ML2027-2028'!$K:$K,'TH theo DV'!C20)/$D$1</f>
        <v>0</v>
      </c>
      <c r="E20" s="167">
        <f>SUMIFS('PL1.1 ML2027-2028'!$G:$G,'PL1.1 ML2027-2028'!$J:$J,'TH theo DV'!$E$3,'PL1.1 ML2027-2028'!$K:$K,'TH theo DV'!C20)/$D$1</f>
        <v>0</v>
      </c>
      <c r="F20" s="167">
        <f>SUMIFS('PL1.1 ML2027-2028'!$G:$G,'PL1.1 ML2027-2028'!$J:$J,'TH theo DV'!$F$3,'PL1.1 ML2027-2028'!$K:$K,'TH theo DV'!C20)/$D$1</f>
        <v>0</v>
      </c>
      <c r="G20" s="167">
        <f>SUMIFS('PL1.1 ML2027-2028'!$G:$G,'PL1.1 ML2027-2028'!$J:$J,'TH theo DV'!$G$3,'PL1.1 ML2027-2028'!$K:$K,'TH theo DV'!C20)/$D$1</f>
        <v>0</v>
      </c>
      <c r="H20" s="167">
        <f>SUMIFS('PL1.1 ML2027-2028'!$G:$G,'PL1.1 ML2027-2028'!$J:$J,'TH theo DV'!$H$3,'PL1.1 ML2027-2028'!$K:$K,'TH theo DV'!C20)/$D$1</f>
        <v>0</v>
      </c>
      <c r="I20" s="167">
        <f>SUMIFS('PL1.1 ML2027-2028'!$G:$G,'PL1.1 ML2027-2028'!$J:$J,'TH theo DV'!$I$3,'PL1.1 ML2027-2028'!$K:$K,'TH theo DV'!C20)/$D$1</f>
        <v>0</v>
      </c>
      <c r="J20" s="167">
        <f>SUMIFS('PL1.1 ML2027-2028'!$G:$G,'PL1.1 ML2027-2028'!$J:$J,'TH theo DV'!J$3,'PL1.1 ML2027-2028'!$K:$K,'TH theo DV'!$C20)/$D$1</f>
        <v>0</v>
      </c>
      <c r="K20" s="167">
        <f t="shared" si="26"/>
        <v>0</v>
      </c>
      <c r="L20" s="167" t="e">
        <f t="shared" si="13"/>
        <v>#DIV/0!</v>
      </c>
      <c r="M20" s="167">
        <f>SUMIFS('PL1.1 ML2027-2028'!$H:$H,'PL1.1 ML2027-2028'!$J:$J,'TH theo DV'!M$3,'PL1.1 ML2027-2028'!$K:$K,'TH theo DV'!$C20)/$D$1</f>
        <v>0</v>
      </c>
      <c r="N20" s="167">
        <f>SUMIFS('PL1.1 ML2027-2028'!$H:$H,'PL1.1 ML2027-2028'!$J:$J,'TH theo DV'!N$3,'PL1.1 ML2027-2028'!$K:$K,'TH theo DV'!$C20)/$D$1</f>
        <v>0</v>
      </c>
      <c r="O20" s="167">
        <f>SUMIFS('PL1.1 ML2027-2028'!$H:$H,'PL1.1 ML2027-2028'!$J:$J,'TH theo DV'!O$3,'PL1.1 ML2027-2028'!$K:$K,'TH theo DV'!$C20)/$D$1</f>
        <v>0</v>
      </c>
      <c r="P20" s="167">
        <f>SUMIFS('PL1.1 ML2027-2028'!$H:$H,'PL1.1 ML2027-2028'!$J:$J,'TH theo DV'!P$3,'PL1.1 ML2027-2028'!$K:$K,'TH theo DV'!$C20)/$D$1</f>
        <v>0</v>
      </c>
      <c r="Q20" s="167">
        <f>SUMIFS('PL1.1 ML2027-2028'!$H:$H,'PL1.1 ML2027-2028'!$J:$J,'TH theo DV'!Q$3,'PL1.1 ML2027-2028'!$K:$K,'TH theo DV'!$C20)/$D$1</f>
        <v>0</v>
      </c>
      <c r="R20" s="167">
        <f>SUMIFS('PL1.1 ML2027-2028'!$H:$H,'PL1.1 ML2027-2028'!$J:$J,'TH theo DV'!R$3,'PL1.1 ML2027-2028'!$K:$K,'TH theo DV'!$C20)/$D$1</f>
        <v>0</v>
      </c>
      <c r="S20" s="167">
        <f>SUMIFS('PL1.1 ML2027-2028'!$H:$H,'PL1.1 ML2027-2028'!$J:$J,'TH theo DV'!S$3,'PL1.1 ML2027-2028'!$K:$K,'TH theo DV'!$C20)/$D$1</f>
        <v>0</v>
      </c>
      <c r="T20" s="170">
        <f>SUM(M20:S20)</f>
        <v>0</v>
      </c>
      <c r="U20" s="176"/>
      <c r="V20" s="86">
        <f t="shared" si="28"/>
        <v>0</v>
      </c>
      <c r="W20" s="86">
        <f t="shared" si="28"/>
        <v>0</v>
      </c>
      <c r="X20" s="86">
        <f t="shared" si="28"/>
        <v>0</v>
      </c>
      <c r="Y20" s="86">
        <f t="shared" si="28"/>
        <v>0</v>
      </c>
      <c r="Z20" s="86">
        <f t="shared" si="28"/>
        <v>0</v>
      </c>
      <c r="AA20" s="86">
        <f t="shared" si="28"/>
        <v>0</v>
      </c>
      <c r="AB20" s="85">
        <f t="shared" si="29"/>
        <v>0</v>
      </c>
      <c r="AC20" s="103" t="e">
        <f t="shared" si="10"/>
        <v>#DIV/0!</v>
      </c>
      <c r="AD20" s="116"/>
      <c r="AE20" s="95"/>
      <c r="AF20" s="45"/>
    </row>
    <row r="21" spans="1:32" s="36" customFormat="1" outlineLevel="1" x14ac:dyDescent="0.25">
      <c r="A21" s="80">
        <v>4</v>
      </c>
      <c r="B21" s="84" t="s">
        <v>61</v>
      </c>
      <c r="C21" s="18" t="s">
        <v>65</v>
      </c>
      <c r="D21" s="167">
        <f>SUMIFS('PL1.1 ML2027-2028'!$G:$G,'PL1.1 ML2027-2028'!$J:$J,'TH theo DV'!$D$3,'PL1.1 ML2027-2028'!$K:$K,'TH theo DV'!C21)/$D$1</f>
        <v>0</v>
      </c>
      <c r="E21" s="167">
        <f>SUMIFS('PL1.1 ML2027-2028'!$G:$G,'PL1.1 ML2027-2028'!$J:$J,'TH theo DV'!$E$3,'PL1.1 ML2027-2028'!$K:$K,'TH theo DV'!C21)/$D$1</f>
        <v>0</v>
      </c>
      <c r="F21" s="167">
        <f>SUMIFS('PL1.1 ML2027-2028'!$G:$G,'PL1.1 ML2027-2028'!$J:$J,'TH theo DV'!$F$3,'PL1.1 ML2027-2028'!$K:$K,'TH theo DV'!C21)/$D$1</f>
        <v>0</v>
      </c>
      <c r="G21" s="167">
        <f>SUMIFS('PL1.1 ML2027-2028'!$G:$G,'PL1.1 ML2027-2028'!$J:$J,'TH theo DV'!$G$3,'PL1.1 ML2027-2028'!$K:$K,'TH theo DV'!C21)/$D$1</f>
        <v>0</v>
      </c>
      <c r="H21" s="167">
        <f>SUMIFS('PL1.1 ML2027-2028'!$G:$G,'PL1.1 ML2027-2028'!$J:$J,'TH theo DV'!$H$3,'PL1.1 ML2027-2028'!$K:$K,'TH theo DV'!C21)/$D$1</f>
        <v>0</v>
      </c>
      <c r="I21" s="167">
        <f>SUMIFS('PL1.1 ML2027-2028'!$G:$G,'PL1.1 ML2027-2028'!$J:$J,'TH theo DV'!$I$3,'PL1.1 ML2027-2028'!$K:$K,'TH theo DV'!C21)/$D$1</f>
        <v>0</v>
      </c>
      <c r="J21" s="167">
        <f>SUMIFS('PL1.1 ML2027-2028'!$G:$G,'PL1.1 ML2027-2028'!$J:$J,'TH theo DV'!J$3,'PL1.1 ML2027-2028'!$K:$K,'TH theo DV'!$C21)/$D$1</f>
        <v>0</v>
      </c>
      <c r="K21" s="167">
        <f t="shared" si="26"/>
        <v>0</v>
      </c>
      <c r="L21" s="167" t="e">
        <f t="shared" si="13"/>
        <v>#DIV/0!</v>
      </c>
      <c r="M21" s="167">
        <f>SUMIFS('PL1.1 ML2027-2028'!$H:$H,'PL1.1 ML2027-2028'!$J:$J,'TH theo DV'!M$3,'PL1.1 ML2027-2028'!$K:$K,'TH theo DV'!$C21)/$D$1</f>
        <v>0</v>
      </c>
      <c r="N21" s="167">
        <f>SUMIFS('PL1.1 ML2027-2028'!$H:$H,'PL1.1 ML2027-2028'!$J:$J,'TH theo DV'!N$3,'PL1.1 ML2027-2028'!$K:$K,'TH theo DV'!$C21)/$D$1</f>
        <v>0</v>
      </c>
      <c r="O21" s="167">
        <f>SUMIFS('PL1.1 ML2027-2028'!$H:$H,'PL1.1 ML2027-2028'!$J:$J,'TH theo DV'!O$3,'PL1.1 ML2027-2028'!$K:$K,'TH theo DV'!$C21)/$D$1</f>
        <v>0</v>
      </c>
      <c r="P21" s="167">
        <f>SUMIFS('PL1.1 ML2027-2028'!$H:$H,'PL1.1 ML2027-2028'!$J:$J,'TH theo DV'!P$3,'PL1.1 ML2027-2028'!$K:$K,'TH theo DV'!$C21)/$D$1</f>
        <v>0</v>
      </c>
      <c r="Q21" s="167">
        <f>SUMIFS('PL1.1 ML2027-2028'!$H:$H,'PL1.1 ML2027-2028'!$J:$J,'TH theo DV'!Q$3,'PL1.1 ML2027-2028'!$K:$K,'TH theo DV'!$C21)/$D$1</f>
        <v>0</v>
      </c>
      <c r="R21" s="167">
        <f>SUMIFS('PL1.1 ML2027-2028'!$H:$H,'PL1.1 ML2027-2028'!$J:$J,'TH theo DV'!R$3,'PL1.1 ML2027-2028'!$K:$K,'TH theo DV'!$C21)/$D$1</f>
        <v>0</v>
      </c>
      <c r="S21" s="167">
        <f>SUMIFS('PL1.1 ML2027-2028'!$H:$H,'PL1.1 ML2027-2028'!$J:$J,'TH theo DV'!S$3,'PL1.1 ML2027-2028'!$K:$K,'TH theo DV'!$C21)/$D$1</f>
        <v>0</v>
      </c>
      <c r="T21" s="170">
        <f>SUM(M21:S21)</f>
        <v>0</v>
      </c>
      <c r="U21" s="176"/>
      <c r="V21" s="86">
        <f t="shared" si="28"/>
        <v>0</v>
      </c>
      <c r="W21" s="86">
        <f t="shared" si="28"/>
        <v>0</v>
      </c>
      <c r="X21" s="86">
        <f t="shared" si="28"/>
        <v>0</v>
      </c>
      <c r="Y21" s="86">
        <f t="shared" si="28"/>
        <v>0</v>
      </c>
      <c r="Z21" s="86">
        <f t="shared" si="28"/>
        <v>0</v>
      </c>
      <c r="AA21" s="86">
        <f t="shared" si="28"/>
        <v>0</v>
      </c>
      <c r="AB21" s="85">
        <f t="shared" si="29"/>
        <v>0</v>
      </c>
      <c r="AC21" s="103" t="e">
        <f t="shared" si="10"/>
        <v>#DIV/0!</v>
      </c>
      <c r="AD21" s="116"/>
    </row>
    <row r="22" spans="1:32" s="36" customFormat="1" outlineLevel="1" x14ac:dyDescent="0.25">
      <c r="A22" s="80">
        <v>5</v>
      </c>
      <c r="B22" s="84" t="s">
        <v>106</v>
      </c>
      <c r="C22" s="18"/>
      <c r="D22" s="167">
        <f t="shared" ref="D22:K22" si="30">SUBTOTAL(9,D23:D25)</f>
        <v>0</v>
      </c>
      <c r="E22" s="167">
        <f t="shared" si="30"/>
        <v>0</v>
      </c>
      <c r="F22" s="167">
        <f t="shared" si="30"/>
        <v>0</v>
      </c>
      <c r="G22" s="167">
        <f t="shared" si="30"/>
        <v>0</v>
      </c>
      <c r="H22" s="167">
        <f t="shared" si="30"/>
        <v>0</v>
      </c>
      <c r="I22" s="167">
        <f t="shared" si="30"/>
        <v>0</v>
      </c>
      <c r="J22" s="167">
        <f t="shared" ref="J22" si="31">SUBTOTAL(9,J23:J25)</f>
        <v>0</v>
      </c>
      <c r="K22" s="167">
        <f t="shared" si="30"/>
        <v>0</v>
      </c>
      <c r="L22" s="167" t="e">
        <f t="shared" si="13"/>
        <v>#DIV/0!</v>
      </c>
      <c r="M22" s="165">
        <f>SUBTOTAL(9,M23:M25)</f>
        <v>0</v>
      </c>
      <c r="N22" s="165">
        <f t="shared" ref="N22:S22" si="32">SUBTOTAL(9,N23:N25)</f>
        <v>0</v>
      </c>
      <c r="O22" s="165">
        <f t="shared" si="32"/>
        <v>0</v>
      </c>
      <c r="P22" s="165">
        <f t="shared" si="32"/>
        <v>0</v>
      </c>
      <c r="Q22" s="165">
        <f t="shared" si="32"/>
        <v>0</v>
      </c>
      <c r="R22" s="165">
        <f t="shared" si="32"/>
        <v>0</v>
      </c>
      <c r="S22" s="170">
        <f t="shared" si="32"/>
        <v>0</v>
      </c>
      <c r="T22" s="165">
        <f>SUBTOTAL(9,T23:T25)</f>
        <v>0</v>
      </c>
      <c r="U22" s="175" t="e">
        <f>T22/$T$4</f>
        <v>#DIV/0!</v>
      </c>
      <c r="V22" s="85">
        <f t="shared" ref="V22:AB22" si="33">SUBTOTAL(9,V23:V25)</f>
        <v>0</v>
      </c>
      <c r="W22" s="85">
        <f t="shared" si="33"/>
        <v>0</v>
      </c>
      <c r="X22" s="85">
        <f t="shared" si="33"/>
        <v>0</v>
      </c>
      <c r="Y22" s="85">
        <f t="shared" si="33"/>
        <v>0</v>
      </c>
      <c r="Z22" s="85">
        <f t="shared" si="33"/>
        <v>0</v>
      </c>
      <c r="AA22" s="85">
        <f t="shared" si="33"/>
        <v>0</v>
      </c>
      <c r="AB22" s="85">
        <f t="shared" si="33"/>
        <v>0</v>
      </c>
      <c r="AC22" s="103" t="e">
        <f t="shared" si="10"/>
        <v>#DIV/0!</v>
      </c>
      <c r="AD22" s="49"/>
    </row>
    <row r="23" spans="1:32" outlineLevel="1" x14ac:dyDescent="0.25">
      <c r="A23" s="44" t="s">
        <v>8</v>
      </c>
      <c r="B23" s="69" t="s">
        <v>210</v>
      </c>
      <c r="C23" s="72" t="s">
        <v>116</v>
      </c>
      <c r="D23" s="167">
        <f>SUMIFS('PL1.1 ML2027-2028'!$G:$G,'PL1.1 ML2027-2028'!$J:$J,'TH theo DV'!$D$3,'PL1.1 ML2027-2028'!$K:$K,'TH theo DV'!C23)/$D$1</f>
        <v>0</v>
      </c>
      <c r="E23" s="167">
        <f>SUMIFS('PL1.1 ML2027-2028'!$G:$G,'PL1.1 ML2027-2028'!$J:$J,'TH theo DV'!$E$3,'PL1.1 ML2027-2028'!$K:$K,'TH theo DV'!C23)/$D$1</f>
        <v>0</v>
      </c>
      <c r="F23" s="167">
        <f>SUMIFS('PL1.1 ML2027-2028'!$G:$G,'PL1.1 ML2027-2028'!$J:$J,'TH theo DV'!$F$3,'PL1.1 ML2027-2028'!$K:$K,'TH theo DV'!C23)/$D$1</f>
        <v>0</v>
      </c>
      <c r="G23" s="167">
        <f>SUMIFS('PL1.1 ML2027-2028'!$G:$G,'PL1.1 ML2027-2028'!$J:$J,'TH theo DV'!$G$3,'PL1.1 ML2027-2028'!$K:$K,'TH theo DV'!C23)/$D$1</f>
        <v>0</v>
      </c>
      <c r="H23" s="167">
        <f>SUMIFS('PL1.1 ML2027-2028'!$G:$G,'PL1.1 ML2027-2028'!$J:$J,'TH theo DV'!$H$3,'PL1.1 ML2027-2028'!$K:$K,'TH theo DV'!C23)/$D$1</f>
        <v>0</v>
      </c>
      <c r="I23" s="167">
        <f>SUMIFS('PL1.1 ML2027-2028'!$G:$G,'PL1.1 ML2027-2028'!$J:$J,'TH theo DV'!$I$3,'PL1.1 ML2027-2028'!$K:$K,'TH theo DV'!C23)/$D$1</f>
        <v>0</v>
      </c>
      <c r="J23" s="167">
        <f>SUMIFS('PL1.1 ML2027-2028'!$G:$G,'PL1.1 ML2027-2028'!$J:$J,'TH theo DV'!J$3,'PL1.1 ML2027-2028'!$K:$K,'TH theo DV'!$C23)/$D$1</f>
        <v>0</v>
      </c>
      <c r="K23" s="167">
        <f>SUM(D23:J23)</f>
        <v>0</v>
      </c>
      <c r="L23" s="167" t="e">
        <f t="shared" si="13"/>
        <v>#DIV/0!</v>
      </c>
      <c r="M23" s="167">
        <f>SUMIFS('PL1.1 ML2027-2028'!$H:$H,'PL1.1 ML2027-2028'!$J:$J,'TH theo DV'!M$3,'PL1.1 ML2027-2028'!$K:$K,'TH theo DV'!$C23)/$D$1</f>
        <v>0</v>
      </c>
      <c r="N23" s="167">
        <f>SUMIFS('PL1.1 ML2027-2028'!$H:$H,'PL1.1 ML2027-2028'!$J:$J,'TH theo DV'!N$3,'PL1.1 ML2027-2028'!$K:$K,'TH theo DV'!$C23)/$D$1</f>
        <v>0</v>
      </c>
      <c r="O23" s="167">
        <f>SUMIFS('PL1.1 ML2027-2028'!$H:$H,'PL1.1 ML2027-2028'!$J:$J,'TH theo DV'!O$3,'PL1.1 ML2027-2028'!$K:$K,'TH theo DV'!$C23)/$D$1</f>
        <v>0</v>
      </c>
      <c r="P23" s="167">
        <f>SUMIFS('PL1.1 ML2027-2028'!$H:$H,'PL1.1 ML2027-2028'!$J:$J,'TH theo DV'!P$3,'PL1.1 ML2027-2028'!$K:$K,'TH theo DV'!$C23)/$D$1</f>
        <v>0</v>
      </c>
      <c r="Q23" s="167">
        <f>SUMIFS('PL1.1 ML2027-2028'!$H:$H,'PL1.1 ML2027-2028'!$J:$J,'TH theo DV'!Q$3,'PL1.1 ML2027-2028'!$K:$K,'TH theo DV'!$C23)/$D$1</f>
        <v>0</v>
      </c>
      <c r="R23" s="167">
        <f>SUMIFS('PL1.1 ML2027-2028'!$H:$H,'PL1.1 ML2027-2028'!$J:$J,'TH theo DV'!R$3,'PL1.1 ML2027-2028'!$K:$K,'TH theo DV'!$C23)/$D$1</f>
        <v>0</v>
      </c>
      <c r="S23" s="167">
        <f>SUMIFS('PL1.1 ML2027-2028'!$H:$H,'PL1.1 ML2027-2028'!$J:$J,'TH theo DV'!S$3,'PL1.1 ML2027-2028'!$K:$K,'TH theo DV'!$C23)/$D$1</f>
        <v>0</v>
      </c>
      <c r="T23" s="170">
        <f t="shared" ref="T23:T25" si="34">SUM(M23:S23)</f>
        <v>0</v>
      </c>
      <c r="U23" s="174"/>
      <c r="V23" s="66">
        <f t="shared" ref="V23:AA25" si="35">D23+M23</f>
        <v>0</v>
      </c>
      <c r="W23" s="66">
        <f t="shared" si="35"/>
        <v>0</v>
      </c>
      <c r="X23" s="66">
        <f t="shared" si="35"/>
        <v>0</v>
      </c>
      <c r="Y23" s="66">
        <f t="shared" si="35"/>
        <v>0</v>
      </c>
      <c r="Z23" s="66">
        <f t="shared" si="35"/>
        <v>0</v>
      </c>
      <c r="AA23" s="66">
        <f t="shared" si="35"/>
        <v>0</v>
      </c>
      <c r="AB23" s="65">
        <f>SUM(V23:AA23)</f>
        <v>0</v>
      </c>
      <c r="AC23" s="68" t="e">
        <f t="shared" si="10"/>
        <v>#DIV/0!</v>
      </c>
    </row>
    <row r="24" spans="1:32" outlineLevel="1" x14ac:dyDescent="0.25">
      <c r="A24" s="44" t="s">
        <v>8</v>
      </c>
      <c r="B24" s="69" t="s">
        <v>114</v>
      </c>
      <c r="C24" s="72" t="s">
        <v>117</v>
      </c>
      <c r="D24" s="167">
        <f>SUMIFS('PL1.1 ML2027-2028'!$G:$G,'PL1.1 ML2027-2028'!$J:$J,'TH theo DV'!$D$3,'PL1.1 ML2027-2028'!$K:$K,'TH theo DV'!C24)/$D$1</f>
        <v>0</v>
      </c>
      <c r="E24" s="167">
        <f>SUMIFS('PL1.1 ML2027-2028'!$G:$G,'PL1.1 ML2027-2028'!$J:$J,'TH theo DV'!$E$3,'PL1.1 ML2027-2028'!$K:$K,'TH theo DV'!C24)/$D$1</f>
        <v>0</v>
      </c>
      <c r="F24" s="167">
        <f>SUMIFS('PL1.1 ML2027-2028'!$G:$G,'PL1.1 ML2027-2028'!$J:$J,'TH theo DV'!$F$3,'PL1.1 ML2027-2028'!$K:$K,'TH theo DV'!C24)/$D$1</f>
        <v>0</v>
      </c>
      <c r="G24" s="167">
        <f>SUMIFS('PL1.1 ML2027-2028'!$G:$G,'PL1.1 ML2027-2028'!$J:$J,'TH theo DV'!$G$3,'PL1.1 ML2027-2028'!$K:$K,'TH theo DV'!C24)/$D$1</f>
        <v>0</v>
      </c>
      <c r="H24" s="167">
        <f>SUMIFS('PL1.1 ML2027-2028'!$G:$G,'PL1.1 ML2027-2028'!$J:$J,'TH theo DV'!$H$3,'PL1.1 ML2027-2028'!$K:$K,'TH theo DV'!C24)/$D$1</f>
        <v>0</v>
      </c>
      <c r="I24" s="167">
        <f>SUMIFS('PL1.1 ML2027-2028'!$G:$G,'PL1.1 ML2027-2028'!$J:$J,'TH theo DV'!$I$3,'PL1.1 ML2027-2028'!$K:$K,'TH theo DV'!C24)/$D$1</f>
        <v>0</v>
      </c>
      <c r="J24" s="167">
        <f>SUMIFS('PL1.1 ML2027-2028'!$G:$G,'PL1.1 ML2027-2028'!$J:$J,'TH theo DV'!J$3,'PL1.1 ML2027-2028'!$K:$K,'TH theo DV'!$C24)/$D$1</f>
        <v>0</v>
      </c>
      <c r="K24" s="167">
        <f>SUM(D24:J24)</f>
        <v>0</v>
      </c>
      <c r="L24" s="167" t="e">
        <f t="shared" si="13"/>
        <v>#DIV/0!</v>
      </c>
      <c r="M24" s="167">
        <f>SUMIFS('PL1.1 ML2027-2028'!$H:$H,'PL1.1 ML2027-2028'!$J:$J,'TH theo DV'!M$3,'PL1.1 ML2027-2028'!$K:$K,'TH theo DV'!$C24)/$D$1</f>
        <v>0</v>
      </c>
      <c r="N24" s="167">
        <f>SUMIFS('PL1.1 ML2027-2028'!$H:$H,'PL1.1 ML2027-2028'!$J:$J,'TH theo DV'!N$3,'PL1.1 ML2027-2028'!$K:$K,'TH theo DV'!$C24)/$D$1</f>
        <v>0</v>
      </c>
      <c r="O24" s="167">
        <f>SUMIFS('PL1.1 ML2027-2028'!$H:$H,'PL1.1 ML2027-2028'!$J:$J,'TH theo DV'!O$3,'PL1.1 ML2027-2028'!$K:$K,'TH theo DV'!$C24)/$D$1</f>
        <v>0</v>
      </c>
      <c r="P24" s="167">
        <f>SUMIFS('PL1.1 ML2027-2028'!$H:$H,'PL1.1 ML2027-2028'!$J:$J,'TH theo DV'!P$3,'PL1.1 ML2027-2028'!$K:$K,'TH theo DV'!$C24)/$D$1</f>
        <v>0</v>
      </c>
      <c r="Q24" s="167">
        <f>SUMIFS('PL1.1 ML2027-2028'!$H:$H,'PL1.1 ML2027-2028'!$J:$J,'TH theo DV'!Q$3,'PL1.1 ML2027-2028'!$K:$K,'TH theo DV'!$C24)/$D$1</f>
        <v>0</v>
      </c>
      <c r="R24" s="167">
        <f>SUMIFS('PL1.1 ML2027-2028'!$H:$H,'PL1.1 ML2027-2028'!$J:$J,'TH theo DV'!R$3,'PL1.1 ML2027-2028'!$K:$K,'TH theo DV'!$C24)/$D$1</f>
        <v>0</v>
      </c>
      <c r="S24" s="167">
        <f>SUMIFS('PL1.1 ML2027-2028'!$H:$H,'PL1.1 ML2027-2028'!$J:$J,'TH theo DV'!S$3,'PL1.1 ML2027-2028'!$K:$K,'TH theo DV'!$C24)/$D$1</f>
        <v>0</v>
      </c>
      <c r="T24" s="170">
        <f t="shared" si="34"/>
        <v>0</v>
      </c>
      <c r="U24" s="174"/>
      <c r="V24" s="66">
        <f t="shared" si="35"/>
        <v>0</v>
      </c>
      <c r="W24" s="66">
        <f t="shared" si="35"/>
        <v>0</v>
      </c>
      <c r="X24" s="66">
        <f t="shared" si="35"/>
        <v>0</v>
      </c>
      <c r="Y24" s="66">
        <f t="shared" si="35"/>
        <v>0</v>
      </c>
      <c r="Z24" s="66">
        <f t="shared" si="35"/>
        <v>0</v>
      </c>
      <c r="AA24" s="66">
        <f t="shared" si="35"/>
        <v>0</v>
      </c>
      <c r="AB24" s="65">
        <f>SUM(V24:AA24)</f>
        <v>0</v>
      </c>
      <c r="AC24" s="68" t="e">
        <f t="shared" si="10"/>
        <v>#DIV/0!</v>
      </c>
    </row>
    <row r="25" spans="1:32" outlineLevel="1" x14ac:dyDescent="0.25">
      <c r="A25" s="44" t="s">
        <v>8</v>
      </c>
      <c r="B25" s="69" t="s">
        <v>51</v>
      </c>
      <c r="C25" s="72" t="s">
        <v>51</v>
      </c>
      <c r="D25" s="167">
        <f>SUMIFS('PL1.1 ML2027-2028'!$G:$G,'PL1.1 ML2027-2028'!$J:$J,'TH theo DV'!$D$3,'PL1.1 ML2027-2028'!$K:$K,'TH theo DV'!C25)/$D$1</f>
        <v>0</v>
      </c>
      <c r="E25" s="167">
        <f>SUMIFS('PL1.1 ML2027-2028'!$G:$G,'PL1.1 ML2027-2028'!$J:$J,'TH theo DV'!$E$3,'PL1.1 ML2027-2028'!$K:$K,'TH theo DV'!C25)/$D$1</f>
        <v>0</v>
      </c>
      <c r="F25" s="167">
        <f>SUMIFS('PL1.1 ML2027-2028'!$G:$G,'PL1.1 ML2027-2028'!$J:$J,'TH theo DV'!$F$3,'PL1.1 ML2027-2028'!$K:$K,'TH theo DV'!C25)/$D$1</f>
        <v>0</v>
      </c>
      <c r="G25" s="167">
        <f>SUMIFS('PL1.1 ML2027-2028'!$G:$G,'PL1.1 ML2027-2028'!$J:$J,'TH theo DV'!$G$3,'PL1.1 ML2027-2028'!$K:$K,'TH theo DV'!C25)/$D$1</f>
        <v>0</v>
      </c>
      <c r="H25" s="167">
        <f>SUMIFS('PL1.1 ML2027-2028'!$G:$G,'PL1.1 ML2027-2028'!$J:$J,'TH theo DV'!$H$3,'PL1.1 ML2027-2028'!$K:$K,'TH theo DV'!C25)/$D$1</f>
        <v>0</v>
      </c>
      <c r="I25" s="167">
        <f>SUMIFS('PL1.1 ML2027-2028'!$G:$G,'PL1.1 ML2027-2028'!$J:$J,'TH theo DV'!$I$3,'PL1.1 ML2027-2028'!$K:$K,'TH theo DV'!C25)/$D$1</f>
        <v>0</v>
      </c>
      <c r="J25" s="167">
        <f>SUMIFS('PL1.1 ML2027-2028'!$G:$G,'PL1.1 ML2027-2028'!$J:$J,'TH theo DV'!J$3,'PL1.1 ML2027-2028'!$K:$K,'TH theo DV'!$C25)/$D$1</f>
        <v>0</v>
      </c>
      <c r="K25" s="167">
        <f>SUM(D25:J25)</f>
        <v>0</v>
      </c>
      <c r="L25" s="167" t="e">
        <f t="shared" si="13"/>
        <v>#DIV/0!</v>
      </c>
      <c r="M25" s="167">
        <f>SUMIFS('PL1.1 ML2027-2028'!$H:$H,'PL1.1 ML2027-2028'!$J:$J,'TH theo DV'!M$3,'PL1.1 ML2027-2028'!$K:$K,'TH theo DV'!$C25)/$D$1</f>
        <v>0</v>
      </c>
      <c r="N25" s="167">
        <f>SUMIFS('PL1.1 ML2027-2028'!$H:$H,'PL1.1 ML2027-2028'!$J:$J,'TH theo DV'!N$3,'PL1.1 ML2027-2028'!$K:$K,'TH theo DV'!$C25)/$D$1</f>
        <v>0</v>
      </c>
      <c r="O25" s="167">
        <f>SUMIFS('PL1.1 ML2027-2028'!$H:$H,'PL1.1 ML2027-2028'!$J:$J,'TH theo DV'!O$3,'PL1.1 ML2027-2028'!$K:$K,'TH theo DV'!$C25)/$D$1</f>
        <v>0</v>
      </c>
      <c r="P25" s="167">
        <f>SUMIFS('PL1.1 ML2027-2028'!$H:$H,'PL1.1 ML2027-2028'!$J:$J,'TH theo DV'!P$3,'PL1.1 ML2027-2028'!$K:$K,'TH theo DV'!$C25)/$D$1</f>
        <v>0</v>
      </c>
      <c r="Q25" s="167">
        <f>SUMIFS('PL1.1 ML2027-2028'!$H:$H,'PL1.1 ML2027-2028'!$J:$J,'TH theo DV'!Q$3,'PL1.1 ML2027-2028'!$K:$K,'TH theo DV'!$C25)/$D$1</f>
        <v>0</v>
      </c>
      <c r="R25" s="167">
        <f>SUMIFS('PL1.1 ML2027-2028'!$H:$H,'PL1.1 ML2027-2028'!$J:$J,'TH theo DV'!R$3,'PL1.1 ML2027-2028'!$K:$K,'TH theo DV'!$C25)/$D$1</f>
        <v>0</v>
      </c>
      <c r="S25" s="167">
        <f>SUMIFS('PL1.1 ML2027-2028'!$H:$H,'PL1.1 ML2027-2028'!$J:$J,'TH theo DV'!S$3,'PL1.1 ML2027-2028'!$K:$K,'TH theo DV'!$C25)/$D$1</f>
        <v>0</v>
      </c>
      <c r="T25" s="170">
        <f t="shared" si="34"/>
        <v>0</v>
      </c>
      <c r="U25" s="174"/>
      <c r="V25" s="66">
        <f t="shared" si="35"/>
        <v>0</v>
      </c>
      <c r="W25" s="66">
        <f t="shared" si="35"/>
        <v>0</v>
      </c>
      <c r="X25" s="66">
        <f t="shared" si="35"/>
        <v>0</v>
      </c>
      <c r="Y25" s="66">
        <f t="shared" si="35"/>
        <v>0</v>
      </c>
      <c r="Z25" s="66">
        <f t="shared" si="35"/>
        <v>0</v>
      </c>
      <c r="AA25" s="66">
        <f t="shared" si="35"/>
        <v>0</v>
      </c>
      <c r="AB25" s="65">
        <f>SUM(V25:AA25)</f>
        <v>0</v>
      </c>
      <c r="AC25" s="68" t="e">
        <f t="shared" si="10"/>
        <v>#DIV/0!</v>
      </c>
    </row>
    <row r="26" spans="1:32" s="36" customFormat="1" outlineLevel="1" x14ac:dyDescent="0.25">
      <c r="A26" s="80">
        <v>5</v>
      </c>
      <c r="B26" s="84" t="s">
        <v>197</v>
      </c>
      <c r="C26" s="18"/>
      <c r="D26" s="167">
        <f t="shared" ref="D26:I26" si="36">SUBTOTAL(9,D27:D29)</f>
        <v>0</v>
      </c>
      <c r="E26" s="167">
        <f t="shared" si="36"/>
        <v>0</v>
      </c>
      <c r="F26" s="167">
        <f t="shared" si="36"/>
        <v>0</v>
      </c>
      <c r="G26" s="167">
        <f t="shared" si="36"/>
        <v>0</v>
      </c>
      <c r="H26" s="167">
        <f>SUBTOTAL(9,H27:H28)</f>
        <v>0</v>
      </c>
      <c r="I26" s="167">
        <f t="shared" si="36"/>
        <v>0</v>
      </c>
      <c r="J26" s="167">
        <f t="shared" ref="J26" si="37">SUBTOTAL(9,J27:J29)</f>
        <v>0</v>
      </c>
      <c r="K26" s="167">
        <f>SUBTOTAL(9,K27:K28)</f>
        <v>0</v>
      </c>
      <c r="L26" s="167" t="e">
        <f t="shared" ref="L26:L28" si="38">K26/$K$4</f>
        <v>#DIV/0!</v>
      </c>
      <c r="M26" s="165">
        <f>SUBTOTAL(9,M27:M29)</f>
        <v>0</v>
      </c>
      <c r="N26" s="165">
        <f t="shared" ref="N26:S26" si="39">SUBTOTAL(9,N27:N29)</f>
        <v>0</v>
      </c>
      <c r="O26" s="165">
        <f t="shared" si="39"/>
        <v>0</v>
      </c>
      <c r="P26" s="165">
        <f t="shared" si="39"/>
        <v>0</v>
      </c>
      <c r="Q26" s="165">
        <f t="shared" si="39"/>
        <v>0</v>
      </c>
      <c r="R26" s="165">
        <f t="shared" si="39"/>
        <v>0</v>
      </c>
      <c r="S26" s="170">
        <f t="shared" si="39"/>
        <v>0</v>
      </c>
      <c r="T26" s="165">
        <f>SUBTOTAL(9,T27:T29)</f>
        <v>0</v>
      </c>
      <c r="U26" s="175" t="e">
        <f>T26/$T$4</f>
        <v>#DIV/0!</v>
      </c>
      <c r="V26" s="85">
        <f t="shared" ref="V26:AB26" si="40">SUBTOTAL(9,V27:V29)</f>
        <v>0</v>
      </c>
      <c r="W26" s="85">
        <f t="shared" si="40"/>
        <v>0</v>
      </c>
      <c r="X26" s="85">
        <f t="shared" si="40"/>
        <v>0</v>
      </c>
      <c r="Y26" s="85">
        <f t="shared" si="40"/>
        <v>0</v>
      </c>
      <c r="Z26" s="85">
        <f t="shared" si="40"/>
        <v>0</v>
      </c>
      <c r="AA26" s="85">
        <f t="shared" si="40"/>
        <v>0</v>
      </c>
      <c r="AB26" s="85">
        <f t="shared" si="40"/>
        <v>0</v>
      </c>
      <c r="AC26" s="103" t="e">
        <f t="shared" ref="AC26:AC28" si="41">AB26/$AB$4</f>
        <v>#DIV/0!</v>
      </c>
      <c r="AD26" s="49"/>
    </row>
    <row r="27" spans="1:32" outlineLevel="1" x14ac:dyDescent="0.25">
      <c r="A27" s="44" t="s">
        <v>8</v>
      </c>
      <c r="B27" s="69" t="s">
        <v>195</v>
      </c>
      <c r="C27" s="118" t="s">
        <v>79</v>
      </c>
      <c r="D27" s="167">
        <f>SUMIFS('PL1.1 ML2027-2028'!$G:$G,'PL1.1 ML2027-2028'!$J:$J,'TH theo DV'!$D$3,'PL1.1 ML2027-2028'!$K:$K,'TH theo DV'!C27)/$D$1</f>
        <v>0</v>
      </c>
      <c r="E27" s="167">
        <f>SUMIFS('PL1.1 ML2027-2028'!$G:$G,'PL1.1 ML2027-2028'!$J:$J,'TH theo DV'!$E$3,'PL1.1 ML2027-2028'!$K:$K,'TH theo DV'!C27)/$D$1</f>
        <v>0</v>
      </c>
      <c r="F27" s="167">
        <f>SUMIFS('PL1.1 ML2027-2028'!$G:$G,'PL1.1 ML2027-2028'!$J:$J,'TH theo DV'!$F$3,'PL1.1 ML2027-2028'!$K:$K,'TH theo DV'!C27)/$D$1</f>
        <v>0</v>
      </c>
      <c r="G27" s="167">
        <f>SUMIFS('PL1.1 ML2027-2028'!$G:$G,'PL1.1 ML2027-2028'!$J:$J,'TH theo DV'!$G$3,'PL1.1 ML2027-2028'!$K:$K,'TH theo DV'!C27)/$D$1</f>
        <v>0</v>
      </c>
      <c r="H27" s="167">
        <f>SUMIFS('PL1.1 ML2027-2028'!$G:$G,'PL1.1 ML2027-2028'!$J:$J,'TH theo DV'!$H$3,'PL1.1 ML2027-2028'!$K:$K,'TH theo DV'!C27)/$D$1</f>
        <v>0</v>
      </c>
      <c r="I27" s="167">
        <f>SUMIFS('PL1.1 ML2027-2028'!$G:$G,'PL1.1 ML2027-2028'!$J:$J,'TH theo DV'!$I$3,'PL1.1 ML2027-2028'!$K:$K,'TH theo DV'!C27)/$D$1</f>
        <v>0</v>
      </c>
      <c r="J27" s="167">
        <f>SUMIFS('PL1.1 ML2027-2028'!$G:$G,'PL1.1 ML2027-2028'!$J:$J,'TH theo DV'!J$3,'PL1.1 ML2027-2028'!$K:$K,'TH theo DV'!$C27)/$D$1</f>
        <v>0</v>
      </c>
      <c r="K27" s="167">
        <f>SUM(D27:J27)</f>
        <v>0</v>
      </c>
      <c r="L27" s="167" t="e">
        <f t="shared" si="38"/>
        <v>#DIV/0!</v>
      </c>
      <c r="M27" s="167">
        <f>SUMIFS('PL1.1 ML2027-2028'!$H:$H,'PL1.1 ML2027-2028'!$J:$J,'TH theo DV'!M$3,'PL1.1 ML2027-2028'!$K:$K,'TH theo DV'!$C27)/$D$1</f>
        <v>0</v>
      </c>
      <c r="N27" s="167">
        <f>SUMIFS('PL1.1 ML2027-2028'!$H:$H,'PL1.1 ML2027-2028'!$J:$J,'TH theo DV'!N$3,'PL1.1 ML2027-2028'!$K:$K,'TH theo DV'!$C27)/$D$1</f>
        <v>0</v>
      </c>
      <c r="O27" s="167">
        <f>SUMIFS('PL1.1 ML2027-2028'!$H:$H,'PL1.1 ML2027-2028'!$J:$J,'TH theo DV'!O$3,'PL1.1 ML2027-2028'!$K:$K,'TH theo DV'!$C27)/$D$1</f>
        <v>0</v>
      </c>
      <c r="P27" s="167">
        <f>SUMIFS('PL1.1 ML2027-2028'!$H:$H,'PL1.1 ML2027-2028'!$J:$J,'TH theo DV'!P$3,'PL1.1 ML2027-2028'!$K:$K,'TH theo DV'!$C27)/$D$1</f>
        <v>0</v>
      </c>
      <c r="Q27" s="167">
        <f>SUMIFS('PL1.1 ML2027-2028'!$H:$H,'PL1.1 ML2027-2028'!$J:$J,'TH theo DV'!Q$3,'PL1.1 ML2027-2028'!$K:$K,'TH theo DV'!$C27)/$D$1</f>
        <v>0</v>
      </c>
      <c r="R27" s="167">
        <f>SUMIFS('PL1.1 ML2027-2028'!$H:$H,'PL1.1 ML2027-2028'!$J:$J,'TH theo DV'!R$3,'PL1.1 ML2027-2028'!$K:$K,'TH theo DV'!$C27)/$D$1</f>
        <v>0</v>
      </c>
      <c r="S27" s="167">
        <f>SUMIFS('PL1.1 ML2027-2028'!$H:$H,'PL1.1 ML2027-2028'!$J:$J,'TH theo DV'!S$3,'PL1.1 ML2027-2028'!$K:$K,'TH theo DV'!$C27)/$D$1</f>
        <v>0</v>
      </c>
      <c r="T27" s="170">
        <f t="shared" ref="T27:T28" si="42">SUM(M27:S27)</f>
        <v>0</v>
      </c>
      <c r="U27" s="174"/>
      <c r="V27" s="66">
        <f t="shared" ref="V27:AA28" si="43">D27+M27</f>
        <v>0</v>
      </c>
      <c r="W27" s="66">
        <f t="shared" si="43"/>
        <v>0</v>
      </c>
      <c r="X27" s="66">
        <f t="shared" si="43"/>
        <v>0</v>
      </c>
      <c r="Y27" s="66">
        <f t="shared" si="43"/>
        <v>0</v>
      </c>
      <c r="Z27" s="66">
        <f t="shared" si="43"/>
        <v>0</v>
      </c>
      <c r="AA27" s="66">
        <f t="shared" si="43"/>
        <v>0</v>
      </c>
      <c r="AB27" s="65">
        <f>SUM(V27:AA27)</f>
        <v>0</v>
      </c>
      <c r="AC27" s="68" t="e">
        <f t="shared" si="41"/>
        <v>#DIV/0!</v>
      </c>
    </row>
    <row r="28" spans="1:32" outlineLevel="1" x14ac:dyDescent="0.25">
      <c r="A28" s="44" t="s">
        <v>8</v>
      </c>
      <c r="B28" s="69" t="s">
        <v>196</v>
      </c>
      <c r="C28" s="118" t="s">
        <v>80</v>
      </c>
      <c r="D28" s="167">
        <f>SUMIFS('PL1.1 ML2027-2028'!$G:$G,'PL1.1 ML2027-2028'!$J:$J,'TH theo DV'!$D$3,'PL1.1 ML2027-2028'!$K:$K,'TH theo DV'!C28)/$D$1</f>
        <v>0</v>
      </c>
      <c r="E28" s="167">
        <f>SUMIFS('PL1.1 ML2027-2028'!$G:$G,'PL1.1 ML2027-2028'!$J:$J,'TH theo DV'!$E$3,'PL1.1 ML2027-2028'!$K:$K,'TH theo DV'!C28)/$D$1</f>
        <v>0</v>
      </c>
      <c r="F28" s="167">
        <f>SUMIFS('PL1.1 ML2027-2028'!$G:$G,'PL1.1 ML2027-2028'!$J:$J,'TH theo DV'!$F$3,'PL1.1 ML2027-2028'!$K:$K,'TH theo DV'!C28)/$D$1</f>
        <v>0</v>
      </c>
      <c r="G28" s="167">
        <f>SUMIFS('PL1.1 ML2027-2028'!$G:$G,'PL1.1 ML2027-2028'!$J:$J,'TH theo DV'!$G$3,'PL1.1 ML2027-2028'!$K:$K,'TH theo DV'!C28)/$D$1</f>
        <v>0</v>
      </c>
      <c r="H28" s="167">
        <f>SUMIFS('PL1.1 ML2027-2028'!$G:$G,'PL1.1 ML2027-2028'!$J:$J,'TH theo DV'!$H$3,'PL1.1 ML2027-2028'!$K:$K,'TH theo DV'!C28)/$D$1</f>
        <v>0</v>
      </c>
      <c r="I28" s="167">
        <f>SUMIFS('PL1.1 ML2027-2028'!$G:$G,'PL1.1 ML2027-2028'!$J:$J,'TH theo DV'!$I$3,'PL1.1 ML2027-2028'!$K:$K,'TH theo DV'!C28)/$D$1</f>
        <v>0</v>
      </c>
      <c r="J28" s="167">
        <f>SUMIFS('PL1.1 ML2027-2028'!$G:$G,'PL1.1 ML2027-2028'!$J:$J,'TH theo DV'!J$3,'PL1.1 ML2027-2028'!$K:$K,'TH theo DV'!$C28)/$D$1</f>
        <v>0</v>
      </c>
      <c r="K28" s="167">
        <f>SUM(D28:J28)</f>
        <v>0</v>
      </c>
      <c r="L28" s="167" t="e">
        <f t="shared" si="38"/>
        <v>#DIV/0!</v>
      </c>
      <c r="M28" s="167">
        <f>SUMIFS('PL1.1 ML2027-2028'!$H:$H,'PL1.1 ML2027-2028'!$J:$J,'TH theo DV'!M$3,'PL1.1 ML2027-2028'!$K:$K,'TH theo DV'!$C28)/$D$1</f>
        <v>0</v>
      </c>
      <c r="N28" s="167">
        <f>SUMIFS('PL1.1 ML2027-2028'!$H:$H,'PL1.1 ML2027-2028'!$J:$J,'TH theo DV'!N$3,'PL1.1 ML2027-2028'!$K:$K,'TH theo DV'!$C28)/$D$1</f>
        <v>0</v>
      </c>
      <c r="O28" s="167">
        <f>SUMIFS('PL1.1 ML2027-2028'!$H:$H,'PL1.1 ML2027-2028'!$J:$J,'TH theo DV'!O$3,'PL1.1 ML2027-2028'!$K:$K,'TH theo DV'!$C28)/$D$1</f>
        <v>0</v>
      </c>
      <c r="P28" s="167">
        <f>SUMIFS('PL1.1 ML2027-2028'!$H:$H,'PL1.1 ML2027-2028'!$J:$J,'TH theo DV'!P$3,'PL1.1 ML2027-2028'!$K:$K,'TH theo DV'!$C28)/$D$1</f>
        <v>0</v>
      </c>
      <c r="Q28" s="167">
        <f>SUMIFS('PL1.1 ML2027-2028'!$H:$H,'PL1.1 ML2027-2028'!$J:$J,'TH theo DV'!Q$3,'PL1.1 ML2027-2028'!$K:$K,'TH theo DV'!$C28)/$D$1</f>
        <v>0</v>
      </c>
      <c r="R28" s="167">
        <f>SUMIFS('PL1.1 ML2027-2028'!$H:$H,'PL1.1 ML2027-2028'!$J:$J,'TH theo DV'!R$3,'PL1.1 ML2027-2028'!$K:$K,'TH theo DV'!$C28)/$D$1</f>
        <v>0</v>
      </c>
      <c r="S28" s="167">
        <f>SUMIFS('PL1.1 ML2027-2028'!$H:$H,'PL1.1 ML2027-2028'!$J:$J,'TH theo DV'!S$3,'PL1.1 ML2027-2028'!$K:$K,'TH theo DV'!$C28)/$D$1</f>
        <v>0</v>
      </c>
      <c r="T28" s="170">
        <f t="shared" si="42"/>
        <v>0</v>
      </c>
      <c r="U28" s="174"/>
      <c r="V28" s="66">
        <f t="shared" si="43"/>
        <v>0</v>
      </c>
      <c r="W28" s="66">
        <f t="shared" si="43"/>
        <v>0</v>
      </c>
      <c r="X28" s="66">
        <f t="shared" si="43"/>
        <v>0</v>
      </c>
      <c r="Y28" s="66">
        <f t="shared" si="43"/>
        <v>0</v>
      </c>
      <c r="Z28" s="66">
        <f t="shared" si="43"/>
        <v>0</v>
      </c>
      <c r="AA28" s="66">
        <f t="shared" si="43"/>
        <v>0</v>
      </c>
      <c r="AB28" s="65">
        <f>SUM(V28:AA28)</f>
        <v>0</v>
      </c>
      <c r="AC28" s="68" t="e">
        <f t="shared" si="41"/>
        <v>#DIV/0!</v>
      </c>
    </row>
    <row r="29" spans="1:32" ht="25.5" outlineLevel="1" x14ac:dyDescent="0.25">
      <c r="A29" s="58" t="s">
        <v>15</v>
      </c>
      <c r="B29" s="104" t="s">
        <v>115</v>
      </c>
      <c r="C29" s="88"/>
      <c r="D29" s="166">
        <f t="shared" ref="D29:F29" si="44">SUBTOTAL(9,D30:D33)</f>
        <v>0</v>
      </c>
      <c r="E29" s="166">
        <f t="shared" si="44"/>
        <v>0</v>
      </c>
      <c r="F29" s="166">
        <f t="shared" si="44"/>
        <v>0</v>
      </c>
      <c r="G29" s="166">
        <f>SUBTOTAL(9,G30:G33)</f>
        <v>0</v>
      </c>
      <c r="H29" s="166">
        <f t="shared" ref="H29:K29" si="45">SUBTOTAL(9,H30:H33)</f>
        <v>0</v>
      </c>
      <c r="I29" s="166">
        <f t="shared" si="45"/>
        <v>0</v>
      </c>
      <c r="J29" s="180">
        <f t="shared" ref="J29" si="46">SUBTOTAL(9,J30:J33)</f>
        <v>0</v>
      </c>
      <c r="K29" s="166">
        <f t="shared" si="45"/>
        <v>0</v>
      </c>
      <c r="L29" s="107" t="e">
        <f t="shared" ref="L29:L34" si="47">K29/$K$4</f>
        <v>#DIV/0!</v>
      </c>
      <c r="M29" s="166">
        <f t="shared" ref="M29" si="48">SUBTOTAL(9,M30:M33)</f>
        <v>0</v>
      </c>
      <c r="N29" s="166">
        <f t="shared" ref="N29" si="49">SUBTOTAL(9,N31:N33)</f>
        <v>0</v>
      </c>
      <c r="O29" s="166">
        <f t="shared" ref="O29:T29" si="50">SUBTOTAL(9,O30:O33)</f>
        <v>0</v>
      </c>
      <c r="P29" s="166">
        <f t="shared" si="50"/>
        <v>0</v>
      </c>
      <c r="Q29" s="166">
        <f t="shared" si="50"/>
        <v>0</v>
      </c>
      <c r="R29" s="166">
        <f t="shared" si="50"/>
        <v>0</v>
      </c>
      <c r="S29" s="166">
        <f t="shared" si="50"/>
        <v>0</v>
      </c>
      <c r="T29" s="166">
        <f t="shared" si="50"/>
        <v>0</v>
      </c>
      <c r="U29" s="107" t="e">
        <f t="shared" ref="U29:U34" si="51">T29/$T$4</f>
        <v>#DIV/0!</v>
      </c>
      <c r="V29" s="67">
        <f t="shared" ref="V29:AB29" si="52">SUBTOTAL(9,V31:V33)</f>
        <v>0</v>
      </c>
      <c r="W29" s="67">
        <f t="shared" si="52"/>
        <v>0</v>
      </c>
      <c r="X29" s="67">
        <f t="shared" si="52"/>
        <v>0</v>
      </c>
      <c r="Y29" s="67">
        <f t="shared" si="52"/>
        <v>0</v>
      </c>
      <c r="Z29" s="67">
        <f t="shared" si="52"/>
        <v>0</v>
      </c>
      <c r="AA29" s="67">
        <f t="shared" si="52"/>
        <v>0</v>
      </c>
      <c r="AB29" s="67">
        <f t="shared" si="52"/>
        <v>0</v>
      </c>
      <c r="AC29" s="107" t="e">
        <f t="shared" si="10"/>
        <v>#DIV/0!</v>
      </c>
    </row>
    <row r="30" spans="1:32" s="36" customFormat="1" outlineLevel="1" x14ac:dyDescent="0.25">
      <c r="A30" s="18">
        <v>1</v>
      </c>
      <c r="B30" s="52" t="s">
        <v>159</v>
      </c>
      <c r="C30" s="18" t="s">
        <v>160</v>
      </c>
      <c r="D30" s="171">
        <f>SUMIFS('PL1.1 ML2027-2028'!$G:$G,'PL1.1 ML2027-2028'!$J:$J,'TH theo DV'!$D$3,'PL1.1 ML2027-2028'!$K:$K,'TH theo DV'!C30)/$D$1</f>
        <v>0</v>
      </c>
      <c r="E30" s="171">
        <f>SUMIFS('PL1.1 ML2027-2028'!$G:$G,'PL1.1 ML2027-2028'!$J:$J,'TH theo DV'!$E$3,'PL1.1 ML2027-2028'!$K:$K,'TH theo DV'!C30)/$D$1</f>
        <v>0</v>
      </c>
      <c r="F30" s="171">
        <f>SUMIFS('PL1.1 ML2027-2028'!$G:$G,'PL1.1 ML2027-2028'!$J:$J,'TH theo DV'!$F$3,'PL1.1 ML2027-2028'!$K:$K,'TH theo DV'!C30)/$D$1</f>
        <v>0</v>
      </c>
      <c r="G30" s="167">
        <f>SUMIFS('PL1.1 ML2027-2028'!$G:$G,'PL1.1 ML2027-2028'!$J:$J,'TH theo DV'!$G$3,'PL1.1 ML2027-2028'!$K:$K,'TH theo DV'!C30)/$D$1</f>
        <v>0</v>
      </c>
      <c r="H30" s="167">
        <f>SUMIFS('PL1.1 ML2027-2028'!$G:$G,'PL1.1 ML2027-2028'!$J:$J,'TH theo DV'!$H$3,'PL1.1 ML2027-2028'!$K:$K,'TH theo DV'!C30)/$D$1</f>
        <v>0</v>
      </c>
      <c r="I30" s="171">
        <f>SUMIFS('PL1.1 ML2027-2028'!$G:$G,'PL1.1 ML2027-2028'!$J:$J,'TH theo DV'!$I$3,'PL1.1 ML2027-2028'!$K:$K,'TH theo DV'!C30)/$D$1</f>
        <v>0</v>
      </c>
      <c r="J30" s="156">
        <f>SUMIFS('PL1.1 ML2027-2028'!$G:$G,'PL1.1 ML2027-2028'!$J:$J,'TH theo DV'!J$3,'PL1.1 ML2027-2028'!$K:$K,'TH theo DV'!$C30)/$D$1</f>
        <v>0</v>
      </c>
      <c r="K30" s="168">
        <f>SUM(D30:J30)</f>
        <v>0</v>
      </c>
      <c r="L30" s="103" t="e">
        <f t="shared" si="47"/>
        <v>#DIV/0!</v>
      </c>
      <c r="M30" s="171">
        <f>SUMIFS('PL1.1 ML2027-2028'!$H:$H,'PL1.1 ML2027-2028'!$J:$J,'TH theo DV'!M$3,'PL1.1 ML2027-2028'!$K:$K,'TH theo DV'!$C30)/$D$1</f>
        <v>0</v>
      </c>
      <c r="N30" s="171">
        <f>SUMIFS('PL1.1 ML2027-2028'!$H:$H,'PL1.1 ML2027-2028'!$J:$J,'TH theo DV'!N$3,'PL1.1 ML2027-2028'!$K:$K,'TH theo DV'!$C30)/$D$1</f>
        <v>0</v>
      </c>
      <c r="O30" s="171">
        <f>SUMIFS('PL1.1 ML2027-2028'!$H:$H,'PL1.1 ML2027-2028'!$J:$J,'TH theo DV'!O$3,'PL1.1 ML2027-2028'!$K:$K,'TH theo DV'!$C30)/$D$1</f>
        <v>0</v>
      </c>
      <c r="P30" s="171">
        <f>SUMIFS('PL1.1 ML2027-2028'!$H:$H,'PL1.1 ML2027-2028'!$J:$J,'TH theo DV'!P$3,'PL1.1 ML2027-2028'!$K:$K,'TH theo DV'!$C30)/$D$1</f>
        <v>0</v>
      </c>
      <c r="Q30" s="171">
        <f>SUMIFS('PL1.1 ML2027-2028'!$H:$H,'PL1.1 ML2027-2028'!$J:$J,'TH theo DV'!Q$3,'PL1.1 ML2027-2028'!$K:$K,'TH theo DV'!$C30)/$D$1</f>
        <v>0</v>
      </c>
      <c r="R30" s="171">
        <f>SUMIFS('PL1.1 ML2027-2028'!$H:$H,'PL1.1 ML2027-2028'!$J:$J,'TH theo DV'!R$3,'PL1.1 ML2027-2028'!$K:$K,'TH theo DV'!$C30)/$D$1</f>
        <v>0</v>
      </c>
      <c r="S30" s="167">
        <f>SUMIFS('PL1.1 ML2027-2028'!$H:$H,'PL1.1 ML2027-2028'!$J:$J,'TH theo DV'!S$3,'PL1.1 ML2027-2028'!$K:$K,'TH theo DV'!$C30)/$D$1</f>
        <v>0</v>
      </c>
      <c r="T30" s="170">
        <f t="shared" ref="T30:T34" si="53">SUM(M30:S30)</f>
        <v>0</v>
      </c>
      <c r="U30" s="175" t="e">
        <f t="shared" si="51"/>
        <v>#DIV/0!</v>
      </c>
      <c r="V30" s="86">
        <f t="shared" ref="V30:AA34" si="54">D30+M30</f>
        <v>0</v>
      </c>
      <c r="W30" s="86">
        <f t="shared" si="54"/>
        <v>0</v>
      </c>
      <c r="X30" s="86">
        <f t="shared" si="54"/>
        <v>0</v>
      </c>
      <c r="Y30" s="86">
        <f t="shared" si="54"/>
        <v>0</v>
      </c>
      <c r="Z30" s="86">
        <f t="shared" si="54"/>
        <v>0</v>
      </c>
      <c r="AA30" s="86">
        <f t="shared" si="54"/>
        <v>0</v>
      </c>
      <c r="AB30" s="85">
        <f t="shared" ref="AB30" si="55">SUM(V30:AA30)</f>
        <v>0</v>
      </c>
      <c r="AC30" s="103" t="e">
        <f t="shared" si="10"/>
        <v>#DIV/0!</v>
      </c>
      <c r="AD30" s="49"/>
    </row>
    <row r="31" spans="1:32" ht="25.5" outlineLevel="1" x14ac:dyDescent="0.25">
      <c r="A31" s="44">
        <v>2</v>
      </c>
      <c r="B31" s="87" t="s">
        <v>158</v>
      </c>
      <c r="C31" s="72" t="s">
        <v>77</v>
      </c>
      <c r="D31" s="171">
        <f>SUMIFS('PL1.1 ML2027-2028'!$G:$G,'PL1.1 ML2027-2028'!$J:$J,'TH theo DV'!$D$3,'PL1.1 ML2027-2028'!$K:$K,'TH theo DV'!C31)/$D$1</f>
        <v>0</v>
      </c>
      <c r="E31" s="171">
        <f>SUMIFS('PL1.1 ML2027-2028'!$G:$G,'PL1.1 ML2027-2028'!$J:$J,'TH theo DV'!$E$3,'PL1.1 ML2027-2028'!$K:$K,'TH theo DV'!C31)/$D$1</f>
        <v>0</v>
      </c>
      <c r="F31" s="171">
        <f>SUMIFS('PL1.1 ML2027-2028'!$G:$G,'PL1.1 ML2027-2028'!$J:$J,'TH theo DV'!$F$3,'PL1.1 ML2027-2028'!$K:$K,'TH theo DV'!C31)/$D$1</f>
        <v>0</v>
      </c>
      <c r="G31" s="167">
        <f>SUMIFS('PL1.1 ML2027-2028'!$G:$G,'PL1.1 ML2027-2028'!$J:$J,'TH theo DV'!$G$3,'PL1.1 ML2027-2028'!$K:$K,'TH theo DV'!C31)/$D$1</f>
        <v>0</v>
      </c>
      <c r="H31" s="167">
        <f>SUMIFS('PL1.1 ML2027-2028'!$G:$G,'PL1.1 ML2027-2028'!$J:$J,'TH theo DV'!$H$3,'PL1.1 ML2027-2028'!$K:$K,'TH theo DV'!C31)/$D$1</f>
        <v>0</v>
      </c>
      <c r="I31" s="171">
        <f>SUMIFS('PL1.1 ML2027-2028'!$G:$G,'PL1.1 ML2027-2028'!$J:$J,'TH theo DV'!$I$3,'PL1.1 ML2027-2028'!$K:$K,'TH theo DV'!C31)/$D$1</f>
        <v>0</v>
      </c>
      <c r="J31" s="156">
        <f>SUMIFS('PL1.1 ML2027-2028'!$G:$G,'PL1.1 ML2027-2028'!$J:$J,'TH theo DV'!J$3,'PL1.1 ML2027-2028'!$K:$K,'TH theo DV'!$C31)/$D$1</f>
        <v>0</v>
      </c>
      <c r="K31" s="168">
        <f>SUM(D31:J31)</f>
        <v>0</v>
      </c>
      <c r="L31" s="68" t="e">
        <f t="shared" si="47"/>
        <v>#DIV/0!</v>
      </c>
      <c r="M31" s="167">
        <f>SUMIFS('PL1.1 ML2027-2028'!$H:$H,'PL1.1 ML2027-2028'!$J:$J,'TH theo DV'!M$3,'PL1.1 ML2027-2028'!$K:$K,'TH theo DV'!$C31)/$D$1</f>
        <v>0</v>
      </c>
      <c r="N31" s="167">
        <f>SUMIFS('PL1.1 ML2027-2028'!$H:$H,'PL1.1 ML2027-2028'!$J:$J,'TH theo DV'!N$3,'PL1.1 ML2027-2028'!$K:$K,'TH theo DV'!$C31)/$D$1</f>
        <v>0</v>
      </c>
      <c r="O31" s="167">
        <f>SUMIFS('PL1.1 ML2027-2028'!$H:$H,'PL1.1 ML2027-2028'!$J:$J,'TH theo DV'!O$3,'PL1.1 ML2027-2028'!$K:$K,'TH theo DV'!$C31)/$D$1</f>
        <v>0</v>
      </c>
      <c r="P31" s="167">
        <f>SUMIFS('PL1.1 ML2027-2028'!$H:$H,'PL1.1 ML2027-2028'!$J:$J,'TH theo DV'!P$3,'PL1.1 ML2027-2028'!$K:$K,'TH theo DV'!$C31)/$D$1</f>
        <v>0</v>
      </c>
      <c r="Q31" s="167">
        <f>SUMIFS('PL1.1 ML2027-2028'!$H:$H,'PL1.1 ML2027-2028'!$J:$J,'TH theo DV'!Q$3,'PL1.1 ML2027-2028'!$K:$K,'TH theo DV'!$C31)/$D$1</f>
        <v>0</v>
      </c>
      <c r="R31" s="167">
        <f>SUMIFS('PL1.1 ML2027-2028'!$H:$H,'PL1.1 ML2027-2028'!$J:$J,'TH theo DV'!R$3,'PL1.1 ML2027-2028'!$K:$K,'TH theo DV'!$C31)/$D$1</f>
        <v>0</v>
      </c>
      <c r="S31" s="167">
        <f>SUMIFS('PL1.1 ML2027-2028'!$H:$H,'PL1.1 ML2027-2028'!$J:$J,'TH theo DV'!S$3,'PL1.1 ML2027-2028'!$K:$K,'TH theo DV'!$C31)/$D$1</f>
        <v>0</v>
      </c>
      <c r="T31" s="170">
        <f t="shared" si="53"/>
        <v>0</v>
      </c>
      <c r="U31" s="177" t="e">
        <f t="shared" si="51"/>
        <v>#DIV/0!</v>
      </c>
      <c r="V31" s="66">
        <f t="shared" si="54"/>
        <v>0</v>
      </c>
      <c r="W31" s="66">
        <f t="shared" si="54"/>
        <v>0</v>
      </c>
      <c r="X31" s="66">
        <f t="shared" si="54"/>
        <v>0</v>
      </c>
      <c r="Y31" s="66">
        <f t="shared" si="54"/>
        <v>0</v>
      </c>
      <c r="Z31" s="66">
        <f t="shared" si="54"/>
        <v>0</v>
      </c>
      <c r="AA31" s="66">
        <f t="shared" si="54"/>
        <v>0</v>
      </c>
      <c r="AB31" s="65">
        <f t="shared" ref="AB31:AB32" si="56">SUM(V31:AA31)</f>
        <v>0</v>
      </c>
      <c r="AC31" s="68" t="e">
        <f t="shared" si="10"/>
        <v>#DIV/0!</v>
      </c>
      <c r="AD31" s="116"/>
      <c r="AE31" s="95"/>
      <c r="AF31" s="45"/>
    </row>
    <row r="32" spans="1:32" ht="17.649999999999999" customHeight="1" outlineLevel="1" x14ac:dyDescent="0.25">
      <c r="A32" s="18">
        <v>3</v>
      </c>
      <c r="B32" s="74" t="s">
        <v>161</v>
      </c>
      <c r="C32" s="44" t="s">
        <v>118</v>
      </c>
      <c r="D32" s="171">
        <f>SUMIFS('PL1.1 ML2027-2028'!$G:$G,'PL1.1 ML2027-2028'!$J:$J,'TH theo DV'!$D$3,'PL1.1 ML2027-2028'!$K:$K,'TH theo DV'!C32)/$D$1</f>
        <v>0</v>
      </c>
      <c r="E32" s="171">
        <f>SUMIFS('PL1.1 ML2027-2028'!$G:$G,'PL1.1 ML2027-2028'!$J:$J,'TH theo DV'!$E$3,'PL1.1 ML2027-2028'!$K:$K,'TH theo DV'!C32)/$D$1</f>
        <v>0</v>
      </c>
      <c r="F32" s="126">
        <f>SUMIFS('PL1.1 ML2027-2028'!$G:$G,'PL1.1 ML2027-2028'!$J:$J,'TH theo DV'!$F$3,'PL1.1 ML2027-2028'!$K:$K,'TH theo DV'!C32)/$D$1</f>
        <v>0</v>
      </c>
      <c r="G32" s="167">
        <f>SUMIFS('PL1.1 ML2027-2028'!$G:$G,'PL1.1 ML2027-2028'!$J:$J,'TH theo DV'!$G$3,'PL1.1 ML2027-2028'!$K:$K,'TH theo DV'!C32)/$D$1</f>
        <v>0</v>
      </c>
      <c r="H32" s="167">
        <f>SUMIFS('PL1.1 ML2027-2028'!$G:$G,'PL1.1 ML2027-2028'!$J:$J,'TH theo DV'!$H$3,'PL1.1 ML2027-2028'!$K:$K,'TH theo DV'!C32)/$D$1</f>
        <v>0</v>
      </c>
      <c r="I32" s="171">
        <f>SUMIFS('PL1.1 ML2027-2028'!$G:$G,'PL1.1 ML2027-2028'!$J:$J,'TH theo DV'!$I$3,'PL1.1 ML2027-2028'!$K:$K,'TH theo DV'!C32)/$D$1</f>
        <v>0</v>
      </c>
      <c r="J32" s="156">
        <f>SUMIFS('PL1.1 ML2027-2028'!$G:$G,'PL1.1 ML2027-2028'!$J:$J,'TH theo DV'!J$3,'PL1.1 ML2027-2028'!$K:$K,'TH theo DV'!$C32)/$D$1</f>
        <v>0</v>
      </c>
      <c r="K32" s="168">
        <f>SUM(D32:J32)</f>
        <v>0</v>
      </c>
      <c r="L32" s="68" t="e">
        <f t="shared" si="47"/>
        <v>#DIV/0!</v>
      </c>
      <c r="M32" s="167">
        <f>SUMIFS('PL1.1 ML2027-2028'!$H:$H,'PL1.1 ML2027-2028'!$J:$J,'TH theo DV'!M$3,'PL1.1 ML2027-2028'!$K:$K,'TH theo DV'!$C32)/$D$1</f>
        <v>0</v>
      </c>
      <c r="N32" s="167">
        <f>SUMIFS('PL1.1 ML2027-2028'!$H:$H,'PL1.1 ML2027-2028'!$J:$J,'TH theo DV'!N$3,'PL1.1 ML2027-2028'!$K:$K,'TH theo DV'!$C32)/$D$1</f>
        <v>0</v>
      </c>
      <c r="O32" s="156">
        <f>SUMIFS('PL1.1 ML2027-2028'!$H:$H,'PL1.1 ML2027-2028'!$J:$J,'TH theo DV'!O$3,'PL1.1 ML2027-2028'!$K:$K,'TH theo DV'!$C32)/$D$1</f>
        <v>0</v>
      </c>
      <c r="P32" s="167">
        <f>SUMIFS('PL1.1 ML2027-2028'!$H:$H,'PL1.1 ML2027-2028'!$J:$J,'TH theo DV'!P$3,'PL1.1 ML2027-2028'!$K:$K,'TH theo DV'!$C32)/$D$1</f>
        <v>0</v>
      </c>
      <c r="Q32" s="167">
        <f>SUMIFS('PL1.1 ML2027-2028'!$H:$H,'PL1.1 ML2027-2028'!$J:$J,'TH theo DV'!Q$3,'PL1.1 ML2027-2028'!$K:$K,'TH theo DV'!$C32)/$D$1</f>
        <v>0</v>
      </c>
      <c r="R32" s="167">
        <f>SUMIFS('PL1.1 ML2027-2028'!$H:$H,'PL1.1 ML2027-2028'!$J:$J,'TH theo DV'!R$3,'PL1.1 ML2027-2028'!$K:$K,'TH theo DV'!$C32)/$D$1</f>
        <v>0</v>
      </c>
      <c r="S32" s="167">
        <f>SUMIFS('PL1.1 ML2027-2028'!$H:$H,'PL1.1 ML2027-2028'!$J:$J,'TH theo DV'!S$3,'PL1.1 ML2027-2028'!$K:$K,'TH theo DV'!$C32)/$D$1</f>
        <v>0</v>
      </c>
      <c r="T32" s="170">
        <f t="shared" si="53"/>
        <v>0</v>
      </c>
      <c r="U32" s="177" t="e">
        <f t="shared" si="51"/>
        <v>#DIV/0!</v>
      </c>
      <c r="V32" s="66">
        <f t="shared" si="54"/>
        <v>0</v>
      </c>
      <c r="W32" s="66">
        <f t="shared" si="54"/>
        <v>0</v>
      </c>
      <c r="X32" s="66">
        <f t="shared" si="54"/>
        <v>0</v>
      </c>
      <c r="Y32" s="66">
        <f t="shared" si="54"/>
        <v>0</v>
      </c>
      <c r="Z32" s="66">
        <f t="shared" si="54"/>
        <v>0</v>
      </c>
      <c r="AA32" s="66">
        <f t="shared" si="54"/>
        <v>0</v>
      </c>
      <c r="AB32" s="65">
        <f t="shared" si="56"/>
        <v>0</v>
      </c>
      <c r="AC32" s="68" t="e">
        <f t="shared" si="10"/>
        <v>#DIV/0!</v>
      </c>
      <c r="AD32" s="116"/>
    </row>
    <row r="33" spans="1:32" s="36" customFormat="1" ht="25.5" outlineLevel="1" x14ac:dyDescent="0.25">
      <c r="A33" s="18">
        <v>4</v>
      </c>
      <c r="B33" s="87" t="s">
        <v>98</v>
      </c>
      <c r="C33" s="18" t="s">
        <v>99</v>
      </c>
      <c r="D33" s="171">
        <f>SUMIFS('PL1.1 ML2027-2028'!$G:$G,'PL1.1 ML2027-2028'!$J:$J,'TH theo DV'!$D$3,'PL1.1 ML2027-2028'!$K:$K,'TH theo DV'!C33)/$D$1</f>
        <v>0</v>
      </c>
      <c r="E33" s="86">
        <f>SUMIFS('PL1.1 ML2027-2028'!$G:$G,'PL1.1 ML2027-2028'!$J:$J,'TH theo DV'!$E$3,'PL1.1 ML2027-2028'!$K:$K,'TH theo DV'!C33)/$D$1</f>
        <v>0</v>
      </c>
      <c r="F33" s="86">
        <f>SUMIFS('PL1.1 ML2027-2028'!$G:$G,'PL1.1 ML2027-2028'!$J:$J,'TH theo DV'!$F$3,'PL1.1 ML2027-2028'!$K:$K,'TH theo DV'!C33)/$D$1</f>
        <v>0</v>
      </c>
      <c r="G33" s="66">
        <f>SUMIFS('PL1.1 ML2027-2028'!$G:$G,'PL1.1 ML2027-2028'!$J:$J,'TH theo DV'!$G$3,'PL1.1 ML2027-2028'!$K:$K,'TH theo DV'!C33)/$D$1</f>
        <v>0</v>
      </c>
      <c r="H33" s="66">
        <f>SUMIFS('PL1.1 ML2027-2028'!$G:$G,'PL1.1 ML2027-2028'!$J:$J,'TH theo DV'!$H$3,'PL1.1 ML2027-2028'!$K:$K,'TH theo DV'!C33)/$D$1</f>
        <v>0</v>
      </c>
      <c r="I33" s="86">
        <f>SUMIFS('PL1.1 ML2027-2028'!$G:$G,'PL1.1 ML2027-2028'!$J:$J,'TH theo DV'!$I$3,'PL1.1 ML2027-2028'!$K:$K,'TH theo DV'!C33)/$D$1</f>
        <v>0</v>
      </c>
      <c r="J33" s="86">
        <f>SUMIFS('PL1.1 ML2027-2028'!$G:$G,'PL1.1 ML2027-2028'!$J:$J,'TH theo DV'!$I$3,'PL1.1 ML2027-2028'!$K:$K,'TH theo DV'!D33)/$D$1</f>
        <v>0</v>
      </c>
      <c r="K33" s="168">
        <f>SUM(D33:J33)</f>
        <v>0</v>
      </c>
      <c r="L33" s="68" t="e">
        <f t="shared" si="47"/>
        <v>#DIV/0!</v>
      </c>
      <c r="M33" s="66">
        <f>SUMIFS('PL1.1 ML2027-2028'!$H:$H,'PL1.1 ML2027-2028'!$J:$J,'TH theo DV'!M$3,'PL1.1 ML2027-2028'!$K:$K,'TH theo DV'!$C33)/$D$1</f>
        <v>0</v>
      </c>
      <c r="N33" s="66">
        <f>SUMIFS('PL1.1 ML2027-2028'!$H:$H,'PL1.1 ML2027-2028'!$J:$J,'TH theo DV'!N$3,'PL1.1 ML2027-2028'!$K:$K,'TH theo DV'!$C33)/$D$1</f>
        <v>0</v>
      </c>
      <c r="O33" s="66">
        <f>SUMIFS('PL1.1 ML2027-2028'!$H:$H,'PL1.1 ML2027-2028'!$J:$J,'TH theo DV'!O$3,'PL1.1 ML2027-2028'!$K:$K,'TH theo DV'!$C33)/$D$1</f>
        <v>0</v>
      </c>
      <c r="P33" s="66">
        <f>SUMIFS('PL1.1 ML2027-2028'!$H:$H,'PL1.1 ML2027-2028'!$J:$J,'TH theo DV'!P$3,'PL1.1 ML2027-2028'!$K:$K,'TH theo DV'!$C33)/$D$1</f>
        <v>0</v>
      </c>
      <c r="Q33" s="66">
        <f>SUMIFS('PL1.1 ML2027-2028'!$H:$H,'PL1.1 ML2027-2028'!$J:$J,'TH theo DV'!Q$3,'PL1.1 ML2027-2028'!$K:$K,'TH theo DV'!$C33)/$D$1</f>
        <v>0</v>
      </c>
      <c r="R33" s="66">
        <f>SUMIFS('PL1.1 ML2027-2028'!$H:$H,'PL1.1 ML2027-2028'!$J:$J,'TH theo DV'!R$3,'PL1.1 ML2027-2028'!$K:$K,'TH theo DV'!$C33)/$D$1</f>
        <v>0</v>
      </c>
      <c r="S33" s="167">
        <f>SUMIFS('PL1.1 ML2027-2028'!$H:$H,'PL1.1 ML2027-2028'!$J:$J,'TH theo DV'!S$3,'PL1.1 ML2027-2028'!$K:$K,'TH theo DV'!$C33)/$D$1</f>
        <v>0</v>
      </c>
      <c r="T33" s="170">
        <f t="shared" si="53"/>
        <v>0</v>
      </c>
      <c r="U33" s="177" t="e">
        <f t="shared" si="51"/>
        <v>#DIV/0!</v>
      </c>
      <c r="V33" s="66">
        <f t="shared" si="54"/>
        <v>0</v>
      </c>
      <c r="W33" s="66">
        <f t="shared" si="54"/>
        <v>0</v>
      </c>
      <c r="X33" s="66">
        <f t="shared" si="54"/>
        <v>0</v>
      </c>
      <c r="Y33" s="66">
        <f t="shared" si="54"/>
        <v>0</v>
      </c>
      <c r="Z33" s="66">
        <f t="shared" si="54"/>
        <v>0</v>
      </c>
      <c r="AA33" s="66">
        <f t="shared" si="54"/>
        <v>0</v>
      </c>
      <c r="AB33" s="65">
        <f t="shared" ref="AB33" si="57">SUM(V33:AA33)</f>
        <v>0</v>
      </c>
      <c r="AC33" s="68" t="e">
        <f t="shared" si="10"/>
        <v>#DIV/0!</v>
      </c>
      <c r="AD33" s="116"/>
      <c r="AE33" s="95"/>
      <c r="AF33" s="45"/>
    </row>
    <row r="34" spans="1:32" outlineLevel="1" x14ac:dyDescent="0.25">
      <c r="A34" s="58" t="s">
        <v>18</v>
      </c>
      <c r="B34" s="104" t="s">
        <v>212</v>
      </c>
      <c r="C34" s="88" t="s">
        <v>211</v>
      </c>
      <c r="D34" s="166"/>
      <c r="E34" s="166"/>
      <c r="F34" s="166"/>
      <c r="G34" s="166">
        <f>SUMIFS('PL1.1 ML2027-2028'!$G:$G,'PL1.1 ML2027-2028'!$K:$K,C34)/$D$1</f>
        <v>0</v>
      </c>
      <c r="H34" s="166"/>
      <c r="I34" s="166"/>
      <c r="J34" s="180"/>
      <c r="K34" s="180">
        <f>SUM(D34:J34)</f>
        <v>0</v>
      </c>
      <c r="L34" s="107" t="e">
        <f t="shared" si="47"/>
        <v>#DIV/0!</v>
      </c>
      <c r="M34" s="166"/>
      <c r="N34" s="166"/>
      <c r="O34" s="166"/>
      <c r="P34" s="166">
        <f>SUMIFS('PL1.1 ML2027-2028'!$H:$H,'PL1.1 ML2027-2028'!$K:$K,C34)/$D$1</f>
        <v>0</v>
      </c>
      <c r="Q34" s="166"/>
      <c r="R34" s="166"/>
      <c r="S34" s="166"/>
      <c r="T34" s="166">
        <f t="shared" si="53"/>
        <v>0</v>
      </c>
      <c r="U34" s="107" t="e">
        <f t="shared" si="51"/>
        <v>#DIV/0!</v>
      </c>
      <c r="V34" s="166">
        <f t="shared" si="54"/>
        <v>0</v>
      </c>
      <c r="W34" s="166">
        <f t="shared" si="54"/>
        <v>0</v>
      </c>
      <c r="X34" s="166">
        <f t="shared" si="54"/>
        <v>0</v>
      </c>
      <c r="Y34" s="166">
        <f t="shared" si="54"/>
        <v>0</v>
      </c>
      <c r="Z34" s="166">
        <f t="shared" si="54"/>
        <v>0</v>
      </c>
      <c r="AA34" s="166">
        <f t="shared" si="54"/>
        <v>0</v>
      </c>
      <c r="AB34" s="166">
        <f t="shared" ref="AB34" si="58">SUM(V34:AA34)</f>
        <v>0</v>
      </c>
      <c r="AC34" s="166" t="e">
        <f t="shared" ref="AC34" si="59">AB34/$AB$4</f>
        <v>#DIV/0!</v>
      </c>
    </row>
  </sheetData>
  <mergeCells count="3">
    <mergeCell ref="M2:U2"/>
    <mergeCell ref="D2:L2"/>
    <mergeCell ref="V2:AC2"/>
  </mergeCells>
  <pageMargins left="0.7" right="0.7" top="0.75" bottom="0.75" header="0.3" footer="0.3"/>
  <pageSetup paperSize="9" orientation="portrait" verticalDpi="300" r:id="rId1"/>
  <extLst>
    <ext xmlns:x14="http://schemas.microsoft.com/office/spreadsheetml/2009/9/main" uri="{CCE6A557-97BC-4b89-ADB6-D9C93CAAB3DF}">
      <x14:dataValidations xmlns:xm="http://schemas.microsoft.com/office/excel/2006/main" count="4">
        <x14:dataValidation type="list" allowBlank="1" showInputMessage="1" showErrorMessage="1">
          <x14:formula1>
            <xm:f>Mã!$C$4:$C$26</xm:f>
          </x14:formula1>
          <xm:sqref>C6</xm:sqref>
        </x14:dataValidation>
        <x14:dataValidation type="list" allowBlank="1" showInputMessage="1" showErrorMessage="1">
          <x14:formula1>
            <xm:f>Mã!$C$4:$C$30</xm:f>
          </x14:formula1>
          <xm:sqref>C7:C26 C29:C33</xm:sqref>
        </x14:dataValidation>
        <x14:dataValidation type="list" allowBlank="1" showInputMessage="1" showErrorMessage="1">
          <x14:formula1>
            <xm:f>Mã!$C$4:$C$33</xm:f>
          </x14:formula1>
          <xm:sqref>C27:C28</xm:sqref>
        </x14:dataValidation>
        <x14:dataValidation type="list" allowBlank="1" showInputMessage="1" showErrorMessage="1">
          <x14:formula1>
            <xm:f>Mã!$C$4:$C$34</xm:f>
          </x14:formula1>
          <xm:sqref>C34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EE0033"/>
    <outlinePr summaryBelow="0" summaryRight="0"/>
    <pageSetUpPr fitToPage="1"/>
  </sheetPr>
  <dimension ref="A1:N57"/>
  <sheetViews>
    <sheetView zoomScale="90" zoomScaleNormal="90" workbookViewId="0">
      <pane xSplit="4" ySplit="4" topLeftCell="E59" activePane="bottomRight" state="frozen"/>
      <selection activeCell="N27" sqref="N27"/>
      <selection pane="topRight" activeCell="N27" sqref="N27"/>
      <selection pane="bottomLeft" activeCell="N27" sqref="N27"/>
      <selection pane="bottomRight" activeCell="K11" sqref="K11"/>
    </sheetView>
  </sheetViews>
  <sheetFormatPr defaultColWidth="9.28515625" defaultRowHeight="12.75" outlineLevelRow="2" x14ac:dyDescent="0.25"/>
  <cols>
    <col min="1" max="1" width="3.28515625" style="128" bestFit="1" customWidth="1"/>
    <col min="2" max="2" width="24.7109375" style="204" customWidth="1"/>
    <col min="3" max="3" width="17.7109375" style="213" customWidth="1"/>
    <col min="4" max="4" width="57" style="124" customWidth="1"/>
    <col min="5" max="5" width="7.28515625" style="124" customWidth="1"/>
    <col min="6" max="6" width="16.28515625" style="214" customWidth="1"/>
    <col min="7" max="7" width="53.5703125" style="124" customWidth="1"/>
    <col min="8" max="8" width="7.28515625" style="124" customWidth="1"/>
    <col min="9" max="9" width="17" style="134" customWidth="1"/>
    <col min="10" max="10" width="9.140625" style="134" customWidth="1"/>
    <col min="11" max="12" width="9.28515625" style="128" customWidth="1"/>
    <col min="13" max="16384" width="9.28515625" style="124"/>
  </cols>
  <sheetData>
    <row r="1" spans="1:13" ht="18.75" x14ac:dyDescent="0.25">
      <c r="A1" s="274" t="s">
        <v>171</v>
      </c>
      <c r="B1" s="275"/>
      <c r="C1" s="275"/>
      <c r="D1" s="275"/>
      <c r="E1" s="275"/>
      <c r="F1" s="275"/>
      <c r="G1" s="275"/>
      <c r="H1" s="275"/>
      <c r="I1" s="275"/>
      <c r="J1" s="275"/>
    </row>
    <row r="2" spans="1:13" x14ac:dyDescent="0.25">
      <c r="C2" s="205"/>
      <c r="F2" s="206"/>
      <c r="I2" s="207"/>
      <c r="J2" s="207"/>
    </row>
    <row r="3" spans="1:13" s="208" customFormat="1" x14ac:dyDescent="0.25">
      <c r="A3" s="277" t="s">
        <v>0</v>
      </c>
      <c r="B3" s="276" t="s">
        <v>33</v>
      </c>
      <c r="C3" s="277">
        <v>2027</v>
      </c>
      <c r="D3" s="277"/>
      <c r="E3" s="277"/>
      <c r="F3" s="277">
        <v>2028</v>
      </c>
      <c r="G3" s="277"/>
      <c r="H3" s="277"/>
      <c r="I3" s="278" t="s">
        <v>170</v>
      </c>
      <c r="J3" s="276" t="s">
        <v>88</v>
      </c>
      <c r="K3" s="326" t="s">
        <v>218</v>
      </c>
      <c r="L3" s="326"/>
      <c r="M3" s="326"/>
    </row>
    <row r="4" spans="1:13" ht="38.25" x14ac:dyDescent="0.25">
      <c r="A4" s="277"/>
      <c r="B4" s="276"/>
      <c r="C4" s="184" t="s">
        <v>168</v>
      </c>
      <c r="D4" s="183" t="s">
        <v>89</v>
      </c>
      <c r="E4" s="183" t="s">
        <v>88</v>
      </c>
      <c r="F4" s="184" t="s">
        <v>168</v>
      </c>
      <c r="G4" s="183" t="s">
        <v>89</v>
      </c>
      <c r="H4" s="183" t="s">
        <v>88</v>
      </c>
      <c r="I4" s="278"/>
      <c r="J4" s="276"/>
      <c r="K4" s="154" t="s">
        <v>214</v>
      </c>
      <c r="L4" s="154" t="s">
        <v>44</v>
      </c>
      <c r="M4" s="154"/>
    </row>
    <row r="5" spans="1:13" x14ac:dyDescent="0.25">
      <c r="A5" s="154"/>
      <c r="B5" s="210" t="s">
        <v>34</v>
      </c>
      <c r="C5" s="211">
        <f>SUBTOTAL(9,C6:C57)</f>
        <v>0</v>
      </c>
      <c r="D5" s="209"/>
      <c r="E5" s="155" t="e">
        <f>C5/I5</f>
        <v>#DIV/0!</v>
      </c>
      <c r="F5" s="211">
        <f>SUBTOTAL(9,F7:F57)</f>
        <v>0</v>
      </c>
      <c r="G5" s="209"/>
      <c r="H5" s="155" t="e">
        <f>F5/I5</f>
        <v>#DIV/0!</v>
      </c>
      <c r="I5" s="211">
        <f>SUBTOTAL(9,I6:I57)</f>
        <v>0</v>
      </c>
      <c r="J5" s="212"/>
      <c r="K5" s="125"/>
      <c r="L5" s="125"/>
      <c r="M5" s="327"/>
    </row>
    <row r="6" spans="1:13" ht="25.5" x14ac:dyDescent="0.25">
      <c r="A6" s="13" t="s">
        <v>11</v>
      </c>
      <c r="B6" s="15" t="s">
        <v>107</v>
      </c>
      <c r="C6" s="203">
        <f>SUBTOTAL(9,C7:C14)</f>
        <v>0</v>
      </c>
      <c r="D6" s="215"/>
      <c r="E6" s="16" t="e">
        <f>C6/$C$5</f>
        <v>#DIV/0!</v>
      </c>
      <c r="F6" s="31">
        <f>SUBTOTAL(9,F7:F13)</f>
        <v>0</v>
      </c>
      <c r="G6" s="14"/>
      <c r="H6" s="16" t="e">
        <f>F6/$F$5</f>
        <v>#DIV/0!</v>
      </c>
      <c r="I6" s="31">
        <f>SUBTOTAL(9,I7:I14)</f>
        <v>0</v>
      </c>
      <c r="J6" s="16" t="e">
        <f>I6/$I$5</f>
        <v>#DIV/0!</v>
      </c>
      <c r="K6" s="125"/>
      <c r="L6" s="125"/>
      <c r="M6" s="327"/>
    </row>
    <row r="7" spans="1:13" s="208" customFormat="1" outlineLevel="1" x14ac:dyDescent="0.25">
      <c r="A7" s="13" t="s">
        <v>4</v>
      </c>
      <c r="B7" s="15" t="s">
        <v>54</v>
      </c>
      <c r="C7" s="216">
        <f>SUBTOTAL(9,C8:C11)</f>
        <v>0</v>
      </c>
      <c r="D7" s="215"/>
      <c r="E7" s="16" t="e">
        <f>C7/$C$5</f>
        <v>#DIV/0!</v>
      </c>
      <c r="F7" s="217">
        <f>SUBTOTAL(9,F8:F11)</f>
        <v>0</v>
      </c>
      <c r="G7" s="218">
        <v>0</v>
      </c>
      <c r="H7" s="16" t="e">
        <f>F7/$F$5</f>
        <v>#DIV/0!</v>
      </c>
      <c r="I7" s="47">
        <f>SUBTOTAL(9,I8:I11)</f>
        <v>0</v>
      </c>
      <c r="J7" s="16" t="e">
        <f>I7/$I$5</f>
        <v>#DIV/0!</v>
      </c>
      <c r="K7" s="154"/>
      <c r="L7" s="328"/>
      <c r="M7" s="329"/>
    </row>
    <row r="8" spans="1:13" ht="25.5" outlineLevel="2" x14ac:dyDescent="0.25">
      <c r="A8" s="219">
        <v>1</v>
      </c>
      <c r="B8" s="220" t="s">
        <v>29</v>
      </c>
      <c r="C8" s="221">
        <f>SUMIFS('PL1.1 ML2027-2028'!$G:$G,'PL1.1 ML2027-2028'!$J:$J,K8,'PL1.1 ML2027-2028'!$K:$K,L8)/10^6</f>
        <v>0</v>
      </c>
      <c r="D8" s="222" t="s">
        <v>193</v>
      </c>
      <c r="E8" s="223"/>
      <c r="F8" s="224">
        <f>SUMIFS('PL1.1 ML2027-2028'!$H:$H,'PL1.1 ML2027-2028'!$J:$J,K8,'PL1.1 ML2027-2028'!$K:$K,L8)/10^6</f>
        <v>0</v>
      </c>
      <c r="G8" s="222" t="s">
        <v>194</v>
      </c>
      <c r="H8" s="223"/>
      <c r="I8" s="217">
        <f>C8+F8</f>
        <v>0</v>
      </c>
      <c r="J8" s="223" t="e">
        <f t="shared" ref="J8:J12" si="0">I8/$I$5</f>
        <v>#DIV/0!</v>
      </c>
      <c r="K8" s="125" t="s">
        <v>7</v>
      </c>
      <c r="L8" s="125" t="s">
        <v>47</v>
      </c>
      <c r="M8" s="327"/>
    </row>
    <row r="9" spans="1:13" outlineLevel="2" x14ac:dyDescent="0.25">
      <c r="A9" s="219">
        <v>2</v>
      </c>
      <c r="B9" s="220" t="s">
        <v>28</v>
      </c>
      <c r="C9" s="221">
        <f>SUMIFS('PL1.1 ML2027-2028'!$G:$G,'PL1.1 ML2027-2028'!$J:$J,K9,'PL1.1 ML2027-2028'!$K:$K,L9)/10^6</f>
        <v>0</v>
      </c>
      <c r="D9" s="222"/>
      <c r="E9" s="223" t="e">
        <f t="shared" ref="E9:E14" si="1">C9/$C$5</f>
        <v>#DIV/0!</v>
      </c>
      <c r="F9" s="224">
        <f>SUMIFS('PL1.1 ML2027-2028'!$H:$H,'PL1.1 ML2027-2028'!$J:$J,K9,'PL1.1 ML2027-2028'!$K:$K,L9)/10^6</f>
        <v>0</v>
      </c>
      <c r="G9" s="222"/>
      <c r="H9" s="223"/>
      <c r="I9" s="217">
        <f t="shared" ref="I9:I14" si="2">C9+F9</f>
        <v>0</v>
      </c>
      <c r="J9" s="223" t="e">
        <f t="shared" si="0"/>
        <v>#DIV/0!</v>
      </c>
      <c r="K9" s="125" t="s">
        <v>14</v>
      </c>
      <c r="L9" s="125" t="s">
        <v>47</v>
      </c>
      <c r="M9" s="327"/>
    </row>
    <row r="10" spans="1:13" ht="38.25" outlineLevel="2" x14ac:dyDescent="0.25">
      <c r="A10" s="219">
        <v>3</v>
      </c>
      <c r="B10" s="220" t="s">
        <v>30</v>
      </c>
      <c r="C10" s="221">
        <f>SUMIFS('PL1.1 ML2027-2028'!$G:$G,'PL1.1 ML2027-2028'!$J:$J,K10,'PL1.1 ML2027-2028'!$K:$K,L10)/10^6</f>
        <v>0</v>
      </c>
      <c r="D10" s="222" t="s">
        <v>198</v>
      </c>
      <c r="E10" s="223" t="e">
        <f t="shared" si="1"/>
        <v>#DIV/0!</v>
      </c>
      <c r="F10" s="224">
        <f>SUMIFS('PL1.1 ML2027-2028'!$H:$H,'PL1.1 ML2027-2028'!$J:$J,K10,'PL1.1 ML2027-2028'!$K:$K,L10)/10^6</f>
        <v>0</v>
      </c>
      <c r="G10" s="218">
        <v>0</v>
      </c>
      <c r="H10" s="223"/>
      <c r="I10" s="217">
        <f t="shared" si="2"/>
        <v>0</v>
      </c>
      <c r="J10" s="223" t="e">
        <f t="shared" si="0"/>
        <v>#DIV/0!</v>
      </c>
      <c r="K10" s="125" t="s">
        <v>17</v>
      </c>
      <c r="L10" s="125" t="s">
        <v>47</v>
      </c>
      <c r="M10" s="327"/>
    </row>
    <row r="11" spans="1:13" ht="38.25" outlineLevel="2" x14ac:dyDescent="0.25">
      <c r="A11" s="219">
        <v>4</v>
      </c>
      <c r="B11" s="220" t="s">
        <v>31</v>
      </c>
      <c r="C11" s="221">
        <f>SUMIFS('PL1.1 ML2027-2028'!$G:$G,'PL1.1 ML2027-2028'!$J:$J,K11,'PL1.1 ML2027-2028'!$K:$K,L11)/10^6</f>
        <v>0</v>
      </c>
      <c r="D11" s="225" t="s">
        <v>169</v>
      </c>
      <c r="E11" s="223" t="e">
        <f t="shared" si="1"/>
        <v>#DIV/0!</v>
      </c>
      <c r="F11" s="224">
        <f>SUMIFS('PL1.1 ML2027-2028'!$H:$H,'PL1.1 ML2027-2028'!$J:$J,K11,'PL1.1 ML2027-2028'!$K:$K,L11)/10^6</f>
        <v>0</v>
      </c>
      <c r="G11" s="218">
        <v>0</v>
      </c>
      <c r="H11" s="223"/>
      <c r="I11" s="217">
        <f t="shared" si="2"/>
        <v>0</v>
      </c>
      <c r="J11" s="223" t="e">
        <f t="shared" si="0"/>
        <v>#DIV/0!</v>
      </c>
      <c r="K11" s="125" t="s">
        <v>6</v>
      </c>
      <c r="L11" s="125" t="s">
        <v>47</v>
      </c>
      <c r="M11" s="327"/>
    </row>
    <row r="12" spans="1:13" s="208" customFormat="1" outlineLevel="2" x14ac:dyDescent="0.25">
      <c r="A12" s="13" t="s">
        <v>10</v>
      </c>
      <c r="B12" s="226" t="s">
        <v>108</v>
      </c>
      <c r="C12" s="221">
        <f>SUMIFS('PL1.1 ML2027-2028'!$G:$G,'PL1.1 ML2027-2028'!$J:$J,K12,'PL1.1 ML2027-2028'!$K:$K,L12)/10^6</f>
        <v>0</v>
      </c>
      <c r="D12" s="225" t="s">
        <v>148</v>
      </c>
      <c r="E12" s="16" t="e">
        <f t="shared" si="1"/>
        <v>#DIV/0!</v>
      </c>
      <c r="F12" s="224">
        <f>SUMIFS('PL1.1 ML2027-2028'!$H:$H,'PL1.1 ML2027-2028'!$J:$J,K12,'PL1.1 ML2027-2028'!$K:$K,L12)/10^6</f>
        <v>0</v>
      </c>
      <c r="G12" s="227">
        <v>0</v>
      </c>
      <c r="H12" s="16"/>
      <c r="I12" s="47">
        <f t="shared" si="2"/>
        <v>0</v>
      </c>
      <c r="J12" s="223" t="e">
        <f t="shared" si="0"/>
        <v>#DIV/0!</v>
      </c>
      <c r="K12" s="125" t="s">
        <v>19</v>
      </c>
      <c r="L12" s="125" t="s">
        <v>108</v>
      </c>
      <c r="M12" s="329"/>
    </row>
    <row r="13" spans="1:13" ht="25.5" outlineLevel="2" x14ac:dyDescent="0.25">
      <c r="A13" s="13" t="s">
        <v>15</v>
      </c>
      <c r="B13" s="226" t="s">
        <v>109</v>
      </c>
      <c r="C13" s="221">
        <f>SUMIFS('PL1.1 ML2027-2028'!$G:$G,'PL1.1 ML2027-2028'!$J:$J,K13,'PL1.1 ML2027-2028'!$K:$K,L13)/10^6</f>
        <v>0</v>
      </c>
      <c r="D13" s="228" t="s">
        <v>203</v>
      </c>
      <c r="E13" s="16" t="e">
        <f t="shared" si="1"/>
        <v>#DIV/0!</v>
      </c>
      <c r="F13" s="224">
        <f>SUMIFS('PL1.1 ML2027-2028'!$H:$H,'PL1.1 ML2027-2028'!$J:$J,K13,'PL1.1 ML2027-2028'!$K:$K,L13)/10^6</f>
        <v>0</v>
      </c>
      <c r="G13" s="228" t="s">
        <v>204</v>
      </c>
      <c r="H13" s="223"/>
      <c r="I13" s="217">
        <f t="shared" si="2"/>
        <v>0</v>
      </c>
      <c r="J13" s="223" t="e">
        <f>I13/$I$5</f>
        <v>#DIV/0!</v>
      </c>
      <c r="K13" s="125" t="s">
        <v>21</v>
      </c>
      <c r="L13" s="125" t="s">
        <v>109</v>
      </c>
      <c r="M13" s="327"/>
    </row>
    <row r="14" spans="1:13" outlineLevel="2" x14ac:dyDescent="0.25">
      <c r="A14" s="13" t="s">
        <v>18</v>
      </c>
      <c r="B14" s="226" t="s">
        <v>105</v>
      </c>
      <c r="C14" s="221">
        <f>SUMIFS('PL1.1 ML2027-2028'!$G:$G,'PL1.1 ML2027-2028'!$J:$J,K14,'PL1.1 ML2027-2028'!$K:$K,L14)/10^6</f>
        <v>0</v>
      </c>
      <c r="D14" s="222" t="s">
        <v>149</v>
      </c>
      <c r="E14" s="16" t="e">
        <f t="shared" si="1"/>
        <v>#DIV/0!</v>
      </c>
      <c r="F14" s="224">
        <f>SUMIFS('PL1.1 ML2027-2028'!$H:$H,'PL1.1 ML2027-2028'!$J:$J,K14,'PL1.1 ML2027-2028'!$K:$K,L14)/10^6</f>
        <v>0</v>
      </c>
      <c r="G14" s="218">
        <v>0</v>
      </c>
      <c r="H14" s="223"/>
      <c r="I14" s="217">
        <f t="shared" si="2"/>
        <v>0</v>
      </c>
      <c r="J14" s="223" t="e">
        <f>I14/$I$5</f>
        <v>#DIV/0!</v>
      </c>
      <c r="K14" s="125" t="s">
        <v>14</v>
      </c>
      <c r="L14" s="125" t="s">
        <v>110</v>
      </c>
      <c r="M14" s="327"/>
    </row>
    <row r="15" spans="1:13" ht="25.5" x14ac:dyDescent="0.25">
      <c r="A15" s="33" t="s">
        <v>22</v>
      </c>
      <c r="B15" s="229" t="s">
        <v>111</v>
      </c>
      <c r="C15" s="230">
        <f>SUBTOTAL(9,C16:C34)</f>
        <v>0</v>
      </c>
      <c r="D15" s="113"/>
      <c r="E15" s="231" t="e">
        <f>C15/$C$5</f>
        <v>#DIV/0!</v>
      </c>
      <c r="F15" s="186">
        <f>SUBTOTAL(9,F16:F34)</f>
        <v>0</v>
      </c>
      <c r="G15" s="232"/>
      <c r="H15" s="231" t="e">
        <f>F15/$F$5</f>
        <v>#DIV/0!</v>
      </c>
      <c r="I15" s="186">
        <f>SUBTOTAL(9,I16:I34)</f>
        <v>0</v>
      </c>
      <c r="J15" s="231" t="e">
        <f>I15/$I$5</f>
        <v>#DIV/0!</v>
      </c>
      <c r="K15" s="330"/>
      <c r="L15" s="125"/>
      <c r="M15" s="327"/>
    </row>
    <row r="16" spans="1:13" s="208" customFormat="1" outlineLevel="1" x14ac:dyDescent="0.25">
      <c r="A16" s="33" t="s">
        <v>4</v>
      </c>
      <c r="B16" s="233" t="s">
        <v>29</v>
      </c>
      <c r="C16" s="230">
        <f>SUBTOTAL(9,C17:C18)</f>
        <v>0</v>
      </c>
      <c r="D16" s="234"/>
      <c r="E16" s="231" t="e">
        <f>C16/C5</f>
        <v>#DIV/0!</v>
      </c>
      <c r="F16" s="235">
        <f>SUBTOTAL(9,F17:F18)</f>
        <v>0</v>
      </c>
      <c r="G16" s="236">
        <v>0</v>
      </c>
      <c r="H16" s="231" t="e">
        <f>F16/F5</f>
        <v>#DIV/0!</v>
      </c>
      <c r="I16" s="235">
        <f>SUBTOTAL(9,I17:I18)</f>
        <v>0</v>
      </c>
      <c r="J16" s="231" t="e">
        <f>I16/$I$5</f>
        <v>#DIV/0!</v>
      </c>
      <c r="K16" s="154"/>
      <c r="L16" s="154"/>
      <c r="M16" s="329"/>
    </row>
    <row r="17" spans="1:13" outlineLevel="2" x14ac:dyDescent="0.25">
      <c r="A17" s="237">
        <v>1</v>
      </c>
      <c r="B17" s="238" t="s">
        <v>217</v>
      </c>
      <c r="C17" s="239">
        <f>SUMIFS('PL1.1 ML2027-2028'!$G:$G,'PL1.1 ML2027-2028'!$J:$J,K17,'PL1.1 ML2027-2028'!$K:$K,L17)/10^6
+ SUMIFS('PL1.1 ML2027-2028'!$G:$G,'PL1.1 ML2027-2028'!$J:$J,M17,'PL1.1 ML2027-2028'!$K:$K,L17)/10^6</f>
        <v>0</v>
      </c>
      <c r="D17" s="113" t="s">
        <v>187</v>
      </c>
      <c r="E17" s="240" t="e">
        <f t="shared" ref="E17:E18" si="3">C17/$C$5</f>
        <v>#DIV/0!</v>
      </c>
      <c r="F17" s="235">
        <f>SUMIFS('PL1.1 ML2027-2028'!$H:$H,'PL1.1 ML2027-2028'!$J:$J,K17,'PL1.1 ML2027-2028'!$K:$K,L17)/10^6
+ SUMIFS('PL1.1 ML2027-2028'!$H:$H,'PL1.1 ML2027-2028'!$J:$J,M17,'PL1.1 ML2027-2028'!$K:$K,L17)/10^6</f>
        <v>0</v>
      </c>
      <c r="G17" s="236" t="s">
        <v>188</v>
      </c>
      <c r="H17" s="240"/>
      <c r="I17" s="235">
        <f>C17+F17</f>
        <v>0</v>
      </c>
      <c r="J17" s="240" t="e">
        <f>I17/$I$5</f>
        <v>#DIV/0!</v>
      </c>
      <c r="K17" s="125" t="s">
        <v>7</v>
      </c>
      <c r="L17" s="125" t="s">
        <v>68</v>
      </c>
      <c r="M17" s="125" t="s">
        <v>9</v>
      </c>
    </row>
    <row r="18" spans="1:13" ht="114.6" customHeight="1" outlineLevel="2" x14ac:dyDescent="0.25">
      <c r="A18" s="237">
        <v>2</v>
      </c>
      <c r="B18" s="238" t="s">
        <v>35</v>
      </c>
      <c r="C18" s="239">
        <f>SUMIFS('PL1.1 ML2027-2028'!$G:$G,'PL1.1 ML2027-2028'!$J:$J,K18,'PL1.1 ML2027-2028'!$K:$K,L18)/10^6
+ SUMIFS('PL1.1 ML2027-2028'!$G:$G,'PL1.1 ML2027-2028'!$J:$J,M18,'PL1.1 ML2027-2028'!$K:$K,L18)/10^6</f>
        <v>0</v>
      </c>
      <c r="D18" s="113" t="s">
        <v>189</v>
      </c>
      <c r="E18" s="240" t="e">
        <f t="shared" si="3"/>
        <v>#DIV/0!</v>
      </c>
      <c r="F18" s="235">
        <f>SUMIFS('PL1.1 ML2027-2028'!$H:$H,'PL1.1 ML2027-2028'!$J:$J,K18,'PL1.1 ML2027-2028'!$K:$K,L18)/10^6
+ SUMIFS('PL1.1 ML2027-2028'!$H:$H,'PL1.1 ML2027-2028'!$J:$J,M18,'PL1.1 ML2027-2028'!$K:$K,L18)/10^6</f>
        <v>0</v>
      </c>
      <c r="G18" s="113" t="s">
        <v>190</v>
      </c>
      <c r="H18" s="240"/>
      <c r="I18" s="235">
        <f>C18+F18</f>
        <v>0</v>
      </c>
      <c r="J18" s="240" t="e">
        <f t="shared" ref="J18" si="4">I18/$I$5</f>
        <v>#DIV/0!</v>
      </c>
      <c r="K18" s="125" t="s">
        <v>7</v>
      </c>
      <c r="L18" s="125" t="s">
        <v>69</v>
      </c>
      <c r="M18" s="125" t="s">
        <v>9</v>
      </c>
    </row>
    <row r="19" spans="1:13" outlineLevel="1" x14ac:dyDescent="0.25">
      <c r="A19" s="33" t="s">
        <v>15</v>
      </c>
      <c r="B19" s="233" t="s">
        <v>28</v>
      </c>
      <c r="C19" s="230">
        <f>SUBTOTAL(9,C20:C20)</f>
        <v>0</v>
      </c>
      <c r="D19" s="242"/>
      <c r="E19" s="231" t="e">
        <f>C19/C5</f>
        <v>#DIV/0!</v>
      </c>
      <c r="F19" s="243">
        <f>SUBTOTAL(9,F20:F20)</f>
        <v>0</v>
      </c>
      <c r="G19" s="236">
        <v>0</v>
      </c>
      <c r="H19" s="231" t="e">
        <f>F19/F5</f>
        <v>#DIV/0!</v>
      </c>
      <c r="I19" s="186">
        <f>SUBTOTAL(9,I20:I20)</f>
        <v>0</v>
      </c>
      <c r="J19" s="231" t="e">
        <f>I19/$I$5</f>
        <v>#DIV/0!</v>
      </c>
      <c r="K19" s="330"/>
      <c r="L19" s="330"/>
      <c r="M19" s="327"/>
    </row>
    <row r="20" spans="1:13" ht="76.5" outlineLevel="2" x14ac:dyDescent="0.25">
      <c r="A20" s="237">
        <v>1</v>
      </c>
      <c r="B20" s="238" t="s">
        <v>36</v>
      </c>
      <c r="C20" s="239">
        <f>SUMIFS('PL1.1 ML2027-2028'!$G:$G,'PL1.1 ML2027-2028'!$J:$J,K20,'PL1.1 ML2027-2028'!$K:$K,L20)/10^6</f>
        <v>0</v>
      </c>
      <c r="D20" s="241" t="s">
        <v>176</v>
      </c>
      <c r="E20" s="244"/>
      <c r="F20" s="245">
        <f>SUMIFS('PL1.1 ML2027-2028'!$H:$H,'PL1.1 ML2027-2028'!$J:$J,K20,'PL1.1 ML2027-2028'!$K:$K,L20)/10^6</f>
        <v>0</v>
      </c>
      <c r="G20" s="241" t="s">
        <v>177</v>
      </c>
      <c r="H20" s="240"/>
      <c r="I20" s="235">
        <f t="shared" ref="I20:I34" si="5">C20+F20</f>
        <v>0</v>
      </c>
      <c r="J20" s="240" t="e">
        <f>I20/$I$5</f>
        <v>#DIV/0!</v>
      </c>
      <c r="K20" s="125" t="s">
        <v>14</v>
      </c>
      <c r="L20" s="125" t="s">
        <v>69</v>
      </c>
      <c r="M20" s="327"/>
    </row>
    <row r="21" spans="1:13" s="208" customFormat="1" outlineLevel="1" x14ac:dyDescent="0.25">
      <c r="A21" s="33" t="s">
        <v>18</v>
      </c>
      <c r="B21" s="233" t="s">
        <v>37</v>
      </c>
      <c r="C21" s="230">
        <f>SUBTOTAL(9,C22:C24)</f>
        <v>0</v>
      </c>
      <c r="D21" s="246"/>
      <c r="E21" s="247" t="e">
        <f>C21/C5</f>
        <v>#DIV/0!</v>
      </c>
      <c r="F21" s="186">
        <f>SUBTOTAL(9,F22:F24)</f>
        <v>0</v>
      </c>
      <c r="G21" s="236">
        <v>0</v>
      </c>
      <c r="H21" s="231" t="e">
        <f>F21/F5</f>
        <v>#DIV/0!</v>
      </c>
      <c r="I21" s="186">
        <f>SUBTOTAL(9,I22:I24)</f>
        <v>0</v>
      </c>
      <c r="J21" s="231" t="e">
        <f>I21/$I$5</f>
        <v>#DIV/0!</v>
      </c>
      <c r="K21" s="154"/>
      <c r="L21" s="154"/>
      <c r="M21" s="329"/>
    </row>
    <row r="22" spans="1:13" ht="25.5" outlineLevel="2" x14ac:dyDescent="0.25">
      <c r="A22" s="237">
        <v>1</v>
      </c>
      <c r="B22" s="238" t="s">
        <v>74</v>
      </c>
      <c r="C22" s="239">
        <f>SUMIFS('PL1.1 ML2027-2028'!$G:$G,'PL1.1 ML2027-2028'!$K:$K,L22)/10^6</f>
        <v>0</v>
      </c>
      <c r="D22" s="241"/>
      <c r="E22" s="248"/>
      <c r="F22" s="245">
        <f>SUMIFS('PL1.1 ML2027-2028'!$H:$H,'PL1.1 ML2027-2028'!$K:$K,L22)/10^6</f>
        <v>0</v>
      </c>
      <c r="G22" s="249"/>
      <c r="H22" s="240"/>
      <c r="I22" s="235">
        <f t="shared" si="5"/>
        <v>0</v>
      </c>
      <c r="J22" s="240" t="e">
        <f t="shared" ref="J22:J24" si="6">I22/$I$5</f>
        <v>#DIV/0!</v>
      </c>
      <c r="K22" s="125"/>
      <c r="L22" s="125" t="s">
        <v>70</v>
      </c>
      <c r="M22" s="327"/>
    </row>
    <row r="23" spans="1:13" outlineLevel="2" x14ac:dyDescent="0.25">
      <c r="A23" s="237">
        <v>2</v>
      </c>
      <c r="B23" s="238" t="s">
        <v>75</v>
      </c>
      <c r="C23" s="239">
        <f>SUMIFS('PL1.1 ML2027-2028'!$G:$G,'PL1.1 ML2027-2028'!$K:$K,L23)/10^6</f>
        <v>0</v>
      </c>
      <c r="D23" s="113"/>
      <c r="E23" s="240"/>
      <c r="F23" s="245">
        <f>SUMIFS('PL1.1 ML2027-2028'!$H:$H,'PL1.1 ML2027-2028'!$K:$K,L23)/10^6</f>
        <v>0</v>
      </c>
      <c r="G23" s="236">
        <v>0</v>
      </c>
      <c r="H23" s="240"/>
      <c r="I23" s="235">
        <f t="shared" si="5"/>
        <v>0</v>
      </c>
      <c r="J23" s="240" t="e">
        <f t="shared" si="6"/>
        <v>#DIV/0!</v>
      </c>
      <c r="K23" s="125"/>
      <c r="L23" s="125" t="s">
        <v>71</v>
      </c>
      <c r="M23" s="327"/>
    </row>
    <row r="24" spans="1:13" outlineLevel="2" x14ac:dyDescent="0.25">
      <c r="A24" s="237">
        <v>3</v>
      </c>
      <c r="B24" s="238" t="s">
        <v>76</v>
      </c>
      <c r="C24" s="239">
        <f>SUMIFS('PL1.1 ML2027-2028'!$G:$G,'PL1.1 ML2027-2028'!$K:$K,L24)/10^6</f>
        <v>0</v>
      </c>
      <c r="D24" s="113"/>
      <c r="E24" s="240"/>
      <c r="F24" s="245">
        <f>SUMIFS('PL1.1 ML2027-2028'!$H:$H,'PL1.1 ML2027-2028'!$K:$K,L24)/10^6</f>
        <v>0</v>
      </c>
      <c r="G24" s="236">
        <v>0</v>
      </c>
      <c r="H24" s="240"/>
      <c r="I24" s="235">
        <f t="shared" si="5"/>
        <v>0</v>
      </c>
      <c r="J24" s="240" t="e">
        <f t="shared" si="6"/>
        <v>#DIV/0!</v>
      </c>
      <c r="K24" s="125"/>
      <c r="L24" s="125" t="s">
        <v>66</v>
      </c>
      <c r="M24" s="327"/>
    </row>
    <row r="25" spans="1:13" s="208" customFormat="1" outlineLevel="1" x14ac:dyDescent="0.25">
      <c r="A25" s="33" t="s">
        <v>20</v>
      </c>
      <c r="B25" s="233" t="s">
        <v>21</v>
      </c>
      <c r="C25" s="230">
        <f>SUBTOTAL(9,C26:C28)</f>
        <v>0</v>
      </c>
      <c r="D25" s="246"/>
      <c r="E25" s="247" t="e">
        <f>C25/C5</f>
        <v>#DIV/0!</v>
      </c>
      <c r="F25" s="235">
        <f>SUBTOTAL(9,F26:F28)</f>
        <v>0</v>
      </c>
      <c r="G25" s="236">
        <v>0</v>
      </c>
      <c r="H25" s="231" t="e">
        <f>F25/F5</f>
        <v>#DIV/0!</v>
      </c>
      <c r="I25" s="186">
        <f>SUBTOTAL(9,I26:I28)</f>
        <v>0</v>
      </c>
      <c r="J25" s="231" t="e">
        <f>I25/$I$5</f>
        <v>#DIV/0!</v>
      </c>
      <c r="K25" s="154"/>
      <c r="L25" s="154"/>
      <c r="M25" s="329"/>
    </row>
    <row r="26" spans="1:13" ht="38.25" outlineLevel="2" x14ac:dyDescent="0.25">
      <c r="A26" s="237">
        <v>1</v>
      </c>
      <c r="B26" s="238" t="s">
        <v>113</v>
      </c>
      <c r="C26" s="239">
        <f>SUMIFS('PL1.1 ML2027-2028'!$G:$G,'PL1.1 ML2027-2028'!$J:$J,K26,'PL1.1 ML2027-2028'!$K:$K,L26)/10^6</f>
        <v>0</v>
      </c>
      <c r="D26" s="113" t="s">
        <v>205</v>
      </c>
      <c r="E26" s="240"/>
      <c r="F26" s="245">
        <f>SUMIFS('PL1.1 ML2027-2028'!$H:$H,'PL1.1 ML2027-2028'!$J:$J,K26,'PL1.1 ML2027-2028'!$K:$K,L26)/10^6</f>
        <v>0</v>
      </c>
      <c r="G26" s="113" t="s">
        <v>205</v>
      </c>
      <c r="H26" s="240"/>
      <c r="I26" s="235">
        <f t="shared" si="5"/>
        <v>0</v>
      </c>
      <c r="J26" s="240" t="e">
        <f t="shared" ref="J26" si="7">I26/$I$5</f>
        <v>#DIV/0!</v>
      </c>
      <c r="K26" s="125" t="s">
        <v>21</v>
      </c>
      <c r="L26" s="125" t="s">
        <v>116</v>
      </c>
      <c r="M26" s="327"/>
    </row>
    <row r="27" spans="1:13" ht="242.25" outlineLevel="2" x14ac:dyDescent="0.25">
      <c r="A27" s="237">
        <v>2</v>
      </c>
      <c r="B27" s="238" t="s">
        <v>114</v>
      </c>
      <c r="C27" s="239">
        <f>SUMIFS('PL1.1 ML2027-2028'!$G:$G,'PL1.1 ML2027-2028'!$J:$J,K27,'PL1.1 ML2027-2028'!$K:$K,L27)/10^6</f>
        <v>0</v>
      </c>
      <c r="D27" s="250" t="s">
        <v>207</v>
      </c>
      <c r="E27" s="240"/>
      <c r="F27" s="245">
        <f>SUMIFS('PL1.1 ML2027-2028'!$H:$H,'PL1.1 ML2027-2028'!$J:$J,K27,'PL1.1 ML2027-2028'!$K:$K,L27)/10^6</f>
        <v>0</v>
      </c>
      <c r="G27" s="250" t="s">
        <v>206</v>
      </c>
      <c r="H27" s="240"/>
      <c r="I27" s="235">
        <f t="shared" ref="I27" si="8">C27+F27</f>
        <v>0</v>
      </c>
      <c r="J27" s="240" t="e">
        <f>I27/$I$5</f>
        <v>#DIV/0!</v>
      </c>
      <c r="K27" s="125" t="s">
        <v>21</v>
      </c>
      <c r="L27" s="125" t="s">
        <v>117</v>
      </c>
      <c r="M27" s="327"/>
    </row>
    <row r="28" spans="1:13" outlineLevel="2" x14ac:dyDescent="0.25">
      <c r="A28" s="237">
        <v>3</v>
      </c>
      <c r="B28" s="238" t="s">
        <v>120</v>
      </c>
      <c r="C28" s="239">
        <f>SUMIFS('PL1.1 ML2027-2028'!$G:$G,'PL1.1 ML2027-2028'!$J:$J,K28,'PL1.1 ML2027-2028'!$K:$K,L28)/10^6</f>
        <v>0</v>
      </c>
      <c r="D28" s="241" t="s">
        <v>121</v>
      </c>
      <c r="E28" s="240"/>
      <c r="F28" s="245">
        <f>SUMIFS('PL1.1 ML2027-2028'!$H:$H,'PL1.1 ML2027-2028'!$J:$J,K28,'PL1.1 ML2027-2028'!$K:$K,L28)/10^6</f>
        <v>0</v>
      </c>
      <c r="G28" s="236">
        <v>0</v>
      </c>
      <c r="H28" s="240"/>
      <c r="I28" s="235">
        <f>C28+F28</f>
        <v>0</v>
      </c>
      <c r="J28" s="240" t="e">
        <f>I28/$I$5</f>
        <v>#DIV/0!</v>
      </c>
      <c r="K28" s="125" t="s">
        <v>21</v>
      </c>
      <c r="L28" s="125" t="s">
        <v>51</v>
      </c>
      <c r="M28" s="327"/>
    </row>
    <row r="29" spans="1:13" s="208" customFormat="1" outlineLevel="1" x14ac:dyDescent="0.25">
      <c r="A29" s="33" t="s">
        <v>50</v>
      </c>
      <c r="B29" s="233" t="s">
        <v>30</v>
      </c>
      <c r="C29" s="230">
        <f>SUBTOTAL(9,C30:C31)</f>
        <v>0</v>
      </c>
      <c r="D29" s="246"/>
      <c r="E29" s="247" t="e">
        <f>C29/C5</f>
        <v>#DIV/0!</v>
      </c>
      <c r="F29" s="186">
        <f>SUBTOTAL(9,F30:F31)</f>
        <v>0</v>
      </c>
      <c r="G29" s="236">
        <v>0</v>
      </c>
      <c r="H29" s="231" t="e">
        <f>F29/F5</f>
        <v>#DIV/0!</v>
      </c>
      <c r="I29" s="186">
        <f>SUBTOTAL(9,I30:I31)</f>
        <v>0</v>
      </c>
      <c r="J29" s="231" t="e">
        <f>I29/$I$5</f>
        <v>#DIV/0!</v>
      </c>
      <c r="K29" s="154"/>
      <c r="L29" s="154"/>
      <c r="M29" s="329"/>
    </row>
    <row r="30" spans="1:13" ht="25.5" outlineLevel="2" x14ac:dyDescent="0.25">
      <c r="A30" s="237">
        <v>1</v>
      </c>
      <c r="B30" s="238" t="s">
        <v>78</v>
      </c>
      <c r="C30" s="239">
        <f>'TH theo DV'!H13+'TH theo DV'!H16</f>
        <v>0</v>
      </c>
      <c r="D30" s="113" t="s">
        <v>199</v>
      </c>
      <c r="E30" s="240"/>
      <c r="F30" s="235">
        <f>'TH theo DV'!Q13+'TH theo DV'!Q16</f>
        <v>0</v>
      </c>
      <c r="G30" s="236">
        <v>0</v>
      </c>
      <c r="H30" s="240"/>
      <c r="I30" s="235">
        <f>C30+F30</f>
        <v>0</v>
      </c>
      <c r="J30" s="240" t="e">
        <f t="shared" ref="J30:J31" si="9">I30/$I$5</f>
        <v>#DIV/0!</v>
      </c>
      <c r="K30" s="125" t="s">
        <v>17</v>
      </c>
      <c r="L30" s="125" t="s">
        <v>17</v>
      </c>
      <c r="M30" s="327"/>
    </row>
    <row r="31" spans="1:13" ht="51" outlineLevel="2" x14ac:dyDescent="0.25">
      <c r="A31" s="237">
        <v>2</v>
      </c>
      <c r="B31" s="238" t="s">
        <v>35</v>
      </c>
      <c r="C31" s="239">
        <f>'TH theo DV'!H14+'TH theo DV'!H17+'TH theo DV'!H18+'TH theo DV'!H19+'TH theo DV'!H20+'TH theo DV'!H21+'TH theo DV'!H22+'TH theo DV'!H26</f>
        <v>0</v>
      </c>
      <c r="D31" s="113" t="s">
        <v>200</v>
      </c>
      <c r="E31" s="240"/>
      <c r="F31" s="235">
        <f>'TH theo DV'!Q14+'TH theo DV'!Q17+'TH theo DV'!Q18+'TH theo DV'!Q19+'TH theo DV'!Q20+'TH theo DV'!Q21+'TH theo DV'!Q22+'TH theo DV'!Q26</f>
        <v>0</v>
      </c>
      <c r="G31" s="236">
        <v>0</v>
      </c>
      <c r="H31" s="240"/>
      <c r="I31" s="235">
        <f>C31+F31</f>
        <v>0</v>
      </c>
      <c r="J31" s="240" t="e">
        <f t="shared" si="9"/>
        <v>#DIV/0!</v>
      </c>
      <c r="K31" s="125" t="s">
        <v>17</v>
      </c>
      <c r="L31" s="125" t="s">
        <v>17</v>
      </c>
      <c r="M31" s="327"/>
    </row>
    <row r="32" spans="1:13" s="208" customFormat="1" outlineLevel="1" x14ac:dyDescent="0.25">
      <c r="A32" s="33" t="s">
        <v>50</v>
      </c>
      <c r="B32" s="233" t="s">
        <v>31</v>
      </c>
      <c r="C32" s="230">
        <f>SUBTOTAL(9,C33:C34)</f>
        <v>0</v>
      </c>
      <c r="D32" s="251"/>
      <c r="E32" s="252" t="e">
        <f>C32/$C$5</f>
        <v>#DIV/0!</v>
      </c>
      <c r="F32" s="235">
        <f>SUBTOTAL(9,F33:F34)</f>
        <v>0</v>
      </c>
      <c r="G32" s="236">
        <v>0</v>
      </c>
      <c r="H32" s="252" t="e">
        <f>F32/$F$5</f>
        <v>#DIV/0!</v>
      </c>
      <c r="I32" s="186">
        <f>SUBTOTAL(9,I33:I34)</f>
        <v>0</v>
      </c>
      <c r="J32" s="231" t="e">
        <f>I32/$I$5</f>
        <v>#DIV/0!</v>
      </c>
      <c r="K32" s="154"/>
      <c r="L32" s="154"/>
      <c r="M32" s="329"/>
    </row>
    <row r="33" spans="1:13" ht="127.5" outlineLevel="2" x14ac:dyDescent="0.25">
      <c r="A33" s="237">
        <v>1</v>
      </c>
      <c r="B33" s="238" t="s">
        <v>78</v>
      </c>
      <c r="C33" s="239">
        <f>'TH theo DV'!I13+'TH theo DV'!I16</f>
        <v>0</v>
      </c>
      <c r="D33" s="113" t="s">
        <v>172</v>
      </c>
      <c r="E33" s="253"/>
      <c r="F33" s="235">
        <f>'TH theo DV'!R13+'TH theo DV'!R16</f>
        <v>0</v>
      </c>
      <c r="G33" s="236">
        <v>0</v>
      </c>
      <c r="H33" s="253"/>
      <c r="I33" s="235">
        <f t="shared" si="5"/>
        <v>0</v>
      </c>
      <c r="J33" s="240" t="e">
        <f t="shared" ref="J33:J34" si="10">I33/$I$5</f>
        <v>#DIV/0!</v>
      </c>
      <c r="K33" s="125" t="s">
        <v>6</v>
      </c>
      <c r="L33" s="125" t="s">
        <v>6</v>
      </c>
      <c r="M33" s="327"/>
    </row>
    <row r="34" spans="1:13" ht="25.5" outlineLevel="2" x14ac:dyDescent="0.25">
      <c r="A34" s="237">
        <v>2</v>
      </c>
      <c r="B34" s="238" t="s">
        <v>35</v>
      </c>
      <c r="C34" s="239">
        <f>'TH theo DV'!I14+'TH theo DV'!I17+'TH theo DV'!I18+'TH theo DV'!I19+'TH theo DV'!I20+'TH theo DV'!I21+'TH theo DV'!I22+'TH theo DV'!I26</f>
        <v>0</v>
      </c>
      <c r="D34" s="254"/>
      <c r="E34" s="253"/>
      <c r="F34" s="235">
        <f>'TH theo DV'!R14+'TH theo DV'!R17+'TH theo DV'!R18+'TH theo DV'!R19+'TH theo DV'!R20+'TH theo DV'!R21+'TH theo DV'!R22+'TH theo DV'!R26</f>
        <v>0</v>
      </c>
      <c r="G34" s="254"/>
      <c r="H34" s="253"/>
      <c r="I34" s="235">
        <f t="shared" si="5"/>
        <v>0</v>
      </c>
      <c r="J34" s="240" t="e">
        <f t="shared" si="10"/>
        <v>#DIV/0!</v>
      </c>
      <c r="K34" s="125" t="s">
        <v>6</v>
      </c>
      <c r="L34" s="125" t="s">
        <v>6</v>
      </c>
      <c r="M34" s="327"/>
    </row>
    <row r="35" spans="1:13" x14ac:dyDescent="0.25">
      <c r="A35" s="13" t="s">
        <v>23</v>
      </c>
      <c r="B35" s="15" t="s">
        <v>159</v>
      </c>
      <c r="C35" s="216">
        <f>SUBTOTAL(9,C36:C41)</f>
        <v>0</v>
      </c>
      <c r="D35" s="317"/>
      <c r="E35" s="318" t="e">
        <f>C35/$C$5</f>
        <v>#DIV/0!</v>
      </c>
      <c r="F35" s="47">
        <f>SUBTOTAL(9,F36:F41)</f>
        <v>0</v>
      </c>
      <c r="G35" s="317"/>
      <c r="H35" s="319" t="e">
        <f>F35/$F$5</f>
        <v>#DIV/0!</v>
      </c>
      <c r="I35" s="47">
        <f>SUBTOTAL(9,I36:I41)</f>
        <v>0</v>
      </c>
      <c r="J35" s="318" t="e">
        <f>I35/$I$5</f>
        <v>#DIV/0!</v>
      </c>
      <c r="K35" s="125"/>
      <c r="L35" s="125"/>
      <c r="M35" s="327"/>
    </row>
    <row r="36" spans="1:13" ht="12.95" customHeight="1" outlineLevel="1" x14ac:dyDescent="0.25">
      <c r="A36" s="219">
        <v>1</v>
      </c>
      <c r="B36" s="220" t="s">
        <v>29</v>
      </c>
      <c r="C36" s="221">
        <f>SUMIFS('PL1.1 ML2027-2028'!$G:$G,'PL1.1 ML2027-2028'!$J:$J,K36,'PL1.1 ML2027-2028'!$K:$K,L36)/10^6</f>
        <v>0</v>
      </c>
      <c r="D36" s="222" t="s">
        <v>191</v>
      </c>
      <c r="E36" s="320"/>
      <c r="F36" s="224">
        <f>SUMIFS('PL1.1 ML2027-2028'!$H:$H,'PL1.1 ML2027-2028'!$J:$J,K36,'PL1.1 ML2027-2028'!$K:$K,L36)/10^6</f>
        <v>0</v>
      </c>
      <c r="G36" s="218" t="s">
        <v>191</v>
      </c>
      <c r="H36" s="223"/>
      <c r="I36" s="217">
        <f t="shared" ref="I36:I41" si="11">C36+F36</f>
        <v>0</v>
      </c>
      <c r="J36" s="223" t="e">
        <f t="shared" ref="J36:J41" si="12">I36/$I$5</f>
        <v>#DIV/0!</v>
      </c>
      <c r="K36" s="125" t="s">
        <v>7</v>
      </c>
      <c r="L36" s="125" t="s">
        <v>160</v>
      </c>
      <c r="M36" s="327"/>
    </row>
    <row r="37" spans="1:13" ht="12.95" customHeight="1" outlineLevel="1" x14ac:dyDescent="0.25">
      <c r="A37" s="219">
        <v>2</v>
      </c>
      <c r="B37" s="220" t="s">
        <v>28</v>
      </c>
      <c r="C37" s="221">
        <f>SUMIFS('PL1.1 ML2027-2028'!$G:$G,'PL1.1 ML2027-2028'!$J:$J,K37,'PL1.1 ML2027-2028'!$K:$K,L37)/10^6</f>
        <v>0</v>
      </c>
      <c r="D37" s="222"/>
      <c r="E37" s="320"/>
      <c r="F37" s="224">
        <f>SUMIFS('PL1.1 ML2027-2028'!$H:$H,'PL1.1 ML2027-2028'!$J:$J,K37,'PL1.1 ML2027-2028'!$K:$K,L37)/10^6</f>
        <v>0</v>
      </c>
      <c r="G37" s="222"/>
      <c r="H37" s="223"/>
      <c r="I37" s="217">
        <f t="shared" si="11"/>
        <v>0</v>
      </c>
      <c r="J37" s="223" t="e">
        <f t="shared" si="12"/>
        <v>#DIV/0!</v>
      </c>
      <c r="K37" s="125" t="s">
        <v>14</v>
      </c>
      <c r="L37" s="125" t="s">
        <v>160</v>
      </c>
      <c r="M37" s="327"/>
    </row>
    <row r="38" spans="1:13" ht="12.95" customHeight="1" outlineLevel="1" x14ac:dyDescent="0.25">
      <c r="A38" s="219">
        <v>3</v>
      </c>
      <c r="B38" s="220" t="s">
        <v>21</v>
      </c>
      <c r="C38" s="221">
        <f>SUMIFS('PL1.1 ML2027-2028'!$G:$G,'PL1.1 ML2027-2028'!$J:$J,K38,'PL1.1 ML2027-2028'!$K:$K,L38)/10^6</f>
        <v>0</v>
      </c>
      <c r="D38" s="225" t="s">
        <v>134</v>
      </c>
      <c r="E38" s="223"/>
      <c r="F38" s="224">
        <f>SUMIFS('PL1.1 ML2027-2028'!$H:$H,'PL1.1 ML2027-2028'!$J:$J,K38,'PL1.1 ML2027-2028'!$K:$K,L38)/10^6</f>
        <v>0</v>
      </c>
      <c r="G38" s="218">
        <v>0</v>
      </c>
      <c r="H38" s="223"/>
      <c r="I38" s="217">
        <f t="shared" si="11"/>
        <v>0</v>
      </c>
      <c r="J38" s="223" t="e">
        <f t="shared" si="12"/>
        <v>#DIV/0!</v>
      </c>
      <c r="K38" s="125" t="s">
        <v>21</v>
      </c>
      <c r="L38" s="125" t="s">
        <v>160</v>
      </c>
      <c r="M38" s="327"/>
    </row>
    <row r="39" spans="1:13" outlineLevel="1" x14ac:dyDescent="0.25">
      <c r="A39" s="219">
        <v>4</v>
      </c>
      <c r="B39" s="220" t="s">
        <v>30</v>
      </c>
      <c r="C39" s="221">
        <f>SUMIFS('PL1.1 ML2027-2028'!$G:$G,'PL1.1 ML2027-2028'!$J:$J,K39,'PL1.1 ML2027-2028'!$K:$K,L39)/10^6</f>
        <v>0</v>
      </c>
      <c r="D39" s="222" t="s">
        <v>202</v>
      </c>
      <c r="E39" s="223"/>
      <c r="F39" s="224">
        <f>SUMIFS('PL1.1 ML2027-2028'!$H:$H,'PL1.1 ML2027-2028'!$J:$J,K39,'PL1.1 ML2027-2028'!$K:$K,L39)/10^6</f>
        <v>0</v>
      </c>
      <c r="G39" s="218">
        <v>0</v>
      </c>
      <c r="H39" s="223"/>
      <c r="I39" s="217">
        <f t="shared" si="11"/>
        <v>0</v>
      </c>
      <c r="J39" s="223" t="e">
        <f t="shared" si="12"/>
        <v>#DIV/0!</v>
      </c>
      <c r="K39" s="125" t="s">
        <v>17</v>
      </c>
      <c r="L39" s="125" t="s">
        <v>160</v>
      </c>
      <c r="M39" s="327"/>
    </row>
    <row r="40" spans="1:13" ht="89.25" outlineLevel="1" x14ac:dyDescent="0.25">
      <c r="A40" s="219">
        <v>5</v>
      </c>
      <c r="B40" s="220" t="s">
        <v>37</v>
      </c>
      <c r="C40" s="221">
        <f>SUMIFS('PL1.1 ML2027-2028'!$G:$G,'PL1.1 ML2027-2028'!$J:$J,K40,'PL1.1 ML2027-2028'!$K:$K,L40)/10^6</f>
        <v>0</v>
      </c>
      <c r="D40" s="222" t="s">
        <v>126</v>
      </c>
      <c r="E40" s="223"/>
      <c r="F40" s="224">
        <f>SUMIFS('PL1.1 ML2027-2028'!$H:$H,'PL1.1 ML2027-2028'!$J:$J,K40,'PL1.1 ML2027-2028'!$K:$K,L40)/10^6</f>
        <v>0</v>
      </c>
      <c r="G40" s="218">
        <v>0</v>
      </c>
      <c r="H40" s="223"/>
      <c r="I40" s="217">
        <f t="shared" si="11"/>
        <v>0</v>
      </c>
      <c r="J40" s="223" t="e">
        <f t="shared" si="12"/>
        <v>#DIV/0!</v>
      </c>
      <c r="K40" s="125" t="s">
        <v>19</v>
      </c>
      <c r="L40" s="125" t="s">
        <v>160</v>
      </c>
      <c r="M40" s="327"/>
    </row>
    <row r="41" spans="1:13" ht="63.75" outlineLevel="1" x14ac:dyDescent="0.25">
      <c r="A41" s="219">
        <v>5</v>
      </c>
      <c r="B41" s="220" t="s">
        <v>31</v>
      </c>
      <c r="C41" s="221">
        <f>SUMIFS('PL1.1 ML2027-2028'!$G:$G,'PL1.1 ML2027-2028'!$J:$J,K41,'PL1.1 ML2027-2028'!$K:$K,L41)/10^6</f>
        <v>0</v>
      </c>
      <c r="D41" s="222" t="s">
        <v>128</v>
      </c>
      <c r="E41" s="223"/>
      <c r="F41" s="224">
        <f>SUMIFS('PL1.1 ML2027-2028'!$H:$H,'PL1.1 ML2027-2028'!$J:$J,K41,'PL1.1 ML2027-2028'!$K:$K,L41)/10^6</f>
        <v>0</v>
      </c>
      <c r="G41" s="218">
        <v>0</v>
      </c>
      <c r="H41" s="223"/>
      <c r="I41" s="217">
        <f t="shared" si="11"/>
        <v>0</v>
      </c>
      <c r="J41" s="223" t="e">
        <f t="shared" si="12"/>
        <v>#DIV/0!</v>
      </c>
      <c r="K41" s="125" t="s">
        <v>6</v>
      </c>
      <c r="L41" s="125" t="s">
        <v>160</v>
      </c>
      <c r="M41" s="327"/>
    </row>
    <row r="42" spans="1:13" ht="25.5" x14ac:dyDescent="0.25">
      <c r="A42" s="284" t="s">
        <v>23</v>
      </c>
      <c r="B42" s="285" t="s">
        <v>73</v>
      </c>
      <c r="C42" s="286">
        <f>SUBTOTAL(9,C43:C48)</f>
        <v>0</v>
      </c>
      <c r="D42" s="287"/>
      <c r="E42" s="288" t="e">
        <f>C42/$C$5</f>
        <v>#DIV/0!</v>
      </c>
      <c r="F42" s="289">
        <f>SUBTOTAL(9,F43:F48)</f>
        <v>0</v>
      </c>
      <c r="G42" s="287"/>
      <c r="H42" s="290" t="e">
        <f>F42/$F$5</f>
        <v>#DIV/0!</v>
      </c>
      <c r="I42" s="289">
        <f>SUBTOTAL(9,I43:I48)</f>
        <v>0</v>
      </c>
      <c r="J42" s="288" t="e">
        <f>I42/$I$5</f>
        <v>#DIV/0!</v>
      </c>
      <c r="K42" s="125"/>
      <c r="L42" s="125"/>
      <c r="M42" s="327"/>
    </row>
    <row r="43" spans="1:13" ht="25.5" outlineLevel="1" x14ac:dyDescent="0.25">
      <c r="A43" s="291">
        <v>1</v>
      </c>
      <c r="B43" s="292" t="s">
        <v>29</v>
      </c>
      <c r="C43" s="293">
        <f>SUMIFS('PL1.1 ML2027-2028'!$G:$G,'PL1.1 ML2027-2028'!$J:$J,K43,'PL1.1 ML2027-2028'!$K:$K,L43)/10^6</f>
        <v>0</v>
      </c>
      <c r="D43" s="294" t="s">
        <v>192</v>
      </c>
      <c r="E43" s="295"/>
      <c r="F43" s="296">
        <f>SUMIFS('PL1.1 ML2027-2028'!$H:$H,'PL1.1 ML2027-2028'!$J:$J,K43,'PL1.1 ML2027-2028'!$K:$K,L43)/10^6</f>
        <v>0</v>
      </c>
      <c r="G43" s="294" t="s">
        <v>192</v>
      </c>
      <c r="H43" s="297"/>
      <c r="I43" s="298">
        <f t="shared" ref="I43:I48" si="13">C43+F43</f>
        <v>0</v>
      </c>
      <c r="J43" s="297" t="e">
        <f t="shared" ref="J43:J48" si="14">I43/$I$5</f>
        <v>#DIV/0!</v>
      </c>
      <c r="K43" s="125" t="s">
        <v>7</v>
      </c>
      <c r="L43" s="125" t="s">
        <v>77</v>
      </c>
      <c r="M43" s="327"/>
    </row>
    <row r="44" spans="1:13" ht="38.25" outlineLevel="1" x14ac:dyDescent="0.25">
      <c r="A44" s="291">
        <v>2</v>
      </c>
      <c r="B44" s="292" t="s">
        <v>28</v>
      </c>
      <c r="C44" s="293">
        <f>SUMIFS('PL1.1 ML2027-2028'!$G:$G,'PL1.1 ML2027-2028'!$J:$J,K44,'PL1.1 ML2027-2028'!$K:$K,L44)/10^6</f>
        <v>0</v>
      </c>
      <c r="D44" s="294" t="s">
        <v>178</v>
      </c>
      <c r="E44" s="295"/>
      <c r="F44" s="296">
        <f>SUMIFS('PL1.1 ML2027-2028'!$H:$H,'PL1.1 ML2027-2028'!$J:$J,K44,'PL1.1 ML2027-2028'!$K:$K,L44)/10^6</f>
        <v>0</v>
      </c>
      <c r="G44" s="299" t="s">
        <v>179</v>
      </c>
      <c r="H44" s="297"/>
      <c r="I44" s="298">
        <f t="shared" si="13"/>
        <v>0</v>
      </c>
      <c r="J44" s="297" t="e">
        <f t="shared" si="14"/>
        <v>#DIV/0!</v>
      </c>
      <c r="K44" s="125" t="s">
        <v>14</v>
      </c>
      <c r="L44" s="125" t="s">
        <v>77</v>
      </c>
      <c r="M44" s="327"/>
    </row>
    <row r="45" spans="1:13" ht="38.25" outlineLevel="1" x14ac:dyDescent="0.25">
      <c r="A45" s="291">
        <v>3</v>
      </c>
      <c r="B45" s="292" t="s">
        <v>21</v>
      </c>
      <c r="C45" s="293">
        <f>SUMIFS('PL1.1 ML2027-2028'!$G:$G,'PL1.1 ML2027-2028'!$J:$J,K45,'PL1.1 ML2027-2028'!$K:$K,L45)/10^6</f>
        <v>0</v>
      </c>
      <c r="D45" s="300" t="s">
        <v>134</v>
      </c>
      <c r="E45" s="297"/>
      <c r="F45" s="296">
        <f>SUMIFS('PL1.1 ML2027-2028'!$H:$H,'PL1.1 ML2027-2028'!$J:$J,K45,'PL1.1 ML2027-2028'!$K:$K,L45)/10^6</f>
        <v>0</v>
      </c>
      <c r="G45" s="301">
        <v>0</v>
      </c>
      <c r="H45" s="297"/>
      <c r="I45" s="298">
        <f t="shared" si="13"/>
        <v>0</v>
      </c>
      <c r="J45" s="297" t="e">
        <f t="shared" si="14"/>
        <v>#DIV/0!</v>
      </c>
      <c r="K45" s="125" t="s">
        <v>21</v>
      </c>
      <c r="L45" s="125" t="s">
        <v>77</v>
      </c>
      <c r="M45" s="327"/>
    </row>
    <row r="46" spans="1:13" outlineLevel="1" x14ac:dyDescent="0.25">
      <c r="A46" s="291">
        <v>4</v>
      </c>
      <c r="B46" s="292" t="s">
        <v>30</v>
      </c>
      <c r="C46" s="293">
        <f>SUMIFS('PL1.1 ML2027-2028'!$G:$G,'PL1.1 ML2027-2028'!$J:$J,K46,'PL1.1 ML2027-2028'!$K:$K,L46)/10^6</f>
        <v>0</v>
      </c>
      <c r="D46" s="294"/>
      <c r="E46" s="297"/>
      <c r="F46" s="296">
        <f>SUMIFS('PL1.1 ML2027-2028'!$H:$H,'PL1.1 ML2027-2028'!$J:$J,K46,'PL1.1 ML2027-2028'!$K:$K,L46)/10^6</f>
        <v>0</v>
      </c>
      <c r="G46" s="301">
        <v>0</v>
      </c>
      <c r="H46" s="297"/>
      <c r="I46" s="298">
        <f t="shared" si="13"/>
        <v>0</v>
      </c>
      <c r="J46" s="297" t="e">
        <f t="shared" si="14"/>
        <v>#DIV/0!</v>
      </c>
      <c r="K46" s="125" t="s">
        <v>17</v>
      </c>
      <c r="L46" s="125" t="s">
        <v>77</v>
      </c>
      <c r="M46" s="327"/>
    </row>
    <row r="47" spans="1:13" outlineLevel="1" x14ac:dyDescent="0.25">
      <c r="A47" s="291">
        <v>5</v>
      </c>
      <c r="B47" s="292" t="s">
        <v>37</v>
      </c>
      <c r="C47" s="293">
        <f>SUMIFS('PL1.1 ML2027-2028'!$G:$G,'PL1.1 ML2027-2028'!$J:$J,K47,'PL1.1 ML2027-2028'!$K:$K,L47)/10^6</f>
        <v>0</v>
      </c>
      <c r="D47" s="294"/>
      <c r="E47" s="297"/>
      <c r="F47" s="296">
        <f>SUMIFS('PL1.1 ML2027-2028'!$H:$H,'PL1.1 ML2027-2028'!$J:$J,K47,'PL1.1 ML2027-2028'!$K:$K,L47)/10^6</f>
        <v>0</v>
      </c>
      <c r="G47" s="301">
        <v>0</v>
      </c>
      <c r="H47" s="297"/>
      <c r="I47" s="298">
        <f t="shared" si="13"/>
        <v>0</v>
      </c>
      <c r="J47" s="297" t="e">
        <f t="shared" ref="J47" si="15">I47/$I$5</f>
        <v>#DIV/0!</v>
      </c>
      <c r="K47" s="125" t="s">
        <v>19</v>
      </c>
      <c r="L47" s="125" t="s">
        <v>77</v>
      </c>
      <c r="M47" s="327"/>
    </row>
    <row r="48" spans="1:13" ht="63.75" outlineLevel="1" x14ac:dyDescent="0.25">
      <c r="A48" s="291">
        <v>5</v>
      </c>
      <c r="B48" s="292" t="s">
        <v>31</v>
      </c>
      <c r="C48" s="293">
        <f>SUMIFS('PL1.1 ML2027-2028'!$G:$G,'PL1.1 ML2027-2028'!$J:$J,K48,'PL1.1 ML2027-2028'!$K:$K,L48)/10^6</f>
        <v>0</v>
      </c>
      <c r="D48" s="294" t="s">
        <v>128</v>
      </c>
      <c r="E48" s="297"/>
      <c r="F48" s="296">
        <f>SUMIFS('PL1.1 ML2027-2028'!$H:$H,'PL1.1 ML2027-2028'!$J:$J,K48,'PL1.1 ML2027-2028'!$K:$K,L48)/10^6</f>
        <v>0</v>
      </c>
      <c r="G48" s="301">
        <v>0</v>
      </c>
      <c r="H48" s="297"/>
      <c r="I48" s="298">
        <f t="shared" si="13"/>
        <v>0</v>
      </c>
      <c r="J48" s="297" t="e">
        <f t="shared" si="14"/>
        <v>#DIV/0!</v>
      </c>
      <c r="K48" s="125" t="s">
        <v>6</v>
      </c>
      <c r="L48" s="125" t="s">
        <v>77</v>
      </c>
      <c r="M48" s="327"/>
    </row>
    <row r="49" spans="1:14" x14ac:dyDescent="0.25">
      <c r="A49" s="33" t="s">
        <v>24</v>
      </c>
      <c r="B49" s="321" t="s">
        <v>59</v>
      </c>
      <c r="C49" s="230">
        <f>SUBTOTAL(9,C50:C53)</f>
        <v>0</v>
      </c>
      <c r="D49" s="316"/>
      <c r="E49" s="252" t="e">
        <f>C49/$C$5</f>
        <v>#DIV/0!</v>
      </c>
      <c r="F49" s="186">
        <f>SUBTOTAL(9,F50:F53)</f>
        <v>0</v>
      </c>
      <c r="G49" s="316"/>
      <c r="H49" s="252" t="e">
        <f>F49/$F$5</f>
        <v>#DIV/0!</v>
      </c>
      <c r="I49" s="186">
        <f>SUBTOTAL(9,I50:I53)</f>
        <v>0</v>
      </c>
      <c r="J49" s="252" t="e">
        <f>I49/$I$5</f>
        <v>#DIV/0!</v>
      </c>
      <c r="K49" s="125"/>
      <c r="L49" s="125"/>
      <c r="M49" s="327"/>
    </row>
    <row r="50" spans="1:14" outlineLevel="1" x14ac:dyDescent="0.25">
      <c r="A50" s="237">
        <v>1</v>
      </c>
      <c r="B50" s="238" t="s">
        <v>29</v>
      </c>
      <c r="C50" s="239">
        <f>SUMIFS('PL1.1 ML2027-2028'!$G:$G,'PL1.1 ML2027-2028'!$J:$J,K50,'PL1.1 ML2027-2028'!$K:$K,L50)/10^6</f>
        <v>0</v>
      </c>
      <c r="D50" s="241" t="s">
        <v>135</v>
      </c>
      <c r="E50" s="240"/>
      <c r="F50" s="245">
        <f>SUMIFS('PL1.1 ML2027-2028'!$H:$H,'PL1.1 ML2027-2028'!$J:$J,K50,'PL1.1 ML2027-2028'!$K:$K,L50)/10^6</f>
        <v>0</v>
      </c>
      <c r="G50" s="236">
        <v>0</v>
      </c>
      <c r="H50" s="240"/>
      <c r="I50" s="235">
        <f>C50+F50</f>
        <v>0</v>
      </c>
      <c r="J50" s="240" t="e">
        <f t="shared" ref="J50:J53" si="16">I50/$I$5</f>
        <v>#DIV/0!</v>
      </c>
      <c r="K50" s="125" t="s">
        <v>7</v>
      </c>
      <c r="L50" s="125" t="s">
        <v>118</v>
      </c>
      <c r="M50" s="327"/>
    </row>
    <row r="51" spans="1:14" ht="25.5" outlineLevel="1" x14ac:dyDescent="0.25">
      <c r="A51" s="237">
        <v>2</v>
      </c>
      <c r="B51" s="238" t="s">
        <v>37</v>
      </c>
      <c r="C51" s="239">
        <f>SUMIFS('PL1.1 ML2027-2028'!$G:$G,'PL1.1 ML2027-2028'!$J:$J,K51,'PL1.1 ML2027-2028'!$K:$K,L51)/10^6</f>
        <v>0</v>
      </c>
      <c r="D51" s="241" t="s">
        <v>119</v>
      </c>
      <c r="E51" s="240"/>
      <c r="F51" s="245">
        <f>SUMIFS('PL1.1 ML2027-2028'!$H:$H,'PL1.1 ML2027-2028'!$J:$J,K51,'PL1.1 ML2027-2028'!$K:$K,L51)/10^6</f>
        <v>0</v>
      </c>
      <c r="G51" s="236">
        <v>0</v>
      </c>
      <c r="H51" s="240"/>
      <c r="I51" s="235">
        <f>C51+F51</f>
        <v>0</v>
      </c>
      <c r="J51" s="240" t="e">
        <f t="shared" si="16"/>
        <v>#DIV/0!</v>
      </c>
      <c r="K51" s="125" t="s">
        <v>19</v>
      </c>
      <c r="L51" s="125" t="s">
        <v>118</v>
      </c>
      <c r="M51" s="327"/>
    </row>
    <row r="52" spans="1:14" ht="51" outlineLevel="1" x14ac:dyDescent="0.25">
      <c r="A52" s="237">
        <v>3</v>
      </c>
      <c r="B52" s="238" t="s">
        <v>30</v>
      </c>
      <c r="C52" s="239">
        <f>SUMIFS('PL1.1 ML2027-2028'!$G:$G,'PL1.1 ML2027-2028'!$J:$J,K52,'PL1.1 ML2027-2028'!$K:$K,L52)/10^6+SUMIFS('PL1.1 ML2027-2028'!$G:$G,'PL1.1 ML2027-2028'!$J:$J,M52,'PL1.1 ML2027-2028'!$K:$K,L52)/10^6</f>
        <v>0</v>
      </c>
      <c r="D52" s="113" t="s">
        <v>201</v>
      </c>
      <c r="E52" s="322"/>
      <c r="F52" s="245">
        <f>SUMIFS('PL1.1 ML2027-2028'!$H:$H,'PL1.1 ML2027-2028'!$J:$J,K52,'PL1.1 ML2027-2028'!$K:$K,L52)/10^6+SUMIFS('PL1.1 ML2027-2028'!$H:$H,'PL1.1 ML2027-2028'!$J:$J,M52,'PL1.1 ML2027-2028'!$K:$K,L52)/10^6</f>
        <v>0</v>
      </c>
      <c r="G52" s="236">
        <v>0</v>
      </c>
      <c r="H52" s="322"/>
      <c r="I52" s="235">
        <f>C52+F52</f>
        <v>0</v>
      </c>
      <c r="J52" s="240" t="e">
        <f t="shared" si="16"/>
        <v>#DIV/0!</v>
      </c>
      <c r="K52" s="125" t="s">
        <v>17</v>
      </c>
      <c r="L52" s="125" t="s">
        <v>118</v>
      </c>
      <c r="M52" s="125" t="s">
        <v>9</v>
      </c>
      <c r="N52" s="128"/>
    </row>
    <row r="53" spans="1:14" ht="102" outlineLevel="1" x14ac:dyDescent="0.25">
      <c r="A53" s="237">
        <v>4</v>
      </c>
      <c r="B53" s="238" t="s">
        <v>31</v>
      </c>
      <c r="C53" s="239">
        <f>SUMIFS('PL1.1 ML2027-2028'!$G:$G,'PL1.1 ML2027-2028'!$J:$J,K53,'PL1.1 ML2027-2028'!$K:$K,L53)/10^6</f>
        <v>0</v>
      </c>
      <c r="D53" s="113" t="s">
        <v>129</v>
      </c>
      <c r="E53" s="253"/>
      <c r="F53" s="245">
        <f>SUMIFS('PL1.1 ML2027-2028'!$H:$H,'PL1.1 ML2027-2028'!$J:$J,K53,'PL1.1 ML2027-2028'!$K:$K,L53)/10^6</f>
        <v>0</v>
      </c>
      <c r="G53" s="236">
        <v>0</v>
      </c>
      <c r="H53" s="253"/>
      <c r="I53" s="235">
        <f>C53+F53</f>
        <v>0</v>
      </c>
      <c r="J53" s="240" t="e">
        <f t="shared" si="16"/>
        <v>#DIV/0!</v>
      </c>
      <c r="K53" s="125" t="s">
        <v>6</v>
      </c>
      <c r="L53" s="125" t="s">
        <v>118</v>
      </c>
      <c r="M53" s="327"/>
    </row>
    <row r="54" spans="1:14" ht="25.5" x14ac:dyDescent="0.25">
      <c r="A54" s="302" t="s">
        <v>25</v>
      </c>
      <c r="B54" s="323" t="s">
        <v>98</v>
      </c>
      <c r="C54" s="303">
        <f>SUBTOTAL(9,C55:C57)</f>
        <v>0</v>
      </c>
      <c r="D54" s="304"/>
      <c r="E54" s="305" t="e">
        <f>C54/$C$5</f>
        <v>#DIV/0!</v>
      </c>
      <c r="F54" s="306">
        <f>SUBTOTAL(9,F55:F57)</f>
        <v>0</v>
      </c>
      <c r="G54" s="304"/>
      <c r="H54" s="305" t="e">
        <f>F54/$F$5</f>
        <v>#DIV/0!</v>
      </c>
      <c r="I54" s="306">
        <f>SUBTOTAL(9,I55:I57)</f>
        <v>0</v>
      </c>
      <c r="J54" s="305" t="e">
        <f>I54/$I$5</f>
        <v>#DIV/0!</v>
      </c>
      <c r="K54" s="125"/>
      <c r="L54" s="125"/>
      <c r="M54" s="327"/>
    </row>
    <row r="55" spans="1:14" ht="38.25" outlineLevel="1" x14ac:dyDescent="0.25">
      <c r="A55" s="307">
        <v>1</v>
      </c>
      <c r="B55" s="308" t="s">
        <v>29</v>
      </c>
      <c r="C55" s="309">
        <f>SUMIFS('PL1.1 ML2027-2028'!$G:$G,'PL1.1 ML2027-2028'!$J:$J,K55,'PL1.1 ML2027-2028'!$K:$K,L55)/10^6</f>
        <v>0</v>
      </c>
      <c r="D55" s="315" t="s">
        <v>138</v>
      </c>
      <c r="E55" s="313"/>
      <c r="F55" s="311">
        <f>SUMIFS('PL1.1 ML2027-2028'!$H:$H,'PL1.1 ML2027-2028'!$J:$J,K55,'PL1.1 ML2027-2028'!$K:$K,L55)/10^6</f>
        <v>0</v>
      </c>
      <c r="G55" s="312">
        <v>0</v>
      </c>
      <c r="H55" s="313"/>
      <c r="I55" s="314">
        <f>C55+F55</f>
        <v>0</v>
      </c>
      <c r="J55" s="313" t="e">
        <f t="shared" ref="J55:J57" si="17">I55/$I$5</f>
        <v>#DIV/0!</v>
      </c>
      <c r="K55" s="125" t="s">
        <v>7</v>
      </c>
      <c r="L55" s="125" t="s">
        <v>99</v>
      </c>
      <c r="M55" s="327"/>
    </row>
    <row r="56" spans="1:14" ht="76.5" outlineLevel="1" x14ac:dyDescent="0.25">
      <c r="A56" s="307">
        <v>2</v>
      </c>
      <c r="B56" s="308" t="s">
        <v>30</v>
      </c>
      <c r="C56" s="309">
        <f>SUMIFS('PL1.1 ML2027-2028'!$G:$G,'PL1.1 ML2027-2028'!$J:$J,K56,'PL1.1 ML2027-2028'!$K:$K,L56)/10^6</f>
        <v>0</v>
      </c>
      <c r="D56" s="310" t="s">
        <v>127</v>
      </c>
      <c r="E56" s="324"/>
      <c r="F56" s="311">
        <f>SUMIFS('PL1.1 ML2027-2028'!$H:$H,'PL1.1 ML2027-2028'!$J:$J,K56,'PL1.1 ML2027-2028'!$K:$K,L56)/10^6</f>
        <v>0</v>
      </c>
      <c r="G56" s="312">
        <v>0</v>
      </c>
      <c r="H56" s="324"/>
      <c r="I56" s="314">
        <f>C56+F56</f>
        <v>0</v>
      </c>
      <c r="J56" s="313" t="e">
        <f t="shared" si="17"/>
        <v>#DIV/0!</v>
      </c>
      <c r="K56" s="125" t="s">
        <v>17</v>
      </c>
      <c r="L56" s="125" t="s">
        <v>99</v>
      </c>
      <c r="M56" s="327"/>
    </row>
    <row r="57" spans="1:14" ht="51" outlineLevel="1" x14ac:dyDescent="0.25">
      <c r="A57" s="307">
        <v>3</v>
      </c>
      <c r="B57" s="308" t="s">
        <v>31</v>
      </c>
      <c r="C57" s="309">
        <f>SUMIFS('PL1.1 ML2027-2028'!$G:$G,'PL1.1 ML2027-2028'!$J:$J,K57,'PL1.1 ML2027-2028'!$K:$K,L57)/10^6</f>
        <v>0</v>
      </c>
      <c r="D57" s="310" t="s">
        <v>130</v>
      </c>
      <c r="E57" s="325"/>
      <c r="F57" s="311">
        <f>SUMIFS('PL1.1 ML2027-2028'!$H:$H,'PL1.1 ML2027-2028'!$J:$J,K57,'PL1.1 ML2027-2028'!$K:$K,L57)/10^6</f>
        <v>0</v>
      </c>
      <c r="G57" s="312">
        <v>0</v>
      </c>
      <c r="H57" s="325"/>
      <c r="I57" s="314">
        <f>C57+F57</f>
        <v>0</v>
      </c>
      <c r="J57" s="313" t="e">
        <f t="shared" si="17"/>
        <v>#DIV/0!</v>
      </c>
      <c r="K57" s="125" t="s">
        <v>6</v>
      </c>
      <c r="L57" s="125" t="s">
        <v>99</v>
      </c>
      <c r="M57" s="327"/>
    </row>
  </sheetData>
  <autoFilter ref="A5:K57"/>
  <mergeCells count="8">
    <mergeCell ref="K3:M3"/>
    <mergeCell ref="A1:J1"/>
    <mergeCell ref="J3:J4"/>
    <mergeCell ref="A3:A4"/>
    <mergeCell ref="B3:B4"/>
    <mergeCell ref="C3:E3"/>
    <mergeCell ref="F3:H3"/>
    <mergeCell ref="I3:I4"/>
  </mergeCells>
  <pageMargins left="0.39" right="0.18" top="0.2" bottom="0.14000000000000001" header="0.21" footer="0.13"/>
  <pageSetup paperSize="9" scale="75"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rgb="FFEE0033"/>
    <outlinePr summaryBelow="0" summaryRight="0"/>
    <pageSetUpPr fitToPage="1"/>
  </sheetPr>
  <dimension ref="A1:K29"/>
  <sheetViews>
    <sheetView tabSelected="1" zoomScale="90" zoomScaleNormal="90" workbookViewId="0">
      <pane xSplit="2" ySplit="3" topLeftCell="C4" activePane="bottomRight" state="frozen"/>
      <selection activeCell="N27" sqref="N27"/>
      <selection pane="topRight" activeCell="N27" sqref="N27"/>
      <selection pane="bottomLeft" activeCell="N27" sqref="N27"/>
      <selection pane="bottomRight" activeCell="F11" sqref="F11"/>
    </sheetView>
  </sheetViews>
  <sheetFormatPr defaultColWidth="9.28515625" defaultRowHeight="12.75" outlineLevelRow="1" x14ac:dyDescent="0.2"/>
  <cols>
    <col min="1" max="1" width="3.28515625" style="7" bestFit="1" customWidth="1"/>
    <col min="2" max="2" width="26.7109375" style="7" customWidth="1"/>
    <col min="3" max="3" width="78" style="7" customWidth="1"/>
    <col min="4" max="4" width="10.85546875" style="22" customWidth="1"/>
    <col min="5" max="5" width="7.140625" style="26" customWidth="1"/>
    <col min="6" max="6" width="59.5703125" style="7" customWidth="1"/>
    <col min="7" max="7" width="9.28515625" style="23" hidden="1" customWidth="1"/>
    <col min="8" max="8" width="14.28515625" style="38" customWidth="1"/>
    <col min="9" max="16384" width="9.28515625" style="7"/>
  </cols>
  <sheetData>
    <row r="1" spans="1:9" ht="18.75" x14ac:dyDescent="0.2">
      <c r="A1" s="279" t="s">
        <v>140</v>
      </c>
      <c r="B1" s="280"/>
      <c r="C1" s="280"/>
      <c r="D1" s="280"/>
      <c r="E1" s="280"/>
      <c r="F1" s="280"/>
      <c r="G1" s="25"/>
      <c r="H1" s="25"/>
      <c r="I1" s="25"/>
    </row>
    <row r="2" spans="1:9" x14ac:dyDescent="0.2">
      <c r="C2" s="54"/>
    </row>
    <row r="3" spans="1:9" ht="25.5" x14ac:dyDescent="0.2">
      <c r="A3" s="2" t="s">
        <v>0</v>
      </c>
      <c r="B3" s="3" t="s">
        <v>38</v>
      </c>
      <c r="C3" s="3" t="s">
        <v>39</v>
      </c>
      <c r="D3" s="64" t="s">
        <v>168</v>
      </c>
      <c r="E3" s="27" t="s">
        <v>40</v>
      </c>
      <c r="F3" s="3" t="s">
        <v>55</v>
      </c>
    </row>
    <row r="4" spans="1:9" x14ac:dyDescent="0.2">
      <c r="A4" s="2"/>
      <c r="B4" s="121" t="s">
        <v>34</v>
      </c>
      <c r="C4" s="121"/>
      <c r="D4" s="20">
        <f>SUBTOTAL(9,D5:D29)</f>
        <v>0</v>
      </c>
      <c r="E4" s="27"/>
      <c r="F4" s="121"/>
    </row>
    <row r="5" spans="1:9" x14ac:dyDescent="0.2">
      <c r="A5" s="2" t="s">
        <v>4</v>
      </c>
      <c r="B5" s="75" t="s">
        <v>107</v>
      </c>
      <c r="C5" s="76"/>
      <c r="D5" s="12">
        <f>SUBTOTAL(9,D6:D9)</f>
        <v>0</v>
      </c>
      <c r="E5" s="77" t="e">
        <f>D5/$D$4</f>
        <v>#DIV/0!</v>
      </c>
      <c r="F5" s="76"/>
    </row>
    <row r="6" spans="1:9" s="135" customFormat="1" ht="114.75" outlineLevel="1" x14ac:dyDescent="0.2">
      <c r="A6" s="125">
        <v>1</v>
      </c>
      <c r="B6" s="123" t="s">
        <v>54</v>
      </c>
      <c r="C6" s="127" t="s">
        <v>147</v>
      </c>
      <c r="D6" s="122">
        <f>'TH theo DV'!AB7</f>
        <v>0</v>
      </c>
      <c r="E6" s="132" t="e">
        <f>D6/$D$4</f>
        <v>#DIV/0!</v>
      </c>
      <c r="F6" s="127" t="s">
        <v>146</v>
      </c>
      <c r="G6" s="133" t="s">
        <v>47</v>
      </c>
      <c r="H6" s="134"/>
      <c r="I6" s="152"/>
    </row>
    <row r="7" spans="1:9" ht="25.5" outlineLevel="1" x14ac:dyDescent="0.2">
      <c r="A7" s="17">
        <v>2</v>
      </c>
      <c r="B7" s="108" t="s">
        <v>108</v>
      </c>
      <c r="C7" s="73" t="s">
        <v>148</v>
      </c>
      <c r="D7" s="60">
        <f>'TH theo DV'!AB8</f>
        <v>0</v>
      </c>
      <c r="E7" s="24" t="e">
        <f>D7/$D$4</f>
        <v>#DIV/0!</v>
      </c>
      <c r="F7" s="109" t="s">
        <v>123</v>
      </c>
    </row>
    <row r="8" spans="1:9" s="142" customFormat="1" ht="25.5" outlineLevel="1" x14ac:dyDescent="0.2">
      <c r="A8" s="130">
        <v>3</v>
      </c>
      <c r="B8" s="153" t="s">
        <v>109</v>
      </c>
      <c r="C8" s="157" t="s">
        <v>203</v>
      </c>
      <c r="D8" s="138">
        <f>'TH theo DV'!AB9</f>
        <v>0</v>
      </c>
      <c r="E8" s="139" t="e">
        <f>D8/$D$4</f>
        <v>#DIV/0!</v>
      </c>
      <c r="F8" s="129" t="s">
        <v>133</v>
      </c>
      <c r="G8" s="140" t="s">
        <v>21</v>
      </c>
      <c r="H8" s="141"/>
    </row>
    <row r="9" spans="1:9" ht="25.5" outlineLevel="1" x14ac:dyDescent="0.2">
      <c r="A9" s="17">
        <v>4</v>
      </c>
      <c r="B9" s="55" t="s">
        <v>105</v>
      </c>
      <c r="C9" s="109" t="s">
        <v>149</v>
      </c>
      <c r="D9" s="60">
        <f>'TH theo DV'!AB10</f>
        <v>0</v>
      </c>
      <c r="E9" s="24" t="e">
        <f>D9/$D$4</f>
        <v>#DIV/0!</v>
      </c>
      <c r="F9" s="109" t="s">
        <v>132</v>
      </c>
      <c r="G9" s="23" t="s">
        <v>110</v>
      </c>
    </row>
    <row r="10" spans="1:9" x14ac:dyDescent="0.2">
      <c r="A10" s="39" t="s">
        <v>10</v>
      </c>
      <c r="B10" s="40" t="s">
        <v>111</v>
      </c>
      <c r="C10" s="110"/>
      <c r="D10" s="61">
        <f>SUBTOTAL(9,D11:D24)</f>
        <v>0</v>
      </c>
      <c r="E10" s="32" t="e">
        <f>D10/D4</f>
        <v>#DIV/0!</v>
      </c>
      <c r="F10" s="114"/>
    </row>
    <row r="11" spans="1:9" outlineLevel="1" x14ac:dyDescent="0.2">
      <c r="A11" s="96">
        <v>1</v>
      </c>
      <c r="B11" s="84" t="s">
        <v>32</v>
      </c>
      <c r="C11" s="111"/>
      <c r="D11" s="115">
        <f>SUBTOTAL(9,D12:D13)</f>
        <v>0</v>
      </c>
      <c r="E11" s="24" t="e">
        <f t="shared" ref="E11:E19" si="0">D11/$D$4</f>
        <v>#DIV/0!</v>
      </c>
      <c r="F11" s="73"/>
    </row>
    <row r="12" spans="1:9" ht="114.75" outlineLevel="1" x14ac:dyDescent="0.2">
      <c r="A12" s="17" t="s">
        <v>8</v>
      </c>
      <c r="B12" s="78" t="s">
        <v>101</v>
      </c>
      <c r="C12" s="109" t="s">
        <v>145</v>
      </c>
      <c r="D12" s="60">
        <f>'TH theo DV'!AB13</f>
        <v>0</v>
      </c>
      <c r="E12" s="24" t="e">
        <f t="shared" si="0"/>
        <v>#DIV/0!</v>
      </c>
      <c r="F12" s="109" t="s">
        <v>150</v>
      </c>
      <c r="G12" s="23" t="s">
        <v>7</v>
      </c>
    </row>
    <row r="13" spans="1:9" s="135" customFormat="1" ht="140.25" outlineLevel="1" x14ac:dyDescent="0.2">
      <c r="A13" s="125" t="s">
        <v>8</v>
      </c>
      <c r="B13" s="131" t="s">
        <v>102</v>
      </c>
      <c r="C13" s="127" t="s">
        <v>185</v>
      </c>
      <c r="D13" s="122">
        <f>'TH theo DV'!AB14</f>
        <v>0</v>
      </c>
      <c r="E13" s="132" t="e">
        <f t="shared" si="0"/>
        <v>#DIV/0!</v>
      </c>
      <c r="F13" s="127" t="s">
        <v>184</v>
      </c>
      <c r="G13" s="133" t="s">
        <v>14</v>
      </c>
      <c r="H13" s="134"/>
    </row>
    <row r="14" spans="1:9" outlineLevel="1" x14ac:dyDescent="0.2">
      <c r="A14" s="80">
        <v>2</v>
      </c>
      <c r="B14" s="84" t="s">
        <v>103</v>
      </c>
      <c r="C14" s="112"/>
      <c r="D14" s="115">
        <f>SUBTOTAL(9,D15:D18)</f>
        <v>0</v>
      </c>
      <c r="E14" s="24" t="e">
        <f t="shared" si="0"/>
        <v>#DIV/0!</v>
      </c>
      <c r="F14" s="109"/>
    </row>
    <row r="15" spans="1:9" ht="51" outlineLevel="1" x14ac:dyDescent="0.2">
      <c r="A15" s="18" t="s">
        <v>8</v>
      </c>
      <c r="B15" s="78" t="s">
        <v>62</v>
      </c>
      <c r="C15" s="109" t="s">
        <v>152</v>
      </c>
      <c r="D15" s="60">
        <f>'TH theo DV'!AB16</f>
        <v>0</v>
      </c>
      <c r="E15" s="24" t="e">
        <f t="shared" si="0"/>
        <v>#DIV/0!</v>
      </c>
      <c r="F15" s="109" t="s">
        <v>151</v>
      </c>
      <c r="G15" s="23" t="s">
        <v>19</v>
      </c>
    </row>
    <row r="16" spans="1:9" ht="114.75" outlineLevel="1" x14ac:dyDescent="0.2">
      <c r="A16" s="18" t="s">
        <v>8</v>
      </c>
      <c r="B16" s="78" t="s">
        <v>75</v>
      </c>
      <c r="C16" s="109" t="s">
        <v>153</v>
      </c>
      <c r="D16" s="60">
        <f>'TH theo DV'!AB17</f>
        <v>0</v>
      </c>
      <c r="E16" s="24" t="e">
        <f t="shared" si="0"/>
        <v>#DIV/0!</v>
      </c>
      <c r="F16" s="109" t="s">
        <v>154</v>
      </c>
      <c r="G16" s="23" t="s">
        <v>19</v>
      </c>
    </row>
    <row r="17" spans="1:11" ht="76.5" outlineLevel="1" x14ac:dyDescent="0.2">
      <c r="A17" s="18" t="s">
        <v>8</v>
      </c>
      <c r="B17" s="78" t="s">
        <v>76</v>
      </c>
      <c r="C17" s="109" t="s">
        <v>163</v>
      </c>
      <c r="D17" s="60">
        <f>'TH theo DV'!AB18</f>
        <v>0</v>
      </c>
      <c r="E17" s="24" t="e">
        <f t="shared" si="0"/>
        <v>#DIV/0!</v>
      </c>
      <c r="F17" s="109" t="s">
        <v>155</v>
      </c>
      <c r="G17" s="23" t="s">
        <v>19</v>
      </c>
    </row>
    <row r="18" spans="1:11" ht="25.5" outlineLevel="1" x14ac:dyDescent="0.2">
      <c r="A18" s="18" t="s">
        <v>8</v>
      </c>
      <c r="B18" s="78" t="s">
        <v>91</v>
      </c>
      <c r="C18" s="109" t="s">
        <v>125</v>
      </c>
      <c r="D18" s="60">
        <f>'TH theo DV'!AB19</f>
        <v>0</v>
      </c>
      <c r="E18" s="24" t="e">
        <f t="shared" si="0"/>
        <v>#DIV/0!</v>
      </c>
      <c r="F18" s="109" t="s">
        <v>124</v>
      </c>
      <c r="G18" s="23" t="s">
        <v>17</v>
      </c>
    </row>
    <row r="19" spans="1:11" s="142" customFormat="1" ht="25.5" outlineLevel="1" x14ac:dyDescent="0.2">
      <c r="A19" s="149">
        <v>3</v>
      </c>
      <c r="B19" s="150" t="s">
        <v>60</v>
      </c>
      <c r="C19" s="129" t="s">
        <v>144</v>
      </c>
      <c r="D19" s="151">
        <f>'TH theo DV'!AB20</f>
        <v>0</v>
      </c>
      <c r="E19" s="139" t="e">
        <f t="shared" si="0"/>
        <v>#DIV/0!</v>
      </c>
      <c r="F19" s="129" t="s">
        <v>8</v>
      </c>
      <c r="G19" s="140" t="s">
        <v>21</v>
      </c>
      <c r="H19" s="141"/>
      <c r="J19" s="143"/>
    </row>
    <row r="20" spans="1:11" ht="25.5" outlineLevel="1" x14ac:dyDescent="0.2">
      <c r="A20" s="80">
        <v>4</v>
      </c>
      <c r="B20" s="84" t="s">
        <v>61</v>
      </c>
      <c r="C20" s="109" t="s">
        <v>156</v>
      </c>
      <c r="D20" s="115">
        <f>'TH theo DV'!AB21</f>
        <v>0</v>
      </c>
      <c r="E20" s="24"/>
      <c r="F20" s="109" t="s">
        <v>157</v>
      </c>
      <c r="G20" s="23" t="s">
        <v>65</v>
      </c>
      <c r="J20" s="30"/>
    </row>
    <row r="21" spans="1:11" outlineLevel="1" x14ac:dyDescent="0.2">
      <c r="A21" s="80">
        <v>5</v>
      </c>
      <c r="B21" s="84" t="s">
        <v>106</v>
      </c>
      <c r="C21" s="109"/>
      <c r="D21" s="115">
        <f>SUBTOTAL(9,D22:D24)</f>
        <v>0</v>
      </c>
      <c r="E21" s="24"/>
      <c r="F21" s="109"/>
      <c r="J21" s="30"/>
    </row>
    <row r="22" spans="1:11" s="142" customFormat="1" ht="25.5" outlineLevel="1" x14ac:dyDescent="0.2">
      <c r="A22" s="136" t="s">
        <v>8</v>
      </c>
      <c r="B22" s="137" t="s">
        <v>113</v>
      </c>
      <c r="C22" s="129" t="s">
        <v>209</v>
      </c>
      <c r="D22" s="138">
        <f>'TH theo DV'!AB23</f>
        <v>0</v>
      </c>
      <c r="E22" s="139"/>
      <c r="F22" s="281" t="s">
        <v>162</v>
      </c>
      <c r="G22" s="140" t="s">
        <v>21</v>
      </c>
      <c r="H22" s="141"/>
      <c r="J22" s="143"/>
    </row>
    <row r="23" spans="1:11" s="142" customFormat="1" ht="51" outlineLevel="1" x14ac:dyDescent="0.2">
      <c r="A23" s="136" t="s">
        <v>8</v>
      </c>
      <c r="B23" s="137" t="s">
        <v>114</v>
      </c>
      <c r="C23" s="129" t="s">
        <v>208</v>
      </c>
      <c r="D23" s="138">
        <f>'TH theo DV'!AB24</f>
        <v>0</v>
      </c>
      <c r="E23" s="139"/>
      <c r="F23" s="282"/>
      <c r="G23" s="140" t="s">
        <v>21</v>
      </c>
      <c r="H23" s="141"/>
      <c r="J23" s="143"/>
    </row>
    <row r="24" spans="1:11" s="142" customFormat="1" ht="25.5" outlineLevel="1" x14ac:dyDescent="0.2">
      <c r="A24" s="136" t="s">
        <v>8</v>
      </c>
      <c r="B24" s="137" t="s">
        <v>51</v>
      </c>
      <c r="C24" s="129" t="s">
        <v>121</v>
      </c>
      <c r="D24" s="138">
        <f>'TH theo DV'!AB25</f>
        <v>0</v>
      </c>
      <c r="E24" s="139" t="e">
        <f>D24/$D$4</f>
        <v>#DIV/0!</v>
      </c>
      <c r="F24" s="129" t="s">
        <v>122</v>
      </c>
      <c r="G24" s="140" t="s">
        <v>21</v>
      </c>
      <c r="H24" s="141"/>
      <c r="I24" s="144"/>
      <c r="J24" s="145"/>
      <c r="K24" s="143"/>
    </row>
    <row r="25" spans="1:11" x14ac:dyDescent="0.2">
      <c r="A25" s="33" t="s">
        <v>15</v>
      </c>
      <c r="B25" s="34" t="s">
        <v>115</v>
      </c>
      <c r="C25" s="113"/>
      <c r="D25" s="62">
        <f>SUBTOTAL(9,D27:D29)</f>
        <v>0</v>
      </c>
      <c r="E25" s="35" t="e">
        <f>D25/$D$4</f>
        <v>#DIV/0!</v>
      </c>
      <c r="F25" s="113"/>
    </row>
    <row r="26" spans="1:11" s="142" customFormat="1" ht="76.5" outlineLevel="1" x14ac:dyDescent="0.2">
      <c r="A26" s="130">
        <v>1</v>
      </c>
      <c r="B26" s="146" t="s">
        <v>159</v>
      </c>
      <c r="C26" s="129" t="s">
        <v>180</v>
      </c>
      <c r="D26" s="138">
        <f>'TH theo DV'!AB30</f>
        <v>0</v>
      </c>
      <c r="E26" s="147"/>
      <c r="F26" s="129" t="s">
        <v>181</v>
      </c>
      <c r="G26" s="140"/>
      <c r="H26" s="141"/>
    </row>
    <row r="27" spans="1:11" s="142" customFormat="1" ht="114.75" outlineLevel="1" x14ac:dyDescent="0.2">
      <c r="A27" s="130">
        <v>2</v>
      </c>
      <c r="B27" s="148" t="s">
        <v>158</v>
      </c>
      <c r="C27" s="129" t="s">
        <v>182</v>
      </c>
      <c r="D27" s="138">
        <f>'TH theo DV'!AB31</f>
        <v>0</v>
      </c>
      <c r="E27" s="139"/>
      <c r="F27" s="129" t="s">
        <v>183</v>
      </c>
      <c r="G27" s="140"/>
      <c r="H27" s="141"/>
    </row>
    <row r="28" spans="1:11" ht="153" outlineLevel="1" x14ac:dyDescent="0.2">
      <c r="A28" s="17">
        <v>3</v>
      </c>
      <c r="B28" s="74" t="s">
        <v>161</v>
      </c>
      <c r="C28" s="109" t="s">
        <v>136</v>
      </c>
      <c r="D28" s="60">
        <f>'TH theo DV'!AB32</f>
        <v>0</v>
      </c>
      <c r="E28" s="24"/>
      <c r="F28" s="109" t="s">
        <v>131</v>
      </c>
    </row>
    <row r="29" spans="1:11" ht="153" outlineLevel="1" x14ac:dyDescent="0.2">
      <c r="A29" s="17">
        <v>4</v>
      </c>
      <c r="B29" s="87" t="s">
        <v>98</v>
      </c>
      <c r="C29" s="109" t="s">
        <v>139</v>
      </c>
      <c r="D29" s="60">
        <f>'TH theo DV'!AB33</f>
        <v>0</v>
      </c>
      <c r="E29" s="24"/>
      <c r="F29" s="109" t="s">
        <v>137</v>
      </c>
    </row>
  </sheetData>
  <autoFilter ref="A3:G29"/>
  <mergeCells count="2">
    <mergeCell ref="A1:F1"/>
    <mergeCell ref="F22:F23"/>
  </mergeCells>
  <pageMargins left="0.45" right="0.2" top="0.25" bottom="0.2" header="0.2" footer="0.2"/>
  <pageSetup paperSize="9" scale="75" fitToHeight="0" orientation="landscape"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K34"/>
  <sheetViews>
    <sheetView workbookViewId="0">
      <selection activeCell="C13" sqref="C13:C15"/>
    </sheetView>
  </sheetViews>
  <sheetFormatPr defaultColWidth="8.7109375" defaultRowHeight="12.75" x14ac:dyDescent="0.25"/>
  <cols>
    <col min="1" max="2" width="8.7109375" style="6"/>
    <col min="3" max="3" width="12.7109375" style="6" bestFit="1" customWidth="1"/>
    <col min="4" max="6" width="8.7109375" style="6"/>
    <col min="7" max="7" width="2.7109375" style="6" bestFit="1" customWidth="1"/>
    <col min="8" max="8" width="8.7109375" style="97"/>
    <col min="9" max="16384" width="8.7109375" style="6"/>
  </cols>
  <sheetData>
    <row r="2" spans="2:11" x14ac:dyDescent="0.25">
      <c r="B2" s="283" t="s">
        <v>67</v>
      </c>
      <c r="C2" s="283"/>
      <c r="D2" s="283"/>
    </row>
    <row r="3" spans="2:11" x14ac:dyDescent="0.25">
      <c r="B3" s="19" t="s">
        <v>43</v>
      </c>
      <c r="C3" s="19" t="s">
        <v>44</v>
      </c>
      <c r="D3" s="19" t="s">
        <v>45</v>
      </c>
    </row>
    <row r="4" spans="2:11" x14ac:dyDescent="0.25">
      <c r="B4" s="28" t="s">
        <v>7</v>
      </c>
      <c r="C4" s="18" t="s">
        <v>47</v>
      </c>
      <c r="D4" s="1" t="s">
        <v>53</v>
      </c>
      <c r="G4" s="11" t="s">
        <v>4</v>
      </c>
      <c r="H4" s="98" t="s">
        <v>112</v>
      </c>
      <c r="I4" s="94"/>
      <c r="J4" s="94"/>
      <c r="K4" s="94"/>
    </row>
    <row r="5" spans="2:11" x14ac:dyDescent="0.25">
      <c r="B5" s="28"/>
      <c r="C5" s="18" t="s">
        <v>93</v>
      </c>
      <c r="D5" s="1"/>
      <c r="G5" s="21">
        <v>1</v>
      </c>
      <c r="H5" s="99" t="s">
        <v>54</v>
      </c>
      <c r="I5" s="94"/>
      <c r="J5" s="94"/>
      <c r="K5" s="94"/>
    </row>
    <row r="6" spans="2:11" x14ac:dyDescent="0.25">
      <c r="B6" s="28" t="s">
        <v>14</v>
      </c>
      <c r="C6" s="28"/>
      <c r="D6" s="1" t="s">
        <v>27</v>
      </c>
      <c r="G6" s="21">
        <v>2</v>
      </c>
      <c r="H6" s="99" t="s">
        <v>108</v>
      </c>
      <c r="I6" s="94"/>
      <c r="J6" s="94"/>
      <c r="K6" s="94"/>
    </row>
    <row r="7" spans="2:11" x14ac:dyDescent="0.25">
      <c r="B7" s="28" t="s">
        <v>19</v>
      </c>
      <c r="C7" s="28" t="s">
        <v>64</v>
      </c>
      <c r="D7" s="1"/>
      <c r="G7" s="21">
        <v>3</v>
      </c>
      <c r="H7" s="99" t="s">
        <v>109</v>
      </c>
      <c r="I7" s="94"/>
      <c r="J7" s="94"/>
      <c r="K7" s="94"/>
    </row>
    <row r="8" spans="2:11" x14ac:dyDescent="0.25">
      <c r="B8" s="28" t="s">
        <v>9</v>
      </c>
      <c r="C8" s="28"/>
      <c r="D8" s="1"/>
      <c r="G8" s="21">
        <v>4</v>
      </c>
      <c r="H8" s="99" t="s">
        <v>105</v>
      </c>
      <c r="I8" s="94"/>
      <c r="J8" s="94"/>
      <c r="K8" s="94"/>
    </row>
    <row r="9" spans="2:11" x14ac:dyDescent="0.25">
      <c r="B9" s="28"/>
      <c r="C9" s="28" t="s">
        <v>95</v>
      </c>
      <c r="D9" s="1"/>
      <c r="G9" s="11" t="s">
        <v>10</v>
      </c>
      <c r="H9" s="98" t="s">
        <v>111</v>
      </c>
      <c r="I9" s="94"/>
      <c r="J9" s="94"/>
      <c r="K9" s="94"/>
    </row>
    <row r="10" spans="2:11" x14ac:dyDescent="0.25">
      <c r="B10" s="28" t="s">
        <v>21</v>
      </c>
      <c r="C10" s="29" t="s">
        <v>65</v>
      </c>
      <c r="D10" s="1"/>
      <c r="G10" s="21">
        <v>2</v>
      </c>
      <c r="H10" s="99" t="s">
        <v>32</v>
      </c>
      <c r="I10" s="94"/>
      <c r="J10" s="94"/>
      <c r="K10" s="94"/>
    </row>
    <row r="11" spans="2:11" x14ac:dyDescent="0.25">
      <c r="B11" s="28" t="s">
        <v>17</v>
      </c>
      <c r="C11" s="18" t="s">
        <v>68</v>
      </c>
      <c r="D11" s="1"/>
      <c r="G11" s="21" t="s">
        <v>8</v>
      </c>
      <c r="H11" s="99" t="s">
        <v>101</v>
      </c>
      <c r="I11" s="94"/>
      <c r="J11" s="94"/>
      <c r="K11" s="94"/>
    </row>
    <row r="12" spans="2:11" x14ac:dyDescent="0.25">
      <c r="B12" s="28" t="s">
        <v>6</v>
      </c>
      <c r="C12" s="18" t="s">
        <v>69</v>
      </c>
      <c r="D12" s="1"/>
      <c r="G12" s="21" t="s">
        <v>8</v>
      </c>
      <c r="H12" s="99" t="s">
        <v>102</v>
      </c>
      <c r="I12" s="94"/>
      <c r="J12" s="94"/>
      <c r="K12" s="94"/>
    </row>
    <row r="13" spans="2:11" x14ac:dyDescent="0.25">
      <c r="B13" s="28" t="s">
        <v>56</v>
      </c>
      <c r="C13" s="18" t="s">
        <v>70</v>
      </c>
      <c r="D13" s="1"/>
      <c r="G13" s="21">
        <v>3</v>
      </c>
      <c r="H13" s="99" t="s">
        <v>103</v>
      </c>
      <c r="I13" s="94"/>
      <c r="J13" s="94"/>
      <c r="K13" s="94"/>
    </row>
    <row r="14" spans="2:11" x14ac:dyDescent="0.25">
      <c r="B14" s="1"/>
      <c r="C14" s="18" t="s">
        <v>71</v>
      </c>
      <c r="D14" s="1"/>
      <c r="G14" s="21" t="s">
        <v>8</v>
      </c>
      <c r="H14" s="99" t="s">
        <v>57</v>
      </c>
      <c r="I14" s="94"/>
      <c r="J14" s="94"/>
      <c r="K14" s="94"/>
    </row>
    <row r="15" spans="2:11" x14ac:dyDescent="0.25">
      <c r="B15" s="1"/>
      <c r="C15" s="18" t="s">
        <v>108</v>
      </c>
      <c r="D15" s="1"/>
      <c r="G15" s="21" t="s">
        <v>8</v>
      </c>
      <c r="H15" s="99" t="s">
        <v>84</v>
      </c>
      <c r="I15" s="94"/>
      <c r="J15" s="94"/>
      <c r="K15" s="94"/>
    </row>
    <row r="16" spans="2:11" x14ac:dyDescent="0.25">
      <c r="B16" s="1"/>
      <c r="C16" s="18" t="s">
        <v>66</v>
      </c>
      <c r="D16" s="1"/>
      <c r="G16" s="21" t="s">
        <v>8</v>
      </c>
      <c r="H16" s="99" t="s">
        <v>85</v>
      </c>
      <c r="I16" s="94"/>
      <c r="J16" s="94"/>
      <c r="K16" s="94"/>
    </row>
    <row r="17" spans="2:11" x14ac:dyDescent="0.25">
      <c r="B17" s="1"/>
      <c r="C17" s="18" t="s">
        <v>116</v>
      </c>
      <c r="D17" s="1"/>
      <c r="G17" s="21" t="s">
        <v>8</v>
      </c>
      <c r="H17" s="99" t="s">
        <v>92</v>
      </c>
      <c r="I17" s="94"/>
      <c r="J17" s="94"/>
      <c r="K17" s="94"/>
    </row>
    <row r="18" spans="2:11" x14ac:dyDescent="0.25">
      <c r="B18" s="1"/>
      <c r="C18" s="18" t="s">
        <v>117</v>
      </c>
      <c r="D18" s="1"/>
      <c r="G18" s="21">
        <v>4</v>
      </c>
      <c r="H18" s="99" t="s">
        <v>60</v>
      </c>
      <c r="I18" s="94"/>
      <c r="J18" s="94"/>
      <c r="K18" s="94"/>
    </row>
    <row r="19" spans="2:11" x14ac:dyDescent="0.25">
      <c r="B19" s="1"/>
      <c r="C19" s="18" t="s">
        <v>58</v>
      </c>
      <c r="D19" s="1"/>
      <c r="G19" s="21">
        <v>5</v>
      </c>
      <c r="H19" s="99" t="s">
        <v>61</v>
      </c>
      <c r="I19" s="94"/>
      <c r="J19" s="94"/>
      <c r="K19" s="94"/>
    </row>
    <row r="20" spans="2:11" x14ac:dyDescent="0.25">
      <c r="B20" s="1"/>
      <c r="C20" s="18" t="s">
        <v>86</v>
      </c>
      <c r="D20" s="1"/>
      <c r="G20" s="21">
        <v>6</v>
      </c>
      <c r="H20" s="99" t="s">
        <v>106</v>
      </c>
      <c r="I20" s="94"/>
      <c r="J20" s="94"/>
      <c r="K20" s="94"/>
    </row>
    <row r="21" spans="2:11" x14ac:dyDescent="0.25">
      <c r="B21" s="1"/>
      <c r="C21" s="18" t="s">
        <v>83</v>
      </c>
      <c r="D21" s="1"/>
      <c r="G21" s="21" t="s">
        <v>8</v>
      </c>
      <c r="H21" s="100" t="s">
        <v>113</v>
      </c>
      <c r="I21" s="94"/>
      <c r="J21" s="94"/>
      <c r="K21" s="94"/>
    </row>
    <row r="22" spans="2:11" x14ac:dyDescent="0.25">
      <c r="B22" s="1"/>
      <c r="C22" s="18" t="s">
        <v>94</v>
      </c>
      <c r="D22" s="1"/>
      <c r="G22" s="21" t="s">
        <v>8</v>
      </c>
      <c r="H22" s="100" t="s">
        <v>114</v>
      </c>
      <c r="I22" s="94"/>
      <c r="J22" s="94"/>
      <c r="K22" s="94"/>
    </row>
    <row r="23" spans="2:11" x14ac:dyDescent="0.25">
      <c r="B23" s="1"/>
      <c r="C23" s="46" t="s">
        <v>109</v>
      </c>
      <c r="D23" s="1"/>
      <c r="G23" s="21" t="s">
        <v>8</v>
      </c>
      <c r="H23" s="100" t="s">
        <v>51</v>
      </c>
      <c r="I23" s="94"/>
      <c r="J23" s="94"/>
      <c r="K23" s="94"/>
    </row>
    <row r="24" spans="2:11" x14ac:dyDescent="0.25">
      <c r="B24" s="1"/>
      <c r="C24" s="18" t="s">
        <v>110</v>
      </c>
      <c r="D24" s="1"/>
      <c r="G24" s="11" t="s">
        <v>15</v>
      </c>
      <c r="H24" s="98" t="s">
        <v>115</v>
      </c>
      <c r="I24" s="94"/>
      <c r="J24" s="94"/>
      <c r="K24" s="94"/>
    </row>
    <row r="25" spans="2:11" x14ac:dyDescent="0.25">
      <c r="B25" s="1"/>
      <c r="C25" s="18" t="s">
        <v>87</v>
      </c>
      <c r="D25" s="1"/>
      <c r="G25" s="21">
        <v>1</v>
      </c>
      <c r="H25" s="99" t="s">
        <v>100</v>
      </c>
      <c r="I25" s="94"/>
      <c r="J25" s="94"/>
      <c r="K25" s="94"/>
    </row>
    <row r="26" spans="2:11" x14ac:dyDescent="0.25">
      <c r="B26" s="1"/>
      <c r="C26" s="18" t="s">
        <v>51</v>
      </c>
      <c r="D26" s="1"/>
      <c r="G26" s="21">
        <v>2</v>
      </c>
      <c r="H26" s="99" t="s">
        <v>104</v>
      </c>
      <c r="I26" s="94"/>
      <c r="J26" s="94"/>
      <c r="K26" s="94"/>
    </row>
    <row r="27" spans="2:11" x14ac:dyDescent="0.25">
      <c r="B27" s="1"/>
      <c r="C27" s="18" t="s">
        <v>160</v>
      </c>
      <c r="D27" s="1"/>
      <c r="G27" s="21"/>
      <c r="H27" s="99"/>
      <c r="I27" s="94"/>
      <c r="J27" s="94"/>
      <c r="K27" s="94"/>
    </row>
    <row r="28" spans="2:11" ht="12.6" customHeight="1" x14ac:dyDescent="0.25">
      <c r="B28" s="21"/>
      <c r="C28" s="18" t="s">
        <v>77</v>
      </c>
      <c r="D28" s="21"/>
      <c r="G28" s="21">
        <v>3</v>
      </c>
      <c r="H28" s="99" t="s">
        <v>98</v>
      </c>
      <c r="I28" s="94"/>
      <c r="J28" s="94"/>
      <c r="K28" s="94"/>
    </row>
    <row r="29" spans="2:11" x14ac:dyDescent="0.25">
      <c r="B29" s="21"/>
      <c r="C29" s="18" t="s">
        <v>99</v>
      </c>
      <c r="D29" s="21"/>
    </row>
    <row r="30" spans="2:11" x14ac:dyDescent="0.25">
      <c r="B30" s="21"/>
      <c r="C30" s="18" t="s">
        <v>118</v>
      </c>
      <c r="D30" s="21"/>
    </row>
    <row r="31" spans="2:11" x14ac:dyDescent="0.25">
      <c r="B31" s="21"/>
      <c r="C31" s="21" t="s">
        <v>79</v>
      </c>
      <c r="D31" s="21"/>
    </row>
    <row r="32" spans="2:11" x14ac:dyDescent="0.25">
      <c r="B32" s="21"/>
      <c r="C32" s="21" t="s">
        <v>80</v>
      </c>
      <c r="D32" s="21"/>
    </row>
    <row r="33" spans="2:4" x14ac:dyDescent="0.25">
      <c r="B33" s="21"/>
      <c r="C33" s="21" t="s">
        <v>81</v>
      </c>
      <c r="D33" s="21"/>
    </row>
    <row r="34" spans="2:4" x14ac:dyDescent="0.25">
      <c r="C34" s="6" t="s">
        <v>211</v>
      </c>
    </row>
  </sheetData>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PL1.1 ML2027-2028</vt:lpstr>
      <vt:lpstr>TH theo DV</vt:lpstr>
      <vt:lpstr>PL1.2 TH theo mục đích</vt:lpstr>
      <vt:lpstr>PL1.3 Buc tranh sau QH</vt:lpstr>
      <vt:lpstr>Mã</vt:lpstr>
      <vt:lpstr>'PL1.1 ML2027-2028'!Print_Area</vt:lpstr>
      <vt:lpstr>'PL1.2 TH theo mục đích'!Print_Area</vt:lpstr>
      <vt:lpstr>'PL1.3 Buc tranh sau QH'!Print_Area</vt:lpstr>
      <vt:lpstr>'PL1.1 ML2027-2028'!Print_Titles</vt:lpstr>
      <vt:lpstr>'PL1.2 TH theo mục đích'!Print_Titles</vt:lpstr>
      <vt:lpstr>'PL1.3 Buc tranh sau QH'!Print_Titles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thunm6</dc:creator>
  <cp:lastModifiedBy>hntna</cp:lastModifiedBy>
  <cp:lastPrinted>2026-07-18T15:56:07Z</cp:lastPrinted>
  <dcterms:created xsi:type="dcterms:W3CDTF">2019-10-23T01:10:24Z</dcterms:created>
  <dcterms:modified xsi:type="dcterms:W3CDTF">2026-09-23T02:10:53Z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BMPSD">
    <vt:lpwstr>K</vt:lpwstr>
  </property>
</Properties>
</file>