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1860" yWindow="0" windowWidth="19200" windowHeight="7050" tabRatio="881" activeTab="3"/>
  </bookViews>
  <sheets>
    <sheet name="PL1.1 ML2027-2028" sheetId="1" r:id="rId1"/>
    <sheet name="TH theo DV" sheetId="14" r:id="rId2"/>
    <sheet name="PL1.2 TH theo mục đích" sheetId="18" r:id="rId3"/>
    <sheet name="PL1.3 Buc tranh sau QH" sheetId="4" r:id="rId4"/>
    <sheet name="Mã" sheetId="15" r:id="rId5"/>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ML2027-2028'!$A$7:$AB$10</definedName>
    <definedName name="_xlnm._FilterDatabase" localSheetId="2" hidden="1">'PL1.2 TH theo mục đích'!$A$5:$L$60</definedName>
    <definedName name="_xlnm._FilterDatabase" localSheetId="3"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2">'PL1.2 TH theo mục đích'!$A$1:$J$61</definedName>
    <definedName name="_xlnm.Print_Area" localSheetId="3">'PL1.3 Buc tranh sau QH'!$A$1:$F$29</definedName>
    <definedName name="_xlnm.Print_Area">#REF!</definedName>
    <definedName name="PRINT_AREA_MI">#REF!</definedName>
    <definedName name="_xlnm.Print_Titles" localSheetId="0">'PL1.1 ML2027-2028'!$4:$7</definedName>
    <definedName name="_xlnm.Print_Titles" localSheetId="2">'PL1.2 TH theo mục đích'!$3:$4</definedName>
    <definedName name="_xlnm.Print_Titles" localSheetId="3">'PL1.3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34" i="14" l="1"/>
  <c r="W34" i="14"/>
  <c r="X34" i="14"/>
  <c r="Z34" i="14"/>
  <c r="AA34" i="14"/>
  <c r="P34" i="14"/>
  <c r="T34" i="14" s="1"/>
  <c r="G34" i="14"/>
  <c r="K34" i="14" s="1"/>
  <c r="Y34" i="14" l="1"/>
  <c r="AB34" i="14" s="1"/>
  <c r="F58" i="18" l="1"/>
  <c r="F54" i="18"/>
  <c r="C54" i="18"/>
  <c r="F53" i="18"/>
  <c r="C53" i="18"/>
  <c r="F51" i="18"/>
  <c r="F50" i="18"/>
  <c r="C50" i="18"/>
  <c r="F49" i="18"/>
  <c r="F48" i="18"/>
  <c r="C48" i="18"/>
  <c r="I48" i="18" s="1"/>
  <c r="F47" i="18"/>
  <c r="C47" i="18"/>
  <c r="F44" i="18"/>
  <c r="C44" i="18"/>
  <c r="I44" i="18" s="1"/>
  <c r="F43" i="18"/>
  <c r="C43" i="18"/>
  <c r="F42" i="18"/>
  <c r="C42" i="18"/>
  <c r="I42" i="18" s="1"/>
  <c r="F41" i="18"/>
  <c r="C41" i="18"/>
  <c r="F40" i="18"/>
  <c r="C40" i="18"/>
  <c r="I40" i="18" s="1"/>
  <c r="F31" i="18"/>
  <c r="C31" i="18"/>
  <c r="F30" i="18"/>
  <c r="C30" i="18"/>
  <c r="I30" i="18" s="1"/>
  <c r="F29" i="18"/>
  <c r="F28" i="18" s="1"/>
  <c r="C29" i="18"/>
  <c r="C27" i="18"/>
  <c r="I27" i="18" s="1"/>
  <c r="I26" i="18"/>
  <c r="C26" i="18"/>
  <c r="F25" i="18"/>
  <c r="I25" i="18" s="1"/>
  <c r="C25" i="18"/>
  <c r="C24" i="18"/>
  <c r="I24" i="18" s="1"/>
  <c r="F23" i="18"/>
  <c r="F22" i="18" s="1"/>
  <c r="C23" i="18"/>
  <c r="F21" i="18"/>
  <c r="C21" i="18"/>
  <c r="I21" i="18" s="1"/>
  <c r="I20" i="18" s="1"/>
  <c r="F20" i="18"/>
  <c r="F18" i="18"/>
  <c r="C18" i="18"/>
  <c r="C14" i="18"/>
  <c r="C13" i="18"/>
  <c r="C12" i="18"/>
  <c r="F11" i="18"/>
  <c r="F10" i="18"/>
  <c r="F9" i="18"/>
  <c r="C9" i="18"/>
  <c r="I9" i="18" s="1"/>
  <c r="S33" i="14"/>
  <c r="R33" i="14"/>
  <c r="Q33" i="14"/>
  <c r="P33" i="14"/>
  <c r="O33" i="14"/>
  <c r="N33" i="14"/>
  <c r="I33" i="14"/>
  <c r="C60" i="18" s="1"/>
  <c r="H33" i="14"/>
  <c r="C59" i="18" s="1"/>
  <c r="G33" i="14"/>
  <c r="F33" i="14"/>
  <c r="X33" i="14" s="1"/>
  <c r="E33" i="14"/>
  <c r="S32" i="14"/>
  <c r="R32" i="14"/>
  <c r="F60" i="18" s="1"/>
  <c r="Q32" i="14"/>
  <c r="F59" i="18" s="1"/>
  <c r="P32" i="14"/>
  <c r="Y32" i="14" s="1"/>
  <c r="O32" i="14"/>
  <c r="N32" i="14"/>
  <c r="M32" i="14"/>
  <c r="J32" i="14"/>
  <c r="I32" i="14"/>
  <c r="C56" i="18" s="1"/>
  <c r="H32" i="14"/>
  <c r="C55" i="18" s="1"/>
  <c r="G32" i="14"/>
  <c r="F32" i="14"/>
  <c r="X32" i="14" s="1"/>
  <c r="E32" i="14"/>
  <c r="W32" i="14" s="1"/>
  <c r="D32" i="14"/>
  <c r="S31" i="14"/>
  <c r="R31" i="14"/>
  <c r="AA31" i="14" s="1"/>
  <c r="Q31" i="14"/>
  <c r="P31" i="14"/>
  <c r="O31" i="14"/>
  <c r="N31" i="14"/>
  <c r="W31" i="14" s="1"/>
  <c r="J31" i="14"/>
  <c r="I31" i="14"/>
  <c r="C51" i="18" s="1"/>
  <c r="I51" i="18" s="1"/>
  <c r="H31" i="14"/>
  <c r="C49" i="18" s="1"/>
  <c r="I49" i="18" s="1"/>
  <c r="G31" i="14"/>
  <c r="Y31" i="14" s="1"/>
  <c r="F31" i="14"/>
  <c r="E31" i="14"/>
  <c r="S30" i="14"/>
  <c r="R30" i="14"/>
  <c r="R29" i="14" s="1"/>
  <c r="Q30" i="14"/>
  <c r="P30" i="14"/>
  <c r="O30" i="14"/>
  <c r="O29" i="14" s="1"/>
  <c r="N30" i="14"/>
  <c r="J30" i="14"/>
  <c r="I30" i="14"/>
  <c r="H30" i="14"/>
  <c r="G30" i="14"/>
  <c r="G29" i="14" s="1"/>
  <c r="F30" i="14"/>
  <c r="E30" i="14"/>
  <c r="S29" i="14"/>
  <c r="S28" i="14"/>
  <c r="R28" i="14"/>
  <c r="Q28" i="14"/>
  <c r="P28" i="14"/>
  <c r="O28" i="14"/>
  <c r="N28" i="14"/>
  <c r="M28" i="14"/>
  <c r="J28" i="14"/>
  <c r="I28" i="14"/>
  <c r="H28" i="14"/>
  <c r="G28" i="14"/>
  <c r="F28" i="14"/>
  <c r="E28" i="14"/>
  <c r="D28" i="14"/>
  <c r="S27" i="14"/>
  <c r="R27" i="14"/>
  <c r="Q27" i="14"/>
  <c r="P27" i="14"/>
  <c r="O27" i="14"/>
  <c r="N27" i="14"/>
  <c r="M27" i="14"/>
  <c r="J27" i="14"/>
  <c r="I27" i="14"/>
  <c r="H27" i="14"/>
  <c r="G27" i="14"/>
  <c r="F27" i="14"/>
  <c r="E27" i="14"/>
  <c r="D27" i="14"/>
  <c r="S25" i="14"/>
  <c r="R25" i="14"/>
  <c r="Q25" i="14"/>
  <c r="P25" i="14"/>
  <c r="O25" i="14"/>
  <c r="N25" i="14"/>
  <c r="M25" i="14"/>
  <c r="J25" i="14"/>
  <c r="I25" i="14"/>
  <c r="H25" i="14"/>
  <c r="G25" i="14"/>
  <c r="F25" i="14"/>
  <c r="E25" i="14"/>
  <c r="D25" i="14"/>
  <c r="S24" i="14"/>
  <c r="R24" i="14"/>
  <c r="Q24" i="14"/>
  <c r="P24" i="14"/>
  <c r="O24" i="14"/>
  <c r="N24" i="14"/>
  <c r="M24" i="14"/>
  <c r="J24" i="14"/>
  <c r="I24" i="14"/>
  <c r="H24" i="14"/>
  <c r="G24" i="14"/>
  <c r="F24" i="14"/>
  <c r="E24" i="14"/>
  <c r="D24" i="14"/>
  <c r="D22" i="14" s="1"/>
  <c r="S23" i="14"/>
  <c r="S22" i="14" s="1"/>
  <c r="R23" i="14"/>
  <c r="F56" i="18" s="1"/>
  <c r="Q23" i="14"/>
  <c r="F55" i="18" s="1"/>
  <c r="P23" i="14"/>
  <c r="O23" i="14"/>
  <c r="N23" i="14"/>
  <c r="M23" i="14"/>
  <c r="J23" i="14"/>
  <c r="I23" i="14"/>
  <c r="H23" i="14"/>
  <c r="H22" i="14" s="1"/>
  <c r="G23" i="14"/>
  <c r="F23" i="14"/>
  <c r="E23" i="14"/>
  <c r="D23" i="14"/>
  <c r="S21" i="14"/>
  <c r="R21" i="14"/>
  <c r="Q21" i="14"/>
  <c r="P21" i="14"/>
  <c r="O21" i="14"/>
  <c r="N21" i="14"/>
  <c r="M21" i="14"/>
  <c r="J21" i="14"/>
  <c r="I21" i="14"/>
  <c r="H21" i="14"/>
  <c r="G21" i="14"/>
  <c r="F21" i="14"/>
  <c r="E21" i="14"/>
  <c r="D21" i="14"/>
  <c r="S20" i="14"/>
  <c r="R20" i="14"/>
  <c r="Q20" i="14"/>
  <c r="P20" i="14"/>
  <c r="O20" i="14"/>
  <c r="N20" i="14"/>
  <c r="M20" i="14"/>
  <c r="J20" i="14"/>
  <c r="I20" i="14"/>
  <c r="H20" i="14"/>
  <c r="G20" i="14"/>
  <c r="F20" i="14"/>
  <c r="E20" i="14"/>
  <c r="D20" i="14"/>
  <c r="S19" i="14"/>
  <c r="R19" i="14"/>
  <c r="Q19" i="14"/>
  <c r="P19" i="14"/>
  <c r="O19" i="14"/>
  <c r="N19" i="14"/>
  <c r="M19" i="14"/>
  <c r="J19" i="14"/>
  <c r="I19" i="14"/>
  <c r="H19" i="14"/>
  <c r="G19" i="14"/>
  <c r="F19" i="14"/>
  <c r="E19" i="14"/>
  <c r="D19" i="14"/>
  <c r="S18" i="14"/>
  <c r="R18" i="14"/>
  <c r="Q18" i="14"/>
  <c r="P18" i="14"/>
  <c r="O18" i="14"/>
  <c r="N18" i="14"/>
  <c r="M18" i="14"/>
  <c r="J18" i="14"/>
  <c r="I18" i="14"/>
  <c r="H18" i="14"/>
  <c r="G18" i="14"/>
  <c r="F18" i="14"/>
  <c r="E18" i="14"/>
  <c r="D18" i="14"/>
  <c r="S17" i="14"/>
  <c r="R17" i="14"/>
  <c r="R15" i="14" s="1"/>
  <c r="Q17" i="14"/>
  <c r="P17" i="14"/>
  <c r="O17" i="14"/>
  <c r="N17" i="14"/>
  <c r="N15" i="14" s="1"/>
  <c r="M17" i="14"/>
  <c r="J17" i="14"/>
  <c r="I17" i="14"/>
  <c r="H17" i="14"/>
  <c r="C34" i="18" s="1"/>
  <c r="G17" i="14"/>
  <c r="F17" i="14"/>
  <c r="E17" i="14"/>
  <c r="D17" i="14"/>
  <c r="S16" i="14"/>
  <c r="R16" i="14"/>
  <c r="Q16" i="14"/>
  <c r="Q15" i="14" s="1"/>
  <c r="P16" i="14"/>
  <c r="O16" i="14"/>
  <c r="N16" i="14"/>
  <c r="M16" i="14"/>
  <c r="M15" i="14" s="1"/>
  <c r="J16" i="14"/>
  <c r="J15" i="14" s="1"/>
  <c r="I16" i="14"/>
  <c r="H16" i="14"/>
  <c r="G16" i="14"/>
  <c r="F16" i="14"/>
  <c r="F15" i="14" s="1"/>
  <c r="E16" i="14"/>
  <c r="D16" i="14"/>
  <c r="S14" i="14"/>
  <c r="R14" i="14"/>
  <c r="Q14" i="14"/>
  <c r="P14" i="14"/>
  <c r="O14" i="14"/>
  <c r="N14" i="14"/>
  <c r="J14" i="14"/>
  <c r="I14" i="14"/>
  <c r="H14" i="14"/>
  <c r="G14" i="14"/>
  <c r="F14" i="14"/>
  <c r="E14" i="14"/>
  <c r="S13" i="14"/>
  <c r="R13" i="14"/>
  <c r="R12" i="14" s="1"/>
  <c r="Q13" i="14"/>
  <c r="Q12" i="14" s="1"/>
  <c r="P13" i="14"/>
  <c r="P12" i="14" s="1"/>
  <c r="O13" i="14"/>
  <c r="O12" i="14" s="1"/>
  <c r="N13" i="14"/>
  <c r="N12" i="14" s="1"/>
  <c r="J13" i="14"/>
  <c r="I13" i="14"/>
  <c r="C36" i="18" s="1"/>
  <c r="H13" i="14"/>
  <c r="H12" i="14" s="1"/>
  <c r="G13" i="14"/>
  <c r="F13" i="14"/>
  <c r="E13" i="14"/>
  <c r="S12" i="14"/>
  <c r="J12" i="14"/>
  <c r="S10" i="14"/>
  <c r="R10" i="14"/>
  <c r="Q10" i="14"/>
  <c r="P10" i="14"/>
  <c r="O10" i="14"/>
  <c r="N10" i="14"/>
  <c r="M10" i="14"/>
  <c r="J10" i="14"/>
  <c r="I10" i="14"/>
  <c r="H10" i="14"/>
  <c r="G10" i="14"/>
  <c r="F10" i="14"/>
  <c r="E10" i="14"/>
  <c r="D10" i="14"/>
  <c r="S9" i="14"/>
  <c r="R9" i="14"/>
  <c r="Q9" i="14"/>
  <c r="P9" i="14"/>
  <c r="O9" i="14"/>
  <c r="N9" i="14"/>
  <c r="M9" i="14"/>
  <c r="J9" i="14"/>
  <c r="I9" i="14"/>
  <c r="H9" i="14"/>
  <c r="G9" i="14"/>
  <c r="F9" i="14"/>
  <c r="E9" i="14"/>
  <c r="D9" i="14"/>
  <c r="S8" i="14"/>
  <c r="R8" i="14"/>
  <c r="Q8" i="14"/>
  <c r="P8" i="14"/>
  <c r="O8" i="14"/>
  <c r="N8" i="14"/>
  <c r="M8" i="14"/>
  <c r="J8" i="14"/>
  <c r="I8" i="14"/>
  <c r="H8" i="14"/>
  <c r="G8" i="14"/>
  <c r="F8" i="14"/>
  <c r="E8" i="14"/>
  <c r="D8" i="14"/>
  <c r="S7" i="14"/>
  <c r="R7" i="14"/>
  <c r="R6" i="14" s="1"/>
  <c r="Q7" i="14"/>
  <c r="P7" i="14"/>
  <c r="O7" i="14"/>
  <c r="N7" i="14"/>
  <c r="N6" i="14" s="1"/>
  <c r="J7" i="14"/>
  <c r="I7" i="14"/>
  <c r="C11" i="18" s="1"/>
  <c r="H7" i="14"/>
  <c r="C10" i="18" s="1"/>
  <c r="G7" i="14"/>
  <c r="F7" i="14"/>
  <c r="E7" i="14"/>
  <c r="M33" i="14"/>
  <c r="C17" i="18"/>
  <c r="F8" i="18"/>
  <c r="P29" i="14" l="1"/>
  <c r="P15" i="14"/>
  <c r="R26" i="14"/>
  <c r="Y23" i="14"/>
  <c r="T23" i="14"/>
  <c r="W24" i="14"/>
  <c r="AA24" i="14"/>
  <c r="O22" i="14"/>
  <c r="O11" i="14" s="1"/>
  <c r="O4" i="14" s="1"/>
  <c r="Y25" i="14"/>
  <c r="AA27" i="14"/>
  <c r="S26" i="14"/>
  <c r="Y28" i="14"/>
  <c r="N22" i="14"/>
  <c r="P22" i="14"/>
  <c r="O26" i="14"/>
  <c r="Y24" i="14"/>
  <c r="W25" i="14"/>
  <c r="AA25" i="14"/>
  <c r="Y27" i="14"/>
  <c r="W28" i="14"/>
  <c r="P11" i="14"/>
  <c r="I6" i="14"/>
  <c r="W16" i="14"/>
  <c r="AA16" i="14"/>
  <c r="Y17" i="14"/>
  <c r="W18" i="14"/>
  <c r="AA18" i="14"/>
  <c r="Y19" i="14"/>
  <c r="W20" i="14"/>
  <c r="AA20" i="14"/>
  <c r="Y21" i="14"/>
  <c r="R22" i="14"/>
  <c r="F22" i="14"/>
  <c r="J22" i="14"/>
  <c r="J11" i="14" s="1"/>
  <c r="Z24" i="14"/>
  <c r="X25" i="14"/>
  <c r="H26" i="14"/>
  <c r="X28" i="14"/>
  <c r="X30" i="14"/>
  <c r="X31" i="14"/>
  <c r="X29" i="14" s="1"/>
  <c r="X26" i="14" s="1"/>
  <c r="V8" i="14"/>
  <c r="Z8" i="14"/>
  <c r="X9" i="14"/>
  <c r="V10" i="14"/>
  <c r="Z10" i="14"/>
  <c r="H15" i="14"/>
  <c r="W17" i="14"/>
  <c r="AA17" i="14"/>
  <c r="AA15" i="14" s="1"/>
  <c r="Y18" i="14"/>
  <c r="W19" i="14"/>
  <c r="AA19" i="14"/>
  <c r="Y20" i="14"/>
  <c r="W21" i="14"/>
  <c r="AA21" i="14"/>
  <c r="Q6" i="14"/>
  <c r="E6" i="14"/>
  <c r="O6" i="14"/>
  <c r="S6" i="14"/>
  <c r="N11" i="14"/>
  <c r="R11" i="14"/>
  <c r="R4" i="14" s="1"/>
  <c r="F37" i="18"/>
  <c r="G6" i="14"/>
  <c r="X8" i="14"/>
  <c r="P6" i="14"/>
  <c r="P4" i="14" s="1"/>
  <c r="K9" i="14"/>
  <c r="Z9" i="14"/>
  <c r="X10" i="14"/>
  <c r="H11" i="14"/>
  <c r="D15" i="14"/>
  <c r="Z16" i="14"/>
  <c r="X17" i="14"/>
  <c r="Z18" i="14"/>
  <c r="X19" i="14"/>
  <c r="V20" i="14"/>
  <c r="Z20" i="14"/>
  <c r="X21" i="14"/>
  <c r="W13" i="14"/>
  <c r="W14" i="14"/>
  <c r="C37" i="18"/>
  <c r="W15" i="14"/>
  <c r="O15" i="14"/>
  <c r="S15" i="14"/>
  <c r="S11" i="14" s="1"/>
  <c r="S4" i="14" s="1"/>
  <c r="T17" i="14"/>
  <c r="Z17" i="14"/>
  <c r="Z15" i="14" s="1"/>
  <c r="T19" i="14"/>
  <c r="T21" i="14"/>
  <c r="Z21" i="14"/>
  <c r="G26" i="14"/>
  <c r="F33" i="18"/>
  <c r="Q29" i="14"/>
  <c r="Q26" i="14" s="1"/>
  <c r="T33" i="14"/>
  <c r="Y8" i="14"/>
  <c r="T8" i="14"/>
  <c r="F12" i="18" s="1"/>
  <c r="W9" i="14"/>
  <c r="AA9" i="14"/>
  <c r="Y10" i="14"/>
  <c r="T10" i="14"/>
  <c r="F14" i="18" s="1"/>
  <c r="I12" i="14"/>
  <c r="X13" i="14"/>
  <c r="X14" i="14"/>
  <c r="Z14" i="14"/>
  <c r="X16" i="14"/>
  <c r="V17" i="14"/>
  <c r="X18" i="14"/>
  <c r="K19" i="14"/>
  <c r="Z19" i="14"/>
  <c r="X20" i="14"/>
  <c r="AB20" i="14" s="1"/>
  <c r="V21" i="14"/>
  <c r="K23" i="14"/>
  <c r="Z23" i="14"/>
  <c r="X24" i="14"/>
  <c r="V25" i="14"/>
  <c r="Z25" i="14"/>
  <c r="T25" i="14"/>
  <c r="X27" i="14"/>
  <c r="P26" i="14"/>
  <c r="V28" i="14"/>
  <c r="Z28" i="14"/>
  <c r="T28" i="14"/>
  <c r="AA28" i="14"/>
  <c r="I29" i="14"/>
  <c r="I26" i="14" s="1"/>
  <c r="Z30" i="14"/>
  <c r="W33" i="14"/>
  <c r="W29" i="14" s="1"/>
  <c r="AA33" i="14"/>
  <c r="I54" i="18"/>
  <c r="E12" i="14"/>
  <c r="Y14" i="14"/>
  <c r="G15" i="14"/>
  <c r="T18" i="14"/>
  <c r="G22" i="14"/>
  <c r="Q22" i="14"/>
  <c r="Q11" i="14" s="1"/>
  <c r="E22" i="14"/>
  <c r="I22" i="14"/>
  <c r="T24" i="14"/>
  <c r="T22" i="14" s="1"/>
  <c r="T27" i="14"/>
  <c r="N29" i="14"/>
  <c r="N26" i="14" s="1"/>
  <c r="W30" i="14"/>
  <c r="AA30" i="14"/>
  <c r="Y30" i="14"/>
  <c r="K32" i="14"/>
  <c r="Y33" i="14"/>
  <c r="Y29" i="14" s="1"/>
  <c r="C20" i="18"/>
  <c r="I31" i="18"/>
  <c r="I41" i="18"/>
  <c r="I43" i="18"/>
  <c r="I47" i="18"/>
  <c r="E15" i="14"/>
  <c r="W7" i="14"/>
  <c r="Y13" i="14"/>
  <c r="F7" i="18"/>
  <c r="H6" i="14"/>
  <c r="F6" i="14"/>
  <c r="J6" i="14"/>
  <c r="K8" i="14"/>
  <c r="AA8" i="14"/>
  <c r="Y9" i="14"/>
  <c r="T9" i="14"/>
  <c r="F13" i="18" s="1"/>
  <c r="I13" i="18" s="1"/>
  <c r="K10" i="14"/>
  <c r="AA10" i="14"/>
  <c r="G12" i="14"/>
  <c r="I15" i="14"/>
  <c r="T16" i="14"/>
  <c r="K18" i="14"/>
  <c r="T20" i="14"/>
  <c r="K24" i="14"/>
  <c r="K27" i="14"/>
  <c r="F29" i="14"/>
  <c r="F26" i="14" s="1"/>
  <c r="I50" i="18"/>
  <c r="C19" i="18"/>
  <c r="D14" i="14"/>
  <c r="H10" i="1"/>
  <c r="H9" i="1" s="1"/>
  <c r="H8" i="1" s="1"/>
  <c r="H7" i="1" s="1"/>
  <c r="F17" i="18"/>
  <c r="I17" i="18" s="1"/>
  <c r="M13" i="14"/>
  <c r="F19" i="18"/>
  <c r="M14" i="14"/>
  <c r="T14" i="14" s="1"/>
  <c r="M31" i="14"/>
  <c r="T31" i="14" s="1"/>
  <c r="F46" i="18"/>
  <c r="F45" i="18" s="1"/>
  <c r="X7" i="14"/>
  <c r="X6" i="14" s="1"/>
  <c r="W8" i="14"/>
  <c r="V9" i="14"/>
  <c r="C8" i="18"/>
  <c r="C58" i="18"/>
  <c r="D33" i="14"/>
  <c r="C39" i="18"/>
  <c r="D30" i="14"/>
  <c r="D7" i="14"/>
  <c r="I10" i="18"/>
  <c r="Y7" i="14"/>
  <c r="F12" i="14"/>
  <c r="F11" i="14" s="1"/>
  <c r="D13" i="14"/>
  <c r="C33" i="18"/>
  <c r="Z13" i="14"/>
  <c r="F39" i="18"/>
  <c r="F38" i="18" s="1"/>
  <c r="M30" i="14"/>
  <c r="I11" i="18"/>
  <c r="M7" i="14"/>
  <c r="Z7" i="14"/>
  <c r="Z6" i="14" s="1"/>
  <c r="W10" i="14"/>
  <c r="F36" i="18"/>
  <c r="F35" i="18" s="1"/>
  <c r="AA13" i="14"/>
  <c r="C46" i="18"/>
  <c r="D31" i="14"/>
  <c r="AA7" i="14"/>
  <c r="AA14" i="14"/>
  <c r="K16" i="14"/>
  <c r="V18" i="14"/>
  <c r="K20" i="14"/>
  <c r="V23" i="14"/>
  <c r="K25" i="14"/>
  <c r="K28" i="14"/>
  <c r="T32" i="14"/>
  <c r="I14" i="18"/>
  <c r="I18" i="18"/>
  <c r="F52" i="18"/>
  <c r="Y16" i="14"/>
  <c r="K17" i="14"/>
  <c r="V19" i="14"/>
  <c r="K21" i="14"/>
  <c r="W23" i="14"/>
  <c r="W22" i="14" s="1"/>
  <c r="AA23" i="14"/>
  <c r="AA22" i="14" s="1"/>
  <c r="V24" i="14"/>
  <c r="V27" i="14"/>
  <c r="Z27" i="14"/>
  <c r="I55" i="18"/>
  <c r="V32" i="14"/>
  <c r="I59" i="18"/>
  <c r="I29" i="18"/>
  <c r="C28" i="18"/>
  <c r="C52" i="18"/>
  <c r="V16" i="14"/>
  <c r="M22" i="14"/>
  <c r="X23" i="14"/>
  <c r="W27" i="14"/>
  <c r="H29" i="14"/>
  <c r="I56" i="18"/>
  <c r="I60" i="18"/>
  <c r="Z33" i="14"/>
  <c r="I12" i="18"/>
  <c r="F34" i="18"/>
  <c r="F32" i="18" s="1"/>
  <c r="E29" i="14"/>
  <c r="E26" i="14" s="1"/>
  <c r="Z31" i="14"/>
  <c r="Z32" i="14"/>
  <c r="I23" i="18"/>
  <c r="C22" i="18"/>
  <c r="I53" i="18"/>
  <c r="F57" i="18"/>
  <c r="AA32" i="14"/>
  <c r="AA29" i="14" s="1"/>
  <c r="AA26" i="14" s="1"/>
  <c r="Y15" i="14" l="1"/>
  <c r="Y22" i="14"/>
  <c r="X15" i="14"/>
  <c r="I37" i="18"/>
  <c r="Y12" i="14"/>
  <c r="T15" i="14"/>
  <c r="W26" i="14"/>
  <c r="AB24" i="14"/>
  <c r="D23" i="4" s="1"/>
  <c r="Y26" i="14"/>
  <c r="H4" i="14"/>
  <c r="K26" i="14"/>
  <c r="X22" i="14"/>
  <c r="AA6" i="14"/>
  <c r="N4" i="14"/>
  <c r="G11" i="14"/>
  <c r="G4" i="14" s="1"/>
  <c r="F6" i="18"/>
  <c r="W6" i="14"/>
  <c r="AB17" i="14"/>
  <c r="D16" i="4" s="1"/>
  <c r="X12" i="14"/>
  <c r="W12" i="14"/>
  <c r="F4" i="14"/>
  <c r="AB10" i="14"/>
  <c r="D9" i="4" s="1"/>
  <c r="Z12" i="14"/>
  <c r="Y6" i="14"/>
  <c r="AB21" i="14"/>
  <c r="AB18" i="14"/>
  <c r="I36" i="18"/>
  <c r="AB19" i="14"/>
  <c r="D18" i="4" s="1"/>
  <c r="AB9" i="14"/>
  <c r="D8" i="4" s="1"/>
  <c r="Q4" i="14"/>
  <c r="C35" i="18"/>
  <c r="N35" i="18" s="1"/>
  <c r="AB28" i="14"/>
  <c r="Z22" i="14"/>
  <c r="I11" i="14"/>
  <c r="I4" i="14" s="1"/>
  <c r="AB25" i="14"/>
  <c r="D24" i="4" s="1"/>
  <c r="Y11" i="14"/>
  <c r="E11" i="14"/>
  <c r="E4" i="14" s="1"/>
  <c r="AB32" i="14"/>
  <c r="V22" i="14"/>
  <c r="AB23" i="14"/>
  <c r="AA12" i="14"/>
  <c r="AA11" i="14" s="1"/>
  <c r="AA4" i="14" s="1"/>
  <c r="I22" i="18"/>
  <c r="V15" i="14"/>
  <c r="AB16" i="14"/>
  <c r="I28" i="18"/>
  <c r="AB27" i="14"/>
  <c r="K15" i="14"/>
  <c r="K31" i="14"/>
  <c r="V31" i="14"/>
  <c r="M29" i="14"/>
  <c r="M26" i="14" s="1"/>
  <c r="T30" i="14"/>
  <c r="K22" i="14"/>
  <c r="K30" i="14"/>
  <c r="D29" i="14"/>
  <c r="D26" i="14" s="1"/>
  <c r="V30" i="14"/>
  <c r="AB30" i="14" s="1"/>
  <c r="I33" i="18"/>
  <c r="C32" i="18"/>
  <c r="I39" i="18"/>
  <c r="C38" i="18"/>
  <c r="V14" i="14"/>
  <c r="AB14" i="14" s="1"/>
  <c r="K14" i="14"/>
  <c r="AB8" i="14"/>
  <c r="T7" i="14"/>
  <c r="T6" i="14" s="1"/>
  <c r="M6" i="14"/>
  <c r="Z29" i="14"/>
  <c r="V13" i="14"/>
  <c r="D12" i="14"/>
  <c r="D11" i="14" s="1"/>
  <c r="K13" i="14"/>
  <c r="I8" i="18"/>
  <c r="C7" i="18"/>
  <c r="T13" i="14"/>
  <c r="T12" i="14" s="1"/>
  <c r="M12" i="14"/>
  <c r="M11" i="14" s="1"/>
  <c r="I19" i="18"/>
  <c r="G10" i="1"/>
  <c r="G9" i="1" s="1"/>
  <c r="G8" i="1" s="1"/>
  <c r="G7" i="1" s="1"/>
  <c r="I46" i="18"/>
  <c r="C45" i="18"/>
  <c r="N52" i="18"/>
  <c r="J33" i="14"/>
  <c r="J29" i="14" s="1"/>
  <c r="J26" i="14" s="1"/>
  <c r="J4" i="14" s="1"/>
  <c r="V33" i="14"/>
  <c r="AB33" i="14" s="1"/>
  <c r="I52" i="18"/>
  <c r="I34" i="18"/>
  <c r="Z26" i="14"/>
  <c r="D17" i="4"/>
  <c r="D19" i="4"/>
  <c r="D6" i="14"/>
  <c r="V7" i="14"/>
  <c r="K7" i="14"/>
  <c r="I58" i="18"/>
  <c r="C57" i="18"/>
  <c r="F16" i="18"/>
  <c r="C16" i="18"/>
  <c r="I35" i="18" l="1"/>
  <c r="X11" i="14"/>
  <c r="X4" i="14" s="1"/>
  <c r="Y4" i="14"/>
  <c r="W11" i="14"/>
  <c r="W4" i="14" s="1"/>
  <c r="D4" i="14"/>
  <c r="Z11" i="14"/>
  <c r="Z4" i="14" s="1"/>
  <c r="D20" i="4"/>
  <c r="C15" i="18"/>
  <c r="I57" i="18"/>
  <c r="V6" i="14"/>
  <c r="AB7" i="14"/>
  <c r="N57" i="18"/>
  <c r="N28" i="18"/>
  <c r="D29" i="4"/>
  <c r="K12" i="14"/>
  <c r="M4" i="14"/>
  <c r="D13" i="4"/>
  <c r="N32" i="18"/>
  <c r="AB31" i="14"/>
  <c r="V29" i="14"/>
  <c r="V26" i="14" s="1"/>
  <c r="D15" i="4"/>
  <c r="AB15" i="14"/>
  <c r="D22" i="4"/>
  <c r="D21" i="4" s="1"/>
  <c r="AB22" i="14"/>
  <c r="N38" i="18"/>
  <c r="C6" i="18"/>
  <c r="I32" i="18"/>
  <c r="T29" i="14"/>
  <c r="D28" i="4"/>
  <c r="F15" i="18"/>
  <c r="K6" i="14"/>
  <c r="K33" i="14"/>
  <c r="I45" i="18"/>
  <c r="I7" i="18"/>
  <c r="AB13" i="14"/>
  <c r="V12" i="14"/>
  <c r="D7" i="4"/>
  <c r="I16" i="18"/>
  <c r="I38" i="18"/>
  <c r="D26" i="4"/>
  <c r="V11" i="14" l="1"/>
  <c r="V4" i="14" s="1"/>
  <c r="D12" i="4"/>
  <c r="AB12" i="14"/>
  <c r="D6" i="4"/>
  <c r="AB6" i="14"/>
  <c r="I6" i="18"/>
  <c r="T26" i="14"/>
  <c r="C5" i="18"/>
  <c r="D14" i="4"/>
  <c r="N22" i="18"/>
  <c r="D27" i="4"/>
  <c r="D25" i="4" s="1"/>
  <c r="AB29" i="14"/>
  <c r="K11" i="14"/>
  <c r="I15" i="18"/>
  <c r="F5" i="18"/>
  <c r="H15" i="18" s="1"/>
  <c r="K29" i="14"/>
  <c r="K4" i="14" l="1"/>
  <c r="N45" i="18"/>
  <c r="I5" i="18"/>
  <c r="J6" i="18" s="1"/>
  <c r="E13" i="18"/>
  <c r="E9" i="18"/>
  <c r="M4" i="18"/>
  <c r="E11" i="18"/>
  <c r="E18" i="18"/>
  <c r="E35" i="18"/>
  <c r="E12" i="18"/>
  <c r="E10" i="18"/>
  <c r="E20" i="18"/>
  <c r="E17" i="18"/>
  <c r="E14" i="18"/>
  <c r="E52" i="18"/>
  <c r="E19" i="18"/>
  <c r="E22" i="18"/>
  <c r="E28" i="18"/>
  <c r="E7" i="18"/>
  <c r="E38" i="18"/>
  <c r="E16" i="18"/>
  <c r="E57" i="18"/>
  <c r="E32" i="18"/>
  <c r="E45" i="18"/>
  <c r="T11" i="14"/>
  <c r="AB11" i="14"/>
  <c r="E6" i="18"/>
  <c r="E15" i="18"/>
  <c r="L34" i="14"/>
  <c r="H5" i="18"/>
  <c r="H28" i="18"/>
  <c r="H20" i="18"/>
  <c r="H22" i="18"/>
  <c r="H7" i="18"/>
  <c r="H32" i="18"/>
  <c r="H38" i="18"/>
  <c r="H52" i="18"/>
  <c r="H35" i="18"/>
  <c r="H45" i="18"/>
  <c r="H57" i="18"/>
  <c r="H6" i="18"/>
  <c r="H16" i="18"/>
  <c r="AB26" i="14"/>
  <c r="N20" i="18"/>
  <c r="D5" i="4"/>
  <c r="N7" i="18"/>
  <c r="D11" i="4"/>
  <c r="J15" i="18" l="1"/>
  <c r="E5" i="18"/>
  <c r="D10" i="4"/>
  <c r="N16" i="18"/>
  <c r="AB4" i="14"/>
  <c r="K5" i="14"/>
  <c r="L32" i="14"/>
  <c r="L24" i="14"/>
  <c r="G5" i="14"/>
  <c r="S5" i="14"/>
  <c r="L10" i="14"/>
  <c r="L23" i="14"/>
  <c r="L9" i="14"/>
  <c r="I5" i="14"/>
  <c r="L8" i="14"/>
  <c r="L19" i="14"/>
  <c r="L18" i="14"/>
  <c r="L27" i="14"/>
  <c r="L26" i="14"/>
  <c r="L21" i="14"/>
  <c r="L16" i="14"/>
  <c r="L20" i="14"/>
  <c r="E5" i="14"/>
  <c r="F5" i="14"/>
  <c r="H5" i="14"/>
  <c r="L25" i="14"/>
  <c r="L17" i="14"/>
  <c r="L28" i="14"/>
  <c r="L22" i="14"/>
  <c r="L13" i="14"/>
  <c r="J5" i="14"/>
  <c r="D5" i="14"/>
  <c r="L30" i="14"/>
  <c r="L31" i="14"/>
  <c r="L7" i="14"/>
  <c r="L14" i="14"/>
  <c r="L15" i="14"/>
  <c r="L6" i="14"/>
  <c r="L33" i="14"/>
  <c r="L12" i="14"/>
  <c r="L29" i="14"/>
  <c r="T4" i="14"/>
  <c r="U34" i="14" s="1"/>
  <c r="J27" i="18"/>
  <c r="J43" i="18"/>
  <c r="J21" i="18"/>
  <c r="J44" i="18"/>
  <c r="J40" i="18"/>
  <c r="J13" i="18"/>
  <c r="J49" i="18"/>
  <c r="J50" i="18"/>
  <c r="J20" i="18"/>
  <c r="J30" i="18"/>
  <c r="J41" i="18"/>
  <c r="J31" i="18"/>
  <c r="J37" i="18"/>
  <c r="J42" i="18"/>
  <c r="J24" i="18"/>
  <c r="J26" i="18"/>
  <c r="J47" i="18"/>
  <c r="J48" i="18"/>
  <c r="J9" i="18"/>
  <c r="J25" i="18"/>
  <c r="J51" i="18"/>
  <c r="J54" i="18"/>
  <c r="J17" i="18"/>
  <c r="J12" i="18"/>
  <c r="J29" i="18"/>
  <c r="J10" i="18"/>
  <c r="J56" i="18"/>
  <c r="J14" i="18"/>
  <c r="J60" i="18"/>
  <c r="J18" i="18"/>
  <c r="J59" i="18"/>
  <c r="J36" i="18"/>
  <c r="J55" i="18"/>
  <c r="J23" i="18"/>
  <c r="J11" i="18"/>
  <c r="J53" i="18"/>
  <c r="J19" i="18"/>
  <c r="J58" i="18"/>
  <c r="J33" i="18"/>
  <c r="J52" i="18"/>
  <c r="J8" i="18"/>
  <c r="J35" i="18"/>
  <c r="J39" i="18"/>
  <c r="J22" i="18"/>
  <c r="J34" i="18"/>
  <c r="J46" i="18"/>
  <c r="J28" i="18"/>
  <c r="J16" i="18"/>
  <c r="J45" i="18"/>
  <c r="J32" i="18"/>
  <c r="J7" i="18"/>
  <c r="J38" i="18"/>
  <c r="J57" i="18"/>
  <c r="L11" i="14"/>
  <c r="AC11" i="14" l="1"/>
  <c r="AC34" i="14"/>
  <c r="AC26" i="14"/>
  <c r="AB5" i="14"/>
  <c r="AC4" i="14"/>
  <c r="AC21" i="14"/>
  <c r="AC25" i="14"/>
  <c r="AC17" i="14"/>
  <c r="AC28" i="14"/>
  <c r="AC19" i="14"/>
  <c r="AC24" i="14"/>
  <c r="AC18" i="14"/>
  <c r="AC9" i="14"/>
  <c r="AC10" i="14"/>
  <c r="AC20" i="14"/>
  <c r="Z5" i="14"/>
  <c r="AC27" i="14"/>
  <c r="X5" i="14"/>
  <c r="AA5" i="14"/>
  <c r="AC14" i="14"/>
  <c r="AC23" i="14"/>
  <c r="AC32" i="14"/>
  <c r="Y5" i="14"/>
  <c r="AC33" i="14"/>
  <c r="AC16" i="14"/>
  <c r="AC8" i="14"/>
  <c r="AC30" i="14"/>
  <c r="W5" i="14"/>
  <c r="AC13" i="14"/>
  <c r="AC7" i="14"/>
  <c r="AC15" i="14"/>
  <c r="AC22" i="14"/>
  <c r="AC31" i="14"/>
  <c r="AC12" i="14"/>
  <c r="AC6" i="14"/>
  <c r="AC29" i="14"/>
  <c r="V5" i="14"/>
  <c r="T5" i="14"/>
  <c r="R5" i="14"/>
  <c r="O5" i="14"/>
  <c r="Q5" i="14"/>
  <c r="U33" i="14"/>
  <c r="N5" i="14"/>
  <c r="U22" i="14"/>
  <c r="U15" i="14"/>
  <c r="P5" i="14"/>
  <c r="U32" i="14"/>
  <c r="U31" i="14"/>
  <c r="U30" i="14"/>
  <c r="U6" i="14"/>
  <c r="U12" i="14"/>
  <c r="U29" i="14"/>
  <c r="M5" i="14"/>
  <c r="U26" i="14"/>
  <c r="N15" i="18"/>
  <c r="U11" i="14"/>
  <c r="D4" i="4"/>
  <c r="E24" i="4" l="1"/>
  <c r="E16" i="4"/>
  <c r="E17" i="4"/>
  <c r="E19" i="4"/>
  <c r="E18" i="4"/>
  <c r="E8" i="4"/>
  <c r="E9" i="4"/>
  <c r="E7" i="4"/>
  <c r="E13" i="4"/>
  <c r="E15" i="4"/>
  <c r="E25" i="4"/>
  <c r="E12" i="4"/>
  <c r="E14" i="4"/>
  <c r="E6" i="4"/>
  <c r="E5" i="4"/>
  <c r="E11" i="4"/>
  <c r="E10" i="4"/>
</calcChain>
</file>

<file path=xl/sharedStrings.xml><?xml version="1.0" encoding="utf-8"?>
<sst xmlns="http://schemas.openxmlformats.org/spreadsheetml/2006/main" count="525" uniqueCount="224">
  <si>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</si>
  <si>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</si>
  <si>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</si>
  <si>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</si>
  <si>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</si>
  <si>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</si>
  <si>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</si>
  <si>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</si>
  <si>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</si>
  <si>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</si>
  <si>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</si>
  <si>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</si>
  <si>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</si>
  <si>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</si>
  <si>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</si>
  <si>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</si>
  <si>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</si>
  <si>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</si>
  <si>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</si>
  <si>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</si>
  <si>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</si>
  <si>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</si>
  <si>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</si>
  <si>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</si>
  <si>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</si>
  <si>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</si>
  <si>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</si>
  <si>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TK</t>
  </si>
  <si>
    <t>Mạng lõi</t>
  </si>
  <si>
    <t>Vô tuyến</t>
  </si>
  <si>
    <t>Truyền dẫn</t>
  </si>
  <si>
    <t>Cơ điện</t>
  </si>
  <si>
    <t>Mạng 4G</t>
  </si>
  <si>
    <t>Nội dung</t>
  </si>
  <si>
    <t>TỔNG ĐẦU TƯ</t>
  </si>
  <si>
    <t>Vùng phủ (đầu tư thiết bị)</t>
  </si>
  <si>
    <t>Vùng phủ (triển khai)</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</si>
  <si>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</si>
  <si>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</si>
  <si>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</si>
  <si>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</si>
  <si>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</si>
  <si>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</si>
  <si>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</si>
  <si>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</si>
  <si>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</si>
  <si>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</si>
  <si>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</si>
  <si>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</si>
  <si>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</si>
  <si>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</si>
  <si>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</si>
  <si>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</si>
  <si>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</si>
  <si>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</si>
  <si>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</si>
  <si>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</si>
  <si>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</si>
  <si>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</si>
  <si>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</si>
  <si>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</si>
  <si>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</si>
  <si>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</si>
  <si>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</si>
  <si>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</si>
  <si>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</si>
  <si>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</si>
  <si>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</si>
  <si>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</si>
  <si>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</si>
  <si>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</si>
  <si>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</si>
  <si>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</si>
  <si>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</si>
  <si>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</si>
  <si>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</si>
  <si>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</si>
  <si>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Vùng phủ dự án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</si>
  <si>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</si>
  <si>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</si>
  <si>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</si>
  <si>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</si>
  <si>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</si>
  <si>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</si>
  <si>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</si>
  <si>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</si>
  <si>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</si>
  <si>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</si>
  <si>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</si>
  <si>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</si>
  <si>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</si>
  <si>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</si>
  <si>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</si>
  <si>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</si>
  <si>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</si>
  <si>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</si>
  <si>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</si>
  <si>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</si>
  <si>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</si>
  <si>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</si>
  <si>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</si>
  <si>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</si>
  <si>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</si>
  <si>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</si>
  <si>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</si>
  <si>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</si>
  <si>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</si>
  <si>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</si>
  <si>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</si>
  <si>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</si>
  <si>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</si>
  <si>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</si>
  <si>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</si>
  <si>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</si>
  <si>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</si>
  <si>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</si>
  <si>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</si>
  <si>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</si>
  <si>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</si>
  <si>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</si>
  <si>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</si>
  <si>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</si>
  <si>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</si>
  <si>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</si>
  <si>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</si>
  <si>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</si>
  <si>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</si>
  <si>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</si>
  <si>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</si>
  <si>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</si>
  <si>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</si>
  <si>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</si>
  <si>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</si>
  <si>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</si>
  <si>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</si>
  <si>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</si>
  <si>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</si>
  <si>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</si>
  <si>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xây dựng trạm và lắp đặt thiết bị đầu tư cho vùng phủ</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</si>
  <si>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</si>
  <si>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</si>
  <si>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</si>
  <si>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</si>
  <si>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</si>
  <si>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</si>
  <si>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</si>
  <si>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</si>
  <si>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</si>
  <si>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</si>
  <si>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</si>
  <si>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</si>
  <si>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</si>
  <si>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</si>
  <si>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</si>
  <si>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</si>
  <si>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</si>
  <si>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</si>
  <si>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</si>
  <si>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</si>
  <si>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</si>
  <si>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</si>
  <si>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</si>
  <si>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</si>
  <si>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</si>
  <si>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</si>
  <si>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</si>
  <si>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</si>
  <si>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</si>
  <si>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</si>
  <si>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</si>
  <si>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</si>
  <si>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</si>
  <si>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</si>
  <si>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</si>
  <si>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</si>
  <si>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</si>
  <si>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</si>
  <si>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</si>
  <si>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</si>
  <si>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</si>
  <si>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</si>
  <si>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</si>
  <si>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</si>
  <si>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</si>
  <si>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</si>
  <si>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</si>
  <si>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</si>
  <si>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</si>
  <si>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</si>
  <si>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</si>
  <si>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Triển khai thuê bao kênh truyền (VTTB + Triển khai)</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</si>
  <si>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</si>
  <si>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</si>
  <si>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</si>
  <si>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</si>
  <si>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</si>
  <si>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</si>
  <si>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</si>
  <si>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</si>
  <si>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</si>
  <si>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Dung lượng Metro</t>
  </si>
  <si>
    <t>Dung lượng IPBN</t>
  </si>
  <si>
    <t>Mạng truyền dẫn</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</si>
  <si>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</si>
  <si>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</si>
  <si>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</si>
  <si>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</si>
  <si>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</si>
  <si>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</si>
  <si>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</si>
  <si>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</si>
  <si>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</si>
  <si>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</si>
  <si>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</si>
  <si>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</si>
  <si>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Trực tiếp kinh doanh (ví)</t>
  </si>
  <si>
    <t>G</t>
  </si>
  <si>
    <t>VI</t>
  </si>
  <si>
    <t>CĐBR &amp; TRUYỀN HÌNH</t>
  </si>
  <si>
    <t>CDBR</t>
  </si>
  <si>
    <t>CD</t>
  </si>
  <si>
    <t>TRIỂN KHAI HẠ TẦNG</t>
  </si>
  <si>
    <t>Ví điện tử</t>
  </si>
  <si>
    <t>CNTT+Ví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</si>
</sst>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4">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4" formatCode="_(* #,##0.0000_);_(* \(#,##0.0000\);_(* &quot;-&quot;??_);_(@_)"/>
    <numFmt numFmtId="175" formatCode="_-* #,##0_-;\-* #,##0_-;_-* &quot;-&quot;_-;_-@_-"/>
    <numFmt numFmtId="176" formatCode="_([$€-2]* #.##0.00_);_([$€-2]* \(#.##0.00\);_([$€-2]* &quot;-&quot;??_)"/>
  </numFmts>
  <fonts count="34"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FF"/>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rgb="FF92D050"/>
        <bgColor indexed="64"/>
      </patternFill>
    </fill>
  </fills>
  <borders count="13">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s>
  <cellStyleXfs count="288">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5"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6"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cellStyleXfs>
  <cellXfs count="363">
    <xf numFmtId="0" fontId="0" fillId="0" borderId="0" xfId="0"/>
    <xf numFmtId="0" fontId="5" fillId="2" borderId="3" xfId="0" applyFont="1" applyFill="1" applyBorder="1" applyAlignment="1">
      <alignment horizontal="center" vertical="center"/>
    </xf>
    <xf numFmtId="0" fontId="5" fillId="2" borderId="3" xfId="0" applyFont="1" applyFill="1" applyBorder="1" applyAlignment="1">
      <alignment vertical="center" wrapText="1"/>
    </xf>
    <xf numFmtId="165" fontId="6" fillId="2" borderId="3" xfId="1" applyNumberFormat="1" applyFont="1" applyFill="1" applyBorder="1" applyAlignment="1">
      <alignment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165" fontId="5" fillId="2" borderId="3" xfId="1" applyNumberFormat="1" applyFont="1" applyFill="1" applyBorder="1" applyAlignment="1">
      <alignment vertical="center"/>
    </xf>
    <xf numFmtId="0" fontId="6" fillId="2" borderId="3" xfId="0" applyFont="1" applyFill="1" applyBorder="1" applyAlignment="1">
      <alignment horizontal="left" vertical="center" wrapText="1"/>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0" fontId="6" fillId="0" borderId="0" xfId="0" applyFont="1" applyAlignment="1">
      <alignment horizontal="center" vertical="center"/>
    </xf>
    <xf numFmtId="165" fontId="5" fillId="0" borderId="0" xfId="1" applyNumberFormat="1" applyFont="1" applyAlignment="1">
      <alignment vertical="center"/>
    </xf>
    <xf numFmtId="0" fontId="17" fillId="0" borderId="3" xfId="0" applyFont="1" applyBorder="1" applyAlignment="1">
      <alignment horizontal="center" vertical="center"/>
    </xf>
    <xf numFmtId="43" fontId="5" fillId="0" borderId="0" xfId="0" applyNumberFormat="1" applyFont="1" applyAlignment="1">
      <alignment vertical="center"/>
    </xf>
    <xf numFmtId="165" fontId="6" fillId="3" borderId="3" xfId="1" applyNumberFormat="1" applyFont="1" applyFill="1" applyBorder="1" applyAlignment="1">
      <alignment horizontal="center" vertical="center" wrapText="1"/>
    </xf>
    <xf numFmtId="0" fontId="6" fillId="5" borderId="3" xfId="0" applyFont="1" applyFill="1" applyBorder="1" applyAlignment="1">
      <alignment horizontal="center" vertical="center"/>
    </xf>
    <xf numFmtId="0" fontId="6" fillId="5" borderId="3" xfId="0" applyFont="1" applyFill="1" applyBorder="1" applyAlignment="1">
      <alignment horizontal="center" vertical="center" wrapText="1"/>
    </xf>
    <xf numFmtId="0" fontId="5" fillId="0" borderId="3" xfId="0" applyFont="1" applyBorder="1" applyAlignment="1">
      <alignment horizontal="center" vertical="center"/>
    </xf>
    <xf numFmtId="0" fontId="6" fillId="5" borderId="3" xfId="0" applyFont="1" applyFill="1" applyBorder="1" applyAlignment="1">
      <alignment horizontal="left" vertical="center" wrapText="1"/>
    </xf>
    <xf numFmtId="9" fontId="6" fillId="5" borderId="3" xfId="2" applyFont="1" applyFill="1" applyBorder="1" applyAlignment="1">
      <alignment horizontal="center" vertical="center" wrapText="1"/>
    </xf>
    <xf numFmtId="0" fontId="5" fillId="0" borderId="3" xfId="0" applyFont="1" applyBorder="1" applyAlignment="1">
      <alignment vertical="center" wrapText="1"/>
    </xf>
    <xf numFmtId="9" fontId="5" fillId="0" borderId="3" xfId="2" applyFont="1" applyBorder="1" applyAlignment="1">
      <alignment horizontal="center" vertical="center" wrapText="1"/>
    </xf>
    <xf numFmtId="0" fontId="5" fillId="9"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9"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9" fontId="13" fillId="0" borderId="3" xfId="2" applyFont="1" applyBorder="1" applyAlignment="1">
      <alignment horizontal="center" vertical="center" wrapText="1"/>
    </xf>
    <xf numFmtId="165" fontId="5" fillId="2" borderId="3" xfId="1" applyNumberFormat="1" applyFont="1" applyFill="1" applyBorder="1" applyAlignment="1">
      <alignment horizontal="center" vertical="center" wrapText="1"/>
    </xf>
    <xf numFmtId="165" fontId="6" fillId="5" borderId="3" xfId="1" applyNumberFormat="1" applyFont="1" applyFill="1" applyBorder="1" applyAlignment="1">
      <alignment horizontal="center" vertical="center" wrapText="1"/>
    </xf>
    <xf numFmtId="167" fontId="6" fillId="12" borderId="3" xfId="2" applyNumberFormat="1" applyFont="1" applyFill="1" applyBorder="1" applyAlignment="1">
      <alignment horizontal="center" vertical="center" wrapText="1"/>
    </xf>
    <xf numFmtId="0" fontId="6" fillId="13" borderId="3" xfId="0" applyFont="1" applyFill="1" applyBorder="1" applyAlignment="1">
      <alignment horizontal="center" vertical="center"/>
    </xf>
    <xf numFmtId="0" fontId="6" fillId="13" borderId="3" xfId="0" applyFont="1" applyFill="1" applyBorder="1" applyAlignment="1">
      <alignment horizontal="left" vertical="center"/>
    </xf>
    <xf numFmtId="167" fontId="6" fillId="13" borderId="3" xfId="2" applyNumberFormat="1" applyFont="1" applyFill="1" applyBorder="1" applyAlignment="1">
      <alignment horizontal="center" vertical="center" wrapText="1"/>
    </xf>
    <xf numFmtId="9" fontId="6" fillId="12" borderId="3" xfId="2" applyFont="1" applyFill="1" applyBorder="1" applyAlignment="1">
      <alignment horizontal="center" vertical="center" wrapText="1"/>
    </xf>
    <xf numFmtId="9" fontId="5" fillId="2" borderId="3" xfId="2" applyFont="1" applyFill="1" applyBorder="1" applyAlignment="1">
      <alignment horizontal="center" vertical="center" wrapText="1"/>
    </xf>
    <xf numFmtId="0" fontId="6" fillId="11" borderId="3" xfId="0" applyFont="1" applyFill="1" applyBorder="1" applyAlignment="1">
      <alignment horizontal="center" vertical="center"/>
    </xf>
    <xf numFmtId="0" fontId="5" fillId="2" borderId="0" xfId="0" applyFont="1" applyFill="1" applyAlignment="1">
      <alignment vertical="center"/>
    </xf>
    <xf numFmtId="0" fontId="6" fillId="2" borderId="3" xfId="0" applyFont="1" applyFill="1" applyBorder="1" applyAlignment="1">
      <alignment horizontal="center" vertical="center"/>
    </xf>
    <xf numFmtId="0" fontId="5" fillId="2" borderId="3" xfId="0" applyFont="1" applyFill="1" applyBorder="1" applyAlignment="1">
      <alignment horizontal="left" vertical="center" wrapText="1"/>
    </xf>
    <xf numFmtId="0" fontId="6" fillId="2" borderId="0" xfId="0" applyFont="1" applyFill="1" applyAlignment="1">
      <alignment horizontal="center" vertical="center"/>
    </xf>
    <xf numFmtId="43" fontId="5" fillId="0" borderId="0" xfId="1" applyFont="1" applyAlignment="1">
      <alignment vertical="center"/>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6" fillId="12" borderId="3" xfId="0" applyFont="1" applyFill="1" applyBorder="1" applyAlignment="1">
      <alignment horizontal="center" vertical="center"/>
    </xf>
    <xf numFmtId="0" fontId="6" fillId="12" borderId="3" xfId="0" applyFont="1" applyFill="1" applyBorder="1" applyAlignment="1">
      <alignment vertical="center"/>
    </xf>
    <xf numFmtId="0" fontId="6" fillId="4" borderId="3" xfId="0" applyFont="1" applyFill="1" applyBorder="1" applyAlignment="1">
      <alignment horizontal="justify" vertical="center" wrapText="1"/>
    </xf>
    <xf numFmtId="0" fontId="14" fillId="0" borderId="3" xfId="0" applyFont="1" applyBorder="1" applyAlignment="1">
      <alignment horizontal="center" vertical="center" wrapText="1" readingOrder="1"/>
    </xf>
    <xf numFmtId="0" fontId="6" fillId="7" borderId="3" xfId="0" applyFont="1" applyFill="1" applyBorder="1" applyAlignment="1">
      <alignment horizontal="center" vertical="center" wrapText="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165" fontId="5" fillId="0" borderId="0" xfId="0" applyNumberFormat="1" applyFont="1" applyAlignment="1">
      <alignment vertical="center"/>
    </xf>
    <xf numFmtId="0" fontId="5" fillId="2" borderId="3" xfId="0" applyFont="1" applyFill="1" applyBorder="1" applyAlignment="1">
      <alignment horizontal="center" vertical="center" readingOrder="1"/>
    </xf>
    <xf numFmtId="165" fontId="6" fillId="5"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5" fillId="7"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6" fillId="4" borderId="3" xfId="0" applyFont="1" applyFill="1" applyBorder="1" applyAlignment="1">
      <alignment horizontal="center" vertical="center" wrapText="1"/>
    </xf>
    <xf numFmtId="165" fontId="6" fillId="4" borderId="3" xfId="1" applyNumberFormat="1" applyFont="1" applyFill="1" applyBorder="1" applyAlignment="1">
      <alignment horizontal="center" vertical="center" wrapText="1"/>
    </xf>
    <xf numFmtId="43" fontId="6" fillId="2" borderId="0" xfId="0" applyNumberFormat="1" applyFont="1" applyFill="1" applyAlignment="1">
      <alignment vertical="center"/>
    </xf>
    <xf numFmtId="0" fontId="5" fillId="2" borderId="3" xfId="0" applyFont="1" applyFill="1" applyBorder="1" applyAlignment="1">
      <alignment horizontal="left" vertical="center"/>
    </xf>
    <xf numFmtId="0" fontId="5" fillId="0" borderId="0" xfId="0" applyFont="1" applyAlignment="1" applyProtection="1">
      <alignment horizontal="center" vertical="center"/>
      <protection locked="0"/>
    </xf>
    <xf numFmtId="0" fontId="5" fillId="0" borderId="0" xfId="0" applyFont="1" applyAlignment="1" applyProtection="1">
      <alignment vertical="center" wrapText="1"/>
      <protection locked="0"/>
    </xf>
    <xf numFmtId="0" fontId="5" fillId="0" borderId="0" xfId="0" applyFont="1" applyAlignment="1">
      <alignment horizontal="center" vertical="center" wrapText="1"/>
    </xf>
    <xf numFmtId="165" fontId="5" fillId="0" borderId="0" xfId="1" applyNumberFormat="1" applyFont="1" applyFill="1" applyAlignment="1">
      <alignment horizontal="right" vertical="center"/>
    </xf>
    <xf numFmtId="14" fontId="5" fillId="0" borderId="0" xfId="0" applyNumberFormat="1" applyFont="1" applyAlignment="1">
      <alignment horizontal="center" vertical="center"/>
    </xf>
    <xf numFmtId="165" fontId="5" fillId="10" borderId="0" xfId="1" applyNumberFormat="1" applyFont="1" applyFill="1" applyAlignment="1">
      <alignment horizontal="right" vertical="center"/>
    </xf>
    <xf numFmtId="0" fontId="5" fillId="0" borderId="0" xfId="0" applyFont="1" applyAlignment="1">
      <alignment vertical="center" wrapText="1"/>
    </xf>
    <xf numFmtId="0" fontId="5" fillId="9" borderId="3" xfId="0" applyFont="1" applyFill="1" applyBorder="1" applyAlignment="1">
      <alignment vertical="center" wrapText="1"/>
    </xf>
    <xf numFmtId="43" fontId="6" fillId="11" borderId="3" xfId="1" applyFont="1" applyFill="1" applyBorder="1" applyAlignment="1">
      <alignment vertical="center"/>
    </xf>
    <xf numFmtId="9" fontId="6" fillId="4" borderId="3" xfId="2" applyFont="1" applyFill="1" applyBorder="1" applyAlignment="1">
      <alignment horizontal="center" vertical="center"/>
    </xf>
    <xf numFmtId="0" fontId="5" fillId="2" borderId="3" xfId="0" applyFont="1" applyFill="1" applyBorder="1" applyAlignment="1">
      <alignment horizontal="left" vertical="center" wrapText="1" indent="1"/>
    </xf>
    <xf numFmtId="165" fontId="5" fillId="0" borderId="0" xfId="1" applyNumberFormat="1" applyFont="1" applyAlignment="1">
      <alignment horizontal="right" vertical="center"/>
    </xf>
    <xf numFmtId="0" fontId="5" fillId="0" borderId="3" xfId="0" applyFont="1" applyBorder="1" applyAlignment="1">
      <alignment horizontal="left" vertical="center" wrapText="1" indent="1"/>
    </xf>
    <xf numFmtId="0" fontId="24" fillId="14" borderId="3" xfId="0" applyFont="1" applyFill="1" applyBorder="1" applyAlignment="1">
      <alignment horizontal="center" vertical="center" wrapText="1" readingOrder="1"/>
    </xf>
    <xf numFmtId="165" fontId="24" fillId="14"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6" fillId="4" borderId="3" xfId="1" applyNumberFormat="1" applyFont="1" applyFill="1" applyBorder="1" applyAlignment="1">
      <alignment vertical="center"/>
    </xf>
    <xf numFmtId="165" fontId="6" fillId="11" borderId="3" xfId="1" applyNumberFormat="1" applyFont="1" applyFill="1" applyBorder="1" applyAlignment="1">
      <alignment vertical="center"/>
    </xf>
    <xf numFmtId="165" fontId="5" fillId="9" borderId="3" xfId="1" applyNumberFormat="1" applyFont="1" applyFill="1" applyBorder="1" applyAlignment="1">
      <alignment horizontal="center" vertical="center" wrapText="1"/>
    </xf>
    <xf numFmtId="165" fontId="6" fillId="12" borderId="3" xfId="1" applyNumberFormat="1" applyFont="1" applyFill="1" applyBorder="1" applyAlignment="1">
      <alignment horizontal="center" vertical="center" wrapText="1"/>
    </xf>
    <xf numFmtId="165" fontId="6" fillId="13"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0" fontId="6" fillId="4" borderId="3" xfId="0" applyFont="1" applyFill="1" applyBorder="1" applyAlignment="1">
      <alignment horizontal="center" vertical="center"/>
    </xf>
    <xf numFmtId="165" fontId="5" fillId="0" borderId="3" xfId="1" applyNumberFormat="1" applyFont="1" applyFill="1" applyBorder="1" applyAlignment="1">
      <alignment horizontal="left" vertical="center" wrapText="1" readingOrder="1"/>
    </xf>
    <xf numFmtId="43" fontId="5" fillId="0" borderId="0" xfId="1" applyFont="1" applyBorder="1" applyAlignment="1">
      <alignment vertical="center"/>
    </xf>
    <xf numFmtId="9" fontId="6" fillId="2" borderId="3" xfId="2" applyFont="1" applyFill="1" applyBorder="1" applyAlignment="1">
      <alignment horizontal="center" vertical="center" wrapText="1"/>
    </xf>
    <xf numFmtId="43" fontId="5" fillId="2" borderId="0" xfId="0" applyNumberFormat="1" applyFont="1" applyFill="1" applyAlignment="1">
      <alignment vertical="center"/>
    </xf>
    <xf numFmtId="9" fontId="6" fillId="2" borderId="3" xfId="2" quotePrefix="1" applyFont="1" applyFill="1" applyBorder="1" applyAlignment="1">
      <alignment horizontal="center" vertical="center" wrapText="1"/>
    </xf>
    <xf numFmtId="1" fontId="5" fillId="2" borderId="3" xfId="2" applyNumberFormat="1" applyFont="1" applyFill="1" applyBorder="1" applyAlignment="1">
      <alignment horizontal="center" vertical="center" wrapText="1"/>
    </xf>
    <xf numFmtId="9" fontId="6" fillId="11" borderId="3" xfId="2" applyFont="1" applyFill="1" applyBorder="1" applyAlignment="1">
      <alignment horizontal="center" vertical="center"/>
    </xf>
    <xf numFmtId="165" fontId="6" fillId="12" borderId="3" xfId="1" applyNumberFormat="1" applyFont="1" applyFill="1" applyBorder="1" applyAlignment="1">
      <alignment vertical="center"/>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0" fontId="6" fillId="0" borderId="3" xfId="0" applyFont="1" applyBorder="1" applyAlignment="1">
      <alignment vertical="center" wrapText="1" readingOrder="1"/>
    </xf>
    <xf numFmtId="165" fontId="5" fillId="0" borderId="3" xfId="1" applyNumberFormat="1" applyFont="1" applyFill="1" applyBorder="1" applyAlignment="1">
      <alignment vertical="center"/>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9" borderId="3" xfId="0" applyFont="1" applyFill="1" applyBorder="1" applyAlignment="1">
      <alignment horizontal="left" vertical="center" wrapText="1" indent="1"/>
    </xf>
    <xf numFmtId="0" fontId="5" fillId="3" borderId="3" xfId="0" applyFont="1" applyFill="1" applyBorder="1" applyAlignment="1">
      <alignment horizontal="center" vertical="center"/>
    </xf>
    <xf numFmtId="0" fontId="5" fillId="0" borderId="3" xfId="0" applyFont="1" applyBorder="1" applyAlignment="1">
      <alignment horizontal="left" vertical="center" wrapText="1" readingOrder="1"/>
    </xf>
    <xf numFmtId="0" fontId="27" fillId="2" borderId="0" xfId="0" applyFont="1" applyFill="1" applyAlignment="1">
      <alignment horizontal="center" vertical="center" wrapText="1"/>
    </xf>
    <xf numFmtId="165" fontId="27" fillId="2" borderId="0" xfId="1" applyNumberFormat="1" applyFont="1" applyFill="1" applyAlignment="1">
      <alignment horizontal="right" vertical="center"/>
    </xf>
    <xf numFmtId="165" fontId="27" fillId="2" borderId="0" xfId="1" applyNumberFormat="1" applyFont="1" applyFill="1" applyAlignment="1">
      <alignment horizontal="right" vertical="center" wrapText="1"/>
    </xf>
    <xf numFmtId="14" fontId="27" fillId="2" borderId="0" xfId="0" applyNumberFormat="1" applyFont="1" applyFill="1" applyAlignment="1">
      <alignment horizontal="center" vertical="center"/>
    </xf>
    <xf numFmtId="0" fontId="24" fillId="2" borderId="1" xfId="0" applyFont="1" applyFill="1" applyBorder="1" applyAlignment="1">
      <alignment horizontal="center" vertical="center" wrapText="1"/>
    </xf>
    <xf numFmtId="165" fontId="24" fillId="2" borderId="0" xfId="1" applyNumberFormat="1" applyFont="1" applyFill="1" applyAlignment="1">
      <alignment horizontal="right" vertical="center" wrapText="1"/>
    </xf>
    <xf numFmtId="0" fontId="24" fillId="2" borderId="0" xfId="0" applyFont="1" applyFill="1" applyAlignment="1">
      <alignment horizontal="center" vertical="center"/>
    </xf>
    <xf numFmtId="165" fontId="5" fillId="0" borderId="0" xfId="1" applyNumberFormat="1" applyFont="1" applyBorder="1" applyAlignment="1">
      <alignment vertical="center"/>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9" fontId="5" fillId="2" borderId="0" xfId="2" applyFont="1" applyFill="1" applyAlignment="1">
      <alignment horizontal="center" vertical="center"/>
    </xf>
    <xf numFmtId="0" fontId="6" fillId="9"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9" borderId="3" xfId="0" applyFont="1" applyFill="1" applyBorder="1" applyAlignment="1">
      <alignment vertical="center"/>
    </xf>
    <xf numFmtId="0" fontId="5" fillId="9" borderId="3" xfId="0" quotePrefix="1" applyFont="1" applyFill="1" applyBorder="1" applyAlignment="1">
      <alignment horizontal="left" vertical="center" wrapText="1" indent="1"/>
    </xf>
    <xf numFmtId="0" fontId="6" fillId="12" borderId="3" xfId="0" applyFont="1" applyFill="1" applyBorder="1" applyAlignment="1">
      <alignment horizontal="left" vertical="center" indent="1"/>
    </xf>
    <xf numFmtId="0" fontId="6" fillId="9"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13" borderId="3" xfId="0" quotePrefix="1" applyFont="1" applyFill="1" applyBorder="1" applyAlignment="1">
      <alignment horizontal="left" vertical="center" wrapText="1" indent="1"/>
    </xf>
    <xf numFmtId="0" fontId="6" fillId="12" borderId="3" xfId="0" applyFont="1" applyFill="1" applyBorder="1" applyAlignment="1">
      <alignment horizontal="left" vertical="center" wrapText="1" indent="1"/>
    </xf>
    <xf numFmtId="0" fontId="6" fillId="4" borderId="3" xfId="0" applyFont="1" applyFill="1" applyBorder="1" applyAlignment="1">
      <alignment horizontal="left" vertical="center" wrapText="1" indent="1"/>
    </xf>
    <xf numFmtId="0" fontId="6" fillId="2" borderId="3" xfId="0" applyFont="1" applyFill="1" applyBorder="1" applyAlignment="1">
      <alignment horizontal="left" vertical="center" wrapText="1" indent="1"/>
    </xf>
    <xf numFmtId="0" fontId="5" fillId="12" borderId="3" xfId="0" quotePrefix="1" applyFont="1" applyFill="1" applyBorder="1" applyAlignment="1">
      <alignment horizontal="left" vertical="center" wrapText="1" indent="1"/>
    </xf>
    <xf numFmtId="165" fontId="6" fillId="2" borderId="3" xfId="0" applyNumberFormat="1" applyFont="1" applyFill="1" applyBorder="1" applyAlignment="1">
      <alignment horizontal="left" vertical="center" wrapText="1" indent="1"/>
    </xf>
    <xf numFmtId="0" fontId="6" fillId="2" borderId="3" xfId="0" quotePrefix="1" applyFont="1" applyFill="1" applyBorder="1" applyAlignment="1">
      <alignment horizontal="left" vertical="center" wrapText="1" indent="1"/>
    </xf>
    <xf numFmtId="0" fontId="5" fillId="11" borderId="3" xfId="0" applyFont="1" applyFill="1" applyBorder="1" applyAlignment="1">
      <alignment horizontal="left" vertical="center" indent="1"/>
    </xf>
    <xf numFmtId="0" fontId="5" fillId="0" borderId="3" xfId="0" quotePrefix="1" applyFont="1" applyBorder="1" applyAlignment="1">
      <alignment horizontal="left" vertical="center" wrapText="1" indent="1"/>
    </xf>
    <xf numFmtId="0" fontId="5" fillId="4" borderId="3" xfId="0" applyFont="1" applyFill="1" applyBorder="1" applyAlignment="1">
      <alignment horizontal="left" vertical="center" indent="1"/>
    </xf>
    <xf numFmtId="165" fontId="5" fillId="2" borderId="3" xfId="1" applyNumberFormat="1" applyFont="1" applyFill="1" applyBorder="1" applyAlignment="1">
      <alignment horizontal="left" vertical="center" indent="1"/>
    </xf>
    <xf numFmtId="165" fontId="6" fillId="12" borderId="3" xfId="1" applyNumberFormat="1" applyFont="1" applyFill="1" applyBorder="1" applyAlignment="1">
      <alignment horizontal="left" vertical="center" indent="1"/>
    </xf>
    <xf numFmtId="165" fontId="5" fillId="2" borderId="3" xfId="1" applyNumberFormat="1" applyFont="1" applyFill="1" applyBorder="1" applyAlignment="1">
      <alignment horizontal="left" vertical="center" wrapText="1" indent="1"/>
    </xf>
    <xf numFmtId="165" fontId="6" fillId="9" borderId="3" xfId="1" applyNumberFormat="1" applyFont="1" applyFill="1" applyBorder="1" applyAlignment="1">
      <alignment horizontal="center" vertical="center" wrapText="1"/>
    </xf>
    <xf numFmtId="43" fontId="5" fillId="2" borderId="0" xfId="0" applyNumberFormat="1" applyFont="1" applyFill="1" applyAlignment="1">
      <alignment horizontal="center" vertical="center"/>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6" fillId="3" borderId="0" xfId="0" applyFont="1" applyFill="1" applyAlignment="1">
      <alignment horizontal="center" vertical="center"/>
    </xf>
    <xf numFmtId="0" fontId="27" fillId="2" borderId="0" xfId="0" applyFont="1" applyFill="1" applyAlignment="1">
      <alignment vertical="center"/>
    </xf>
    <xf numFmtId="0" fontId="27" fillId="7" borderId="0" xfId="0" applyFont="1" applyFill="1" applyAlignment="1">
      <alignment horizontal="center" vertical="center"/>
    </xf>
    <xf numFmtId="0" fontId="27" fillId="7" borderId="0" xfId="0" applyFont="1" applyFill="1" applyAlignment="1">
      <alignment vertical="center"/>
    </xf>
    <xf numFmtId="0" fontId="27" fillId="0" borderId="0" xfId="0" applyFont="1" applyAlignment="1">
      <alignment vertical="center"/>
    </xf>
    <xf numFmtId="0" fontId="24" fillId="2" borderId="0" xfId="0" applyFont="1" applyFill="1" applyAlignment="1">
      <alignment vertical="center"/>
    </xf>
    <xf numFmtId="0" fontId="24" fillId="7" borderId="0" xfId="0" applyFont="1" applyFill="1" applyAlignment="1">
      <alignment vertical="center"/>
    </xf>
    <xf numFmtId="0" fontId="24" fillId="0" borderId="0" xfId="0" applyFont="1" applyAlignment="1">
      <alignment vertical="center"/>
    </xf>
    <xf numFmtId="0" fontId="6" fillId="0" borderId="3" xfId="0" applyFont="1" applyBorder="1" applyAlignment="1">
      <alignment horizontal="justify" vertical="center" wrapText="1"/>
    </xf>
    <xf numFmtId="165" fontId="6" fillId="2" borderId="3" xfId="1" applyNumberFormat="1" applyFont="1" applyFill="1" applyBorder="1" applyAlignment="1">
      <alignment horizontal="left" vertical="center" indent="1"/>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5" fillId="0" borderId="0" xfId="0" applyFont="1" applyAlignment="1">
      <alignment horizontal="left" vertical="center" wrapText="1"/>
    </xf>
    <xf numFmtId="0" fontId="6" fillId="11" borderId="3" xfId="0" applyFont="1" applyFill="1" applyBorder="1" applyAlignment="1">
      <alignment horizontal="left" vertical="center" wrapText="1"/>
    </xf>
    <xf numFmtId="0" fontId="5" fillId="0" borderId="3" xfId="0" applyFont="1" applyBorder="1" applyAlignment="1">
      <alignment horizontal="left" vertical="center" wrapText="1"/>
    </xf>
    <xf numFmtId="0" fontId="6" fillId="12" borderId="3" xfId="0" applyFont="1" applyFill="1" applyBorder="1" applyAlignment="1">
      <alignment vertical="center" wrapText="1"/>
    </xf>
    <xf numFmtId="1" fontId="6" fillId="2" borderId="3" xfId="0" applyNumberFormat="1" applyFont="1" applyFill="1" applyBorder="1" applyAlignment="1">
      <alignment horizontal="left" vertical="center" indent="1"/>
    </xf>
    <xf numFmtId="9" fontId="6" fillId="2" borderId="3" xfId="2" applyFont="1" applyFill="1" applyBorder="1" applyAlignment="1">
      <alignment horizontal="center" vertical="center"/>
    </xf>
    <xf numFmtId="43" fontId="6" fillId="2" borderId="0" xfId="0" applyNumberFormat="1" applyFont="1" applyFill="1" applyAlignment="1">
      <alignment horizontal="center" vertical="center"/>
    </xf>
    <xf numFmtId="43" fontId="5" fillId="0" borderId="0" xfId="0" applyNumberFormat="1" applyFont="1" applyAlignment="1">
      <alignment horizontal="center" vertical="center"/>
    </xf>
    <xf numFmtId="43" fontId="6" fillId="7" borderId="3" xfId="1" applyFont="1" applyFill="1" applyBorder="1" applyAlignment="1">
      <alignment horizontal="center" vertical="center" wrapText="1"/>
    </xf>
    <xf numFmtId="165" fontId="5" fillId="3" borderId="3" xfId="1" applyNumberFormat="1" applyFont="1" applyFill="1" applyBorder="1" applyAlignment="1">
      <alignment vertical="center"/>
    </xf>
    <xf numFmtId="0" fontId="6" fillId="11" borderId="3" xfId="1" applyNumberFormat="1" applyFont="1" applyFill="1" applyBorder="1" applyAlignment="1">
      <alignment vertical="center"/>
    </xf>
    <xf numFmtId="169" fontId="5" fillId="2" borderId="3" xfId="1" applyNumberFormat="1" applyFont="1" applyFill="1" applyBorder="1" applyAlignment="1">
      <alignment vertical="center"/>
    </xf>
    <xf numFmtId="169" fontId="6" fillId="2" borderId="3" xfId="1" applyNumberFormat="1" applyFont="1" applyFill="1" applyBorder="1" applyAlignment="1">
      <alignment vertical="center"/>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0" fontId="14" fillId="2" borderId="3" xfId="0" applyFont="1" applyFill="1" applyBorder="1" applyAlignment="1">
      <alignment horizontal="left" vertical="center" wrapText="1"/>
    </xf>
    <xf numFmtId="0" fontId="14" fillId="2" borderId="3" xfId="0" applyFont="1" applyFill="1" applyBorder="1" applyAlignment="1">
      <alignment horizontal="left" vertical="center" wrapText="1" indent="1"/>
    </xf>
    <xf numFmtId="43" fontId="5" fillId="2" borderId="3" xfId="1" quotePrefix="1" applyNumberFormat="1" applyFont="1" applyFill="1" applyBorder="1" applyAlignment="1">
      <alignment horizontal="center" vertical="center" readingOrder="1"/>
    </xf>
    <xf numFmtId="169" fontId="5" fillId="0" borderId="3" xfId="1" applyNumberFormat="1" applyFont="1" applyFill="1" applyBorder="1" applyAlignment="1">
      <alignment vertical="center"/>
    </xf>
    <xf numFmtId="0" fontId="5" fillId="0" borderId="3" xfId="0" quotePrefix="1" applyFont="1" applyFill="1" applyBorder="1" applyAlignment="1">
      <alignment horizontal="left" vertical="center" wrapText="1" indent="1"/>
    </xf>
    <xf numFmtId="9" fontId="5" fillId="0" borderId="3" xfId="2" applyFont="1" applyFill="1" applyBorder="1" applyAlignment="1">
      <alignment horizontal="center" vertical="center" wrapText="1"/>
    </xf>
    <xf numFmtId="0" fontId="5" fillId="0" borderId="0" xfId="0" applyFont="1" applyFill="1" applyAlignment="1">
      <alignment horizontal="center" vertical="center"/>
    </xf>
    <xf numFmtId="0" fontId="5" fillId="0" borderId="3" xfId="0" applyFont="1" applyFill="1" applyBorder="1" applyAlignment="1">
      <alignment horizontal="left" vertical="center" wrapText="1" indent="1"/>
    </xf>
    <xf numFmtId="169" fontId="5" fillId="15" borderId="3" xfId="1" applyNumberFormat="1" applyFont="1" applyFill="1" applyBorder="1" applyAlignment="1">
      <alignment vertical="center"/>
    </xf>
    <xf numFmtId="0" fontId="5" fillId="15" borderId="3" xfId="0" quotePrefix="1" applyFont="1" applyFill="1" applyBorder="1" applyAlignment="1">
      <alignment horizontal="left" vertical="center" wrapText="1" indent="1"/>
    </xf>
    <xf numFmtId="165" fontId="5" fillId="15" borderId="3" xfId="1" applyNumberFormat="1" applyFont="1" applyFill="1" applyBorder="1" applyAlignment="1">
      <alignment vertical="center"/>
    </xf>
    <xf numFmtId="9" fontId="5" fillId="15" borderId="3" xfId="2" applyFont="1" applyFill="1" applyBorder="1" applyAlignment="1">
      <alignment horizontal="center" vertical="center" wrapText="1"/>
    </xf>
    <xf numFmtId="0" fontId="5" fillId="15" borderId="0" xfId="0" applyFont="1" applyFill="1" applyAlignment="1">
      <alignment horizontal="center" vertical="center"/>
    </xf>
    <xf numFmtId="0" fontId="5" fillId="15" borderId="0" xfId="0" applyFont="1" applyFill="1" applyAlignment="1">
      <alignment vertical="center"/>
    </xf>
    <xf numFmtId="0" fontId="5" fillId="15" borderId="3" xfId="0" applyFont="1" applyFill="1" applyBorder="1" applyAlignment="1">
      <alignment horizontal="center" vertical="center"/>
    </xf>
    <xf numFmtId="0" fontId="5" fillId="15" borderId="3" xfId="0" applyFont="1" applyFill="1" applyBorder="1" applyAlignment="1">
      <alignment horizontal="left" vertical="center" wrapText="1"/>
    </xf>
    <xf numFmtId="0" fontId="5" fillId="15" borderId="3" xfId="0" applyFont="1" applyFill="1" applyBorder="1" applyAlignment="1">
      <alignment horizontal="left" vertical="center" wrapText="1" indent="1"/>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5" borderId="3" xfId="0" applyFont="1" applyFill="1" applyBorder="1" applyAlignment="1">
      <alignment horizontal="center" vertical="center" wrapText="1" readingOrder="1"/>
    </xf>
    <xf numFmtId="0" fontId="5" fillId="15" borderId="3" xfId="0" applyFont="1" applyFill="1" applyBorder="1" applyAlignment="1">
      <alignment horizontal="left" vertical="center" wrapText="1" indent="1" readingOrder="1"/>
    </xf>
    <xf numFmtId="165" fontId="5" fillId="15" borderId="3" xfId="1" applyNumberFormat="1" applyFont="1" applyFill="1" applyBorder="1" applyAlignment="1">
      <alignment horizontal="center" vertical="center" wrapText="1"/>
    </xf>
    <xf numFmtId="167" fontId="5" fillId="15" borderId="3" xfId="2" applyNumberFormat="1" applyFont="1" applyFill="1" applyBorder="1" applyAlignment="1">
      <alignment horizontal="center" vertical="center" wrapText="1"/>
    </xf>
    <xf numFmtId="166" fontId="5" fillId="15" borderId="0" xfId="1" applyNumberFormat="1" applyFont="1" applyFill="1" applyAlignment="1">
      <alignment vertical="center"/>
    </xf>
    <xf numFmtId="43" fontId="5" fillId="15" borderId="0" xfId="1" applyFont="1" applyFill="1" applyAlignment="1">
      <alignment vertical="center"/>
    </xf>
    <xf numFmtId="0" fontId="5" fillId="15" borderId="0" xfId="0" applyFont="1" applyFill="1"/>
    <xf numFmtId="10" fontId="5" fillId="15" borderId="0" xfId="0" applyNumberFormat="1" applyFont="1" applyFill="1"/>
    <xf numFmtId="43" fontId="5" fillId="15" borderId="0" xfId="0" applyNumberFormat="1" applyFont="1" applyFill="1"/>
    <xf numFmtId="10" fontId="5" fillId="15" borderId="0" xfId="2" applyNumberFormat="1" applyFont="1" applyFill="1"/>
    <xf numFmtId="0" fontId="5" fillId="15" borderId="3" xfId="0" applyFont="1" applyFill="1" applyBorder="1" applyAlignment="1">
      <alignment horizontal="left" vertical="center"/>
    </xf>
    <xf numFmtId="167" fontId="6" fillId="15" borderId="3" xfId="2" applyNumberFormat="1" applyFont="1" applyFill="1" applyBorder="1" applyAlignment="1">
      <alignment horizontal="center" vertical="center" wrapText="1"/>
    </xf>
    <xf numFmtId="0" fontId="5" fillId="15" borderId="3" xfId="0" applyFont="1" applyFill="1" applyBorder="1" applyAlignment="1">
      <alignment horizontal="left" vertical="center" wrapText="1" readingOrder="1"/>
    </xf>
    <xf numFmtId="0" fontId="6" fillId="15" borderId="3" xfId="0" applyFont="1" applyFill="1" applyBorder="1" applyAlignment="1">
      <alignment horizontal="center" vertical="center" wrapText="1" readingOrder="1"/>
    </xf>
    <xf numFmtId="0" fontId="6" fillId="15" borderId="3" xfId="0" applyFont="1" applyFill="1" applyBorder="1" applyAlignment="1">
      <alignment horizontal="left" vertical="center" wrapText="1" readingOrder="1"/>
    </xf>
    <xf numFmtId="165" fontId="6" fillId="15" borderId="3" xfId="1" applyNumberFormat="1" applyFont="1" applyFill="1" applyBorder="1" applyAlignment="1">
      <alignment horizontal="center" vertical="center" wrapText="1"/>
    </xf>
    <xf numFmtId="43" fontId="5" fillId="0" borderId="0" xfId="0" applyNumberFormat="1" applyFont="1" applyFill="1"/>
    <xf numFmtId="0" fontId="5" fillId="15" borderId="3" xfId="0" applyFont="1" applyFill="1" applyBorder="1" applyAlignment="1">
      <alignment vertical="center" wrapText="1"/>
    </xf>
    <xf numFmtId="0" fontId="6" fillId="0" borderId="3" xfId="0" applyFont="1" applyFill="1" applyBorder="1" applyAlignment="1">
      <alignment horizontal="center" vertical="center"/>
    </xf>
    <xf numFmtId="0" fontId="6" fillId="0" borderId="3" xfId="0" applyFont="1" applyFill="1" applyBorder="1" applyAlignment="1">
      <alignment horizontal="justify" vertical="center" wrapText="1"/>
    </xf>
    <xf numFmtId="9" fontId="6" fillId="0" borderId="3" xfId="2" applyFont="1" applyFill="1" applyBorder="1" applyAlignment="1">
      <alignment horizontal="center" vertical="center" wrapText="1"/>
    </xf>
    <xf numFmtId="165" fontId="5" fillId="0" borderId="3" xfId="1" applyNumberFormat="1" applyFont="1" applyFill="1" applyBorder="1" applyAlignment="1">
      <alignment horizontal="left" vertical="center" indent="1"/>
    </xf>
    <xf numFmtId="174" fontId="5" fillId="15" borderId="3" xfId="1" applyNumberFormat="1" applyFont="1" applyFill="1" applyBorder="1" applyAlignment="1">
      <alignment vertical="center"/>
    </xf>
    <xf numFmtId="9" fontId="5" fillId="15" borderId="3" xfId="2" quotePrefix="1" applyFont="1" applyFill="1" applyBorder="1" applyAlignment="1">
      <alignment horizontal="center" vertical="center" wrapText="1"/>
    </xf>
    <xf numFmtId="165" fontId="5" fillId="15" borderId="3" xfId="1" quotePrefix="1" applyNumberFormat="1" applyFont="1" applyFill="1" applyBorder="1" applyAlignment="1">
      <alignment horizontal="left" vertical="center" wrapText="1" indent="1"/>
    </xf>
    <xf numFmtId="43" fontId="5" fillId="0" borderId="3" xfId="1" applyNumberFormat="1" applyFont="1" applyFill="1" applyBorder="1" applyAlignment="1">
      <alignment vertical="center"/>
    </xf>
    <xf numFmtId="0" fontId="5" fillId="3" borderId="3" xfId="0" applyFont="1" applyFill="1" applyBorder="1" applyAlignment="1">
      <alignment horizontal="left" vertical="center" wrapText="1"/>
    </xf>
    <xf numFmtId="43" fontId="5" fillId="3" borderId="3" xfId="1" applyNumberFormat="1" applyFont="1" applyFill="1" applyBorder="1" applyAlignment="1">
      <alignment vertical="center"/>
    </xf>
    <xf numFmtId="0" fontId="5" fillId="3" borderId="3" xfId="0" quotePrefix="1" applyFont="1" applyFill="1" applyBorder="1" applyAlignment="1">
      <alignment horizontal="left" vertical="center" wrapText="1" indent="1"/>
    </xf>
    <xf numFmtId="9" fontId="5" fillId="3" borderId="3" xfId="2" quotePrefix="1" applyFont="1" applyFill="1" applyBorder="1" applyAlignment="1">
      <alignment horizontal="center" vertical="center" wrapText="1"/>
    </xf>
    <xf numFmtId="165" fontId="5" fillId="3" borderId="3" xfId="1" applyNumberFormat="1" applyFont="1" applyFill="1" applyBorder="1" applyAlignment="1">
      <alignment horizontal="left" vertical="center" indent="1"/>
    </xf>
    <xf numFmtId="9" fontId="5" fillId="3" borderId="3" xfId="2" applyFont="1" applyFill="1" applyBorder="1" applyAlignment="1">
      <alignment horizontal="center" vertical="center" wrapText="1"/>
    </xf>
    <xf numFmtId="0" fontId="5" fillId="3" borderId="0" xfId="0" applyFont="1" applyFill="1" applyAlignment="1">
      <alignment horizontal="center" vertical="center"/>
    </xf>
    <xf numFmtId="0" fontId="5" fillId="3" borderId="0" xfId="0" applyFont="1" applyFill="1" applyAlignment="1">
      <alignment vertical="center"/>
    </xf>
    <xf numFmtId="43" fontId="5" fillId="0" borderId="3" xfId="1" quotePrefix="1" applyNumberFormat="1" applyFont="1" applyFill="1" applyBorder="1" applyAlignment="1">
      <alignment horizontal="center" vertical="center" readingOrder="1"/>
    </xf>
    <xf numFmtId="0" fontId="5" fillId="2" borderId="0" xfId="0" quotePrefix="1" applyFont="1" applyFill="1" applyAlignment="1">
      <alignment vertical="center" wrapText="1"/>
    </xf>
    <xf numFmtId="0" fontId="5" fillId="2" borderId="3" xfId="0" quotePrefix="1" applyFont="1" applyFill="1" applyBorder="1" applyAlignment="1">
      <alignment vertical="center" wrapText="1"/>
    </xf>
    <xf numFmtId="0" fontId="5" fillId="16" borderId="0" xfId="0" applyFont="1" applyFill="1" applyAlignment="1">
      <alignment vertical="center"/>
    </xf>
    <xf numFmtId="0" fontId="13" fillId="7" borderId="0" xfId="0" applyFont="1" applyFill="1" applyAlignment="1">
      <alignment horizontal="center" vertical="center" wrapText="1"/>
    </xf>
    <xf numFmtId="0" fontId="13" fillId="7" borderId="0" xfId="0" applyFont="1" applyFill="1" applyAlignment="1">
      <alignment horizontal="center" vertical="center"/>
    </xf>
    <xf numFmtId="0" fontId="32" fillId="2" borderId="0" xfId="0" applyFont="1" applyFill="1" applyAlignment="1">
      <alignment horizontal="center"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13" fillId="3" borderId="3" xfId="0" applyFont="1" applyFill="1" applyBorder="1" applyAlignment="1">
      <alignment horizontal="center" vertical="center"/>
    </xf>
    <xf numFmtId="0" fontId="13" fillId="3" borderId="3" xfId="0" applyFont="1" applyFill="1" applyBorder="1" applyAlignment="1">
      <alignment horizontal="center" vertical="center" wrapText="1"/>
    </xf>
    <xf numFmtId="165" fontId="13" fillId="3" borderId="3" xfId="1" applyNumberFormat="1" applyFont="1" applyFill="1" applyBorder="1" applyAlignment="1" applyProtection="1">
      <alignment horizontal="center" vertical="center" wrapText="1"/>
    </xf>
    <xf numFmtId="165" fontId="13" fillId="3" borderId="3" xfId="1" applyNumberFormat="1" applyFont="1" applyFill="1" applyBorder="1" applyAlignment="1">
      <alignment horizontal="center" vertical="center"/>
    </xf>
    <xf numFmtId="165" fontId="33" fillId="3" borderId="3" xfId="1" applyNumberFormat="1" applyFont="1" applyFill="1" applyBorder="1" applyAlignment="1" applyProtection="1">
      <alignment horizontal="center" vertical="center" wrapText="1"/>
    </xf>
    <xf numFmtId="0" fontId="13" fillId="2" borderId="0" xfId="0" applyFont="1" applyFill="1" applyAlignment="1">
      <alignment horizontal="center" vertical="center"/>
    </xf>
    <xf numFmtId="0" fontId="13" fillId="0" borderId="0" xfId="0" applyFont="1" applyAlignment="1">
      <alignment horizontal="center" vertical="center"/>
    </xf>
    <xf numFmtId="0" fontId="32" fillId="4" borderId="3" xfId="0" applyFont="1" applyFill="1" applyBorder="1" applyAlignment="1">
      <alignment horizontal="center" vertical="center" wrapText="1"/>
    </xf>
    <xf numFmtId="0" fontId="32" fillId="4" borderId="3" xfId="0" applyFont="1" applyFill="1" applyBorder="1" applyAlignment="1">
      <alignment horizontal="left" vertical="center"/>
    </xf>
    <xf numFmtId="165" fontId="32" fillId="4" borderId="3" xfId="1" applyNumberFormat="1" applyFont="1" applyFill="1" applyBorder="1" applyAlignment="1">
      <alignment horizontal="center" vertical="center" wrapText="1"/>
    </xf>
    <xf numFmtId="165" fontId="32" fillId="4" borderId="3" xfId="1" applyNumberFormat="1" applyFont="1" applyFill="1" applyBorder="1" applyAlignment="1">
      <alignment vertical="center"/>
    </xf>
    <xf numFmtId="165" fontId="32" fillId="4" borderId="3" xfId="1" applyNumberFormat="1" applyFont="1" applyFill="1" applyBorder="1" applyAlignment="1">
      <alignment horizontal="center" vertical="center"/>
    </xf>
    <xf numFmtId="0" fontId="13" fillId="7" borderId="0" xfId="0" applyFont="1" applyFill="1" applyAlignment="1">
      <alignment horizontal="left" vertical="center"/>
    </xf>
    <xf numFmtId="0" fontId="13" fillId="7" borderId="0" xfId="0" applyFont="1" applyFill="1" applyAlignment="1">
      <alignment vertical="center"/>
    </xf>
    <xf numFmtId="0" fontId="13" fillId="16" borderId="0" xfId="0" applyFont="1" applyFill="1" applyAlignment="1">
      <alignment vertical="center"/>
    </xf>
    <xf numFmtId="0" fontId="13" fillId="2" borderId="0" xfId="0" applyFont="1" applyFill="1" applyAlignment="1">
      <alignment vertical="center"/>
    </xf>
    <xf numFmtId="0" fontId="13" fillId="0" borderId="0" xfId="0" applyFont="1" applyAlignment="1">
      <alignment vertical="center"/>
    </xf>
    <xf numFmtId="0" fontId="32" fillId="6" borderId="3" xfId="0" applyFont="1" applyFill="1" applyBorder="1" applyAlignment="1">
      <alignment horizontal="center" vertical="center"/>
    </xf>
    <xf numFmtId="0" fontId="32" fillId="6" borderId="3" xfId="0" applyFont="1" applyFill="1" applyBorder="1" applyAlignment="1">
      <alignment horizontal="left" vertical="center" wrapText="1"/>
    </xf>
    <xf numFmtId="0" fontId="32" fillId="6" borderId="3" xfId="0" applyFont="1" applyFill="1" applyBorder="1" applyAlignment="1">
      <alignment horizontal="center" vertical="center" wrapText="1"/>
    </xf>
    <xf numFmtId="165" fontId="32" fillId="6" borderId="3" xfId="1" applyNumberFormat="1" applyFont="1" applyFill="1" applyBorder="1" applyAlignment="1">
      <alignment horizontal="center" vertical="center" wrapText="1"/>
    </xf>
    <xf numFmtId="165" fontId="32" fillId="6" borderId="3" xfId="1" applyNumberFormat="1" applyFont="1" applyFill="1" applyBorder="1" applyAlignment="1">
      <alignment vertical="center"/>
    </xf>
    <xf numFmtId="0" fontId="32" fillId="5" borderId="3" xfId="0" applyFont="1" applyFill="1" applyBorder="1" applyAlignment="1">
      <alignment horizontal="center" vertical="center"/>
    </xf>
    <xf numFmtId="0" fontId="32" fillId="5" borderId="3" xfId="0" applyFont="1" applyFill="1" applyBorder="1" applyAlignment="1">
      <alignment vertical="center" wrapText="1"/>
    </xf>
    <xf numFmtId="0" fontId="32" fillId="2" borderId="0" xfId="0" applyFont="1" applyFill="1" applyAlignment="1">
      <alignment horizontal="center"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165" fontId="32" fillId="5" borderId="3" xfId="0" applyNumberFormat="1" applyFont="1" applyFill="1" applyBorder="1" applyAlignment="1">
      <alignment vertical="center"/>
    </xf>
    <xf numFmtId="0" fontId="8" fillId="0" borderId="0" xfId="0" applyFont="1" applyAlignment="1" applyProtection="1">
      <alignment horizontal="left" vertical="center" wrapText="1"/>
      <protection locked="0"/>
    </xf>
    <xf numFmtId="0" fontId="8" fillId="0" borderId="1" xfId="0" applyFont="1" applyBorder="1" applyAlignment="1" applyProtection="1">
      <alignment horizontal="left" vertical="center" wrapText="1"/>
      <protection locked="0"/>
    </xf>
    <xf numFmtId="0" fontId="24" fillId="8" borderId="0" xfId="0" applyFont="1" applyFill="1" applyAlignment="1">
      <alignment horizontal="center" vertical="center"/>
    </xf>
    <xf numFmtId="0" fontId="32" fillId="12" borderId="2" xfId="0" applyFont="1" applyFill="1" applyBorder="1" applyAlignment="1">
      <alignment horizontal="center" vertical="center" wrapText="1"/>
    </xf>
    <xf numFmtId="0" fontId="32" fillId="12" borderId="9" xfId="0" applyFont="1" applyFill="1" applyBorder="1" applyAlignment="1">
      <alignment horizontal="center" vertical="center" wrapText="1"/>
    </xf>
    <xf numFmtId="0" fontId="32" fillId="12" borderId="10" xfId="0" applyFont="1" applyFill="1" applyBorder="1" applyAlignment="1">
      <alignment horizontal="center" vertical="center" wrapText="1"/>
    </xf>
    <xf numFmtId="0" fontId="7" fillId="0" borderId="0" xfId="0" applyFont="1" applyAlignment="1" applyProtection="1">
      <alignment horizontal="center" vertical="center" wrapText="1"/>
      <protection locked="0"/>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24" fillId="2" borderId="1" xfId="1" applyNumberFormat="1"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16" borderId="2" xfId="0" applyFont="1" applyFill="1" applyBorder="1" applyAlignment="1" applyProtection="1">
      <alignment horizontal="center" vertical="center" wrapText="1"/>
      <protection locked="0"/>
    </xf>
    <xf numFmtId="0" fontId="6" fillId="16" borderId="9" xfId="0" applyFont="1" applyFill="1" applyBorder="1" applyAlignment="1" applyProtection="1">
      <alignment horizontal="center" vertical="center" wrapText="1"/>
      <protection locked="0"/>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4" borderId="6" xfId="0" applyFont="1" applyFill="1" applyBorder="1" applyAlignment="1">
      <alignment horizontal="center" vertical="center" wrapText="1" readingOrder="1"/>
    </xf>
    <xf numFmtId="0" fontId="24" fillId="14" borderId="7" xfId="0" applyFont="1" applyFill="1" applyBorder="1" applyAlignment="1">
      <alignment horizontal="center" vertical="center" wrapText="1" readingOrder="1"/>
    </xf>
    <xf numFmtId="0" fontId="24" fillId="14" borderId="8" xfId="0" applyFont="1" applyFill="1" applyBorder="1" applyAlignment="1">
      <alignment horizontal="center" vertical="center" wrapText="1" readingOrder="1"/>
    </xf>
    <xf numFmtId="0" fontId="7" fillId="0" borderId="0" xfId="0" applyFont="1" applyAlignment="1">
      <alignment horizontal="center" vertical="center" wrapText="1"/>
    </xf>
    <xf numFmtId="0" fontId="7" fillId="0" borderId="0" xfId="0" applyFont="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0" fontId="6" fillId="7"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5" fillId="15" borderId="2" xfId="0" quotePrefix="1" applyFont="1" applyFill="1" applyBorder="1" applyAlignment="1">
      <alignment horizontal="left" vertical="center" wrapText="1"/>
    </xf>
    <xf numFmtId="0" fontId="5" fillId="15" borderId="10" xfId="0" quotePrefix="1" applyFont="1" applyFill="1" applyBorder="1" applyAlignment="1">
      <alignment horizontal="left" vertical="center" wrapText="1"/>
    </xf>
    <xf numFmtId="0" fontId="11" fillId="0" borderId="1" xfId="0" applyFont="1" applyBorder="1" applyAlignment="1">
      <alignment horizontal="center" vertical="center"/>
    </xf>
  </cellXfs>
  <cellStyles count="288">
    <cellStyle name="Comma" xfId="1" builtinId="3"/>
    <cellStyle name="Comma [0] 2" xfId="267"/>
    <cellStyle name="Comma 10" xfId="5"/>
    <cellStyle name="Comma 10 10" xfId="286"/>
    <cellStyle name="Comma 10 2" xfId="13"/>
    <cellStyle name="Comma 10 2 2" xfId="2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EE0033"/>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Q16"/>
  <sheetViews>
    <sheetView zoomScale="70" zoomScaleNormal="70" workbookViewId="0">
      <pane xSplit="3" ySplit="7" topLeftCell="D8" activePane="bottomRight" state="frozen"/>
      <selection activeCell="AD1" sqref="AD1:AI1048576"/>
      <selection pane="topRight" activeCell="AD1" sqref="AD1:AI1048576"/>
      <selection pane="bottomLeft" activeCell="AD1" sqref="AD1:AI1048576"/>
      <selection pane="bottomRight" activeCell="L15" sqref="L15"/>
    </sheetView>
  </sheetViews>
  <sheetFormatPr defaultColWidth="9.28515625" defaultRowHeight="12.75" outlineLevelRow="1" outlineLevelCol="1" x14ac:dyDescent="0.25"/>
  <cols>
    <col min="1" max="1" width="6.140625" style="78" customWidth="1"/>
    <col min="2" max="2" width="62" style="79" customWidth="1"/>
    <col min="3" max="3" width="6.7109375" style="80" customWidth="1"/>
    <col min="4" max="5" width="16.7109375" style="81" customWidth="1" outlineLevel="1"/>
    <col min="6" max="6" width="11.42578125" style="89" customWidth="1" outlineLevel="1" collapsed="1"/>
    <col min="7" max="8" width="16.7109375" style="83" customWidth="1" outlineLevel="1"/>
    <col min="9" max="9" width="13.140625" style="82" customWidth="1"/>
    <col min="10" max="10" width="6.7109375" style="8" customWidth="1"/>
    <col min="11" max="11" width="7.7109375" style="8" customWidth="1" outlineLevel="1"/>
    <col min="12" max="12" width="4.5703125" style="8" customWidth="1" outlineLevel="1"/>
    <col min="13" max="13" width="12.5703125" style="8" customWidth="1" outlineLevel="1"/>
    <col min="14" max="14" width="10.140625" style="8" customWidth="1" outlineLevel="1"/>
    <col min="15" max="15" width="9.140625" style="51" customWidth="1" outlineLevel="1"/>
    <col min="16" max="16" width="57.140625" style="273" customWidth="1"/>
    <col min="17" max="17" width="16.42578125" style="51" customWidth="1"/>
    <col min="18" max="25" width="9.28515625" style="6" customWidth="1"/>
    <col min="26" max="16384" width="9.28515625" style="6"/>
  </cols>
  <sheetData>
    <row r="1" spans="1:17" ht="39.950000000000003" customHeight="1" x14ac:dyDescent="0.25">
      <c r="A1" s="331" t="s">
        <v>170</v>
      </c>
      <c r="B1" s="331"/>
      <c r="C1" s="331"/>
      <c r="D1" s="331"/>
      <c r="E1" s="331"/>
      <c r="F1" s="331"/>
      <c r="G1" s="331"/>
      <c r="H1" s="331"/>
      <c r="I1" s="331"/>
      <c r="J1" s="71"/>
      <c r="K1" s="71"/>
      <c r="L1" s="71"/>
      <c r="M1" s="71"/>
      <c r="N1" s="71"/>
      <c r="O1" s="71"/>
      <c r="P1" s="346"/>
    </row>
    <row r="2" spans="1:17" s="189" customFormat="1" ht="6.6" customHeight="1" x14ac:dyDescent="0.25">
      <c r="A2" s="325"/>
      <c r="B2" s="325"/>
      <c r="C2" s="122"/>
      <c r="D2" s="123"/>
      <c r="E2" s="123"/>
      <c r="F2" s="123"/>
      <c r="G2" s="123"/>
      <c r="H2" s="123"/>
      <c r="I2" s="125"/>
      <c r="J2" s="187"/>
      <c r="K2" s="187"/>
      <c r="L2" s="187"/>
      <c r="M2" s="187"/>
      <c r="N2" s="187"/>
      <c r="O2" s="188"/>
      <c r="P2" s="347"/>
      <c r="Q2" s="186"/>
    </row>
    <row r="3" spans="1:17" s="192" customFormat="1" x14ac:dyDescent="0.25">
      <c r="A3" s="326"/>
      <c r="B3" s="326"/>
      <c r="C3" s="126"/>
      <c r="D3" s="127"/>
      <c r="E3" s="127"/>
      <c r="F3" s="124"/>
      <c r="G3" s="338" t="s">
        <v>74</v>
      </c>
      <c r="H3" s="338"/>
      <c r="I3" s="128"/>
      <c r="J3" s="327" t="s">
        <v>74</v>
      </c>
      <c r="K3" s="327"/>
      <c r="L3" s="327"/>
      <c r="M3" s="187"/>
      <c r="N3" s="187"/>
      <c r="O3" s="191"/>
      <c r="P3" s="347"/>
      <c r="Q3" s="190"/>
    </row>
    <row r="4" spans="1:17" s="277" customFormat="1" ht="26.25" customHeight="1" x14ac:dyDescent="0.25">
      <c r="A4" s="332" t="s">
        <v>0</v>
      </c>
      <c r="B4" s="332" t="s">
        <v>1</v>
      </c>
      <c r="C4" s="335" t="s">
        <v>2</v>
      </c>
      <c r="D4" s="339" t="s">
        <v>171</v>
      </c>
      <c r="E4" s="340"/>
      <c r="F4" s="343" t="s">
        <v>65</v>
      </c>
      <c r="G4" s="345" t="s">
        <v>99</v>
      </c>
      <c r="H4" s="345"/>
      <c r="I4" s="328" t="s">
        <v>100</v>
      </c>
      <c r="J4" s="274" t="s">
        <v>45</v>
      </c>
      <c r="K4" s="274" t="s">
        <v>46</v>
      </c>
      <c r="L4" s="274" t="s">
        <v>47</v>
      </c>
      <c r="M4" s="275"/>
      <c r="N4" s="275"/>
      <c r="O4" s="275"/>
      <c r="P4" s="347"/>
      <c r="Q4" s="276"/>
    </row>
    <row r="5" spans="1:17" s="277" customFormat="1" ht="13.15" customHeight="1" x14ac:dyDescent="0.25">
      <c r="A5" s="333"/>
      <c r="B5" s="333"/>
      <c r="C5" s="336"/>
      <c r="D5" s="341"/>
      <c r="E5" s="342"/>
      <c r="F5" s="344"/>
      <c r="G5" s="345"/>
      <c r="H5" s="345"/>
      <c r="I5" s="329"/>
      <c r="J5" s="274"/>
      <c r="K5" s="274"/>
      <c r="L5" s="274"/>
      <c r="M5" s="275"/>
      <c r="N5" s="275"/>
      <c r="O5" s="275"/>
      <c r="P5" s="347"/>
      <c r="Q5" s="276"/>
    </row>
    <row r="6" spans="1:17" s="277" customFormat="1" ht="15" x14ac:dyDescent="0.25">
      <c r="A6" s="334"/>
      <c r="B6" s="334"/>
      <c r="C6" s="337"/>
      <c r="D6" s="278">
        <v>2027</v>
      </c>
      <c r="E6" s="278">
        <v>2028</v>
      </c>
      <c r="F6" s="279" t="s">
        <v>3</v>
      </c>
      <c r="G6" s="278">
        <v>2027</v>
      </c>
      <c r="H6" s="278">
        <v>2028</v>
      </c>
      <c r="I6" s="329"/>
      <c r="J6" s="274"/>
      <c r="K6" s="274"/>
      <c r="L6" s="274"/>
      <c r="M6" s="275"/>
      <c r="N6" s="275"/>
      <c r="O6" s="275"/>
      <c r="P6" s="347"/>
      <c r="Q6" s="276"/>
    </row>
    <row r="7" spans="1:17" s="286" customFormat="1" ht="15" outlineLevel="1" x14ac:dyDescent="0.25">
      <c r="A7" s="280"/>
      <c r="B7" s="281"/>
      <c r="C7" s="281">
        <v>6</v>
      </c>
      <c r="D7" s="282"/>
      <c r="E7" s="282"/>
      <c r="F7" s="283">
        <v>7</v>
      </c>
      <c r="G7" s="284">
        <f>SUBTOTAL(9,G8:G16)</f>
        <v>0</v>
      </c>
      <c r="H7" s="284">
        <f>SUBTOTAL(9,H8:H16)</f>
        <v>0</v>
      </c>
      <c r="I7" s="330"/>
      <c r="J7" s="275"/>
      <c r="K7" s="275"/>
      <c r="L7" s="275"/>
      <c r="M7" s="275"/>
      <c r="N7" s="275"/>
      <c r="O7" s="275"/>
      <c r="P7" s="347"/>
      <c r="Q7" s="285"/>
    </row>
    <row r="8" spans="1:17" s="296" customFormat="1" ht="15" x14ac:dyDescent="0.25">
      <c r="A8" s="287"/>
      <c r="B8" s="288" t="s">
        <v>168</v>
      </c>
      <c r="C8" s="287"/>
      <c r="D8" s="289"/>
      <c r="E8" s="289"/>
      <c r="F8" s="289"/>
      <c r="G8" s="290">
        <f>SUBTOTAL(9,G9:G16)</f>
        <v>0</v>
      </c>
      <c r="H8" s="290">
        <f>SUBTOTAL(9,H9:H16)</f>
        <v>0</v>
      </c>
      <c r="I8" s="291"/>
      <c r="J8" s="292"/>
      <c r="K8" s="275"/>
      <c r="L8" s="275"/>
      <c r="M8" s="275"/>
      <c r="N8" s="275"/>
      <c r="O8" s="293"/>
      <c r="P8" s="294"/>
      <c r="Q8" s="295"/>
    </row>
    <row r="9" spans="1:17" s="296" customFormat="1" ht="15" x14ac:dyDescent="0.25">
      <c r="A9" s="297" t="s">
        <v>54</v>
      </c>
      <c r="B9" s="298" t="s">
        <v>169</v>
      </c>
      <c r="C9" s="299"/>
      <c r="D9" s="300"/>
      <c r="E9" s="300"/>
      <c r="F9" s="300"/>
      <c r="G9" s="301">
        <f>SUBTOTAL(9,G10:G15)</f>
        <v>0</v>
      </c>
      <c r="H9" s="301">
        <f>SUBTOTAL(9,H10:H15)</f>
        <v>0</v>
      </c>
      <c r="I9" s="301"/>
      <c r="J9" s="275"/>
      <c r="K9" s="275"/>
      <c r="L9" s="275"/>
      <c r="M9" s="275"/>
      <c r="N9" s="275"/>
      <c r="O9" s="293"/>
      <c r="P9" s="294"/>
      <c r="Q9" s="295"/>
    </row>
    <row r="10" spans="1:17" s="305" customFormat="1" ht="14.25" x14ac:dyDescent="0.25">
      <c r="A10" s="302" t="s">
        <v>11</v>
      </c>
      <c r="B10" s="303" t="s">
        <v>12</v>
      </c>
      <c r="G10" s="324" t="e">
        <f>SUBTOTAL(9,#REF!)</f>
        <v>#REF!</v>
      </c>
      <c r="H10" s="324" t="e">
        <f>SUBTOTAL(9,#REF!)</f>
        <v>#REF!</v>
      </c>
      <c r="J10" s="304" t="s">
        <v>7</v>
      </c>
    </row>
    <row r="11" spans="1:17" s="305" customFormat="1" ht="14.25" x14ac:dyDescent="0.25">
      <c r="A11" s="302" t="s">
        <v>22</v>
      </c>
      <c r="B11" s="303" t="s">
        <v>13</v>
      </c>
      <c r="J11" s="304" t="s">
        <v>14</v>
      </c>
    </row>
    <row r="12" spans="1:17" s="305" customFormat="1" ht="14.25" x14ac:dyDescent="0.25">
      <c r="A12" s="302" t="s">
        <v>23</v>
      </c>
      <c r="B12" s="303" t="s">
        <v>218</v>
      </c>
      <c r="J12" s="304" t="s">
        <v>219</v>
      </c>
    </row>
    <row r="13" spans="1:17" s="305" customFormat="1" ht="14.25" x14ac:dyDescent="0.25">
      <c r="A13" s="302" t="s">
        <v>24</v>
      </c>
      <c r="B13" s="303" t="s">
        <v>191</v>
      </c>
      <c r="J13" s="304" t="s">
        <v>21</v>
      </c>
    </row>
    <row r="14" spans="1:17" s="305" customFormat="1" ht="14.25" x14ac:dyDescent="0.25">
      <c r="A14" s="302" t="s">
        <v>26</v>
      </c>
      <c r="B14" s="303" t="s">
        <v>16</v>
      </c>
      <c r="J14" s="304" t="s">
        <v>17</v>
      </c>
    </row>
    <row r="15" spans="1:17" s="305" customFormat="1" ht="14.25" x14ac:dyDescent="0.25">
      <c r="A15" s="302" t="s">
        <v>26</v>
      </c>
      <c r="B15" s="303" t="s">
        <v>5</v>
      </c>
      <c r="J15" s="304" t="s">
        <v>220</v>
      </c>
    </row>
    <row r="16" spans="1:17" s="305" customFormat="1" ht="14.25" x14ac:dyDescent="0.25">
      <c r="A16" s="302" t="s">
        <v>216</v>
      </c>
      <c r="B16" s="303" t="s">
        <v>221</v>
      </c>
      <c r="J16" s="304" t="s">
        <v>9</v>
      </c>
    </row>
  </sheetData>
  <autoFilter ref="A7:Q16"/>
  <dataConsolidate/>
  <mergeCells count="12">
    <mergeCell ref="P1:P7"/>
    <mergeCell ref="A2:B3"/>
    <mergeCell ref="J3:L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F34"/>
  <sheetViews>
    <sheetView zoomScale="85" zoomScaleNormal="85" workbookViewId="0">
      <pane xSplit="3" ySplit="4" topLeftCell="D5" activePane="bottomRight" state="frozen"/>
      <selection pane="topRight" activeCell="D1" sqref="D1"/>
      <selection pane="bottomLeft" activeCell="A5" sqref="A5"/>
      <selection pane="bottomRight" activeCell="AC34" sqref="AC34"/>
    </sheetView>
  </sheetViews>
  <sheetFormatPr defaultColWidth="8.7109375" defaultRowHeight="12.75" outlineLevelRow="1" outlineLevelCol="2" x14ac:dyDescent="0.25"/>
  <cols>
    <col min="1" max="1" width="3.5703125" style="6" bestFit="1" customWidth="1"/>
    <col min="2" max="2" width="26.42578125" style="6" customWidth="1"/>
    <col min="3" max="3" width="9.28515625" style="8" customWidth="1" outlineLevel="1"/>
    <col min="4" max="4" width="12.140625" style="6" customWidth="1" outlineLevel="2"/>
    <col min="5" max="5" width="8" style="6" customWidth="1" outlineLevel="2"/>
    <col min="6" max="6" width="7.7109375" style="6" customWidth="1" outlineLevel="2"/>
    <col min="7" max="7" width="11.28515625" style="6" customWidth="1" outlineLevel="2"/>
    <col min="8" max="8" width="7.85546875" style="6" customWidth="1" outlineLevel="2"/>
    <col min="9" max="10" width="8.85546875" style="6" customWidth="1" outlineLevel="2"/>
    <col min="11" max="11" width="8.28515625" style="6" customWidth="1" outlineLevel="2"/>
    <col min="12" max="12" width="8.42578125" style="16" customWidth="1" outlineLevel="1"/>
    <col min="13" max="13" width="9.7109375" style="6" bestFit="1" customWidth="1" outlineLevel="1"/>
    <col min="14" max="14" width="8.5703125" style="6" customWidth="1" outlineLevel="2"/>
    <col min="15" max="15" width="8.42578125" style="6" customWidth="1" outlineLevel="2"/>
    <col min="16" max="16" width="9.7109375" style="6" customWidth="1" outlineLevel="2"/>
    <col min="17" max="17" width="8" style="6" customWidth="1" outlineLevel="2"/>
    <col min="18" max="18" width="9.28515625" style="6" customWidth="1" outlineLevel="2"/>
    <col min="19" max="19" width="8.85546875" style="6" customWidth="1" outlineLevel="2"/>
    <col min="20" max="20" width="8" style="6" customWidth="1" outlineLevel="2"/>
    <col min="21" max="21" width="7.7109375" style="6" customWidth="1" outlineLevel="2"/>
    <col min="22" max="22" width="7.140625" style="16" customWidth="1" outlineLevel="1"/>
    <col min="23" max="23" width="7.7109375" style="6" customWidth="1" outlineLevel="1"/>
    <col min="24" max="24" width="8.28515625" style="16" customWidth="1"/>
    <col min="25" max="25" width="9" style="6" bestFit="1" customWidth="1"/>
    <col min="26" max="29" width="8.7109375" style="6"/>
    <col min="30" max="30" width="8.7109375" style="8"/>
    <col min="31" max="31" width="4.140625" style="6" bestFit="1" customWidth="1"/>
    <col min="32" max="32" width="4.7109375" style="6" bestFit="1" customWidth="1"/>
    <col min="33" max="16384" width="8.7109375" style="6"/>
  </cols>
  <sheetData>
    <row r="1" spans="1:32" x14ac:dyDescent="0.25">
      <c r="D1" s="63">
        <v>1000000</v>
      </c>
      <c r="H1" s="100"/>
      <c r="W1" s="16"/>
      <c r="Y1" s="16"/>
      <c r="Z1" s="16"/>
      <c r="AA1" s="16"/>
      <c r="AB1" s="16"/>
      <c r="AC1" s="16"/>
    </row>
    <row r="2" spans="1:32" ht="13.15" customHeight="1" x14ac:dyDescent="0.25">
      <c r="A2" s="115" t="s">
        <v>50</v>
      </c>
      <c r="B2" s="13" t="s">
        <v>33</v>
      </c>
      <c r="C2" s="64" t="s">
        <v>85</v>
      </c>
      <c r="D2" s="351" t="s">
        <v>145</v>
      </c>
      <c r="E2" s="352"/>
      <c r="F2" s="352"/>
      <c r="G2" s="352"/>
      <c r="H2" s="352"/>
      <c r="I2" s="352"/>
      <c r="J2" s="352"/>
      <c r="K2" s="352"/>
      <c r="L2" s="353"/>
      <c r="M2" s="348" t="s">
        <v>146</v>
      </c>
      <c r="N2" s="349"/>
      <c r="O2" s="349"/>
      <c r="P2" s="349"/>
      <c r="Q2" s="349"/>
      <c r="R2" s="349"/>
      <c r="S2" s="349"/>
      <c r="T2" s="349"/>
      <c r="U2" s="350"/>
      <c r="V2" s="351" t="s">
        <v>147</v>
      </c>
      <c r="W2" s="352"/>
      <c r="X2" s="352"/>
      <c r="Y2" s="352"/>
      <c r="Z2" s="352"/>
      <c r="AA2" s="352"/>
      <c r="AB2" s="352"/>
      <c r="AC2" s="353"/>
    </row>
    <row r="3" spans="1:32" ht="25.5" x14ac:dyDescent="0.25">
      <c r="A3" s="115"/>
      <c r="B3" s="13" t="s">
        <v>48</v>
      </c>
      <c r="C3" s="61" t="s">
        <v>46</v>
      </c>
      <c r="D3" s="91" t="s">
        <v>7</v>
      </c>
      <c r="E3" s="91" t="s">
        <v>14</v>
      </c>
      <c r="F3" s="91" t="s">
        <v>19</v>
      </c>
      <c r="G3" s="91" t="s">
        <v>223</v>
      </c>
      <c r="H3" s="91" t="s">
        <v>17</v>
      </c>
      <c r="I3" s="91" t="s">
        <v>6</v>
      </c>
      <c r="J3" s="91" t="s">
        <v>9</v>
      </c>
      <c r="K3" s="92" t="s">
        <v>43</v>
      </c>
      <c r="L3" s="91" t="s">
        <v>44</v>
      </c>
      <c r="M3" s="93" t="s">
        <v>7</v>
      </c>
      <c r="N3" s="93" t="s">
        <v>14</v>
      </c>
      <c r="O3" s="93" t="s">
        <v>19</v>
      </c>
      <c r="P3" s="93" t="s">
        <v>223</v>
      </c>
      <c r="Q3" s="93" t="s">
        <v>17</v>
      </c>
      <c r="R3" s="93" t="s">
        <v>6</v>
      </c>
      <c r="S3" s="93" t="s">
        <v>9</v>
      </c>
      <c r="T3" s="94" t="s">
        <v>43</v>
      </c>
      <c r="U3" s="93" t="s">
        <v>44</v>
      </c>
      <c r="V3" s="91" t="s">
        <v>7</v>
      </c>
      <c r="W3" s="91" t="s">
        <v>14</v>
      </c>
      <c r="X3" s="91" t="s">
        <v>19</v>
      </c>
      <c r="Y3" s="91" t="s">
        <v>223</v>
      </c>
      <c r="Z3" s="91" t="s">
        <v>17</v>
      </c>
      <c r="AA3" s="91" t="s">
        <v>6</v>
      </c>
      <c r="AB3" s="92" t="s">
        <v>43</v>
      </c>
      <c r="AC3" s="91" t="s">
        <v>44</v>
      </c>
    </row>
    <row r="4" spans="1:32" s="51" customFormat="1" outlineLevel="1" x14ac:dyDescent="0.25">
      <c r="A4" s="135" t="s">
        <v>51</v>
      </c>
      <c r="B4" s="135" t="s">
        <v>43</v>
      </c>
      <c r="C4" s="28"/>
      <c r="D4" s="322">
        <f t="shared" ref="D4:J4" si="0">SUBTOTAL(9,D6:D33)</f>
        <v>0</v>
      </c>
      <c r="E4" s="322">
        <f t="shared" si="0"/>
        <v>0</v>
      </c>
      <c r="F4" s="306">
        <f t="shared" si="0"/>
        <v>0</v>
      </c>
      <c r="G4" s="322">
        <f>SUBTOTAL(9,G6:G34)</f>
        <v>0</v>
      </c>
      <c r="H4" s="306">
        <f t="shared" si="0"/>
        <v>0</v>
      </c>
      <c r="I4" s="322">
        <f t="shared" si="0"/>
        <v>0</v>
      </c>
      <c r="J4" s="322">
        <f t="shared" si="0"/>
        <v>0</v>
      </c>
      <c r="K4" s="322">
        <f>SUBTOTAL(9,K6:K34)</f>
        <v>0</v>
      </c>
      <c r="L4" s="160"/>
      <c r="M4" s="322">
        <f t="shared" ref="M4:T4" si="1">SUBTOTAL(9,M6:M33)</f>
        <v>0</v>
      </c>
      <c r="N4" s="322">
        <f t="shared" si="1"/>
        <v>0</v>
      </c>
      <c r="O4" s="306">
        <f t="shared" si="1"/>
        <v>0</v>
      </c>
      <c r="P4" s="322">
        <f>SUBTOTAL(9,P6:P34)</f>
        <v>0</v>
      </c>
      <c r="Q4" s="306">
        <f t="shared" si="1"/>
        <v>0</v>
      </c>
      <c r="R4" s="322">
        <f t="shared" si="1"/>
        <v>0</v>
      </c>
      <c r="S4" s="322">
        <f t="shared" si="1"/>
        <v>0</v>
      </c>
      <c r="T4" s="323">
        <f t="shared" si="1"/>
        <v>0</v>
      </c>
      <c r="U4" s="313"/>
      <c r="V4" s="134">
        <f t="shared" ref="V4:AB4" si="2">SUBTOTAL(9,V6:V33)</f>
        <v>0</v>
      </c>
      <c r="W4" s="134">
        <f t="shared" si="2"/>
        <v>0</v>
      </c>
      <c r="X4" s="134">
        <f t="shared" si="2"/>
        <v>0</v>
      </c>
      <c r="Y4" s="134">
        <f t="shared" si="2"/>
        <v>0</v>
      </c>
      <c r="Z4" s="134">
        <f t="shared" si="2"/>
        <v>0</v>
      </c>
      <c r="AA4" s="134">
        <f t="shared" si="2"/>
        <v>0</v>
      </c>
      <c r="AB4" s="134">
        <f t="shared" si="2"/>
        <v>0</v>
      </c>
      <c r="AC4" s="147" t="e">
        <f>AB4/$AB$4</f>
        <v>#DIV/0!</v>
      </c>
      <c r="AD4" s="70"/>
    </row>
    <row r="5" spans="1:32" s="73" customFormat="1" ht="13.5" outlineLevel="1" x14ac:dyDescent="0.25">
      <c r="A5" s="136"/>
      <c r="B5" s="136" t="s">
        <v>93</v>
      </c>
      <c r="C5" s="137"/>
      <c r="D5" s="319" t="e">
        <f>D4/$K$4</f>
        <v>#DIV/0!</v>
      </c>
      <c r="E5" s="319" t="e">
        <f>E4/$K$4</f>
        <v>#DIV/0!</v>
      </c>
      <c r="F5" s="319" t="e">
        <f>F4/$K$4</f>
        <v>#DIV/0!</v>
      </c>
      <c r="G5" s="319" t="e">
        <f>G4/$K$4</f>
        <v>#DIV/0!</v>
      </c>
      <c r="H5" s="319" t="e">
        <f>H4/$K$4</f>
        <v>#DIV/0!</v>
      </c>
      <c r="I5" s="319" t="e">
        <f>I4/$K$4</f>
        <v>#DIV/0!</v>
      </c>
      <c r="J5" s="319" t="e">
        <f>J4/$K$4</f>
        <v>#DIV/0!</v>
      </c>
      <c r="K5" s="319" t="e">
        <f>K4/$K$4</f>
        <v>#DIV/0!</v>
      </c>
      <c r="L5" s="161"/>
      <c r="M5" s="319" t="e">
        <f t="shared" ref="M5:R5" si="3">M4/$T$4</f>
        <v>#DIV/0!</v>
      </c>
      <c r="N5" s="319" t="e">
        <f t="shared" si="3"/>
        <v>#DIV/0!</v>
      </c>
      <c r="O5" s="319" t="e">
        <f t="shared" si="3"/>
        <v>#DIV/0!</v>
      </c>
      <c r="P5" s="319" t="e">
        <f t="shared" si="3"/>
        <v>#DIV/0!</v>
      </c>
      <c r="Q5" s="319" t="e">
        <f t="shared" si="3"/>
        <v>#DIV/0!</v>
      </c>
      <c r="R5" s="319" t="e">
        <f t="shared" si="3"/>
        <v>#DIV/0!</v>
      </c>
      <c r="S5" s="319" t="e">
        <f>S4/$K$4</f>
        <v>#DIV/0!</v>
      </c>
      <c r="T5" s="319" t="e">
        <f>T4/$T$4</f>
        <v>#DIV/0!</v>
      </c>
      <c r="U5" s="314"/>
      <c r="V5" s="138" t="e">
        <f t="shared" ref="V5:AB5" si="4">V4/$AB$4</f>
        <v>#DIV/0!</v>
      </c>
      <c r="W5" s="148" t="e">
        <f t="shared" si="4"/>
        <v>#DIV/0!</v>
      </c>
      <c r="X5" s="138" t="e">
        <f t="shared" si="4"/>
        <v>#DIV/0!</v>
      </c>
      <c r="Y5" s="148" t="e">
        <f t="shared" si="4"/>
        <v>#DIV/0!</v>
      </c>
      <c r="Z5" s="138" t="e">
        <f t="shared" si="4"/>
        <v>#DIV/0!</v>
      </c>
      <c r="AA5" s="138" t="e">
        <f t="shared" si="4"/>
        <v>#DIV/0!</v>
      </c>
      <c r="AB5" s="138" t="e">
        <f t="shared" si="4"/>
        <v>#DIV/0!</v>
      </c>
      <c r="AC5" s="138"/>
      <c r="AD5" s="72"/>
    </row>
    <row r="6" spans="1:32" ht="25.5" outlineLevel="1" x14ac:dyDescent="0.25">
      <c r="A6" s="93" t="s">
        <v>4</v>
      </c>
      <c r="B6" s="159" t="s">
        <v>110</v>
      </c>
      <c r="C6" s="143"/>
      <c r="D6" s="307">
        <f>SUBTOTAL(9,D7:D10)</f>
        <v>0</v>
      </c>
      <c r="E6" s="307">
        <f t="shared" ref="E6:K6" si="5">SUBTOTAL(9,E7:E10)</f>
        <v>0</v>
      </c>
      <c r="F6" s="307">
        <f t="shared" si="5"/>
        <v>0</v>
      </c>
      <c r="G6" s="307">
        <f t="shared" si="5"/>
        <v>0</v>
      </c>
      <c r="H6" s="307">
        <f t="shared" si="5"/>
        <v>0</v>
      </c>
      <c r="I6" s="307">
        <f t="shared" si="5"/>
        <v>0</v>
      </c>
      <c r="J6" s="307">
        <f t="shared" ref="J6" si="6">SUBTOTAL(9,J7:J10)</f>
        <v>0</v>
      </c>
      <c r="K6" s="307">
        <f t="shared" si="5"/>
        <v>0</v>
      </c>
      <c r="L6" s="162" t="e">
        <f>K6/$K$4</f>
        <v>#DIV/0!</v>
      </c>
      <c r="M6" s="307">
        <f>SUBTOTAL(9,M7:M10)</f>
        <v>0</v>
      </c>
      <c r="N6" s="307">
        <f t="shared" ref="N6:T6" si="7">SUBTOTAL(9,N7:N10)</f>
        <v>0</v>
      </c>
      <c r="O6" s="307">
        <f t="shared" si="7"/>
        <v>0</v>
      </c>
      <c r="P6" s="307">
        <f t="shared" si="7"/>
        <v>0</v>
      </c>
      <c r="Q6" s="307">
        <f t="shared" si="7"/>
        <v>0</v>
      </c>
      <c r="R6" s="307">
        <f t="shared" si="7"/>
        <v>0</v>
      </c>
      <c r="S6" s="307">
        <f t="shared" si="7"/>
        <v>0</v>
      </c>
      <c r="T6" s="307">
        <f t="shared" si="7"/>
        <v>0</v>
      </c>
      <c r="U6" s="162" t="e">
        <f>T6/$T$4</f>
        <v>#DIV/0!</v>
      </c>
      <c r="V6" s="112">
        <f t="shared" ref="V6:AA6" si="8">SUBTOTAL(9,V7:V9)</f>
        <v>0</v>
      </c>
      <c r="W6" s="112">
        <f t="shared" si="8"/>
        <v>0</v>
      </c>
      <c r="X6" s="112">
        <f t="shared" si="8"/>
        <v>0</v>
      </c>
      <c r="Y6" s="112">
        <f t="shared" si="8"/>
        <v>0</v>
      </c>
      <c r="Z6" s="112">
        <f t="shared" si="8"/>
        <v>0</v>
      </c>
      <c r="AA6" s="112">
        <f t="shared" si="8"/>
        <v>0</v>
      </c>
      <c r="AB6" s="112">
        <f>SUBTOTAL(9,AB7:AB10)</f>
        <v>0</v>
      </c>
      <c r="AC6" s="146" t="e">
        <f t="shared" ref="AC6:AC33" si="9">AB6/$AB$4</f>
        <v>#DIV/0!</v>
      </c>
      <c r="AD6" s="184"/>
    </row>
    <row r="7" spans="1:32" outlineLevel="1" x14ac:dyDescent="0.25">
      <c r="A7" s="65">
        <v>1</v>
      </c>
      <c r="B7" s="121" t="s">
        <v>56</v>
      </c>
      <c r="C7" s="65" t="s">
        <v>49</v>
      </c>
      <c r="D7" s="308">
        <f>SUMIFS('PL1.1 ML2027-2028'!$G:$G,'PL1.1 ML2027-2028'!$J:$J,'TH theo DV'!$D$3,'PL1.1 ML2027-2028'!$K:$K,'TH theo DV'!C7)/$D$1</f>
        <v>0</v>
      </c>
      <c r="E7" s="308">
        <f>SUMIFS('PL1.1 ML2027-2028'!$G:$G,'PL1.1 ML2027-2028'!$J:$J,'TH theo DV'!$E$3,'PL1.1 ML2027-2028'!$K:$K,'TH theo DV'!C7)/$D$1</f>
        <v>0</v>
      </c>
      <c r="F7" s="308">
        <f>SUMIFS('PL1.1 ML2027-2028'!$G:$G,'PL1.1 ML2027-2028'!$J:$J,'TH theo DV'!$F$3,'PL1.1 ML2027-2028'!$K:$K,'TH theo DV'!C7)/$D$1</f>
        <v>0</v>
      </c>
      <c r="G7" s="308">
        <f>SUMIFS('PL1.1 ML2027-2028'!$G:$G,'PL1.1 ML2027-2028'!$J:$J,'TH theo DV'!$G$3,'PL1.1 ML2027-2028'!$K:$K,'TH theo DV'!C7)/$D$1</f>
        <v>0</v>
      </c>
      <c r="H7" s="308">
        <f>SUMIFS('PL1.1 ML2027-2028'!$G:$G,'PL1.1 ML2027-2028'!$J:$J,'TH theo DV'!$H$3,'PL1.1 ML2027-2028'!$K:$K,'TH theo DV'!C7)/$D$1</f>
        <v>0</v>
      </c>
      <c r="I7" s="308">
        <f>SUMIFS('PL1.1 ML2027-2028'!$G:$G,'PL1.1 ML2027-2028'!$J:$J,'TH theo DV'!$I$3,'PL1.1 ML2027-2028'!$K:$K,'TH theo DV'!C7)/$D$1</f>
        <v>0</v>
      </c>
      <c r="J7" s="308">
        <f>SUMIFS('PL1.1 ML2027-2028'!$G:$G,'PL1.1 ML2027-2028'!$J:$J,'TH theo DV'!J$3,'PL1.1 ML2027-2028'!$K:$K,'TH theo DV'!$C7)/$D$1</f>
        <v>0</v>
      </c>
      <c r="K7" s="320">
        <f>SUM(D7:J7)</f>
        <v>0</v>
      </c>
      <c r="L7" s="158" t="e">
        <f>K7/$K$4</f>
        <v>#DIV/0!</v>
      </c>
      <c r="M7" s="308">
        <f>SUMIFS('PL1.1 ML2027-2028'!$H:$H,'PL1.1 ML2027-2028'!$J:$J,'TH theo DV'!M$3,'PL1.1 ML2027-2028'!$K:$K,'TH theo DV'!$C7)/$D$1</f>
        <v>0</v>
      </c>
      <c r="N7" s="308">
        <f>SUMIFS('PL1.1 ML2027-2028'!$H:$H,'PL1.1 ML2027-2028'!$J:$J,'TH theo DV'!N$3,'PL1.1 ML2027-2028'!$K:$K,'TH theo DV'!$C7)/$D$1</f>
        <v>0</v>
      </c>
      <c r="O7" s="308">
        <f>SUMIFS('PL1.1 ML2027-2028'!$H:$H,'PL1.1 ML2027-2028'!$J:$J,'TH theo DV'!O$3,'PL1.1 ML2027-2028'!$K:$K,'TH theo DV'!$C7)/$D$1</f>
        <v>0</v>
      </c>
      <c r="P7" s="308">
        <f>SUMIFS('PL1.1 ML2027-2028'!$H:$H,'PL1.1 ML2027-2028'!$J:$J,'TH theo DV'!P$3,'PL1.1 ML2027-2028'!$K:$K,'TH theo DV'!$C7)/$D$1</f>
        <v>0</v>
      </c>
      <c r="Q7" s="308">
        <f>SUMIFS('PL1.1 ML2027-2028'!$H:$H,'PL1.1 ML2027-2028'!$J:$J,'TH theo DV'!Q$3,'PL1.1 ML2027-2028'!$K:$K,'TH theo DV'!$C7)/$D$1</f>
        <v>0</v>
      </c>
      <c r="R7" s="308">
        <f>SUMIFS('PL1.1 ML2027-2028'!$H:$H,'PL1.1 ML2027-2028'!$J:$J,'TH theo DV'!R$3,'PL1.1 ML2027-2028'!$K:$K,'TH theo DV'!$C7)/$D$1</f>
        <v>0</v>
      </c>
      <c r="S7" s="308">
        <f>SUMIFS('PL1.1 ML2027-2028'!$H:$H,'PL1.1 ML2027-2028'!$J:$J,'TH theo DV'!S$3,'PL1.1 ML2027-2028'!$K:$K,'TH theo DV'!$C7)/$D$1</f>
        <v>0</v>
      </c>
      <c r="T7" s="311">
        <f t="shared" ref="T7:T10" si="10">SUM(M7:S7)</f>
        <v>0</v>
      </c>
      <c r="U7" s="315"/>
      <c r="V7" s="111">
        <f>D7+M7</f>
        <v>0</v>
      </c>
      <c r="W7" s="111">
        <f>E7+N7</f>
        <v>0</v>
      </c>
      <c r="X7" s="111">
        <f>F7+O7</f>
        <v>0</v>
      </c>
      <c r="Y7" s="111">
        <f>G7+P7</f>
        <v>0</v>
      </c>
      <c r="Z7" s="111">
        <f>H7+Q7</f>
        <v>0</v>
      </c>
      <c r="AA7" s="111">
        <f>I7+R7</f>
        <v>0</v>
      </c>
      <c r="AB7" s="103">
        <f>SUM(V7:AA7)</f>
        <v>0</v>
      </c>
      <c r="AC7" s="14" t="e">
        <f t="shared" si="9"/>
        <v>#DIV/0!</v>
      </c>
      <c r="AD7" s="183"/>
      <c r="AE7" s="150"/>
      <c r="AF7" s="66"/>
    </row>
    <row r="8" spans="1:32" outlineLevel="1" x14ac:dyDescent="0.25">
      <c r="A8" s="65">
        <v>2</v>
      </c>
      <c r="B8" s="121" t="s">
        <v>111</v>
      </c>
      <c r="C8" s="156" t="s">
        <v>111</v>
      </c>
      <c r="D8" s="308">
        <f>SUMIFS('PL1.1 ML2027-2028'!$G:$G,'PL1.1 ML2027-2028'!$J:$J,'TH theo DV'!$D$3,'PL1.1 ML2027-2028'!$K:$K,'TH theo DV'!C8)/$D$1</f>
        <v>0</v>
      </c>
      <c r="E8" s="308">
        <f>SUMIFS('PL1.1 ML2027-2028'!$G:$G,'PL1.1 ML2027-2028'!$J:$J,'TH theo DV'!$E$3,'PL1.1 ML2027-2028'!$K:$K,'TH theo DV'!C8)/$D$1</f>
        <v>0</v>
      </c>
      <c r="F8" s="308">
        <f>SUMIFS('PL1.1 ML2027-2028'!$G:$G,'PL1.1 ML2027-2028'!$J:$J,'TH theo DV'!$F$3,'PL1.1 ML2027-2028'!$K:$K,'TH theo DV'!C8)/$D$1</f>
        <v>0</v>
      </c>
      <c r="G8" s="308">
        <f>SUMIFS('PL1.1 ML2027-2028'!$G:$G,'PL1.1 ML2027-2028'!$J:$J,'TH theo DV'!$G$3,'PL1.1 ML2027-2028'!$K:$K,'TH theo DV'!C8)/$D$1 * 0.43287</f>
        <v>0</v>
      </c>
      <c r="H8" s="308">
        <f>SUMIFS('PL1.1 ML2027-2028'!$G:$G,'PL1.1 ML2027-2028'!$J:$J,'TH theo DV'!$H$3,'PL1.1 ML2027-2028'!$K:$K,'TH theo DV'!C8)/$D$1</f>
        <v>0</v>
      </c>
      <c r="I8" s="308">
        <f>SUMIFS('PL1.1 ML2027-2028'!$G:$G,'PL1.1 ML2027-2028'!$J:$J,'TH theo DV'!$I$3,'PL1.1 ML2027-2028'!$K:$K,'TH theo DV'!C8)/$D$1</f>
        <v>0</v>
      </c>
      <c r="J8" s="308">
        <f>SUMIFS('PL1.1 ML2027-2028'!$G:$G,'PL1.1 ML2027-2028'!$J:$J,'TH theo DV'!J$3,'PL1.1 ML2027-2028'!$K:$K,'TH theo DV'!$C8)/$D$1</f>
        <v>0</v>
      </c>
      <c r="K8" s="309">
        <f>SUM(D8:J8)</f>
        <v>0</v>
      </c>
      <c r="L8" s="158" t="e">
        <f t="shared" ref="L8:L25" si="11">K8/$K$4</f>
        <v>#DIV/0!</v>
      </c>
      <c r="M8" s="308">
        <f>SUMIFS('PL1.1 ML2027-2028'!$H:$H,'PL1.1 ML2027-2028'!$J:$J,'TH theo DV'!M$3,'PL1.1 ML2027-2028'!$K:$K,'TH theo DV'!$C8)/$D$1</f>
        <v>0</v>
      </c>
      <c r="N8" s="308">
        <f>SUMIFS('PL1.1 ML2027-2028'!$H:$H,'PL1.1 ML2027-2028'!$J:$J,'TH theo DV'!N$3,'PL1.1 ML2027-2028'!$K:$K,'TH theo DV'!$C8)/$D$1</f>
        <v>0</v>
      </c>
      <c r="O8" s="308">
        <f>SUMIFS('PL1.1 ML2027-2028'!$H:$H,'PL1.1 ML2027-2028'!$J:$J,'TH theo DV'!O$3,'PL1.1 ML2027-2028'!$K:$K,'TH theo DV'!$C8)/$D$1</f>
        <v>0</v>
      </c>
      <c r="P8" s="308">
        <f>SUMIFS('PL1.1 ML2027-2028'!$H:$H,'PL1.1 ML2027-2028'!$J:$J,'TH theo DV'!P$3,'PL1.1 ML2027-2028'!$K:$K,'TH theo DV'!$C8)/$D$1</f>
        <v>0</v>
      </c>
      <c r="Q8" s="308">
        <f>SUMIFS('PL1.1 ML2027-2028'!$H:$H,'PL1.1 ML2027-2028'!$J:$J,'TH theo DV'!Q$3,'PL1.1 ML2027-2028'!$K:$K,'TH theo DV'!$C8)/$D$1</f>
        <v>0</v>
      </c>
      <c r="R8" s="308">
        <f>SUMIFS('PL1.1 ML2027-2028'!$H:$H,'PL1.1 ML2027-2028'!$J:$J,'TH theo DV'!R$3,'PL1.1 ML2027-2028'!$K:$K,'TH theo DV'!$C8)/$D$1</f>
        <v>0</v>
      </c>
      <c r="S8" s="308">
        <f>SUMIFS('PL1.1 ML2027-2028'!$H:$H,'PL1.1 ML2027-2028'!$J:$J,'TH theo DV'!S$3,'PL1.1 ML2027-2028'!$K:$K,'TH theo DV'!$C8)/$D$1</f>
        <v>0</v>
      </c>
      <c r="T8" s="311">
        <f t="shared" si="10"/>
        <v>0</v>
      </c>
      <c r="U8" s="315"/>
      <c r="V8" s="111">
        <f>D8+M8</f>
        <v>0</v>
      </c>
      <c r="W8" s="111">
        <f>E8+N8</f>
        <v>0</v>
      </c>
      <c r="X8" s="111">
        <f>F8+O8</f>
        <v>0</v>
      </c>
      <c r="Y8" s="111">
        <f>G8+P8</f>
        <v>0</v>
      </c>
      <c r="Z8" s="111">
        <f>H8+Q8</f>
        <v>0</v>
      </c>
      <c r="AA8" s="111">
        <f>I8+R8</f>
        <v>0</v>
      </c>
      <c r="AB8" s="103">
        <f>SUM(V8:AA8)</f>
        <v>0</v>
      </c>
      <c r="AC8" s="14" t="e">
        <f t="shared" si="9"/>
        <v>#DIV/0!</v>
      </c>
    </row>
    <row r="9" spans="1:32" outlineLevel="1" x14ac:dyDescent="0.25">
      <c r="A9" s="65">
        <v>3</v>
      </c>
      <c r="B9" s="121" t="s">
        <v>112</v>
      </c>
      <c r="C9" s="117" t="s">
        <v>112</v>
      </c>
      <c r="D9" s="308">
        <f>SUMIFS('PL1.1 ML2027-2028'!$G:$G,'PL1.1 ML2027-2028'!$J:$J,'TH theo DV'!$D$3,'PL1.1 ML2027-2028'!$K:$K,'TH theo DV'!C9)/$D$1</f>
        <v>0</v>
      </c>
      <c r="E9" s="308">
        <f>SUMIFS('PL1.1 ML2027-2028'!$G:$G,'PL1.1 ML2027-2028'!$J:$J,'TH theo DV'!$E$3,'PL1.1 ML2027-2028'!$K:$K,'TH theo DV'!C9)/$D$1</f>
        <v>0</v>
      </c>
      <c r="F9" s="308">
        <f>SUMIFS('PL1.1 ML2027-2028'!$G:$G,'PL1.1 ML2027-2028'!$J:$J,'TH theo DV'!$F$3,'PL1.1 ML2027-2028'!$K:$K,'TH theo DV'!C9)/$D$1</f>
        <v>0</v>
      </c>
      <c r="G9" s="308">
        <f>SUMIFS('PL1.1 ML2027-2028'!$G:$G,'PL1.1 ML2027-2028'!$J:$J,'TH theo DV'!G$3,'PL1.1 ML2027-2028'!$K:$K,'TH theo DV'!$C9)/$D$1</f>
        <v>0</v>
      </c>
      <c r="H9" s="308">
        <f>SUMIFS('PL1.1 ML2027-2028'!$G:$G,'PL1.1 ML2027-2028'!$J:$J,'TH theo DV'!$H$3,'PL1.1 ML2027-2028'!$K:$K,'TH theo DV'!C9)/$D$1</f>
        <v>0</v>
      </c>
      <c r="I9" s="308">
        <f>SUMIFS('PL1.1 ML2027-2028'!$G:$G,'PL1.1 ML2027-2028'!$J:$J,'TH theo DV'!$I$3,'PL1.1 ML2027-2028'!$K:$K,'TH theo DV'!C9)/$D$1</f>
        <v>0</v>
      </c>
      <c r="J9" s="308">
        <f>SUMIFS('PL1.1 ML2027-2028'!$G:$G,'PL1.1 ML2027-2028'!$J:$J,'TH theo DV'!J$3,'PL1.1 ML2027-2028'!$K:$K,'TH theo DV'!$C9)/$D$1</f>
        <v>0</v>
      </c>
      <c r="K9" s="309">
        <f>SUM(D9:J9)</f>
        <v>0</v>
      </c>
      <c r="L9" s="158" t="e">
        <f t="shared" si="11"/>
        <v>#DIV/0!</v>
      </c>
      <c r="M9" s="308">
        <f>SUMIFS('PL1.1 ML2027-2028'!$H:$H,'PL1.1 ML2027-2028'!$J:$J,'TH theo DV'!M$3,'PL1.1 ML2027-2028'!$K:$K,'TH theo DV'!$C9)/$D$1</f>
        <v>0</v>
      </c>
      <c r="N9" s="308">
        <f>SUMIFS('PL1.1 ML2027-2028'!$H:$H,'PL1.1 ML2027-2028'!$J:$J,'TH theo DV'!N$3,'PL1.1 ML2027-2028'!$K:$K,'TH theo DV'!$C9)/$D$1</f>
        <v>0</v>
      </c>
      <c r="O9" s="308">
        <f>SUMIFS('PL1.1 ML2027-2028'!$H:$H,'PL1.1 ML2027-2028'!$J:$J,'TH theo DV'!O$3,'PL1.1 ML2027-2028'!$K:$K,'TH theo DV'!$C9)/$D$1</f>
        <v>0</v>
      </c>
      <c r="P9" s="308">
        <f>SUMIFS('PL1.1 ML2027-2028'!$H:$H,'PL1.1 ML2027-2028'!$J:$J,'TH theo DV'!P$3,'PL1.1 ML2027-2028'!$K:$K,'TH theo DV'!$C9)/$D$1</f>
        <v>0</v>
      </c>
      <c r="Q9" s="308">
        <f>SUMIFS('PL1.1 ML2027-2028'!$H:$H,'PL1.1 ML2027-2028'!$J:$J,'TH theo DV'!Q$3,'PL1.1 ML2027-2028'!$K:$K,'TH theo DV'!$C9)/$D$1</f>
        <v>0</v>
      </c>
      <c r="R9" s="308">
        <f>SUMIFS('PL1.1 ML2027-2028'!$H:$H,'PL1.1 ML2027-2028'!$J:$J,'TH theo DV'!R$3,'PL1.1 ML2027-2028'!$K:$K,'TH theo DV'!$C9)/$D$1</f>
        <v>0</v>
      </c>
      <c r="S9" s="308">
        <f>SUMIFS('PL1.1 ML2027-2028'!$H:$H,'PL1.1 ML2027-2028'!$J:$J,'TH theo DV'!S$3,'PL1.1 ML2027-2028'!$K:$K,'TH theo DV'!$C9)/$D$1</f>
        <v>0</v>
      </c>
      <c r="T9" s="311">
        <f t="shared" si="10"/>
        <v>0</v>
      </c>
      <c r="U9" s="315"/>
      <c r="V9" s="111">
        <f>D9+M9</f>
        <v>0</v>
      </c>
      <c r="W9" s="111">
        <f>E9+N9</f>
        <v>0</v>
      </c>
      <c r="X9" s="111">
        <f>F9+O9</f>
        <v>0</v>
      </c>
      <c r="Y9" s="111">
        <f>G9+P9</f>
        <v>0</v>
      </c>
      <c r="Z9" s="111">
        <f>H9+Q9</f>
        <v>0</v>
      </c>
      <c r="AA9" s="111">
        <f>I9+R9</f>
        <v>0</v>
      </c>
      <c r="AB9" s="103">
        <f>SUM(V9:AA9)</f>
        <v>0</v>
      </c>
      <c r="AC9" s="113" t="e">
        <f t="shared" si="9"/>
        <v>#DIV/0!</v>
      </c>
    </row>
    <row r="10" spans="1:32" outlineLevel="1" x14ac:dyDescent="0.25">
      <c r="A10" s="65">
        <v>4</v>
      </c>
      <c r="B10" s="121" t="s">
        <v>108</v>
      </c>
      <c r="C10" s="117" t="s">
        <v>113</v>
      </c>
      <c r="D10" s="308">
        <f>SUMIFS('PL1.1 ML2027-2028'!$G:$G,'PL1.1 ML2027-2028'!$J:$J,'TH theo DV'!$D$3,'PL1.1 ML2027-2028'!$K:$K,'TH theo DV'!C10)/$D$1</f>
        <v>0</v>
      </c>
      <c r="E10" s="308">
        <f>SUMIFS('PL1.1 ML2027-2028'!$G:$G,'PL1.1 ML2027-2028'!$J:$J,'TH theo DV'!$E$3,'PL1.1 ML2027-2028'!$K:$K,'TH theo DV'!C10)/$D$1</f>
        <v>0</v>
      </c>
      <c r="F10" s="308">
        <f>SUMIFS('PL1.1 ML2027-2028'!$G:$G,'PL1.1 ML2027-2028'!$J:$J,'TH theo DV'!$F$3,'PL1.1 ML2027-2028'!$K:$K,'TH theo DV'!C10)/$D$1</f>
        <v>0</v>
      </c>
      <c r="G10" s="308">
        <f>SUMIFS('PL1.1 ML2027-2028'!$G:$G,'PL1.1 ML2027-2028'!$J:$J,'TH theo DV'!$G$3,'PL1.1 ML2027-2028'!$K:$K,'TH theo DV'!C10)/$D$1</f>
        <v>0</v>
      </c>
      <c r="H10" s="308">
        <f>SUMIFS('PL1.1 ML2027-2028'!$G:$G,'PL1.1 ML2027-2028'!$J:$J,'TH theo DV'!$H$3,'PL1.1 ML2027-2028'!$K:$K,'TH theo DV'!C10)/$D$1</f>
        <v>0</v>
      </c>
      <c r="I10" s="308">
        <f>SUMIFS('PL1.1 ML2027-2028'!$G:$G,'PL1.1 ML2027-2028'!$J:$J,'TH theo DV'!$I$3,'PL1.1 ML2027-2028'!$K:$K,'TH theo DV'!C10)/$D$1</f>
        <v>0</v>
      </c>
      <c r="J10" s="308">
        <f>SUMIFS('PL1.1 ML2027-2028'!$G:$G,'PL1.1 ML2027-2028'!$J:$J,'TH theo DV'!J$3,'PL1.1 ML2027-2028'!$K:$K,'TH theo DV'!$C10)/$D$1</f>
        <v>0</v>
      </c>
      <c r="K10" s="309">
        <f>SUM(D10:J10)</f>
        <v>0</v>
      </c>
      <c r="L10" s="158" t="e">
        <f t="shared" si="11"/>
        <v>#DIV/0!</v>
      </c>
      <c r="M10" s="308">
        <f>SUMIFS('PL1.1 ML2027-2028'!$H:$H,'PL1.1 ML2027-2028'!$J:$J,'TH theo DV'!M$3,'PL1.1 ML2027-2028'!$K:$K,'TH theo DV'!$C10)/$D$1</f>
        <v>0</v>
      </c>
      <c r="N10" s="308">
        <f>SUMIFS('PL1.1 ML2027-2028'!$H:$H,'PL1.1 ML2027-2028'!$J:$J,'TH theo DV'!N$3,'PL1.1 ML2027-2028'!$K:$K,'TH theo DV'!$C10)/$D$1</f>
        <v>0</v>
      </c>
      <c r="O10" s="308">
        <f>SUMIFS('PL1.1 ML2027-2028'!$H:$H,'PL1.1 ML2027-2028'!$J:$J,'TH theo DV'!O$3,'PL1.1 ML2027-2028'!$K:$K,'TH theo DV'!$C10)/$D$1</f>
        <v>0</v>
      </c>
      <c r="P10" s="308">
        <f>SUMIFS('PL1.1 ML2027-2028'!$H:$H,'PL1.1 ML2027-2028'!$J:$J,'TH theo DV'!P$3,'PL1.1 ML2027-2028'!$K:$K,'TH theo DV'!$C10)/$D$1</f>
        <v>0</v>
      </c>
      <c r="Q10" s="308">
        <f>SUMIFS('PL1.1 ML2027-2028'!$H:$H,'PL1.1 ML2027-2028'!$J:$J,'TH theo DV'!Q$3,'PL1.1 ML2027-2028'!$K:$K,'TH theo DV'!$C10)/$D$1</f>
        <v>0</v>
      </c>
      <c r="R10" s="308">
        <f>SUMIFS('PL1.1 ML2027-2028'!$H:$H,'PL1.1 ML2027-2028'!$J:$J,'TH theo DV'!R$3,'PL1.1 ML2027-2028'!$K:$K,'TH theo DV'!$C10)/$D$1</f>
        <v>0</v>
      </c>
      <c r="S10" s="308">
        <f>SUMIFS('PL1.1 ML2027-2028'!$H:$H,'PL1.1 ML2027-2028'!$J:$J,'TH theo DV'!S$3,'PL1.1 ML2027-2028'!$K:$K,'TH theo DV'!$C10)/$D$1</f>
        <v>0</v>
      </c>
      <c r="T10" s="311">
        <f t="shared" si="10"/>
        <v>0</v>
      </c>
      <c r="U10" s="315"/>
      <c r="V10" s="111">
        <f>D10+M10</f>
        <v>0</v>
      </c>
      <c r="W10" s="111">
        <f>E10+N10</f>
        <v>0</v>
      </c>
      <c r="X10" s="111">
        <f>F10+O10</f>
        <v>0</v>
      </c>
      <c r="Y10" s="111">
        <f>G10+P10</f>
        <v>0</v>
      </c>
      <c r="Z10" s="111">
        <f>H10+Q10</f>
        <v>0</v>
      </c>
      <c r="AA10" s="111">
        <f>I10+R10</f>
        <v>0</v>
      </c>
      <c r="AB10" s="103">
        <f>SUM(V10:AA10)</f>
        <v>0</v>
      </c>
      <c r="AC10" s="14" t="e">
        <f t="shared" si="9"/>
        <v>#DIV/0!</v>
      </c>
    </row>
    <row r="11" spans="1:32" ht="25.5" outlineLevel="1" x14ac:dyDescent="0.25">
      <c r="A11" s="93" t="s">
        <v>10</v>
      </c>
      <c r="B11" s="159" t="s">
        <v>114</v>
      </c>
      <c r="C11" s="144"/>
      <c r="D11" s="310">
        <f>SUBTOTAL(9,D12:D25)</f>
        <v>0</v>
      </c>
      <c r="E11" s="310">
        <f t="shared" ref="E11:F11" si="12">SUBTOTAL(9,E12:E25)</f>
        <v>0</v>
      </c>
      <c r="F11" s="310">
        <f t="shared" si="12"/>
        <v>0</v>
      </c>
      <c r="G11" s="310">
        <f>SUBTOTAL(9,G12:G25)</f>
        <v>0</v>
      </c>
      <c r="H11" s="310">
        <f>SUBTOTAL(9,H12:H25)</f>
        <v>0</v>
      </c>
      <c r="I11" s="310">
        <f>SUBTOTAL(9,I12:I25)</f>
        <v>0</v>
      </c>
      <c r="J11" s="310">
        <f>SUBTOTAL(9,J12:J25)</f>
        <v>0</v>
      </c>
      <c r="K11" s="310">
        <f>SUBTOTAL(9,K12:K28)</f>
        <v>0</v>
      </c>
      <c r="L11" s="162" t="e">
        <f>K11/$K$4</f>
        <v>#DIV/0!</v>
      </c>
      <c r="M11" s="310">
        <f>SUBTOTAL(9,M12:M25)</f>
        <v>0</v>
      </c>
      <c r="N11" s="310">
        <f t="shared" ref="N11:O11" si="13">SUBTOTAL(9,N12:N25)</f>
        <v>0</v>
      </c>
      <c r="O11" s="310">
        <f t="shared" si="13"/>
        <v>0</v>
      </c>
      <c r="P11" s="310">
        <f>SUBTOTAL(9,P12:P25)</f>
        <v>0</v>
      </c>
      <c r="Q11" s="310">
        <f>SUBTOTAL(9,Q12:Q25)</f>
        <v>0</v>
      </c>
      <c r="R11" s="310">
        <f>SUBTOTAL(9,R12:R25)</f>
        <v>0</v>
      </c>
      <c r="S11" s="310">
        <f>SUBTOTAL(9,S12:S25)</f>
        <v>0</v>
      </c>
      <c r="T11" s="310">
        <f>SUBTOTAL(9,T12:T28)</f>
        <v>0</v>
      </c>
      <c r="U11" s="162" t="e">
        <f>T11/$T$4</f>
        <v>#DIV/0!</v>
      </c>
      <c r="V11" s="145">
        <f t="shared" ref="V11:AA11" si="14">SUBTOTAL(9,V12:V32)</f>
        <v>0</v>
      </c>
      <c r="W11" s="145">
        <f t="shared" si="14"/>
        <v>0</v>
      </c>
      <c r="X11" s="145">
        <f t="shared" si="14"/>
        <v>0</v>
      </c>
      <c r="Y11" s="145">
        <f t="shared" si="14"/>
        <v>0</v>
      </c>
      <c r="Z11" s="145">
        <f t="shared" si="14"/>
        <v>0</v>
      </c>
      <c r="AA11" s="145">
        <f t="shared" si="14"/>
        <v>0</v>
      </c>
      <c r="AB11" s="145">
        <f>SUBTOTAL(9,AB12:AB25)</f>
        <v>0</v>
      </c>
      <c r="AC11" s="146" t="e">
        <f t="shared" si="9"/>
        <v>#DIV/0!</v>
      </c>
    </row>
    <row r="12" spans="1:32" s="69" customFormat="1" outlineLevel="1" x14ac:dyDescent="0.25">
      <c r="A12" s="135">
        <v>1</v>
      </c>
      <c r="B12" s="139" t="s">
        <v>177</v>
      </c>
      <c r="C12" s="135"/>
      <c r="D12" s="311">
        <f>SUBTOTAL(9,D13:D14)</f>
        <v>0</v>
      </c>
      <c r="E12" s="311">
        <f>SUBTOTAL(9,E13:E14)</f>
        <v>0</v>
      </c>
      <c r="F12" s="311">
        <f t="shared" ref="F12:I12" si="15">SUBTOTAL(9,F13:F14)</f>
        <v>0</v>
      </c>
      <c r="G12" s="311">
        <f t="shared" si="15"/>
        <v>0</v>
      </c>
      <c r="H12" s="311">
        <f t="shared" si="15"/>
        <v>0</v>
      </c>
      <c r="I12" s="311">
        <f t="shared" si="15"/>
        <v>0</v>
      </c>
      <c r="J12" s="311">
        <f t="shared" ref="J12" si="16">SUBTOTAL(9,J13:J14)</f>
        <v>0</v>
      </c>
      <c r="K12" s="311">
        <f>SUBTOTAL(9,K13:K14)</f>
        <v>0</v>
      </c>
      <c r="L12" s="158" t="e">
        <f t="shared" si="11"/>
        <v>#DIV/0!</v>
      </c>
      <c r="M12" s="306">
        <f>SUBTOTAL(9,M13:M14)</f>
        <v>0</v>
      </c>
      <c r="N12" s="306">
        <f t="shared" ref="N12:S12" si="17">SUBTOTAL(9,N13:N14)</f>
        <v>0</v>
      </c>
      <c r="O12" s="306">
        <f t="shared" si="17"/>
        <v>0</v>
      </c>
      <c r="P12" s="306">
        <f t="shared" si="17"/>
        <v>0</v>
      </c>
      <c r="Q12" s="306">
        <f t="shared" si="17"/>
        <v>0</v>
      </c>
      <c r="R12" s="306">
        <f t="shared" si="17"/>
        <v>0</v>
      </c>
      <c r="S12" s="311">
        <f t="shared" si="17"/>
        <v>0</v>
      </c>
      <c r="T12" s="306">
        <f>SUBTOTAL(9,T13:T14)</f>
        <v>0</v>
      </c>
      <c r="U12" s="316" t="e">
        <f>T12/$T$4</f>
        <v>#DIV/0!</v>
      </c>
      <c r="V12" s="140">
        <f t="shared" ref="V12:AB12" si="18">SUBTOTAL(9,V13:V14)</f>
        <v>0</v>
      </c>
      <c r="W12" s="140">
        <f t="shared" si="18"/>
        <v>0</v>
      </c>
      <c r="X12" s="140">
        <f t="shared" si="18"/>
        <v>0</v>
      </c>
      <c r="Y12" s="140">
        <f t="shared" si="18"/>
        <v>0</v>
      </c>
      <c r="Z12" s="140">
        <f t="shared" si="18"/>
        <v>0</v>
      </c>
      <c r="AA12" s="140">
        <f t="shared" si="18"/>
        <v>0</v>
      </c>
      <c r="AB12" s="140">
        <f t="shared" si="18"/>
        <v>0</v>
      </c>
      <c r="AC12" s="157" t="e">
        <f t="shared" si="9"/>
        <v>#DIV/0!</v>
      </c>
      <c r="AD12" s="54"/>
    </row>
    <row r="13" spans="1:32" s="51" customFormat="1" outlineLevel="1" x14ac:dyDescent="0.25">
      <c r="A13" s="28" t="s">
        <v>8</v>
      </c>
      <c r="B13" s="133" t="s">
        <v>178</v>
      </c>
      <c r="C13" s="28" t="s">
        <v>70</v>
      </c>
      <c r="D13" s="312">
        <f>SUMIFS('PL1.1 ML2027-2028'!$G:$G,'PL1.1 ML2027-2028'!$J:$J,'TH theo DV'!$D$3,'PL1.1 ML2027-2028'!$K:$K,'TH theo DV'!C13)/$D$1</f>
        <v>0</v>
      </c>
      <c r="E13" s="312">
        <f>SUMIFS('PL1.1 ML2027-2028'!$G:$G,'PL1.1 ML2027-2028'!$J:$J,'TH theo DV'!$E$3,'PL1.1 ML2027-2028'!$K:$K,'TH theo DV'!C13)/$D$1</f>
        <v>0</v>
      </c>
      <c r="F13" s="312">
        <f>SUMIFS('PL1.1 ML2027-2028'!$G:$G,'PL1.1 ML2027-2028'!$J:$J,'TH theo DV'!$F$3,'PL1.1 ML2027-2028'!$K:$K,'TH theo DV'!C13)/$D$1</f>
        <v>0</v>
      </c>
      <c r="G13" s="312">
        <f>SUMIFS('PL1.1 ML2027-2028'!$G:$G,'PL1.1 ML2027-2028'!$J:$J,'TH theo DV'!$G$3,'PL1.1 ML2027-2028'!$K:$K,'TH theo DV'!C13)/$D$1</f>
        <v>0</v>
      </c>
      <c r="H13" s="312">
        <f>SUMIFS('PL1.1 ML2027-2028'!$G:$G,'PL1.1 ML2027-2028'!$J:$J,'TH theo DV'!H$3,'PL1.1 ML2027-2028'!$K:$K,'TH theo DV'!$C13)/$D$1</f>
        <v>0</v>
      </c>
      <c r="I13" s="311">
        <f>SUMIFS('PL1.1 ML2027-2028'!$G:$G,'PL1.1 ML2027-2028'!$J:$J,'TH theo DV'!$I$3,'PL1.1 ML2027-2028'!$K:$K,'TH theo DV'!C13)/$D$1</f>
        <v>0</v>
      </c>
      <c r="J13" s="308">
        <f>SUMIFS('PL1.1 ML2027-2028'!$G:$G,'PL1.1 ML2027-2028'!$J:$J,'TH theo DV'!J$3,'PL1.1 ML2027-2028'!$K:$K,'TH theo DV'!$C13)/$D$1</f>
        <v>0</v>
      </c>
      <c r="K13" s="309">
        <f>SUM(D13:J13)</f>
        <v>0</v>
      </c>
      <c r="L13" s="158" t="e">
        <f t="shared" si="11"/>
        <v>#DIV/0!</v>
      </c>
      <c r="M13" s="308">
        <f>SUMIFS('PL1.1 ML2027-2028'!$H:$H,'PL1.1 ML2027-2028'!$J:$J,'TH theo DV'!M$3,'PL1.1 ML2027-2028'!$K:$K,'TH theo DV'!$C13)/$D$1</f>
        <v>0</v>
      </c>
      <c r="N13" s="308">
        <f>SUMIFS('PL1.1 ML2027-2028'!$H:$H,'PL1.1 ML2027-2028'!$J:$J,'TH theo DV'!N$3,'PL1.1 ML2027-2028'!$K:$K,'TH theo DV'!$C13)/$D$1</f>
        <v>0</v>
      </c>
      <c r="O13" s="308">
        <f>SUMIFS('PL1.1 ML2027-2028'!$H:$H,'PL1.1 ML2027-2028'!$J:$J,'TH theo DV'!O$3,'PL1.1 ML2027-2028'!$K:$K,'TH theo DV'!$C13)/$D$1</f>
        <v>0</v>
      </c>
      <c r="P13" s="308">
        <f>SUMIFS('PL1.1 ML2027-2028'!$H:$H,'PL1.1 ML2027-2028'!$J:$J,'TH theo DV'!P$3,'PL1.1 ML2027-2028'!$K:$K,'TH theo DV'!$C13)/$D$1</f>
        <v>0</v>
      </c>
      <c r="Q13" s="308">
        <f>SUMIFS('PL1.1 ML2027-2028'!$H:$H,'PL1.1 ML2027-2028'!$J:$J,'TH theo DV'!Q$3,'PL1.1 ML2027-2028'!$K:$K,'TH theo DV'!$C13)/$D$1</f>
        <v>0</v>
      </c>
      <c r="R13" s="308">
        <f>SUMIFS('PL1.1 ML2027-2028'!$H:$H,'PL1.1 ML2027-2028'!$J:$J,'TH theo DV'!R$3,'PL1.1 ML2027-2028'!$K:$K,'TH theo DV'!$C13)/$D$1</f>
        <v>0</v>
      </c>
      <c r="S13" s="308">
        <f>SUMIFS('PL1.1 ML2027-2028'!$H:$H,'PL1.1 ML2027-2028'!$J:$J,'TH theo DV'!S$3,'PL1.1 ML2027-2028'!$K:$K,'TH theo DV'!$C13)/$D$1</f>
        <v>0</v>
      </c>
      <c r="T13" s="311">
        <f>SUM(M13:S13)</f>
        <v>0</v>
      </c>
      <c r="U13" s="317"/>
      <c r="V13" s="141">
        <f>D13+M13</f>
        <v>0</v>
      </c>
      <c r="W13" s="141">
        <f>E13+N13</f>
        <v>0</v>
      </c>
      <c r="X13" s="141">
        <f>F13+O13</f>
        <v>0</v>
      </c>
      <c r="Y13" s="141">
        <f>G13+P13</f>
        <v>0</v>
      </c>
      <c r="Z13" s="141">
        <f>H13+Q13</f>
        <v>0</v>
      </c>
      <c r="AA13" s="141">
        <f>I13+R13</f>
        <v>0</v>
      </c>
      <c r="AB13" s="140">
        <f>SUM(V13:AA13)</f>
        <v>0</v>
      </c>
      <c r="AC13" s="157" t="e">
        <f t="shared" si="9"/>
        <v>#DIV/0!</v>
      </c>
      <c r="AD13" s="183"/>
    </row>
    <row r="14" spans="1:32" s="51" customFormat="1" outlineLevel="1" x14ac:dyDescent="0.25">
      <c r="A14" s="28" t="s">
        <v>8</v>
      </c>
      <c r="B14" s="133" t="s">
        <v>179</v>
      </c>
      <c r="C14" s="28" t="s">
        <v>71</v>
      </c>
      <c r="D14" s="312">
        <f>SUMIFS('PL1.1 ML2027-2028'!$G:$G,'PL1.1 ML2027-2028'!$J:$J,'TH theo DV'!$D$3,'PL1.1 ML2027-2028'!$K:$K,'TH theo DV'!C14)/$D$1</f>
        <v>0</v>
      </c>
      <c r="E14" s="312">
        <f>SUMIFS('PL1.1 ML2027-2028'!$G:$G,'PL1.1 ML2027-2028'!$J:$J,'TH theo DV'!$E$3,'PL1.1 ML2027-2028'!$K:$K,'TH theo DV'!C14)/$D$1</f>
        <v>0</v>
      </c>
      <c r="F14" s="312">
        <f>SUMIFS('PL1.1 ML2027-2028'!$G:$G,'PL1.1 ML2027-2028'!$J:$J,'TH theo DV'!$F$3,'PL1.1 ML2027-2028'!$K:$K,'TH theo DV'!C14)/$D$1</f>
        <v>0</v>
      </c>
      <c r="G14" s="312">
        <f>SUMIFS('PL1.1 ML2027-2028'!$G:$G,'PL1.1 ML2027-2028'!$J:$J,'TH theo DV'!$G$3,'PL1.1 ML2027-2028'!$K:$K,'TH theo DV'!C14)/$D$1</f>
        <v>0</v>
      </c>
      <c r="H14" s="312">
        <f>SUMIFS('PL1.1 ML2027-2028'!$G:$G,'PL1.1 ML2027-2028'!$J:$J,'TH theo DV'!H$3,'PL1.1 ML2027-2028'!$K:$K,'TH theo DV'!$C14)/$D$1</f>
        <v>0</v>
      </c>
      <c r="I14" s="311">
        <f>SUMIFS('PL1.1 ML2027-2028'!$G:$G,'PL1.1 ML2027-2028'!$J:$J,'TH theo DV'!$I$3,'PL1.1 ML2027-2028'!$K:$K,'TH theo DV'!C14)/$D$1</f>
        <v>0</v>
      </c>
      <c r="J14" s="308">
        <f>SUMIFS('PL1.1 ML2027-2028'!$G:$G,'PL1.1 ML2027-2028'!$J:$J,'TH theo DV'!J$3,'PL1.1 ML2027-2028'!$K:$K,'TH theo DV'!$C14)/$D$1</f>
        <v>0</v>
      </c>
      <c r="K14" s="309">
        <f>SUM(D14:J14)</f>
        <v>0</v>
      </c>
      <c r="L14" s="158" t="e">
        <f t="shared" si="11"/>
        <v>#DIV/0!</v>
      </c>
      <c r="M14" s="308">
        <f>SUMIFS('PL1.1 ML2027-2028'!$H:$H,'PL1.1 ML2027-2028'!$J:$J,'TH theo DV'!M$3,'PL1.1 ML2027-2028'!$K:$K,'TH theo DV'!$C14)/$D$1</f>
        <v>0</v>
      </c>
      <c r="N14" s="308">
        <f>SUMIFS('PL1.1 ML2027-2028'!$H:$H,'PL1.1 ML2027-2028'!$J:$J,'TH theo DV'!N$3,'PL1.1 ML2027-2028'!$K:$K,'TH theo DV'!$C14)/$D$1</f>
        <v>0</v>
      </c>
      <c r="O14" s="308">
        <f>SUMIFS('PL1.1 ML2027-2028'!$H:$H,'PL1.1 ML2027-2028'!$J:$J,'TH theo DV'!O$3,'PL1.1 ML2027-2028'!$K:$K,'TH theo DV'!$C14)/$D$1</f>
        <v>0</v>
      </c>
      <c r="P14" s="308">
        <f>SUMIFS('PL1.1 ML2027-2028'!$H:$H,'PL1.1 ML2027-2028'!$J:$J,'TH theo DV'!P$3,'PL1.1 ML2027-2028'!$K:$K,'TH theo DV'!$C14)/$D$1</f>
        <v>0</v>
      </c>
      <c r="Q14" s="308">
        <f>SUMIFS('PL1.1 ML2027-2028'!$H:$H,'PL1.1 ML2027-2028'!$J:$J,'TH theo DV'!Q$3,'PL1.1 ML2027-2028'!$K:$K,'TH theo DV'!$C14)/$D$1</f>
        <v>0</v>
      </c>
      <c r="R14" s="308">
        <f>SUMIFS('PL1.1 ML2027-2028'!$H:$H,'PL1.1 ML2027-2028'!$J:$J,'TH theo DV'!R$3,'PL1.1 ML2027-2028'!$K:$K,'TH theo DV'!$C14)/$D$1</f>
        <v>0</v>
      </c>
      <c r="S14" s="308">
        <f>SUMIFS('PL1.1 ML2027-2028'!$H:$H,'PL1.1 ML2027-2028'!$J:$J,'TH theo DV'!S$3,'PL1.1 ML2027-2028'!$K:$K,'TH theo DV'!$C14)/$D$1</f>
        <v>0</v>
      </c>
      <c r="T14" s="311">
        <f>SUM(M14:S14)</f>
        <v>0</v>
      </c>
      <c r="U14" s="317"/>
      <c r="V14" s="141">
        <f>D14+M14</f>
        <v>0</v>
      </c>
      <c r="W14" s="141">
        <f>E14+N14</f>
        <v>0</v>
      </c>
      <c r="X14" s="141">
        <f>F14+O14</f>
        <v>0</v>
      </c>
      <c r="Y14" s="141">
        <f>G14+P14</f>
        <v>0</v>
      </c>
      <c r="Z14" s="141">
        <f>H14+Q14</f>
        <v>0</v>
      </c>
      <c r="AA14" s="141">
        <f>I14+R14</f>
        <v>0</v>
      </c>
      <c r="AB14" s="140">
        <f>SUM(V14:AA14)</f>
        <v>0</v>
      </c>
      <c r="AC14" s="157" t="e">
        <f t="shared" si="9"/>
        <v>#DIV/0!</v>
      </c>
      <c r="AD14" s="70"/>
    </row>
    <row r="15" spans="1:32" s="51" customFormat="1" outlineLevel="1" x14ac:dyDescent="0.25">
      <c r="A15" s="135">
        <v>2</v>
      </c>
      <c r="B15" s="139" t="s">
        <v>106</v>
      </c>
      <c r="C15" s="28"/>
      <c r="D15" s="311">
        <f t="shared" ref="D15:G15" si="19">SUBTOTAL(9,D16:D19)</f>
        <v>0</v>
      </c>
      <c r="E15" s="311">
        <f t="shared" si="19"/>
        <v>0</v>
      </c>
      <c r="F15" s="311">
        <f>SUBTOTAL(9,F16:F19)</f>
        <v>0</v>
      </c>
      <c r="G15" s="311">
        <f t="shared" si="19"/>
        <v>0</v>
      </c>
      <c r="H15" s="311">
        <f>SUBTOTAL(9,H16:H19)</f>
        <v>0</v>
      </c>
      <c r="I15" s="311">
        <f t="shared" ref="I15:J15" si="20">SUBTOTAL(9,I16:I19)</f>
        <v>0</v>
      </c>
      <c r="J15" s="311">
        <f t="shared" si="20"/>
        <v>0</v>
      </c>
      <c r="K15" s="311">
        <f>SUBTOTAL(9,K16:K19)</f>
        <v>0</v>
      </c>
      <c r="L15" s="158" t="e">
        <f t="shared" si="11"/>
        <v>#DIV/0!</v>
      </c>
      <c r="M15" s="306">
        <f>SUBTOTAL(9,M16:M19)</f>
        <v>0</v>
      </c>
      <c r="N15" s="306">
        <f t="shared" ref="N15:T15" si="21">SUBTOTAL(9,N16:N19)</f>
        <v>0</v>
      </c>
      <c r="O15" s="306">
        <f t="shared" si="21"/>
        <v>0</v>
      </c>
      <c r="P15" s="306">
        <f t="shared" si="21"/>
        <v>0</v>
      </c>
      <c r="Q15" s="306">
        <f t="shared" si="21"/>
        <v>0</v>
      </c>
      <c r="R15" s="306">
        <f t="shared" si="21"/>
        <v>0</v>
      </c>
      <c r="S15" s="311">
        <f t="shared" si="21"/>
        <v>0</v>
      </c>
      <c r="T15" s="306">
        <f t="shared" si="21"/>
        <v>0</v>
      </c>
      <c r="U15" s="316" t="e">
        <f>T15/$T$4</f>
        <v>#DIV/0!</v>
      </c>
      <c r="V15" s="140">
        <f t="shared" ref="V15:AB15" si="22">SUBTOTAL(9,V16:V19)</f>
        <v>0</v>
      </c>
      <c r="W15" s="140">
        <f t="shared" si="22"/>
        <v>0</v>
      </c>
      <c r="X15" s="140">
        <f t="shared" si="22"/>
        <v>0</v>
      </c>
      <c r="Y15" s="140">
        <f t="shared" si="22"/>
        <v>0</v>
      </c>
      <c r="Z15" s="140">
        <f t="shared" si="22"/>
        <v>0</v>
      </c>
      <c r="AA15" s="140">
        <f t="shared" si="22"/>
        <v>0</v>
      </c>
      <c r="AB15" s="140">
        <f t="shared" si="22"/>
        <v>0</v>
      </c>
      <c r="AC15" s="157" t="e">
        <f t="shared" si="9"/>
        <v>#DIV/0!</v>
      </c>
      <c r="AD15" s="70"/>
    </row>
    <row r="16" spans="1:32" s="51" customFormat="1" ht="14.65" customHeight="1" outlineLevel="1" x14ac:dyDescent="0.25">
      <c r="A16" s="28" t="s">
        <v>8</v>
      </c>
      <c r="B16" s="133" t="s">
        <v>64</v>
      </c>
      <c r="C16" s="67" t="s">
        <v>72</v>
      </c>
      <c r="D16" s="312">
        <f>SUMIFS('PL1.1 ML2027-2028'!$G:$G,'PL1.1 ML2027-2028'!$J:$J,'TH theo DV'!$D$3,'PL1.1 ML2027-2028'!$K:$K,'TH theo DV'!C16)/$D$1</f>
        <v>0</v>
      </c>
      <c r="E16" s="312">
        <f>SUMIFS('PL1.1 ML2027-2028'!$G:$G,'PL1.1 ML2027-2028'!$J:$J,'TH theo DV'!$E$3,'PL1.1 ML2027-2028'!$K:$K,'TH theo DV'!C16)/$D$1</f>
        <v>0</v>
      </c>
      <c r="F16" s="312">
        <f>SUMIFS('PL1.1 ML2027-2028'!$G:$G,'PL1.1 ML2027-2028'!$J:$J,'TH theo DV'!$F$3,'PL1.1 ML2027-2028'!$K:$K,'TH theo DV'!C16)/$D$1</f>
        <v>0</v>
      </c>
      <c r="G16" s="312">
        <f>SUMIFS('PL1.1 ML2027-2028'!$G:$G,'PL1.1 ML2027-2028'!$J:$J,'TH theo DV'!$G$3,'PL1.1 ML2027-2028'!$K:$K,'TH theo DV'!C16)/$D$1</f>
        <v>0</v>
      </c>
      <c r="H16" s="312">
        <f>SUMIFS('PL1.1 ML2027-2028'!$G:$G,'PL1.1 ML2027-2028'!$J:$J,'TH theo DV'!$H$3,'PL1.1 ML2027-2028'!$K:$K,'TH theo DV'!C16)/$D$1</f>
        <v>0</v>
      </c>
      <c r="I16" s="312">
        <f>SUMIFS('PL1.1 ML2027-2028'!$G:$G,'PL1.1 ML2027-2028'!$J:$J,'TH theo DV'!$I$3,'PL1.1 ML2027-2028'!$K:$K,'TH theo DV'!C16)/$D$1</f>
        <v>0</v>
      </c>
      <c r="J16" s="308">
        <f>SUMIFS('PL1.1 ML2027-2028'!$G:$G,'PL1.1 ML2027-2028'!$J:$J,'TH theo DV'!J$3,'PL1.1 ML2027-2028'!$K:$K,'TH theo DV'!$C16)/$D$1</f>
        <v>0</v>
      </c>
      <c r="K16" s="309">
        <f>SUM(D16:J16)</f>
        <v>0</v>
      </c>
      <c r="L16" s="158" t="e">
        <f t="shared" si="11"/>
        <v>#DIV/0!</v>
      </c>
      <c r="M16" s="308">
        <f>SUMIFS('PL1.1 ML2027-2028'!$H:$H,'PL1.1 ML2027-2028'!$J:$J,'TH theo DV'!M$3,'PL1.1 ML2027-2028'!$K:$K,'TH theo DV'!$C16)/$D$1</f>
        <v>0</v>
      </c>
      <c r="N16" s="308">
        <f>SUMIFS('PL1.1 ML2027-2028'!$H:$H,'PL1.1 ML2027-2028'!$J:$J,'TH theo DV'!N$3,'PL1.1 ML2027-2028'!$K:$K,'TH theo DV'!$C16)/$D$1</f>
        <v>0</v>
      </c>
      <c r="O16" s="308">
        <f>SUMIFS('PL1.1 ML2027-2028'!$H:$H,'PL1.1 ML2027-2028'!$J:$J,'TH theo DV'!O$3,'PL1.1 ML2027-2028'!$K:$K,'TH theo DV'!$C16)/$D$1</f>
        <v>0</v>
      </c>
      <c r="P16" s="308">
        <f>SUMIFS('PL1.1 ML2027-2028'!$H:$H,'PL1.1 ML2027-2028'!$J:$J,'TH theo DV'!P$3,'PL1.1 ML2027-2028'!$K:$K,'TH theo DV'!$C16)/$D$1</f>
        <v>0</v>
      </c>
      <c r="Q16" s="308">
        <f>SUMIFS('PL1.1 ML2027-2028'!$H:$H,'PL1.1 ML2027-2028'!$J:$J,'TH theo DV'!Q$3,'PL1.1 ML2027-2028'!$K:$K,'TH theo DV'!$C16)/$D$1</f>
        <v>0</v>
      </c>
      <c r="R16" s="308">
        <f>SUMIFS('PL1.1 ML2027-2028'!$H:$H,'PL1.1 ML2027-2028'!$J:$J,'TH theo DV'!R$3,'PL1.1 ML2027-2028'!$K:$K,'TH theo DV'!$C16)/$D$1</f>
        <v>0</v>
      </c>
      <c r="S16" s="308">
        <f>SUMIFS('PL1.1 ML2027-2028'!$H:$H,'PL1.1 ML2027-2028'!$J:$J,'TH theo DV'!S$3,'PL1.1 ML2027-2028'!$K:$K,'TH theo DV'!$C16)/$D$1</f>
        <v>0</v>
      </c>
      <c r="T16" s="311">
        <f t="shared" ref="T16:T19" si="23">SUM(M16:S16)</f>
        <v>0</v>
      </c>
      <c r="U16" s="317"/>
      <c r="V16" s="141">
        <f>D16+M16</f>
        <v>0</v>
      </c>
      <c r="W16" s="141">
        <f>E16+N16</f>
        <v>0</v>
      </c>
      <c r="X16" s="141">
        <f>F16+O16</f>
        <v>0</v>
      </c>
      <c r="Y16" s="141">
        <f>G16+P16</f>
        <v>0</v>
      </c>
      <c r="Z16" s="141">
        <f>H16+Q16</f>
        <v>0</v>
      </c>
      <c r="AA16" s="141">
        <f>I16+R16</f>
        <v>0</v>
      </c>
      <c r="AB16" s="140">
        <f t="shared" ref="AB16:AB21" si="24">SUM(V16:AA16)</f>
        <v>0</v>
      </c>
      <c r="AC16" s="158" t="e">
        <f t="shared" si="9"/>
        <v>#DIV/0!</v>
      </c>
      <c r="AD16" s="70"/>
    </row>
    <row r="17" spans="1:32" s="51" customFormat="1" outlineLevel="1" x14ac:dyDescent="0.25">
      <c r="A17" s="28" t="s">
        <v>8</v>
      </c>
      <c r="B17" s="133" t="s">
        <v>78</v>
      </c>
      <c r="C17" s="67" t="s">
        <v>73</v>
      </c>
      <c r="D17" s="312">
        <f>SUMIFS('PL1.1 ML2027-2028'!$G:$G,'PL1.1 ML2027-2028'!$J:$J,'TH theo DV'!$D$3,'PL1.1 ML2027-2028'!$K:$K,'TH theo DV'!C17)/$D$1</f>
        <v>0</v>
      </c>
      <c r="E17" s="312">
        <f>SUMIFS('PL1.1 ML2027-2028'!$G:$G,'PL1.1 ML2027-2028'!$J:$J,'TH theo DV'!$E$3,'PL1.1 ML2027-2028'!$K:$K,'TH theo DV'!C17)/$D$1</f>
        <v>0</v>
      </c>
      <c r="F17" s="312">
        <f>SUMIFS('PL1.1 ML2027-2028'!$G:$G,'PL1.1 ML2027-2028'!$J:$J,'TH theo DV'!$F$3,'PL1.1 ML2027-2028'!$K:$K,'TH theo DV'!C17)/$D$1</f>
        <v>0</v>
      </c>
      <c r="G17" s="312">
        <f>SUMIFS('PL1.1 ML2027-2028'!$G:$G,'PL1.1 ML2027-2028'!$J:$J,'TH theo DV'!$G$3,'PL1.1 ML2027-2028'!$K:$K,'TH theo DV'!C17)/$D$1</f>
        <v>0</v>
      </c>
      <c r="H17" s="312">
        <f>SUMIFS('PL1.1 ML2027-2028'!$G:$G,'PL1.1 ML2027-2028'!$J:$J,'TH theo DV'!$H$3,'PL1.1 ML2027-2028'!$K:$K,'TH theo DV'!C17)/$D$1</f>
        <v>0</v>
      </c>
      <c r="I17" s="312">
        <f>SUMIFS('PL1.1 ML2027-2028'!$G:$G,'PL1.1 ML2027-2028'!$J:$J,'TH theo DV'!$I$3,'PL1.1 ML2027-2028'!$K:$K,'TH theo DV'!C17)/$D$1</f>
        <v>0</v>
      </c>
      <c r="J17" s="308">
        <f>SUMIFS('PL1.1 ML2027-2028'!$G:$G,'PL1.1 ML2027-2028'!$J:$J,'TH theo DV'!J$3,'PL1.1 ML2027-2028'!$K:$K,'TH theo DV'!$C17)/$D$1</f>
        <v>0</v>
      </c>
      <c r="K17" s="309">
        <f>SUM(D17:J17)</f>
        <v>0</v>
      </c>
      <c r="L17" s="158" t="e">
        <f t="shared" si="11"/>
        <v>#DIV/0!</v>
      </c>
      <c r="M17" s="308">
        <f>SUMIFS('PL1.1 ML2027-2028'!$H:$H,'PL1.1 ML2027-2028'!$J:$J,'TH theo DV'!M$3,'PL1.1 ML2027-2028'!$K:$K,'TH theo DV'!$C17)/$D$1</f>
        <v>0</v>
      </c>
      <c r="N17" s="308">
        <f>SUMIFS('PL1.1 ML2027-2028'!$H:$H,'PL1.1 ML2027-2028'!$J:$J,'TH theo DV'!N$3,'PL1.1 ML2027-2028'!$K:$K,'TH theo DV'!$C17)/$D$1</f>
        <v>0</v>
      </c>
      <c r="O17" s="308">
        <f>SUMIFS('PL1.1 ML2027-2028'!$H:$H,'PL1.1 ML2027-2028'!$J:$J,'TH theo DV'!O$3,'PL1.1 ML2027-2028'!$K:$K,'TH theo DV'!$C17)/$D$1</f>
        <v>0</v>
      </c>
      <c r="P17" s="308">
        <f>SUMIFS('PL1.1 ML2027-2028'!$H:$H,'PL1.1 ML2027-2028'!$J:$J,'TH theo DV'!P$3,'PL1.1 ML2027-2028'!$K:$K,'TH theo DV'!$C17)/$D$1</f>
        <v>0</v>
      </c>
      <c r="Q17" s="308">
        <f>SUMIFS('PL1.1 ML2027-2028'!$H:$H,'PL1.1 ML2027-2028'!$J:$J,'TH theo DV'!Q$3,'PL1.1 ML2027-2028'!$K:$K,'TH theo DV'!$C17)/$D$1</f>
        <v>0</v>
      </c>
      <c r="R17" s="308">
        <f>SUMIFS('PL1.1 ML2027-2028'!$H:$H,'PL1.1 ML2027-2028'!$J:$J,'TH theo DV'!R$3,'PL1.1 ML2027-2028'!$K:$K,'TH theo DV'!$C17)/$D$1</f>
        <v>0</v>
      </c>
      <c r="S17" s="308">
        <f>SUMIFS('PL1.1 ML2027-2028'!$H:$H,'PL1.1 ML2027-2028'!$J:$J,'TH theo DV'!S$3,'PL1.1 ML2027-2028'!$K:$K,'TH theo DV'!$C17)/$D$1</f>
        <v>0</v>
      </c>
      <c r="T17" s="311">
        <f t="shared" si="23"/>
        <v>0</v>
      </c>
      <c r="U17" s="317"/>
      <c r="V17" s="141">
        <f>D17+M17</f>
        <v>0</v>
      </c>
      <c r="W17" s="141">
        <f>E17+N17</f>
        <v>0</v>
      </c>
      <c r="X17" s="141">
        <f>F17+O17</f>
        <v>0</v>
      </c>
      <c r="Y17" s="141">
        <f>G17+P17</f>
        <v>0</v>
      </c>
      <c r="Z17" s="141">
        <f>H17+Q17</f>
        <v>0</v>
      </c>
      <c r="AA17" s="141">
        <f>I17+R17</f>
        <v>0</v>
      </c>
      <c r="AB17" s="140">
        <f t="shared" si="24"/>
        <v>0</v>
      </c>
      <c r="AC17" s="158" t="e">
        <f t="shared" si="9"/>
        <v>#DIV/0!</v>
      </c>
      <c r="AD17" s="183"/>
      <c r="AE17" s="150"/>
      <c r="AF17" s="66"/>
    </row>
    <row r="18" spans="1:32" s="51" customFormat="1" outlineLevel="1" x14ac:dyDescent="0.25">
      <c r="A18" s="28" t="s">
        <v>8</v>
      </c>
      <c r="B18" s="133" t="s">
        <v>79</v>
      </c>
      <c r="C18" s="28" t="s">
        <v>68</v>
      </c>
      <c r="D18" s="312">
        <f>SUMIFS('PL1.1 ML2027-2028'!$G:$G,'PL1.1 ML2027-2028'!$J:$J,'TH theo DV'!$D$3,'PL1.1 ML2027-2028'!$K:$K,'TH theo DV'!C18)/$D$1</f>
        <v>0</v>
      </c>
      <c r="E18" s="312">
        <f>SUMIFS('PL1.1 ML2027-2028'!$G:$G,'PL1.1 ML2027-2028'!$J:$J,'TH theo DV'!$E$3,'PL1.1 ML2027-2028'!$K:$K,'TH theo DV'!C18)/$D$1</f>
        <v>0</v>
      </c>
      <c r="F18" s="312">
        <f>SUMIFS('PL1.1 ML2027-2028'!$G:$G,'PL1.1 ML2027-2028'!$J:$J,'TH theo DV'!$F$3,'PL1.1 ML2027-2028'!$K:$K,'TH theo DV'!C18)/$D$1</f>
        <v>0</v>
      </c>
      <c r="G18" s="312">
        <f>SUMIFS('PL1.1 ML2027-2028'!$G:$G,'PL1.1 ML2027-2028'!$J:$J,'TH theo DV'!$G$3,'PL1.1 ML2027-2028'!$K:$K,'TH theo DV'!C18)/$D$1</f>
        <v>0</v>
      </c>
      <c r="H18" s="312">
        <f>SUMIFS('PL1.1 ML2027-2028'!$G:$G,'PL1.1 ML2027-2028'!$J:$J,'TH theo DV'!$H$3,'PL1.1 ML2027-2028'!$K:$K,'TH theo DV'!C18)/$D$1</f>
        <v>0</v>
      </c>
      <c r="I18" s="312">
        <f>SUMIFS('PL1.1 ML2027-2028'!$G:$G,'PL1.1 ML2027-2028'!$J:$J,'TH theo DV'!$I$3,'PL1.1 ML2027-2028'!$K:$K,'TH theo DV'!C18)/$D$1</f>
        <v>0</v>
      </c>
      <c r="J18" s="308">
        <f>SUMIFS('PL1.1 ML2027-2028'!$G:$G,'PL1.1 ML2027-2028'!$J:$J,'TH theo DV'!J$3,'PL1.1 ML2027-2028'!$K:$K,'TH theo DV'!$C18)/$D$1</f>
        <v>0</v>
      </c>
      <c r="K18" s="309">
        <f>SUM(D18:J18)</f>
        <v>0</v>
      </c>
      <c r="L18" s="158" t="e">
        <f t="shared" si="11"/>
        <v>#DIV/0!</v>
      </c>
      <c r="M18" s="308">
        <f>SUMIFS('PL1.1 ML2027-2028'!$H:$H,'PL1.1 ML2027-2028'!$J:$J,'TH theo DV'!M$3,'PL1.1 ML2027-2028'!$K:$K,'TH theo DV'!$C18)/$D$1</f>
        <v>0</v>
      </c>
      <c r="N18" s="308">
        <f>SUMIFS('PL1.1 ML2027-2028'!$H:$H,'PL1.1 ML2027-2028'!$J:$J,'TH theo DV'!N$3,'PL1.1 ML2027-2028'!$K:$K,'TH theo DV'!$C18)/$D$1</f>
        <v>0</v>
      </c>
      <c r="O18" s="308">
        <f>SUMIFS('PL1.1 ML2027-2028'!$H:$H,'PL1.1 ML2027-2028'!$J:$J,'TH theo DV'!O$3,'PL1.1 ML2027-2028'!$K:$K,'TH theo DV'!$C18)/$D$1</f>
        <v>0</v>
      </c>
      <c r="P18" s="308">
        <f>SUMIFS('PL1.1 ML2027-2028'!$H:$H,'PL1.1 ML2027-2028'!$J:$J,'TH theo DV'!P$3,'PL1.1 ML2027-2028'!$K:$K,'TH theo DV'!$C18)/$D$1</f>
        <v>0</v>
      </c>
      <c r="Q18" s="308">
        <f>SUMIFS('PL1.1 ML2027-2028'!$H:$H,'PL1.1 ML2027-2028'!$J:$J,'TH theo DV'!Q$3,'PL1.1 ML2027-2028'!$K:$K,'TH theo DV'!$C18)/$D$1</f>
        <v>0</v>
      </c>
      <c r="R18" s="308">
        <f>SUMIFS('PL1.1 ML2027-2028'!$H:$H,'PL1.1 ML2027-2028'!$J:$J,'TH theo DV'!R$3,'PL1.1 ML2027-2028'!$K:$K,'TH theo DV'!$C18)/$D$1</f>
        <v>0</v>
      </c>
      <c r="S18" s="308">
        <f>SUMIFS('PL1.1 ML2027-2028'!$H:$H,'PL1.1 ML2027-2028'!$J:$J,'TH theo DV'!S$3,'PL1.1 ML2027-2028'!$K:$K,'TH theo DV'!$C18)/$D$1</f>
        <v>0</v>
      </c>
      <c r="T18" s="311">
        <f t="shared" si="23"/>
        <v>0</v>
      </c>
      <c r="U18" s="317"/>
      <c r="V18" s="141">
        <f>D18+M18</f>
        <v>0</v>
      </c>
      <c r="W18" s="141">
        <f>E18+N18</f>
        <v>0</v>
      </c>
      <c r="X18" s="141">
        <f>F18+O18</f>
        <v>0</v>
      </c>
      <c r="Y18" s="141">
        <f>G18+P18</f>
        <v>0</v>
      </c>
      <c r="Z18" s="141">
        <f>H18+Q18</f>
        <v>0</v>
      </c>
      <c r="AA18" s="141">
        <f>I18+R18</f>
        <v>0</v>
      </c>
      <c r="AB18" s="140">
        <f t="shared" si="24"/>
        <v>0</v>
      </c>
      <c r="AC18" s="158" t="e">
        <f t="shared" si="9"/>
        <v>#DIV/0!</v>
      </c>
      <c r="AD18" s="183"/>
      <c r="AE18" s="150"/>
      <c r="AF18" s="66"/>
    </row>
    <row r="19" spans="1:32" s="51" customFormat="1" outlineLevel="1" x14ac:dyDescent="0.25">
      <c r="A19" s="28" t="s">
        <v>8</v>
      </c>
      <c r="B19" s="133" t="s">
        <v>94</v>
      </c>
      <c r="C19" s="28" t="s">
        <v>97</v>
      </c>
      <c r="D19" s="312">
        <f>SUMIFS('PL1.1 ML2027-2028'!$G:$G,'PL1.1 ML2027-2028'!$J:$J,'TH theo DV'!$D$3,'PL1.1 ML2027-2028'!$K:$K,'TH theo DV'!C19)/$D$1</f>
        <v>0</v>
      </c>
      <c r="E19" s="312">
        <f>SUMIFS('PL1.1 ML2027-2028'!$G:$G,'PL1.1 ML2027-2028'!$J:$J,'TH theo DV'!$E$3,'PL1.1 ML2027-2028'!$K:$K,'TH theo DV'!C19)/$D$1</f>
        <v>0</v>
      </c>
      <c r="F19" s="312">
        <f>SUMIFS('PL1.1 ML2027-2028'!$G:$G,'PL1.1 ML2027-2028'!$J:$J,'TH theo DV'!$F$3,'PL1.1 ML2027-2028'!$K:$K,'TH theo DV'!C19)/$D$1</f>
        <v>0</v>
      </c>
      <c r="G19" s="312">
        <f>SUMIFS('PL1.1 ML2027-2028'!$G:$G,'PL1.1 ML2027-2028'!$J:$J,'TH theo DV'!$G$3,'PL1.1 ML2027-2028'!$K:$K,'TH theo DV'!C19)/$D$1</f>
        <v>0</v>
      </c>
      <c r="H19" s="312">
        <f>SUMIFS('PL1.1 ML2027-2028'!$G:$G,'PL1.1 ML2027-2028'!$J:$J,'TH theo DV'!$H$3,'PL1.1 ML2027-2028'!$K:$K,'TH theo DV'!C19)/$D$1</f>
        <v>0</v>
      </c>
      <c r="I19" s="312">
        <f>SUMIFS('PL1.1 ML2027-2028'!$G:$G,'PL1.1 ML2027-2028'!$J:$J,'TH theo DV'!$I$3,'PL1.1 ML2027-2028'!$K:$K,'TH theo DV'!C19)/$D$1</f>
        <v>0</v>
      </c>
      <c r="J19" s="308">
        <f>SUMIFS('PL1.1 ML2027-2028'!$G:$G,'PL1.1 ML2027-2028'!$J:$J,'TH theo DV'!J$3,'PL1.1 ML2027-2028'!$K:$K,'TH theo DV'!$C19)/$D$1</f>
        <v>0</v>
      </c>
      <c r="K19" s="309">
        <f>SUM(D19:J19)</f>
        <v>0</v>
      </c>
      <c r="L19" s="158" t="e">
        <f t="shared" si="11"/>
        <v>#DIV/0!</v>
      </c>
      <c r="M19" s="308">
        <f>SUMIFS('PL1.1 ML2027-2028'!$H:$H,'PL1.1 ML2027-2028'!$J:$J,'TH theo DV'!M$3,'PL1.1 ML2027-2028'!$K:$K,'TH theo DV'!$C19)/$D$1</f>
        <v>0</v>
      </c>
      <c r="N19" s="308">
        <f>SUMIFS('PL1.1 ML2027-2028'!$H:$H,'PL1.1 ML2027-2028'!$J:$J,'TH theo DV'!N$3,'PL1.1 ML2027-2028'!$K:$K,'TH theo DV'!$C19)/$D$1</f>
        <v>0</v>
      </c>
      <c r="O19" s="308">
        <f>SUMIFS('PL1.1 ML2027-2028'!$H:$H,'PL1.1 ML2027-2028'!$J:$J,'TH theo DV'!O$3,'PL1.1 ML2027-2028'!$K:$K,'TH theo DV'!$C19)/$D$1</f>
        <v>0</v>
      </c>
      <c r="P19" s="308">
        <f>SUMIFS('PL1.1 ML2027-2028'!$H:$H,'PL1.1 ML2027-2028'!$J:$J,'TH theo DV'!P$3,'PL1.1 ML2027-2028'!$K:$K,'TH theo DV'!$C19)/$D$1</f>
        <v>0</v>
      </c>
      <c r="Q19" s="308">
        <f>SUMIFS('PL1.1 ML2027-2028'!$H:$H,'PL1.1 ML2027-2028'!$J:$J,'TH theo DV'!Q$3,'PL1.1 ML2027-2028'!$K:$K,'TH theo DV'!$C19)/$D$1</f>
        <v>0</v>
      </c>
      <c r="R19" s="308">
        <f>SUMIFS('PL1.1 ML2027-2028'!$H:$H,'PL1.1 ML2027-2028'!$J:$J,'TH theo DV'!R$3,'PL1.1 ML2027-2028'!$K:$K,'TH theo DV'!$C19)/$D$1</f>
        <v>0</v>
      </c>
      <c r="S19" s="308">
        <f>SUMIFS('PL1.1 ML2027-2028'!$H:$H,'PL1.1 ML2027-2028'!$J:$J,'TH theo DV'!S$3,'PL1.1 ML2027-2028'!$K:$K,'TH theo DV'!$C19)/$D$1</f>
        <v>0</v>
      </c>
      <c r="T19" s="311">
        <f t="shared" si="23"/>
        <v>0</v>
      </c>
      <c r="U19" s="317"/>
      <c r="V19" s="141">
        <f>D19+M19</f>
        <v>0</v>
      </c>
      <c r="W19" s="141">
        <f>E19+N19</f>
        <v>0</v>
      </c>
      <c r="X19" s="141">
        <f>F19+O19</f>
        <v>0</v>
      </c>
      <c r="Y19" s="141">
        <f>G19+P19</f>
        <v>0</v>
      </c>
      <c r="Z19" s="141">
        <f>H19+Q19</f>
        <v>0</v>
      </c>
      <c r="AA19" s="141">
        <f>I19+R19</f>
        <v>0</v>
      </c>
      <c r="AB19" s="140">
        <f t="shared" si="24"/>
        <v>0</v>
      </c>
      <c r="AC19" s="158" t="e">
        <f t="shared" si="9"/>
        <v>#DIV/0!</v>
      </c>
      <c r="AD19" s="183"/>
      <c r="AE19" s="150"/>
      <c r="AF19" s="66"/>
    </row>
    <row r="20" spans="1:32" s="51" customFormat="1" outlineLevel="1" x14ac:dyDescent="0.25">
      <c r="A20" s="135">
        <v>3</v>
      </c>
      <c r="B20" s="139" t="s">
        <v>62</v>
      </c>
      <c r="C20" s="67" t="s">
        <v>66</v>
      </c>
      <c r="D20" s="312">
        <f>SUMIFS('PL1.1 ML2027-2028'!$G:$G,'PL1.1 ML2027-2028'!$J:$J,'TH theo DV'!$D$3,'PL1.1 ML2027-2028'!$K:$K,'TH theo DV'!C20)/$D$1</f>
        <v>0</v>
      </c>
      <c r="E20" s="312">
        <f>SUMIFS('PL1.1 ML2027-2028'!$G:$G,'PL1.1 ML2027-2028'!$J:$J,'TH theo DV'!$E$3,'PL1.1 ML2027-2028'!$K:$K,'TH theo DV'!C20)/$D$1</f>
        <v>0</v>
      </c>
      <c r="F20" s="312">
        <f>SUMIFS('PL1.1 ML2027-2028'!$G:$G,'PL1.1 ML2027-2028'!$J:$J,'TH theo DV'!$F$3,'PL1.1 ML2027-2028'!$K:$K,'TH theo DV'!C20)/$D$1</f>
        <v>0</v>
      </c>
      <c r="G20" s="312">
        <f>SUMIFS('PL1.1 ML2027-2028'!$G:$G,'PL1.1 ML2027-2028'!$J:$J,'TH theo DV'!$G$3,'PL1.1 ML2027-2028'!$K:$K,'TH theo DV'!C20)/$D$1</f>
        <v>0</v>
      </c>
      <c r="H20" s="312">
        <f>SUMIFS('PL1.1 ML2027-2028'!$G:$G,'PL1.1 ML2027-2028'!$J:$J,'TH theo DV'!$H$3,'PL1.1 ML2027-2028'!$K:$K,'TH theo DV'!C20)/$D$1</f>
        <v>0</v>
      </c>
      <c r="I20" s="312">
        <f>SUMIFS('PL1.1 ML2027-2028'!$G:$G,'PL1.1 ML2027-2028'!$J:$J,'TH theo DV'!$I$3,'PL1.1 ML2027-2028'!$K:$K,'TH theo DV'!C20)/$D$1</f>
        <v>0</v>
      </c>
      <c r="J20" s="308">
        <f>SUMIFS('PL1.1 ML2027-2028'!$G:$G,'PL1.1 ML2027-2028'!$J:$J,'TH theo DV'!J$3,'PL1.1 ML2027-2028'!$K:$K,'TH theo DV'!$C20)/$D$1</f>
        <v>0</v>
      </c>
      <c r="K20" s="309">
        <f>SUM(D20:J20)</f>
        <v>0</v>
      </c>
      <c r="L20" s="158" t="e">
        <f t="shared" si="11"/>
        <v>#DIV/0!</v>
      </c>
      <c r="M20" s="308">
        <f>SUMIFS('PL1.1 ML2027-2028'!$H:$H,'PL1.1 ML2027-2028'!$J:$J,'TH theo DV'!M$3,'PL1.1 ML2027-2028'!$K:$K,'TH theo DV'!$C20)/$D$1</f>
        <v>0</v>
      </c>
      <c r="N20" s="308">
        <f>SUMIFS('PL1.1 ML2027-2028'!$H:$H,'PL1.1 ML2027-2028'!$J:$J,'TH theo DV'!N$3,'PL1.1 ML2027-2028'!$K:$K,'TH theo DV'!$C20)/$D$1</f>
        <v>0</v>
      </c>
      <c r="O20" s="308">
        <f>SUMIFS('PL1.1 ML2027-2028'!$H:$H,'PL1.1 ML2027-2028'!$J:$J,'TH theo DV'!O$3,'PL1.1 ML2027-2028'!$K:$K,'TH theo DV'!$C20)/$D$1</f>
        <v>0</v>
      </c>
      <c r="P20" s="308">
        <f>SUMIFS('PL1.1 ML2027-2028'!$H:$H,'PL1.1 ML2027-2028'!$J:$J,'TH theo DV'!P$3,'PL1.1 ML2027-2028'!$K:$K,'TH theo DV'!$C20)/$D$1</f>
        <v>0</v>
      </c>
      <c r="Q20" s="308">
        <f>SUMIFS('PL1.1 ML2027-2028'!$H:$H,'PL1.1 ML2027-2028'!$J:$J,'TH theo DV'!Q$3,'PL1.1 ML2027-2028'!$K:$K,'TH theo DV'!$C20)/$D$1</f>
        <v>0</v>
      </c>
      <c r="R20" s="308">
        <f>SUMIFS('PL1.1 ML2027-2028'!$H:$H,'PL1.1 ML2027-2028'!$J:$J,'TH theo DV'!R$3,'PL1.1 ML2027-2028'!$K:$K,'TH theo DV'!$C20)/$D$1</f>
        <v>0</v>
      </c>
      <c r="S20" s="308">
        <f>SUMIFS('PL1.1 ML2027-2028'!$H:$H,'PL1.1 ML2027-2028'!$J:$J,'TH theo DV'!S$3,'PL1.1 ML2027-2028'!$K:$K,'TH theo DV'!$C20)/$D$1</f>
        <v>0</v>
      </c>
      <c r="T20" s="311">
        <f>SUM(M20:S20)</f>
        <v>0</v>
      </c>
      <c r="U20" s="317"/>
      <c r="V20" s="141">
        <f>D20+M20</f>
        <v>0</v>
      </c>
      <c r="W20" s="141">
        <f>E20+N20</f>
        <v>0</v>
      </c>
      <c r="X20" s="141">
        <f>F20+O20</f>
        <v>0</v>
      </c>
      <c r="Y20" s="141">
        <f>G20+P20</f>
        <v>0</v>
      </c>
      <c r="Z20" s="141">
        <f>H20+Q20</f>
        <v>0</v>
      </c>
      <c r="AA20" s="141">
        <f>I20+R20</f>
        <v>0</v>
      </c>
      <c r="AB20" s="140">
        <f t="shared" si="24"/>
        <v>0</v>
      </c>
      <c r="AC20" s="158" t="e">
        <f t="shared" si="9"/>
        <v>#DIV/0!</v>
      </c>
      <c r="AD20" s="183"/>
      <c r="AE20" s="150"/>
      <c r="AF20" s="66"/>
    </row>
    <row r="21" spans="1:32" s="51" customFormat="1" outlineLevel="1" x14ac:dyDescent="0.25">
      <c r="A21" s="135">
        <v>4</v>
      </c>
      <c r="B21" s="139" t="s">
        <v>63</v>
      </c>
      <c r="C21" s="28" t="s">
        <v>67</v>
      </c>
      <c r="D21" s="312">
        <f>SUMIFS('PL1.1 ML2027-2028'!$G:$G,'PL1.1 ML2027-2028'!$J:$J,'TH theo DV'!$D$3,'PL1.1 ML2027-2028'!$K:$K,'TH theo DV'!C21)/$D$1</f>
        <v>0</v>
      </c>
      <c r="E21" s="312">
        <f>SUMIFS('PL1.1 ML2027-2028'!$G:$G,'PL1.1 ML2027-2028'!$J:$J,'TH theo DV'!$E$3,'PL1.1 ML2027-2028'!$K:$K,'TH theo DV'!C21)/$D$1</f>
        <v>0</v>
      </c>
      <c r="F21" s="312">
        <f>SUMIFS('PL1.1 ML2027-2028'!$G:$G,'PL1.1 ML2027-2028'!$J:$J,'TH theo DV'!$F$3,'PL1.1 ML2027-2028'!$K:$K,'TH theo DV'!C21)/$D$1</f>
        <v>0</v>
      </c>
      <c r="G21" s="312">
        <f>SUMIFS('PL1.1 ML2027-2028'!$G:$G,'PL1.1 ML2027-2028'!$J:$J,'TH theo DV'!$G$3,'PL1.1 ML2027-2028'!$K:$K,'TH theo DV'!C21)/$D$1</f>
        <v>0</v>
      </c>
      <c r="H21" s="312">
        <f>SUMIFS('PL1.1 ML2027-2028'!$G:$G,'PL1.1 ML2027-2028'!$J:$J,'TH theo DV'!$H$3,'PL1.1 ML2027-2028'!$K:$K,'TH theo DV'!C21)/$D$1</f>
        <v>0</v>
      </c>
      <c r="I21" s="312">
        <f>SUMIFS('PL1.1 ML2027-2028'!$G:$G,'PL1.1 ML2027-2028'!$J:$J,'TH theo DV'!$I$3,'PL1.1 ML2027-2028'!$K:$K,'TH theo DV'!C21)/$D$1</f>
        <v>0</v>
      </c>
      <c r="J21" s="308">
        <f>SUMIFS('PL1.1 ML2027-2028'!$G:$G,'PL1.1 ML2027-2028'!$J:$J,'TH theo DV'!J$3,'PL1.1 ML2027-2028'!$K:$K,'TH theo DV'!$C21)/$D$1</f>
        <v>0</v>
      </c>
      <c r="K21" s="309">
        <f>SUM(D21:J21)</f>
        <v>0</v>
      </c>
      <c r="L21" s="158" t="e">
        <f t="shared" si="11"/>
        <v>#DIV/0!</v>
      </c>
      <c r="M21" s="308">
        <f>SUMIFS('PL1.1 ML2027-2028'!$H:$H,'PL1.1 ML2027-2028'!$J:$J,'TH theo DV'!M$3,'PL1.1 ML2027-2028'!$K:$K,'TH theo DV'!$C21)/$D$1</f>
        <v>0</v>
      </c>
      <c r="N21" s="308">
        <f>SUMIFS('PL1.1 ML2027-2028'!$H:$H,'PL1.1 ML2027-2028'!$J:$J,'TH theo DV'!N$3,'PL1.1 ML2027-2028'!$K:$K,'TH theo DV'!$C21)/$D$1</f>
        <v>0</v>
      </c>
      <c r="O21" s="308">
        <f>SUMIFS('PL1.1 ML2027-2028'!$H:$H,'PL1.1 ML2027-2028'!$J:$J,'TH theo DV'!O$3,'PL1.1 ML2027-2028'!$K:$K,'TH theo DV'!$C21)/$D$1</f>
        <v>0</v>
      </c>
      <c r="P21" s="308">
        <f>SUMIFS('PL1.1 ML2027-2028'!$H:$H,'PL1.1 ML2027-2028'!$J:$J,'TH theo DV'!P$3,'PL1.1 ML2027-2028'!$K:$K,'TH theo DV'!$C21)/$D$1</f>
        <v>0</v>
      </c>
      <c r="Q21" s="308">
        <f>SUMIFS('PL1.1 ML2027-2028'!$H:$H,'PL1.1 ML2027-2028'!$J:$J,'TH theo DV'!Q$3,'PL1.1 ML2027-2028'!$K:$K,'TH theo DV'!$C21)/$D$1</f>
        <v>0</v>
      </c>
      <c r="R21" s="308">
        <f>SUMIFS('PL1.1 ML2027-2028'!$H:$H,'PL1.1 ML2027-2028'!$J:$J,'TH theo DV'!R$3,'PL1.1 ML2027-2028'!$K:$K,'TH theo DV'!$C21)/$D$1</f>
        <v>0</v>
      </c>
      <c r="S21" s="308">
        <f>SUMIFS('PL1.1 ML2027-2028'!$H:$H,'PL1.1 ML2027-2028'!$J:$J,'TH theo DV'!S$3,'PL1.1 ML2027-2028'!$K:$K,'TH theo DV'!$C21)/$D$1</f>
        <v>0</v>
      </c>
      <c r="T21" s="311">
        <f>SUM(M21:S21)</f>
        <v>0</v>
      </c>
      <c r="U21" s="317"/>
      <c r="V21" s="141">
        <f>D21+M21</f>
        <v>0</v>
      </c>
      <c r="W21" s="141">
        <f>E21+N21</f>
        <v>0</v>
      </c>
      <c r="X21" s="141">
        <f>F21+O21</f>
        <v>0</v>
      </c>
      <c r="Y21" s="141">
        <f>G21+P21</f>
        <v>0</v>
      </c>
      <c r="Z21" s="141">
        <f>H21+Q21</f>
        <v>0</v>
      </c>
      <c r="AA21" s="141">
        <f>I21+R21</f>
        <v>0</v>
      </c>
      <c r="AB21" s="140">
        <f t="shared" si="24"/>
        <v>0</v>
      </c>
      <c r="AC21" s="158" t="e">
        <f t="shared" si="9"/>
        <v>#DIV/0!</v>
      </c>
      <c r="AD21" s="183"/>
    </row>
    <row r="22" spans="1:32" s="51" customFormat="1" outlineLevel="1" x14ac:dyDescent="0.25">
      <c r="A22" s="135">
        <v>5</v>
      </c>
      <c r="B22" s="139" t="s">
        <v>109</v>
      </c>
      <c r="C22" s="28"/>
      <c r="D22" s="311">
        <f t="shared" ref="D22:K22" si="25">SUBTOTAL(9,D23:D25)</f>
        <v>0</v>
      </c>
      <c r="E22" s="311">
        <f t="shared" si="25"/>
        <v>0</v>
      </c>
      <c r="F22" s="311">
        <f t="shared" si="25"/>
        <v>0</v>
      </c>
      <c r="G22" s="311">
        <f t="shared" si="25"/>
        <v>0</v>
      </c>
      <c r="H22" s="311">
        <f t="shared" si="25"/>
        <v>0</v>
      </c>
      <c r="I22" s="311">
        <f t="shared" si="25"/>
        <v>0</v>
      </c>
      <c r="J22" s="311">
        <f t="shared" ref="J22" si="26">SUBTOTAL(9,J23:J25)</f>
        <v>0</v>
      </c>
      <c r="K22" s="311">
        <f t="shared" si="25"/>
        <v>0</v>
      </c>
      <c r="L22" s="158" t="e">
        <f t="shared" si="11"/>
        <v>#DIV/0!</v>
      </c>
      <c r="M22" s="306">
        <f>SUBTOTAL(9,M23:M25)</f>
        <v>0</v>
      </c>
      <c r="N22" s="306">
        <f t="shared" ref="N22:S22" si="27">SUBTOTAL(9,N23:N25)</f>
        <v>0</v>
      </c>
      <c r="O22" s="306">
        <f t="shared" si="27"/>
        <v>0</v>
      </c>
      <c r="P22" s="306">
        <f t="shared" si="27"/>
        <v>0</v>
      </c>
      <c r="Q22" s="306">
        <f t="shared" si="27"/>
        <v>0</v>
      </c>
      <c r="R22" s="306">
        <f t="shared" si="27"/>
        <v>0</v>
      </c>
      <c r="S22" s="311">
        <f t="shared" si="27"/>
        <v>0</v>
      </c>
      <c r="T22" s="306">
        <f>SUBTOTAL(9,T23:T25)</f>
        <v>0</v>
      </c>
      <c r="U22" s="316" t="e">
        <f>T22/$T$4</f>
        <v>#DIV/0!</v>
      </c>
      <c r="V22" s="140">
        <f t="shared" ref="V22:AB22" si="28">SUBTOTAL(9,V23:V25)</f>
        <v>0</v>
      </c>
      <c r="W22" s="140">
        <f t="shared" si="28"/>
        <v>0</v>
      </c>
      <c r="X22" s="140">
        <f t="shared" si="28"/>
        <v>0</v>
      </c>
      <c r="Y22" s="140">
        <f t="shared" si="28"/>
        <v>0</v>
      </c>
      <c r="Z22" s="140">
        <f t="shared" si="28"/>
        <v>0</v>
      </c>
      <c r="AA22" s="140">
        <f t="shared" si="28"/>
        <v>0</v>
      </c>
      <c r="AB22" s="140">
        <f t="shared" si="28"/>
        <v>0</v>
      </c>
      <c r="AC22" s="158" t="e">
        <f t="shared" si="9"/>
        <v>#DIV/0!</v>
      </c>
      <c r="AD22" s="70"/>
    </row>
    <row r="23" spans="1:32" outlineLevel="1" x14ac:dyDescent="0.25">
      <c r="A23" s="65" t="s">
        <v>8</v>
      </c>
      <c r="B23" s="114" t="s">
        <v>215</v>
      </c>
      <c r="C23" s="118" t="s">
        <v>119</v>
      </c>
      <c r="D23" s="308">
        <f>SUMIFS('PL1.1 ML2027-2028'!$G:$G,'PL1.1 ML2027-2028'!$J:$J,'TH theo DV'!$D$3,'PL1.1 ML2027-2028'!$K:$K,'TH theo DV'!C23)/$D$1</f>
        <v>0</v>
      </c>
      <c r="E23" s="308">
        <f>SUMIFS('PL1.1 ML2027-2028'!$G:$G,'PL1.1 ML2027-2028'!$J:$J,'TH theo DV'!$E$3,'PL1.1 ML2027-2028'!$K:$K,'TH theo DV'!C23)/$D$1</f>
        <v>0</v>
      </c>
      <c r="F23" s="308">
        <f>SUMIFS('PL1.1 ML2027-2028'!$G:$G,'PL1.1 ML2027-2028'!$J:$J,'TH theo DV'!$F$3,'PL1.1 ML2027-2028'!$K:$K,'TH theo DV'!C23)/$D$1</f>
        <v>0</v>
      </c>
      <c r="G23" s="312">
        <f>SUMIFS('PL1.1 ML2027-2028'!$G:$G,'PL1.1 ML2027-2028'!$J:$J,'TH theo DV'!$G$3,'PL1.1 ML2027-2028'!$K:$K,'TH theo DV'!C23)/$D$1</f>
        <v>0</v>
      </c>
      <c r="H23" s="308">
        <f>SUMIFS('PL1.1 ML2027-2028'!$G:$G,'PL1.1 ML2027-2028'!$J:$J,'TH theo DV'!$H$3,'PL1.1 ML2027-2028'!$K:$K,'TH theo DV'!C23)/$D$1</f>
        <v>0</v>
      </c>
      <c r="I23" s="308">
        <f>SUMIFS('PL1.1 ML2027-2028'!$G:$G,'PL1.1 ML2027-2028'!$J:$J,'TH theo DV'!$I$3,'PL1.1 ML2027-2028'!$K:$K,'TH theo DV'!C23)/$D$1</f>
        <v>0</v>
      </c>
      <c r="J23" s="308">
        <f>SUMIFS('PL1.1 ML2027-2028'!$G:$G,'PL1.1 ML2027-2028'!$J:$J,'TH theo DV'!J$3,'PL1.1 ML2027-2028'!$K:$K,'TH theo DV'!$C23)/$D$1</f>
        <v>0</v>
      </c>
      <c r="K23" s="309">
        <f>SUM(D23:J23)</f>
        <v>0</v>
      </c>
      <c r="L23" s="158" t="e">
        <f t="shared" si="11"/>
        <v>#DIV/0!</v>
      </c>
      <c r="M23" s="308">
        <f>SUMIFS('PL1.1 ML2027-2028'!$H:$H,'PL1.1 ML2027-2028'!$J:$J,'TH theo DV'!M$3,'PL1.1 ML2027-2028'!$K:$K,'TH theo DV'!$C23)/$D$1</f>
        <v>0</v>
      </c>
      <c r="N23" s="308">
        <f>SUMIFS('PL1.1 ML2027-2028'!$H:$H,'PL1.1 ML2027-2028'!$J:$J,'TH theo DV'!N$3,'PL1.1 ML2027-2028'!$K:$K,'TH theo DV'!$C23)/$D$1</f>
        <v>0</v>
      </c>
      <c r="O23" s="308">
        <f>SUMIFS('PL1.1 ML2027-2028'!$H:$H,'PL1.1 ML2027-2028'!$J:$J,'TH theo DV'!O$3,'PL1.1 ML2027-2028'!$K:$K,'TH theo DV'!$C23)/$D$1</f>
        <v>0</v>
      </c>
      <c r="P23" s="308">
        <f>SUMIFS('PL1.1 ML2027-2028'!$H:$H,'PL1.1 ML2027-2028'!$J:$J,'TH theo DV'!P$3,'PL1.1 ML2027-2028'!$K:$K,'TH theo DV'!$C23)/$D$1</f>
        <v>0</v>
      </c>
      <c r="Q23" s="308">
        <f>SUMIFS('PL1.1 ML2027-2028'!$H:$H,'PL1.1 ML2027-2028'!$J:$J,'TH theo DV'!Q$3,'PL1.1 ML2027-2028'!$K:$K,'TH theo DV'!$C23)/$D$1</f>
        <v>0</v>
      </c>
      <c r="R23" s="308">
        <f>SUMIFS('PL1.1 ML2027-2028'!$H:$H,'PL1.1 ML2027-2028'!$J:$J,'TH theo DV'!R$3,'PL1.1 ML2027-2028'!$K:$K,'TH theo DV'!$C23)/$D$1</f>
        <v>0</v>
      </c>
      <c r="S23" s="308">
        <f>SUMIFS('PL1.1 ML2027-2028'!$H:$H,'PL1.1 ML2027-2028'!$J:$J,'TH theo DV'!S$3,'PL1.1 ML2027-2028'!$K:$K,'TH theo DV'!$C23)/$D$1</f>
        <v>0</v>
      </c>
      <c r="T23" s="311">
        <f t="shared" ref="T23:T25" si="29">SUM(M23:S23)</f>
        <v>0</v>
      </c>
      <c r="U23" s="315"/>
      <c r="V23" s="111">
        <f>D23+M23</f>
        <v>0</v>
      </c>
      <c r="W23" s="111">
        <f>E23+N23</f>
        <v>0</v>
      </c>
      <c r="X23" s="111">
        <f>F23+O23</f>
        <v>0</v>
      </c>
      <c r="Y23" s="111">
        <f>G23+P23</f>
        <v>0</v>
      </c>
      <c r="Z23" s="111">
        <f>H23+Q23</f>
        <v>0</v>
      </c>
      <c r="AA23" s="111">
        <f>I23+R23</f>
        <v>0</v>
      </c>
      <c r="AB23" s="103">
        <f>SUM(V23:AA23)</f>
        <v>0</v>
      </c>
      <c r="AC23" s="113" t="e">
        <f t="shared" si="9"/>
        <v>#DIV/0!</v>
      </c>
    </row>
    <row r="24" spans="1:32" outlineLevel="1" x14ac:dyDescent="0.25">
      <c r="A24" s="65" t="s">
        <v>8</v>
      </c>
      <c r="B24" s="114" t="s">
        <v>117</v>
      </c>
      <c r="C24" s="118" t="s">
        <v>120</v>
      </c>
      <c r="D24" s="308">
        <f>SUMIFS('PL1.1 ML2027-2028'!$G:$G,'PL1.1 ML2027-2028'!$J:$J,'TH theo DV'!$D$3,'PL1.1 ML2027-2028'!$K:$K,'TH theo DV'!C24)/$D$1</f>
        <v>0</v>
      </c>
      <c r="E24" s="308">
        <f>SUMIFS('PL1.1 ML2027-2028'!$G:$G,'PL1.1 ML2027-2028'!$J:$J,'TH theo DV'!$E$3,'PL1.1 ML2027-2028'!$K:$K,'TH theo DV'!C24)/$D$1</f>
        <v>0</v>
      </c>
      <c r="F24" s="308">
        <f>SUMIFS('PL1.1 ML2027-2028'!$G:$G,'PL1.1 ML2027-2028'!$J:$J,'TH theo DV'!$F$3,'PL1.1 ML2027-2028'!$K:$K,'TH theo DV'!C24)/$D$1</f>
        <v>0</v>
      </c>
      <c r="G24" s="312">
        <f>SUMIFS('PL1.1 ML2027-2028'!$G:$G,'PL1.1 ML2027-2028'!$J:$J,'TH theo DV'!$G$3,'PL1.1 ML2027-2028'!$K:$K,'TH theo DV'!C24)/$D$1</f>
        <v>0</v>
      </c>
      <c r="H24" s="308">
        <f>SUMIFS('PL1.1 ML2027-2028'!$G:$G,'PL1.1 ML2027-2028'!$J:$J,'TH theo DV'!$H$3,'PL1.1 ML2027-2028'!$K:$K,'TH theo DV'!C24)/$D$1</f>
        <v>0</v>
      </c>
      <c r="I24" s="308">
        <f>SUMIFS('PL1.1 ML2027-2028'!$G:$G,'PL1.1 ML2027-2028'!$J:$J,'TH theo DV'!$I$3,'PL1.1 ML2027-2028'!$K:$K,'TH theo DV'!C24)/$D$1</f>
        <v>0</v>
      </c>
      <c r="J24" s="308">
        <f>SUMIFS('PL1.1 ML2027-2028'!$G:$G,'PL1.1 ML2027-2028'!$J:$J,'TH theo DV'!J$3,'PL1.1 ML2027-2028'!$K:$K,'TH theo DV'!$C24)/$D$1</f>
        <v>0</v>
      </c>
      <c r="K24" s="309">
        <f>SUM(D24:J24)</f>
        <v>0</v>
      </c>
      <c r="L24" s="158" t="e">
        <f t="shared" si="11"/>
        <v>#DIV/0!</v>
      </c>
      <c r="M24" s="308">
        <f>SUMIFS('PL1.1 ML2027-2028'!$H:$H,'PL1.1 ML2027-2028'!$J:$J,'TH theo DV'!M$3,'PL1.1 ML2027-2028'!$K:$K,'TH theo DV'!$C24)/$D$1</f>
        <v>0</v>
      </c>
      <c r="N24" s="308">
        <f>SUMIFS('PL1.1 ML2027-2028'!$H:$H,'PL1.1 ML2027-2028'!$J:$J,'TH theo DV'!N$3,'PL1.1 ML2027-2028'!$K:$K,'TH theo DV'!$C24)/$D$1</f>
        <v>0</v>
      </c>
      <c r="O24" s="308">
        <f>SUMIFS('PL1.1 ML2027-2028'!$H:$H,'PL1.1 ML2027-2028'!$J:$J,'TH theo DV'!O$3,'PL1.1 ML2027-2028'!$K:$K,'TH theo DV'!$C24)/$D$1</f>
        <v>0</v>
      </c>
      <c r="P24" s="308">
        <f>SUMIFS('PL1.1 ML2027-2028'!$H:$H,'PL1.1 ML2027-2028'!$J:$J,'TH theo DV'!P$3,'PL1.1 ML2027-2028'!$K:$K,'TH theo DV'!$C24)/$D$1</f>
        <v>0</v>
      </c>
      <c r="Q24" s="308">
        <f>SUMIFS('PL1.1 ML2027-2028'!$H:$H,'PL1.1 ML2027-2028'!$J:$J,'TH theo DV'!Q$3,'PL1.1 ML2027-2028'!$K:$K,'TH theo DV'!$C24)/$D$1</f>
        <v>0</v>
      </c>
      <c r="R24" s="308">
        <f>SUMIFS('PL1.1 ML2027-2028'!$H:$H,'PL1.1 ML2027-2028'!$J:$J,'TH theo DV'!R$3,'PL1.1 ML2027-2028'!$K:$K,'TH theo DV'!$C24)/$D$1</f>
        <v>0</v>
      </c>
      <c r="S24" s="308">
        <f>SUMIFS('PL1.1 ML2027-2028'!$H:$H,'PL1.1 ML2027-2028'!$J:$J,'TH theo DV'!S$3,'PL1.1 ML2027-2028'!$K:$K,'TH theo DV'!$C24)/$D$1</f>
        <v>0</v>
      </c>
      <c r="T24" s="311">
        <f t="shared" si="29"/>
        <v>0</v>
      </c>
      <c r="U24" s="315"/>
      <c r="V24" s="111">
        <f>D24+M24</f>
        <v>0</v>
      </c>
      <c r="W24" s="111">
        <f>E24+N24</f>
        <v>0</v>
      </c>
      <c r="X24" s="111">
        <f>F24+O24</f>
        <v>0</v>
      </c>
      <c r="Y24" s="111">
        <f>G24+P24</f>
        <v>0</v>
      </c>
      <c r="Z24" s="111">
        <f>H24+Q24</f>
        <v>0</v>
      </c>
      <c r="AA24" s="111">
        <f>I24+R24</f>
        <v>0</v>
      </c>
      <c r="AB24" s="103">
        <f>SUM(V24:AA24)</f>
        <v>0</v>
      </c>
      <c r="AC24" s="113" t="e">
        <f t="shared" si="9"/>
        <v>#DIV/0!</v>
      </c>
    </row>
    <row r="25" spans="1:32" outlineLevel="1" x14ac:dyDescent="0.25">
      <c r="A25" s="65" t="s">
        <v>8</v>
      </c>
      <c r="B25" s="114" t="s">
        <v>53</v>
      </c>
      <c r="C25" s="118" t="s">
        <v>53</v>
      </c>
      <c r="D25" s="308">
        <f>SUMIFS('PL1.1 ML2027-2028'!$G:$G,'PL1.1 ML2027-2028'!$J:$J,'TH theo DV'!$D$3,'PL1.1 ML2027-2028'!$K:$K,'TH theo DV'!C25)/$D$1</f>
        <v>0</v>
      </c>
      <c r="E25" s="308">
        <f>SUMIFS('PL1.1 ML2027-2028'!$G:$G,'PL1.1 ML2027-2028'!$J:$J,'TH theo DV'!$E$3,'PL1.1 ML2027-2028'!$K:$K,'TH theo DV'!C25)/$D$1</f>
        <v>0</v>
      </c>
      <c r="F25" s="308">
        <f>SUMIFS('PL1.1 ML2027-2028'!$G:$G,'PL1.1 ML2027-2028'!$J:$J,'TH theo DV'!$F$3,'PL1.1 ML2027-2028'!$K:$K,'TH theo DV'!C25)/$D$1</f>
        <v>0</v>
      </c>
      <c r="G25" s="308">
        <f>SUMIFS('PL1.1 ML2027-2028'!$G:$G,'PL1.1 ML2027-2028'!$J:$J,'TH theo DV'!$G$3,'PL1.1 ML2027-2028'!$K:$K,'TH theo DV'!C25)/$D$1</f>
        <v>0</v>
      </c>
      <c r="H25" s="308">
        <f>SUMIFS('PL1.1 ML2027-2028'!$G:$G,'PL1.1 ML2027-2028'!$J:$J,'TH theo DV'!$H$3,'PL1.1 ML2027-2028'!$K:$K,'TH theo DV'!C25)/$D$1</f>
        <v>0</v>
      </c>
      <c r="I25" s="308">
        <f>SUMIFS('PL1.1 ML2027-2028'!$G:$G,'PL1.1 ML2027-2028'!$J:$J,'TH theo DV'!$I$3,'PL1.1 ML2027-2028'!$K:$K,'TH theo DV'!C25)/$D$1</f>
        <v>0</v>
      </c>
      <c r="J25" s="308">
        <f>SUMIFS('PL1.1 ML2027-2028'!$G:$G,'PL1.1 ML2027-2028'!$J:$J,'TH theo DV'!J$3,'PL1.1 ML2027-2028'!$K:$K,'TH theo DV'!$C25)/$D$1</f>
        <v>0</v>
      </c>
      <c r="K25" s="309">
        <f>SUM(D25:J25)</f>
        <v>0</v>
      </c>
      <c r="L25" s="158" t="e">
        <f t="shared" si="11"/>
        <v>#DIV/0!</v>
      </c>
      <c r="M25" s="308">
        <f>SUMIFS('PL1.1 ML2027-2028'!$H:$H,'PL1.1 ML2027-2028'!$J:$J,'TH theo DV'!M$3,'PL1.1 ML2027-2028'!$K:$K,'TH theo DV'!$C25)/$D$1</f>
        <v>0</v>
      </c>
      <c r="N25" s="308">
        <f>SUMIFS('PL1.1 ML2027-2028'!$H:$H,'PL1.1 ML2027-2028'!$J:$J,'TH theo DV'!N$3,'PL1.1 ML2027-2028'!$K:$K,'TH theo DV'!$C25)/$D$1</f>
        <v>0</v>
      </c>
      <c r="O25" s="308">
        <f>SUMIFS('PL1.1 ML2027-2028'!$H:$H,'PL1.1 ML2027-2028'!$J:$J,'TH theo DV'!O$3,'PL1.1 ML2027-2028'!$K:$K,'TH theo DV'!$C25)/$D$1</f>
        <v>0</v>
      </c>
      <c r="P25" s="308">
        <f>SUMIFS('PL1.1 ML2027-2028'!$H:$H,'PL1.1 ML2027-2028'!$J:$J,'TH theo DV'!P$3,'PL1.1 ML2027-2028'!$K:$K,'TH theo DV'!$C25)/$D$1</f>
        <v>0</v>
      </c>
      <c r="Q25" s="308">
        <f>SUMIFS('PL1.1 ML2027-2028'!$H:$H,'PL1.1 ML2027-2028'!$J:$J,'TH theo DV'!Q$3,'PL1.1 ML2027-2028'!$K:$K,'TH theo DV'!$C25)/$D$1</f>
        <v>0</v>
      </c>
      <c r="R25" s="308">
        <f>SUMIFS('PL1.1 ML2027-2028'!$H:$H,'PL1.1 ML2027-2028'!$J:$J,'TH theo DV'!R$3,'PL1.1 ML2027-2028'!$K:$K,'TH theo DV'!$C25)/$D$1</f>
        <v>0</v>
      </c>
      <c r="S25" s="308">
        <f>SUMIFS('PL1.1 ML2027-2028'!$H:$H,'PL1.1 ML2027-2028'!$J:$J,'TH theo DV'!S$3,'PL1.1 ML2027-2028'!$K:$K,'TH theo DV'!$C25)/$D$1</f>
        <v>0</v>
      </c>
      <c r="T25" s="311">
        <f t="shared" si="29"/>
        <v>0</v>
      </c>
      <c r="U25" s="315"/>
      <c r="V25" s="111">
        <f>D25+M25</f>
        <v>0</v>
      </c>
      <c r="W25" s="111">
        <f>E25+N25</f>
        <v>0</v>
      </c>
      <c r="X25" s="111">
        <f>F25+O25</f>
        <v>0</v>
      </c>
      <c r="Y25" s="111">
        <f>G25+P25</f>
        <v>0</v>
      </c>
      <c r="Z25" s="111">
        <f>H25+Q25</f>
        <v>0</v>
      </c>
      <c r="AA25" s="111">
        <f>I25+R25</f>
        <v>0</v>
      </c>
      <c r="AB25" s="103">
        <f>SUM(V25:AA25)</f>
        <v>0</v>
      </c>
      <c r="AC25" s="113" t="e">
        <f t="shared" si="9"/>
        <v>#DIV/0!</v>
      </c>
    </row>
    <row r="26" spans="1:32" s="51" customFormat="1" outlineLevel="1" x14ac:dyDescent="0.25">
      <c r="A26" s="135">
        <v>5</v>
      </c>
      <c r="B26" s="139" t="s">
        <v>202</v>
      </c>
      <c r="C26" s="28"/>
      <c r="D26" s="311">
        <f t="shared" ref="D26:I26" si="30">SUBTOTAL(9,D27:D29)</f>
        <v>0</v>
      </c>
      <c r="E26" s="311">
        <f t="shared" si="30"/>
        <v>0</v>
      </c>
      <c r="F26" s="311">
        <f t="shared" si="30"/>
        <v>0</v>
      </c>
      <c r="G26" s="311">
        <f t="shared" si="30"/>
        <v>0</v>
      </c>
      <c r="H26" s="311">
        <f>SUBTOTAL(9,H27:H28)</f>
        <v>0</v>
      </c>
      <c r="I26" s="311">
        <f t="shared" si="30"/>
        <v>0</v>
      </c>
      <c r="J26" s="311">
        <f t="shared" ref="J26" si="31">SUBTOTAL(9,J27:J29)</f>
        <v>0</v>
      </c>
      <c r="K26" s="309">
        <f>SUBTOTAL(9,K27:K28)</f>
        <v>0</v>
      </c>
      <c r="L26" s="158" t="e">
        <f t="shared" ref="L26:L28" si="32">K26/$K$4</f>
        <v>#DIV/0!</v>
      </c>
      <c r="M26" s="306">
        <f>SUBTOTAL(9,M27:M29)</f>
        <v>0</v>
      </c>
      <c r="N26" s="306">
        <f t="shared" ref="N26:S26" si="33">SUBTOTAL(9,N27:N29)</f>
        <v>0</v>
      </c>
      <c r="O26" s="306">
        <f t="shared" si="33"/>
        <v>0</v>
      </c>
      <c r="P26" s="306">
        <f t="shared" si="33"/>
        <v>0</v>
      </c>
      <c r="Q26" s="306">
        <f t="shared" si="33"/>
        <v>0</v>
      </c>
      <c r="R26" s="306">
        <f t="shared" si="33"/>
        <v>0</v>
      </c>
      <c r="S26" s="311">
        <f t="shared" si="33"/>
        <v>0</v>
      </c>
      <c r="T26" s="306">
        <f>SUBTOTAL(9,T27:T29)</f>
        <v>0</v>
      </c>
      <c r="U26" s="316" t="e">
        <f>T26/$T$4</f>
        <v>#DIV/0!</v>
      </c>
      <c r="V26" s="140">
        <f t="shared" ref="V26:AB26" si="34">SUBTOTAL(9,V27:V29)</f>
        <v>0</v>
      </c>
      <c r="W26" s="140">
        <f t="shared" si="34"/>
        <v>0</v>
      </c>
      <c r="X26" s="140">
        <f t="shared" si="34"/>
        <v>0</v>
      </c>
      <c r="Y26" s="140">
        <f t="shared" si="34"/>
        <v>0</v>
      </c>
      <c r="Z26" s="140">
        <f t="shared" si="34"/>
        <v>0</v>
      </c>
      <c r="AA26" s="140">
        <f t="shared" si="34"/>
        <v>0</v>
      </c>
      <c r="AB26" s="140">
        <f t="shared" si="34"/>
        <v>0</v>
      </c>
      <c r="AC26" s="158" t="e">
        <f t="shared" ref="AC26:AC28" si="35">AB26/$AB$4</f>
        <v>#DIV/0!</v>
      </c>
      <c r="AD26" s="70"/>
    </row>
    <row r="27" spans="1:32" outlineLevel="1" x14ac:dyDescent="0.25">
      <c r="A27" s="65" t="s">
        <v>8</v>
      </c>
      <c r="B27" s="114" t="s">
        <v>200</v>
      </c>
      <c r="C27" s="185" t="s">
        <v>82</v>
      </c>
      <c r="D27" s="308">
        <f>SUMIFS('PL1.1 ML2027-2028'!$G:$G,'PL1.1 ML2027-2028'!$J:$J,'TH theo DV'!$D$3,'PL1.1 ML2027-2028'!$K:$K,'TH theo DV'!C27)/$D$1</f>
        <v>0</v>
      </c>
      <c r="E27" s="308">
        <f>SUMIFS('PL1.1 ML2027-2028'!$G:$G,'PL1.1 ML2027-2028'!$J:$J,'TH theo DV'!$E$3,'PL1.1 ML2027-2028'!$K:$K,'TH theo DV'!C27)/$D$1</f>
        <v>0</v>
      </c>
      <c r="F27" s="308">
        <f>SUMIFS('PL1.1 ML2027-2028'!$G:$G,'PL1.1 ML2027-2028'!$J:$J,'TH theo DV'!$F$3,'PL1.1 ML2027-2028'!$K:$K,'TH theo DV'!C27)/$D$1</f>
        <v>0</v>
      </c>
      <c r="G27" s="312">
        <f>SUMIFS('PL1.1 ML2027-2028'!$G:$G,'PL1.1 ML2027-2028'!$J:$J,'TH theo DV'!$G$3,'PL1.1 ML2027-2028'!$K:$K,'TH theo DV'!C27)/$D$1</f>
        <v>0</v>
      </c>
      <c r="H27" s="308">
        <f>SUMIFS('PL1.1 ML2027-2028'!$G:$G,'PL1.1 ML2027-2028'!$J:$J,'TH theo DV'!$H$3,'PL1.1 ML2027-2028'!$K:$K,'TH theo DV'!C27)/$D$1</f>
        <v>0</v>
      </c>
      <c r="I27" s="308">
        <f>SUMIFS('PL1.1 ML2027-2028'!$G:$G,'PL1.1 ML2027-2028'!$J:$J,'TH theo DV'!$I$3,'PL1.1 ML2027-2028'!$K:$K,'TH theo DV'!C27)/$D$1</f>
        <v>0</v>
      </c>
      <c r="J27" s="308">
        <f>SUMIFS('PL1.1 ML2027-2028'!$G:$G,'PL1.1 ML2027-2028'!$J:$J,'TH theo DV'!J$3,'PL1.1 ML2027-2028'!$K:$K,'TH theo DV'!$C27)/$D$1</f>
        <v>0</v>
      </c>
      <c r="K27" s="309">
        <f>SUM(D27:J27)</f>
        <v>0</v>
      </c>
      <c r="L27" s="158" t="e">
        <f t="shared" si="32"/>
        <v>#DIV/0!</v>
      </c>
      <c r="M27" s="308">
        <f>SUMIFS('PL1.1 ML2027-2028'!$H:$H,'PL1.1 ML2027-2028'!$J:$J,'TH theo DV'!M$3,'PL1.1 ML2027-2028'!$K:$K,'TH theo DV'!$C27)/$D$1</f>
        <v>0</v>
      </c>
      <c r="N27" s="308">
        <f>SUMIFS('PL1.1 ML2027-2028'!$H:$H,'PL1.1 ML2027-2028'!$J:$J,'TH theo DV'!N$3,'PL1.1 ML2027-2028'!$K:$K,'TH theo DV'!$C27)/$D$1</f>
        <v>0</v>
      </c>
      <c r="O27" s="308">
        <f>SUMIFS('PL1.1 ML2027-2028'!$H:$H,'PL1.1 ML2027-2028'!$J:$J,'TH theo DV'!O$3,'PL1.1 ML2027-2028'!$K:$K,'TH theo DV'!$C27)/$D$1</f>
        <v>0</v>
      </c>
      <c r="P27" s="308">
        <f>SUMIFS('PL1.1 ML2027-2028'!$H:$H,'PL1.1 ML2027-2028'!$J:$J,'TH theo DV'!P$3,'PL1.1 ML2027-2028'!$K:$K,'TH theo DV'!$C27)/$D$1</f>
        <v>0</v>
      </c>
      <c r="Q27" s="308">
        <f>SUMIFS('PL1.1 ML2027-2028'!$H:$H,'PL1.1 ML2027-2028'!$J:$J,'TH theo DV'!Q$3,'PL1.1 ML2027-2028'!$K:$K,'TH theo DV'!$C27)/$D$1</f>
        <v>0</v>
      </c>
      <c r="R27" s="308">
        <f>SUMIFS('PL1.1 ML2027-2028'!$H:$H,'PL1.1 ML2027-2028'!$J:$J,'TH theo DV'!R$3,'PL1.1 ML2027-2028'!$K:$K,'TH theo DV'!$C27)/$D$1</f>
        <v>0</v>
      </c>
      <c r="S27" s="308">
        <f>SUMIFS('PL1.1 ML2027-2028'!$H:$H,'PL1.1 ML2027-2028'!$J:$J,'TH theo DV'!S$3,'PL1.1 ML2027-2028'!$K:$K,'TH theo DV'!$C27)/$D$1</f>
        <v>0</v>
      </c>
      <c r="T27" s="311">
        <f t="shared" ref="T27:T28" si="36">SUM(M27:S27)</f>
        <v>0</v>
      </c>
      <c r="U27" s="315"/>
      <c r="V27" s="111">
        <f>D27+M27</f>
        <v>0</v>
      </c>
      <c r="W27" s="111">
        <f>E27+N27</f>
        <v>0</v>
      </c>
      <c r="X27" s="111">
        <f>F27+O27</f>
        <v>0</v>
      </c>
      <c r="Y27" s="111">
        <f>G27+P27</f>
        <v>0</v>
      </c>
      <c r="Z27" s="111">
        <f>H27+Q27</f>
        <v>0</v>
      </c>
      <c r="AA27" s="111">
        <f>I27+R27</f>
        <v>0</v>
      </c>
      <c r="AB27" s="103">
        <f>SUM(V27:AA27)</f>
        <v>0</v>
      </c>
      <c r="AC27" s="113" t="e">
        <f t="shared" si="35"/>
        <v>#DIV/0!</v>
      </c>
    </row>
    <row r="28" spans="1:32" outlineLevel="1" x14ac:dyDescent="0.25">
      <c r="A28" s="65" t="s">
        <v>8</v>
      </c>
      <c r="B28" s="114" t="s">
        <v>201</v>
      </c>
      <c r="C28" s="185" t="s">
        <v>83</v>
      </c>
      <c r="D28" s="308">
        <f>SUMIFS('PL1.1 ML2027-2028'!$G:$G,'PL1.1 ML2027-2028'!$J:$J,'TH theo DV'!$D$3,'PL1.1 ML2027-2028'!$K:$K,'TH theo DV'!C28)/$D$1</f>
        <v>0</v>
      </c>
      <c r="E28" s="308">
        <f>SUMIFS('PL1.1 ML2027-2028'!$G:$G,'PL1.1 ML2027-2028'!$J:$J,'TH theo DV'!$E$3,'PL1.1 ML2027-2028'!$K:$K,'TH theo DV'!C28)/$D$1</f>
        <v>0</v>
      </c>
      <c r="F28" s="308">
        <f>SUMIFS('PL1.1 ML2027-2028'!$G:$G,'PL1.1 ML2027-2028'!$J:$J,'TH theo DV'!$F$3,'PL1.1 ML2027-2028'!$K:$K,'TH theo DV'!C28)/$D$1</f>
        <v>0</v>
      </c>
      <c r="G28" s="312">
        <f>SUMIFS('PL1.1 ML2027-2028'!$G:$G,'PL1.1 ML2027-2028'!$J:$J,'TH theo DV'!$G$3,'PL1.1 ML2027-2028'!$K:$K,'TH theo DV'!C28)/$D$1</f>
        <v>0</v>
      </c>
      <c r="H28" s="308">
        <f>SUMIFS('PL1.1 ML2027-2028'!$G:$G,'PL1.1 ML2027-2028'!$J:$J,'TH theo DV'!$H$3,'PL1.1 ML2027-2028'!$K:$K,'TH theo DV'!C28)/$D$1</f>
        <v>0</v>
      </c>
      <c r="I28" s="308">
        <f>SUMIFS('PL1.1 ML2027-2028'!$G:$G,'PL1.1 ML2027-2028'!$J:$J,'TH theo DV'!$I$3,'PL1.1 ML2027-2028'!$K:$K,'TH theo DV'!C28)/$D$1</f>
        <v>0</v>
      </c>
      <c r="J28" s="308">
        <f>SUMIFS('PL1.1 ML2027-2028'!$G:$G,'PL1.1 ML2027-2028'!$J:$J,'TH theo DV'!J$3,'PL1.1 ML2027-2028'!$K:$K,'TH theo DV'!$C28)/$D$1</f>
        <v>0</v>
      </c>
      <c r="K28" s="309">
        <f>SUM(D28:J28)</f>
        <v>0</v>
      </c>
      <c r="L28" s="158" t="e">
        <f t="shared" si="32"/>
        <v>#DIV/0!</v>
      </c>
      <c r="M28" s="308">
        <f>SUMIFS('PL1.1 ML2027-2028'!$H:$H,'PL1.1 ML2027-2028'!$J:$J,'TH theo DV'!M$3,'PL1.1 ML2027-2028'!$K:$K,'TH theo DV'!$C28)/$D$1</f>
        <v>0</v>
      </c>
      <c r="N28" s="308">
        <f>SUMIFS('PL1.1 ML2027-2028'!$H:$H,'PL1.1 ML2027-2028'!$J:$J,'TH theo DV'!N$3,'PL1.1 ML2027-2028'!$K:$K,'TH theo DV'!$C28)/$D$1</f>
        <v>0</v>
      </c>
      <c r="O28" s="308">
        <f>SUMIFS('PL1.1 ML2027-2028'!$H:$H,'PL1.1 ML2027-2028'!$J:$J,'TH theo DV'!O$3,'PL1.1 ML2027-2028'!$K:$K,'TH theo DV'!$C28)/$D$1</f>
        <v>0</v>
      </c>
      <c r="P28" s="308">
        <f>SUMIFS('PL1.1 ML2027-2028'!$H:$H,'PL1.1 ML2027-2028'!$J:$J,'TH theo DV'!P$3,'PL1.1 ML2027-2028'!$K:$K,'TH theo DV'!$C28)/$D$1</f>
        <v>0</v>
      </c>
      <c r="Q28" s="308">
        <f>SUMIFS('PL1.1 ML2027-2028'!$H:$H,'PL1.1 ML2027-2028'!$J:$J,'TH theo DV'!Q$3,'PL1.1 ML2027-2028'!$K:$K,'TH theo DV'!$C28)/$D$1</f>
        <v>0</v>
      </c>
      <c r="R28" s="308">
        <f>SUMIFS('PL1.1 ML2027-2028'!$H:$H,'PL1.1 ML2027-2028'!$J:$J,'TH theo DV'!R$3,'PL1.1 ML2027-2028'!$K:$K,'TH theo DV'!$C28)/$D$1</f>
        <v>0</v>
      </c>
      <c r="S28" s="308">
        <f>SUMIFS('PL1.1 ML2027-2028'!$H:$H,'PL1.1 ML2027-2028'!$J:$J,'TH theo DV'!S$3,'PL1.1 ML2027-2028'!$K:$K,'TH theo DV'!$C28)/$D$1</f>
        <v>0</v>
      </c>
      <c r="T28" s="311">
        <f t="shared" si="36"/>
        <v>0</v>
      </c>
      <c r="U28" s="315"/>
      <c r="V28" s="111">
        <f>D28+M28</f>
        <v>0</v>
      </c>
      <c r="W28" s="111">
        <f>E28+N28</f>
        <v>0</v>
      </c>
      <c r="X28" s="111">
        <f>F28+O28</f>
        <v>0</v>
      </c>
      <c r="Y28" s="111">
        <f>G28+P28</f>
        <v>0</v>
      </c>
      <c r="Z28" s="111">
        <f>H28+Q28</f>
        <v>0</v>
      </c>
      <c r="AA28" s="111">
        <f>I28+R28</f>
        <v>0</v>
      </c>
      <c r="AB28" s="103">
        <f>SUM(V28:AA28)</f>
        <v>0</v>
      </c>
      <c r="AC28" s="113" t="e">
        <f t="shared" si="35"/>
        <v>#DIV/0!</v>
      </c>
    </row>
    <row r="29" spans="1:32" ht="25.5" outlineLevel="1" x14ac:dyDescent="0.25">
      <c r="A29" s="93" t="s">
        <v>15</v>
      </c>
      <c r="B29" s="159" t="s">
        <v>118</v>
      </c>
      <c r="C29" s="143"/>
      <c r="D29" s="307">
        <f t="shared" ref="D29:F29" si="37">SUBTOTAL(9,D30:D33)</f>
        <v>0</v>
      </c>
      <c r="E29" s="307">
        <f t="shared" si="37"/>
        <v>0</v>
      </c>
      <c r="F29" s="307">
        <f t="shared" si="37"/>
        <v>0</v>
      </c>
      <c r="G29" s="307">
        <f>SUBTOTAL(9,G30:G33)</f>
        <v>0</v>
      </c>
      <c r="H29" s="307">
        <f t="shared" ref="H29:K29" si="38">SUBTOTAL(9,H30:H33)</f>
        <v>0</v>
      </c>
      <c r="I29" s="307">
        <f t="shared" si="38"/>
        <v>0</v>
      </c>
      <c r="J29" s="321">
        <f t="shared" ref="J29" si="39">SUBTOTAL(9,J30:J33)</f>
        <v>0</v>
      </c>
      <c r="K29" s="307">
        <f t="shared" si="38"/>
        <v>0</v>
      </c>
      <c r="L29" s="162" t="e">
        <f>K29/$K$4</f>
        <v>#DIV/0!</v>
      </c>
      <c r="M29" s="307">
        <f t="shared" ref="M29" si="40">SUBTOTAL(9,M30:M33)</f>
        <v>0</v>
      </c>
      <c r="N29" s="307">
        <f t="shared" ref="N29" si="41">SUBTOTAL(9,N31:N33)</f>
        <v>0</v>
      </c>
      <c r="O29" s="307">
        <f t="shared" ref="O29:T29" si="42">SUBTOTAL(9,O30:O33)</f>
        <v>0</v>
      </c>
      <c r="P29" s="307">
        <f t="shared" si="42"/>
        <v>0</v>
      </c>
      <c r="Q29" s="307">
        <f t="shared" si="42"/>
        <v>0</v>
      </c>
      <c r="R29" s="307">
        <f t="shared" si="42"/>
        <v>0</v>
      </c>
      <c r="S29" s="307">
        <f t="shared" si="42"/>
        <v>0</v>
      </c>
      <c r="T29" s="307">
        <f t="shared" si="42"/>
        <v>0</v>
      </c>
      <c r="U29" s="162" t="e">
        <f>T29/$T$4</f>
        <v>#DIV/0!</v>
      </c>
      <c r="V29" s="112">
        <f t="shared" ref="V29:AB29" si="43">SUBTOTAL(9,V31:V33)</f>
        <v>0</v>
      </c>
      <c r="W29" s="112">
        <f t="shared" si="43"/>
        <v>0</v>
      </c>
      <c r="X29" s="112">
        <f t="shared" si="43"/>
        <v>0</v>
      </c>
      <c r="Y29" s="112">
        <f t="shared" si="43"/>
        <v>0</v>
      </c>
      <c r="Z29" s="112">
        <f t="shared" si="43"/>
        <v>0</v>
      </c>
      <c r="AA29" s="112">
        <f t="shared" si="43"/>
        <v>0</v>
      </c>
      <c r="AB29" s="112">
        <f t="shared" si="43"/>
        <v>0</v>
      </c>
      <c r="AC29" s="162" t="e">
        <f t="shared" si="9"/>
        <v>#DIV/0!</v>
      </c>
    </row>
    <row r="30" spans="1:32" s="51" customFormat="1" outlineLevel="1" x14ac:dyDescent="0.25">
      <c r="A30" s="28">
        <v>1</v>
      </c>
      <c r="B30" s="77" t="s">
        <v>163</v>
      </c>
      <c r="C30" s="28" t="s">
        <v>164</v>
      </c>
      <c r="D30" s="312">
        <f>SUMIFS('PL1.1 ML2027-2028'!$G:$G,'PL1.1 ML2027-2028'!$J:$J,'TH theo DV'!$D$3,'PL1.1 ML2027-2028'!$K:$K,'TH theo DV'!C30)/$D$1</f>
        <v>0</v>
      </c>
      <c r="E30" s="312">
        <f>SUMIFS('PL1.1 ML2027-2028'!$G:$G,'PL1.1 ML2027-2028'!$J:$J,'TH theo DV'!$E$3,'PL1.1 ML2027-2028'!$K:$K,'TH theo DV'!C30)/$D$1</f>
        <v>0</v>
      </c>
      <c r="F30" s="312">
        <f>SUMIFS('PL1.1 ML2027-2028'!$G:$G,'PL1.1 ML2027-2028'!$J:$J,'TH theo DV'!$F$3,'PL1.1 ML2027-2028'!$K:$K,'TH theo DV'!C30)/$D$1</f>
        <v>0</v>
      </c>
      <c r="G30" s="308">
        <f>SUMIFS('PL1.1 ML2027-2028'!$G:$G,'PL1.1 ML2027-2028'!$J:$J,'TH theo DV'!$G$3,'PL1.1 ML2027-2028'!$K:$K,'TH theo DV'!C30)/$D$1</f>
        <v>0</v>
      </c>
      <c r="H30" s="308">
        <f>SUMIFS('PL1.1 ML2027-2028'!$G:$G,'PL1.1 ML2027-2028'!$J:$J,'TH theo DV'!$H$3,'PL1.1 ML2027-2028'!$K:$K,'TH theo DV'!C30)/$D$1</f>
        <v>0</v>
      </c>
      <c r="I30" s="312">
        <f>SUMIFS('PL1.1 ML2027-2028'!$G:$G,'PL1.1 ML2027-2028'!$J:$J,'TH theo DV'!$I$3,'PL1.1 ML2027-2028'!$K:$K,'TH theo DV'!C30)/$D$1</f>
        <v>0</v>
      </c>
      <c r="J30" s="270">
        <f>SUMIFS('PL1.1 ML2027-2028'!$G:$G,'PL1.1 ML2027-2028'!$J:$J,'TH theo DV'!J$3,'PL1.1 ML2027-2028'!$K:$K,'TH theo DV'!$C30)/$D$1</f>
        <v>0</v>
      </c>
      <c r="K30" s="309">
        <f>SUM(D30:J30)</f>
        <v>0</v>
      </c>
      <c r="L30" s="158" t="e">
        <f>K30/$K$4</f>
        <v>#DIV/0!</v>
      </c>
      <c r="M30" s="312">
        <f>SUMIFS('PL1.1 ML2027-2028'!$H:$H,'PL1.1 ML2027-2028'!$J:$J,'TH theo DV'!M$3,'PL1.1 ML2027-2028'!$K:$K,'TH theo DV'!$C30)/$D$1</f>
        <v>0</v>
      </c>
      <c r="N30" s="312">
        <f>SUMIFS('PL1.1 ML2027-2028'!$H:$H,'PL1.1 ML2027-2028'!$J:$J,'TH theo DV'!N$3,'PL1.1 ML2027-2028'!$K:$K,'TH theo DV'!$C30)/$D$1</f>
        <v>0</v>
      </c>
      <c r="O30" s="312">
        <f>SUMIFS('PL1.1 ML2027-2028'!$H:$H,'PL1.1 ML2027-2028'!$J:$J,'TH theo DV'!O$3,'PL1.1 ML2027-2028'!$K:$K,'TH theo DV'!$C30)/$D$1</f>
        <v>0</v>
      </c>
      <c r="P30" s="312">
        <f>SUMIFS('PL1.1 ML2027-2028'!$H:$H,'PL1.1 ML2027-2028'!$J:$J,'TH theo DV'!P$3,'PL1.1 ML2027-2028'!$K:$K,'TH theo DV'!$C30)/$D$1</f>
        <v>0</v>
      </c>
      <c r="Q30" s="312">
        <f>SUMIFS('PL1.1 ML2027-2028'!$H:$H,'PL1.1 ML2027-2028'!$J:$J,'TH theo DV'!Q$3,'PL1.1 ML2027-2028'!$K:$K,'TH theo DV'!$C30)/$D$1</f>
        <v>0</v>
      </c>
      <c r="R30" s="312">
        <f>SUMIFS('PL1.1 ML2027-2028'!$H:$H,'PL1.1 ML2027-2028'!$J:$J,'TH theo DV'!R$3,'PL1.1 ML2027-2028'!$K:$K,'TH theo DV'!$C30)/$D$1</f>
        <v>0</v>
      </c>
      <c r="S30" s="308">
        <f>SUMIFS('PL1.1 ML2027-2028'!$H:$H,'PL1.1 ML2027-2028'!$J:$J,'TH theo DV'!S$3,'PL1.1 ML2027-2028'!$K:$K,'TH theo DV'!$C30)/$D$1</f>
        <v>0</v>
      </c>
      <c r="T30" s="311">
        <f t="shared" ref="T30:T34" si="44">SUM(M30:S30)</f>
        <v>0</v>
      </c>
      <c r="U30" s="316" t="e">
        <f>T30/$T$4</f>
        <v>#DIV/0!</v>
      </c>
      <c r="V30" s="141">
        <f>D30+M30</f>
        <v>0</v>
      </c>
      <c r="W30" s="141">
        <f>E30+N30</f>
        <v>0</v>
      </c>
      <c r="X30" s="141">
        <f>F30+O30</f>
        <v>0</v>
      </c>
      <c r="Y30" s="141">
        <f>G30+P30</f>
        <v>0</v>
      </c>
      <c r="Z30" s="141">
        <f>H30+Q30</f>
        <v>0</v>
      </c>
      <c r="AA30" s="141">
        <f>I30+R30</f>
        <v>0</v>
      </c>
      <c r="AB30" s="140">
        <f t="shared" ref="AB30" si="45">SUM(V30:AA30)</f>
        <v>0</v>
      </c>
      <c r="AC30" s="158" t="e">
        <f t="shared" si="9"/>
        <v>#DIV/0!</v>
      </c>
      <c r="AD30" s="70"/>
    </row>
    <row r="31" spans="1:32" ht="25.5" outlineLevel="1" x14ac:dyDescent="0.25">
      <c r="A31" s="65">
        <v>2</v>
      </c>
      <c r="B31" s="142" t="s">
        <v>162</v>
      </c>
      <c r="C31" s="118" t="s">
        <v>80</v>
      </c>
      <c r="D31" s="312">
        <f>SUMIFS('PL1.1 ML2027-2028'!$G:$G,'PL1.1 ML2027-2028'!$J:$J,'TH theo DV'!$D$3,'PL1.1 ML2027-2028'!$K:$K,'TH theo DV'!C31)/$D$1</f>
        <v>0</v>
      </c>
      <c r="E31" s="312">
        <f>SUMIFS('PL1.1 ML2027-2028'!$G:$G,'PL1.1 ML2027-2028'!$J:$J,'TH theo DV'!$E$3,'PL1.1 ML2027-2028'!$K:$K,'TH theo DV'!C31)/$D$1</f>
        <v>0</v>
      </c>
      <c r="F31" s="312">
        <f>SUMIFS('PL1.1 ML2027-2028'!$G:$G,'PL1.1 ML2027-2028'!$J:$J,'TH theo DV'!$F$3,'PL1.1 ML2027-2028'!$K:$K,'TH theo DV'!C31)/$D$1</f>
        <v>0</v>
      </c>
      <c r="G31" s="308">
        <f>SUMIFS('PL1.1 ML2027-2028'!$G:$G,'PL1.1 ML2027-2028'!$J:$J,'TH theo DV'!$G$3,'PL1.1 ML2027-2028'!$K:$K,'TH theo DV'!C31)/$D$1</f>
        <v>0</v>
      </c>
      <c r="H31" s="308">
        <f>SUMIFS('PL1.1 ML2027-2028'!$G:$G,'PL1.1 ML2027-2028'!$J:$J,'TH theo DV'!$H$3,'PL1.1 ML2027-2028'!$K:$K,'TH theo DV'!C31)/$D$1</f>
        <v>0</v>
      </c>
      <c r="I31" s="312">
        <f>SUMIFS('PL1.1 ML2027-2028'!$G:$G,'PL1.1 ML2027-2028'!$J:$J,'TH theo DV'!$I$3,'PL1.1 ML2027-2028'!$K:$K,'TH theo DV'!C31)/$D$1</f>
        <v>0</v>
      </c>
      <c r="J31" s="270">
        <f>SUMIFS('PL1.1 ML2027-2028'!$G:$G,'PL1.1 ML2027-2028'!$J:$J,'TH theo DV'!J$3,'PL1.1 ML2027-2028'!$K:$K,'TH theo DV'!$C31)/$D$1</f>
        <v>0</v>
      </c>
      <c r="K31" s="309">
        <f>SUM(D31:J31)</f>
        <v>0</v>
      </c>
      <c r="L31" s="113" t="e">
        <f>K31/$K$4</f>
        <v>#DIV/0!</v>
      </c>
      <c r="M31" s="308">
        <f>SUMIFS('PL1.1 ML2027-2028'!$H:$H,'PL1.1 ML2027-2028'!$J:$J,'TH theo DV'!M$3,'PL1.1 ML2027-2028'!$K:$K,'TH theo DV'!$C31)/$D$1</f>
        <v>0</v>
      </c>
      <c r="N31" s="308">
        <f>SUMIFS('PL1.1 ML2027-2028'!$H:$H,'PL1.1 ML2027-2028'!$J:$J,'TH theo DV'!N$3,'PL1.1 ML2027-2028'!$K:$K,'TH theo DV'!$C31)/$D$1</f>
        <v>0</v>
      </c>
      <c r="O31" s="308">
        <f>SUMIFS('PL1.1 ML2027-2028'!$H:$H,'PL1.1 ML2027-2028'!$J:$J,'TH theo DV'!O$3,'PL1.1 ML2027-2028'!$K:$K,'TH theo DV'!$C31)/$D$1</f>
        <v>0</v>
      </c>
      <c r="P31" s="308">
        <f>SUMIFS('PL1.1 ML2027-2028'!$H:$H,'PL1.1 ML2027-2028'!$J:$J,'TH theo DV'!P$3,'PL1.1 ML2027-2028'!$K:$K,'TH theo DV'!$C31)/$D$1</f>
        <v>0</v>
      </c>
      <c r="Q31" s="308">
        <f>SUMIFS('PL1.1 ML2027-2028'!$H:$H,'PL1.1 ML2027-2028'!$J:$J,'TH theo DV'!Q$3,'PL1.1 ML2027-2028'!$K:$K,'TH theo DV'!$C31)/$D$1</f>
        <v>0</v>
      </c>
      <c r="R31" s="308">
        <f>SUMIFS('PL1.1 ML2027-2028'!$H:$H,'PL1.1 ML2027-2028'!$J:$J,'TH theo DV'!R$3,'PL1.1 ML2027-2028'!$K:$K,'TH theo DV'!$C31)/$D$1</f>
        <v>0</v>
      </c>
      <c r="S31" s="308">
        <f>SUMIFS('PL1.1 ML2027-2028'!$H:$H,'PL1.1 ML2027-2028'!$J:$J,'TH theo DV'!S$3,'PL1.1 ML2027-2028'!$K:$K,'TH theo DV'!$C31)/$D$1</f>
        <v>0</v>
      </c>
      <c r="T31" s="311">
        <f t="shared" si="44"/>
        <v>0</v>
      </c>
      <c r="U31" s="318" t="e">
        <f>T31/$T$4</f>
        <v>#DIV/0!</v>
      </c>
      <c r="V31" s="111">
        <f>D31+M31</f>
        <v>0</v>
      </c>
      <c r="W31" s="111">
        <f>E31+N31</f>
        <v>0</v>
      </c>
      <c r="X31" s="111">
        <f>F31+O31</f>
        <v>0</v>
      </c>
      <c r="Y31" s="111">
        <f>G31+P31</f>
        <v>0</v>
      </c>
      <c r="Z31" s="111">
        <f>H31+Q31</f>
        <v>0</v>
      </c>
      <c r="AA31" s="111">
        <f>I31+R31</f>
        <v>0</v>
      </c>
      <c r="AB31" s="103">
        <f t="shared" ref="AB31:AB32" si="46">SUM(V31:AA31)</f>
        <v>0</v>
      </c>
      <c r="AC31" s="113" t="e">
        <f t="shared" si="9"/>
        <v>#DIV/0!</v>
      </c>
      <c r="AD31" s="183"/>
      <c r="AE31" s="150"/>
      <c r="AF31" s="66"/>
    </row>
    <row r="32" spans="1:32" ht="17.649999999999999" customHeight="1" outlineLevel="1" x14ac:dyDescent="0.25">
      <c r="A32" s="28">
        <v>3</v>
      </c>
      <c r="B32" s="121" t="s">
        <v>165</v>
      </c>
      <c r="C32" s="65" t="s">
        <v>121</v>
      </c>
      <c r="D32" s="312">
        <f>SUMIFS('PL1.1 ML2027-2028'!$G:$G,'PL1.1 ML2027-2028'!$J:$J,'TH theo DV'!$D$3,'PL1.1 ML2027-2028'!$K:$K,'TH theo DV'!C32)/$D$1</f>
        <v>0</v>
      </c>
      <c r="E32" s="312">
        <f>SUMIFS('PL1.1 ML2027-2028'!$G:$G,'PL1.1 ML2027-2028'!$J:$J,'TH theo DV'!$E$3,'PL1.1 ML2027-2028'!$K:$K,'TH theo DV'!C32)/$D$1</f>
        <v>0</v>
      </c>
      <c r="F32" s="216">
        <f>SUMIFS('PL1.1 ML2027-2028'!$G:$G,'PL1.1 ML2027-2028'!$J:$J,'TH theo DV'!$F$3,'PL1.1 ML2027-2028'!$K:$K,'TH theo DV'!C32)/$D$1</f>
        <v>0</v>
      </c>
      <c r="G32" s="308">
        <f>SUMIFS('PL1.1 ML2027-2028'!$G:$G,'PL1.1 ML2027-2028'!$J:$J,'TH theo DV'!$G$3,'PL1.1 ML2027-2028'!$K:$K,'TH theo DV'!C32)/$D$1</f>
        <v>0</v>
      </c>
      <c r="H32" s="308">
        <f>SUMIFS('PL1.1 ML2027-2028'!$G:$G,'PL1.1 ML2027-2028'!$J:$J,'TH theo DV'!$H$3,'PL1.1 ML2027-2028'!$K:$K,'TH theo DV'!C32)/$D$1</f>
        <v>0</v>
      </c>
      <c r="I32" s="312">
        <f>SUMIFS('PL1.1 ML2027-2028'!$G:$G,'PL1.1 ML2027-2028'!$J:$J,'TH theo DV'!$I$3,'PL1.1 ML2027-2028'!$K:$K,'TH theo DV'!C32)/$D$1</f>
        <v>0</v>
      </c>
      <c r="J32" s="270">
        <f>SUMIFS('PL1.1 ML2027-2028'!$G:$G,'PL1.1 ML2027-2028'!$J:$J,'TH theo DV'!J$3,'PL1.1 ML2027-2028'!$K:$K,'TH theo DV'!$C32)/$D$1</f>
        <v>0</v>
      </c>
      <c r="K32" s="309">
        <f>SUM(D32:J32)</f>
        <v>0</v>
      </c>
      <c r="L32" s="113" t="e">
        <f>K32/$K$4</f>
        <v>#DIV/0!</v>
      </c>
      <c r="M32" s="308">
        <f>SUMIFS('PL1.1 ML2027-2028'!$H:$H,'PL1.1 ML2027-2028'!$J:$J,'TH theo DV'!M$3,'PL1.1 ML2027-2028'!$K:$K,'TH theo DV'!$C32)/$D$1</f>
        <v>0</v>
      </c>
      <c r="N32" s="308">
        <f>SUMIFS('PL1.1 ML2027-2028'!$H:$H,'PL1.1 ML2027-2028'!$J:$J,'TH theo DV'!N$3,'PL1.1 ML2027-2028'!$K:$K,'TH theo DV'!$C32)/$D$1</f>
        <v>0</v>
      </c>
      <c r="O32" s="270">
        <f>SUMIFS('PL1.1 ML2027-2028'!$H:$H,'PL1.1 ML2027-2028'!$J:$J,'TH theo DV'!O$3,'PL1.1 ML2027-2028'!$K:$K,'TH theo DV'!$C32)/$D$1</f>
        <v>0</v>
      </c>
      <c r="P32" s="308">
        <f>SUMIFS('PL1.1 ML2027-2028'!$H:$H,'PL1.1 ML2027-2028'!$J:$J,'TH theo DV'!P$3,'PL1.1 ML2027-2028'!$K:$K,'TH theo DV'!$C32)/$D$1</f>
        <v>0</v>
      </c>
      <c r="Q32" s="308">
        <f>SUMIFS('PL1.1 ML2027-2028'!$H:$H,'PL1.1 ML2027-2028'!$J:$J,'TH theo DV'!Q$3,'PL1.1 ML2027-2028'!$K:$K,'TH theo DV'!$C32)/$D$1</f>
        <v>0</v>
      </c>
      <c r="R32" s="308">
        <f>SUMIFS('PL1.1 ML2027-2028'!$H:$H,'PL1.1 ML2027-2028'!$J:$J,'TH theo DV'!R$3,'PL1.1 ML2027-2028'!$K:$K,'TH theo DV'!$C32)/$D$1</f>
        <v>0</v>
      </c>
      <c r="S32" s="308">
        <f>SUMIFS('PL1.1 ML2027-2028'!$H:$H,'PL1.1 ML2027-2028'!$J:$J,'TH theo DV'!S$3,'PL1.1 ML2027-2028'!$K:$K,'TH theo DV'!$C32)/$D$1</f>
        <v>0</v>
      </c>
      <c r="T32" s="311">
        <f t="shared" si="44"/>
        <v>0</v>
      </c>
      <c r="U32" s="318" t="e">
        <f>T32/$T$4</f>
        <v>#DIV/0!</v>
      </c>
      <c r="V32" s="111">
        <f>D32+M32</f>
        <v>0</v>
      </c>
      <c r="W32" s="111">
        <f>E32+N32</f>
        <v>0</v>
      </c>
      <c r="X32" s="111">
        <f>F32+O32</f>
        <v>0</v>
      </c>
      <c r="Y32" s="111">
        <f>G32+P32</f>
        <v>0</v>
      </c>
      <c r="Z32" s="111">
        <f>H32+Q32</f>
        <v>0</v>
      </c>
      <c r="AA32" s="111">
        <f>I32+R32</f>
        <v>0</v>
      </c>
      <c r="AB32" s="103">
        <f t="shared" si="46"/>
        <v>0</v>
      </c>
      <c r="AC32" s="113" t="e">
        <f t="shared" si="9"/>
        <v>#DIV/0!</v>
      </c>
      <c r="AD32" s="183"/>
    </row>
    <row r="33" spans="1:32" s="51" customFormat="1" ht="25.5" outlineLevel="1" x14ac:dyDescent="0.25">
      <c r="A33" s="28">
        <v>4</v>
      </c>
      <c r="B33" s="142" t="s">
        <v>101</v>
      </c>
      <c r="C33" s="28" t="s">
        <v>102</v>
      </c>
      <c r="D33" s="312">
        <f>SUMIFS('PL1.1 ML2027-2028'!$G:$G,'PL1.1 ML2027-2028'!$J:$J,'TH theo DV'!$D$3,'PL1.1 ML2027-2028'!$K:$K,'TH theo DV'!C33)/$D$1</f>
        <v>0</v>
      </c>
      <c r="E33" s="141">
        <f>SUMIFS('PL1.1 ML2027-2028'!$G:$G,'PL1.1 ML2027-2028'!$J:$J,'TH theo DV'!$E$3,'PL1.1 ML2027-2028'!$K:$K,'TH theo DV'!C33)/$D$1</f>
        <v>0</v>
      </c>
      <c r="F33" s="141">
        <f>SUMIFS('PL1.1 ML2027-2028'!$G:$G,'PL1.1 ML2027-2028'!$J:$J,'TH theo DV'!$F$3,'PL1.1 ML2027-2028'!$K:$K,'TH theo DV'!C33)/$D$1</f>
        <v>0</v>
      </c>
      <c r="G33" s="111">
        <f>SUMIFS('PL1.1 ML2027-2028'!$G:$G,'PL1.1 ML2027-2028'!$J:$J,'TH theo DV'!$G$3,'PL1.1 ML2027-2028'!$K:$K,'TH theo DV'!C33)/$D$1</f>
        <v>0</v>
      </c>
      <c r="H33" s="111">
        <f>SUMIFS('PL1.1 ML2027-2028'!$G:$G,'PL1.1 ML2027-2028'!$J:$J,'TH theo DV'!$H$3,'PL1.1 ML2027-2028'!$K:$K,'TH theo DV'!C33)/$D$1</f>
        <v>0</v>
      </c>
      <c r="I33" s="141">
        <f>SUMIFS('PL1.1 ML2027-2028'!$G:$G,'PL1.1 ML2027-2028'!$J:$J,'TH theo DV'!$I$3,'PL1.1 ML2027-2028'!$K:$K,'TH theo DV'!C33)/$D$1</f>
        <v>0</v>
      </c>
      <c r="J33" s="141">
        <f>SUMIFS('PL1.1 ML2027-2028'!$G:$G,'PL1.1 ML2027-2028'!$J:$J,'TH theo DV'!$I$3,'PL1.1 ML2027-2028'!$K:$K,'TH theo DV'!D33)/$D$1</f>
        <v>0</v>
      </c>
      <c r="K33" s="309">
        <f>SUM(D33:J33)</f>
        <v>0</v>
      </c>
      <c r="L33" s="113" t="e">
        <f>K33/$K$4</f>
        <v>#DIV/0!</v>
      </c>
      <c r="M33" s="111">
        <f>SUMIFS('PL1.1 ML2027-2028'!$H:$H,'PL1.1 ML2027-2028'!$J:$J,'TH theo DV'!M$3,'PL1.1 ML2027-2028'!$K:$K,'TH theo DV'!$C33)/$D$1</f>
        <v>0</v>
      </c>
      <c r="N33" s="111">
        <f>SUMIFS('PL1.1 ML2027-2028'!$H:$H,'PL1.1 ML2027-2028'!$J:$J,'TH theo DV'!N$3,'PL1.1 ML2027-2028'!$K:$K,'TH theo DV'!$C33)/$D$1</f>
        <v>0</v>
      </c>
      <c r="O33" s="111">
        <f>SUMIFS('PL1.1 ML2027-2028'!$H:$H,'PL1.1 ML2027-2028'!$J:$J,'TH theo DV'!O$3,'PL1.1 ML2027-2028'!$K:$K,'TH theo DV'!$C33)/$D$1</f>
        <v>0</v>
      </c>
      <c r="P33" s="111">
        <f>SUMIFS('PL1.1 ML2027-2028'!$H:$H,'PL1.1 ML2027-2028'!$J:$J,'TH theo DV'!P$3,'PL1.1 ML2027-2028'!$K:$K,'TH theo DV'!$C33)/$D$1</f>
        <v>0</v>
      </c>
      <c r="Q33" s="111">
        <f>SUMIFS('PL1.1 ML2027-2028'!$H:$H,'PL1.1 ML2027-2028'!$J:$J,'TH theo DV'!Q$3,'PL1.1 ML2027-2028'!$K:$K,'TH theo DV'!$C33)/$D$1</f>
        <v>0</v>
      </c>
      <c r="R33" s="111">
        <f>SUMIFS('PL1.1 ML2027-2028'!$H:$H,'PL1.1 ML2027-2028'!$J:$J,'TH theo DV'!R$3,'PL1.1 ML2027-2028'!$K:$K,'TH theo DV'!$C33)/$D$1</f>
        <v>0</v>
      </c>
      <c r="S33" s="308">
        <f>SUMIFS('PL1.1 ML2027-2028'!$H:$H,'PL1.1 ML2027-2028'!$J:$J,'TH theo DV'!S$3,'PL1.1 ML2027-2028'!$K:$K,'TH theo DV'!$C33)/$D$1</f>
        <v>0</v>
      </c>
      <c r="T33" s="311">
        <f t="shared" si="44"/>
        <v>0</v>
      </c>
      <c r="U33" s="318" t="e">
        <f>T33/$T$4</f>
        <v>#DIV/0!</v>
      </c>
      <c r="V33" s="111">
        <f>D33+M33</f>
        <v>0</v>
      </c>
      <c r="W33" s="111">
        <f>E33+N33</f>
        <v>0</v>
      </c>
      <c r="X33" s="111">
        <f>F33+O33</f>
        <v>0</v>
      </c>
      <c r="Y33" s="111">
        <f>G33+P33</f>
        <v>0</v>
      </c>
      <c r="Z33" s="111">
        <f>H33+Q33</f>
        <v>0</v>
      </c>
      <c r="AA33" s="111">
        <f>I33+R33</f>
        <v>0</v>
      </c>
      <c r="AB33" s="103">
        <f t="shared" ref="AB33" si="47">SUM(V33:AA33)</f>
        <v>0</v>
      </c>
      <c r="AC33" s="113" t="e">
        <f t="shared" si="9"/>
        <v>#DIV/0!</v>
      </c>
      <c r="AD33" s="183"/>
      <c r="AE33" s="150"/>
      <c r="AF33" s="66"/>
    </row>
    <row r="34" spans="1:32" outlineLevel="1" x14ac:dyDescent="0.25">
      <c r="A34" s="93" t="s">
        <v>18</v>
      </c>
      <c r="B34" s="159" t="s">
        <v>222</v>
      </c>
      <c r="C34" s="143" t="s">
        <v>217</v>
      </c>
      <c r="D34" s="307"/>
      <c r="E34" s="307"/>
      <c r="F34" s="307"/>
      <c r="G34" s="307">
        <f>SUMIFS('PL1.1 ML2027-2028'!$G:$G,'PL1.1 ML2027-2028'!$L:$L,C34)/$D$1</f>
        <v>0</v>
      </c>
      <c r="H34" s="307"/>
      <c r="I34" s="307"/>
      <c r="J34" s="321"/>
      <c r="K34" s="321">
        <f>SUM(D34:J34)</f>
        <v>0</v>
      </c>
      <c r="L34" s="162" t="e">
        <f>K34/$K$4</f>
        <v>#DIV/0!</v>
      </c>
      <c r="M34" s="307"/>
      <c r="N34" s="307"/>
      <c r="O34" s="307"/>
      <c r="P34" s="307">
        <f>SUMIFS('PL1.1 ML2027-2028'!$H:$H,'PL1.1 ML2027-2028'!$L:$L,C34)/$D$1</f>
        <v>0</v>
      </c>
      <c r="Q34" s="307"/>
      <c r="R34" s="307"/>
      <c r="S34" s="307"/>
      <c r="T34" s="307">
        <f t="shared" si="44"/>
        <v>0</v>
      </c>
      <c r="U34" s="162" t="e">
        <f>T34/$T$4</f>
        <v>#DIV/0!</v>
      </c>
      <c r="V34" s="307">
        <f>D34+M34</f>
        <v>0</v>
      </c>
      <c r="W34" s="307">
        <f>E34+N34</f>
        <v>0</v>
      </c>
      <c r="X34" s="307">
        <f>F34+O34</f>
        <v>0</v>
      </c>
      <c r="Y34" s="307">
        <f>G34+P34</f>
        <v>0</v>
      </c>
      <c r="Z34" s="307">
        <f>H34+Q34</f>
        <v>0</v>
      </c>
      <c r="AA34" s="307">
        <f>I34+R34</f>
        <v>0</v>
      </c>
      <c r="AB34" s="307">
        <f t="shared" ref="AB34" si="48">SUM(V34:AA34)</f>
        <v>0</v>
      </c>
      <c r="AC34" s="307" t="e">
        <f t="shared" ref="AC34" si="49">AB34/$AB$4</f>
        <v>#DIV/0!</v>
      </c>
    </row>
  </sheetData>
  <mergeCells count="3">
    <mergeCell ref="M2:U2"/>
    <mergeCell ref="D2:L2"/>
    <mergeCell ref="V2:AC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14:formula1>
            <xm:f>Mã!$C$4:$C$26</xm:f>
          </x14:formula1>
          <xm:sqref>C6</xm:sqref>
        </x14:dataValidation>
        <x14:dataValidation type="list" allowBlank="1" showInputMessage="1" showErrorMessage="1">
          <x14:formula1>
            <xm:f>Mã!$C$4:$C$30</xm:f>
          </x14:formula1>
          <xm:sqref>C7:C26 C29:C33</xm:sqref>
        </x14:dataValidation>
        <x14:dataValidation type="list" allowBlank="1" showInputMessage="1" showErrorMessage="1">
          <x14:formula1>
            <xm:f>Mã!$C$4:$C$33</xm:f>
          </x14:formula1>
          <xm:sqref>C27:C28</xm:sqref>
        </x14:dataValidation>
        <x14:dataValidation type="list" allowBlank="1" showInputMessage="1" showErrorMessage="1">
          <x14:formula1>
            <xm:f>Mã!$C$4:$C$34</xm:f>
          </x14:formula1>
          <xm:sqref>C34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60"/>
  <sheetViews>
    <sheetView zoomScale="90" zoomScaleNormal="90" workbookViewId="0">
      <pane xSplit="4" ySplit="4" topLeftCell="E5" activePane="bottomRight" state="frozen"/>
      <selection activeCell="N27" sqref="N27"/>
      <selection pane="topRight" activeCell="N27" sqref="N27"/>
      <selection pane="bottomLeft" activeCell="N27" sqref="N27"/>
      <selection pane="bottomRight" activeCell="C11" sqref="C11"/>
    </sheetView>
  </sheetViews>
  <sheetFormatPr defaultColWidth="9.28515625" defaultRowHeight="12.75" outlineLevelRow="2" x14ac:dyDescent="0.25"/>
  <cols>
    <col min="1" max="1" width="3.28515625" style="8" bestFit="1" customWidth="1"/>
    <col min="2" max="2" width="24.7109375" style="197" customWidth="1"/>
    <col min="3" max="3" width="9.28515625" style="55" customWidth="1"/>
    <col min="4" max="4" width="57" style="6" customWidth="1"/>
    <col min="5" max="5" width="7.28515625" style="6" customWidth="1"/>
    <col min="6" max="6" width="7.42578125" style="16" customWidth="1"/>
    <col min="7" max="7" width="53.5703125" style="6" customWidth="1"/>
    <col min="8" max="8" width="7.28515625" style="6" customWidth="1"/>
    <col min="9" max="9" width="10.7109375" style="55" customWidth="1"/>
    <col min="10" max="10" width="9.140625" style="55" customWidth="1"/>
    <col min="11" max="12" width="9.28515625" style="8" customWidth="1"/>
    <col min="13" max="14" width="9.28515625" style="6" customWidth="1"/>
    <col min="15" max="15" width="8.5703125" style="6" customWidth="1"/>
    <col min="16" max="16384" width="9.28515625" style="6"/>
  </cols>
  <sheetData>
    <row r="1" spans="1:14" ht="18.75" x14ac:dyDescent="0.25">
      <c r="A1" s="354" t="s">
        <v>175</v>
      </c>
      <c r="B1" s="355"/>
      <c r="C1" s="355"/>
      <c r="D1" s="355"/>
      <c r="E1" s="355"/>
      <c r="F1" s="355"/>
      <c r="G1" s="355"/>
      <c r="H1" s="355"/>
      <c r="I1" s="355"/>
      <c r="J1" s="355"/>
    </row>
    <row r="2" spans="1:14" x14ac:dyDescent="0.25">
      <c r="C2" s="104"/>
      <c r="F2" s="129"/>
      <c r="I2" s="104"/>
      <c r="J2" s="104"/>
    </row>
    <row r="3" spans="1:14" s="7" customFormat="1" x14ac:dyDescent="0.25">
      <c r="A3" s="357" t="s">
        <v>0</v>
      </c>
      <c r="B3" s="356" t="s">
        <v>33</v>
      </c>
      <c r="C3" s="357">
        <v>2027</v>
      </c>
      <c r="D3" s="357"/>
      <c r="E3" s="357"/>
      <c r="F3" s="358">
        <v>2028</v>
      </c>
      <c r="G3" s="358"/>
      <c r="H3" s="358"/>
      <c r="I3" s="359" t="s">
        <v>174</v>
      </c>
      <c r="J3" s="356" t="s">
        <v>91</v>
      </c>
      <c r="K3" s="15"/>
      <c r="L3" s="15"/>
    </row>
    <row r="4" spans="1:14" ht="38.25" x14ac:dyDescent="0.25">
      <c r="A4" s="357"/>
      <c r="B4" s="356"/>
      <c r="C4" s="101" t="s">
        <v>172</v>
      </c>
      <c r="D4" s="196" t="s">
        <v>92</v>
      </c>
      <c r="E4" s="196" t="s">
        <v>91</v>
      </c>
      <c r="F4" s="205" t="s">
        <v>172</v>
      </c>
      <c r="G4" s="62" t="s">
        <v>92</v>
      </c>
      <c r="H4" s="62" t="s">
        <v>91</v>
      </c>
      <c r="I4" s="359"/>
      <c r="J4" s="356"/>
      <c r="M4" s="66" t="e">
        <f>C5</f>
        <v>#REF!</v>
      </c>
    </row>
    <row r="5" spans="1:14" x14ac:dyDescent="0.25">
      <c r="A5" s="20"/>
      <c r="B5" s="23" t="s">
        <v>34</v>
      </c>
      <c r="C5" s="43" t="e">
        <f>SUBTOTAL(9,C6:C60)</f>
        <v>#REF!</v>
      </c>
      <c r="D5" s="21"/>
      <c r="E5" s="24" t="e">
        <f>C5/I5</f>
        <v>#REF!</v>
      </c>
      <c r="F5" s="68" t="e">
        <f>SUBTOTAL(9,F7:F60)</f>
        <v>#REF!</v>
      </c>
      <c r="G5" s="21"/>
      <c r="H5" s="24" t="e">
        <f>F5/I5</f>
        <v>#REF!</v>
      </c>
      <c r="I5" s="43" t="e">
        <f>SUBTOTAL(9,I6:I60)</f>
        <v>#REF!</v>
      </c>
      <c r="J5" s="43"/>
    </row>
    <row r="6" spans="1:14" ht="25.5" x14ac:dyDescent="0.25">
      <c r="A6" s="102" t="s">
        <v>11</v>
      </c>
      <c r="B6" s="56" t="s">
        <v>110</v>
      </c>
      <c r="C6" s="75">
        <f>SUBTOTAL(9,C7:C14)</f>
        <v>0</v>
      </c>
      <c r="D6" s="170"/>
      <c r="E6" s="57" t="e">
        <f>C6/$C$5</f>
        <v>#REF!</v>
      </c>
      <c r="F6" s="75">
        <f>SUBTOTAL(9,F7:F13)</f>
        <v>0</v>
      </c>
      <c r="G6" s="74"/>
      <c r="H6" s="57" t="e">
        <f>F6/$F$5</f>
        <v>#REF!</v>
      </c>
      <c r="I6" s="75">
        <f>SUBTOTAL(9,I7:I14)</f>
        <v>0</v>
      </c>
      <c r="J6" s="57" t="e">
        <f>I6/$I$5</f>
        <v>#REF!</v>
      </c>
    </row>
    <row r="7" spans="1:14" s="69" customFormat="1" outlineLevel="1" x14ac:dyDescent="0.25">
      <c r="A7" s="52" t="s">
        <v>4</v>
      </c>
      <c r="B7" s="11" t="s">
        <v>56</v>
      </c>
      <c r="C7" s="3">
        <f>SUBTOTAL(9,C8:C11)</f>
        <v>0</v>
      </c>
      <c r="D7" s="171"/>
      <c r="E7" s="105" t="e">
        <f>C7/$C$5</f>
        <v>#REF!</v>
      </c>
      <c r="F7" s="10">
        <f>SUBTOTAL(9,F8:F11)</f>
        <v>0</v>
      </c>
      <c r="G7" s="178">
        <v>0</v>
      </c>
      <c r="H7" s="105" t="e">
        <f>F7/$F$5</f>
        <v>#REF!</v>
      </c>
      <c r="I7" s="3">
        <f>SUBTOTAL(9,I8:I11)</f>
        <v>0</v>
      </c>
      <c r="J7" s="105" t="e">
        <f>I7/$I$5</f>
        <v>#REF!</v>
      </c>
      <c r="K7" s="203"/>
      <c r="L7" s="54"/>
      <c r="N7" s="76">
        <f>'PL1.3 Buc tranh sau QH'!D6-'PL1.2 TH theo mục đích'!C7</f>
        <v>0</v>
      </c>
    </row>
    <row r="8" spans="1:14" s="269" customFormat="1" ht="25.5" outlineLevel="2" x14ac:dyDescent="0.25">
      <c r="A8" s="120">
        <v>1</v>
      </c>
      <c r="B8" s="262" t="s">
        <v>29</v>
      </c>
      <c r="C8" s="206">
        <f>SUMIFS('PL1.1 ML2027-2028'!$G:$G,'PL1.1 ML2027-2028'!$J:$J,L8,'PL1.1 ML2027-2028'!$K:$K,'PL1.2 TH theo mục đích'!K8)/10^6</f>
        <v>0</v>
      </c>
      <c r="D8" s="264" t="s">
        <v>198</v>
      </c>
      <c r="E8" s="267"/>
      <c r="F8" s="206">
        <f>SUMIFS('PL1.1 ML2027-2028'!$H:$H,'PL1.1 ML2027-2028'!$J:$J,"VT",'PL1.1 ML2027-2028'!$K:$K,"5G",'PL1.1 ML2027-2028'!$L:$L,"VTTB")/10^6+SUMIFS('PL1.1 ML2027-2028'!$H:$H,'PL1.1 ML2027-2028'!$J:$J,"VT",'PL1.1 ML2027-2028'!$K:$K,"5G",'PL1.1 ML2027-2028'!$L:$L,"TK")/10^6</f>
        <v>0</v>
      </c>
      <c r="G8" s="264" t="s">
        <v>199</v>
      </c>
      <c r="H8" s="267"/>
      <c r="I8" s="206">
        <f>C8+F8</f>
        <v>0</v>
      </c>
      <c r="J8" s="267" t="e">
        <f t="shared" ref="J8:J12" si="0">I8/$I$5</f>
        <v>#REF!</v>
      </c>
      <c r="K8" s="268" t="s">
        <v>49</v>
      </c>
      <c r="L8" s="268" t="s">
        <v>7</v>
      </c>
    </row>
    <row r="9" spans="1:14" s="227" customFormat="1" outlineLevel="2" x14ac:dyDescent="0.25">
      <c r="A9" s="228">
        <v>2</v>
      </c>
      <c r="B9" s="229" t="s">
        <v>28</v>
      </c>
      <c r="C9" s="222">
        <f>SUMIFS('PL1.1 ML2027-2028'!$G:$G,'PL1.1 ML2027-2028'!$J:$J,L9,'PL1.1 ML2027-2028'!$K:$K,K9)/10^6</f>
        <v>0</v>
      </c>
      <c r="D9" s="223"/>
      <c r="E9" s="225" t="e">
        <f t="shared" ref="E9:E14" si="1">C9/$C$5</f>
        <v>#REF!</v>
      </c>
      <c r="F9" s="224">
        <f>SUMIFS('PL1.1 ML2027-2028'!$H:$H,'PL1.1 ML2027-2028'!$J:$J,"ML",'PL1.1 ML2027-2028'!$K:$K,"5G",'PL1.1 ML2027-2028'!$L:$L,"VTTB")/10^6+SUMIFS('PL1.1 ML2027-2028'!$H:$H,'PL1.1 ML2027-2028'!$J:$J,"ML",'PL1.1 ML2027-2028'!$K:$K,"5G",'PL1.1 ML2027-2028'!$L:$L,"TK")/10^6</f>
        <v>0</v>
      </c>
      <c r="G9" s="223"/>
      <c r="H9" s="225"/>
      <c r="I9" s="224">
        <f t="shared" ref="I9:I14" si="2">C9+F9</f>
        <v>0</v>
      </c>
      <c r="J9" s="225" t="e">
        <f t="shared" si="0"/>
        <v>#REF!</v>
      </c>
      <c r="K9" s="226" t="s">
        <v>49</v>
      </c>
      <c r="L9" s="226" t="s">
        <v>14</v>
      </c>
    </row>
    <row r="10" spans="1:14" s="51" customFormat="1" ht="38.25" outlineLevel="2" x14ac:dyDescent="0.25">
      <c r="A10" s="1">
        <v>3</v>
      </c>
      <c r="B10" s="53" t="s">
        <v>30</v>
      </c>
      <c r="C10" s="10">
        <f>'TH theo DV'!H7</f>
        <v>0</v>
      </c>
      <c r="D10" s="167" t="s">
        <v>203</v>
      </c>
      <c r="E10" s="49" t="e">
        <f t="shared" si="1"/>
        <v>#REF!</v>
      </c>
      <c r="F10" s="10">
        <f>SUMIFS('PL1.1 ML2027-2028'!$H:$H,'PL1.1 ML2027-2028'!$J:$J,"TD",'PL1.1 ML2027-2028'!$K:$K,"5G",'PL1.1 ML2027-2028'!$L:$L,"VTTB")/10^6+SUMIFS('PL1.1 ML2027-2028'!$H:$H,'PL1.1 ML2027-2028'!$J:$J,"TD",'PL1.1 ML2027-2028'!$K:$K,"5G",'PL1.1 ML2027-2028'!$L:$L,"TK")/10^6</f>
        <v>0</v>
      </c>
      <c r="G10" s="178">
        <v>0</v>
      </c>
      <c r="H10" s="49"/>
      <c r="I10" s="10">
        <f t="shared" si="2"/>
        <v>0</v>
      </c>
      <c r="J10" s="49" t="e">
        <f t="shared" si="0"/>
        <v>#REF!</v>
      </c>
      <c r="K10" s="70" t="s">
        <v>49</v>
      </c>
      <c r="L10" s="70" t="s">
        <v>17</v>
      </c>
    </row>
    <row r="11" spans="1:14" s="51" customFormat="1" ht="38.25" outlineLevel="2" x14ac:dyDescent="0.25">
      <c r="A11" s="1">
        <v>4</v>
      </c>
      <c r="B11" s="53" t="s">
        <v>31</v>
      </c>
      <c r="C11" s="10">
        <f>'TH theo DV'!I7</f>
        <v>0</v>
      </c>
      <c r="D11" s="88" t="s">
        <v>173</v>
      </c>
      <c r="E11" s="49" t="e">
        <f t="shared" si="1"/>
        <v>#REF!</v>
      </c>
      <c r="F11" s="10">
        <f>SUMIFS('PL1.1 ML2027-2028'!$H:$H,'PL1.1 ML2027-2028'!$J:$J,"CĐ",'PL1.1 ML2027-2028'!$K:$K,"5G",'PL1.1 ML2027-2028'!$L:$L,"VTTB")/10^6+SUMIFS('PL1.1 ML2027-2028'!$H:$H,'PL1.1 ML2027-2028'!$J:$J,"CĐ",'PL1.1 ML2027-2028'!$K:$K,"5G",'PL1.1 ML2027-2028'!$L:$L,"TK")/10^6</f>
        <v>0</v>
      </c>
      <c r="G11" s="178">
        <v>0</v>
      </c>
      <c r="H11" s="49"/>
      <c r="I11" s="10">
        <f t="shared" si="2"/>
        <v>0</v>
      </c>
      <c r="J11" s="49" t="e">
        <f t="shared" si="0"/>
        <v>#REF!</v>
      </c>
      <c r="K11" s="70" t="s">
        <v>49</v>
      </c>
      <c r="L11" s="70" t="s">
        <v>6</v>
      </c>
    </row>
    <row r="12" spans="1:14" s="69" customFormat="1" outlineLevel="2" x14ac:dyDescent="0.25">
      <c r="A12" s="52" t="s">
        <v>10</v>
      </c>
      <c r="B12" s="193" t="s">
        <v>111</v>
      </c>
      <c r="C12" s="3">
        <f>SUMIFS('PL1.1 ML2027-2028'!$G:$G,'PL1.1 ML2027-2028'!$K:$K,'PL1.2 TH theo mục đích'!K12)/10^6</f>
        <v>0</v>
      </c>
      <c r="D12" s="119" t="s">
        <v>152</v>
      </c>
      <c r="E12" s="105" t="e">
        <f t="shared" si="1"/>
        <v>#REF!</v>
      </c>
      <c r="F12" s="3">
        <f>'TH theo DV'!T8</f>
        <v>0</v>
      </c>
      <c r="G12" s="194">
        <v>0</v>
      </c>
      <c r="H12" s="105"/>
      <c r="I12" s="3">
        <f t="shared" si="2"/>
        <v>0</v>
      </c>
      <c r="J12" s="49" t="e">
        <f t="shared" si="0"/>
        <v>#REF!</v>
      </c>
      <c r="K12" s="70" t="s">
        <v>111</v>
      </c>
      <c r="L12" s="70" t="s">
        <v>19</v>
      </c>
    </row>
    <row r="13" spans="1:14" s="212" customFormat="1" ht="25.5" outlineLevel="2" x14ac:dyDescent="0.25">
      <c r="A13" s="254" t="s">
        <v>15</v>
      </c>
      <c r="B13" s="255" t="s">
        <v>112</v>
      </c>
      <c r="C13" s="217">
        <f>SUMIFS('PL1.1 ML2027-2028'!$G:$G,'PL1.1 ML2027-2028'!$J:$J,L13,'PL1.1 ML2027-2028'!$K:$K,K13)/10^6</f>
        <v>0</v>
      </c>
      <c r="D13" s="272" t="s">
        <v>208</v>
      </c>
      <c r="E13" s="256" t="e">
        <f t="shared" si="1"/>
        <v>#REF!</v>
      </c>
      <c r="F13" s="116">
        <f>'TH theo DV'!T9</f>
        <v>0</v>
      </c>
      <c r="G13" s="272" t="s">
        <v>209</v>
      </c>
      <c r="H13" s="219"/>
      <c r="I13" s="116">
        <f t="shared" si="2"/>
        <v>0</v>
      </c>
      <c r="J13" s="219" t="e">
        <f>I13/$I$5</f>
        <v>#REF!</v>
      </c>
      <c r="K13" s="220" t="s">
        <v>112</v>
      </c>
      <c r="L13" s="220" t="s">
        <v>21</v>
      </c>
    </row>
    <row r="14" spans="1:14" s="51" customFormat="1" outlineLevel="2" x14ac:dyDescent="0.25">
      <c r="A14" s="52" t="s">
        <v>18</v>
      </c>
      <c r="B14" s="193" t="s">
        <v>108</v>
      </c>
      <c r="C14" s="3">
        <f>SUMIFS('PL1.1 ML2027-2028'!$G:$G,'PL1.1 ML2027-2028'!$K:$K,'PL1.2 TH theo mục đích'!K14)/10^6</f>
        <v>0</v>
      </c>
      <c r="D14" s="164" t="s">
        <v>153</v>
      </c>
      <c r="E14" s="105" t="e">
        <f t="shared" si="1"/>
        <v>#REF!</v>
      </c>
      <c r="F14" s="10">
        <f>'TH theo DV'!T10</f>
        <v>0</v>
      </c>
      <c r="G14" s="178">
        <v>0</v>
      </c>
      <c r="H14" s="49"/>
      <c r="I14" s="10">
        <f t="shared" si="2"/>
        <v>0</v>
      </c>
      <c r="J14" s="49" t="e">
        <f>I14/$I$5</f>
        <v>#REF!</v>
      </c>
      <c r="K14" s="70" t="s">
        <v>113</v>
      </c>
      <c r="L14" s="70" t="s">
        <v>14</v>
      </c>
    </row>
    <row r="15" spans="1:14" ht="25.5" x14ac:dyDescent="0.25">
      <c r="A15" s="58" t="s">
        <v>22</v>
      </c>
      <c r="B15" s="200" t="s">
        <v>114</v>
      </c>
      <c r="C15" s="110" t="e">
        <f>SUBTOTAL(9,C16:C37)</f>
        <v>#REF!</v>
      </c>
      <c r="D15" s="172"/>
      <c r="E15" s="48" t="e">
        <f>C15/$C$5</f>
        <v>#REF!</v>
      </c>
      <c r="F15" s="110" t="e">
        <f>SUBTOTAL(9,F16:F37)</f>
        <v>#REF!</v>
      </c>
      <c r="G15" s="179"/>
      <c r="H15" s="48" t="e">
        <f>F15/$F$5</f>
        <v>#REF!</v>
      </c>
      <c r="I15" s="110" t="e">
        <f>SUBTOTAL(9,I16:I37)</f>
        <v>#REF!</v>
      </c>
      <c r="J15" s="48" t="e">
        <f>I15/$I$5</f>
        <v>#REF!</v>
      </c>
      <c r="L15" s="204"/>
      <c r="N15" s="18" t="e">
        <f>'PL1.3 Buc tranh sau QH'!D10-'PL1.2 TH theo mục đích'!C15</f>
        <v>#REF!</v>
      </c>
    </row>
    <row r="16" spans="1:14" s="69" customFormat="1" outlineLevel="1" x14ac:dyDescent="0.25">
      <c r="A16" s="52" t="s">
        <v>4</v>
      </c>
      <c r="B16" s="11" t="s">
        <v>29</v>
      </c>
      <c r="C16" s="3">
        <f>SUBTOTAL(9,C17:C19)</f>
        <v>0</v>
      </c>
      <c r="D16" s="171"/>
      <c r="E16" s="105" t="e">
        <f>C16/C5</f>
        <v>#REF!</v>
      </c>
      <c r="F16" s="10">
        <f>SUBTOTAL(9,F17:F19)</f>
        <v>0</v>
      </c>
      <c r="G16" s="178">
        <v>0</v>
      </c>
      <c r="H16" s="105" t="e">
        <f>F16/F5</f>
        <v>#REF!</v>
      </c>
      <c r="I16" s="10">
        <f>SUBTOTAL(9,I17:I19)</f>
        <v>0</v>
      </c>
      <c r="J16" s="105" t="e">
        <f>I16/$I$5</f>
        <v>#REF!</v>
      </c>
      <c r="K16" s="54"/>
      <c r="L16" s="54"/>
      <c r="N16" s="76">
        <f>C16-'PL1.3 Buc tranh sau QH'!D11</f>
        <v>0</v>
      </c>
    </row>
    <row r="17" spans="1:14" s="269" customFormat="1" outlineLevel="2" x14ac:dyDescent="0.25">
      <c r="A17" s="120">
        <v>1</v>
      </c>
      <c r="B17" s="262" t="s">
        <v>35</v>
      </c>
      <c r="C17" s="206">
        <f>SUMIFS('PL1.1 ML2027-2028'!$G:$G,'PL1.1 ML2027-2028'!$J:$J,"VT",'PL1.1 ML2027-2028'!$K:$K,"VPDĐ",'PL1.1 ML2027-2028'!$L:$L,"VTTB")/10^6</f>
        <v>0</v>
      </c>
      <c r="D17" s="264" t="s">
        <v>192</v>
      </c>
      <c r="E17" s="267" t="e">
        <f t="shared" ref="E17:E19" si="3">C17/$C$5</f>
        <v>#REF!</v>
      </c>
      <c r="F17" s="206">
        <f>SUMIFS('PL1.1 ML2027-2028'!$H:$H,'PL1.1 ML2027-2028'!$J:$J,"VT",'PL1.1 ML2027-2028'!$K:$K,"VPDĐ",'PL1.1 ML2027-2028'!$L:$L,"VTTB")/10^6</f>
        <v>0</v>
      </c>
      <c r="G17" s="266" t="s">
        <v>193</v>
      </c>
      <c r="H17" s="267"/>
      <c r="I17" s="206">
        <f>C17+F17</f>
        <v>0</v>
      </c>
      <c r="J17" s="267" t="e">
        <f>I17/$I$5</f>
        <v>#REF!</v>
      </c>
      <c r="K17" s="268" t="s">
        <v>7</v>
      </c>
      <c r="L17" s="268" t="s">
        <v>7</v>
      </c>
    </row>
    <row r="18" spans="1:14" s="51" customFormat="1" outlineLevel="2" x14ac:dyDescent="0.25">
      <c r="A18" s="1">
        <v>2</v>
      </c>
      <c r="B18" s="53" t="s">
        <v>36</v>
      </c>
      <c r="C18" s="10">
        <f>SUMIFS('PL1.1 ML2027-2028'!$G:$G,'PL1.1 ML2027-2028'!$J:$J,"VT",'PL1.1 ML2027-2028'!$K:$K,"VPDĐ",'PL1.1 ML2027-2028'!$L:$L,"TK")/10^6</f>
        <v>0</v>
      </c>
      <c r="D18" s="88" t="s">
        <v>138</v>
      </c>
      <c r="E18" s="49" t="e">
        <f t="shared" si="3"/>
        <v>#REF!</v>
      </c>
      <c r="F18" s="10">
        <f>SUMIFS('PL1.1 ML2027-2028'!$H:$H,'PL1.1 ML2027-2028'!$J:$J,"VT",'PL1.1 ML2027-2028'!$K:$K,"VPDĐ",'PL1.1 ML2027-2028'!$L:$L,"TK")/10^6</f>
        <v>0</v>
      </c>
      <c r="G18" s="178">
        <v>0</v>
      </c>
      <c r="H18" s="49"/>
      <c r="I18" s="10">
        <f>C18+F18</f>
        <v>0</v>
      </c>
      <c r="J18" s="49" t="e">
        <f t="shared" ref="J18:J19" si="4">I18/$I$5</f>
        <v>#REF!</v>
      </c>
      <c r="K18" s="70" t="s">
        <v>7</v>
      </c>
      <c r="L18" s="70" t="s">
        <v>7</v>
      </c>
    </row>
    <row r="19" spans="1:14" s="269" customFormat="1" ht="114.6" customHeight="1" outlineLevel="2" x14ac:dyDescent="0.25">
      <c r="A19" s="120">
        <v>3</v>
      </c>
      <c r="B19" s="262" t="s">
        <v>37</v>
      </c>
      <c r="C19" s="206">
        <f>SUMIFS('PL1.1 ML2027-2028'!$G:$G,'PL1.1 ML2027-2028'!$J:$J,"VT",'PL1.1 ML2027-2028'!$K:$K,"DLDĐ",'PL1.1 ML2027-2028'!$L:$L,"VTTB")/10^6
+ SUMIFS('PL1.1 ML2027-2028'!$G:$G,'PL1.1 ML2027-2028'!$J:$J,"VT",'PL1.1 ML2027-2028'!$K:$K,"DLDĐ",'PL1.1 ML2027-2028'!$L:$L,"TK")/10^6</f>
        <v>0</v>
      </c>
      <c r="D19" s="264" t="s">
        <v>194</v>
      </c>
      <c r="E19" s="267" t="e">
        <f t="shared" si="3"/>
        <v>#REF!</v>
      </c>
      <c r="F19" s="206">
        <f>SUMIFS('PL1.1 ML2027-2028'!$H:$H,'PL1.1 ML2027-2028'!$J:$J,"VT",'PL1.1 ML2027-2028'!$K:$K,"DLDĐ",'PL1.1 ML2027-2028'!$L:$L,"VTTB")/10^6
+ SUMIFS('PL1.1 ML2027-2028'!$H:$H,'PL1.1 ML2027-2028'!$J:$J,"VT",'PL1.1 ML2027-2028'!$K:$K,"DLDĐ",'PL1.1 ML2027-2028'!$L:$L,"TK")/10^6</f>
        <v>0</v>
      </c>
      <c r="G19" s="264" t="s">
        <v>195</v>
      </c>
      <c r="H19" s="267"/>
      <c r="I19" s="206">
        <f>C19+F19</f>
        <v>0</v>
      </c>
      <c r="J19" s="267" t="e">
        <f t="shared" si="4"/>
        <v>#REF!</v>
      </c>
      <c r="K19" s="268" t="s">
        <v>7</v>
      </c>
      <c r="L19" s="268" t="s">
        <v>7</v>
      </c>
    </row>
    <row r="20" spans="1:14" s="51" customFormat="1" outlineLevel="1" x14ac:dyDescent="0.25">
      <c r="A20" s="52" t="s">
        <v>15</v>
      </c>
      <c r="B20" s="11" t="s">
        <v>28</v>
      </c>
      <c r="C20" s="209">
        <f>SUBTOTAL(9,C21:C21)</f>
        <v>0</v>
      </c>
      <c r="D20" s="173"/>
      <c r="E20" s="105" t="e">
        <f>C20/C5</f>
        <v>#REF!</v>
      </c>
      <c r="F20" s="208">
        <f>SUBTOTAL(9,F21:F21)</f>
        <v>0</v>
      </c>
      <c r="G20" s="178">
        <v>0</v>
      </c>
      <c r="H20" s="105" t="e">
        <f>F20/F5</f>
        <v>#REF!</v>
      </c>
      <c r="I20" s="3">
        <f>SUBTOTAL(9,I21:I21)</f>
        <v>0</v>
      </c>
      <c r="J20" s="105" t="e">
        <f>I20/$I$5</f>
        <v>#REF!</v>
      </c>
      <c r="K20" s="182"/>
      <c r="L20" s="182"/>
      <c r="N20" s="106">
        <f>C20-'PL1.3 Buc tranh sau QH'!D14</f>
        <v>0</v>
      </c>
    </row>
    <row r="21" spans="1:14" s="227" customFormat="1" ht="76.5" outlineLevel="2" x14ac:dyDescent="0.25">
      <c r="A21" s="228">
        <v>1</v>
      </c>
      <c r="B21" s="229" t="s">
        <v>38</v>
      </c>
      <c r="C21" s="258">
        <f>SUMIFS('PL1.1 ML2027-2028'!$G:$G,'PL1.1 ML2027-2028'!$J:$J,"ML",'PL1.1 ML2027-2028'!$K:$K,"DLDĐ")/10^6</f>
        <v>0</v>
      </c>
      <c r="D21" s="230" t="s">
        <v>180</v>
      </c>
      <c r="E21" s="259"/>
      <c r="F21" s="222">
        <f>SUMIFS('PL1.1 ML2027-2028'!$H:$H,'PL1.1 ML2027-2028'!$J:$J,"ML",'PL1.1 ML2027-2028'!$K:$K,"DLDĐ")/10^6</f>
        <v>0</v>
      </c>
      <c r="G21" s="230" t="s">
        <v>181</v>
      </c>
      <c r="H21" s="225"/>
      <c r="I21" s="224">
        <f t="shared" ref="I21:I37" si="5">C21+F21</f>
        <v>0</v>
      </c>
      <c r="J21" s="225" t="e">
        <f>I21/$I$5</f>
        <v>#REF!</v>
      </c>
      <c r="K21" s="226" t="s">
        <v>71</v>
      </c>
      <c r="L21" s="226" t="s">
        <v>14</v>
      </c>
    </row>
    <row r="22" spans="1:14" s="69" customFormat="1" outlineLevel="1" x14ac:dyDescent="0.25">
      <c r="A22" s="52" t="s">
        <v>18</v>
      </c>
      <c r="B22" s="11" t="s">
        <v>39</v>
      </c>
      <c r="C22" s="3" t="e">
        <f>SUBTOTAL(9,C23:C27)</f>
        <v>#REF!</v>
      </c>
      <c r="D22" s="174"/>
      <c r="E22" s="107" t="e">
        <f>C22/C5</f>
        <v>#REF!</v>
      </c>
      <c r="F22" s="3" t="e">
        <f>SUBTOTAL(9,F23:F27)</f>
        <v>#REF!</v>
      </c>
      <c r="G22" s="178">
        <v>0</v>
      </c>
      <c r="H22" s="105" t="e">
        <f>F22/F5</f>
        <v>#REF!</v>
      </c>
      <c r="I22" s="3" t="e">
        <f>SUBTOTAL(9,I23:I27)</f>
        <v>#REF!</v>
      </c>
      <c r="J22" s="105" t="e">
        <f>I22/$I$5</f>
        <v>#REF!</v>
      </c>
      <c r="K22" s="54"/>
      <c r="L22" s="54"/>
      <c r="N22" s="76" t="e">
        <f>C22-'PL1.3 Buc tranh sau QH'!D15</f>
        <v>#REF!</v>
      </c>
    </row>
    <row r="23" spans="1:14" s="51" customFormat="1" ht="25.5" outlineLevel="2" x14ac:dyDescent="0.25">
      <c r="A23" s="1">
        <v>1</v>
      </c>
      <c r="B23" s="53" t="s">
        <v>76</v>
      </c>
      <c r="C23" s="10" t="e">
        <f>('PL1.1 ML2027-2028'!#REF!+'PL1.1 ML2027-2028'!#REF!)/10^6</f>
        <v>#REF!</v>
      </c>
      <c r="D23" s="88"/>
      <c r="E23" s="108"/>
      <c r="F23" s="10" t="e">
        <f>('PL1.1 ML2027-2028'!#REF!+'PL1.1 ML2027-2028'!#REF!)/10^6</f>
        <v>#REF!</v>
      </c>
      <c r="G23" s="180"/>
      <c r="H23" s="49"/>
      <c r="I23" s="10" t="e">
        <f t="shared" si="5"/>
        <v>#REF!</v>
      </c>
      <c r="J23" s="49" t="e">
        <f t="shared" ref="J23:J27" si="6">I23/$I$5</f>
        <v>#REF!</v>
      </c>
      <c r="K23" s="70" t="s">
        <v>19</v>
      </c>
      <c r="L23" s="70" t="s">
        <v>19</v>
      </c>
    </row>
    <row r="24" spans="1:14" s="51" customFormat="1" ht="25.5" outlineLevel="2" x14ac:dyDescent="0.25">
      <c r="A24" s="1">
        <v>2</v>
      </c>
      <c r="B24" s="53" t="s">
        <v>77</v>
      </c>
      <c r="C24" s="10" t="e">
        <f>('PL1.1 ML2027-2028'!#REF!+'PL1.1 ML2027-2028'!#REF!)/10^6</f>
        <v>#REF!</v>
      </c>
      <c r="D24" s="88"/>
      <c r="E24" s="49"/>
      <c r="F24" s="10"/>
      <c r="G24" s="178">
        <v>0</v>
      </c>
      <c r="H24" s="49"/>
      <c r="I24" s="10" t="e">
        <f t="shared" si="5"/>
        <v>#REF!</v>
      </c>
      <c r="J24" s="49" t="e">
        <f t="shared" si="6"/>
        <v>#REF!</v>
      </c>
      <c r="K24" s="70" t="s">
        <v>19</v>
      </c>
      <c r="L24" s="70" t="s">
        <v>19</v>
      </c>
    </row>
    <row r="25" spans="1:14" s="51" customFormat="1" ht="25.5" outlineLevel="2" x14ac:dyDescent="0.25">
      <c r="A25" s="1">
        <v>3</v>
      </c>
      <c r="B25" s="214" t="s">
        <v>190</v>
      </c>
      <c r="C25" s="208">
        <f>SUMIFS('PL1.1 ML2027-2028'!$G:$G,'PL1.1 ML2027-2028'!$J:$J,$K25,'PL1.1 ML2027-2028'!$K:$K,"KT")/10^6</f>
        <v>0</v>
      </c>
      <c r="D25" s="215"/>
      <c r="E25" s="49"/>
      <c r="F25" s="208">
        <f>SUMIFS('PL1.1 ML2027-2028'!$H:$H,'PL1.1 ML2027-2028'!$J:$J,K25,'PL1.1 ML2027-2028'!$K:$K,"KT")/10^6</f>
        <v>0</v>
      </c>
      <c r="G25" s="215"/>
      <c r="H25" s="49"/>
      <c r="I25" s="10">
        <f t="shared" ref="I25" si="7">C25+F25</f>
        <v>0</v>
      </c>
      <c r="J25" s="49" t="e">
        <f t="shared" ref="J25" si="8">I25/$I$5</f>
        <v>#REF!</v>
      </c>
      <c r="K25" s="70" t="s">
        <v>19</v>
      </c>
      <c r="L25" s="70" t="s">
        <v>19</v>
      </c>
    </row>
    <row r="26" spans="1:14" s="51" customFormat="1" outlineLevel="2" x14ac:dyDescent="0.25">
      <c r="A26" s="1">
        <v>4</v>
      </c>
      <c r="B26" s="53" t="s">
        <v>78</v>
      </c>
      <c r="C26" s="10">
        <f>SUMIFS('PL1.1 ML2027-2028'!$G:$G,'PL1.1 ML2027-2028'!$J:$J,K26,'PL1.1 ML2027-2028'!$K:$K,"DLGPON")/10^6</f>
        <v>0</v>
      </c>
      <c r="D26" s="176"/>
      <c r="E26" s="49"/>
      <c r="F26" s="10"/>
      <c r="G26" s="178">
        <v>0</v>
      </c>
      <c r="H26" s="49"/>
      <c r="I26" s="10">
        <f t="shared" si="5"/>
        <v>0</v>
      </c>
      <c r="J26" s="49" t="e">
        <f t="shared" si="6"/>
        <v>#REF!</v>
      </c>
      <c r="K26" s="70" t="s">
        <v>19</v>
      </c>
      <c r="L26" s="70" t="s">
        <v>19</v>
      </c>
    </row>
    <row r="27" spans="1:14" s="51" customFormat="1" outlineLevel="2" x14ac:dyDescent="0.25">
      <c r="A27" s="1">
        <v>5</v>
      </c>
      <c r="B27" s="53" t="s">
        <v>79</v>
      </c>
      <c r="C27" s="10">
        <f>SUMIFS('PL1.1 ML2027-2028'!$G:$G,'PL1.1 ML2027-2028'!$J:$J,K24,'PL1.1 ML2027-2028'!$K:$K,"TH")/10^6</f>
        <v>0</v>
      </c>
      <c r="D27" s="176"/>
      <c r="E27" s="49"/>
      <c r="F27" s="42"/>
      <c r="G27" s="178">
        <v>0</v>
      </c>
      <c r="H27" s="49"/>
      <c r="I27" s="10">
        <f t="shared" si="5"/>
        <v>0</v>
      </c>
      <c r="J27" s="49" t="e">
        <f t="shared" si="6"/>
        <v>#REF!</v>
      </c>
      <c r="K27" s="70" t="s">
        <v>19</v>
      </c>
      <c r="L27" s="70" t="s">
        <v>19</v>
      </c>
    </row>
    <row r="28" spans="1:14" s="69" customFormat="1" outlineLevel="1" x14ac:dyDescent="0.25">
      <c r="A28" s="52" t="s">
        <v>20</v>
      </c>
      <c r="B28" s="11" t="s">
        <v>21</v>
      </c>
      <c r="C28" s="3">
        <f>SUBTOTAL(9,C29:C31)</f>
        <v>0</v>
      </c>
      <c r="D28" s="174"/>
      <c r="E28" s="107" t="e">
        <f>C28/C5</f>
        <v>#REF!</v>
      </c>
      <c r="F28" s="10">
        <f>SUBTOTAL(9,F29:F31)</f>
        <v>0</v>
      </c>
      <c r="G28" s="178">
        <v>0</v>
      </c>
      <c r="H28" s="105" t="e">
        <f>F28/F5</f>
        <v>#REF!</v>
      </c>
      <c r="I28" s="3">
        <f>SUBTOTAL(9,I29:I31)</f>
        <v>0</v>
      </c>
      <c r="J28" s="105" t="e">
        <f>I28/$I$5</f>
        <v>#REF!</v>
      </c>
      <c r="K28" s="54"/>
      <c r="L28" s="54"/>
      <c r="N28" s="76">
        <f>C28-'PL1.3 Buc tranh sau QH'!D19</f>
        <v>0</v>
      </c>
    </row>
    <row r="29" spans="1:14" s="212" customFormat="1" ht="38.25" outlineLevel="2" x14ac:dyDescent="0.25">
      <c r="A29" s="213">
        <v>1</v>
      </c>
      <c r="B29" s="211" t="s">
        <v>116</v>
      </c>
      <c r="C29" s="217">
        <f>SUMIFS('PL1.1 ML2027-2028'!$G:$G,'PL1.1 ML2027-2028'!$J:$J,K29,'PL1.1 ML2027-2028'!$K:$K,"TTKD")/10^6</f>
        <v>0</v>
      </c>
      <c r="D29" s="218" t="s">
        <v>210</v>
      </c>
      <c r="E29" s="219"/>
      <c r="F29" s="116">
        <f>SUMIFS('PL1.1 ML2027-2028'!$H:$H,'PL1.1 ML2027-2028'!$J:$J,"CNTT",'PL1.1 ML2027-2028'!$M:$M,"cloud")/1000000000</f>
        <v>0</v>
      </c>
      <c r="G29" s="218" t="s">
        <v>210</v>
      </c>
      <c r="H29" s="219"/>
      <c r="I29" s="116">
        <f t="shared" si="5"/>
        <v>0</v>
      </c>
      <c r="J29" s="219" t="e">
        <f t="shared" ref="J29" si="9">I29/$I$5</f>
        <v>#REF!</v>
      </c>
      <c r="K29" s="220" t="s">
        <v>21</v>
      </c>
      <c r="L29" s="220" t="s">
        <v>21</v>
      </c>
    </row>
    <row r="30" spans="1:14" s="212" customFormat="1" ht="242.25" outlineLevel="2" x14ac:dyDescent="0.25">
      <c r="A30" s="213">
        <v>2</v>
      </c>
      <c r="B30" s="211" t="s">
        <v>117</v>
      </c>
      <c r="C30" s="217">
        <f>SUMIFS('PL1.1 ML2027-2028'!$G:$G,'PL1.1 ML2027-2028'!$J:$J,K30,'PL1.1 ML2027-2028'!$K:$K,"HTKD")/10^6</f>
        <v>0</v>
      </c>
      <c r="D30" s="271" t="s">
        <v>212</v>
      </c>
      <c r="E30" s="219"/>
      <c r="F30" s="217">
        <f>SUMIFS('PL1.1 ML2027-2028'!$H:$H,'PL1.1 ML2027-2028'!$J:$J,"CNTT",'PL1.1 ML2027-2028'!$M:$M,"cloud")/1000000000</f>
        <v>0</v>
      </c>
      <c r="G30" s="271" t="s">
        <v>211</v>
      </c>
      <c r="H30" s="219"/>
      <c r="I30" s="116">
        <f t="shared" ref="I30" si="10">C30+F30</f>
        <v>0</v>
      </c>
      <c r="J30" s="219" t="e">
        <f>I30/$I$5</f>
        <v>#REF!</v>
      </c>
      <c r="K30" s="220" t="s">
        <v>21</v>
      </c>
      <c r="L30" s="220" t="s">
        <v>21</v>
      </c>
    </row>
    <row r="31" spans="1:14" s="212" customFormat="1" outlineLevel="2" x14ac:dyDescent="0.25">
      <c r="A31" s="213">
        <v>3</v>
      </c>
      <c r="B31" s="211" t="s">
        <v>123</v>
      </c>
      <c r="C31" s="116">
        <f>SUMIFS('PL1.1 ML2027-2028'!$G:$G,'PL1.1 ML2027-2028'!$J:$J,"CNTT",'PL1.1 ML2027-2028'!$K:$K,"ATTT")/10^6</f>
        <v>0</v>
      </c>
      <c r="D31" s="221" t="s">
        <v>124</v>
      </c>
      <c r="E31" s="219"/>
      <c r="F31" s="116">
        <f>SUMIFS('PL1.1 ML2027-2028'!$H:$H,'PL1.1 ML2027-2028'!$J:$J,"CNTT",'PL1.1 ML2027-2028'!$M:$M,"Bigdata")/1000000000</f>
        <v>0</v>
      </c>
      <c r="G31" s="257">
        <v>0</v>
      </c>
      <c r="H31" s="219"/>
      <c r="I31" s="116">
        <f>C31+F31</f>
        <v>0</v>
      </c>
      <c r="J31" s="219" t="e">
        <f>I31/$I$5</f>
        <v>#REF!</v>
      </c>
      <c r="K31" s="220" t="s">
        <v>21</v>
      </c>
      <c r="L31" s="220" t="s">
        <v>21</v>
      </c>
    </row>
    <row r="32" spans="1:14" s="69" customFormat="1" outlineLevel="1" x14ac:dyDescent="0.25">
      <c r="A32" s="52" t="s">
        <v>52</v>
      </c>
      <c r="B32" s="11" t="s">
        <v>30</v>
      </c>
      <c r="C32" s="3">
        <f>SUBTOTAL(9,C33:C34)</f>
        <v>0</v>
      </c>
      <c r="D32" s="174"/>
      <c r="E32" s="107" t="e">
        <f>C32/C5</f>
        <v>#REF!</v>
      </c>
      <c r="F32" s="3">
        <f>SUBTOTAL(9,F33:F34)</f>
        <v>0</v>
      </c>
      <c r="G32" s="178">
        <v>0</v>
      </c>
      <c r="H32" s="105" t="e">
        <f>F32/F5</f>
        <v>#REF!</v>
      </c>
      <c r="I32" s="3">
        <f>SUBTOTAL(9,I33:I34)</f>
        <v>0</v>
      </c>
      <c r="J32" s="105" t="e">
        <f>I32/$I$5</f>
        <v>#REF!</v>
      </c>
      <c r="K32" s="54"/>
      <c r="L32" s="54"/>
      <c r="N32" s="76">
        <f>C32-'PL1.3 Buc tranh sau QH'!D24</f>
        <v>0</v>
      </c>
    </row>
    <row r="33" spans="1:14" s="51" customFormat="1" ht="25.5" outlineLevel="2" x14ac:dyDescent="0.25">
      <c r="A33" s="1">
        <v>1</v>
      </c>
      <c r="B33" s="53" t="s">
        <v>81</v>
      </c>
      <c r="C33" s="10">
        <f>'TH theo DV'!H13+'TH theo DV'!H16</f>
        <v>0</v>
      </c>
      <c r="D33" s="167" t="s">
        <v>204</v>
      </c>
      <c r="E33" s="49"/>
      <c r="F33" s="10">
        <f>'TH theo DV'!Q13+'TH theo DV'!Q16</f>
        <v>0</v>
      </c>
      <c r="G33" s="178">
        <v>0</v>
      </c>
      <c r="H33" s="49"/>
      <c r="I33" s="10">
        <f>C33+F33</f>
        <v>0</v>
      </c>
      <c r="J33" s="49" t="e">
        <f t="shared" ref="J33:J34" si="11">I33/$I$5</f>
        <v>#REF!</v>
      </c>
      <c r="K33" s="70" t="s">
        <v>17</v>
      </c>
      <c r="L33" s="70" t="s">
        <v>17</v>
      </c>
    </row>
    <row r="34" spans="1:14" s="51" customFormat="1" ht="51" outlineLevel="2" x14ac:dyDescent="0.25">
      <c r="A34" s="1">
        <v>2</v>
      </c>
      <c r="B34" s="53" t="s">
        <v>37</v>
      </c>
      <c r="C34" s="10">
        <f>'TH theo DV'!H17+'TH theo DV'!H18+'TH theo DV'!H19+'TH theo DV'!H20+'TH theo DV'!H21</f>
        <v>0</v>
      </c>
      <c r="D34" s="176" t="s">
        <v>205</v>
      </c>
      <c r="E34" s="49"/>
      <c r="F34" s="10">
        <f>'TH theo DV'!Q14+'TH theo DV'!Q17</f>
        <v>0</v>
      </c>
      <c r="G34" s="178">
        <v>0</v>
      </c>
      <c r="H34" s="49"/>
      <c r="I34" s="10">
        <f>C34+F34</f>
        <v>0</v>
      </c>
      <c r="J34" s="49" t="e">
        <f t="shared" si="11"/>
        <v>#REF!</v>
      </c>
      <c r="K34" s="70" t="s">
        <v>17</v>
      </c>
      <c r="L34" s="70" t="s">
        <v>17</v>
      </c>
    </row>
    <row r="35" spans="1:14" s="69" customFormat="1" outlineLevel="1" x14ac:dyDescent="0.25">
      <c r="A35" s="52" t="s">
        <v>52</v>
      </c>
      <c r="B35" s="11" t="s">
        <v>31</v>
      </c>
      <c r="C35" s="3">
        <f>SUBTOTAL(9,C36:C37)</f>
        <v>0</v>
      </c>
      <c r="D35" s="201"/>
      <c r="E35" s="202" t="e">
        <f>C35/$C$5</f>
        <v>#REF!</v>
      </c>
      <c r="F35" s="10">
        <f>SUBTOTAL(9,F36:F37)</f>
        <v>0</v>
      </c>
      <c r="G35" s="178">
        <v>0</v>
      </c>
      <c r="H35" s="202" t="e">
        <f>F35/$F$5</f>
        <v>#REF!</v>
      </c>
      <c r="I35" s="3">
        <f>SUBTOTAL(9,I36:I37)</f>
        <v>0</v>
      </c>
      <c r="J35" s="105" t="e">
        <f>I35/$I$5</f>
        <v>#REF!</v>
      </c>
      <c r="K35" s="54"/>
      <c r="L35" s="54"/>
      <c r="N35" s="76" t="e">
        <f>C35-'PL1.3 Buc tranh sau QH'!#REF!</f>
        <v>#REF!</v>
      </c>
    </row>
    <row r="36" spans="1:14" s="51" customFormat="1" ht="127.5" outlineLevel="2" x14ac:dyDescent="0.25">
      <c r="A36" s="1">
        <v>1</v>
      </c>
      <c r="B36" s="53" t="s">
        <v>81</v>
      </c>
      <c r="C36" s="10">
        <f>'TH theo DV'!I13</f>
        <v>0</v>
      </c>
      <c r="D36" s="167" t="s">
        <v>176</v>
      </c>
      <c r="E36" s="2"/>
      <c r="F36" s="10">
        <f>'TH theo DV'!R13+'TH theo DV'!R16</f>
        <v>0</v>
      </c>
      <c r="G36" s="178">
        <v>0</v>
      </c>
      <c r="H36" s="2"/>
      <c r="I36" s="10">
        <f t="shared" si="5"/>
        <v>0</v>
      </c>
      <c r="J36" s="49" t="e">
        <f t="shared" ref="J36:J37" si="12">I36/$I$5</f>
        <v>#REF!</v>
      </c>
      <c r="K36" s="70" t="s">
        <v>6</v>
      </c>
      <c r="L36" s="70" t="s">
        <v>6</v>
      </c>
    </row>
    <row r="37" spans="1:14" s="51" customFormat="1" ht="25.5" outlineLevel="2" x14ac:dyDescent="0.25">
      <c r="A37" s="1">
        <v>2</v>
      </c>
      <c r="B37" s="53" t="s">
        <v>37</v>
      </c>
      <c r="C37" s="10">
        <f>'TH theo DV'!I14+'TH theo DV'!I17+'TH theo DV'!I18</f>
        <v>0</v>
      </c>
      <c r="E37" s="2"/>
      <c r="F37" s="10">
        <f>'TH theo DV'!R14+'TH theo DV'!R17+'TH theo DV'!R18</f>
        <v>0</v>
      </c>
      <c r="H37" s="2"/>
      <c r="I37" s="10">
        <f t="shared" si="5"/>
        <v>0</v>
      </c>
      <c r="J37" s="49" t="e">
        <f t="shared" si="12"/>
        <v>#REF!</v>
      </c>
      <c r="K37" s="70" t="s">
        <v>6</v>
      </c>
      <c r="L37" s="70" t="s">
        <v>6</v>
      </c>
    </row>
    <row r="38" spans="1:14" x14ac:dyDescent="0.25">
      <c r="A38" s="50" t="s">
        <v>23</v>
      </c>
      <c r="B38" s="198" t="s">
        <v>163</v>
      </c>
      <c r="C38" s="207">
        <f>SUBTOTAL(9,C39:C44)</f>
        <v>0</v>
      </c>
      <c r="D38" s="175"/>
      <c r="E38" s="109" t="e">
        <f>C38/$C$5</f>
        <v>#REF!</v>
      </c>
      <c r="F38" s="96">
        <f>SUBTOTAL(9,F39:F44)</f>
        <v>0</v>
      </c>
      <c r="G38" s="175"/>
      <c r="H38" s="86" t="e">
        <f>F38/$F$5</f>
        <v>#REF!</v>
      </c>
      <c r="I38" s="96">
        <f>SUBTOTAL(9,I39:I44)</f>
        <v>0</v>
      </c>
      <c r="J38" s="109" t="e">
        <f>I38/$I$5</f>
        <v>#REF!</v>
      </c>
      <c r="N38" s="18">
        <f>'PL1.3 Buc tranh sau QH'!D18-'PL1.2 TH theo mục đích'!C38</f>
        <v>0</v>
      </c>
    </row>
    <row r="39" spans="1:14" s="269" customFormat="1" ht="12.95" customHeight="1" outlineLevel="1" x14ac:dyDescent="0.25">
      <c r="A39" s="120">
        <v>1</v>
      </c>
      <c r="B39" s="262" t="s">
        <v>29</v>
      </c>
      <c r="C39" s="263">
        <f>SUMIFS('PL1.1 ML2027-2028'!$G:$G,'PL1.1 ML2027-2028'!$J:$J,K39,'PL1.1 ML2027-2028'!$K:$K,"ƯCTT")/10^6</f>
        <v>0</v>
      </c>
      <c r="D39" s="264" t="s">
        <v>196</v>
      </c>
      <c r="E39" s="265"/>
      <c r="F39" s="206">
        <f>SUMIFS('PL1.1 ML2027-2028'!$H:$H,'PL1.1 ML2027-2028'!$J:$J,"VT",'PL1.1 ML2027-2028'!$K:$K,"ƯCTT")/10^6</f>
        <v>0</v>
      </c>
      <c r="G39" s="266" t="s">
        <v>196</v>
      </c>
      <c r="H39" s="267"/>
      <c r="I39" s="206">
        <f t="shared" ref="I39:I44" si="13">C39+F39</f>
        <v>0</v>
      </c>
      <c r="J39" s="267" t="e">
        <f t="shared" ref="J39:J44" si="14">I39/$I$5</f>
        <v>#REF!</v>
      </c>
      <c r="K39" s="268" t="s">
        <v>7</v>
      </c>
      <c r="L39" s="268" t="s">
        <v>7</v>
      </c>
    </row>
    <row r="40" spans="1:14" s="227" customFormat="1" ht="12.95" customHeight="1" outlineLevel="1" x14ac:dyDescent="0.25">
      <c r="A40" s="228">
        <v>2</v>
      </c>
      <c r="B40" s="229" t="s">
        <v>28</v>
      </c>
      <c r="C40" s="116">
        <f>SUMIFS('PL1.1 ML2027-2028'!$G:$G,'PL1.1 ML2027-2028'!$J:$J,K40,'PL1.1 ML2027-2028'!$K:$K,"ƯCTT")/10^6</f>
        <v>0</v>
      </c>
      <c r="D40" s="223"/>
      <c r="E40" s="259"/>
      <c r="F40" s="224">
        <f>SUMIFS('PL1.1 ML2027-2028'!$H:$H,'PL1.1 ML2027-2028'!$J:$J,"ML",'PL1.1 ML2027-2028'!$K:$K,"ƯCTT")/10^6</f>
        <v>0</v>
      </c>
      <c r="G40" s="223"/>
      <c r="H40" s="225"/>
      <c r="I40" s="224">
        <f t="shared" si="13"/>
        <v>0</v>
      </c>
      <c r="J40" s="225" t="e">
        <f t="shared" si="14"/>
        <v>#REF!</v>
      </c>
      <c r="K40" s="226" t="s">
        <v>14</v>
      </c>
      <c r="L40" s="226" t="s">
        <v>14</v>
      </c>
    </row>
    <row r="41" spans="1:14" s="212" customFormat="1" ht="12.95" customHeight="1" outlineLevel="1" x14ac:dyDescent="0.25">
      <c r="A41" s="213">
        <v>3</v>
      </c>
      <c r="B41" s="211" t="s">
        <v>21</v>
      </c>
      <c r="C41" s="261">
        <f>SUMIFS('PL1.1 ML2027-2028'!$G:$G,'PL1.1 ML2027-2028'!$J:$J,K41,'PL1.1 ML2027-2028'!$K:$K,"ƯCTT")/10^6</f>
        <v>0</v>
      </c>
      <c r="D41" s="221" t="s">
        <v>137</v>
      </c>
      <c r="E41" s="219"/>
      <c r="F41" s="116">
        <f>SUMIFS('PL1.1 ML2027-2028'!$H:$H,'PL1.1 ML2027-2028'!$J:$J,K41,'PL1.1 ML2027-2028'!$K:$K,"ƯCTT")/10^6</f>
        <v>0</v>
      </c>
      <c r="G41" s="257">
        <v>0</v>
      </c>
      <c r="H41" s="219"/>
      <c r="I41" s="116">
        <f t="shared" si="13"/>
        <v>0</v>
      </c>
      <c r="J41" s="219" t="e">
        <f t="shared" si="14"/>
        <v>#REF!</v>
      </c>
      <c r="K41" s="220" t="s">
        <v>21</v>
      </c>
      <c r="L41" s="220" t="s">
        <v>21</v>
      </c>
    </row>
    <row r="42" spans="1:14" outlineLevel="1" x14ac:dyDescent="0.25">
      <c r="A42" s="22">
        <v>4</v>
      </c>
      <c r="B42" s="199" t="s">
        <v>30</v>
      </c>
      <c r="C42" s="10">
        <f>SUMIFS('PL1.1 ML2027-2028'!$G:$G,'PL1.1 ML2027-2028'!$J:$J,K42,'PL1.1 ML2027-2028'!$K:$K,"ƯCTT")/10^6</f>
        <v>0</v>
      </c>
      <c r="D42" s="176" t="s">
        <v>207</v>
      </c>
      <c r="E42" s="26"/>
      <c r="F42" s="116">
        <f>SUMIFS('PL1.1 ML2027-2028'!$H:$H,'PL1.1 ML2027-2028'!$J:$J,K42,'PL1.1 ML2027-2028'!$K:$K,"ƯCTT")/10^6</f>
        <v>0</v>
      </c>
      <c r="G42" s="178">
        <v>0</v>
      </c>
      <c r="H42" s="26"/>
      <c r="I42" s="10">
        <f t="shared" si="13"/>
        <v>0</v>
      </c>
      <c r="J42" s="49" t="e">
        <f t="shared" si="14"/>
        <v>#REF!</v>
      </c>
      <c r="K42" s="8" t="s">
        <v>17</v>
      </c>
      <c r="L42" s="8" t="s">
        <v>17</v>
      </c>
    </row>
    <row r="43" spans="1:14" ht="89.25" outlineLevel="1" x14ac:dyDescent="0.25">
      <c r="A43" s="22">
        <v>5</v>
      </c>
      <c r="B43" s="199" t="s">
        <v>39</v>
      </c>
      <c r="C43" s="10">
        <f>SUMIFS('PL1.1 ML2027-2028'!$G:$G,'PL1.1 ML2027-2028'!$J:$J,K43,'PL1.1 ML2027-2028'!$K:$K,"ƯCTT")/10^6</f>
        <v>0</v>
      </c>
      <c r="D43" s="176" t="s">
        <v>129</v>
      </c>
      <c r="E43" s="26"/>
      <c r="F43" s="116">
        <f>SUMIFS('PL1.1 ML2027-2028'!$H:$H,'PL1.1 ML2027-2028'!$J:$J,K43,'PL1.1 ML2027-2028'!$K:$K,"ƯCTT")/10^6</f>
        <v>0</v>
      </c>
      <c r="G43" s="178">
        <v>0</v>
      </c>
      <c r="H43" s="26"/>
      <c r="I43" s="10">
        <f t="shared" si="13"/>
        <v>0</v>
      </c>
      <c r="J43" s="49" t="e">
        <f t="shared" si="14"/>
        <v>#REF!</v>
      </c>
      <c r="K43" s="8" t="s">
        <v>19</v>
      </c>
      <c r="L43" s="8" t="s">
        <v>19</v>
      </c>
    </row>
    <row r="44" spans="1:14" ht="63.75" outlineLevel="1" x14ac:dyDescent="0.25">
      <c r="A44" s="22">
        <v>5</v>
      </c>
      <c r="B44" s="199" t="s">
        <v>31</v>
      </c>
      <c r="C44" s="10">
        <f>SUMIFS('PL1.1 ML2027-2028'!$G:$G,'PL1.1 ML2027-2028'!$J:$J,K44,'PL1.1 ML2027-2028'!$K:$K,"ƯCTT")/10^6</f>
        <v>0</v>
      </c>
      <c r="D44" s="176" t="s">
        <v>131</v>
      </c>
      <c r="E44" s="26"/>
      <c r="F44" s="116">
        <f>SUMIFS('PL1.1 ML2027-2028'!$H:$H,'PL1.1 ML2027-2028'!$J:$J,K44,'PL1.1 ML2027-2028'!$K:$K,"ƯCTT")/10^6</f>
        <v>0</v>
      </c>
      <c r="G44" s="178">
        <v>0</v>
      </c>
      <c r="H44" s="26"/>
      <c r="I44" s="10">
        <f t="shared" si="13"/>
        <v>0</v>
      </c>
      <c r="J44" s="49" t="e">
        <f t="shared" si="14"/>
        <v>#REF!</v>
      </c>
      <c r="K44" s="8" t="s">
        <v>6</v>
      </c>
      <c r="L44" s="8" t="s">
        <v>6</v>
      </c>
    </row>
    <row r="45" spans="1:14" ht="25.5" x14ac:dyDescent="0.25">
      <c r="A45" s="50" t="s">
        <v>23</v>
      </c>
      <c r="B45" s="198" t="s">
        <v>75</v>
      </c>
      <c r="C45" s="96">
        <f>SUBTOTAL(9,C46:C51)</f>
        <v>0</v>
      </c>
      <c r="D45" s="175"/>
      <c r="E45" s="109" t="e">
        <f>C45/$C$5</f>
        <v>#REF!</v>
      </c>
      <c r="F45" s="96">
        <f>SUBTOTAL(9,F46:F51)</f>
        <v>0</v>
      </c>
      <c r="G45" s="175"/>
      <c r="H45" s="86" t="e">
        <f>F45/$F$5</f>
        <v>#REF!</v>
      </c>
      <c r="I45" s="96">
        <f>SUBTOTAL(9,I46:I51)</f>
        <v>0</v>
      </c>
      <c r="J45" s="109" t="e">
        <f>I45/$I$5</f>
        <v>#REF!</v>
      </c>
      <c r="N45" s="18">
        <f>'PL1.3 Buc tranh sau QH'!D25-'PL1.2 TH theo mục đích'!C45</f>
        <v>0</v>
      </c>
    </row>
    <row r="46" spans="1:14" s="269" customFormat="1" ht="25.5" outlineLevel="1" x14ac:dyDescent="0.25">
      <c r="A46" s="120">
        <v>1</v>
      </c>
      <c r="B46" s="262" t="s">
        <v>29</v>
      </c>
      <c r="C46" s="263">
        <f>SUMIFS('PL1.1 ML2027-2028'!$G:$G,'PL1.1 ML2027-2028'!$J:$J,K46,'PL1.1 ML2027-2028'!$K:$K,"VHKT")/10^6</f>
        <v>0</v>
      </c>
      <c r="D46" s="264" t="s">
        <v>197</v>
      </c>
      <c r="E46" s="265"/>
      <c r="F46" s="206">
        <f>SUMIFS('PL1.1 ML2027-2028'!$H:$H,'PL1.1 ML2027-2028'!$J:$J,K46,'PL1.1 ML2027-2028'!$K:$K,"VHKT")/10^6</f>
        <v>0</v>
      </c>
      <c r="G46" s="264" t="s">
        <v>197</v>
      </c>
      <c r="H46" s="267"/>
      <c r="I46" s="206">
        <f t="shared" ref="I46:I51" si="15">C46+F46</f>
        <v>0</v>
      </c>
      <c r="J46" s="267" t="e">
        <f t="shared" ref="J46:J51" si="16">I46/$I$5</f>
        <v>#REF!</v>
      </c>
      <c r="K46" s="268" t="s">
        <v>7</v>
      </c>
      <c r="L46" s="268" t="s">
        <v>7</v>
      </c>
    </row>
    <row r="47" spans="1:14" s="227" customFormat="1" ht="38.25" outlineLevel="1" x14ac:dyDescent="0.25">
      <c r="A47" s="228">
        <v>2</v>
      </c>
      <c r="B47" s="229" t="s">
        <v>28</v>
      </c>
      <c r="C47" s="222">
        <f>SUMIFS('PL1.1 ML2027-2028'!$G:$G,'PL1.1 ML2027-2028'!$J:$J,K47,'PL1.1 ML2027-2028'!$K:$K,"VHKT")/10^6</f>
        <v>0</v>
      </c>
      <c r="D47" s="223" t="s">
        <v>182</v>
      </c>
      <c r="E47" s="259"/>
      <c r="F47" s="10">
        <f>SUMIFS('PL1.1 ML2027-2028'!$H:$H,'PL1.1 ML2027-2028'!$J:$J,K47,'PL1.1 ML2027-2028'!$K:$K,"VHKT")/10^6</f>
        <v>0</v>
      </c>
      <c r="G47" s="260" t="s">
        <v>183</v>
      </c>
      <c r="H47" s="225"/>
      <c r="I47" s="224">
        <f t="shared" si="15"/>
        <v>0</v>
      </c>
      <c r="J47" s="225" t="e">
        <f t="shared" si="16"/>
        <v>#REF!</v>
      </c>
      <c r="K47" s="226" t="s">
        <v>14</v>
      </c>
      <c r="L47" s="226" t="s">
        <v>14</v>
      </c>
    </row>
    <row r="48" spans="1:14" s="212" customFormat="1" ht="38.25" outlineLevel="1" x14ac:dyDescent="0.25">
      <c r="A48" s="213">
        <v>3</v>
      </c>
      <c r="B48" s="211" t="s">
        <v>21</v>
      </c>
      <c r="C48" s="116">
        <f>SUMIFS('PL1.1 ML2027-2028'!$G:$G,'PL1.1 ML2027-2028'!$J:$J,K48,'PL1.1 ML2027-2028'!$K:$K,"VHKT")/10^6</f>
        <v>0</v>
      </c>
      <c r="D48" s="221" t="s">
        <v>137</v>
      </c>
      <c r="E48" s="219"/>
      <c r="F48" s="10">
        <f>SUMIFS('PL1.1 ML2027-2028'!$H:$H,'PL1.1 ML2027-2028'!$J:$J,K48,'PL1.1 ML2027-2028'!$K:$K,"VHKT")/10^6</f>
        <v>0</v>
      </c>
      <c r="G48" s="257">
        <v>0</v>
      </c>
      <c r="H48" s="219"/>
      <c r="I48" s="116">
        <f t="shared" si="15"/>
        <v>0</v>
      </c>
      <c r="J48" s="219" t="e">
        <f t="shared" si="16"/>
        <v>#REF!</v>
      </c>
      <c r="K48" s="220" t="s">
        <v>21</v>
      </c>
      <c r="L48" s="220" t="s">
        <v>21</v>
      </c>
    </row>
    <row r="49" spans="1:14" outlineLevel="1" x14ac:dyDescent="0.25">
      <c r="A49" s="22">
        <v>4</v>
      </c>
      <c r="B49" s="199" t="s">
        <v>30</v>
      </c>
      <c r="C49" s="10">
        <f>'TH theo DV'!H31</f>
        <v>0</v>
      </c>
      <c r="D49" s="176"/>
      <c r="E49" s="26"/>
      <c r="F49" s="10">
        <f>SUMIFS('PL1.1 ML2027-2028'!$H:$H,'PL1.1 ML2027-2028'!$J:$J,K49,'PL1.1 ML2027-2028'!$K:$K,"VHKT")/10^6</f>
        <v>0</v>
      </c>
      <c r="G49" s="178">
        <v>0</v>
      </c>
      <c r="H49" s="26"/>
      <c r="I49" s="10">
        <f t="shared" si="15"/>
        <v>0</v>
      </c>
      <c r="J49" s="49" t="e">
        <f t="shared" si="16"/>
        <v>#REF!</v>
      </c>
      <c r="K49" s="8" t="s">
        <v>17</v>
      </c>
      <c r="L49" s="8" t="s">
        <v>17</v>
      </c>
    </row>
    <row r="50" spans="1:14" outlineLevel="1" x14ac:dyDescent="0.25">
      <c r="A50" s="22">
        <v>5</v>
      </c>
      <c r="B50" s="199" t="s">
        <v>39</v>
      </c>
      <c r="C50" s="10">
        <f>SUMIFS('PL1.1 ML2027-2028'!$G:$G,'PL1.1 ML2027-2028'!$J:$J,K50,'PL1.1 ML2027-2028'!$K:$K,"VHKT")/10^6</f>
        <v>0</v>
      </c>
      <c r="D50" s="176"/>
      <c r="E50" s="26"/>
      <c r="F50" s="10">
        <f>SUMIFS('PL1.1 ML2027-2028'!$H:$H,'PL1.1 ML2027-2028'!$J:$J,K50,'PL1.1 ML2027-2028'!$K:$K,"VHKT")/10^6</f>
        <v>0</v>
      </c>
      <c r="G50" s="178">
        <v>0</v>
      </c>
      <c r="H50" s="26"/>
      <c r="I50" s="10">
        <f t="shared" si="15"/>
        <v>0</v>
      </c>
      <c r="J50" s="49" t="e">
        <f t="shared" ref="J50" si="17">I50/$I$5</f>
        <v>#REF!</v>
      </c>
      <c r="K50" s="8" t="s">
        <v>19</v>
      </c>
      <c r="L50" s="8" t="s">
        <v>19</v>
      </c>
    </row>
    <row r="51" spans="1:14" ht="63.75" outlineLevel="1" x14ac:dyDescent="0.25">
      <c r="A51" s="22">
        <v>5</v>
      </c>
      <c r="B51" s="199" t="s">
        <v>31</v>
      </c>
      <c r="C51" s="10">
        <f>'TH theo DV'!I31</f>
        <v>0</v>
      </c>
      <c r="D51" s="176" t="s">
        <v>131</v>
      </c>
      <c r="E51" s="26"/>
      <c r="F51" s="10">
        <f>SUMIFS('PL1.1 ML2027-2028'!$H:$H,'PL1.1 ML2027-2028'!$J:$J,K51,'PL1.1 ML2027-2028'!$K:$K,"VHKT")/10^6</f>
        <v>0</v>
      </c>
      <c r="G51" s="178">
        <v>0</v>
      </c>
      <c r="H51" s="26"/>
      <c r="I51" s="10">
        <f t="shared" si="15"/>
        <v>0</v>
      </c>
      <c r="J51" s="49" t="e">
        <f t="shared" si="16"/>
        <v>#REF!</v>
      </c>
      <c r="K51" s="8" t="s">
        <v>6</v>
      </c>
      <c r="L51" s="8" t="s">
        <v>6</v>
      </c>
    </row>
    <row r="52" spans="1:14" x14ac:dyDescent="0.25">
      <c r="A52" s="102" t="s">
        <v>24</v>
      </c>
      <c r="B52" s="60" t="s">
        <v>61</v>
      </c>
      <c r="C52" s="95">
        <f>SUBTOTAL(9,C53:C56)</f>
        <v>0</v>
      </c>
      <c r="D52" s="177"/>
      <c r="E52" s="87" t="e">
        <f>C52/$C$5</f>
        <v>#REF!</v>
      </c>
      <c r="F52" s="95">
        <f>SUBTOTAL(9,F53:F56)</f>
        <v>0</v>
      </c>
      <c r="G52" s="177"/>
      <c r="H52" s="87" t="e">
        <f>F52/$F$5</f>
        <v>#REF!</v>
      </c>
      <c r="I52" s="95">
        <f>SUBTOTAL(9,I53:I56)</f>
        <v>0</v>
      </c>
      <c r="J52" s="87" t="e">
        <f>I52/$I$5</f>
        <v>#REF!</v>
      </c>
      <c r="N52" s="18" t="e">
        <f>'PL1.3 Buc tranh sau QH'!#REF!-'PL1.2 TH theo mục đích'!C52</f>
        <v>#REF!</v>
      </c>
    </row>
    <row r="53" spans="1:14" outlineLevel="1" x14ac:dyDescent="0.25">
      <c r="A53" s="22">
        <v>1</v>
      </c>
      <c r="B53" s="199" t="s">
        <v>29</v>
      </c>
      <c r="C53" s="10">
        <f>SUMIFS('PL1.1 ML2027-2028'!G:G,'PL1.1 ML2027-2028'!J:J,$L53,'PL1.1 ML2027-2028'!K:K,$K53)/10^6</f>
        <v>0</v>
      </c>
      <c r="D53" s="88" t="s">
        <v>139</v>
      </c>
      <c r="E53" s="26"/>
      <c r="F53" s="10">
        <f>SUMIFS('PL1.1 ML2027-2028'!$H:$H,'PL1.1 ML2027-2028'!$J:$J,"VT",'PL1.1 ML2027-2028'!$K:$K,"CCKC",'PL1.1 ML2027-2028'!$L:$L,"VTTB")/10^6
+SUMIFS('PL1.1 ML2027-2028'!$H:$H,'PL1.1 ML2027-2028'!$J:$J,"VT",'PL1.1 ML2027-2028'!$K:$K,"CCKC",'PL1.1 ML2027-2028'!$L:$L,"TK")/10^6+ SUMIFS('PL1.1 ML2027-2028'!$H:$H,'PL1.1 ML2027-2028'!$J:$J,"VT",'PL1.1 ML2027-2028'!$K:$K,"VHKT&amp;CLM",'PL1.1 ML2027-2028'!$L:$L,"VTTB")/10^6</f>
        <v>0</v>
      </c>
      <c r="G53" s="178">
        <v>0</v>
      </c>
      <c r="H53" s="26"/>
      <c r="I53" s="10">
        <f>C53+F53</f>
        <v>0</v>
      </c>
      <c r="J53" s="49" t="e">
        <f t="shared" ref="J53:J56" si="18">I53/$I$5</f>
        <v>#REF!</v>
      </c>
      <c r="K53" s="8" t="s">
        <v>121</v>
      </c>
      <c r="L53" s="8" t="s">
        <v>7</v>
      </c>
    </row>
    <row r="54" spans="1:14" ht="25.5" outlineLevel="1" x14ac:dyDescent="0.25">
      <c r="A54" s="22">
        <v>2</v>
      </c>
      <c r="B54" s="199" t="s">
        <v>39</v>
      </c>
      <c r="C54" s="10">
        <f>SUMIFS('PL1.1 ML2027-2028'!G:G,'PL1.1 ML2027-2028'!J:J,$L54,'PL1.1 ML2027-2028'!K:K,$K54)/10^6</f>
        <v>0</v>
      </c>
      <c r="D54" s="88" t="s">
        <v>122</v>
      </c>
      <c r="E54" s="26"/>
      <c r="F54" s="10">
        <f>SUMIFS('PL1.1 ML2027-2028'!$H:$H,'PL1.1 ML2027-2028'!$J:$J,"CĐBR",'PL1.1 ML2027-2028'!$K:$K,"CCKC",'PL1.1 ML2027-2028'!$L:$L,"VTTB")/10^6
+ SUMIFS('PL1.1 ML2027-2028'!$H:$H,'PL1.1 ML2027-2028'!$J:$J,"CĐBR",'PL1.1 ML2027-2028'!$K:$K,"CCKC",'PL1.1 ML2027-2028'!$L:$L,"TK")/10^6</f>
        <v>0</v>
      </c>
      <c r="G54" s="178">
        <v>0</v>
      </c>
      <c r="H54" s="26"/>
      <c r="I54" s="10">
        <f>C54+F54</f>
        <v>0</v>
      </c>
      <c r="J54" s="49" t="e">
        <f t="shared" si="18"/>
        <v>#REF!</v>
      </c>
      <c r="K54" s="8" t="s">
        <v>121</v>
      </c>
      <c r="L54" s="8" t="s">
        <v>19</v>
      </c>
    </row>
    <row r="55" spans="1:14" ht="51" outlineLevel="1" x14ac:dyDescent="0.25">
      <c r="A55" s="22">
        <v>3</v>
      </c>
      <c r="B55" s="199" t="s">
        <v>30</v>
      </c>
      <c r="C55" s="10">
        <f>'TH theo DV'!H32</f>
        <v>0</v>
      </c>
      <c r="D55" s="167" t="s">
        <v>206</v>
      </c>
      <c r="E55" s="41"/>
      <c r="F55" s="10">
        <f>'TH theo DV'!Q23</f>
        <v>0</v>
      </c>
      <c r="G55" s="178">
        <v>0</v>
      </c>
      <c r="H55" s="41"/>
      <c r="I55" s="10">
        <f>C55+F55</f>
        <v>0</v>
      </c>
      <c r="J55" s="49" t="e">
        <f t="shared" si="18"/>
        <v>#REF!</v>
      </c>
      <c r="K55" s="8" t="s">
        <v>121</v>
      </c>
      <c r="L55" s="8" t="s">
        <v>17</v>
      </c>
    </row>
    <row r="56" spans="1:14" ht="102" outlineLevel="1" x14ac:dyDescent="0.25">
      <c r="A56" s="22">
        <v>4</v>
      </c>
      <c r="B56" s="199" t="s">
        <v>31</v>
      </c>
      <c r="C56" s="10">
        <f>'TH theo DV'!I32</f>
        <v>0</v>
      </c>
      <c r="D56" s="176" t="s">
        <v>132</v>
      </c>
      <c r="E56" s="25"/>
      <c r="F56" s="10">
        <f>'TH theo DV'!R23</f>
        <v>0</v>
      </c>
      <c r="G56" s="178">
        <v>0</v>
      </c>
      <c r="H56" s="25"/>
      <c r="I56" s="10">
        <f>C56+F56</f>
        <v>0</v>
      </c>
      <c r="J56" s="49" t="e">
        <f t="shared" si="18"/>
        <v>#REF!</v>
      </c>
      <c r="K56" s="8" t="s">
        <v>121</v>
      </c>
      <c r="L56" s="8" t="s">
        <v>6</v>
      </c>
    </row>
    <row r="57" spans="1:14" ht="25.5" x14ac:dyDescent="0.25">
      <c r="A57" s="102" t="s">
        <v>25</v>
      </c>
      <c r="B57" s="60" t="s">
        <v>101</v>
      </c>
      <c r="C57" s="95">
        <f>SUBTOTAL(9,C58:C60)</f>
        <v>0</v>
      </c>
      <c r="D57" s="177"/>
      <c r="E57" s="87" t="e">
        <f>C57/$C$5</f>
        <v>#REF!</v>
      </c>
      <c r="F57" s="95">
        <f>SUBTOTAL(9,F58:F60)</f>
        <v>0</v>
      </c>
      <c r="G57" s="177"/>
      <c r="H57" s="87" t="e">
        <f>F57/$F$5</f>
        <v>#REF!</v>
      </c>
      <c r="I57" s="95">
        <f>SUBTOTAL(9,I58:I60)</f>
        <v>0</v>
      </c>
      <c r="J57" s="87" t="e">
        <f>I57/$I$5</f>
        <v>#REF!</v>
      </c>
      <c r="N57" s="18" t="e">
        <f>'PL1.3 Buc tranh sau QH'!#REF!-'PL1.2 TH theo mục đích'!C57</f>
        <v>#REF!</v>
      </c>
    </row>
    <row r="58" spans="1:14" ht="38.25" outlineLevel="1" x14ac:dyDescent="0.25">
      <c r="A58" s="22">
        <v>1</v>
      </c>
      <c r="B58" s="199" t="s">
        <v>29</v>
      </c>
      <c r="C58" s="10">
        <f>SUMIFS('PL1.1 ML2027-2028'!G:G,'PL1.1 ML2027-2028'!J:J,$L58,'PL1.1 ML2027-2028'!K:K,$K58)/10^6</f>
        <v>0</v>
      </c>
      <c r="D58" s="90" t="s">
        <v>142</v>
      </c>
      <c r="E58" s="26"/>
      <c r="F58" s="10">
        <f>SUMIFS('PL1.1 ML2027-2028'!$H:$H,'PL1.1 ML2027-2028'!$J:$J,"VT",'PL1.1 ML2027-2028'!$K:$K,"CCKC",'PL1.1 ML2027-2028'!$L:$L,"VTTB")/10^6
+SUMIFS('PL1.1 ML2027-2028'!$H:$H,'PL1.1 ML2027-2028'!$J:$J,"VT",'PL1.1 ML2027-2028'!$K:$K,"CCKC",'PL1.1 ML2027-2028'!$L:$L,"TK")/10^6+ SUMIFS('PL1.1 ML2027-2028'!$H:$H,'PL1.1 ML2027-2028'!$J:$J,"VT",'PL1.1 ML2027-2028'!$K:$K,"VHKT&amp;CLM",'PL1.1 ML2027-2028'!$L:$L,"VTTB")/10^6</f>
        <v>0</v>
      </c>
      <c r="G58" s="178">
        <v>0</v>
      </c>
      <c r="H58" s="26"/>
      <c r="I58" s="10">
        <f>C58+F58</f>
        <v>0</v>
      </c>
      <c r="J58" s="49" t="e">
        <f t="shared" ref="J58:J60" si="19">I58/$I$5</f>
        <v>#REF!</v>
      </c>
      <c r="K58" s="8" t="s">
        <v>102</v>
      </c>
      <c r="L58" s="8" t="s">
        <v>7</v>
      </c>
    </row>
    <row r="59" spans="1:14" ht="76.5" outlineLevel="1" x14ac:dyDescent="0.25">
      <c r="A59" s="22">
        <v>2</v>
      </c>
      <c r="B59" s="199" t="s">
        <v>30</v>
      </c>
      <c r="C59" s="10">
        <f>'TH theo DV'!H33</f>
        <v>0</v>
      </c>
      <c r="D59" s="167" t="s">
        <v>130</v>
      </c>
      <c r="E59" s="41"/>
      <c r="F59" s="10">
        <f>'TH theo DV'!Q32</f>
        <v>0</v>
      </c>
      <c r="G59" s="178">
        <v>0</v>
      </c>
      <c r="H59" s="41"/>
      <c r="I59" s="10">
        <f>C59+F59</f>
        <v>0</v>
      </c>
      <c r="J59" s="49" t="e">
        <f t="shared" si="19"/>
        <v>#REF!</v>
      </c>
      <c r="K59" s="8" t="s">
        <v>102</v>
      </c>
      <c r="L59" s="8" t="s">
        <v>17</v>
      </c>
    </row>
    <row r="60" spans="1:14" ht="51" outlineLevel="1" x14ac:dyDescent="0.25">
      <c r="A60" s="22">
        <v>3</v>
      </c>
      <c r="B60" s="199" t="s">
        <v>31</v>
      </c>
      <c r="C60" s="10">
        <f>'TH theo DV'!I33</f>
        <v>0</v>
      </c>
      <c r="D60" s="176" t="s">
        <v>133</v>
      </c>
      <c r="E60" s="25"/>
      <c r="F60" s="10">
        <f>'TH theo DV'!R32</f>
        <v>0</v>
      </c>
      <c r="G60" s="178">
        <v>0</v>
      </c>
      <c r="H60" s="25"/>
      <c r="I60" s="10">
        <f>C60+F60</f>
        <v>0</v>
      </c>
      <c r="J60" s="49" t="e">
        <f t="shared" si="19"/>
        <v>#REF!</v>
      </c>
      <c r="K60" s="8" t="s">
        <v>102</v>
      </c>
      <c r="L60" s="8" t="s">
        <v>6</v>
      </c>
    </row>
  </sheetData>
  <autoFilter ref="A5:L60"/>
  <mergeCells count="7">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tabSelected="1" zoomScale="90" zoomScaleNormal="90" workbookViewId="0">
      <pane xSplit="2" ySplit="3" topLeftCell="C4" activePane="bottomRight" state="frozen"/>
      <selection activeCell="N27" sqref="N27"/>
      <selection pane="topRight" activeCell="N27" sqref="N27"/>
      <selection pane="bottomLeft" activeCell="N27" sqref="N27"/>
      <selection pane="bottomRight" activeCell="C12" sqref="C12"/>
    </sheetView>
  </sheetViews>
  <sheetFormatPr defaultColWidth="9.28515625" defaultRowHeight="12.75" outlineLevelRow="1" x14ac:dyDescent="0.2"/>
  <cols>
    <col min="1" max="1" width="3.28515625" style="12" bestFit="1" customWidth="1"/>
    <col min="2" max="2" width="26.7109375" style="12" customWidth="1"/>
    <col min="3" max="3" width="78" style="12" customWidth="1"/>
    <col min="4" max="4" width="10.85546875" style="32" customWidth="1"/>
    <col min="5" max="5" width="7.140625" style="36" customWidth="1"/>
    <col min="6" max="6" width="59.5703125" style="12" customWidth="1"/>
    <col min="7" max="7" width="0" style="33" hidden="1" customWidth="1"/>
    <col min="8" max="8" width="14.28515625" style="55" hidden="1" customWidth="1"/>
    <col min="9" max="16384" width="9.28515625" style="12"/>
  </cols>
  <sheetData>
    <row r="1" spans="1:9" ht="18.75" x14ac:dyDescent="0.2">
      <c r="A1" s="354" t="s">
        <v>144</v>
      </c>
      <c r="B1" s="355"/>
      <c r="C1" s="355"/>
      <c r="D1" s="355"/>
      <c r="E1" s="355"/>
      <c r="F1" s="355"/>
      <c r="G1" s="35"/>
      <c r="H1" s="35"/>
      <c r="I1" s="35"/>
    </row>
    <row r="2" spans="1:9" x14ac:dyDescent="0.2">
      <c r="C2" s="84"/>
    </row>
    <row r="3" spans="1:9" ht="25.5" x14ac:dyDescent="0.2">
      <c r="A3" s="4" t="s">
        <v>0</v>
      </c>
      <c r="B3" s="5" t="s">
        <v>40</v>
      </c>
      <c r="C3" s="5" t="s">
        <v>41</v>
      </c>
      <c r="D3" s="101" t="s">
        <v>172</v>
      </c>
      <c r="E3" s="37" t="s">
        <v>42</v>
      </c>
      <c r="F3" s="5" t="s">
        <v>57</v>
      </c>
    </row>
    <row r="4" spans="1:9" x14ac:dyDescent="0.2">
      <c r="A4" s="4"/>
      <c r="B4" s="195" t="s">
        <v>34</v>
      </c>
      <c r="C4" s="195"/>
      <c r="D4" s="30">
        <f>SUBTOTAL(9,D5:D29)</f>
        <v>0</v>
      </c>
      <c r="E4" s="37"/>
      <c r="F4" s="195"/>
    </row>
    <row r="5" spans="1:9" x14ac:dyDescent="0.2">
      <c r="A5" s="4" t="s">
        <v>4</v>
      </c>
      <c r="B5" s="130" t="s">
        <v>110</v>
      </c>
      <c r="C5" s="131"/>
      <c r="D5" s="19">
        <f>SUBTOTAL(9,D6:D9)</f>
        <v>0</v>
      </c>
      <c r="E5" s="132" t="e">
        <f>D5/$D$4</f>
        <v>#DIV/0!</v>
      </c>
      <c r="F5" s="131"/>
    </row>
    <row r="6" spans="1:9" s="235" customFormat="1" ht="114.75" outlineLevel="1" x14ac:dyDescent="0.2">
      <c r="A6" s="213">
        <v>1</v>
      </c>
      <c r="B6" s="211" t="s">
        <v>56</v>
      </c>
      <c r="C6" s="218" t="s">
        <v>151</v>
      </c>
      <c r="D6" s="210">
        <f>'TH theo DV'!AB7</f>
        <v>0</v>
      </c>
      <c r="E6" s="232" t="e">
        <f>D6/$D$4</f>
        <v>#DIV/0!</v>
      </c>
      <c r="F6" s="218" t="s">
        <v>150</v>
      </c>
      <c r="G6" s="233" t="s">
        <v>49</v>
      </c>
      <c r="H6" s="234"/>
      <c r="I6" s="252"/>
    </row>
    <row r="7" spans="1:9" ht="25.5" outlineLevel="1" x14ac:dyDescent="0.2">
      <c r="A7" s="27">
        <v>2</v>
      </c>
      <c r="B7" s="163" t="s">
        <v>111</v>
      </c>
      <c r="C7" s="119" t="s">
        <v>152</v>
      </c>
      <c r="D7" s="97">
        <f>'TH theo DV'!AB8</f>
        <v>0</v>
      </c>
      <c r="E7" s="34" t="e">
        <f>D7/$D$4</f>
        <v>#DIV/0!</v>
      </c>
      <c r="F7" s="164" t="s">
        <v>126</v>
      </c>
    </row>
    <row r="8" spans="1:9" s="242" customFormat="1" ht="25.5" outlineLevel="1" x14ac:dyDescent="0.2">
      <c r="A8" s="228">
        <v>3</v>
      </c>
      <c r="B8" s="253" t="s">
        <v>112</v>
      </c>
      <c r="C8" s="272" t="s">
        <v>208</v>
      </c>
      <c r="D8" s="238">
        <f>'TH theo DV'!AB9</f>
        <v>0</v>
      </c>
      <c r="E8" s="239" t="e">
        <f>D8/$D$4</f>
        <v>#DIV/0!</v>
      </c>
      <c r="F8" s="223" t="s">
        <v>136</v>
      </c>
      <c r="G8" s="240" t="s">
        <v>21</v>
      </c>
      <c r="H8" s="241"/>
    </row>
    <row r="9" spans="1:9" ht="25.5" outlineLevel="1" x14ac:dyDescent="0.2">
      <c r="A9" s="27">
        <v>4</v>
      </c>
      <c r="B9" s="85" t="s">
        <v>108</v>
      </c>
      <c r="C9" s="164" t="s">
        <v>153</v>
      </c>
      <c r="D9" s="97">
        <f>'TH theo DV'!AB10</f>
        <v>0</v>
      </c>
      <c r="E9" s="34" t="e">
        <f>D9/$D$4</f>
        <v>#DIV/0!</v>
      </c>
      <c r="F9" s="164" t="s">
        <v>135</v>
      </c>
      <c r="G9" s="33" t="s">
        <v>113</v>
      </c>
    </row>
    <row r="10" spans="1:9" x14ac:dyDescent="0.2">
      <c r="A10" s="58" t="s">
        <v>10</v>
      </c>
      <c r="B10" s="59" t="s">
        <v>114</v>
      </c>
      <c r="C10" s="165"/>
      <c r="D10" s="98">
        <f>SUBTOTAL(9,D11:D24)</f>
        <v>0</v>
      </c>
      <c r="E10" s="44" t="e">
        <f>D10/D4</f>
        <v>#DIV/0!</v>
      </c>
      <c r="F10" s="169"/>
    </row>
    <row r="11" spans="1:9" outlineLevel="1" x14ac:dyDescent="0.2">
      <c r="A11" s="151">
        <v>1</v>
      </c>
      <c r="B11" s="139" t="s">
        <v>32</v>
      </c>
      <c r="C11" s="166"/>
      <c r="D11" s="181">
        <f>SUBTOTAL(9,D12:D13)</f>
        <v>0</v>
      </c>
      <c r="E11" s="34" t="e">
        <f t="shared" ref="E11:E19" si="0">D11/$D$4</f>
        <v>#DIV/0!</v>
      </c>
      <c r="F11" s="119"/>
    </row>
    <row r="12" spans="1:9" ht="114.75" outlineLevel="1" x14ac:dyDescent="0.2">
      <c r="A12" s="27" t="s">
        <v>8</v>
      </c>
      <c r="B12" s="133" t="s">
        <v>104</v>
      </c>
      <c r="C12" s="164" t="s">
        <v>149</v>
      </c>
      <c r="D12" s="97">
        <f>'TH theo DV'!AB13</f>
        <v>0</v>
      </c>
      <c r="E12" s="34" t="e">
        <f t="shared" si="0"/>
        <v>#DIV/0!</v>
      </c>
      <c r="F12" s="164" t="s">
        <v>154</v>
      </c>
      <c r="G12" s="33" t="s">
        <v>7</v>
      </c>
    </row>
    <row r="13" spans="1:9" s="235" customFormat="1" ht="140.25" outlineLevel="1" x14ac:dyDescent="0.2">
      <c r="A13" s="213" t="s">
        <v>8</v>
      </c>
      <c r="B13" s="231" t="s">
        <v>105</v>
      </c>
      <c r="C13" s="218" t="s">
        <v>189</v>
      </c>
      <c r="D13" s="210">
        <f>'TH theo DV'!AB14</f>
        <v>0</v>
      </c>
      <c r="E13" s="232" t="e">
        <f t="shared" si="0"/>
        <v>#DIV/0!</v>
      </c>
      <c r="F13" s="218" t="s">
        <v>188</v>
      </c>
      <c r="G13" s="233" t="s">
        <v>14</v>
      </c>
      <c r="H13" s="234"/>
    </row>
    <row r="14" spans="1:9" outlineLevel="1" x14ac:dyDescent="0.2">
      <c r="A14" s="135">
        <v>2</v>
      </c>
      <c r="B14" s="139" t="s">
        <v>106</v>
      </c>
      <c r="C14" s="167"/>
      <c r="D14" s="181">
        <f>SUBTOTAL(9,D15:D18)</f>
        <v>0</v>
      </c>
      <c r="E14" s="34" t="e">
        <f t="shared" si="0"/>
        <v>#DIV/0!</v>
      </c>
      <c r="F14" s="164"/>
    </row>
    <row r="15" spans="1:9" ht="51" outlineLevel="1" x14ac:dyDescent="0.2">
      <c r="A15" s="28" t="s">
        <v>8</v>
      </c>
      <c r="B15" s="133" t="s">
        <v>64</v>
      </c>
      <c r="C15" s="164" t="s">
        <v>156</v>
      </c>
      <c r="D15" s="97">
        <f>'TH theo DV'!AB16</f>
        <v>0</v>
      </c>
      <c r="E15" s="34" t="e">
        <f t="shared" si="0"/>
        <v>#DIV/0!</v>
      </c>
      <c r="F15" s="164" t="s">
        <v>155</v>
      </c>
      <c r="G15" s="33" t="s">
        <v>19</v>
      </c>
    </row>
    <row r="16" spans="1:9" ht="114.75" outlineLevel="1" x14ac:dyDescent="0.2">
      <c r="A16" s="28" t="s">
        <v>8</v>
      </c>
      <c r="B16" s="133" t="s">
        <v>78</v>
      </c>
      <c r="C16" s="164" t="s">
        <v>157</v>
      </c>
      <c r="D16" s="97">
        <f>'TH theo DV'!AB17</f>
        <v>0</v>
      </c>
      <c r="E16" s="34" t="e">
        <f t="shared" si="0"/>
        <v>#DIV/0!</v>
      </c>
      <c r="F16" s="164" t="s">
        <v>158</v>
      </c>
      <c r="G16" s="33" t="s">
        <v>19</v>
      </c>
    </row>
    <row r="17" spans="1:11" ht="76.5" outlineLevel="1" x14ac:dyDescent="0.2">
      <c r="A17" s="28" t="s">
        <v>8</v>
      </c>
      <c r="B17" s="133" t="s">
        <v>79</v>
      </c>
      <c r="C17" s="164" t="s">
        <v>167</v>
      </c>
      <c r="D17" s="97">
        <f>'TH theo DV'!AB18</f>
        <v>0</v>
      </c>
      <c r="E17" s="34" t="e">
        <f t="shared" si="0"/>
        <v>#DIV/0!</v>
      </c>
      <c r="F17" s="164" t="s">
        <v>159</v>
      </c>
      <c r="G17" s="33" t="s">
        <v>19</v>
      </c>
    </row>
    <row r="18" spans="1:11" ht="25.5" outlineLevel="1" x14ac:dyDescent="0.2">
      <c r="A18" s="28" t="s">
        <v>8</v>
      </c>
      <c r="B18" s="133" t="s">
        <v>94</v>
      </c>
      <c r="C18" s="164" t="s">
        <v>128</v>
      </c>
      <c r="D18" s="97">
        <f>'TH theo DV'!AB19</f>
        <v>0</v>
      </c>
      <c r="E18" s="34" t="e">
        <f t="shared" si="0"/>
        <v>#DIV/0!</v>
      </c>
      <c r="F18" s="164" t="s">
        <v>127</v>
      </c>
      <c r="G18" s="33" t="s">
        <v>17</v>
      </c>
    </row>
    <row r="19" spans="1:11" s="242" customFormat="1" ht="25.5" outlineLevel="1" x14ac:dyDescent="0.2">
      <c r="A19" s="249">
        <v>3</v>
      </c>
      <c r="B19" s="250" t="s">
        <v>62</v>
      </c>
      <c r="C19" s="223" t="s">
        <v>148</v>
      </c>
      <c r="D19" s="251">
        <f>'TH theo DV'!AB20</f>
        <v>0</v>
      </c>
      <c r="E19" s="239" t="e">
        <f t="shared" si="0"/>
        <v>#DIV/0!</v>
      </c>
      <c r="F19" s="223" t="s">
        <v>8</v>
      </c>
      <c r="G19" s="240" t="s">
        <v>21</v>
      </c>
      <c r="H19" s="241"/>
      <c r="J19" s="243"/>
    </row>
    <row r="20" spans="1:11" ht="25.5" outlineLevel="1" x14ac:dyDescent="0.2">
      <c r="A20" s="135">
        <v>4</v>
      </c>
      <c r="B20" s="139" t="s">
        <v>63</v>
      </c>
      <c r="C20" s="164" t="s">
        <v>160</v>
      </c>
      <c r="D20" s="181">
        <f>'TH theo DV'!AB21</f>
        <v>0</v>
      </c>
      <c r="E20" s="34"/>
      <c r="F20" s="164" t="s">
        <v>161</v>
      </c>
      <c r="G20" s="33" t="s">
        <v>67</v>
      </c>
      <c r="J20" s="40"/>
    </row>
    <row r="21" spans="1:11" outlineLevel="1" x14ac:dyDescent="0.2">
      <c r="A21" s="135">
        <v>5</v>
      </c>
      <c r="B21" s="139" t="s">
        <v>109</v>
      </c>
      <c r="C21" s="164"/>
      <c r="D21" s="181">
        <f>SUBTOTAL(9,D22:D24)</f>
        <v>0</v>
      </c>
      <c r="E21" s="34"/>
      <c r="F21" s="164"/>
      <c r="J21" s="40"/>
    </row>
    <row r="22" spans="1:11" s="242" customFormat="1" ht="25.5" outlineLevel="1" x14ac:dyDescent="0.2">
      <c r="A22" s="236" t="s">
        <v>8</v>
      </c>
      <c r="B22" s="237" t="s">
        <v>116</v>
      </c>
      <c r="C22" s="223" t="s">
        <v>214</v>
      </c>
      <c r="D22" s="238">
        <f>'TH theo DV'!AB23</f>
        <v>0</v>
      </c>
      <c r="E22" s="239"/>
      <c r="F22" s="360" t="s">
        <v>166</v>
      </c>
      <c r="G22" s="240" t="s">
        <v>21</v>
      </c>
      <c r="H22" s="241"/>
      <c r="J22" s="243"/>
    </row>
    <row r="23" spans="1:11" s="242" customFormat="1" ht="51" outlineLevel="1" x14ac:dyDescent="0.2">
      <c r="A23" s="236" t="s">
        <v>8</v>
      </c>
      <c r="B23" s="237" t="s">
        <v>117</v>
      </c>
      <c r="C23" s="223" t="s">
        <v>213</v>
      </c>
      <c r="D23" s="238">
        <f>'TH theo DV'!AB24</f>
        <v>0</v>
      </c>
      <c r="E23" s="239"/>
      <c r="F23" s="361"/>
      <c r="G23" s="240" t="s">
        <v>21</v>
      </c>
      <c r="H23" s="241"/>
      <c r="J23" s="243"/>
    </row>
    <row r="24" spans="1:11" s="242" customFormat="1" ht="25.5" outlineLevel="1" x14ac:dyDescent="0.2">
      <c r="A24" s="236" t="s">
        <v>8</v>
      </c>
      <c r="B24" s="237" t="s">
        <v>53</v>
      </c>
      <c r="C24" s="223" t="s">
        <v>124</v>
      </c>
      <c r="D24" s="238">
        <f>'TH theo DV'!AB25</f>
        <v>0</v>
      </c>
      <c r="E24" s="239" t="e">
        <f>D24/$D$4</f>
        <v>#DIV/0!</v>
      </c>
      <c r="F24" s="223" t="s">
        <v>125</v>
      </c>
      <c r="G24" s="240" t="s">
        <v>21</v>
      </c>
      <c r="H24" s="241"/>
      <c r="I24" s="244"/>
      <c r="J24" s="245"/>
      <c r="K24" s="243"/>
    </row>
    <row r="25" spans="1:11" x14ac:dyDescent="0.2">
      <c r="A25" s="45" t="s">
        <v>15</v>
      </c>
      <c r="B25" s="46" t="s">
        <v>118</v>
      </c>
      <c r="C25" s="168"/>
      <c r="D25" s="99">
        <f>SUBTOTAL(9,D27:D29)</f>
        <v>0</v>
      </c>
      <c r="E25" s="47" t="e">
        <f>D25/$D$4</f>
        <v>#DIV/0!</v>
      </c>
      <c r="F25" s="168"/>
    </row>
    <row r="26" spans="1:11" s="242" customFormat="1" ht="76.5" outlineLevel="1" x14ac:dyDescent="0.2">
      <c r="A26" s="228">
        <v>1</v>
      </c>
      <c r="B26" s="246" t="s">
        <v>163</v>
      </c>
      <c r="C26" s="223" t="s">
        <v>184</v>
      </c>
      <c r="D26" s="238">
        <f>'TH theo DV'!AB30</f>
        <v>0</v>
      </c>
      <c r="E26" s="247"/>
      <c r="F26" s="223" t="s">
        <v>185</v>
      </c>
      <c r="G26" s="240"/>
      <c r="H26" s="241"/>
    </row>
    <row r="27" spans="1:11" s="242" customFormat="1" ht="114.75" outlineLevel="1" x14ac:dyDescent="0.2">
      <c r="A27" s="228">
        <v>2</v>
      </c>
      <c r="B27" s="248" t="s">
        <v>162</v>
      </c>
      <c r="C27" s="223" t="s">
        <v>186</v>
      </c>
      <c r="D27" s="238">
        <f>'TH theo DV'!AB31</f>
        <v>0</v>
      </c>
      <c r="E27" s="239"/>
      <c r="F27" s="223" t="s">
        <v>187</v>
      </c>
      <c r="G27" s="240"/>
      <c r="H27" s="241"/>
    </row>
    <row r="28" spans="1:11" ht="153" outlineLevel="1" x14ac:dyDescent="0.2">
      <c r="A28" s="27">
        <v>3</v>
      </c>
      <c r="B28" s="121" t="s">
        <v>165</v>
      </c>
      <c r="C28" s="164" t="s">
        <v>140</v>
      </c>
      <c r="D28" s="97">
        <f>'TH theo DV'!AB32</f>
        <v>0</v>
      </c>
      <c r="E28" s="34"/>
      <c r="F28" s="164" t="s">
        <v>134</v>
      </c>
    </row>
    <row r="29" spans="1:11" ht="153" outlineLevel="1" x14ac:dyDescent="0.2">
      <c r="A29" s="27">
        <v>4</v>
      </c>
      <c r="B29" s="142" t="s">
        <v>101</v>
      </c>
      <c r="C29" s="164" t="s">
        <v>143</v>
      </c>
      <c r="D29" s="97">
        <f>'TH theo DV'!AB33</f>
        <v>0</v>
      </c>
      <c r="E29" s="34"/>
      <c r="F29" s="164" t="s">
        <v>141</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4"/>
  <sheetViews>
    <sheetView workbookViewId="0">
      <selection activeCell="J38" sqref="J38"/>
    </sheetView>
  </sheetViews>
  <sheetFormatPr defaultColWidth="8.7109375" defaultRowHeight="12.75" x14ac:dyDescent="0.25"/>
  <cols>
    <col min="1" max="2" width="8.7109375" style="9"/>
    <col min="3" max="3" width="12.7109375" style="9" bestFit="1" customWidth="1"/>
    <col min="4" max="6" width="8.7109375" style="9"/>
    <col min="7" max="7" width="2.7109375" style="9" bestFit="1" customWidth="1"/>
    <col min="8" max="8" width="8.7109375" style="152"/>
    <col min="9" max="16384" width="8.7109375" style="9"/>
  </cols>
  <sheetData>
    <row r="2" spans="2:11" x14ac:dyDescent="0.25">
      <c r="B2" s="362" t="s">
        <v>69</v>
      </c>
      <c r="C2" s="362"/>
      <c r="D2" s="362"/>
    </row>
    <row r="3" spans="2:11" x14ac:dyDescent="0.25">
      <c r="B3" s="29" t="s">
        <v>45</v>
      </c>
      <c r="C3" s="29" t="s">
        <v>46</v>
      </c>
      <c r="D3" s="29" t="s">
        <v>47</v>
      </c>
    </row>
    <row r="4" spans="2:11" x14ac:dyDescent="0.25">
      <c r="B4" s="38" t="s">
        <v>7</v>
      </c>
      <c r="C4" s="28" t="s">
        <v>49</v>
      </c>
      <c r="D4" s="1" t="s">
        <v>55</v>
      </c>
      <c r="G4" s="17" t="s">
        <v>4</v>
      </c>
      <c r="H4" s="153" t="s">
        <v>115</v>
      </c>
      <c r="I4" s="149"/>
      <c r="J4" s="149"/>
      <c r="K4" s="149"/>
    </row>
    <row r="5" spans="2:11" x14ac:dyDescent="0.25">
      <c r="B5" s="38"/>
      <c r="C5" s="28" t="s">
        <v>96</v>
      </c>
      <c r="D5" s="1"/>
      <c r="G5" s="31">
        <v>1</v>
      </c>
      <c r="H5" s="154" t="s">
        <v>56</v>
      </c>
      <c r="I5" s="149"/>
      <c r="J5" s="149"/>
      <c r="K5" s="149"/>
    </row>
    <row r="6" spans="2:11" x14ac:dyDescent="0.25">
      <c r="B6" s="38" t="s">
        <v>14</v>
      </c>
      <c r="C6" s="38"/>
      <c r="D6" s="1" t="s">
        <v>27</v>
      </c>
      <c r="G6" s="31">
        <v>2</v>
      </c>
      <c r="H6" s="154" t="s">
        <v>111</v>
      </c>
      <c r="I6" s="149"/>
      <c r="J6" s="149"/>
      <c r="K6" s="149"/>
    </row>
    <row r="7" spans="2:11" x14ac:dyDescent="0.25">
      <c r="B7" s="38" t="s">
        <v>19</v>
      </c>
      <c r="C7" s="38" t="s">
        <v>66</v>
      </c>
      <c r="D7" s="1"/>
      <c r="G7" s="31">
        <v>3</v>
      </c>
      <c r="H7" s="154" t="s">
        <v>112</v>
      </c>
      <c r="I7" s="149"/>
      <c r="J7" s="149"/>
      <c r="K7" s="149"/>
    </row>
    <row r="8" spans="2:11" x14ac:dyDescent="0.25">
      <c r="B8" s="38" t="s">
        <v>9</v>
      </c>
      <c r="C8" s="38"/>
      <c r="D8" s="1"/>
      <c r="G8" s="31">
        <v>4</v>
      </c>
      <c r="H8" s="154" t="s">
        <v>108</v>
      </c>
      <c r="I8" s="149"/>
      <c r="J8" s="149"/>
      <c r="K8" s="149"/>
    </row>
    <row r="9" spans="2:11" x14ac:dyDescent="0.25">
      <c r="B9" s="38"/>
      <c r="C9" s="38" t="s">
        <v>98</v>
      </c>
      <c r="D9" s="1"/>
      <c r="G9" s="17" t="s">
        <v>10</v>
      </c>
      <c r="H9" s="153" t="s">
        <v>114</v>
      </c>
      <c r="I9" s="149"/>
      <c r="J9" s="149"/>
      <c r="K9" s="149"/>
    </row>
    <row r="10" spans="2:11" x14ac:dyDescent="0.25">
      <c r="B10" s="38" t="s">
        <v>21</v>
      </c>
      <c r="C10" s="39" t="s">
        <v>67</v>
      </c>
      <c r="D10" s="1"/>
      <c r="G10" s="31">
        <v>2</v>
      </c>
      <c r="H10" s="154" t="s">
        <v>32</v>
      </c>
      <c r="I10" s="149"/>
      <c r="J10" s="149"/>
      <c r="K10" s="149"/>
    </row>
    <row r="11" spans="2:11" x14ac:dyDescent="0.25">
      <c r="B11" s="38" t="s">
        <v>17</v>
      </c>
      <c r="C11" s="28" t="s">
        <v>70</v>
      </c>
      <c r="D11" s="1"/>
      <c r="G11" s="31" t="s">
        <v>8</v>
      </c>
      <c r="H11" s="154" t="s">
        <v>104</v>
      </c>
      <c r="I11" s="149"/>
      <c r="J11" s="149"/>
      <c r="K11" s="149"/>
    </row>
    <row r="12" spans="2:11" x14ac:dyDescent="0.25">
      <c r="B12" s="38" t="s">
        <v>6</v>
      </c>
      <c r="C12" s="28" t="s">
        <v>71</v>
      </c>
      <c r="D12" s="1"/>
      <c r="G12" s="31" t="s">
        <v>8</v>
      </c>
      <c r="H12" s="154" t="s">
        <v>105</v>
      </c>
      <c r="I12" s="149"/>
      <c r="J12" s="149"/>
      <c r="K12" s="149"/>
    </row>
    <row r="13" spans="2:11" x14ac:dyDescent="0.25">
      <c r="B13" s="38" t="s">
        <v>58</v>
      </c>
      <c r="C13" s="28" t="s">
        <v>72</v>
      </c>
      <c r="D13" s="1"/>
      <c r="G13" s="31">
        <v>3</v>
      </c>
      <c r="H13" s="154" t="s">
        <v>106</v>
      </c>
      <c r="I13" s="149"/>
      <c r="J13" s="149"/>
      <c r="K13" s="149"/>
    </row>
    <row r="14" spans="2:11" x14ac:dyDescent="0.25">
      <c r="B14" s="1"/>
      <c r="C14" s="28" t="s">
        <v>73</v>
      </c>
      <c r="D14" s="1"/>
      <c r="G14" s="31" t="s">
        <v>8</v>
      </c>
      <c r="H14" s="154" t="s">
        <v>59</v>
      </c>
      <c r="I14" s="149"/>
      <c r="J14" s="149"/>
      <c r="K14" s="149"/>
    </row>
    <row r="15" spans="2:11" x14ac:dyDescent="0.25">
      <c r="B15" s="1"/>
      <c r="C15" s="28" t="s">
        <v>111</v>
      </c>
      <c r="D15" s="1"/>
      <c r="G15" s="31" t="s">
        <v>8</v>
      </c>
      <c r="H15" s="154" t="s">
        <v>87</v>
      </c>
      <c r="I15" s="149"/>
      <c r="J15" s="149"/>
      <c r="K15" s="149"/>
    </row>
    <row r="16" spans="2:11" x14ac:dyDescent="0.25">
      <c r="B16" s="1"/>
      <c r="C16" s="28" t="s">
        <v>68</v>
      </c>
      <c r="D16" s="1"/>
      <c r="G16" s="31" t="s">
        <v>8</v>
      </c>
      <c r="H16" s="154" t="s">
        <v>88</v>
      </c>
      <c r="I16" s="149"/>
      <c r="J16" s="149"/>
      <c r="K16" s="149"/>
    </row>
    <row r="17" spans="2:11" x14ac:dyDescent="0.25">
      <c r="B17" s="1"/>
      <c r="C17" s="28" t="s">
        <v>119</v>
      </c>
      <c r="D17" s="1"/>
      <c r="G17" s="31" t="s">
        <v>8</v>
      </c>
      <c r="H17" s="154" t="s">
        <v>95</v>
      </c>
      <c r="I17" s="149"/>
      <c r="J17" s="149"/>
      <c r="K17" s="149"/>
    </row>
    <row r="18" spans="2:11" x14ac:dyDescent="0.25">
      <c r="B18" s="1"/>
      <c r="C18" s="28" t="s">
        <v>120</v>
      </c>
      <c r="D18" s="1"/>
      <c r="G18" s="31">
        <v>4</v>
      </c>
      <c r="H18" s="154" t="s">
        <v>62</v>
      </c>
      <c r="I18" s="149"/>
      <c r="J18" s="149"/>
      <c r="K18" s="149"/>
    </row>
    <row r="19" spans="2:11" x14ac:dyDescent="0.25">
      <c r="B19" s="1"/>
      <c r="C19" s="28" t="s">
        <v>60</v>
      </c>
      <c r="D19" s="1"/>
      <c r="G19" s="31">
        <v>5</v>
      </c>
      <c r="H19" s="154" t="s">
        <v>63</v>
      </c>
      <c r="I19" s="149"/>
      <c r="J19" s="149"/>
      <c r="K19" s="149"/>
    </row>
    <row r="20" spans="2:11" x14ac:dyDescent="0.25">
      <c r="B20" s="1"/>
      <c r="C20" s="28" t="s">
        <v>89</v>
      </c>
      <c r="D20" s="1"/>
      <c r="G20" s="31">
        <v>6</v>
      </c>
      <c r="H20" s="154" t="s">
        <v>109</v>
      </c>
      <c r="I20" s="149"/>
      <c r="J20" s="149"/>
      <c r="K20" s="149"/>
    </row>
    <row r="21" spans="2:11" x14ac:dyDescent="0.25">
      <c r="B21" s="1"/>
      <c r="C21" s="28" t="s">
        <v>86</v>
      </c>
      <c r="D21" s="1"/>
      <c r="G21" s="31" t="s">
        <v>8</v>
      </c>
      <c r="H21" s="155" t="s">
        <v>116</v>
      </c>
      <c r="I21" s="149"/>
      <c r="J21" s="149"/>
      <c r="K21" s="149"/>
    </row>
    <row r="22" spans="2:11" x14ac:dyDescent="0.25">
      <c r="B22" s="1"/>
      <c r="C22" s="28" t="s">
        <v>97</v>
      </c>
      <c r="D22" s="1"/>
      <c r="G22" s="31" t="s">
        <v>8</v>
      </c>
      <c r="H22" s="155" t="s">
        <v>117</v>
      </c>
      <c r="I22" s="149"/>
      <c r="J22" s="149"/>
      <c r="K22" s="149"/>
    </row>
    <row r="23" spans="2:11" x14ac:dyDescent="0.25">
      <c r="B23" s="1"/>
      <c r="C23" s="67" t="s">
        <v>112</v>
      </c>
      <c r="D23" s="1"/>
      <c r="G23" s="31" t="s">
        <v>8</v>
      </c>
      <c r="H23" s="155" t="s">
        <v>53</v>
      </c>
      <c r="I23" s="149"/>
      <c r="J23" s="149"/>
      <c r="K23" s="149"/>
    </row>
    <row r="24" spans="2:11" x14ac:dyDescent="0.25">
      <c r="B24" s="1"/>
      <c r="C24" s="28" t="s">
        <v>113</v>
      </c>
      <c r="D24" s="1"/>
      <c r="G24" s="17" t="s">
        <v>15</v>
      </c>
      <c r="H24" s="153" t="s">
        <v>118</v>
      </c>
      <c r="I24" s="149"/>
      <c r="J24" s="149"/>
      <c r="K24" s="149"/>
    </row>
    <row r="25" spans="2:11" x14ac:dyDescent="0.25">
      <c r="B25" s="1"/>
      <c r="C25" s="28" t="s">
        <v>90</v>
      </c>
      <c r="D25" s="1"/>
      <c r="G25" s="31">
        <v>1</v>
      </c>
      <c r="H25" s="154" t="s">
        <v>103</v>
      </c>
      <c r="I25" s="149"/>
      <c r="J25" s="149"/>
      <c r="K25" s="149"/>
    </row>
    <row r="26" spans="2:11" x14ac:dyDescent="0.25">
      <c r="B26" s="1"/>
      <c r="C26" s="28" t="s">
        <v>53</v>
      </c>
      <c r="D26" s="1"/>
      <c r="G26" s="31">
        <v>2</v>
      </c>
      <c r="H26" s="154" t="s">
        <v>107</v>
      </c>
      <c r="I26" s="149"/>
      <c r="J26" s="149"/>
      <c r="K26" s="149"/>
    </row>
    <row r="27" spans="2:11" x14ac:dyDescent="0.25">
      <c r="B27" s="1"/>
      <c r="C27" s="28" t="s">
        <v>164</v>
      </c>
      <c r="D27" s="1"/>
      <c r="G27" s="31"/>
      <c r="H27" s="154"/>
      <c r="I27" s="149"/>
      <c r="J27" s="149"/>
      <c r="K27" s="149"/>
    </row>
    <row r="28" spans="2:11" ht="12.6" customHeight="1" x14ac:dyDescent="0.25">
      <c r="B28" s="31"/>
      <c r="C28" s="28" t="s">
        <v>80</v>
      </c>
      <c r="D28" s="31"/>
      <c r="G28" s="31">
        <v>3</v>
      </c>
      <c r="H28" s="154" t="s">
        <v>101</v>
      </c>
      <c r="I28" s="149"/>
      <c r="J28" s="149"/>
      <c r="K28" s="149"/>
    </row>
    <row r="29" spans="2:11" x14ac:dyDescent="0.25">
      <c r="B29" s="31"/>
      <c r="C29" s="28" t="s">
        <v>102</v>
      </c>
      <c r="D29" s="31"/>
    </row>
    <row r="30" spans="2:11" x14ac:dyDescent="0.25">
      <c r="B30" s="31"/>
      <c r="C30" s="28" t="s">
        <v>121</v>
      </c>
      <c r="D30" s="31"/>
    </row>
    <row r="31" spans="2:11" x14ac:dyDescent="0.25">
      <c r="B31" s="31"/>
      <c r="C31" s="31" t="s">
        <v>82</v>
      </c>
      <c r="D31" s="31"/>
    </row>
    <row r="32" spans="2:11" x14ac:dyDescent="0.25">
      <c r="B32" s="31"/>
      <c r="C32" s="31" t="s">
        <v>83</v>
      </c>
      <c r="D32" s="31"/>
    </row>
    <row r="33" spans="2:4" x14ac:dyDescent="0.25">
      <c r="B33" s="31"/>
      <c r="C33" s="31" t="s">
        <v>84</v>
      </c>
      <c r="D33" s="31"/>
    </row>
    <row r="34" spans="2:4" x14ac:dyDescent="0.25">
      <c r="C34" s="9" t="s">
        <v>217</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PL1.1 ML2027-2028</vt:lpstr>
      <vt:lpstr>TH theo DV</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2026-09-22T04:26:18Z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