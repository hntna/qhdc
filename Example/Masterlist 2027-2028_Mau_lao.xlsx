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D:\workspace\QHDC3\"/>
    </mc:Choice>
  </mc:AlternateContent>
  <bookViews>
    <workbookView xWindow="6510" yWindow="0" windowWidth="19200" windowHeight="7050" tabRatio="659" activeTab="3"/>
  </bookViews>
  <sheets>
    <sheet name="PL1.1 ML2027-2028" sheetId="1" r:id="rId1"/>
    <sheet name="TH theo DV" sheetId="14" r:id="rId2"/>
    <sheet name="TH theo Mảng" sheetId="20" r:id="rId3"/>
    <sheet name="TH theo Dịch vụ" sheetId="21" r:id="rId4"/>
    <sheet name="PL1.2 TH theo mục đích" sheetId="18" r:id="rId5"/>
    <sheet name="PL1.3 Buc tranh sau QH" sheetId="4" r:id="rId6"/>
    <sheet name="Mã" sheetId="15" r:id="rId7"/>
  </sheets>
  <definedNames>
    <definedName name="\p">#REF!</definedName>
    <definedName name="__atn1">#REF!</definedName>
    <definedName name="__atn10">#REF!</definedName>
    <definedName name="__atn2">#REF!</definedName>
    <definedName name="__atn3">#REF!</definedName>
    <definedName name="__atn4">#REF!</definedName>
    <definedName name="__atn5">#REF!</definedName>
    <definedName name="__atn6">#REF!</definedName>
    <definedName name="__atn7">#REF!</definedName>
    <definedName name="__atn8">#REF!</definedName>
    <definedName name="__atn9">#REF!</definedName>
    <definedName name="__boi1">#REF!</definedName>
    <definedName name="__boi2">#REF!</definedName>
    <definedName name="__CON1">#REF!</definedName>
    <definedName name="__CON2">#REF!</definedName>
    <definedName name="__cpd1">#REF!</definedName>
    <definedName name="__cpd2">#REF!</definedName>
    <definedName name="__deo1">#REF!</definedName>
    <definedName name="__deo10">#REF!</definedName>
    <definedName name="__deo2">#REF!</definedName>
    <definedName name="__deo3">#REF!</definedName>
    <definedName name="__deo4">#REF!</definedName>
    <definedName name="__deo5">#REF!</definedName>
    <definedName name="__deo6">#REF!</definedName>
    <definedName name="__deo7">#REF!</definedName>
    <definedName name="__deo8">#REF!</definedName>
    <definedName name="__deo9">#REF!</definedName>
    <definedName name="__lap1">#REF!</definedName>
    <definedName name="__lap2">#REF!</definedName>
    <definedName name="__nc151">#REF!</definedName>
    <definedName name="__NET2">#REF!</definedName>
    <definedName name="__NSO2" hidden="1">{"'Sheet1'!$L$16"}</definedName>
    <definedName name="__SHR1">#REF!</definedName>
    <definedName name="__SHR2">#REF!</definedName>
    <definedName name="__tax1">#REF!</definedName>
    <definedName name="__tax2">#REF!</definedName>
    <definedName name="__tax3">#REF!</definedName>
    <definedName name="__tax4">#REF!</definedName>
    <definedName name="__tct5">#REF!</definedName>
    <definedName name="__tg427">#REF!</definedName>
    <definedName name="__TH20">#REF!</definedName>
    <definedName name="_1">#REF!</definedName>
    <definedName name="_1000A01">#REF!</definedName>
    <definedName name="_2">#REF!</definedName>
    <definedName name="_atn2">#REF!</definedName>
    <definedName name="_atn3">#REF!</definedName>
    <definedName name="_atn4">#REF!</definedName>
    <definedName name="_atn5">#REF!</definedName>
    <definedName name="_atn6">#REF!</definedName>
    <definedName name="_atn7">#REF!</definedName>
    <definedName name="_atn8">#REF!</definedName>
    <definedName name="_atn9">#REF!</definedName>
    <definedName name="_ATT_REG_DCOM_3G">#REF!</definedName>
    <definedName name="_ATT_REG_MI_3G">#REF!</definedName>
    <definedName name="_ATT_REG_voice_2G">#REF!</definedName>
    <definedName name="_ATT_REG_voice_3G">#REF!</definedName>
    <definedName name="_boi1">#REF!</definedName>
    <definedName name="_boi2">#REF!</definedName>
    <definedName name="_C_Lphi_4ab">#REF!</definedName>
    <definedName name="_chk1">#REF!</definedName>
    <definedName name="_CON1">#REF!</definedName>
    <definedName name="_CON2">#REF!</definedName>
    <definedName name="_cpd1">#REF!</definedName>
    <definedName name="_cpd2">#REF!</definedName>
    <definedName name="_CPhi_Bhiem">#REF!</definedName>
    <definedName name="_CPhi_BQLDA">#REF!</definedName>
    <definedName name="_CPhi_DBaoGT">#REF!</definedName>
    <definedName name="_CPhi_Kdinh">#REF!</definedName>
    <definedName name="_CPhi_Nthu_KThanh">#REF!</definedName>
    <definedName name="_CPhi_QToan">#REF!</definedName>
    <definedName name="_CPhiTKe_13">#REF!</definedName>
    <definedName name="_cs805">#REF!</definedName>
    <definedName name="_d2">#REF!</definedName>
    <definedName name="_deo1">#REF!</definedName>
    <definedName name="_deo10">#REF!</definedName>
    <definedName name="_deo2">#REF!</definedName>
    <definedName name="_deo3">#REF!</definedName>
    <definedName name="_deo4">#REF!</definedName>
    <definedName name="_deo5">#REF!</definedName>
    <definedName name="_deo6">#REF!</definedName>
    <definedName name="_deo7">#REF!</definedName>
    <definedName name="_deo8">#REF!</definedName>
    <definedName name="_deo9">#REF!</definedName>
    <definedName name="_Fill" localSheetId="0" hidden="1">#REF!</definedName>
    <definedName name="_Fill" hidden="1">#REF!</definedName>
    <definedName name="_xlnm._FilterDatabase" localSheetId="0" hidden="1">'PL1.1 ML2027-2028'!$A$7:$Q$16</definedName>
    <definedName name="_xlnm._FilterDatabase" localSheetId="4" hidden="1">'PL1.2 TH theo mục đích'!$A$5:$K$57</definedName>
    <definedName name="_xlnm._FilterDatabase" localSheetId="5" hidden="1">'PL1.3 Buc tranh sau QH'!$A$3:$G$29</definedName>
    <definedName name="_xlnm._FilterDatabase" hidden="1">#REF!</definedName>
    <definedName name="_H500866">#REF!</definedName>
    <definedName name="_kbps_sub_ATT_DCOM_3G">#REF!</definedName>
    <definedName name="_kbps_sub_ATT_MI_3G">#REF!</definedName>
    <definedName name="_Key1" localSheetId="0" hidden="1">#REF!</definedName>
    <definedName name="_Key1" hidden="1">#REF!</definedName>
    <definedName name="_Key2" localSheetId="0" hidden="1">#REF!</definedName>
    <definedName name="_Key2" hidden="1">#REF!</definedName>
    <definedName name="_lap1">#REF!</definedName>
    <definedName name="_lap2">#REF!</definedName>
    <definedName name="_mErl_sub_ATT_voice_2G">#REF!</definedName>
    <definedName name="_mErl_sub_ATT_voice_3G">#REF!</definedName>
    <definedName name="_n23" localSheetId="0" hidden="1">{"'Sheet1'!$L$16"}</definedName>
    <definedName name="_n23" hidden="1">{"'Sheet1'!$L$16"}</definedName>
    <definedName name="_NET2">#REF!</definedName>
    <definedName name="_NSO2" localSheetId="0" hidden="1">{"'Sheet1'!$L$16"}</definedName>
    <definedName name="_NSO2" hidden="1">{"'Sheet1'!$L$16"}</definedName>
    <definedName name="_Order1" hidden="1">255</definedName>
    <definedName name="_Order2" hidden="1">255</definedName>
    <definedName name="_SHR1">#REF!</definedName>
    <definedName name="_SHR2">#REF!</definedName>
    <definedName name="_Sort" localSheetId="0" hidden="1">#REF!</definedName>
    <definedName name="_Sort" hidden="1">#REF!</definedName>
    <definedName name="_T8" localSheetId="0" hidden="1">{"'Sheet1'!$L$16"}</definedName>
    <definedName name="_T8" hidden="1">{"'Sheet1'!$L$16"}</definedName>
    <definedName name="_tax1">#REF!</definedName>
    <definedName name="_tax2">#REF!</definedName>
    <definedName name="_tax3">#REF!</definedName>
    <definedName name="_tax4">#REF!</definedName>
    <definedName name="_tct5">#REF!</definedName>
    <definedName name="_TDT35">#REF!</definedName>
    <definedName name="_tg427">#REF!</definedName>
    <definedName name="_TH20">#REF!</definedName>
    <definedName name="_Tỉ_lệ_peak_GD_ngày_max">#REF!</definedName>
    <definedName name="A">#REF!</definedName>
    <definedName name="a.">#REF!</definedName>
    <definedName name="A01_">#REF!</definedName>
    <definedName name="A01AC">#REF!</definedName>
    <definedName name="A01CAT">#REF!</definedName>
    <definedName name="A01CODE">#REF!</definedName>
    <definedName name="A01DATA">#REF!</definedName>
    <definedName name="A01MI">#REF!</definedName>
    <definedName name="A01TO">#REF!</definedName>
    <definedName name="a277Print_Titles">#REF!</definedName>
    <definedName name="A372m372">#REF!</definedName>
    <definedName name="AA">#REF!</definedName>
    <definedName name="AAA_DOCTOPS" hidden="1">"AAA_SET"</definedName>
    <definedName name="AAA_duser" hidden="1">"OFF"</definedName>
    <definedName name="aaaa">#REF!</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dd" localSheetId="0" hidden="1">{"'Sheet1'!$L$16"}</definedName>
    <definedName name="aadd" hidden="1">{"'Sheet1'!$L$16"}</definedName>
    <definedName name="aass" localSheetId="0" hidden="1">{"'Sheet1'!$L$16"}</definedName>
    <definedName name="aass" hidden="1">{"'Sheet1'!$L$16"}</definedName>
    <definedName name="ac">#REF!</definedName>
    <definedName name="ádfg" localSheetId="0" hidden="1">{"'Sheet1'!$L$16"}</definedName>
    <definedName name="ádfg" hidden="1">{"'Sheet1'!$L$16"}</definedName>
    <definedName name="AirportVisitors">#REF!</definedName>
    <definedName name="AirportVisitorsS">#REF!</definedName>
    <definedName name="All_Item">#REF!</definedName>
    <definedName name="ALPIN">#REF!</definedName>
    <definedName name="ALPJYOU">#REF!</definedName>
    <definedName name="ALPTOI">#REF!</definedName>
    <definedName name="amiang">#REF!</definedName>
    <definedName name="anscount" hidden="1">8</definedName>
    <definedName name="As_">#REF!</definedName>
    <definedName name="AS2DocOpenMode" hidden="1">"AS2DocumentEdit"</definedName>
    <definedName name="AU" localSheetId="0" hidden="1">{"'Sheet1'!$L$16"}</definedName>
    <definedName name="AU" hidden="1">{"'Sheet1'!$L$16"}</definedName>
    <definedName name="Av">#REF!</definedName>
    <definedName name="b_eh">#REF!</definedName>
    <definedName name="b_eh1">#REF!</definedName>
    <definedName name="b_ev">#REF!</definedName>
    <definedName name="b_ev1">#REF!</definedName>
    <definedName name="b_FR">#REF!</definedName>
    <definedName name="b_fr1">#REF!</definedName>
    <definedName name="b_LL">#REF!</definedName>
    <definedName name="b_ll1">#REF!</definedName>
    <definedName name="b_WL">#REF!</definedName>
    <definedName name="b_WL1">#REF!</definedName>
    <definedName name="b_WS">#REF!</definedName>
    <definedName name="b_ws1">#REF!</definedName>
    <definedName name="b3_">#REF!</definedName>
    <definedName name="b4_">#REF!</definedName>
    <definedName name="Bang_cly">#REF!</definedName>
    <definedName name="Bang_CVC">#REF!</definedName>
    <definedName name="bang_gia">#REF!</definedName>
    <definedName name="Bang_travl">#REF!</definedName>
    <definedName name="bangtinh">#REF!</definedName>
    <definedName name="BarData">#REF!</definedName>
    <definedName name="BB">#REF!</definedName>
    <definedName name="bchcj">#REF!</definedName>
    <definedName name="bchvch">#REF!</definedName>
    <definedName name="Bcuc">#REF!</definedName>
    <definedName name="bdd">1.5</definedName>
    <definedName name="BL">"$A$1:$f$11"</definedName>
    <definedName name="blang">#REF!</definedName>
    <definedName name="blong">#REF!</definedName>
    <definedName name="bn">#REF!</definedName>
    <definedName name="BO" localSheetId="0" hidden="1">{"'Sheet1'!$L$16"}</definedName>
    <definedName name="BO" hidden="1">{"'Sheet1'!$L$16"}</definedName>
    <definedName name="BOQ">#REF!</definedName>
    <definedName name="boxes">#REF!</definedName>
    <definedName name="bson">#REF!</definedName>
    <definedName name="BT">#REF!</definedName>
    <definedName name="btai">#REF!</definedName>
    <definedName name="btham">#REF!</definedName>
    <definedName name="btong">#REF!</definedName>
    <definedName name="button_area_1">#REF!</definedName>
    <definedName name="bv">#REF!</definedName>
    <definedName name="BVCISUMMARY">#REF!</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_">#REF!</definedName>
    <definedName name="c5.">#REF!</definedName>
    <definedName name="CACAU">1415247</definedName>
    <definedName name="cap">#REF!</definedName>
    <definedName name="cap0.7">#REF!</definedName>
    <definedName name="Category_All">#REF!</definedName>
    <definedName name="CATIN">#REF!</definedName>
    <definedName name="CATJYOU">#REF!</definedName>
    <definedName name="CATREC">#REF!</definedName>
    <definedName name="CATSYU">#REF!</definedName>
    <definedName name="CC">#REF!</definedName>
    <definedName name="CCT">#REF!</definedName>
    <definedName name="cd">#REF!</definedName>
    <definedName name="CDB">#REF!</definedName>
    <definedName name="cdn">#REF!</definedName>
    <definedName name="CDR">#REF!</definedName>
    <definedName name="celltips_area">#REF!</definedName>
    <definedName name="chay1">#REF!</definedName>
    <definedName name="chay10">#REF!</definedName>
    <definedName name="chay2">#REF!</definedName>
    <definedName name="chay3">#REF!</definedName>
    <definedName name="chay4">#REF!</definedName>
    <definedName name="chay5">#REF!</definedName>
    <definedName name="chay6">#REF!</definedName>
    <definedName name="chay7">#REF!</definedName>
    <definedName name="chay8">#REF!</definedName>
    <definedName name="chay9">#REF!</definedName>
    <definedName name="chk">#REF!</definedName>
    <definedName name="Chøng_tõ">#REF!</definedName>
    <definedName name="Chtinh">#REF!</definedName>
    <definedName name="chuc1">#REF!</definedName>
    <definedName name="CL">#REF!</definedName>
    <definedName name="CLVL">#REF!</definedName>
    <definedName name="CNC">#REF!</definedName>
    <definedName name="CND">#REF!</definedName>
    <definedName name="CNG">#REF!</definedName>
    <definedName name="Co">#REF!</definedName>
    <definedName name="coc">#REF!</definedName>
    <definedName name="coldex">#REF!</definedName>
    <definedName name="COMMON">#REF!</definedName>
    <definedName name="CON_EQP_COS">#REF!</definedName>
    <definedName name="CON_EQP_COST">#REF!</definedName>
    <definedName name="Cong_HM_DTCT">#REF!</definedName>
    <definedName name="Cong_M_DTCT">#REF!</definedName>
    <definedName name="Cong_NC_DTCT">#REF!</definedName>
    <definedName name="Cong_VL_DTCT">#REF!</definedName>
    <definedName name="CONGTIEN">#REF!</definedName>
    <definedName name="CONST_EQ">#REF!</definedName>
    <definedName name="COT">#REF!</definedName>
    <definedName name="COVER">#REF!</definedName>
    <definedName name="CPC">#REF!</definedName>
    <definedName name="cpdd1">#REF!</definedName>
    <definedName name="cpdd2">#REF!</definedName>
    <definedName name="CRITINST">#REF!</definedName>
    <definedName name="CRITPURC">#REF!</definedName>
    <definedName name="CS">#REF!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tdn9697">#REF!</definedName>
    <definedName name="ctiep">#REF!</definedName>
    <definedName name="ctmai">#REF!</definedName>
    <definedName name="CTO">#REF!</definedName>
    <definedName name="ctong">#REF!</definedName>
    <definedName name="ctre">#REF!</definedName>
    <definedName name="CU_LY">#REF!</definedName>
    <definedName name="cui">#REF!</definedName>
    <definedName name="cuoc_vc">#REF!</definedName>
    <definedName name="CURRENCY">#REF!</definedName>
    <definedName name="cx">#REF!</definedName>
    <definedName name="d_">#REF!</definedName>
    <definedName name="D_7101A_B">#REF!</definedName>
    <definedName name="d1_">#REF!</definedName>
    <definedName name="d2_">#REF!</definedName>
    <definedName name="d3_">#REF!</definedName>
    <definedName name="d4_">#REF!</definedName>
    <definedName name="d5_">#REF!</definedName>
    <definedName name="DAILATHANH" localSheetId="0" hidden="1">{"'Sheet1'!$L$16"}</definedName>
    <definedName name="DAILATHANH" hidden="1">{"'Sheet1'!$L$16"}</definedName>
    <definedName name="dapdbm1">#REF!</definedName>
    <definedName name="dapdbm2">#REF!</definedName>
    <definedName name="DAT">#REF!</definedName>
    <definedName name="data">#REF!</definedName>
    <definedName name="data1">#REF!</definedName>
    <definedName name="data10">#REF!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a29">#REF!</definedName>
    <definedName name="data3">#REF!</definedName>
    <definedName name="data30">#REF!</definedName>
    <definedName name="data31">#REF!</definedName>
    <definedName name="data32">#REF!</definedName>
    <definedName name="data33">#REF!</definedName>
    <definedName name="data34">#REF!</definedName>
    <definedName name="data35">#REF!</definedName>
    <definedName name="data36">#REF!</definedName>
    <definedName name="data37">#REF!</definedName>
    <definedName name="data38">#REF!</definedName>
    <definedName name="data39">#REF!</definedName>
    <definedName name="data4">#REF!</definedName>
    <definedName name="data40">#REF!</definedName>
    <definedName name="data41">#REF!</definedName>
    <definedName name="data42">#REF!</definedName>
    <definedName name="data43">#REF!</definedName>
    <definedName name="data44">#REF!</definedName>
    <definedName name="data45">#REF!</definedName>
    <definedName name="data46">#REF!</definedName>
    <definedName name="data47">#REF!</definedName>
    <definedName name="data48">#REF!</definedName>
    <definedName name="data49">#REF!</definedName>
    <definedName name="data5">#REF!</definedName>
    <definedName name="data50">#REF!</definedName>
    <definedName name="data51">#REF!</definedName>
    <definedName name="data52">#REF!</definedName>
    <definedName name="data53">#REF!</definedName>
    <definedName name="data54">#REF!</definedName>
    <definedName name="data55">#REF!</definedName>
    <definedName name="data56">#REF!</definedName>
    <definedName name="data57">#REF!</definedName>
    <definedName name="data58">#REF!</definedName>
    <definedName name="data59">#REF!</definedName>
    <definedName name="data6">#REF!</definedName>
    <definedName name="data60">#REF!</definedName>
    <definedName name="data61">#REF!</definedName>
    <definedName name="data62">#REF!</definedName>
    <definedName name="data63">#REF!</definedName>
    <definedName name="data64">#REF!</definedName>
    <definedName name="data65">#REF!</definedName>
    <definedName name="data66">#REF!</definedName>
    <definedName name="data67">#REF!</definedName>
    <definedName name="data68">#REF!</definedName>
    <definedName name="data69">#REF!</definedName>
    <definedName name="data7">#REF!</definedName>
    <definedName name="data70">#REF!</definedName>
    <definedName name="data8">#REF!</definedName>
    <definedName name="data9">#REF!</definedName>
    <definedName name="_xlnm.Database">#REF!</definedName>
    <definedName name="datak">#REF!</definedName>
    <definedName name="datal">#REF!</definedName>
    <definedName name="db">#REF!</definedName>
    <definedName name="dc">#REF!</definedName>
    <definedName name="dche">#REF!</definedName>
    <definedName name="dd4x6">#REF!</definedName>
    <definedName name="ddabm">#REF!</definedName>
    <definedName name="dday">#REF!</definedName>
    <definedName name="ddbm500">#REF!</definedName>
    <definedName name="dden">#REF!</definedName>
    <definedName name="ddia">#REF!</definedName>
    <definedName name="DDK">#REF!</definedName>
    <definedName name="de">#REF!</definedName>
    <definedName name="den_bu">#REF!</definedName>
    <definedName name="denbu">#REF!</definedName>
    <definedName name="Det40x4">#REF!</definedName>
    <definedName name="Det50x5">#REF!</definedName>
    <definedName name="Det63x6">#REF!</definedName>
    <definedName name="Det75x6">#REF!</definedName>
    <definedName name="df">#REF!</definedName>
    <definedName name="dfg" hidden="1">{"'Sheet1'!$L$16"}</definedName>
    <definedName name="dfgdf">#REF!</definedName>
    <definedName name="dfgdfggf">#REF!</definedName>
    <definedName name="dflk">#REF!</definedName>
    <definedName name="dflt1">#REF!</definedName>
    <definedName name="dflt2">#REF!</definedName>
    <definedName name="dflt3">#REF!</definedName>
    <definedName name="dflt4">#REF!</definedName>
    <definedName name="dflt5">#REF!</definedName>
    <definedName name="dflt6">#REF!</definedName>
    <definedName name="dflt7">#REF!</definedName>
    <definedName name="dg">#REF!</definedName>
    <definedName name="DGCS">33500</definedName>
    <definedName name="DGCTI592">#REF!</definedName>
    <definedName name="dh">#REF!</definedName>
    <definedName name="dien">#REF!</definedName>
    <definedName name="dim">#REF!</definedName>
    <definedName name="display_area_1">#REF!</definedName>
    <definedName name="display_area_2">#REF!</definedName>
    <definedName name="Dist">#REF!</definedName>
    <definedName name="dmdv">#REF!</definedName>
    <definedName name="DMHH">#REF!</definedName>
    <definedName name="dmoi">#REF!</definedName>
    <definedName name="DN">#REF!</definedName>
    <definedName name="DÑt45x4">#REF!</definedName>
    <definedName name="DOANH_SO">#REF!</definedName>
    <definedName name="Doanh_thu">#REF!</definedName>
    <definedName name="dobt">#REF!</definedName>
    <definedName name="Document_array">{"ONGNGOAINHA.xls","Sheet1"}</definedName>
    <definedName name="dong" localSheetId="0" hidden="1">{"'Sheet1'!$L$16"}</definedName>
    <definedName name="dong" hidden="1">{"'Sheet1'!$L$16"}</definedName>
    <definedName name="drda">#REF!</definedName>
    <definedName name="drdat">#REF!</definedName>
    <definedName name="DSUMDATA">#REF!</definedName>
    <definedName name="DTBH">#REF!</definedName>
    <definedName name="DUCKY_CO_CD">#REF!</definedName>
    <definedName name="DUCKY_NO_CD">#REF!</definedName>
    <definedName name="DUDKY_CO_CD">#REF!</definedName>
    <definedName name="DUDKY_NO_CD">#REF!</definedName>
    <definedName name="dxd">#REF!</definedName>
    <definedName name="e">13</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_xlnm.Extract">#REF!</definedName>
    <definedName name="FACTOR">#REF!</definedName>
    <definedName name="Fax">#REF!</definedName>
    <definedName name="Fay">#REF!</definedName>
    <definedName name="fy_">#REF!</definedName>
    <definedName name="g">2</definedName>
    <definedName name="gd">#REF!</definedName>
    <definedName name="gd.">#REF!</definedName>
    <definedName name="GDL">#REF!</definedName>
    <definedName name="ghichu">#REF!</definedName>
    <definedName name="gi">0.4</definedName>
    <definedName name="Gia_tien">#REF!</definedName>
    <definedName name="gia_tien_BTN">#REF!</definedName>
    <definedName name="GiaKHUSD" comment="Giá gói thầu theo KHLCNT USD">#REF!</definedName>
    <definedName name="GiaKHVND" comment="Giá gói thầu theo KHLCNT (VND)">#REF!</definedName>
    <definedName name="gjj">#REF!</definedName>
    <definedName name="gld">#REF!</definedName>
    <definedName name="GLL">#REF!</definedName>
    <definedName name="Goc32x3">#REF!</definedName>
    <definedName name="Goc35x3">#REF!</definedName>
    <definedName name="Goc40x4">#REF!</definedName>
    <definedName name="Goc45x4">#REF!</definedName>
    <definedName name="Goc50x5">#REF!</definedName>
    <definedName name="Goc63x6">#REF!</definedName>
    <definedName name="Goc75x6">#REF!</definedName>
    <definedName name="grB">#REF!</definedName>
    <definedName name="GTXL">#REF!</definedName>
    <definedName name="gxm">#REF!</definedName>
    <definedName name="h" hidden="1">{"'Sheet1'!$L$16"}</definedName>
    <definedName name="Ha">#REF!</definedName>
    <definedName name="ha.">#REF!</definedName>
    <definedName name="haichau6">#REF!</definedName>
    <definedName name="hb.">#REF!</definedName>
    <definedName name="hc.">#REF!</definedName>
    <definedName name="HCM">#REF!</definedName>
    <definedName name="hg">#REF!</definedName>
    <definedName name="hgj">#REF!</definedName>
    <definedName name="HH">#REF!</definedName>
    <definedName name="hien">#REF!</definedName>
    <definedName name="Hinhthuc">#REF!</definedName>
    <definedName name="hnhnhn" localSheetId="0" hidden="1">{"'Sheet1'!$L$16"}</definedName>
    <definedName name="hnhnhn" hidden="1">{"'Sheet1'!$L$16"}</definedName>
    <definedName name="ho">#REF!</definedName>
    <definedName name="hoa" localSheetId="0" hidden="1">{"'Sheet1'!$L$16"}</definedName>
    <definedName name="hoa" hidden="1">{"'Sheet1'!$L$16"}</definedName>
    <definedName name="HOME_MANP">#REF!</definedName>
    <definedName name="HOMEOFFICE_COST">#REF!</definedName>
    <definedName name="hsn">0.5</definedName>
    <definedName name="HSPCKV">0.3</definedName>
    <definedName name="HT">#REF!</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huynhhaichau">#REF!</definedName>
    <definedName name="i">1.11</definedName>
    <definedName name="IDLAB_COST">#REF!</definedName>
    <definedName name="IND_LAB">#REF!</definedName>
    <definedName name="INDMANP">#REF!</definedName>
    <definedName name="K">#REF!</definedName>
    <definedName name="k..">#REF!</definedName>
    <definedName name="KA">#REF!</definedName>
    <definedName name="ka.">#REF!</definedName>
    <definedName name="KAE">#REF!</definedName>
    <definedName name="kcong">#REF!</definedName>
    <definedName name="kdien">#REF!</definedName>
    <definedName name="KhuyenmaiUPS">"AutoShape 264"</definedName>
    <definedName name="kiem">#REF!</definedName>
    <definedName name="Kiem_tra_trung_ten">#REF!</definedName>
    <definedName name="kk">0.8</definedName>
    <definedName name="kl">#REF!</definedName>
    <definedName name="KPC">0.7</definedName>
    <definedName name="kstk">#REF!</definedName>
    <definedName name="KVC">#REF!</definedName>
    <definedName name="l">4.584</definedName>
    <definedName name="lai" localSheetId="0" hidden="1">{"'Sheet1'!$L$16"}</definedName>
    <definedName name="lai" hidden="1">{"'Sheet1'!$L$16"}</definedName>
    <definedName name="LAMTHEM">#REF!</definedName>
    <definedName name="Lb">#REF!</definedName>
    <definedName name="Lf">#REF!</definedName>
    <definedName name="LgL">#REF!</definedName>
    <definedName name="lk" localSheetId="0" hidden="1">{"'Sheet1'!$L$16"}</definedName>
    <definedName name="lk" hidden="1">{"'Sheet1'!$L$16"}</definedName>
    <definedName name="LLs">#REF!</definedName>
    <definedName name="LN">#REF!</definedName>
    <definedName name="LOC">#REF!</definedName>
    <definedName name="Log_Normal_Fade_Margin">#REF!</definedName>
    <definedName name="long">#REF!</definedName>
    <definedName name="Lop">#REF!</definedName>
    <definedName name="LTR">#REF!</definedName>
    <definedName name="ltre">#REF!</definedName>
    <definedName name="Luanthanh">#REF!</definedName>
    <definedName name="LUONG">#REF!</definedName>
    <definedName name="lVC">#REF!</definedName>
    <definedName name="m" hidden="1">{"'Sheet1'!$L$16"}</definedName>
    <definedName name="M0.4">#REF!</definedName>
    <definedName name="MAJ_CON_EQP">#REF!</definedName>
    <definedName name="Masterlist_CNTT" hidden="1">#REF!</definedName>
    <definedName name="Masterlist_ML" hidden="1">#REF!</definedName>
    <definedName name="matit">#REF!</definedName>
    <definedName name="MATK">#REF!</definedName>
    <definedName name="MATK_CD">#REF!</definedName>
    <definedName name="MATK_M">#REF!</definedName>
    <definedName name="MC">#REF!</definedName>
    <definedName name="me">#REF!</definedName>
    <definedName name="MG_A">#REF!</definedName>
    <definedName name="minh1">#REF!</definedName>
    <definedName name="ML">#REF!</definedName>
    <definedName name="MN">#REF!</definedName>
    <definedName name="mncvhjkhj" localSheetId="0" hidden="1">{"'Sheet1'!$L$16"}</definedName>
    <definedName name="mncvhjkhj" hidden="1">{"'Sheet1'!$L$16"}</definedName>
    <definedName name="MUN">#REF!</definedName>
    <definedName name="n1_">#REF!</definedName>
    <definedName name="n2_">#REF!</definedName>
    <definedName name="n3_">#REF!</definedName>
    <definedName name="n4_">#REF!</definedName>
    <definedName name="ncb">#N/A</definedName>
    <definedName name="NCcap0.7">#REF!</definedName>
    <definedName name="NCcap1">#REF!</definedName>
    <definedName name="NCKT">#REF!</definedName>
    <definedName name="NDemand01">#REF!</definedName>
    <definedName name="NDemand02">#REF!</definedName>
    <definedName name="NDemand03">#REF!</definedName>
    <definedName name="Néi_dung">#REF!</definedName>
    <definedName name="NET">#REF!</definedName>
    <definedName name="NET_1">#REF!</definedName>
    <definedName name="NET_ANA">#REF!</definedName>
    <definedName name="NET_ANA_1">#REF!</definedName>
    <definedName name="NET_ANA_2">#REF!</definedName>
    <definedName name="Ng_y__i">#REF!</definedName>
    <definedName name="ngau">#REF!</definedName>
    <definedName name="Ngay_BC.KQ_1" comment="Ngày báo cáo Hội đồng kết quả tài chính (2 túi HS)/KQ gói thầu (1 túi HS) lần 1">#REF!</definedName>
    <definedName name="Ngay_BC_KT_1" comment="Ngày báo cáo hội đồng KQ kỹ thuật lần 1">#REF!</definedName>
    <definedName name="Ngay_dong_thau">#REF!</definedName>
    <definedName name="Ngay_hoan.thanh_KQ">#REF!</definedName>
    <definedName name="Ngay_hoan.thanh_KT">#REF!</definedName>
    <definedName name="Ngay_mo_HSDX.TC">#REF!</definedName>
    <definedName name="Ngay_phat_hanh" comment="Ngày phát hành hồ sơ">#REF!</definedName>
    <definedName name="Ngay_thong.qua_KQ">#REF!</definedName>
    <definedName name="Ngay_thong.qua_KT">#REF!</definedName>
    <definedName name="NGAYCTU_B">#REF!</definedName>
    <definedName name="NGHI">#REF!</definedName>
    <definedName name="NH">#REF!</definedName>
    <definedName name="Nhancong">#REF!</definedName>
    <definedName name="NHANTIEN">#REF!</definedName>
    <definedName name="nhap1">#N/A</definedName>
    <definedName name="nhap2">#N/A</definedName>
    <definedName name="nhapcb">#N/A</definedName>
    <definedName name="NhNgam">#REF!</definedName>
    <definedName name="NHot">#REF!</definedName>
    <definedName name="NhTreo">#REF!</definedName>
    <definedName name="nhua">#REF!</definedName>
    <definedName name="nm" localSheetId="0" hidden="1">{"'Sheet1'!$L$16"}</definedName>
    <definedName name="nm" hidden="1">{"'Sheet1'!$L$16"}</definedName>
    <definedName name="nn">1.15</definedName>
    <definedName name="No">#REF!</definedName>
    <definedName name="NOCU">#REF!</definedName>
    <definedName name="NS">#REF!</definedName>
    <definedName name="NvsASD">"V1995-11-24"</definedName>
    <definedName name="NvsAutoDrillOk">"VN"</definedName>
    <definedName name="NvsElapsedTime">0.000677083335176576</definedName>
    <definedName name="NvsEndTime">35083.4744131944</definedName>
    <definedName name="NvsInstSpec">"%"</definedName>
    <definedName name="NvsLayoutType">"M3"</definedName>
    <definedName name="NvsNplSpec">"%,X,RZF..,CZF.."</definedName>
    <definedName name="NvsPanelEffdt">"V1995-11-24"</definedName>
    <definedName name="NvsPanelSetid">"VMODEL"</definedName>
    <definedName name="NvsReqBU">"VMODEL"</definedName>
    <definedName name="NvsReqBUOnly">"VN"</definedName>
    <definedName name="NvsTransLed">"VN"</definedName>
    <definedName name="NvsTreeASD">"V1995-11-24"</definedName>
    <definedName name="NvsValTbl.OFFCENTER_CHG">"OFFDEPT_CHG_VAL"</definedName>
    <definedName name="p2_">#REF!</definedName>
    <definedName name="PA">#REF!</definedName>
    <definedName name="Phuongthuc" comment="Phương thức lựa chọn nhà thầu">#REF!</definedName>
    <definedName name="PK">#REF!</definedName>
    <definedName name="PRICE">#REF!</definedName>
    <definedName name="PRICE1">#REF!</definedName>
    <definedName name="_xlnm.Print_Area" localSheetId="0">'PL1.1 ML2027-2028'!$A$1:$I$10</definedName>
    <definedName name="_xlnm.Print_Area" localSheetId="4">'PL1.2 TH theo mục đích'!$A$1:$J$58</definedName>
    <definedName name="_xlnm.Print_Area" localSheetId="5">'PL1.3 Buc tranh sau QH'!$A$1:$F$29</definedName>
    <definedName name="_xlnm.Print_Area">#REF!</definedName>
    <definedName name="PRINT_AREA_MI">#REF!</definedName>
    <definedName name="_xlnm.Print_Titles" localSheetId="0">'PL1.1 ML2027-2028'!$4:$7</definedName>
    <definedName name="_xlnm.Print_Titles" localSheetId="4">'PL1.2 TH theo mục đích'!$3:$4</definedName>
    <definedName name="_xlnm.Print_Titles" localSheetId="5">'PL1.3 Buc tranh sau QH'!$3:$3</definedName>
    <definedName name="_xlnm.Print_Titles">#N/A</definedName>
    <definedName name="PRINT_TITLES_MI">#REF!</definedName>
    <definedName name="PRINTA">#REF!</definedName>
    <definedName name="PRINTB">#REF!</definedName>
    <definedName name="PRINTC">#REF!</definedName>
    <definedName name="PROPOSAL">#REF!</definedName>
    <definedName name="PSCO_CD">#REF!</definedName>
    <definedName name="PSNO_CD">#REF!</definedName>
    <definedName name="pt">#REF!</definedName>
    <definedName name="PT_Duong">#REF!</definedName>
    <definedName name="ptdg">#REF!</definedName>
    <definedName name="PTDG_cau">#REF!</definedName>
    <definedName name="ptdg_cong">#REF!</definedName>
    <definedName name="ptdg_duong">#REF!</definedName>
    <definedName name="qh">#REF!</definedName>
    <definedName name="ql">#REF!</definedName>
    <definedName name="qp">#REF!</definedName>
    <definedName name="qtebt">#REF!</definedName>
    <definedName name="Query1">#REF!</definedName>
    <definedName name="qx">#REF!</definedName>
    <definedName name="qy">#REF!</definedName>
    <definedName name="qzqzqz10">#REF!</definedName>
    <definedName name="qzqzqz11">#REF!</definedName>
    <definedName name="qzqzqz12">#REF!</definedName>
    <definedName name="qzqzqz13">#REF!</definedName>
    <definedName name="qzqzqz14">#REF!</definedName>
    <definedName name="qzqzqz15">#REF!</definedName>
    <definedName name="qzqzqz16">#REF!</definedName>
    <definedName name="qzqzqz17">#REF!</definedName>
    <definedName name="qzqzqz18">#REF!</definedName>
    <definedName name="qzqzqz19">#REF!</definedName>
    <definedName name="qzqzqz20">#REF!</definedName>
    <definedName name="qzqzqz21">#REF!</definedName>
    <definedName name="qzqzqz22">#REF!</definedName>
    <definedName name="qzqzqz23">#REF!</definedName>
    <definedName name="qzqzqz24">#REF!</definedName>
    <definedName name="qzqzqz25">#REF!</definedName>
    <definedName name="qzqzqz26">#REF!</definedName>
    <definedName name="qzqzqz27">#REF!</definedName>
    <definedName name="qzqzqz28">#REF!</definedName>
    <definedName name="qzqzqz29">#REF!</definedName>
    <definedName name="qzqzqz30">#REF!</definedName>
    <definedName name="qzqzqz31">#REF!</definedName>
    <definedName name="qzqzqz32">#REF!</definedName>
    <definedName name="qzqzqz6">#REF!</definedName>
    <definedName name="qzqzqz7">#REF!</definedName>
    <definedName name="qzqzqz8">#REF!</definedName>
    <definedName name="qzqzqz9">#REF!</definedName>
    <definedName name="r_">#REF!</definedName>
    <definedName name="rang1">#REF!</definedName>
    <definedName name="range">#REF!</definedName>
    <definedName name="Rate">14563</definedName>
    <definedName name="re" hidden="1">{"'Sheet1'!$L$16"}</definedName>
    <definedName name="RECOUT">#REF!</definedName>
    <definedName name="REPORT01">#REF!</definedName>
    <definedName name="REPORT02">#REF!</definedName>
    <definedName name="RFP003A">#REF!</definedName>
    <definedName name="RFP003B">#REF!</definedName>
    <definedName name="RFP003C">#REF!</definedName>
    <definedName name="RFP003D">#REF!</definedName>
    <definedName name="RFP003E">#REF!</definedName>
    <definedName name="RFP003F">#REF!</definedName>
    <definedName name="rnp">32</definedName>
    <definedName name="s1_">#REF!</definedName>
    <definedName name="s2_">#REF!</definedName>
    <definedName name="s3_">#REF!</definedName>
    <definedName name="s4_">#REF!</definedName>
    <definedName name="SCCR">#REF!</definedName>
    <definedName name="scdk">#REF!</definedName>
    <definedName name="scdl">#REF!</definedName>
    <definedName name="SCDT">#REF!</definedName>
    <definedName name="SCH">#REF!</definedName>
    <definedName name="sctdl">#REF!</definedName>
    <definedName name="sctqdl">#REF!</definedName>
    <definedName name="SDemand02">#REF!</definedName>
    <definedName name="SDemand03">#REF!</definedName>
    <definedName name="sencount" hidden="1">1</definedName>
    <definedName name="Shoes">#REF!</definedName>
    <definedName name="SIZE">#REF!</definedName>
    <definedName name="SL">#REF!</definedName>
    <definedName name="slk">#REF!</definedName>
    <definedName name="sll">#REF!</definedName>
    <definedName name="SOCTU_NK_BH">#REF!</definedName>
    <definedName name="Soi">#REF!</definedName>
    <definedName name="SORT">#REF!</definedName>
    <definedName name="SOTIEN_B">#REF!</definedName>
    <definedName name="SOTIEN_CO_NK">#REF!</definedName>
    <definedName name="SOTIEN_NO_NK">#REF!</definedName>
    <definedName name="SPEC">#REF!</definedName>
    <definedName name="SPECSUMMARY">#REF!</definedName>
    <definedName name="spk">#REF!</definedName>
    <definedName name="SS">#REF!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tus">#REF!</definedName>
    <definedName name="std.">#REF!</definedName>
    <definedName name="stop" localSheetId="0" hidden="1">{0}</definedName>
    <definedName name="stop" hidden="1">{0}</definedName>
    <definedName name="STT_NC">#REF!</definedName>
    <definedName name="STT_NCT">#REF!</definedName>
    <definedName name="STT_PH">#REF!</definedName>
    <definedName name="SU">#REF!</definedName>
    <definedName name="sua" localSheetId="0" hidden="1">{"'Sheet1'!$L$16"}</definedName>
    <definedName name="sua" hidden="1">{"'Sheet1'!$L$16"}</definedName>
    <definedName name="SUM">#REF!,#REF!</definedName>
    <definedName name="SUMMARY">#REF!</definedName>
    <definedName name="T">#REF!</definedName>
    <definedName name="TAMUNG">#REF!</definedName>
    <definedName name="TaxTV">10%</definedName>
    <definedName name="TaxXL">10%</definedName>
    <definedName name="TBA">#REF!</definedName>
    <definedName name="tc">#REF!</definedName>
    <definedName name="TD">#REF!</definedName>
    <definedName name="tdo">#REF!</definedName>
    <definedName name="tdt">#REF!</definedName>
    <definedName name="TenNgam">#REF!</definedName>
    <definedName name="TenTreo">#REF!</definedName>
    <definedName name="ter">#REF!</definedName>
    <definedName name="THCTO">#REF!</definedName>
    <definedName name="thdt">#REF!</definedName>
    <definedName name="thepma">30408</definedName>
    <definedName name="thepmaBL">34500</definedName>
    <definedName name="thepmacl">34500</definedName>
    <definedName name="THI">#REF!</definedName>
    <definedName name="thinh">#REF!</definedName>
    <definedName name="Thoi_gian_BC_KT" comment="Thời gian từ ngày ra b/c KT tới ngày được hội đồng thông qua KQ kỹ thuật">#REF!</definedName>
    <definedName name="Thoi_gian_D.G_KT" comment="Thời gian hoàn thành đánh giá HSĐX kỹ thuật từ ngày đóng thầu tới ngày TCG trình báo cáo KQ đánh giá KT lên HĐ">#REF!</definedName>
    <definedName name="Thoi_gian_D.G_tong.hop">#REF!</definedName>
    <definedName name="Thoi_gian_HT_B.C" comment="Thời gian hoàn thành báo cáo đánh giá tài chính (2 túi HS) hoặc hoàn thành báo cáo KQ đánh giá HSDT">#REF!</definedName>
    <definedName name="Thoi_gian_HT_D.G" comment="Thời gian hoàn thành đánh giá HSĐX tài chính (2 túi HS) hoặc thời gian hoàn thành đánh giá HSDT (1 túi HS)">#REF!</definedName>
    <definedName name="Thu__GTGT">#REF!</definedName>
    <definedName name="THUE_GTGT">#REF!</definedName>
    <definedName name="THUONG">#REF!</definedName>
    <definedName name="Tien">#REF!</definedName>
    <definedName name="Tim_Lan_Xuat_Hien">#REF!</definedName>
    <definedName name="tim_xuat_hien">#REF!</definedName>
    <definedName name="TITAN">#REF!</definedName>
    <definedName name="tk">#N/A</definedName>
    <definedName name="tke">#N/A</definedName>
    <definedName name="TKNO_NK">#REF!</definedName>
    <definedName name="tkt" localSheetId="0" hidden="1">{"'Sheet1'!$L$16"}</definedName>
    <definedName name="tkt" hidden="1">{"'Sheet1'!$L$16"}</definedName>
    <definedName name="Tle">#REF!</definedName>
    <definedName name="TN">"$A$1:$I$11"</definedName>
    <definedName name="tnewry">#REF!</definedName>
    <definedName name="ton">#REF!</definedName>
    <definedName name="TOT">#REF!</definedName>
    <definedName name="TPLRP">#REF!</definedName>
    <definedName name="Tra_don_gia_KS">#REF!</definedName>
    <definedName name="Tra_DTCT">#REF!</definedName>
    <definedName name="Tra_tim_hang_mucPT_trung">#REF!</definedName>
    <definedName name="Tra_TL">#REF!</definedName>
    <definedName name="Tra_ty_le2">#REF!</definedName>
    <definedName name="Tra_ty_le3">#REF!</definedName>
    <definedName name="Tra_ty_le4">#REF!</definedName>
    <definedName name="Tra_ty_le5">#REF!</definedName>
    <definedName name="TRA_VAT_LIEU">#REF!</definedName>
    <definedName name="TRA_VL">#REF!</definedName>
    <definedName name="TRADE2">#REF!</definedName>
    <definedName name="TRAMTON" localSheetId="0" hidden="1">{"'Sheet1'!$L$16"}</definedName>
    <definedName name="TRAMTON" hidden="1">{"'Sheet1'!$L$16"}</definedName>
    <definedName name="Trang.thai.goi.thau" comment="Trạng thái hiện tại của các gói thầu">#REF!</definedName>
    <definedName name="TRANO">#REF!</definedName>
    <definedName name="TRAVL">#REF!</definedName>
    <definedName name="TRUNGHI">#REF!</definedName>
    <definedName name="ttam">#REF!</definedName>
    <definedName name="ttao">#REF!</definedName>
    <definedName name="ttbt">#REF!</definedName>
    <definedName name="tthi">#REF!</definedName>
    <definedName name="ty_le">#REF!</definedName>
    <definedName name="ty_le_BTN">#REF!</definedName>
    <definedName name="Ty_le1">#REF!</definedName>
    <definedName name="u">#REF!</definedName>
    <definedName name="ư34y">#REF!</definedName>
    <definedName name="ưb2u45etm">#REF!</definedName>
    <definedName name="ưebty">#REF!</definedName>
    <definedName name="UP">#REF!,#REF!,#REF!,#REF!,#REF!,#REF!,#REF!,#REF!,#REF!,#REF!,#REF!</definedName>
    <definedName name="USD">15820</definedName>
    <definedName name="VARIINST">#REF!</definedName>
    <definedName name="VARIPURC">#REF!</definedName>
    <definedName name="vbnmb">#REF!</definedName>
    <definedName name="vc">#REF!</definedName>
    <definedName name="vccot">#REF!</definedName>
    <definedName name="vcdatd">#REF!</definedName>
    <definedName name="vcddx">#REF!</definedName>
    <definedName name="vctb">#REF!</definedName>
    <definedName name="Vf">#REF!</definedName>
    <definedName name="vital1">#REF!</definedName>
    <definedName name="vital2">#REF!</definedName>
    <definedName name="vital4">#REF!</definedName>
    <definedName name="vital5">#REF!</definedName>
    <definedName name="vital6">#REF!</definedName>
    <definedName name="vital8">#REF!</definedName>
    <definedName name="vital9">#REF!</definedName>
    <definedName name="Vlcap0.7">#REF!</definedName>
    <definedName name="VLcap1">#REF!</definedName>
    <definedName name="Vs">#REF!</definedName>
    <definedName name="vungnhapk">#REF!</definedName>
    <definedName name="vungnhapl">#REF!</definedName>
    <definedName name="vungxuatk">#REF!</definedName>
    <definedName name="vungxuatl">#REF!</definedName>
    <definedName name="vxgf">#REF!</definedName>
    <definedName name="W">#REF!</definedName>
    <definedName name="wb">#REF!</definedName>
    <definedName name="wrn.chi._.tiÆt." localSheetId="0" hidden="1">{#N/A,#N/A,FALSE,"Chi tiÆt"}</definedName>
    <definedName name="wrn.chi._.tiÆt." hidden="1">{#N/A,#N/A,FALSE,"Chi tiÆt"}</definedName>
    <definedName name="wup">#REF!</definedName>
    <definedName name="X">#REF!</definedName>
    <definedName name="x_list">#REF!</definedName>
    <definedName name="x1_">#REF!</definedName>
    <definedName name="x2_">#REF!</definedName>
    <definedName name="XA">#REF!</definedName>
    <definedName name="xaylap">#REF!</definedName>
    <definedName name="xcp">#REF!</definedName>
    <definedName name="xe">#REF!</definedName>
    <definedName name="xh">#REF!</definedName>
    <definedName name="xl">#REF!</definedName>
    <definedName name="xlc">#REF!</definedName>
    <definedName name="xlk">#REF!</definedName>
    <definedName name="xmp40">#REF!</definedName>
    <definedName name="xn">#REF!</definedName>
    <definedName name="xoanhapk">#REF!,#REF!</definedName>
    <definedName name="xoanhapl">#REF!,#REF!</definedName>
    <definedName name="xoaxuatk">#REF!</definedName>
    <definedName name="xoaxuatl">#REF!</definedName>
    <definedName name="y" localSheetId="0" hidden="1">{"'Sheet1'!$L$16"}</definedName>
    <definedName name="y" hidden="1">{"'Sheet1'!$L$16"}</definedName>
    <definedName name="y_list">#REF!</definedName>
    <definedName name="ycp">#REF!</definedName>
    <definedName name="YvNgam">#REF!</definedName>
    <definedName name="YvTreo">#REF!</definedName>
    <definedName name="ZYX">#REF!</definedName>
    <definedName name="ZZZ">#REF!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62" i="20" l="1"/>
  <c r="E62" i="20" s="1"/>
  <c r="F70" i="20"/>
  <c r="F69" i="20"/>
  <c r="F68" i="20"/>
  <c r="F67" i="20"/>
  <c r="F66" i="20"/>
  <c r="F64" i="20"/>
  <c r="F63" i="20"/>
  <c r="E63" i="20" s="1"/>
  <c r="F65" i="20"/>
  <c r="E65" i="20" s="1"/>
  <c r="E66" i="20"/>
  <c r="E69" i="20"/>
  <c r="E70" i="20"/>
  <c r="E68" i="20"/>
  <c r="E67" i="20"/>
  <c r="E64" i="20"/>
  <c r="F53" i="20"/>
  <c r="E53" i="20"/>
  <c r="H14" i="14"/>
  <c r="I14" i="14"/>
  <c r="AC14" i="14" s="1"/>
  <c r="AC12" i="14" s="1"/>
  <c r="AC7" i="14"/>
  <c r="AC6" i="14" s="1"/>
  <c r="AC8" i="14"/>
  <c r="AC9" i="14"/>
  <c r="AC10" i="14"/>
  <c r="AC13" i="14"/>
  <c r="AC15" i="14"/>
  <c r="AC16" i="14"/>
  <c r="AC17" i="14"/>
  <c r="AC18" i="14"/>
  <c r="AC19" i="14"/>
  <c r="AC20" i="14"/>
  <c r="AC21" i="14"/>
  <c r="AC23" i="14"/>
  <c r="AC22" i="14" s="1"/>
  <c r="AC24" i="14"/>
  <c r="AC25" i="14"/>
  <c r="AC27" i="14"/>
  <c r="AC28" i="14"/>
  <c r="AC26" i="14" s="1"/>
  <c r="AC29" i="14"/>
  <c r="AC30" i="14"/>
  <c r="AC31" i="14"/>
  <c r="S13" i="14"/>
  <c r="S12" i="14" s="1"/>
  <c r="S14" i="14"/>
  <c r="S16" i="14"/>
  <c r="S15" i="14" s="1"/>
  <c r="S17" i="14"/>
  <c r="S18" i="14"/>
  <c r="S19" i="14"/>
  <c r="S20" i="14"/>
  <c r="S21" i="14"/>
  <c r="S22" i="14"/>
  <c r="S23" i="14"/>
  <c r="S24" i="14"/>
  <c r="S25" i="14"/>
  <c r="S27" i="14"/>
  <c r="S28" i="14"/>
  <c r="S29" i="14"/>
  <c r="S30" i="14"/>
  <c r="S26" i="14" s="1"/>
  <c r="S8" i="14"/>
  <c r="S9" i="14"/>
  <c r="S10" i="14"/>
  <c r="S7" i="14"/>
  <c r="I28" i="14"/>
  <c r="I29" i="14"/>
  <c r="I30" i="14"/>
  <c r="I27" i="14"/>
  <c r="I13" i="14"/>
  <c r="I16" i="14"/>
  <c r="I17" i="14"/>
  <c r="I18" i="14"/>
  <c r="I19" i="14"/>
  <c r="I20" i="14"/>
  <c r="I21" i="14"/>
  <c r="I23" i="14"/>
  <c r="I24" i="14"/>
  <c r="I25" i="14"/>
  <c r="I8" i="14"/>
  <c r="I9" i="14"/>
  <c r="I10" i="14"/>
  <c r="I7" i="14"/>
  <c r="AC11" i="14" l="1"/>
  <c r="AC4" i="14"/>
  <c r="S11" i="14"/>
  <c r="S4" i="14"/>
  <c r="I15" i="14"/>
  <c r="I22" i="14"/>
  <c r="I12" i="14"/>
  <c r="G8" i="14" l="1"/>
  <c r="E118" i="21" l="1"/>
  <c r="E114" i="21"/>
  <c r="E106" i="21"/>
  <c r="E102" i="21"/>
  <c r="E94" i="21"/>
  <c r="E90" i="21"/>
  <c r="E81" i="21"/>
  <c r="E82" i="21"/>
  <c r="E83" i="21"/>
  <c r="E80" i="21"/>
  <c r="E73" i="21"/>
  <c r="E66" i="21"/>
  <c r="E61" i="21"/>
  <c r="E49" i="21"/>
  <c r="E50" i="21"/>
  <c r="E51" i="21"/>
  <c r="E52" i="21"/>
  <c r="E53" i="21"/>
  <c r="E54" i="21"/>
  <c r="E48" i="21"/>
  <c r="E41" i="21"/>
  <c r="E38" i="21"/>
  <c r="E31" i="21"/>
  <c r="E27" i="21"/>
  <c r="E20" i="21"/>
  <c r="E17" i="21"/>
  <c r="E8" i="21"/>
  <c r="E10" i="21"/>
  <c r="E7" i="21"/>
  <c r="D109" i="20"/>
  <c r="D75" i="20"/>
  <c r="D63" i="20"/>
  <c r="D64" i="20"/>
  <c r="D65" i="20"/>
  <c r="D66" i="20"/>
  <c r="D67" i="20"/>
  <c r="D68" i="20"/>
  <c r="D69" i="20"/>
  <c r="D70" i="20"/>
  <c r="D62" i="20"/>
  <c r="D51" i="20"/>
  <c r="H8" i="1" l="1"/>
  <c r="H16" i="1"/>
  <c r="H9" i="1"/>
  <c r="G9" i="1"/>
  <c r="F24" i="18" l="1"/>
  <c r="C24" i="18"/>
  <c r="F57" i="18"/>
  <c r="F55" i="18"/>
  <c r="F50" i="18"/>
  <c r="F43" i="18"/>
  <c r="F36" i="18"/>
  <c r="F12" i="18"/>
  <c r="F11" i="18"/>
  <c r="F8" i="18"/>
  <c r="C57" i="18"/>
  <c r="C55" i="18"/>
  <c r="C36" i="18"/>
  <c r="C50" i="18"/>
  <c r="C43" i="18"/>
  <c r="C12" i="18" l="1"/>
  <c r="C11" i="18"/>
  <c r="C26" i="18"/>
  <c r="C47" i="18"/>
  <c r="C51" i="18"/>
  <c r="C14" i="18"/>
  <c r="F20" i="18"/>
  <c r="F14" i="18"/>
  <c r="F56" i="18" l="1"/>
  <c r="F40" i="18"/>
  <c r="F51" i="18"/>
  <c r="F47" i="18"/>
  <c r="F27" i="18"/>
  <c r="F26" i="18"/>
  <c r="C17" i="18"/>
  <c r="F39" i="18"/>
  <c r="C56" i="18"/>
  <c r="F48" i="18"/>
  <c r="C46" i="18"/>
  <c r="F52" i="18"/>
  <c r="C41" i="18"/>
  <c r="F23" i="18"/>
  <c r="C38" i="18"/>
  <c r="F9" i="18"/>
  <c r="C37" i="18"/>
  <c r="C22" i="18"/>
  <c r="F38" i="18"/>
  <c r="F28" i="18"/>
  <c r="F46" i="18"/>
  <c r="F41" i="18"/>
  <c r="F17" i="18"/>
  <c r="C28" i="18"/>
  <c r="C9" i="18"/>
  <c r="F44" i="18"/>
  <c r="F37" i="18"/>
  <c r="F22" i="18"/>
  <c r="F13" i="18"/>
  <c r="C45" i="18"/>
  <c r="C48" i="18"/>
  <c r="C53" i="18"/>
  <c r="C18" i="18"/>
  <c r="C23" i="18"/>
  <c r="C40" i="18"/>
  <c r="C27" i="18"/>
  <c r="F45" i="18"/>
  <c r="F10" i="18"/>
  <c r="C39" i="18"/>
  <c r="C52" i="18"/>
  <c r="F53" i="18"/>
  <c r="F18" i="18"/>
  <c r="C8" i="18"/>
  <c r="C13" i="18"/>
  <c r="C10" i="18"/>
  <c r="C20" i="18"/>
  <c r="C16" i="18" l="1"/>
  <c r="C44" i="18"/>
  <c r="H10" i="1"/>
  <c r="G10" i="1"/>
  <c r="G16" i="1"/>
  <c r="H12" i="1"/>
  <c r="H15" i="1"/>
  <c r="G12" i="1"/>
  <c r="H11" i="1"/>
  <c r="G11" i="1"/>
  <c r="G14" i="1" l="1"/>
  <c r="G13" i="1"/>
  <c r="H14" i="1"/>
  <c r="H13" i="1"/>
  <c r="G15" i="1"/>
  <c r="Q31" i="14" l="1"/>
  <c r="F43" i="20" s="1"/>
  <c r="G31" i="14"/>
  <c r="E43" i="20" s="1"/>
  <c r="D43" i="20" s="1"/>
  <c r="X31" i="14" l="1"/>
  <c r="Y31" i="14"/>
  <c r="Z31" i="14"/>
  <c r="AB31" i="14"/>
  <c r="AD31" i="14"/>
  <c r="V31" i="14"/>
  <c r="L31" i="14"/>
  <c r="AA31" i="14" l="1"/>
  <c r="AE31" i="14" s="1"/>
  <c r="I24" i="18" l="1"/>
  <c r="I23" i="18"/>
  <c r="F21" i="18"/>
  <c r="F19" i="18"/>
  <c r="U30" i="14"/>
  <c r="T30" i="14"/>
  <c r="R30" i="14"/>
  <c r="Q30" i="14"/>
  <c r="P30" i="14"/>
  <c r="O30" i="14"/>
  <c r="F32" i="20" s="1"/>
  <c r="J30" i="14"/>
  <c r="H30" i="14"/>
  <c r="G30" i="14"/>
  <c r="F30" i="14"/>
  <c r="E30" i="14"/>
  <c r="E32" i="20" s="1"/>
  <c r="D32" i="20" s="1"/>
  <c r="U29" i="14"/>
  <c r="T29" i="14"/>
  <c r="R29" i="14"/>
  <c r="Q29" i="14"/>
  <c r="P29" i="14"/>
  <c r="F21" i="20" s="1"/>
  <c r="O29" i="14"/>
  <c r="N29" i="14"/>
  <c r="G103" i="21" s="1"/>
  <c r="K29" i="14"/>
  <c r="J29" i="14"/>
  <c r="F107" i="21" s="1"/>
  <c r="H29" i="14"/>
  <c r="G29" i="14"/>
  <c r="F29" i="14"/>
  <c r="E21" i="20" s="1"/>
  <c r="E29" i="14"/>
  <c r="D29" i="14"/>
  <c r="F103" i="21" s="1"/>
  <c r="U28" i="14"/>
  <c r="T28" i="14"/>
  <c r="R28" i="14"/>
  <c r="Q28" i="14"/>
  <c r="P28" i="14"/>
  <c r="O28" i="14"/>
  <c r="K28" i="14"/>
  <c r="J28" i="14"/>
  <c r="H28" i="14"/>
  <c r="F93" i="21" s="1"/>
  <c r="G28" i="14"/>
  <c r="F28" i="14"/>
  <c r="F64" i="21" s="1"/>
  <c r="E28" i="14"/>
  <c r="U27" i="14"/>
  <c r="T27" i="14"/>
  <c r="G119" i="21" s="1"/>
  <c r="R27" i="14"/>
  <c r="Q27" i="14"/>
  <c r="P27" i="14"/>
  <c r="F22" i="20" s="1"/>
  <c r="O27" i="14"/>
  <c r="G116" i="21" s="1"/>
  <c r="K27" i="14"/>
  <c r="E104" i="20" s="1"/>
  <c r="J27" i="14"/>
  <c r="F119" i="21" s="1"/>
  <c r="H27" i="14"/>
  <c r="G27" i="14"/>
  <c r="F27" i="14"/>
  <c r="E27" i="14"/>
  <c r="F116" i="21" s="1"/>
  <c r="U25" i="14"/>
  <c r="T25" i="14"/>
  <c r="R25" i="14"/>
  <c r="Q25" i="14"/>
  <c r="F114" i="20" s="1"/>
  <c r="P25" i="14"/>
  <c r="O25" i="14"/>
  <c r="N25" i="14"/>
  <c r="K25" i="14"/>
  <c r="J25" i="14"/>
  <c r="H25" i="14"/>
  <c r="G25" i="14"/>
  <c r="E114" i="20" s="1"/>
  <c r="F25" i="14"/>
  <c r="E25" i="14"/>
  <c r="D25" i="14"/>
  <c r="U24" i="14"/>
  <c r="T24" i="14"/>
  <c r="R24" i="14"/>
  <c r="Q24" i="14"/>
  <c r="P24" i="14"/>
  <c r="O24" i="14"/>
  <c r="N24" i="14"/>
  <c r="K24" i="14"/>
  <c r="J24" i="14"/>
  <c r="H24" i="14"/>
  <c r="G24" i="14"/>
  <c r="F24" i="14"/>
  <c r="E24" i="14"/>
  <c r="D24" i="14"/>
  <c r="U23" i="14"/>
  <c r="T23" i="14"/>
  <c r="R23" i="14"/>
  <c r="Q23" i="14"/>
  <c r="P23" i="14"/>
  <c r="O23" i="14"/>
  <c r="N23" i="14"/>
  <c r="K23" i="14"/>
  <c r="J23" i="14"/>
  <c r="H23" i="14"/>
  <c r="G23" i="14"/>
  <c r="E39" i="20" s="1"/>
  <c r="F23" i="14"/>
  <c r="E23" i="14"/>
  <c r="D23" i="14"/>
  <c r="U21" i="14"/>
  <c r="T21" i="14"/>
  <c r="F76" i="20" s="1"/>
  <c r="R21" i="14"/>
  <c r="Q21" i="14"/>
  <c r="P21" i="14"/>
  <c r="O21" i="14"/>
  <c r="N21" i="14"/>
  <c r="K21" i="14"/>
  <c r="J21" i="14"/>
  <c r="E76" i="20" s="1"/>
  <c r="D76" i="20" s="1"/>
  <c r="H21" i="14"/>
  <c r="G21" i="14"/>
  <c r="F21" i="14"/>
  <c r="E21" i="14"/>
  <c r="D21" i="14"/>
  <c r="U20" i="14"/>
  <c r="T20" i="14"/>
  <c r="R20" i="14"/>
  <c r="Q20" i="14"/>
  <c r="P20" i="14"/>
  <c r="O20" i="14"/>
  <c r="N20" i="14"/>
  <c r="K20" i="14"/>
  <c r="J20" i="14"/>
  <c r="H20" i="14"/>
  <c r="G20" i="14"/>
  <c r="F20" i="14"/>
  <c r="E20" i="14"/>
  <c r="D20" i="14"/>
  <c r="U19" i="14"/>
  <c r="T19" i="14"/>
  <c r="R19" i="14"/>
  <c r="Q19" i="14"/>
  <c r="P19" i="14"/>
  <c r="O19" i="14"/>
  <c r="N19" i="14"/>
  <c r="K19" i="14"/>
  <c r="J19" i="14"/>
  <c r="H19" i="14"/>
  <c r="G19" i="14"/>
  <c r="F19" i="14"/>
  <c r="E19" i="14"/>
  <c r="D19" i="14"/>
  <c r="U18" i="14"/>
  <c r="T18" i="14"/>
  <c r="R18" i="14"/>
  <c r="Q18" i="14"/>
  <c r="P18" i="14"/>
  <c r="O18" i="14"/>
  <c r="N18" i="14"/>
  <c r="K18" i="14"/>
  <c r="J18" i="14"/>
  <c r="H18" i="14"/>
  <c r="G18" i="14"/>
  <c r="F18" i="14"/>
  <c r="E18" i="14"/>
  <c r="D18" i="14"/>
  <c r="U17" i="14"/>
  <c r="T17" i="14"/>
  <c r="R17" i="14"/>
  <c r="Q17" i="14"/>
  <c r="P17" i="14"/>
  <c r="O17" i="14"/>
  <c r="N17" i="14"/>
  <c r="K17" i="14"/>
  <c r="J17" i="14"/>
  <c r="H17" i="14"/>
  <c r="G17" i="14"/>
  <c r="F17" i="14"/>
  <c r="E17" i="14"/>
  <c r="D17" i="14"/>
  <c r="U16" i="14"/>
  <c r="T16" i="14"/>
  <c r="R16" i="14"/>
  <c r="Q16" i="14"/>
  <c r="P16" i="14"/>
  <c r="O16" i="14"/>
  <c r="N16" i="14"/>
  <c r="K16" i="14"/>
  <c r="J16" i="14"/>
  <c r="H16" i="14"/>
  <c r="G16" i="14"/>
  <c r="F16" i="14"/>
  <c r="E16" i="14"/>
  <c r="D16" i="14"/>
  <c r="U14" i="14"/>
  <c r="T14" i="14"/>
  <c r="R14" i="14"/>
  <c r="Q14" i="14"/>
  <c r="P14" i="14"/>
  <c r="O14" i="14"/>
  <c r="K14" i="14"/>
  <c r="J14" i="14"/>
  <c r="F30" i="21"/>
  <c r="G14" i="14"/>
  <c r="F14" i="14"/>
  <c r="E14" i="14"/>
  <c r="U13" i="14"/>
  <c r="T13" i="14"/>
  <c r="R13" i="14"/>
  <c r="Q13" i="14"/>
  <c r="P13" i="14"/>
  <c r="P12" i="14" s="1"/>
  <c r="O13" i="14"/>
  <c r="O12" i="14" s="1"/>
  <c r="K13" i="14"/>
  <c r="J13" i="14"/>
  <c r="H13" i="14"/>
  <c r="G13" i="14"/>
  <c r="F13" i="14"/>
  <c r="E13" i="14"/>
  <c r="U10" i="14"/>
  <c r="T10" i="14"/>
  <c r="R10" i="14"/>
  <c r="Q10" i="14"/>
  <c r="P10" i="14"/>
  <c r="O10" i="14"/>
  <c r="N10" i="14"/>
  <c r="K10" i="14"/>
  <c r="J10" i="14"/>
  <c r="H10" i="14"/>
  <c r="G10" i="14"/>
  <c r="F10" i="14"/>
  <c r="E10" i="14"/>
  <c r="D10" i="14"/>
  <c r="U9" i="14"/>
  <c r="T9" i="14"/>
  <c r="R9" i="14"/>
  <c r="Q9" i="14"/>
  <c r="P9" i="14"/>
  <c r="O9" i="14"/>
  <c r="N9" i="14"/>
  <c r="K9" i="14"/>
  <c r="J9" i="14"/>
  <c r="H9" i="14"/>
  <c r="G9" i="14"/>
  <c r="F9" i="14"/>
  <c r="E9" i="14"/>
  <c r="D9" i="14"/>
  <c r="U8" i="14"/>
  <c r="T8" i="14"/>
  <c r="R8" i="14"/>
  <c r="Q8" i="14"/>
  <c r="P8" i="14"/>
  <c r="O8" i="14"/>
  <c r="N8" i="14"/>
  <c r="K8" i="14"/>
  <c r="J8" i="14"/>
  <c r="H8" i="14"/>
  <c r="F8" i="14"/>
  <c r="E8" i="14"/>
  <c r="D8" i="14"/>
  <c r="U7" i="14"/>
  <c r="T7" i="14"/>
  <c r="R7" i="14"/>
  <c r="Q7" i="14"/>
  <c r="P7" i="14"/>
  <c r="O7" i="14"/>
  <c r="F28" i="20" s="1"/>
  <c r="K7" i="14"/>
  <c r="J7" i="14"/>
  <c r="H7" i="14"/>
  <c r="G7" i="14"/>
  <c r="F7" i="14"/>
  <c r="E7" i="14"/>
  <c r="E28" i="20" s="1"/>
  <c r="N30" i="14"/>
  <c r="D114" i="20" l="1"/>
  <c r="D28" i="20"/>
  <c r="F39" i="20"/>
  <c r="D39" i="20" s="1"/>
  <c r="E116" i="21"/>
  <c r="E119" i="21"/>
  <c r="F50" i="20"/>
  <c r="F49" i="20" s="1"/>
  <c r="G40" i="21"/>
  <c r="F19" i="20"/>
  <c r="G62" i="21"/>
  <c r="E31" i="20"/>
  <c r="F104" i="21"/>
  <c r="G109" i="21"/>
  <c r="F103" i="20"/>
  <c r="G42" i="21"/>
  <c r="F85" i="20"/>
  <c r="F84" i="20" s="1"/>
  <c r="E42" i="20"/>
  <c r="F120" i="21"/>
  <c r="E41" i="20"/>
  <c r="F95" i="21"/>
  <c r="G92" i="21"/>
  <c r="F30" i="20"/>
  <c r="F77" i="20"/>
  <c r="G96" i="21"/>
  <c r="F90" i="20"/>
  <c r="D21" i="20"/>
  <c r="E103" i="20"/>
  <c r="F109" i="21"/>
  <c r="F40" i="20"/>
  <c r="G108" i="21"/>
  <c r="F101" i="20"/>
  <c r="G33" i="21"/>
  <c r="E102" i="20"/>
  <c r="F97" i="21"/>
  <c r="G43" i="21"/>
  <c r="F98" i="20"/>
  <c r="F97" i="20" s="1"/>
  <c r="F52" i="20"/>
  <c r="G19" i="21"/>
  <c r="G30" i="21"/>
  <c r="E30" i="21" s="1"/>
  <c r="F18" i="20"/>
  <c r="G63" i="21"/>
  <c r="E57" i="20"/>
  <c r="F117" i="21"/>
  <c r="G121" i="21"/>
  <c r="F104" i="20"/>
  <c r="D104" i="20" s="1"/>
  <c r="G64" i="21"/>
  <c r="E64" i="21" s="1"/>
  <c r="F20" i="20"/>
  <c r="G97" i="21"/>
  <c r="F102" i="20"/>
  <c r="E40" i="20"/>
  <c r="F108" i="21"/>
  <c r="G105" i="21"/>
  <c r="F56" i="20"/>
  <c r="U12" i="14"/>
  <c r="F100" i="20"/>
  <c r="G22" i="21"/>
  <c r="E22" i="20"/>
  <c r="D22" i="20" s="1"/>
  <c r="F121" i="21"/>
  <c r="F57" i="20"/>
  <c r="G117" i="21"/>
  <c r="F55" i="20"/>
  <c r="G93" i="21"/>
  <c r="E93" i="21" s="1"/>
  <c r="T12" i="14"/>
  <c r="F87" i="20"/>
  <c r="G21" i="21"/>
  <c r="F29" i="20"/>
  <c r="G29" i="21"/>
  <c r="F88" i="20"/>
  <c r="G32" i="21"/>
  <c r="F42" i="20"/>
  <c r="G120" i="21"/>
  <c r="E30" i="20"/>
  <c r="F92" i="21"/>
  <c r="E90" i="20"/>
  <c r="E77" i="20"/>
  <c r="F96" i="21"/>
  <c r="F41" i="20"/>
  <c r="G95" i="21"/>
  <c r="E103" i="21"/>
  <c r="F105" i="21"/>
  <c r="E105" i="21" s="1"/>
  <c r="E56" i="20"/>
  <c r="F31" i="20"/>
  <c r="G104" i="21"/>
  <c r="F91" i="20"/>
  <c r="G107" i="21"/>
  <c r="E107" i="21" s="1"/>
  <c r="F78" i="20"/>
  <c r="F62" i="21"/>
  <c r="E19" i="20"/>
  <c r="E20" i="20"/>
  <c r="E91" i="20"/>
  <c r="E78" i="20"/>
  <c r="F21" i="21"/>
  <c r="E87" i="20"/>
  <c r="F29" i="21"/>
  <c r="E29" i="20"/>
  <c r="E27" i="20" s="1"/>
  <c r="F32" i="21"/>
  <c r="E88" i="20"/>
  <c r="F40" i="21"/>
  <c r="E50" i="20"/>
  <c r="K12" i="14"/>
  <c r="F22" i="21"/>
  <c r="E100" i="20"/>
  <c r="F33" i="21"/>
  <c r="E101" i="20"/>
  <c r="I46" i="18"/>
  <c r="E55" i="20"/>
  <c r="F43" i="21"/>
  <c r="E98" i="20"/>
  <c r="F19" i="21"/>
  <c r="E52" i="20"/>
  <c r="Q12" i="14"/>
  <c r="F42" i="21"/>
  <c r="E85" i="20"/>
  <c r="F63" i="21"/>
  <c r="E18" i="20"/>
  <c r="R12" i="14"/>
  <c r="U26" i="14"/>
  <c r="C33" i="18"/>
  <c r="Z29" i="14"/>
  <c r="P26" i="14"/>
  <c r="N15" i="14"/>
  <c r="R15" i="14"/>
  <c r="I48" i="18"/>
  <c r="F25" i="18"/>
  <c r="H12" i="14"/>
  <c r="C30" i="18"/>
  <c r="Z30" i="14"/>
  <c r="Y29" i="14"/>
  <c r="U22" i="14"/>
  <c r="G26" i="14"/>
  <c r="T26" i="14"/>
  <c r="AA28" i="14"/>
  <c r="Y28" i="14"/>
  <c r="AD28" i="14"/>
  <c r="H22" i="14"/>
  <c r="O6" i="14"/>
  <c r="T6" i="14"/>
  <c r="F15" i="14"/>
  <c r="K15" i="14"/>
  <c r="O15" i="14"/>
  <c r="T15" i="14"/>
  <c r="D22" i="14"/>
  <c r="AA29" i="14"/>
  <c r="I20" i="18"/>
  <c r="I19" i="18" s="1"/>
  <c r="I27" i="18"/>
  <c r="I37" i="18"/>
  <c r="I39" i="18"/>
  <c r="I41" i="18"/>
  <c r="I45" i="18"/>
  <c r="I9" i="18"/>
  <c r="Q26" i="14"/>
  <c r="Q15" i="14"/>
  <c r="AA23" i="14"/>
  <c r="V23" i="14"/>
  <c r="G74" i="21" s="1"/>
  <c r="Y24" i="14"/>
  <c r="AD24" i="14"/>
  <c r="P22" i="14"/>
  <c r="AA25" i="14"/>
  <c r="O22" i="14"/>
  <c r="Q22" i="14"/>
  <c r="AA24" i="14"/>
  <c r="Y25" i="14"/>
  <c r="AD25" i="14"/>
  <c r="J6" i="14"/>
  <c r="Y16" i="14"/>
  <c r="AD16" i="14"/>
  <c r="AA17" i="14"/>
  <c r="Y18" i="14"/>
  <c r="AD18" i="14"/>
  <c r="AA19" i="14"/>
  <c r="Y20" i="14"/>
  <c r="AD20" i="14"/>
  <c r="AA21" i="14"/>
  <c r="T22" i="14"/>
  <c r="F22" i="14"/>
  <c r="K22" i="14"/>
  <c r="AB24" i="14"/>
  <c r="Z25" i="14"/>
  <c r="Z27" i="14"/>
  <c r="Z28" i="14"/>
  <c r="X8" i="14"/>
  <c r="AB8" i="14"/>
  <c r="Z9" i="14"/>
  <c r="X10" i="14"/>
  <c r="AB10" i="14"/>
  <c r="H15" i="14"/>
  <c r="Y17" i="14"/>
  <c r="AD17" i="14"/>
  <c r="AA18" i="14"/>
  <c r="Y19" i="14"/>
  <c r="AD19" i="14"/>
  <c r="AA20" i="14"/>
  <c r="Y21" i="14"/>
  <c r="AD21" i="14"/>
  <c r="R6" i="14"/>
  <c r="E6" i="14"/>
  <c r="P6" i="14"/>
  <c r="U6" i="14"/>
  <c r="G6" i="14"/>
  <c r="Z8" i="14"/>
  <c r="Q6" i="14"/>
  <c r="AB9" i="14"/>
  <c r="Z10" i="14"/>
  <c r="D15" i="14"/>
  <c r="AB16" i="14"/>
  <c r="Z17" i="14"/>
  <c r="AB18" i="14"/>
  <c r="Z19" i="14"/>
  <c r="X20" i="14"/>
  <c r="AB20" i="14"/>
  <c r="Z21" i="14"/>
  <c r="Y13" i="14"/>
  <c r="Y14" i="14"/>
  <c r="P15" i="14"/>
  <c r="U15" i="14"/>
  <c r="V17" i="14"/>
  <c r="AB17" i="14"/>
  <c r="V19" i="14"/>
  <c r="V21" i="14"/>
  <c r="AB21" i="14"/>
  <c r="F30" i="18"/>
  <c r="R26" i="14"/>
  <c r="V30" i="14"/>
  <c r="AA8" i="14"/>
  <c r="V8" i="14"/>
  <c r="Y9" i="14"/>
  <c r="AD9" i="14"/>
  <c r="AA10" i="14"/>
  <c r="V10" i="14"/>
  <c r="I14" i="18" s="1"/>
  <c r="J12" i="14"/>
  <c r="Z13" i="14"/>
  <c r="Z14" i="14"/>
  <c r="AB14" i="14"/>
  <c r="Z16" i="14"/>
  <c r="X17" i="14"/>
  <c r="Z18" i="14"/>
  <c r="L19" i="14"/>
  <c r="AB19" i="14"/>
  <c r="Z20" i="14"/>
  <c r="X21" i="14"/>
  <c r="L23" i="14"/>
  <c r="F74" i="21" s="1"/>
  <c r="AB23" i="14"/>
  <c r="Z24" i="14"/>
  <c r="X25" i="14"/>
  <c r="AB25" i="14"/>
  <c r="V25" i="14"/>
  <c r="J26" i="14"/>
  <c r="AB27" i="14"/>
  <c r="Y30" i="14"/>
  <c r="AD30" i="14"/>
  <c r="I51" i="18"/>
  <c r="E12" i="14"/>
  <c r="AA14" i="14"/>
  <c r="G15" i="14"/>
  <c r="V18" i="14"/>
  <c r="G22" i="14"/>
  <c r="R22" i="14"/>
  <c r="E22" i="14"/>
  <c r="J22" i="14"/>
  <c r="C34" i="18" s="1"/>
  <c r="V24" i="14"/>
  <c r="G75" i="21" s="1"/>
  <c r="O26" i="14"/>
  <c r="Y27" i="14"/>
  <c r="AD27" i="14"/>
  <c r="AA27" i="14"/>
  <c r="L29" i="14"/>
  <c r="AA30" i="14"/>
  <c r="C19" i="18"/>
  <c r="I28" i="18"/>
  <c r="I38" i="18"/>
  <c r="I40" i="18"/>
  <c r="I44" i="18"/>
  <c r="E15" i="14"/>
  <c r="Y7" i="14"/>
  <c r="AA13" i="14"/>
  <c r="F7" i="18"/>
  <c r="H6" i="14"/>
  <c r="F6" i="14"/>
  <c r="K6" i="14"/>
  <c r="AD8" i="14"/>
  <c r="AA9" i="14"/>
  <c r="V9" i="14"/>
  <c r="I13" i="18" s="1"/>
  <c r="AD10" i="14"/>
  <c r="G12" i="14"/>
  <c r="J15" i="14"/>
  <c r="V16" i="14"/>
  <c r="L18" i="14"/>
  <c r="V20" i="14"/>
  <c r="L24" i="14"/>
  <c r="F75" i="21" s="1"/>
  <c r="F26" i="14"/>
  <c r="I47" i="18"/>
  <c r="D14" i="14"/>
  <c r="I17" i="18"/>
  <c r="N13" i="14"/>
  <c r="N14" i="14"/>
  <c r="N28" i="14"/>
  <c r="F42" i="18"/>
  <c r="Z7" i="14"/>
  <c r="Y8" i="14"/>
  <c r="X9" i="14"/>
  <c r="D30" i="14"/>
  <c r="D27" i="14"/>
  <c r="D7" i="14"/>
  <c r="I10" i="18"/>
  <c r="AA7" i="14"/>
  <c r="F12" i="14"/>
  <c r="D13" i="14"/>
  <c r="AB13" i="14"/>
  <c r="F35" i="18"/>
  <c r="N27" i="14"/>
  <c r="I11" i="18"/>
  <c r="N7" i="14"/>
  <c r="AB7" i="14"/>
  <c r="Y10" i="14"/>
  <c r="F33" i="18"/>
  <c r="AD13" i="14"/>
  <c r="D28" i="14"/>
  <c r="AD7" i="14"/>
  <c r="AD14" i="14"/>
  <c r="L16" i="14"/>
  <c r="X18" i="14"/>
  <c r="L20" i="14"/>
  <c r="X23" i="14"/>
  <c r="L25" i="14"/>
  <c r="V29" i="14"/>
  <c r="F49" i="18"/>
  <c r="AA16" i="14"/>
  <c r="L17" i="14"/>
  <c r="X19" i="14"/>
  <c r="L21" i="14"/>
  <c r="Y23" i="14"/>
  <c r="AD23" i="14"/>
  <c r="X24" i="14"/>
  <c r="I52" i="18"/>
  <c r="X29" i="14"/>
  <c r="I56" i="18"/>
  <c r="I26" i="18"/>
  <c r="C25" i="18"/>
  <c r="C49" i="18"/>
  <c r="X16" i="14"/>
  <c r="N22" i="14"/>
  <c r="Z23" i="14"/>
  <c r="H26" i="14"/>
  <c r="I53" i="18"/>
  <c r="I57" i="18"/>
  <c r="AB30" i="14"/>
  <c r="I12" i="18"/>
  <c r="E26" i="14"/>
  <c r="AB28" i="14"/>
  <c r="AB29" i="14"/>
  <c r="I22" i="18"/>
  <c r="C21" i="18"/>
  <c r="I50" i="18"/>
  <c r="F54" i="18"/>
  <c r="AD29" i="14"/>
  <c r="AD26" i="14" s="1"/>
  <c r="E19" i="21" l="1"/>
  <c r="E42" i="21"/>
  <c r="E40" i="21"/>
  <c r="D30" i="20"/>
  <c r="D55" i="20"/>
  <c r="E62" i="21"/>
  <c r="E109" i="21"/>
  <c r="E74" i="21"/>
  <c r="D91" i="20"/>
  <c r="D90" i="20"/>
  <c r="E22" i="21"/>
  <c r="D87" i="20"/>
  <c r="D20" i="20"/>
  <c r="E75" i="21"/>
  <c r="E96" i="21"/>
  <c r="F27" i="20"/>
  <c r="D27" i="20" s="1"/>
  <c r="D41" i="20"/>
  <c r="D53" i="20"/>
  <c r="E43" i="21"/>
  <c r="E33" i="21"/>
  <c r="D29" i="20"/>
  <c r="D77" i="20"/>
  <c r="F99" i="20"/>
  <c r="E108" i="21"/>
  <c r="D102" i="20"/>
  <c r="F38" i="20"/>
  <c r="F37" i="20" s="1"/>
  <c r="G39" i="21"/>
  <c r="F7" i="20"/>
  <c r="F6" i="20" s="1"/>
  <c r="F17" i="20"/>
  <c r="D42" i="20"/>
  <c r="D31" i="20"/>
  <c r="V14" i="14"/>
  <c r="G12" i="21" s="1"/>
  <c r="F10" i="20"/>
  <c r="G28" i="21"/>
  <c r="G65" i="21"/>
  <c r="F54" i="20"/>
  <c r="F48" i="20" s="1"/>
  <c r="E63" i="21"/>
  <c r="D101" i="20"/>
  <c r="E32" i="21"/>
  <c r="E21" i="21"/>
  <c r="E38" i="20"/>
  <c r="E37" i="20" s="1"/>
  <c r="D56" i="20"/>
  <c r="E92" i="21"/>
  <c r="E121" i="21"/>
  <c r="D40" i="20"/>
  <c r="E117" i="21"/>
  <c r="F96" i="20"/>
  <c r="E95" i="21"/>
  <c r="E12" i="20"/>
  <c r="F115" i="21"/>
  <c r="G18" i="21"/>
  <c r="F9" i="20"/>
  <c r="G67" i="21"/>
  <c r="F89" i="20"/>
  <c r="D78" i="20"/>
  <c r="D19" i="20"/>
  <c r="D57" i="20"/>
  <c r="D103" i="20"/>
  <c r="V28" i="14"/>
  <c r="G91" i="21"/>
  <c r="F11" i="20"/>
  <c r="F67" i="21"/>
  <c r="E89" i="20"/>
  <c r="G115" i="21"/>
  <c r="F12" i="20"/>
  <c r="E11" i="20"/>
  <c r="F91" i="21"/>
  <c r="D52" i="20"/>
  <c r="D100" i="20"/>
  <c r="E29" i="21"/>
  <c r="F86" i="20"/>
  <c r="F83" i="20" s="1"/>
  <c r="E97" i="21"/>
  <c r="E120" i="21"/>
  <c r="E104" i="21"/>
  <c r="E17" i="20"/>
  <c r="D17" i="20" s="1"/>
  <c r="D18" i="20"/>
  <c r="E84" i="20"/>
  <c r="D84" i="20" s="1"/>
  <c r="D85" i="20"/>
  <c r="E49" i="20"/>
  <c r="D49" i="20" s="1"/>
  <c r="D50" i="20"/>
  <c r="E86" i="20"/>
  <c r="D88" i="20"/>
  <c r="E97" i="20"/>
  <c r="D97" i="20" s="1"/>
  <c r="D98" i="20"/>
  <c r="F28" i="21"/>
  <c r="E10" i="20"/>
  <c r="F18" i="21"/>
  <c r="E9" i="20"/>
  <c r="F39" i="21"/>
  <c r="E7" i="20"/>
  <c r="F65" i="21"/>
  <c r="E54" i="20"/>
  <c r="E99" i="20"/>
  <c r="AB6" i="14"/>
  <c r="R11" i="14"/>
  <c r="R4" i="14" s="1"/>
  <c r="F34" i="18"/>
  <c r="F32" i="18" s="1"/>
  <c r="T11" i="14"/>
  <c r="T4" i="14" s="1"/>
  <c r="O11" i="14"/>
  <c r="O4" i="14" s="1"/>
  <c r="J11" i="14"/>
  <c r="J4" i="14" s="1"/>
  <c r="H11" i="14"/>
  <c r="H4" i="14" s="1"/>
  <c r="V22" i="14"/>
  <c r="C31" i="18"/>
  <c r="C29" i="18" s="1"/>
  <c r="F31" i="18"/>
  <c r="F29" i="18" s="1"/>
  <c r="Y15" i="14"/>
  <c r="AD22" i="14"/>
  <c r="U11" i="14"/>
  <c r="U4" i="14" s="1"/>
  <c r="Z6" i="14"/>
  <c r="Y22" i="14"/>
  <c r="AA26" i="14"/>
  <c r="Y26" i="14"/>
  <c r="AD15" i="14"/>
  <c r="Z26" i="14"/>
  <c r="F11" i="14"/>
  <c r="F4" i="14" s="1"/>
  <c r="Q11" i="14"/>
  <c r="Q4" i="14" s="1"/>
  <c r="AB15" i="14"/>
  <c r="P11" i="14"/>
  <c r="P4" i="14" s="1"/>
  <c r="AE20" i="14"/>
  <c r="D19" i="4" s="1"/>
  <c r="AA15" i="14"/>
  <c r="AA22" i="14"/>
  <c r="Z15" i="14"/>
  <c r="AA12" i="14"/>
  <c r="V15" i="14"/>
  <c r="AE24" i="14"/>
  <c r="D23" i="4" s="1"/>
  <c r="Z22" i="14"/>
  <c r="AD6" i="14"/>
  <c r="G11" i="14"/>
  <c r="G4" i="14" s="1"/>
  <c r="F6" i="18"/>
  <c r="Y6" i="14"/>
  <c r="AE17" i="14"/>
  <c r="D16" i="4" s="1"/>
  <c r="Z12" i="14"/>
  <c r="Y12" i="14"/>
  <c r="AE10" i="14"/>
  <c r="D9" i="4" s="1"/>
  <c r="AB12" i="14"/>
  <c r="AA6" i="14"/>
  <c r="AE21" i="14"/>
  <c r="AE18" i="14"/>
  <c r="D17" i="4" s="1"/>
  <c r="I33" i="18"/>
  <c r="AE19" i="14"/>
  <c r="D18" i="4" s="1"/>
  <c r="AE9" i="14"/>
  <c r="D8" i="4" s="1"/>
  <c r="C32" i="18"/>
  <c r="AB22" i="14"/>
  <c r="AE25" i="14"/>
  <c r="D24" i="4" s="1"/>
  <c r="E11" i="14"/>
  <c r="E4" i="14" s="1"/>
  <c r="AE29" i="14"/>
  <c r="X22" i="14"/>
  <c r="AE23" i="14"/>
  <c r="AD12" i="14"/>
  <c r="I21" i="18"/>
  <c r="X15" i="14"/>
  <c r="AE16" i="14"/>
  <c r="I25" i="18"/>
  <c r="L15" i="14"/>
  <c r="L28" i="14"/>
  <c r="X28" i="14"/>
  <c r="N26" i="14"/>
  <c r="V27" i="14"/>
  <c r="L22" i="14"/>
  <c r="L27" i="14"/>
  <c r="D26" i="14"/>
  <c r="X27" i="14"/>
  <c r="AE27" i="14" s="1"/>
  <c r="I30" i="18"/>
  <c r="I36" i="18"/>
  <c r="C35" i="18"/>
  <c r="X14" i="14"/>
  <c r="AE14" i="14" s="1"/>
  <c r="L14" i="14"/>
  <c r="F12" i="21" s="1"/>
  <c r="AE8" i="14"/>
  <c r="V7" i="14"/>
  <c r="N6" i="14"/>
  <c r="AB26" i="14"/>
  <c r="X13" i="14"/>
  <c r="D12" i="14"/>
  <c r="D11" i="14" s="1"/>
  <c r="L13" i="14"/>
  <c r="F11" i="21" s="1"/>
  <c r="I8" i="18"/>
  <c r="C7" i="18"/>
  <c r="V13" i="14"/>
  <c r="N12" i="14"/>
  <c r="N11" i="14" s="1"/>
  <c r="I18" i="18"/>
  <c r="I43" i="18"/>
  <c r="C42" i="18"/>
  <c r="K30" i="14"/>
  <c r="K26" i="14" s="1"/>
  <c r="K11" i="14" s="1"/>
  <c r="X30" i="14"/>
  <c r="AE30" i="14" s="1"/>
  <c r="I49" i="18"/>
  <c r="D6" i="14"/>
  <c r="X7" i="14"/>
  <c r="L7" i="14"/>
  <c r="F9" i="21" s="1"/>
  <c r="I55" i="18"/>
  <c r="C54" i="18"/>
  <c r="F16" i="18"/>
  <c r="E28" i="21" l="1"/>
  <c r="D37" i="20"/>
  <c r="E39" i="21"/>
  <c r="F8" i="20"/>
  <c r="F5" i="20" s="1"/>
  <c r="D11" i="20"/>
  <c r="E67" i="21"/>
  <c r="E12" i="21"/>
  <c r="D86" i="20"/>
  <c r="D54" i="20"/>
  <c r="E65" i="21"/>
  <c r="E18" i="21"/>
  <c r="D38" i="20"/>
  <c r="E91" i="21"/>
  <c r="D89" i="20"/>
  <c r="E83" i="20"/>
  <c r="D83" i="20" s="1"/>
  <c r="E48" i="20"/>
  <c r="D48" i="20" s="1"/>
  <c r="E115" i="21"/>
  <c r="V12" i="14"/>
  <c r="G11" i="21"/>
  <c r="E11" i="21" s="1"/>
  <c r="V6" i="14"/>
  <c r="G9" i="21"/>
  <c r="E9" i="21" s="1"/>
  <c r="D10" i="20"/>
  <c r="D12" i="20"/>
  <c r="E8" i="20"/>
  <c r="D8" i="20" s="1"/>
  <c r="D9" i="20"/>
  <c r="E96" i="20"/>
  <c r="D96" i="20" s="1"/>
  <c r="D99" i="20"/>
  <c r="E6" i="20"/>
  <c r="D6" i="20" s="1"/>
  <c r="D7" i="20"/>
  <c r="I34" i="18"/>
  <c r="I32" i="18" s="1"/>
  <c r="I31" i="18"/>
  <c r="I29" i="18" s="1"/>
  <c r="G8" i="1"/>
  <c r="G7" i="1" s="1"/>
  <c r="H7" i="1"/>
  <c r="K4" i="14"/>
  <c r="AD11" i="14"/>
  <c r="AD4" i="14" s="1"/>
  <c r="AA11" i="14"/>
  <c r="AA4" i="14" s="1"/>
  <c r="Z11" i="14"/>
  <c r="Z4" i="14" s="1"/>
  <c r="Y11" i="14"/>
  <c r="Y4" i="14" s="1"/>
  <c r="D4" i="14"/>
  <c r="AB11" i="14"/>
  <c r="AB4" i="14" s="1"/>
  <c r="D20" i="4"/>
  <c r="C15" i="18"/>
  <c r="I54" i="18"/>
  <c r="X6" i="14"/>
  <c r="AE7" i="14"/>
  <c r="D29" i="4"/>
  <c r="L12" i="14"/>
  <c r="N4" i="14"/>
  <c r="D13" i="4"/>
  <c r="AE28" i="14"/>
  <c r="X26" i="14"/>
  <c r="D15" i="4"/>
  <c r="AE15" i="14"/>
  <c r="D22" i="4"/>
  <c r="D21" i="4" s="1"/>
  <c r="AE22" i="14"/>
  <c r="C6" i="18"/>
  <c r="V26" i="14"/>
  <c r="D28" i="4"/>
  <c r="F15" i="18"/>
  <c r="L30" i="14"/>
  <c r="I42" i="18"/>
  <c r="I7" i="18"/>
  <c r="AE13" i="14"/>
  <c r="X12" i="14"/>
  <c r="D7" i="4"/>
  <c r="I16" i="18"/>
  <c r="I35" i="18"/>
  <c r="D26" i="4"/>
  <c r="E5" i="20" l="1"/>
  <c r="D5" i="20" s="1"/>
  <c r="X11" i="14"/>
  <c r="X4" i="14" s="1"/>
  <c r="D12" i="4"/>
  <c r="AE12" i="14"/>
  <c r="D6" i="4"/>
  <c r="AE6" i="14"/>
  <c r="I6" i="18"/>
  <c r="C5" i="18"/>
  <c r="D14" i="4"/>
  <c r="D27" i="4"/>
  <c r="D25" i="4" s="1"/>
  <c r="AE26" i="14"/>
  <c r="L11" i="14"/>
  <c r="I15" i="18"/>
  <c r="F5" i="18"/>
  <c r="H15" i="18" s="1"/>
  <c r="L26" i="14"/>
  <c r="I5" i="18" l="1"/>
  <c r="J6" i="18" s="1"/>
  <c r="E13" i="18"/>
  <c r="E9" i="18"/>
  <c r="E11" i="18"/>
  <c r="E32" i="18"/>
  <c r="E12" i="18"/>
  <c r="E10" i="18"/>
  <c r="E19" i="18"/>
  <c r="E17" i="18"/>
  <c r="E14" i="18"/>
  <c r="E49" i="18"/>
  <c r="E18" i="18"/>
  <c r="E21" i="18"/>
  <c r="E25" i="18"/>
  <c r="E7" i="18"/>
  <c r="E35" i="18"/>
  <c r="E16" i="18"/>
  <c r="E54" i="18"/>
  <c r="E29" i="18"/>
  <c r="E42" i="18"/>
  <c r="V11" i="14"/>
  <c r="AE11" i="14"/>
  <c r="E6" i="18"/>
  <c r="E15" i="18"/>
  <c r="H25" i="18"/>
  <c r="H19" i="18"/>
  <c r="H21" i="18"/>
  <c r="H7" i="18"/>
  <c r="H29" i="18"/>
  <c r="H35" i="18"/>
  <c r="H49" i="18"/>
  <c r="H32" i="18"/>
  <c r="H42" i="18"/>
  <c r="H54" i="18"/>
  <c r="H6" i="18"/>
  <c r="H16" i="18"/>
  <c r="D5" i="4"/>
  <c r="D11" i="4"/>
  <c r="H5" i="18" l="1"/>
  <c r="J15" i="18"/>
  <c r="E5" i="18"/>
  <c r="D10" i="4"/>
  <c r="AE4" i="14"/>
  <c r="AC5" i="14" s="1"/>
  <c r="V4" i="14"/>
  <c r="J24" i="18"/>
  <c r="J40" i="18"/>
  <c r="J20" i="18"/>
  <c r="J41" i="18"/>
  <c r="J37" i="18"/>
  <c r="J13" i="18"/>
  <c r="J46" i="18"/>
  <c r="J47" i="18"/>
  <c r="J19" i="18"/>
  <c r="J27" i="18"/>
  <c r="J38" i="18"/>
  <c r="J28" i="18"/>
  <c r="J34" i="18"/>
  <c r="J39" i="18"/>
  <c r="J23" i="18"/>
  <c r="J44" i="18"/>
  <c r="J45" i="18"/>
  <c r="J9" i="18"/>
  <c r="J48" i="18"/>
  <c r="J51" i="18"/>
  <c r="J17" i="18"/>
  <c r="J12" i="18"/>
  <c r="J26" i="18"/>
  <c r="J10" i="18"/>
  <c r="J53" i="18"/>
  <c r="J14" i="18"/>
  <c r="J57" i="18"/>
  <c r="J56" i="18"/>
  <c r="J33" i="18"/>
  <c r="J52" i="18"/>
  <c r="J22" i="18"/>
  <c r="J11" i="18"/>
  <c r="J50" i="18"/>
  <c r="J18" i="18"/>
  <c r="J55" i="18"/>
  <c r="J30" i="18"/>
  <c r="J49" i="18"/>
  <c r="J8" i="18"/>
  <c r="J32" i="18"/>
  <c r="J36" i="18"/>
  <c r="J21" i="18"/>
  <c r="J31" i="18"/>
  <c r="J43" i="18"/>
  <c r="J25" i="18"/>
  <c r="J16" i="18"/>
  <c r="J42" i="18"/>
  <c r="J29" i="18"/>
  <c r="J7" i="18"/>
  <c r="J35" i="18"/>
  <c r="J54" i="18"/>
  <c r="W31" i="14" l="1"/>
  <c r="S5" i="14"/>
  <c r="AF11" i="14"/>
  <c r="AF31" i="14"/>
  <c r="AE5" i="14"/>
  <c r="AF4" i="14"/>
  <c r="AF21" i="14"/>
  <c r="AF25" i="14"/>
  <c r="AF17" i="14"/>
  <c r="AF19" i="14"/>
  <c r="AF24" i="14"/>
  <c r="AF18" i="14"/>
  <c r="AF9" i="14"/>
  <c r="AF10" i="14"/>
  <c r="AF20" i="14"/>
  <c r="AB5" i="14"/>
  <c r="Z5" i="14"/>
  <c r="AD5" i="14"/>
  <c r="AF14" i="14"/>
  <c r="AF23" i="14"/>
  <c r="AF29" i="14"/>
  <c r="AA5" i="14"/>
  <c r="AF30" i="14"/>
  <c r="AF16" i="14"/>
  <c r="AF8" i="14"/>
  <c r="AF27" i="14"/>
  <c r="Y5" i="14"/>
  <c r="AF13" i="14"/>
  <c r="AF7" i="14"/>
  <c r="AF15" i="14"/>
  <c r="AF22" i="14"/>
  <c r="AF28" i="14"/>
  <c r="AF12" i="14"/>
  <c r="AF6" i="14"/>
  <c r="AF26" i="14"/>
  <c r="X5" i="14"/>
  <c r="V5" i="14"/>
  <c r="T5" i="14"/>
  <c r="P5" i="14"/>
  <c r="R5" i="14"/>
  <c r="W30" i="14"/>
  <c r="O5" i="14"/>
  <c r="W22" i="14"/>
  <c r="W15" i="14"/>
  <c r="Q5" i="14"/>
  <c r="W29" i="14"/>
  <c r="W28" i="14"/>
  <c r="W27" i="14"/>
  <c r="W6" i="14"/>
  <c r="W12" i="14"/>
  <c r="W26" i="14"/>
  <c r="N5" i="14"/>
  <c r="W11" i="14"/>
  <c r="D4" i="4"/>
  <c r="E24" i="4" l="1"/>
  <c r="E16" i="4"/>
  <c r="E17" i="4"/>
  <c r="E19" i="4"/>
  <c r="E18" i="4"/>
  <c r="E8" i="4"/>
  <c r="E9" i="4"/>
  <c r="E7" i="4"/>
  <c r="E13" i="4"/>
  <c r="E15" i="4"/>
  <c r="E25" i="4"/>
  <c r="E12" i="4"/>
  <c r="E14" i="4"/>
  <c r="E6" i="4"/>
  <c r="E5" i="4"/>
  <c r="E11" i="4"/>
  <c r="E10" i="4"/>
  <c r="L8" i="14"/>
  <c r="L9" i="14"/>
  <c r="L10" i="14"/>
  <c r="I6" i="14"/>
  <c r="I4" i="14" s="1"/>
  <c r="L6" i="14" l="1"/>
  <c r="L4" i="14" l="1"/>
  <c r="D5" i="14" l="1"/>
  <c r="M30" i="14"/>
  <c r="M28" i="14"/>
  <c r="M11" i="14"/>
  <c r="M7" i="14"/>
  <c r="M12" i="14"/>
  <c r="U5" i="14"/>
  <c r="M29" i="14"/>
  <c r="M25" i="14"/>
  <c r="M18" i="14"/>
  <c r="M26" i="14"/>
  <c r="M23" i="14"/>
  <c r="G5" i="14"/>
  <c r="M31" i="14"/>
  <c r="M13" i="14"/>
  <c r="M24" i="14"/>
  <c r="M27" i="14"/>
  <c r="M20" i="14"/>
  <c r="H5" i="14"/>
  <c r="M21" i="14"/>
  <c r="M14" i="14"/>
  <c r="M22" i="14"/>
  <c r="M9" i="14"/>
  <c r="L5" i="14"/>
  <c r="M16" i="14"/>
  <c r="M17" i="14"/>
  <c r="F5" i="14"/>
  <c r="M19" i="14"/>
  <c r="K5" i="14"/>
  <c r="M15" i="14"/>
  <c r="J5" i="14"/>
  <c r="E5" i="14"/>
  <c r="M10" i="14"/>
  <c r="M8" i="14"/>
  <c r="I5" i="14"/>
  <c r="M6" i="14"/>
</calcChain>
</file>

<file path=xl/sharedStrings.xml><?xml version="1.0" encoding="utf-8"?>
<sst xmlns="http://schemas.openxmlformats.org/spreadsheetml/2006/main" count="981" uniqueCount="352">
  <si>
    <t>TT</t>
  </si>
  <si>
    <t>Nội dung/ hạng mục đầu tư, mua sắm</t>
  </si>
  <si>
    <t>Đơn vị tính</t>
  </si>
  <si>
    <t>USD</t>
  </si>
  <si>
    <t>I</t>
  </si>
  <si>
    <t>CƠ ĐIỆN</t>
  </si>
  <si>
    <t>CĐ</t>
  </si>
  <si>
    <t>VT</t>
  </si>
  <si>
    <t>-</t>
  </si>
  <si>
    <t>HT</t>
  </si>
  <si>
    <t>II</t>
  </si>
  <si>
    <t>A</t>
  </si>
  <si>
    <t>VÔ TUYẾN</t>
  </si>
  <si>
    <t>MẠNG LÕI</t>
  </si>
  <si>
    <t>ML</t>
  </si>
  <si>
    <t>III</t>
  </si>
  <si>
    <t>TRUYỀN DẪN</t>
  </si>
  <si>
    <t>TD</t>
  </si>
  <si>
    <t>IV</t>
  </si>
  <si>
    <t>CĐBR</t>
  </si>
  <si>
    <t>V</t>
  </si>
  <si>
    <t>CNTT</t>
  </si>
  <si>
    <t>B</t>
  </si>
  <si>
    <t>C</t>
  </si>
  <si>
    <t>D</t>
  </si>
  <si>
    <t>E</t>
  </si>
  <si>
    <t>F</t>
  </si>
  <si>
    <t>TK</t>
  </si>
  <si>
    <t>Mạng lõi</t>
  </si>
  <si>
    <t>Vô tuyến</t>
  </si>
  <si>
    <t>Truyền dẫn</t>
  </si>
  <si>
    <t>Cơ điện</t>
  </si>
  <si>
    <t>Mạng 4G</t>
  </si>
  <si>
    <t>Nội dung</t>
  </si>
  <si>
    <t>TỔNG ĐẦU TƯ</t>
  </si>
  <si>
    <t>Dung lượng (đầu tư + triển khai)</t>
  </si>
  <si>
    <t>Dung lượng (đầu tư)</t>
  </si>
  <si>
    <t>CĐBR-TH</t>
  </si>
  <si>
    <t>Lĩnh vực</t>
  </si>
  <si>
    <t>Khối lượng các hạng mục đầu tư chính</t>
  </si>
  <si>
    <t>Tỷ trọng</t>
  </si>
  <si>
    <t>Tổng</t>
  </si>
  <si>
    <t>Tỷ trọng (%)</t>
  </si>
  <si>
    <t>Mã mảng</t>
  </si>
  <si>
    <t>Mã DV</t>
  </si>
  <si>
    <t>Mã loại</t>
  </si>
  <si>
    <t>Mảng</t>
  </si>
  <si>
    <t>5G</t>
  </si>
  <si>
    <t>STT</t>
  </si>
  <si>
    <t>*</t>
  </si>
  <si>
    <t>VII</t>
  </si>
  <si>
    <t>ATTT</t>
  </si>
  <si>
    <t>P1</t>
  </si>
  <si>
    <t>VTTB</t>
  </si>
  <si>
    <t>Mạng 5G</t>
  </si>
  <si>
    <t>Bức tranh mạng lưới sau QHĐC</t>
  </si>
  <si>
    <t>Datacenter</t>
  </si>
  <si>
    <t xml:space="preserve">   Vùng phủ GPON</t>
  </si>
  <si>
    <t xml:space="preserve">   ERP</t>
  </si>
  <si>
    <t>Củng cố kiên cố</t>
  </si>
  <si>
    <t>Phục vụ kinh doanh Cloud</t>
  </si>
  <si>
    <t>Data Center</t>
  </si>
  <si>
    <t>Vùng phủ GPON</t>
  </si>
  <si>
    <t>Đơn giá dự kiến</t>
  </si>
  <si>
    <t>Cloud_KD</t>
  </si>
  <si>
    <t>DC</t>
  </si>
  <si>
    <t>TH</t>
  </si>
  <si>
    <t>Không xóa</t>
  </si>
  <si>
    <t>VPDĐ</t>
  </si>
  <si>
    <t>DLDĐ</t>
  </si>
  <si>
    <t>VPGPON</t>
  </si>
  <si>
    <t>DLGPON</t>
  </si>
  <si>
    <t>KHÔNG XÓA</t>
  </si>
  <si>
    <t>Đảm bảo VHKT và chất lượng mạng</t>
  </si>
  <si>
    <t>Vùng phủ ngoài trời (VTTB + Triển khai)</t>
  </si>
  <si>
    <t>Dung lượng Internet</t>
  </si>
  <si>
    <t>Dung lượng Truyền hình</t>
  </si>
  <si>
    <t>VHKT</t>
  </si>
  <si>
    <t>Vùng phủ (đầu tư thiết bị + triển khai)</t>
  </si>
  <si>
    <t>DLMETRO</t>
  </si>
  <si>
    <t>DLIPBN</t>
  </si>
  <si>
    <t>DC_X</t>
  </si>
  <si>
    <t>Ko xóa</t>
  </si>
  <si>
    <t>IoT</t>
  </si>
  <si>
    <t xml:space="preserve">   Dung lượng Internet</t>
  </si>
  <si>
    <t xml:space="preserve">   Dung lượng Truyền hình</t>
  </si>
  <si>
    <t xml:space="preserve">   VAS</t>
  </si>
  <si>
    <t xml:space="preserve">   Fintech</t>
  </si>
  <si>
    <t>Tỷ trọng
(%)</t>
  </si>
  <si>
    <t>Hạng mục đầu tư, triển khai chính</t>
  </si>
  <si>
    <t>Tỷ trọng theo mảng</t>
  </si>
  <si>
    <t>Kênh truyền</t>
  </si>
  <si>
    <t xml:space="preserve">   Kênh truyền</t>
  </si>
  <si>
    <t>DV5G</t>
  </si>
  <si>
    <t>KT</t>
  </si>
  <si>
    <t>BigData</t>
  </si>
  <si>
    <t>Thành tiền dự kiến (VNĐ)</t>
  </si>
  <si>
    <t>Dự kiến đơn vị đầu tư, mua sắm</t>
  </si>
  <si>
    <t>Bền vững mạng lưới trong thiên tai</t>
  </si>
  <si>
    <t>PCTT</t>
  </si>
  <si>
    <t xml:space="preserve">Đảm bảo VHKT </t>
  </si>
  <si>
    <t>4G vùng phủ</t>
  </si>
  <si>
    <t>4G dung lượng</t>
  </si>
  <si>
    <t>Mạng BRCĐ&amp;TH</t>
  </si>
  <si>
    <t>Kiên cố thường trình</t>
  </si>
  <si>
    <t>Private Mobile Network</t>
  </si>
  <si>
    <t>Triển khai hạ tầng CNTT</t>
  </si>
  <si>
    <t>Công nghệ mới triển khai diện rộng cho kinh doanh</t>
  </si>
  <si>
    <t>XGSPON</t>
  </si>
  <si>
    <t>AI/GPU</t>
  </si>
  <si>
    <t>PMN</t>
  </si>
  <si>
    <t>Mở rộng mạng lưới hiện tại cho kinh doanh</t>
  </si>
  <si>
    <t xml:space="preserve">Công nghệ mới triển khai diện rộng cho kinh doanh </t>
  </si>
  <si>
    <t>Trực tiếp kinh doanh</t>
  </si>
  <si>
    <t>Hỗ trợ kinh doanh và quản trị</t>
  </si>
  <si>
    <t>Đảm bảo VHKT, kiên cố, bền vững trong thiên tai</t>
  </si>
  <si>
    <t>TTKD</t>
  </si>
  <si>
    <t>HTKD</t>
  </si>
  <si>
    <t>KCTT</t>
  </si>
  <si>
    <t>Triển khai cho 1.136 km cáp quang trong đó: Tách cáp chung lộ 139.8 km; ngầm hoá tuyến cáp 996.2 km</t>
  </si>
  <si>
    <t>An toàn thông tin</t>
  </si>
  <si>
    <t>Đầu tư giải pháp WAF và giải pháp DDoS</t>
  </si>
  <si>
    <t>Hạ tầng CNTT được bảo vệ bằng các biện pháp ATTT triển khai đồng bộ theo tiêu chuẩn NIST Cyber Securiy Framework.</t>
  </si>
  <si>
    <t>Mở rộng vùng phủ XGSPON đáp ứng nhu cầu kinh doanh gói cước ARPU cao</t>
  </si>
  <si>
    <t>Đáp ứng nhu cầu kinh doanh kênh thuê riêng của VTS</t>
  </si>
  <si>
    <t xml:space="preserve"> Đầu tư thiết bị IP theo nhu cầu đấu nối của VTS và thiết bị DWDM theo nhu cầu kênh thuê riêng VTS.</t>
  </si>
  <si>
    <t>- Swap thay thế 08 thiết bị máy chủ của Headend đã EoL, EoS đầu tư từ 2017(~119 kênh);
- Triển khai multi-site Headend (2 site KV2, KV3);  
- Đầu tư bổ sung hệ thống đo kiểm chất lượng kênh truyền hình triển khai đến POP CDN (dung lượng 216 kênh OTT và 4 POP)
 --&gt; Giúp tăng dự phòng, khả năng giám sát và nâng cao chất lượng dịch vụ truyền hình OTT.</t>
  </si>
  <si>
    <t>- Swap Metro QNH và QNM (swap AGG, CT); đấu CT mới 02 tỉnh QNH và QNM; bổ sung thiết bị Viba, VSAT; 
- Triển khai kiên cố TD liên tỉnh (vùng gió III, IV; Sạt lở) ~ 38/63 tỉnh/TP ~ 56%; liên huyện: (vùng gió IV và sạt lở) ~ 207/704 huyện~30% ; Trạm UT (vùng gió 4, sạt lở) ~ 1293/3530 trạm UT vùng gói III, IV ~ 37%</t>
  </si>
  <si>
    <t>Đầu tư thay thế các thiết bị EOL, đến ngưỡng (12 hệ thống UPS frame 200kVA; 16 hệ thống tủ nguồn DC 2000A; 20 hệ thống ĐHCX 150.000 BTU/h; 33 tổ ắc quy chì 2V-2000Ah; 15 tổ ắc quy chì 2V-1000Ah) và các giải pháp đo kiểm, đánh giá, nâng cao chất lượng VHKT các tổng trạm khu vực</t>
  </si>
  <si>
    <t>Cải tạo điện yếu cho 1.535 trạm; Đầu tư 1.275 tủ nguồn tích hợp AC V5-3P và attomat 3 pha 4 cực 63A cho các trạm cải tạo lên 3 pha; Cải tạo tiếp địa cho 10 trạm; Đầu tư 50 tủ cắt sét 200kA; 1.058 tủ cắt sét 3 pha; 2.320 bộ CLS 1 pha; 1.655 bộ CLS 3 pha; 918 bộ SPD 1 pha (cho tủ AC box RRU kéo dài); 3.232 bộ giám sát tủ nguồn DC; 1.161 ATS 3 pha 63A; 12 tủ MSB 250A; 672 bình (28 tổ) ắc quy chì 2V-500Ah; Xây mới 1.161 bệ đặt MPĐ dầu; Đầu tư 3.647 bộ iACV; 300 tổ ắc quy Sodium và chi phí triển khai.</t>
  </si>
  <si>
    <t>Đầu tư 600 máy phát điện dầu 20kVA; 1.662 máy phát điện dầu 12kVA; 2.262 ATS 3 pha 63A; 4.623 bình ắc quy Lithium 48V-100Ah; 2.486 bình portable battery Lithium; Xây mới 1.884 bệ đặt máy phát điện + 348 nhà đặt máy phát điện vượt lũ và chi phí triển khai</t>
  </si>
  <si>
    <t>- Ngầm hoá theo yêu cầu của UBND tỉnh/TP góp phần làm đẹp cảnh quan đô thị và bền vững mạng lưới truyền dẫn.
- Cơ điện: Củng cố hạ tầng cơ điện trạm BTS đáp ứng yêu cầu thiết kế cũng như vận hành khai thác</t>
  </si>
  <si>
    <t>Đây là dịch vụ mới, chi phí đầu tư cao, cần có thêm đánh giá hiệu quả đầu tư thực tế mới có thể triển khai đại trà</t>
  </si>
  <si>
    <t>Đầu tư thiết bị GPU phục vụ nhu cầu kinh doanh toàn Tập đoàn, lũy kế 554 máy chủ</t>
  </si>
  <si>
    <t>Nâng cao chất lượng mạng lưới (thay thế, bổ sung dung lượng dự phòng,...) với 119 máy chủ, 8 thiết bị lưu trữ SAN, 0,308 PB lưu trữ NAS, 4,7 PB lưu trữ Object và thiết bị mạng.</t>
  </si>
  <si>
    <t>Triển khai kiên cố cho 550 trạm quá tải trọng hàng năm</t>
  </si>
  <si>
    <t>- Vô tuyến: Triển khai kiên cố cho 550 trạm quá tải trọng hàng năm
- BRCĐ: Triển khai cho 1.136 km cáp quang trong đó: Tách cáp chung lộ 139.8 km; ngầm hoá tuyến cáp 996.2 km.
- Truyền dẫn: Triển khai ngầm XHH tại 10 tỉnh ~ 455 km cống bể/ trên 234km đường theo đề xuất VT tỉnh TP (đã trừ 7 tỉnh ven biển trùng chương trình kiên cố bão ~ 230km cống bể/120 km đường).
- Cơ điện: Cải tạo điện yếu cho 1.535 trạm; Đầu tư 1.275 tủ nguồn tích hợp AC V5-3P và attomat 3 pha 4 cực 63A cho các trạm cải tạo lên 3 pha; Cải tạo tiếp địa cho 10 trạm; Đầu tư 50 tủ cắt sét 200kA; 1.058 tủ cắt sét 3 pha; 2.320 bộ CLS 1 pha; 1.655 bộ CLS 3 pha; 918 bộ SPD 1 pha (cho tủ AC box RRU kéo dài); 3.232 bộ giám sát tủ nguồn DC; 1.161 ATS 3 pha 63A; 12 tủ MSB 250A; 672 bình (28 tổ) ắc quy chì 2V-500Ah; Xây mới 1.161 bệ đặt MPĐ dầu; Đầu tư 3.647 bộ iACV; 300 tổ ắc quy Sodium.</t>
  </si>
  <si>
    <r>
      <t xml:space="preserve">- Đảm bảo kiên cố hạ tầng cột, nhà trạm và truyền dẫn trục Quốc gia theo kiến trúc mới.
- 33/63 tỉnh có 02 cáp kiên cố là của Viettel. 207/705 huyện vùng gió IV và sạt lở đảm bảo kiên cố.
- Swap thiết bị AGG/CT Metro QNH và QNM theo thiết kế kiến cố mới, vật tư swap ra tiếp tục triển khai nâng cấp dung lượng và kiên cố các tỉnh khác.
- Đảm bảo tài nguyên cơ điện cho 25 tỉnh ven biển và 11 tỉnh thường xuyên lũ lụt, sạt lở, giúp duy trì mạng lưới xuyên suốt ngay cả trong thiên tai
</t>
    </r>
    <r>
      <rPr>
        <i/>
        <sz val="10"/>
        <rFont val="Times New Roman"/>
        <family val="1"/>
      </rPr>
      <t>=&gt; Đảm bảo vùng phủ outdoor 4G đạt tối thiểu 90% trong và sau thiên tai tại khu vực vùng gió IV và sạt lở.</t>
    </r>
  </si>
  <si>
    <t>Đầu tư gá antena, gia cố jumper, dây quang; thực hiện kiên cố hạ tầng cột, nhà trạm theo cho 321 trạm theo ưu tiên 1 và đầu tư xe phát sóng chỉ huy, dã chiến đảm bảo hoạt động liên tục trong thiên tai</t>
  </si>
  <si>
    <t>- Vô tuyến: Đầu tư gá antena, gia cố jumper, dây quang; thực hiện kiên cố hạ tầng cột, nhà trạm theo cho 321 trạm theo ưu tiên 1 và đầu tư xe phát sóng chỉ huy, dã chiến đảm bảo hoạt động liên tục trong thiên tai
- Truyền dẫn: Swap Metro QNH và QNM (swap AGG, CT); đấu CT mới 02 tỉnh QNH và QNM; bổ sung thiết bị Viba, VSAT; Triển khai kiên cố TD liên tỉnh (vùng gió III, IV; Sạt lở) ~ 38/63 tỉnh/TP ~ 56%; liên huyện: (vùng gió IV và sạt lở) ~ 207/704 huyện~30% ; Trạm UT (vùng gió 4, sạt lở) ~ 1293/3530 trạm UT vùng gói III, IV ~ 37%
- Cơ điện: Đầu tư 600 máy phát điện dầu 20kVA; 1.662 máy phát điện dầu 12kVA; 2.262 ATS 3 pha 63A; 4.623 bình ắc quy Lithium 48V-100Ah; 2.486 bình portable battery Lithium; Xây mới 1.884 bệ đặt máy phát điện + 348 nhà đặt máy phát điện vượt lũ.</t>
  </si>
  <si>
    <r>
      <t xml:space="preserve">PHỤ LỤC 1.3: BẢNG TỔNG HỢP ĐẦU TƯ THEO DỊCH VỤ VÀ BỨC TRANH SAU QHĐC 2027-2028
</t>
    </r>
    <r>
      <rPr>
        <i/>
        <sz val="14"/>
        <rFont val="Times New Roman"/>
        <family val="1"/>
      </rPr>
      <t>(Ban hành kèm theo Công văn số                      của Tổng Công ty VTNet)</t>
    </r>
  </si>
  <si>
    <t>2027 (triệu USD)</t>
  </si>
  <si>
    <t>2028 (triệu USD)</t>
  </si>
  <si>
    <t>2027-2028 (triệu USD)</t>
  </si>
  <si>
    <t xml:space="preserve">- CNTT: 
- Truyền dẫn: </t>
  </si>
  <si>
    <t xml:space="preserve">- Vô tuyến: 
- Truyền dẫn: .
- Cơ điện: </t>
  </si>
  <si>
    <t>- Vùng phủ: Sau khi triển khai ...., vùng phủ 5G đạt vùng phủ ~....% dân số tại TPT/TTH/KCN/KDL với tốc độ biên cell DL/UL 50Mbps/1Mbps; ~...% dân số tại khu vực nông thôn ....
- Dung lượng mạng lõi đáp ứng ....
- Mạng cáp đáp ứng luỹ kế .... trạm vô tuyến 5G.
- Đảm bảo hạ tầng cơ điện cho triển khai 5G; các trạm 5G chạy mixed-mode với 4G và các trạm 5G quan trọng phục vụ khu vực hot/vip được đầu tư bổ sung ắc quy backup; các trạm theo quy hoạch đặt MPĐ cố định được tính toán đảm bảo công suất sẵn sàng UCTT khi mất điện.</t>
  </si>
  <si>
    <t>- Vô tuyến: Đầu tư .... gNodeB (... trạm loại 64T64R, .... trạm 32T32R), .... RRU classic cho IBD, ... card Baseband, ... small cell, nâng cấp 01 hệ thống 5G cho tòa ..... Chi phí lắp đặt thiết bị và kiên cố ... trạm cho 5G.
- Mạng lõi: Đầu tư bổ sung .....
- Truyền dẫn: ... SRT 5G smallcell, .... SRT 100G cho 5G NEW, card 10G AGG đấu nối ring 5G NEW, ....
- Cơ điện: Đầu tư .... bình ắc quy Lithium 48V-100Ah; .... tủ nguồn DC indoor và ... rectifier đồng bộ; 1.062 tủ Compact Minishelter;.... tủ nguồn DC mini; ...converter quang FE;.....</t>
  </si>
  <si>
    <t>Triển khai …. trạm XGSPON combo tại nội thành, ngoại thành cho ….</t>
  </si>
  <si>
    <t>Đầu tư trước …. bộ 5GC Mini để đảm bảo nhu cầu kinh doanh</t>
  </si>
  <si>
    <t>- Vùng phủ: Sau khi triển khai: .... vị trí mới (... macro, ... RRU, 191 inbuilding),
và ... vị trí di dời; .... trạm cosite băng thấp. =&gt; Vùng phủ 4G tăng từ ... lên ...%.
- Cáp quang: Luỹ kế toàn mạng là ... nghìn km. Tỷ lệ quang hoá đạt ...%. ...% xã đất liền được quang hoá.
- Cơ điện: Lũy kế có .... MPĐ/..... trạm Macro - đạt tỷ lệ ...%. có .../.... trạm Macro sử dụng ắc quy Lib, đạt tỷ lệ ~...%. ....% trạm Macro hoàn thành giám sát hệ thống nguồn DC, ắc quy lithium.</t>
  </si>
  <si>
    <t>Vùng phủ lũy kế toàn mạng đạt ... triệu cổng, nâng tỷ lệ phủ dân đạt ...%, lũy kế toàn mạng thực hiện ... dự án trên tổng số ... dự án ~ ... % số dự án và lũy kế triển khai được ...trạm, phủ toàn bộ ...., các vị trí đông dân cư tại ngoại thành ...và thủ phủ tỉnh, trung tâm huyện.</t>
  </si>
  <si>
    <t>Triển khai …. triệu cổng GPON (...tr cổng năm 2025, ...k cổng năm 2026) và ... dự án toà nhà mới ~ ...k cổng.</t>
  </si>
  <si>
    <t>- BRCĐ-TH: Đầu tư .... đáp ứng cho ... triệu thuê bao, đầu tư ... hệ thống DPI cho ...K subs, mở rộng hệ thống AAA với .... nghìn subs, đầu tư hệ thống Analytics quản trị tập trung dữ liệu mạng BRCĐ, mở rộng hệ thống DNS đáp ứng cho ...nghìn subs; đầu tư CGNAT đáp ứng cho tăng trưởng băng thông và đổ tải ... triệu subs FTTH, bổ sung tính năng mới cho ACS tích hợp với AP multivendor, đầu tư phần cứng cho các hệ thống ITO, VQT, ICP.
- Truyền dẫn: SRT 100G cho OLT không trùng 5G ~ ... SRT, .... tỷ card AGG 100G đấu ring OLT, ... tỷ card Core tỉnh, CKV, PECĐ) theo tỷ lệ dưới Metro, trên Metro; WDM theo nhu cầu tăng dung lượng liên huyện, liên tỉnh, KNQT với tỷ lệ Internet là ...% theo tỷ lệ di động trên Metro, dưới Metro</t>
  </si>
  <si>
    <t>- Đáp ứng lũy kế đạt .... triệu thuê bao Internet.
- Dung lượng và hiệu suất từng phân lớp: Lớp xã/huyện có dung lượng ...Tbps, hiệu suất lớp xã đạt ...%, hiệu suất lớp huyện đạt ...%; lớp liên tỉnh tăng từ ... Tbps lên .... Tbps, hiệu suất ~...%. Lớp trục ....Tbps.</t>
  </si>
  <si>
    <t>Đáp ứng lũy kế ... triệu thuê bao truyền hình (... triệu thuê bao OTT và …. triệu thuê bao IPTV) và lũy kế đáp ứng …. kênh truyền hình cho dịch vụ OTT (….HD, ... UHD/4K) đến hết 2026</t>
  </si>
  <si>
    <t>- Truyền dẫn: Đầu tư thiết bị IP tại tổng trạm ... và thiết bị WDM theo nhu cầu triển khai tại tổng trạm mới …</t>
  </si>
  <si>
    <t>- Phục vụ kết nối liên tổng trạm mới …</t>
  </si>
  <si>
    <t>Đảm bảo VHKT và nâng cao chất lượng mạng</t>
  </si>
  <si>
    <t>Đảm bảo dự phòng ƯCTT</t>
  </si>
  <si>
    <t>ƯCTT</t>
  </si>
  <si>
    <t>Củng cố kiên cố thường trình</t>
  </si>
  <si>
    <t>Lũy kế đầu tư …. máy chủ vật lý, ... PB dung lượng lưu trữ, đảm bảo các nhu cầu triển khai hạ tầng CNTT của Viettel</t>
  </si>
  <si>
    <t>- BRCĐ-TH: Đầu tư nâng cấp tính năng mới cho CDN OTT; đầu tư thiết bị và license  upmap, frame rate conversion (FRC) cho ... kênh tại Headend; đầu tư 01 hệ thống Water marking; đầu tư Backend và ứng dụng Trợ lý ảo TV360.
- Truyền dẫn: SRT 100G cho OLT không trùng 5G ~ ... SRT, card AGG 100G, Core tỉnh, CKV, PECĐ, PETH) theo tỷ lệ truyền hình ...% của CĐBR; WDM theo nhu cầu tăng dung lượng liên huyện, liên tỉnh, KNQT với tỷ lệ TH là ....%</t>
  </si>
  <si>
    <t>TỔNG ĐẦU TƯ VTTB VÀ XÂY LẮP 2027-2028</t>
  </si>
  <si>
    <t>TỔNG ĐẦU TƯ VTTB 2027-2028</t>
  </si>
  <si>
    <r>
      <t xml:space="preserve">PHỤ LỤC 1.1: BẢNG TỔNG HỢP CHI TIẾT NHU CẦU ĐẦU TƯ, MUA SẮM THEO QHĐC NĂM 2027-2028
</t>
    </r>
    <r>
      <rPr>
        <i/>
        <sz val="14"/>
        <rFont val="Times New Roman"/>
        <family val="1"/>
      </rPr>
      <t>(Ban hành kèm theo Tờ trình số                      của Tập đoàn CNVTQĐ)</t>
    </r>
  </si>
  <si>
    <t>Khối lượng</t>
  </si>
  <si>
    <r>
      <t xml:space="preserve">Chi phí
</t>
    </r>
    <r>
      <rPr>
        <i/>
        <sz val="10"/>
        <rFont val="Times New Roman"/>
        <family val="1"/>
      </rPr>
      <t>(triệu USD)</t>
    </r>
  </si>
  <si>
    <t>Đầu tư .... bình ắc quy Lithium 48V-100Ah; .... tủ nguồn DC indoor và ... rectifier đồng bộ; 1.062 tủ Compact Minishelter;.... tủ nguồn DC mini; ...converter quang FE;.....và chi phí lắp đặt.</t>
  </si>
  <si>
    <t>Tổng đầu tư và triển khai 2027-2028 (triệu USD)</t>
  </si>
  <si>
    <r>
      <t xml:space="preserve">PHỤ LỤC 1.2: BẢNG TỔNG HỢP ĐẦU TƯ THEO MỤC ĐÍCH QHĐC 2027-2028
</t>
    </r>
    <r>
      <rPr>
        <i/>
        <sz val="14"/>
        <rFont val="Times New Roman"/>
        <family val="1"/>
      </rPr>
      <t>(Ban hành kèm theo Công văn số                      của Tổng Công ty VTNet)</t>
    </r>
  </si>
  <si>
    <t>- Vùng phủ trạm mới: đầu tư ... bình ắc quy Lithium 48V-100Ah; ... tủ nguồn DC indoor và 1.188 rectifier đồng bộ; ... tủ Compact Minishelter; ... tủ nguồn DC mini; ... converter quang FE; 479 module SFP quang; ... tủ nguồn AC V5-3P; ... bộ DAQ; ... bộ converter quang FE loại 1G; ... bộ iACV; ... bộ cảnh báo khói + cảnh báo mở cửa và chi phí triển khai.
- Vùng phủ cosite: đầu tư tài nguyên cho ... trạm trục/hub (... hệ thống micro datacenter outdoor; ... bình ắc quy Lithium 48V-100Ah; ... tủ nguồn DC indoor và ... rectifier đồng bộ; ... điều hòa ... BTU/h; ... tủ nguồn AC V5-3P; ... và chi phí triển khai</t>
  </si>
  <si>
    <t>Mạng 2/3/4G</t>
  </si>
  <si>
    <t>2/3/4G vùng phủ</t>
  </si>
  <si>
    <t>2/3/4G dung lượng</t>
  </si>
  <si>
    <t>01 vMSC (HW:1072K ATT, 1.5M Reg, 45K Erl, SW: 572K ATT, 800K Reg, 22.857K Erl), MSC (SW: CSFB: 1M sub), UDM (SW: 200K FE 2G/3G, 400K BE 2G/3G, 300K FE 4G, 2.9M BE 4G), 1 vEPC (HW: 1M SAU, 1.5M PDP, 100 Gbps, SW: 1M SAU, 1.5M PDP, 60 Gbps). vEPC4 (SW: 650K SAU, 975K PDP, 49.4 Gbps). SMSC (SW: 1400 MOMT). 2 IMS (HW: 500K, SW: 100K).</t>
  </si>
  <si>
    <t>vEPC5 (SW: 34 Gbps). UDM (SW: 300K FE 2G/3G, 500K BE 2G/3G, 400K FE 4G, 1.9M BE 4G).</t>
  </si>
  <si>
    <t>Swap EoS BUMS03, BUMW03 bằng 1 vMSC (HW:1072K ATT, 1.5M Reg, 45K Erl, SW: 835K ATT, 1.15M Reg, 34.5K Erl).</t>
  </si>
  <si>
    <t>Chuyển 01/02 UDM từ tổng trạng cũ sang tổng trạm mới và hiện đại hóa 01 cặp HSS cũ (thông qua mở rộng UDM với DL tương ứng của HSS cũ)</t>
  </si>
  <si>
    <t>- Vô tuyến:...
- Mạng lõi: Mối năm có budget 100K USD để mua hàng dự phòng
- BRCĐ-TH: ...
- CNTT: ...
- Truyền dẫn: 
- Cơ điện: …</t>
  </si>
  <si>
    <t xml:space="preserve">Mạng lõi: Đảm bảo hàng dự phòng
</t>
  </si>
  <si>
    <t>- Vô tuyến:...
- Mạng lõi: Năm 2027: Swap EoS BUMS03, BUMW03 bằng 1 vMSC (HW:1072K ATT, 1.5M Reg, 45K Erl, SW: 835K ATT, 1.15M Reg, 34.5K Erl).
Năm 2028: Chuyển 01/02 UDM từ tổng trạng cũ sang tổng trạm mới và hiện đại hóa 01 cặp HSS cũ (thông qua mở rộng UDM với DL tương ứng của HSS cũ).
- BRCĐ-TH: ...
- CNTT: ...
- Truyền dẫn: 
- Cơ điện: …</t>
  </si>
  <si>
    <t>- Thêm 01 cloud MSC mới để hiện đại hóa 1 MSC cũ đã hết niên hạn sử dụng. Hiện đại hóa hệ thống HLR/HSS cũ để năm 2028 chạy hết trên hệ thống UDM mới.</t>
  </si>
  <si>
    <t>- Vô tuyến
- Mạng lõi: Có thêm 01 cloud MSC mới,  1 vEPC mới, 2 node IMS mới đáp ứng như cầu tăng trưởng dung lượng. Các node MSC, vEPC và 1 node IMS sẽ lắp tại tổng trạm mới.
- cáp quang:
- Cơ điện:</t>
  </si>
  <si>
    <t>- Vô tuyến
- Mạng lõi:
Năm 2027:  01 vMSC (HW:1072K ATT, 1.5M Reg, 45K Erl, SW: 572K ATT, 800K Reg, 22.857K Erl), MSC (SW: CSFB: 1M sub), UDM (SW: 200K FE 2G/3G, 400K BE 2G/3G, 300K FE 4G, 2.9M BE 4G), 1 vEPC (HW: 1M SAU, 1.5M PDP, 100 Gbps, SW: 1M SAU, 1.5M PDP, 60 Gbps). vEPC4 (SW: 650K SAU, 975K PDP, 49.4 Gbps). SMSC (SW: 1400 MOMT). 2 IMS (HW: 500K, SW: 100K).
Năm 2028: vEPC5 (SW: 34 Gbps). UDM (SW: 300K FE 2G/3G, 500K BE 2G/3G, 400K FE 4G, 1.9M BE 4G).
- Truyền dẫn:
- Cơ điện:</t>
  </si>
  <si>
    <t>CNTT+VÍ</t>
  </si>
  <si>
    <t>Triển khai 208 vị trí triển khai vùng phủ mới cho 4G kết hợp cosite 2G</t>
  </si>
  <si>
    <t>Triển khai 230 vị trí triển khai vùng phủ mới cho 4G kết hợp cosite 2G</t>
  </si>
  <si>
    <t>- 2G:
+) Bổ sung thêm 101 vị trí mới cho lưu lượng nhằm đáp ứng nhu cầu KD và giảm TU mạng 2G
+) Bổ sung thêm 48 trạm cosite 900MHz 
Tổng chi phí dự kiến 2.5M USD
- 4G:
+) 802 tủ MM 2.6+3.5GHz, 157 card BB, 83 sector 800, 293 sector 700, 197 sector 1800. Tổng chi phí dự kiến 38M USD</t>
  </si>
  <si>
    <t>- 2G:
+) Bổ sung thêm 38 vị trí mới cho lưu lượng nhằm đáp ứng nhu cầu KD và giảm TU mạng 2G
+) Bổ sung thêm 3 tủ 900MHz 
Tổng chi phí dự kiến 707K USD
- 4G:
+) 14 vị trí mới DL
+) 98 tủ MM 2.6+3.5GHz, 25 card BB, 21 sector 800, 298 sector 700, 353 sector 1800,
Tổng chi phí dự kiến 8.6M USD</t>
  </si>
  <si>
    <t>Gói UCTT: dự kiến 2.5M USD</t>
  </si>
  <si>
    <t>+) Gói công cụ tối ưu mạng thử nghiệm (CEM): dự kiến 200K USD
+) Swap anten đa băng 200tram/năm: 360K USD</t>
  </si>
  <si>
    <t xml:space="preserve">- Đầu tư 802 gNodeB Massive MIMO dualband 2.6+3.5GHz cosite tại vị trí 4G dung lượng. </t>
  </si>
  <si>
    <t xml:space="preserve">- Đầu tư 98 gNodeB Massive MIMO dualband 2.6+3.5GHz cosite tại vị trí 4G dung lượng. </t>
  </si>
  <si>
    <t>- IP: ... SRT 5G smallcell, .... SRT 100G cho 5G NEW, card 10G AGG đấu nối ring 5G NEW, ....
- 262 tuyến Viba E-Band triển khai 5G cosite</t>
  </si>
  <si>
    <t>2200km Cáp quang phụ kiện + viba đáp ứng 1730 4G, 2G trạm lưu lượng, vùng phủ</t>
  </si>
  <si>
    <t xml:space="preserve">- Đáp ứng nhu cầu tăng trưởng dung lượng mạng 2/3/4G từ 400Gbps lên 700Gbps.
- Đáp ứng nhu cầu dung lượng CĐBR toàn mạng lũy kế 70G
</t>
  </si>
  <si>
    <t>1. Triển khai mạng DWDM 1C (34 node) + ngầm hóa 700km
2. Ngầm trục 1B, 1C 300km/năm
3. Mỗi năm thay thế 300km cáp xuống cấp, 12km cột gỗ + 450km cáp vu hồi, tách ring. Ngầm trục 1B, 1C 300km/năm</t>
  </si>
  <si>
    <t>600km cáp quang+ card quang+ phụ kiện các loại dp uctt hàng năm</t>
  </si>
  <si>
    <t>-Triển khai giải pháp AI như : Agent AI (áp dụng trong năm 2027 giải pháp Conversational AI cho CSKH); Camera AI cho Kỹ thuật ….</t>
  </si>
  <si>
    <t>-Triển khai giải pháp AI như : Agent AI; Camera AI cho Kỹ thuật ….</t>
  </si>
  <si>
    <t>- Triển khai các hệ thống mới: Dịch vụ Betting, hệ thống cx Cloud cho doanh nghiệp…
- Triển khai giải pháp ATTT SoC cho kinh doanh ngoài Movitel</t>
  </si>
  <si>
    <t>OCS 4.0: Tổng chi phí đầu tư dự kiến : 3.2tr $
- Thực hiện mở rộng license phần mềm hêm 2M (nâng tổng số license là 22M) với đơn giá 0.35$/subs (đơn giá này là đơn giá của Kinh doanh VHT gửi)
- Thực hiện mở rộng phần cứng thêm 5M nâng tổng năng lực phần cứng hỗ trợ lên 25M với đơn giá 0.5$/subs
+ Triển khai các giải pháp số hóa cho các lĩnh vực : VAS, Đâu tư, Tài chính, CSKH …
+ Triển khai mới 03 hệ thống OSS: DCIM, NCMS , vDCIM …</t>
  </si>
  <si>
    <t>+ OCS4.0: Tổng chi phí đầu tư dự kiến : 19.12tr $
-	Phần mềm : 19M với đơn giá 0.48$/subs --.&gt; Nhằm đảm bảo năng lực license cho phép cắt chuyển toàn bộ 20M subs từ hệ thống vOCS 3.0 hiện tại sang vOCS 4.0
-	Phần cứng : Đầu tư cụm DR với dung lượng 20M  Do chi phí phần cứng tăng cao nên em đang để mục này là x3 lần giá ký HĐ trong năm 2026 là ~ 0.5$/subs
+ Triển khai các giải pháp số hóa cho các lĩnh vực : VAS, Đâu tư, Tài chính, CSKH …
+ Triển khai mới 03 hệ thống OSS: DCIM, NCMS , vDCIM …
+ Cloud: Triển khai cho cụm hệ thống SENSOR - NSM,  cụm máy chủ hệ thống Cloudrity, cụm máy chủ hệ thống PAM, Proxy
- Thực hiện mở rộng 30 VM cụm USSDGW/VASGW + Process/Sender dịch vụ USSD155 cho đầu số 88x
- Triển khai mở rộng 20 VM mở rộng cụm provisioning + SMSGW
- Triển khai mở rộng 10 VM cho hệ thống SuperApp đảm bảo chạy 2 chân cho các cụm webservice
Triển khai DB Standby cho cặp DB VAS 155 và DB VASCPn (Vas public)</t>
  </si>
  <si>
    <t xml:space="preserve">- Triển khai các giải pháp số hóa cho các lĩnh vực : VAS, Đâu tư, Tài chính, CSKH …
- Triển khai mới 03 hệ thống OSS: DCIM, NCMS , vDCIM …
'- Triển khai cặp  DB Active-Standby (oracle) Số hóa, DB hệ thống SMSFW/Voice Firewall
</t>
  </si>
  <si>
    <t>- Triển khai các hệ thống mới: Dịch vụ Betting, hệ thống CX Cloud cho doanh nghiệp…
- Triển khai giải pháp ATTT SoC cho kinh doanh ngoài Movitel</t>
  </si>
  <si>
    <t>VI</t>
  </si>
  <si>
    <t>Ví điện tử</t>
  </si>
  <si>
    <t>Mã Mảng</t>
  </si>
  <si>
    <t>P2</t>
  </si>
  <si>
    <t xml:space="preserve">TRIỂN KHAI HẠ TẦNG </t>
  </si>
  <si>
    <t>Vùng phủ  (đầu tư + triển khai)</t>
  </si>
  <si>
    <t>Không xoá</t>
  </si>
  <si>
    <t>Phụ lục: TÁCH ĐẦU TƯ THEO TỪNG LĨNH VỰC</t>
  </si>
  <si>
    <t>I. Vô tuyến</t>
  </si>
  <si>
    <t>Danh mục</t>
  </si>
  <si>
    <t>Đầu tư 5 năm (m$)</t>
  </si>
  <si>
    <t>Diễn giải khối lượng đầu tư, kết quả</t>
  </si>
  <si>
    <t>Vùng phủ</t>
  </si>
  <si>
    <t>Trong 5 năm (2026-2030) triển khai tổng cộng 896 trạm 5G, trong đó:
+ Mua bổ sung thêm 183 card BB để phát 5G 2300 4T4R, số lượng mua từng năm  79/54/21/10/19 (trong đó năm 2026 có dự phòng 34 card BB để triển khai cho các vị trí có nhiều hơn 6 RRU kéo dài) 
+ 747 trạm C-band 32T32R, số lượng mua từng năm như sau 162/254/250/49/32.</t>
  </si>
  <si>
    <t>Dung lượng</t>
  </si>
  <si>
    <t>Từ 2026 -2030 triển khai:
-  250 trạm newsite cho vùng phủ, số lượng cho từng năm 67/42/57/40/44. Trung bình triển khai 50 trạm/năm, ưu tiên triển khai cho các vị trí VTCI và xử lý lõm do quá trình đô thị hóa.
- 751 trạm 4G 700 cosite trên các vị trí trạm cũ, số lượng trạm tương ứng từng năm là 55/71/67/384/174.</t>
  </si>
  <si>
    <t>- Không phát sinh thêm trạm lưu lượng mới, chủ yếu lắp thêm thiết bị tại các vị trí có sẵn.
- Tổng 5 năm (2026-2030) bổ sung số lượng tủ cho dung lượng 4G như sau:
+ 121 enodeB 700, tương ứng từng năm 85/0/0/0/36
+ 607 enodeB 1800-2100, tương ứng từng năm 130/181/261/15/20</t>
  </si>
  <si>
    <t>Hiện đại hóa</t>
  </si>
  <si>
    <t xml:space="preserve">- Hàng năm đầu tư khoảng 100k USD cho thử nghiệm các tính năng mới.
- 2 năm/lần thực hiện nâng cấp software 2G, 4G và các dịch vụ triển khai BSC, OMC </t>
  </si>
  <si>
    <t>Củng cố bền vững</t>
  </si>
  <si>
    <t>UCTT</t>
  </si>
  <si>
    <t>Đầu tư cho mua thiết bị bổ sung dự phòng cho UWCTT ~ 150k USD/năm, căn cứ vào thực tế để đưa ra danh mục mua phù hợp</t>
  </si>
  <si>
    <t>II. BRCĐ</t>
  </si>
  <si>
    <t xml:space="preserve"> Triển khai 280 nghìn cổng mở rộng vùng phủ, mật độ phủ đạt 36% trên toàn quốc, trong đó:
- 186 nghìn cổng GPON.
- 94 nghìn cổng XGS-PON</t>
  </si>
  <si>
    <t>Bổ sung dung lượng BRAS, CGNAT đáp ứng tăng trưởng thuê bao và băng thông, lũy kế đến 2030: 318 nghìn thuê bao/ 3,82Mbps profile</t>
  </si>
  <si>
    <t>Triển khai các công cụ phục vụ đo kiểm, tối ưu chất lượng dịch vụ: VQT, ACS, ...</t>
  </si>
  <si>
    <t>Kiên cố, củng cố</t>
  </si>
  <si>
    <t>Bổ sung tài nguyên AAA, BRAS, CGNAT đảm bảo không ảnh hưởng dịch vụ khi down 01 TTr.</t>
  </si>
  <si>
    <t>Vật tư ƯCTT</t>
  </si>
  <si>
    <t>Dự phòng UCTT cáp quang, vật tư phụ kiện lớp truy nhập</t>
  </si>
  <si>
    <t>III. Mạng lõi</t>
  </si>
  <si>
    <t>Đầu tư dung lượng 5G</t>
  </si>
  <si>
    <t>Năm 2026: 130K sub và 24Gbps; Năm 2027:  84K sub và 19 Gbps; Năm 2028: 140K sub và 49Gbps; Năm 2029: 219K sub và 84Gbps; Năm 2030: 174K sub và 77Gbps</t>
  </si>
  <si>
    <t>Đầu tư dung lượng 4G</t>
  </si>
  <si>
    <t>Năm 2026: HSS (200K FE), PS (New VIM 500KSAU, 138Gbps), IMS (150k sub active)
Năm 2027: PS (New VIM 250KSAU, 160Gbps), IMS (550k sub active)
Năm 2028: HSS (200K FE), PS (New VIM 200KSAU, 70Gbps), IMS (350k sub active)
Năm 2029: PS (100KSAU, 80Gbps), IMS (300k sub active)
Năm 2030: HSS (100K FE), PS (80Gbps), IMS (600k sub active)</t>
  </si>
  <si>
    <t>Đầu tư hiện đại hóa mạng lưới</t>
  </si>
  <si>
    <t>Năm 2026: Swap 01 PS Legacy 250K SAU, 90 Gbps.
Năm 2027: Swap 01 PS Legacy 250K SAU, 90 Gbps và 01 MSC 740Ksub, Swap UDM
Năm 2028: Swap 01 PS Cloud   984K SAU, 153 Gbps</t>
  </si>
  <si>
    <t>Đầu tư SBC để đảm bảo ATTT</t>
  </si>
  <si>
    <t>IV. Công nghệ thông tin</t>
  </si>
  <si>
    <t>Diễn giải khối lượng đầu tư</t>
  </si>
  <si>
    <t>Tổng đầu tư trong vòng 5 năm: 23,16Tr$
+ Chi phí cho phần CNTT ~19,91Tr$, chi phí cho phần Ví điện tử  ~3.25tr$.
+ Lũy kế đầu tư  432 bộ máy chủ vật lý, 3.9PB dung lượng lưu trữ, đảm bảo các nhu cầu triển khai hạ tầng CNTT, Ví điện tử phục vụ triển khai mới và mở rộng cho các hệ thống ứng dụng của Unitel.</t>
  </si>
  <si>
    <t>Chi phí cho phần CNTT</t>
  </si>
  <si>
    <t>Tài nguyên cho đầu tư phát triển</t>
  </si>
  <si>
    <t>- Năm 2026-2030: 
+ Đầu tư cho phát triển mới phục vụ triển khai cho hệ thống (BCCS, VAS, OSS,..) ~6,8tr$
+ Đầu tư cho nâng cấp mở rộng các hệ thống (BCCS, VAS, OSS,..) ~1,41Tr$
+ Chi phí cho nâng cấp/mở rộng phần mềm các hệ thống (BSS, VAS, ERP,…) :2,25Tr$</t>
  </si>
  <si>
    <t>Tài nguyên cho kiên cố củng cố</t>
  </si>
  <si>
    <t>+ Năm 2027: DR cho hệ thống BCCS ~ 0,6Tr$.
+ Năm 2029: DR site cho hệ thống vOCS: 2,4Tr$
+ Năm 2026 - 2030: Đầu tư tài nguyên phục vụ triển khai DR site cho hệ thống Database 0,3Tr$.</t>
  </si>
  <si>
    <t>Tài nguyên cho hiện đại hoá</t>
  </si>
  <si>
    <t>- Năm 2026-2030: Đầu tư tài nguyên phục vụ thay thế thiết bị quá niên hạn: ~2,5$
- Năm 2027: Đầu tư tài nguyên phục vụ cắt chuyển 6 tr Sub cho hệ thống vOCS3.0 lên 4.0: ~ 2,4tr$.</t>
  </si>
  <si>
    <t>Tài nguyên cho UCTT</t>
  </si>
  <si>
    <t>- Năm 2026-2030:
+  Đầu tư thiết bị dự phòng cho UCTT: ~0,5Tr$
+ Vật tư phụ kiện phục vụ UCTT ~ 0,4Tr$</t>
  </si>
  <si>
    <t>Chi phí cho hệ thống Ví điện tử</t>
  </si>
  <si>
    <t>- Năm 2026-2030:
+ Chi phí license phát triển phần mềm và phần cứng ~ 3,25Tr$</t>
  </si>
  <si>
    <t>V. Truyền dẫn quang</t>
  </si>
  <si>
    <t>Tổng </t>
  </si>
  <si>
    <t>Đầu tư cáp quang, viba, SRT triển khai 896 trạm 5G (896 trạm cosite; 0 trạm mới)</t>
  </si>
  <si>
    <t>Đầu tư 38 bước sóng DWDM đảm bảo co lưu lượng vô tuyến 5G. Lưu lượng 5G chiếm 85% trong phần di động</t>
  </si>
  <si>
    <t>Mạng 4G/3G/2G</t>
  </si>
  <si>
    <t>Đầu tư cáp quang, viba, SRT triển khai 250 trạm 4G</t>
  </si>
  <si>
    <t>Đầu tư 7 bước sóng DWDM đảm bảo co lưu lượng vô tuyến 4G .Lưu lượng 4G chiếm 15% trong phần di động</t>
  </si>
  <si>
    <t>Đáp ứng mạng CĐBR/TH</t>
  </si>
  <si>
    <t>Đầu tư 45 bước sóng đảm báo lưu lượng CĐBR. Trung bình 16% mỗi năm tăng từ 1Tb lên 2.2Tb</t>
  </si>
  <si>
    <t xml:space="preserve">Thay thế 75 node DWDM đã EoL; 1 PRT và  2 SSU đã EoL; </t>
  </si>
  <si>
    <t>Triển khai kiên cố, mỗi tỉnh có một hướng cáp kiên cố toàn trình chủ, chủ yếu làm cáp ngầm cho đoạn nhập trạm đón cáp MOD, và triển khai kiên cố cho hướng quốc tế.</t>
  </si>
  <si>
    <t>Mua thiết bi DWDM, viba, cáp quang, phụ kiện dự phòng UCTT</t>
  </si>
  <si>
    <t>IV. Truyền dẫn IP</t>
  </si>
  <si>
    <t>Vùng phủ 5G</t>
  </si>
  <si>
    <t>Đầu tư hạ tầng IP phục vụ vùng phủ cosite 5G: 538 SRT, số lượng trạm lên từng năm là 124/ 185/ 163/ 35/ 31  
Line card AGG cho đấu nối ring SRT</t>
  </si>
  <si>
    <t>Dung lượng 5G</t>
  </si>
  <si>
    <t>Line card tương ứng từ AGG lên core cho nâng dung lượng theo tỷ lệ băng thông 5G chiếm trong delta tăng thêm hàng năng của phần mở rộng dung lượng: từng năm tương ứng là 22%/16%/25%/34%/29%</t>
  </si>
  <si>
    <t>Vùng phủ 4G</t>
  </si>
  <si>
    <t>Đầu tư hạ tầng IP phục vụ 250 trạm mới vùng phủ 4G đáp ứng nhu cầu kinh doanh di động hàng năm:   67/ 42/ 57/ 40/ 44  
Line card AGG cho đấu nối ring SRT</t>
  </si>
  <si>
    <t>Dung lượng 4G</t>
  </si>
  <si>
    <t>Line card tương ứng từ AGG lên core cho nâng dung lượng theo tỷ lệ băng thông 4G chiếm trong delta tăng thêm hàng năng của phần mở rộng dung lượng: từng năm tương ứng là 47%/14%/6%/0%/0%</t>
  </si>
  <si>
    <t>Dung lượng BRCĐ</t>
  </si>
  <si>
    <t>Bổ sung SRT nâng dung lượng cho dịch vụ BRCĐ vùng Metro Juniper hàng năm: 30/30/0/0/0
'Theo tỷ lệ băng thông BRCĐ chiếm trong delta tăng thêm hàng năng của phần mở rộng dung lượng: từng năm tương ứng là 31%/70%/70%/66%/71%</t>
  </si>
  <si>
    <t>Bổ sung thiết bị UCTT hàng năm gồm SRT, line card và module quang</t>
  </si>
  <si>
    <t>Tổng trạm mới</t>
  </si>
  <si>
    <t>Đầu tư mức cơ bản tạo tổng trạm mới (02 router GW, 02 router P, 02 router PE di động, 02 router PE cố định cho mạng IPBN, 02 router P và 02 router PE cho mạng MPBN, switch cho mạng DCN</t>
  </si>
  <si>
    <t>V. Cơ điện tổng trạm</t>
  </si>
  <si>
    <t>Trong giai đoạn 2026-2030 lên 01 phòng máy chia theo 02 giai đoạn, năm 2026 xây tòa nhà và hạ tầng căn bản như hệ thống điện tổng, sàn giả, thang mang cáp. Còn lại các thiết bị cấp nguồn lên theo nhu cầu thực tế.</t>
  </si>
  <si>
    <t>Hiện đại hóa mạng lưới</t>
  </si>
  <si>
    <t>Đầu tư cho DCIM</t>
  </si>
  <si>
    <t>200k $ cho dự phòng thay thế thiết bị hỏng hóc xuống cấp tại tổng trạm quốc gia căn cứ số liệu trung bình đầu tư hàng năm, bao gồm thay thế EoL cũng như nguồn để thực hiện cải tạo PUE hoặc quy hoạch lại vị trí thiết bị và cải tạo hệ thống đi cáp.</t>
  </si>
  <si>
    <t>V. Cơ điện BTS</t>
  </si>
  <si>
    <t>Đầu tư tủ nguồn DC, Rec.và Smart DCDU cho vị trí bổ sung tủ 5G.
Số lượng smart DCDU là 896 thiết bị (2026/2027/2028/2029/2030 là 207/308/271/59/51 thiết bị.
2026 đầu tư 12 tủ nguồn bổ sung đảm bảo công suất. Với trạm vip bổ sung 71 bình ắc quy và 6 máy phát điện cố định đảm bảo hoạt động tự động.</t>
  </si>
  <si>
    <t>Đầu tư theo số lượng trạm mới (newsite) của vô tuyến theo năm
Trung bình 1 trạm mới bao gồm: 1 tủ nguồn, 2 bình LIB trạm marco và 1 bình trạm RRU, chi phí kéo điện và 0,5 máy phát điện.
Số lượng trạm mới lên theo năm 2026/2027/2028/2029/2030 là 67/42/57/40/44.</t>
  </si>
  <si>
    <t>Lên theo công suất tiêu thụ thiết bị được bổ sung. Như trong năm 2026 đầu tư 14 máy phát điện, 6 tủ nguồn và 108 bình ắc quy Lib</t>
  </si>
  <si>
    <t>Đầu tư tủ nguồn và ắc quy cho thiết bị BRCĐ lên hàng năm</t>
  </si>
  <si>
    <t>Năm 2026 đầu tư 100 DAQ bổ sung cho các vị trí còn thiếu trên mạng lưới và mỗi năm 200 bộ Smart DCDU cho các trạm đã lên 5G từ 2025.</t>
  </si>
  <si>
    <t>200k $ mua ắc quy phục vụ bổ sung dung lượng suy hao 
250k $ cho 100 tủ DC để thay thế tủ hiệu suất thấp EoL hàng năm 
860k $ cho mua thay thế hỏng lớp access theo số liệu hàng năm, trong đó 320k $ cho 95 tủ nguồn 465 rectifier 290k $ cho 80 ATS và 60 máy phát điện</t>
  </si>
  <si>
    <t>VI. Hạ tầng</t>
  </si>
  <si>
    <t>2026: 207 trạm; 2027: 308 trạm; 2028: 271 trạm; 2029: 59 trạm; 2030: 51 trạm</t>
  </si>
  <si>
    <t>2026: 67 trạm; 2027: 42 trạm; 2028: 57 trạm; 2029: 40 trạm; 2030: 44 trạm</t>
  </si>
  <si>
    <t>2026: 646 RRU; 2027: 563 RRU; 2028: 78 RRU; 2029: 384 RRU; 2030: 177 RRU</t>
  </si>
  <si>
    <t>Năm 2026: 1.453 km; 5 tuyến viba ; Năm 2027: 657 km; Năm 2028: 657 km; Năm 2029: 657 km; Năm 2030: 657 km</t>
  </si>
  <si>
    <t>VII. Phần mềm VHKT</t>
  </si>
  <si>
    <t>Phần mềm VHKT</t>
  </si>
  <si>
    <t>Thực hiện triển khai mới 09 phần mềm, nâng cấp 4 phần mềm.</t>
  </si>
  <si>
    <t>VIII. An toàn thông tin</t>
  </si>
  <si>
    <t>Triển khai giải pháp ATTT</t>
  </si>
  <si>
    <t>Triển khai 14 giải pháp ATTT.</t>
  </si>
  <si>
    <t>Phụ lục: TÁCH ĐẦU TƯ THEO DỊCH VỤ, MỤC ĐÍCH</t>
  </si>
  <si>
    <t>I. Dịch vụ di động</t>
  </si>
  <si>
    <t>Dịch vụ (4G+5G):</t>
  </si>
  <si>
    <t>Dịch vụ</t>
  </si>
  <si>
    <t>Mạng di động</t>
  </si>
  <si>
    <t>Trong 5 năm (2026-2030) triển khai tổng cộng 896 trạm 5G, trong đó:
+ Mua bổ sung thêm 183 card BB để phát 5G 2300 4T4R, số lượng mua từng năm  79/54/21/10/19 (trong đó năm 2026 có dự phòng 34 card BB để triển khai cho các vị trí có nhiều hơn 6 RRU kéo dài).
+ 747 trạm C-band 32T32R, số lượng mua từng năm như sau 162/254/250/49/32.</t>
  </si>
  <si>
    <t>Từ 2026 -2030 triển khai: 250 trạm newsite cho vùng phủ, số lượng cho từng năm 67/42/57/40/44. Trung bình triển khai 50 trạm/năm, ưu tiên triển khai cho các vị trí VTCI và xử lý lõm do quá trình đô thị hóa.</t>
  </si>
  <si>
    <t>Giai đoạn 2026-2030 bổ sung số lượng tủ cho dung lượng 4G như sau:
+ 121 enodeB 700, tương ứng từng năm 85/0/0/0/36.
+ 607 enodeB 1800-2100, tương ứng từng năm 130/181/261/15/20.</t>
  </si>
  <si>
    <t>Đầu tư Vùng phủ 4G</t>
  </si>
  <si>
    <t>IP</t>
  </si>
  <si>
    <t>Hạ tầng</t>
  </si>
  <si>
    <t>Đầu tư Dung lượng 4G</t>
  </si>
  <si>
    <t>Năm 2026: 646 RRU; Năm 2027: 563 RRU, Năm 2028: 78 RRU, Năm 2029: 384 RRU; Năm  2030: 177 RRU</t>
  </si>
  <si>
    <t>Đầu tư Vùng phủ 5G</t>
  </si>
  <si>
    <t>Đầu tư Dung lượng 5G</t>
  </si>
  <si>
    <t>II. Dịch vụ CĐBR</t>
  </si>
  <si>
    <t>Đầu tư Dịch vụ CĐBR</t>
  </si>
  <si>
    <t>BRCĐ</t>
  </si>
  <si>
    <t>CORE</t>
  </si>
  <si>
    <t>Bổ sung dung lượng cho BRAS và CGNAT đáp ứng tăng trưởng thuê bao (318k) và profile (3,82Mbps)</t>
  </si>
  <si>
    <t>Truy nhập</t>
  </si>
  <si>
    <t>Triển khai 818 thiết bị OLT GPON và 366 thiết bị OLT combo XGSPON cùng hạ tầng đảm bảo phát triển mới 280k cổng</t>
  </si>
  <si>
    <t>Công cụ, phần mềm</t>
  </si>
  <si>
    <t>III. Dịch vụ CNTT</t>
  </si>
  <si>
    <t>Đầu tư Dịch vụ CNTT</t>
  </si>
  <si>
    <t xml:space="preserve"> Kinh doanh trực tiếp </t>
  </si>
  <si>
    <t>Hỗ trợ kinh doanh và VHKT</t>
  </si>
  <si>
    <t>IV.Data Center (DC)</t>
  </si>
  <si>
    <t>Tổng trạm</t>
  </si>
  <si>
    <t>Phát triển mới</t>
  </si>
  <si>
    <t>Củng cố</t>
  </si>
  <si>
    <t>V.Các dịch vụ khác</t>
  </si>
  <si>
    <t xml:space="preserve">Hàng năm đầu tư khoảng 100k USD cho thử nghiệm các tính năng mới.
2 năm/lần thực hiện nâng cấp software 2G, 4G và các dịch vụ triển khai BSC, OMC </t>
  </si>
  <si>
    <t>Truyền dẫn quang</t>
  </si>
  <si>
    <t>Truyền dẫn IP</t>
  </si>
  <si>
    <t>Năm 2026-2030: Đầu tư tài nguyên phục vụ thay thế thiết bị quá niên hạn: ~2,5$
Năm 2027: Đầu tư tài nguyên phục vụ cắt chuyển 6 tr Sub cho hệ thống vOCS3.0 lên 4.0: ~ 2,4tr$.</t>
  </si>
  <si>
    <t>Đầu tư kiên cố mạng lưới</t>
  </si>
  <si>
    <t>Đầu tư mức cơ bản tạo tổng trạm mới (02 router GW, 02 router P, 02 router PE di động, 02 router PE cố định cho mạng IPBN, 02 router P và 02 router PE cho mạng MPBN, switch cho mạng DCN.</t>
  </si>
  <si>
    <t>113k $ mua ắc quy phục vụ bổ sung dung lượng suy hao.
250k $ cho 100 tủ DC để thay thế tủ hiệu suất thấp EoL hàng năm.
860k $ cho mua thay thế hỏng lớp access theo số liệu hàng năm, trong đó 320k $ cho 95 tủ nguồn 465 rectifier 290k $ cho 80 ATS và 60 máy phát điện.</t>
  </si>
  <si>
    <t>Năm 2026: 1.453 km; 5 tuyến viba ; Năm 2027: 657 km; Năm 2028: 657 km; Năm 2029: 657 km; Năm 2030: 657 km.</t>
  </si>
  <si>
    <t>Đầu tư ƯCTT</t>
  </si>
  <si>
    <t>Bổ sung các loại card ghép bước sóng DWDM + cáp quang và  phụ kiện UCTT hàng năm</t>
  </si>
  <si>
    <t>Phần mềm</t>
  </si>
  <si>
    <t>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</si>
</sst>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5">
    <numFmt numFmtId="43" formatCode="_(* #,##0.00_);_(* \(#,##0.00\);_(* &quot;-&quot;??_);_(@_)"/>
    <numFmt numFmtId="164" formatCode="_-* #,##0.00\ _₫_-;\-* #,##0.00\ _₫_-;_-* &quot;-&quot;??\ _₫_-;_-@_-"/>
    <numFmt numFmtId="165" formatCode="_(* #,##0_);_(* \(#,##0\);_(* &quot;-&quot;??_);_(@_)"/>
    <numFmt numFmtId="166" formatCode="_(* #,##0.0_);_(* \(#,##0.0\);_(* &quot;-&quot;??_);_(@_)"/>
    <numFmt numFmtId="167" formatCode="0.0%"/>
    <numFmt numFmtId="168" formatCode="_-* #,##0.00\ _€_-;\-* #,##0.00\ _€_-;_-* &quot;-&quot;??\ _€_-;_-@_-"/>
    <numFmt numFmtId="169" formatCode="_(* #,##0.000_);_(* \(#,##0.000\);_(* &quot;-&quot;??_);_(@_)"/>
    <numFmt numFmtId="170" formatCode="[$-409]dd\-mmm\-yy;@"/>
    <numFmt numFmtId="171" formatCode="_([$€-2]* #,##0.00_);_([$€-2]* \(#,##0.00\);_([$€-2]* &quot;-&quot;??_)"/>
    <numFmt numFmtId="172" formatCode="_-* #,##0.00_-;\-* #,##0.00_-;_-* &quot;-&quot;??_-;_-@_-"/>
    <numFmt numFmtId="173" formatCode="_(* #.##0.00_);_(* \(#.##0.00\);_(* &quot;-&quot;??_);_(@_)"/>
    <numFmt numFmtId="174" formatCode="_-* #,##0_-;\-* #,##0_-;_-* &quot;-&quot;_-;_-@_-"/>
    <numFmt numFmtId="175" formatCode="_([$€-2]* #.##0.00_);_([$€-2]* \(#.##0.00\);_([$€-2]* &quot;-&quot;??_)"/>
    <numFmt numFmtId="176" formatCode="_-* #,##0.00_-;\-* #,##0.00_-;_-* &quot;-&quot;_-;_-@_-"/>
    <numFmt numFmtId="177" formatCode="0.0"/>
  </numFmts>
  <fonts count="61" x14ac:knownFonts="1">
    <font>
      <sz val="11"/>
      <color theme="1"/>
      <name val="Calibri"/>
      <family val="2"/>
      <scheme val="minor"/>
    </font>
    <font>
      <sz val="11"/>
      <color theme="1"/>
      <name val="Calibri"/>
      <family val="2"/>
      <charset val="163"/>
      <scheme val="minor"/>
    </font>
    <font>
      <sz val="11"/>
      <color theme="1"/>
      <name val="Calibri"/>
      <family val="2"/>
      <charset val="163"/>
      <scheme val="minor"/>
    </font>
    <font>
      <sz val="11"/>
      <color theme="1"/>
      <name val="Calibri"/>
      <family val="2"/>
      <charset val="163"/>
      <scheme val="minor"/>
    </font>
    <font>
      <sz val="11"/>
      <color theme="1"/>
      <name val="Calibri"/>
      <family val="2"/>
      <scheme val="minor"/>
    </font>
    <font>
      <sz val="10"/>
      <name val="Times New Roman"/>
      <family val="1"/>
    </font>
    <font>
      <b/>
      <sz val="10"/>
      <name val="Times New Roman"/>
      <family val="1"/>
    </font>
    <font>
      <b/>
      <sz val="14"/>
      <name val="Times New Roman"/>
      <family val="1"/>
    </font>
    <font>
      <i/>
      <sz val="10"/>
      <name val="Times New Roman"/>
      <family val="1"/>
    </font>
    <font>
      <sz val="10"/>
      <name val="Arial"/>
      <family val="2"/>
    </font>
    <font>
      <b/>
      <i/>
      <sz val="10"/>
      <name val="Times New Roman"/>
      <family val="1"/>
    </font>
    <font>
      <b/>
      <sz val="10"/>
      <color rgb="FFFF0000"/>
      <name val="Times New Roman"/>
      <family val="1"/>
    </font>
    <font>
      <sz val="11"/>
      <color theme="1"/>
      <name val="Calibri"/>
      <family val="2"/>
      <charset val="163"/>
      <scheme val="minor"/>
    </font>
    <font>
      <sz val="11"/>
      <name val="Times New Roman"/>
      <family val="1"/>
    </font>
    <font>
      <sz val="10"/>
      <color rgb="FFFF0000"/>
      <name val="Times New Roman"/>
      <family val="1"/>
    </font>
    <font>
      <i/>
      <sz val="10"/>
      <color rgb="FFFF0000"/>
      <name val="Times New Roman"/>
      <family val="1"/>
    </font>
    <font>
      <sz val="10"/>
      <color theme="1"/>
      <name val="Times New Roman"/>
      <family val="1"/>
    </font>
    <font>
      <b/>
      <sz val="10"/>
      <color theme="1"/>
      <name val="Times New Roman"/>
      <family val="1"/>
    </font>
    <font>
      <sz val="8.25"/>
      <name val="Microsoft Sans Serif"/>
      <family val="2"/>
    </font>
    <font>
      <sz val="10"/>
      <color theme="1"/>
      <name val="Arial"/>
      <family val="2"/>
    </font>
    <font>
      <sz val="8.25"/>
      <name val="Microsoft Sans Serif"/>
      <family val="2"/>
      <charset val="163"/>
    </font>
    <font>
      <sz val="10"/>
      <name val=".VnArial"/>
      <family val="2"/>
    </font>
    <font>
      <sz val="12"/>
      <color theme="1"/>
      <name val="Times New Roman"/>
      <family val="2"/>
    </font>
    <font>
      <sz val="10"/>
      <name val="Arial"/>
      <family val="2"/>
      <charset val="163"/>
    </font>
    <font>
      <b/>
      <sz val="10"/>
      <color theme="0"/>
      <name val="Times New Roman"/>
      <family val="1"/>
    </font>
    <font>
      <sz val="8"/>
      <color rgb="FFFF0000"/>
      <name val="Times New Roman"/>
      <family val="1"/>
    </font>
    <font>
      <sz val="10"/>
      <color rgb="FF0000FF"/>
      <name val="Times New Roman"/>
      <family val="1"/>
    </font>
    <font>
      <sz val="10"/>
      <color theme="0"/>
      <name val="Times New Roman"/>
      <family val="1"/>
    </font>
    <font>
      <i/>
      <sz val="14"/>
      <name val="Times New Roman"/>
      <family val="1"/>
    </font>
    <font>
      <sz val="12"/>
      <color theme="1"/>
      <name val="Calibri"/>
      <family val="2"/>
      <scheme val="minor"/>
    </font>
    <font>
      <sz val="10"/>
      <name val="Arial"/>
      <family val="2"/>
    </font>
    <font>
      <sz val="11"/>
      <color indexed="8"/>
      <name val="Calibri"/>
      <family val="2"/>
      <charset val="163"/>
    </font>
    <font>
      <b/>
      <sz val="11"/>
      <name val="Times New Roman"/>
      <family val="1"/>
    </font>
    <font>
      <i/>
      <sz val="11"/>
      <name val="Times New Roman"/>
      <family val="1"/>
    </font>
    <font>
      <sz val="11"/>
      <color rgb="FF0000FF"/>
      <name val="Times New Roman"/>
      <family val="1"/>
    </font>
    <font>
      <b/>
      <sz val="10"/>
      <color rgb="FF0000FF"/>
      <name val="Times New Roman"/>
      <family val="1"/>
    </font>
    <font>
      <b/>
      <sz val="11"/>
      <color rgb="FF0000FF"/>
      <name val="Times New Roman"/>
      <family val="1"/>
    </font>
    <font>
      <sz val="11"/>
      <color theme="1"/>
      <name val="Times New Roman"/>
      <family val="1"/>
    </font>
    <font>
      <b/>
      <sz val="14"/>
      <color theme="1"/>
      <name val="Times New Roman"/>
      <family val="1"/>
    </font>
    <font>
      <b/>
      <sz val="11"/>
      <color theme="1"/>
      <name val="Times New Roman"/>
      <family val="1"/>
    </font>
    <font>
      <b/>
      <sz val="11"/>
      <color theme="0"/>
      <name val="Times New Roman"/>
      <family val="1"/>
    </font>
    <font>
      <b/>
      <sz val="12"/>
      <color theme="0"/>
      <name val="Times New Roman"/>
      <family val="1"/>
    </font>
    <font>
      <sz val="12"/>
      <name val="Times New Roman"/>
      <family val="1"/>
    </font>
    <font>
      <sz val="8"/>
      <color theme="1"/>
      <name val="Times New Roman"/>
      <family val="1"/>
    </font>
    <font>
      <sz val="10"/>
      <color rgb="FF000000"/>
      <name val="Times New Roman"/>
      <family val="1"/>
    </font>
    <font>
      <b/>
      <sz val="11"/>
      <color rgb="FF000000"/>
      <name val="Times New Roman"/>
      <family val="1"/>
    </font>
    <font>
      <sz val="14"/>
      <color rgb="FF000000"/>
      <name val="Sarabun"/>
    </font>
    <font>
      <sz val="11"/>
      <color rgb="FF000000"/>
      <name val="Times New Roman"/>
      <family val="1"/>
    </font>
    <font>
      <b/>
      <sz val="12"/>
      <name val="Times New Roman"/>
      <family val="1"/>
    </font>
    <font>
      <b/>
      <i/>
      <sz val="11"/>
      <name val="Times New Roman"/>
      <family val="1"/>
    </font>
    <font>
      <b/>
      <sz val="12"/>
      <color rgb="FFFFFFFF"/>
      <name val="Times New Roman"/>
      <family val="1"/>
    </font>
    <font>
      <sz val="12"/>
      <color rgb="FF000000"/>
      <name val="Times New Roman"/>
      <family val="1"/>
    </font>
    <font>
      <sz val="9"/>
      <color rgb="FF000000"/>
      <name val="Times New Roman"/>
      <family val="1"/>
    </font>
    <font>
      <b/>
      <sz val="10"/>
      <color rgb="FF000000"/>
      <name val="Times New Roman"/>
      <family val="1"/>
    </font>
    <font>
      <sz val="12"/>
      <color theme="1"/>
      <name val="Times New Roman"/>
      <family val="1"/>
    </font>
    <font>
      <b/>
      <sz val="12"/>
      <color theme="1"/>
      <name val="Times New Roman"/>
      <family val="1"/>
    </font>
    <font>
      <b/>
      <sz val="12"/>
      <color rgb="FF0000CC"/>
      <name val="Times New Roman"/>
      <family val="1"/>
    </font>
    <font>
      <b/>
      <sz val="12"/>
      <color rgb="FF000000"/>
      <name val="Times New Roman"/>
      <family val="1"/>
    </font>
    <font>
      <b/>
      <sz val="12"/>
      <color rgb="FFEE0033"/>
      <name val="Times New Roman"/>
      <family val="1"/>
    </font>
    <font>
      <sz val="11"/>
      <color rgb="FFFF0000"/>
      <name val="Times New Roman"/>
      <family val="1"/>
    </font>
    <font>
      <b/>
      <sz val="12"/>
      <color rgb="FFFF0000"/>
      <name val="Times New Roman"/>
      <family val="1"/>
    </font>
  </fonts>
  <fills count="19">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9" tint="0.79998168889431442"/>
        <bgColor indexed="64"/>
      </patternFill>
    </fill>
    <fill>
      <patternFill patternType="solid">
        <fgColor theme="7" tint="0.39997558519241921"/>
        <bgColor indexed="64"/>
      </patternFill>
    </fill>
    <fill>
      <patternFill patternType="solid">
        <fgColor theme="5" tint="0.79998168889431442"/>
        <bgColor indexed="64"/>
      </patternFill>
    </fill>
    <fill>
      <patternFill patternType="solid">
        <fgColor rgb="FFFFFFFF"/>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rgb="FFEE0033"/>
        <bgColor indexed="64"/>
      </patternFill>
    </fill>
    <fill>
      <patternFill patternType="solid">
        <fgColor rgb="FF00B050"/>
        <bgColor indexed="64"/>
      </patternFill>
    </fill>
    <fill>
      <patternFill patternType="solid">
        <fgColor theme="7" tint="0.79998168889431442"/>
        <bgColor indexed="64"/>
      </patternFill>
    </fill>
    <fill>
      <patternFill patternType="solid">
        <fgColor rgb="FFE3ABFF"/>
        <bgColor indexed="64"/>
      </patternFill>
    </fill>
    <fill>
      <patternFill patternType="solid">
        <fgColor rgb="FF73DCF1"/>
        <bgColor indexed="64"/>
      </patternFill>
    </fill>
    <fill>
      <patternFill patternType="solid">
        <fgColor rgb="FF88BD67"/>
        <bgColor indexed="64"/>
      </patternFill>
    </fill>
    <fill>
      <patternFill patternType="solid">
        <fgColor rgb="FF579BFF"/>
        <bgColor indexed="64"/>
      </patternFill>
    </fill>
    <fill>
      <patternFill patternType="solid">
        <fgColor rgb="FFFCE4D6"/>
        <bgColor indexed="64"/>
      </patternFill>
    </fill>
    <fill>
      <patternFill patternType="solid">
        <fgColor rgb="FFFF0000"/>
        <bgColor indexed="64"/>
      </patternFill>
    </fill>
  </fills>
  <borders count="21">
    <border>
      <left/>
      <right/>
      <top/>
      <bottom/>
      <diagonal/>
    </border>
    <border>
      <left/>
      <right/>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auto="1"/>
      </bottom>
      <diagonal/>
    </border>
    <border>
      <left/>
      <right style="thin">
        <color rgb="FF000000"/>
      </right>
      <top style="thin">
        <color rgb="FF000000"/>
      </top>
      <bottom style="thin">
        <color rgb="FF000000"/>
      </bottom>
      <diagonal/>
    </border>
    <border>
      <left style="dotted">
        <color rgb="FFFF0000"/>
      </left>
      <right style="dotted">
        <color rgb="FFFF0000"/>
      </right>
      <top/>
      <bottom style="dotted">
        <color rgb="FFFF0000"/>
      </bottom>
      <diagonal/>
    </border>
    <border>
      <left style="dotted">
        <color rgb="FFFF0000"/>
      </left>
      <right style="dotted">
        <color rgb="FFFF0000"/>
      </right>
      <top style="dotted">
        <color rgb="FFFF0000"/>
      </top>
      <bottom style="dotted">
        <color rgb="FFFF0000"/>
      </bottom>
      <diagonal/>
    </border>
    <border>
      <left/>
      <right style="thin">
        <color rgb="FF000000"/>
      </right>
      <top style="thin">
        <color rgb="FF000000"/>
      </top>
      <bottom/>
      <diagonal/>
    </border>
  </borders>
  <cellStyleXfs count="290">
    <xf numFmtId="0" fontId="0" fillId="0" borderId="0"/>
    <xf numFmtId="43" fontId="4"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9" fillId="0" borderId="0">
      <alignment vertical="top"/>
    </xf>
    <xf numFmtId="43" fontId="9" fillId="0" borderId="0" applyFont="0" applyFill="0" applyBorder="0" applyAlignment="0" applyProtection="0"/>
    <xf numFmtId="168" fontId="4" fillId="0" borderId="0" applyFont="0" applyFill="0" applyBorder="0" applyAlignment="0" applyProtection="0"/>
    <xf numFmtId="0" fontId="9" fillId="0" borderId="0">
      <alignment vertical="top"/>
    </xf>
    <xf numFmtId="0" fontId="12" fillId="0" borderId="0"/>
    <xf numFmtId="43" fontId="9" fillId="0" borderId="0" applyFont="0" applyFill="0" applyBorder="0" applyAlignment="0" applyProtection="0"/>
    <xf numFmtId="43" fontId="9" fillId="0" borderId="0" applyFont="0" applyFill="0" applyBorder="0" applyAlignment="0" applyProtection="0"/>
    <xf numFmtId="0" fontId="4" fillId="0" borderId="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4" fillId="0" borderId="0"/>
    <xf numFmtId="0" fontId="4" fillId="0" borderId="0"/>
    <xf numFmtId="0" fontId="12" fillId="0" borderId="0"/>
    <xf numFmtId="0" fontId="9" fillId="0" borderId="0"/>
    <xf numFmtId="170" fontId="4" fillId="0" borderId="0"/>
    <xf numFmtId="164" fontId="9" fillId="0" borderId="0" applyFont="0" applyFill="0" applyBorder="0" applyAlignment="0" applyProtection="0"/>
    <xf numFmtId="9" fontId="9" fillId="0" borderId="0" applyFont="0" applyFill="0" applyBorder="0" applyAlignment="0" applyProtection="0"/>
    <xf numFmtId="164" fontId="9" fillId="0" borderId="0" applyFont="0" applyFill="0" applyBorder="0" applyAlignment="0" applyProtection="0"/>
    <xf numFmtId="0" fontId="12" fillId="0" borderId="0"/>
    <xf numFmtId="0" fontId="12" fillId="0" borderId="0"/>
    <xf numFmtId="171" fontId="4" fillId="0" borderId="0"/>
    <xf numFmtId="0" fontId="12" fillId="0" borderId="0"/>
    <xf numFmtId="0" fontId="4" fillId="0" borderId="0"/>
    <xf numFmtId="0" fontId="18" fillId="0" borderId="0">
      <protection locked="0"/>
    </xf>
    <xf numFmtId="0" fontId="4" fillId="0" borderId="0"/>
    <xf numFmtId="0" fontId="4" fillId="0" borderId="0"/>
    <xf numFmtId="0" fontId="4" fillId="0" borderId="0"/>
    <xf numFmtId="0" fontId="4" fillId="0" borderId="0"/>
    <xf numFmtId="0" fontId="4" fillId="0" borderId="0"/>
    <xf numFmtId="172" fontId="4" fillId="0" borderId="0" applyFont="0" applyFill="0" applyBorder="0" applyAlignment="0" applyProtection="0"/>
    <xf numFmtId="0" fontId="9" fillId="0" borderId="0">
      <alignment vertical="top"/>
    </xf>
    <xf numFmtId="43" fontId="9"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43" fontId="4" fillId="0" borderId="0" applyFont="0" applyFill="0" applyBorder="0" applyAlignment="0" applyProtection="0"/>
    <xf numFmtId="0" fontId="18" fillId="0" borderId="0">
      <protection locked="0"/>
    </xf>
    <xf numFmtId="0" fontId="18" fillId="0" borderId="0">
      <protection locked="0"/>
    </xf>
    <xf numFmtId="0" fontId="4" fillId="0" borderId="0"/>
    <xf numFmtId="0" fontId="19" fillId="0" borderId="0"/>
    <xf numFmtId="171" fontId="9" fillId="0" borderId="0">
      <alignment vertical="top"/>
    </xf>
    <xf numFmtId="43"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1" fontId="20" fillId="0" borderId="0">
      <protection locked="0"/>
    </xf>
    <xf numFmtId="0" fontId="9" fillId="0" borderId="0">
      <alignment vertical="top"/>
    </xf>
    <xf numFmtId="43" fontId="21" fillId="0" borderId="0" applyFont="0" applyFill="0" applyBorder="0" applyAlignment="0" applyProtection="0"/>
    <xf numFmtId="0" fontId="9" fillId="0" borderId="0">
      <alignment vertical="top"/>
    </xf>
    <xf numFmtId="0" fontId="21" fillId="0" borderId="0">
      <alignment vertical="top"/>
    </xf>
    <xf numFmtId="9" fontId="21" fillId="0" borderId="0" applyFont="0" applyFill="0" applyBorder="0" applyAlignment="0" applyProtection="0"/>
    <xf numFmtId="0" fontId="21" fillId="0" borderId="0">
      <alignment vertical="top"/>
    </xf>
    <xf numFmtId="43" fontId="4" fillId="0" borderId="0" applyFont="0" applyFill="0" applyBorder="0" applyAlignment="0" applyProtection="0"/>
    <xf numFmtId="172" fontId="4" fillId="0" borderId="0" applyFont="0" applyFill="0" applyBorder="0" applyAlignment="0" applyProtection="0"/>
    <xf numFmtId="0" fontId="12" fillId="0" borderId="0"/>
    <xf numFmtId="164" fontId="12" fillId="0" borderId="0" applyFont="0" applyFill="0" applyBorder="0" applyAlignment="0" applyProtection="0"/>
    <xf numFmtId="0" fontId="22" fillId="0" borderId="0"/>
    <xf numFmtId="0" fontId="9" fillId="0" borderId="0"/>
    <xf numFmtId="0" fontId="12" fillId="0" borderId="0"/>
    <xf numFmtId="164" fontId="12" fillId="0" borderId="0" applyFont="0" applyFill="0" applyBorder="0" applyAlignment="0" applyProtection="0"/>
    <xf numFmtId="0" fontId="23" fillId="0" borderId="0"/>
    <xf numFmtId="164" fontId="12" fillId="0" borderId="0" applyFont="0" applyFill="0" applyBorder="0" applyAlignment="0" applyProtection="0"/>
    <xf numFmtId="164" fontId="12" fillId="0" borderId="0" applyFont="0" applyFill="0" applyBorder="0" applyAlignment="0" applyProtection="0"/>
    <xf numFmtId="0" fontId="22" fillId="0" borderId="0"/>
    <xf numFmtId="0" fontId="18" fillId="0" borderId="0">
      <protection locked="0"/>
    </xf>
    <xf numFmtId="0" fontId="12" fillId="0" borderId="0"/>
    <xf numFmtId="0" fontId="4" fillId="0" borderId="0"/>
    <xf numFmtId="0" fontId="12" fillId="0" borderId="0"/>
    <xf numFmtId="164" fontId="12" fillId="0" borderId="0" applyFont="0" applyFill="0" applyBorder="0" applyAlignment="0" applyProtection="0"/>
    <xf numFmtId="0" fontId="12" fillId="0" borderId="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0" fontId="1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8" fillId="0" borderId="0">
      <protection locked="0"/>
    </xf>
    <xf numFmtId="0" fontId="9" fillId="0" borderId="0"/>
    <xf numFmtId="173" fontId="9" fillId="0" borderId="0" applyFont="0" applyFill="0" applyBorder="0" applyAlignment="0" applyProtection="0"/>
    <xf numFmtId="171" fontId="4" fillId="0" borderId="0"/>
    <xf numFmtId="171" fontId="9" fillId="0" borderId="0"/>
    <xf numFmtId="43" fontId="4" fillId="0" borderId="0" applyFont="0" applyFill="0" applyBorder="0" applyAlignment="0" applyProtection="0"/>
    <xf numFmtId="0" fontId="1" fillId="0" borderId="0"/>
    <xf numFmtId="0" fontId="9" fillId="0" borderId="0"/>
    <xf numFmtId="174" fontId="4" fillId="0" borderId="0" applyFont="0" applyFill="0" applyBorder="0" applyAlignment="0" applyProtection="0"/>
    <xf numFmtId="0" fontId="29" fillId="0" borderId="0"/>
    <xf numFmtId="171" fontId="4" fillId="0" borderId="0"/>
    <xf numFmtId="171" fontId="4" fillId="0" borderId="0"/>
    <xf numFmtId="0" fontId="4" fillId="0" borderId="0"/>
    <xf numFmtId="171" fontId="4" fillId="0" borderId="0"/>
    <xf numFmtId="43" fontId="4" fillId="0" borderId="0" applyFont="0" applyFill="0" applyBorder="0" applyAlignment="0" applyProtection="0"/>
    <xf numFmtId="0" fontId="4" fillId="0" borderId="0"/>
    <xf numFmtId="171" fontId="4" fillId="0" borderId="0"/>
    <xf numFmtId="0" fontId="9" fillId="0" borderId="0"/>
    <xf numFmtId="0" fontId="9" fillId="0" borderId="0"/>
    <xf numFmtId="175" fontId="4" fillId="0" borderId="0"/>
    <xf numFmtId="0" fontId="9" fillId="0" borderId="0"/>
    <xf numFmtId="0" fontId="9" fillId="0" borderId="0"/>
    <xf numFmtId="0" fontId="29" fillId="0" borderId="0"/>
    <xf numFmtId="0" fontId="4" fillId="0" borderId="0"/>
    <xf numFmtId="0" fontId="30" fillId="0" borderId="0"/>
    <xf numFmtId="43" fontId="31"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9" fillId="0" borderId="0" applyFont="0" applyFill="0" applyBorder="0" applyAlignment="0" applyProtection="0"/>
    <xf numFmtId="0" fontId="4" fillId="0" borderId="0"/>
  </cellStyleXfs>
  <cellXfs count="662">
    <xf numFmtId="0" fontId="0" fillId="0" borderId="0" xfId="0"/>
    <xf numFmtId="0" fontId="5" fillId="2" borderId="3" xfId="0" applyFont="1" applyFill="1" applyBorder="1" applyAlignment="1">
      <alignment horizontal="center" vertical="center"/>
    </xf>
    <xf numFmtId="0" fontId="6" fillId="3" borderId="3" xfId="0" applyFont="1" applyFill="1" applyBorder="1" applyAlignment="1">
      <alignment horizontal="center" vertical="center"/>
    </xf>
    <xf numFmtId="0" fontId="6" fillId="3" borderId="3" xfId="0" applyFont="1" applyFill="1" applyBorder="1" applyAlignment="1">
      <alignment horizontal="center" vertical="center" wrapText="1"/>
    </xf>
    <xf numFmtId="0" fontId="5" fillId="0" borderId="0" xfId="0" applyFont="1" applyAlignment="1">
      <alignment vertical="center"/>
    </xf>
    <xf numFmtId="0" fontId="5" fillId="0" borderId="0" xfId="0" applyFont="1" applyAlignment="1">
      <alignment horizontal="center" vertical="center"/>
    </xf>
    <xf numFmtId="0" fontId="16" fillId="0" borderId="0" xfId="0" applyFont="1" applyAlignment="1">
      <alignment vertical="center"/>
    </xf>
    <xf numFmtId="0" fontId="5" fillId="0" borderId="0" xfId="0" applyFont="1"/>
    <xf numFmtId="0" fontId="6" fillId="0" borderId="3" xfId="0" applyFont="1" applyBorder="1" applyAlignment="1">
      <alignment horizontal="center" vertical="center" wrapText="1" readingOrder="1"/>
    </xf>
    <xf numFmtId="9" fontId="6" fillId="0" borderId="3" xfId="2" applyFont="1" applyFill="1" applyBorder="1" applyAlignment="1">
      <alignment horizontal="center" vertical="center" wrapText="1" readingOrder="1"/>
    </xf>
    <xf numFmtId="165" fontId="5" fillId="0" borderId="0" xfId="1" applyNumberFormat="1" applyFont="1" applyAlignment="1">
      <alignment vertical="center"/>
    </xf>
    <xf numFmtId="0" fontId="17" fillId="0" borderId="3" xfId="0" applyFont="1" applyBorder="1" applyAlignment="1">
      <alignment horizontal="center" vertical="center"/>
    </xf>
    <xf numFmtId="165" fontId="6" fillId="3" borderId="3" xfId="1" applyNumberFormat="1" applyFont="1" applyFill="1" applyBorder="1" applyAlignment="1">
      <alignment horizontal="center" vertical="center" wrapText="1"/>
    </xf>
    <xf numFmtId="0" fontId="6" fillId="4" borderId="3" xfId="0" applyFont="1" applyFill="1" applyBorder="1" applyAlignment="1">
      <alignment horizontal="center" vertical="center"/>
    </xf>
    <xf numFmtId="0" fontId="6" fillId="4" borderId="3" xfId="0" applyFont="1" applyFill="1" applyBorder="1" applyAlignment="1">
      <alignment horizontal="center" vertical="center" wrapText="1"/>
    </xf>
    <xf numFmtId="0" fontId="6" fillId="4" borderId="3" xfId="0" applyFont="1" applyFill="1" applyBorder="1" applyAlignment="1">
      <alignment horizontal="left" vertical="center" wrapText="1"/>
    </xf>
    <xf numFmtId="9" fontId="6" fillId="4" borderId="3" xfId="2" applyFont="1" applyFill="1" applyBorder="1" applyAlignment="1">
      <alignment horizontal="center" vertical="center" wrapText="1"/>
    </xf>
    <xf numFmtId="0" fontId="5" fillId="7" borderId="3" xfId="0" applyFont="1" applyFill="1" applyBorder="1" applyAlignment="1">
      <alignment horizontal="center" vertical="center"/>
    </xf>
    <xf numFmtId="0" fontId="5" fillId="2" borderId="3" xfId="0" applyFont="1" applyFill="1" applyBorder="1" applyAlignment="1">
      <alignment horizontal="center" vertical="center" wrapText="1" readingOrder="1"/>
    </xf>
    <xf numFmtId="0" fontId="17" fillId="3" borderId="3" xfId="0" applyFont="1" applyFill="1" applyBorder="1" applyAlignment="1">
      <alignment horizontal="center" vertical="center"/>
    </xf>
    <xf numFmtId="165" fontId="6" fillId="2" borderId="3" xfId="1" applyNumberFormat="1" applyFont="1" applyFill="1" applyBorder="1" applyAlignment="1">
      <alignment horizontal="center" vertical="center" wrapText="1"/>
    </xf>
    <xf numFmtId="0" fontId="16" fillId="0" borderId="3" xfId="0" applyFont="1" applyBorder="1" applyAlignment="1">
      <alignment horizontal="center" vertical="center"/>
    </xf>
    <xf numFmtId="165" fontId="5" fillId="0" borderId="0" xfId="1" applyNumberFormat="1" applyFont="1"/>
    <xf numFmtId="166" fontId="5" fillId="0" borderId="0" xfId="1" applyNumberFormat="1" applyFont="1" applyAlignment="1">
      <alignment vertical="center"/>
    </xf>
    <xf numFmtId="167" fontId="5" fillId="7" borderId="3" xfId="2" applyNumberFormat="1" applyFont="1" applyFill="1" applyBorder="1" applyAlignment="1">
      <alignment horizontal="center" vertical="center" wrapText="1"/>
    </xf>
    <xf numFmtId="0" fontId="7" fillId="0" borderId="0" xfId="0" applyFont="1" applyAlignment="1">
      <alignment vertical="center"/>
    </xf>
    <xf numFmtId="167" fontId="5" fillId="0" borderId="0" xfId="0" applyNumberFormat="1" applyFont="1"/>
    <xf numFmtId="167" fontId="6" fillId="3" borderId="3" xfId="0" applyNumberFormat="1" applyFont="1" applyFill="1" applyBorder="1" applyAlignment="1">
      <alignment horizontal="center" vertical="center" wrapText="1"/>
    </xf>
    <xf numFmtId="165" fontId="5" fillId="2" borderId="3" xfId="1" applyNumberFormat="1" applyFont="1" applyFill="1" applyBorder="1" applyAlignment="1">
      <alignment horizontal="center" vertical="center" readingOrder="1"/>
    </xf>
    <xf numFmtId="165" fontId="5" fillId="2" borderId="3" xfId="1" applyNumberFormat="1" applyFont="1" applyFill="1" applyBorder="1" applyAlignment="1">
      <alignment horizontal="center" vertical="center" wrapText="1" readingOrder="1"/>
    </xf>
    <xf numFmtId="10" fontId="5" fillId="0" borderId="0" xfId="0" applyNumberFormat="1" applyFont="1"/>
    <xf numFmtId="165" fontId="6" fillId="4" borderId="3" xfId="1" applyNumberFormat="1" applyFont="1" applyFill="1" applyBorder="1" applyAlignment="1">
      <alignment horizontal="center" vertical="center" wrapText="1"/>
    </xf>
    <xf numFmtId="167" fontId="6" fillId="8" borderId="3" xfId="2" applyNumberFormat="1" applyFont="1" applyFill="1" applyBorder="1" applyAlignment="1">
      <alignment horizontal="center" vertical="center" wrapText="1"/>
    </xf>
    <xf numFmtId="0" fontId="6" fillId="9" borderId="3" xfId="0" applyFont="1" applyFill="1" applyBorder="1" applyAlignment="1">
      <alignment horizontal="center" vertical="center"/>
    </xf>
    <xf numFmtId="0" fontId="6" fillId="9" borderId="3" xfId="0" applyFont="1" applyFill="1" applyBorder="1" applyAlignment="1">
      <alignment horizontal="left" vertical="center"/>
    </xf>
    <xf numFmtId="167" fontId="6" fillId="9" borderId="3" xfId="2" applyNumberFormat="1" applyFont="1" applyFill="1" applyBorder="1" applyAlignment="1">
      <alignment horizontal="center" vertical="center" wrapText="1"/>
    </xf>
    <xf numFmtId="0" fontId="5" fillId="2" borderId="0" xfId="0" applyFont="1" applyFill="1" applyAlignment="1">
      <alignment vertical="center"/>
    </xf>
    <xf numFmtId="0" fontId="6" fillId="2" borderId="0" xfId="0" applyFont="1" applyFill="1" applyAlignment="1">
      <alignment horizontal="center" vertical="center"/>
    </xf>
    <xf numFmtId="43" fontId="5" fillId="0" borderId="0" xfId="1" applyFont="1" applyAlignment="1">
      <alignment vertical="center"/>
    </xf>
    <xf numFmtId="0" fontId="6" fillId="8" borderId="3" xfId="0" applyFont="1" applyFill="1" applyBorder="1" applyAlignment="1">
      <alignment horizontal="center" vertical="center"/>
    </xf>
    <xf numFmtId="0" fontId="6" fillId="8" borderId="3" xfId="0" applyFont="1" applyFill="1" applyBorder="1" applyAlignment="1">
      <alignment vertical="center"/>
    </xf>
    <xf numFmtId="0" fontId="14" fillId="0" borderId="3" xfId="0" applyFont="1" applyBorder="1" applyAlignment="1">
      <alignment horizontal="center" vertical="center" wrapText="1" readingOrder="1"/>
    </xf>
    <xf numFmtId="1" fontId="25" fillId="0" borderId="0" xfId="0" applyNumberFormat="1" applyFont="1" applyAlignment="1">
      <alignment horizontal="right" vertical="center"/>
    </xf>
    <xf numFmtId="0" fontId="11" fillId="0" borderId="6" xfId="0" applyFont="1" applyBorder="1" applyAlignment="1">
      <alignment horizontal="center" vertical="center" wrapText="1" readingOrder="1"/>
    </xf>
    <xf numFmtId="0" fontId="5" fillId="0" borderId="3" xfId="0" applyFont="1" applyBorder="1" applyAlignment="1">
      <alignment horizontal="center" vertical="center" wrapText="1" readingOrder="1"/>
    </xf>
    <xf numFmtId="0" fontId="5" fillId="2" borderId="3" xfId="0" applyFont="1" applyFill="1" applyBorder="1" applyAlignment="1">
      <alignment horizontal="center" vertical="center" readingOrder="1"/>
    </xf>
    <xf numFmtId="165" fontId="6" fillId="4" borderId="3" xfId="1" applyNumberFormat="1" applyFont="1" applyFill="1" applyBorder="1" applyAlignment="1">
      <alignment vertical="center"/>
    </xf>
    <xf numFmtId="0" fontId="6" fillId="2" borderId="0" xfId="0" applyFont="1" applyFill="1" applyAlignment="1">
      <alignment vertical="center"/>
    </xf>
    <xf numFmtId="0" fontId="5" fillId="2" borderId="0" xfId="0" applyFont="1" applyFill="1" applyAlignment="1">
      <alignment horizontal="center" vertical="center"/>
    </xf>
    <xf numFmtId="0" fontId="8" fillId="2" borderId="0" xfId="0" applyFont="1" applyFill="1" applyAlignment="1">
      <alignment horizontal="center" vertical="center"/>
    </xf>
    <xf numFmtId="0" fontId="8" fillId="2" borderId="0" xfId="0" applyFont="1" applyFill="1" applyAlignment="1">
      <alignment vertical="center"/>
    </xf>
    <xf numFmtId="0" fontId="5" fillId="2" borderId="3" xfId="0" applyFont="1" applyFill="1" applyBorder="1" applyAlignment="1">
      <alignment horizontal="left" vertical="center"/>
    </xf>
    <xf numFmtId="165" fontId="5" fillId="0" borderId="0" xfId="1" applyNumberFormat="1" applyFont="1" applyFill="1" applyAlignment="1">
      <alignment horizontal="right" vertical="center"/>
    </xf>
    <xf numFmtId="0" fontId="5" fillId="0" borderId="0" xfId="0" applyFont="1" applyAlignment="1">
      <alignment vertical="center" wrapText="1"/>
    </xf>
    <xf numFmtId="0" fontId="5" fillId="7" borderId="3" xfId="0" applyFont="1" applyFill="1" applyBorder="1" applyAlignment="1">
      <alignment vertical="center" wrapText="1"/>
    </xf>
    <xf numFmtId="0" fontId="24" fillId="10" borderId="3" xfId="0" applyFont="1" applyFill="1" applyBorder="1" applyAlignment="1">
      <alignment horizontal="center" vertical="center" wrapText="1" readingOrder="1"/>
    </xf>
    <xf numFmtId="165" fontId="24" fillId="10" borderId="3" xfId="1" applyNumberFormat="1" applyFont="1" applyFill="1" applyBorder="1" applyAlignment="1">
      <alignment horizontal="center" vertical="center" wrapText="1" readingOrder="1"/>
    </xf>
    <xf numFmtId="0" fontId="6" fillId="3" borderId="3" xfId="0" applyFont="1" applyFill="1" applyBorder="1" applyAlignment="1">
      <alignment horizontal="center" vertical="center" wrapText="1" readingOrder="1"/>
    </xf>
    <xf numFmtId="165" fontId="6" fillId="3" borderId="3" xfId="1" applyNumberFormat="1" applyFont="1" applyFill="1" applyBorder="1" applyAlignment="1">
      <alignment horizontal="center" vertical="center" wrapText="1" readingOrder="1"/>
    </xf>
    <xf numFmtId="165" fontId="5" fillId="7" borderId="3" xfId="1" applyNumberFormat="1" applyFont="1" applyFill="1" applyBorder="1" applyAlignment="1">
      <alignment horizontal="center" vertical="center" wrapText="1"/>
    </xf>
    <xf numFmtId="165" fontId="6" fillId="8" borderId="3" xfId="1" applyNumberFormat="1" applyFont="1" applyFill="1" applyBorder="1" applyAlignment="1">
      <alignment horizontal="center" vertical="center" wrapText="1"/>
    </xf>
    <xf numFmtId="165" fontId="6" fillId="9" borderId="3" xfId="1" applyNumberFormat="1" applyFont="1" applyFill="1" applyBorder="1" applyAlignment="1">
      <alignment horizontal="center" vertical="center" wrapText="1"/>
    </xf>
    <xf numFmtId="0" fontId="15" fillId="0" borderId="0" xfId="0" applyFont="1" applyAlignment="1">
      <alignment vertical="center"/>
    </xf>
    <xf numFmtId="43" fontId="6" fillId="3" borderId="3" xfId="1" applyFont="1" applyFill="1" applyBorder="1" applyAlignment="1">
      <alignment horizontal="center" vertical="center" wrapText="1"/>
    </xf>
    <xf numFmtId="165" fontId="5" fillId="0" borderId="3" xfId="1" applyNumberFormat="1" applyFont="1" applyFill="1" applyBorder="1" applyAlignment="1">
      <alignment horizontal="left" vertical="center" wrapText="1" readingOrder="1"/>
    </xf>
    <xf numFmtId="165" fontId="5" fillId="0" borderId="3" xfId="1" quotePrefix="1" applyNumberFormat="1" applyFont="1" applyFill="1" applyBorder="1" applyAlignment="1">
      <alignment horizontal="center" vertical="center" readingOrder="1"/>
    </xf>
    <xf numFmtId="165" fontId="6" fillId="3" borderId="3" xfId="1" applyNumberFormat="1" applyFont="1" applyFill="1" applyBorder="1" applyAlignment="1">
      <alignment horizontal="left" vertical="center" wrapText="1" readingOrder="1"/>
    </xf>
    <xf numFmtId="167" fontId="5" fillId="0" borderId="3" xfId="2" applyNumberFormat="1" applyFont="1" applyFill="1" applyBorder="1" applyAlignment="1">
      <alignment horizontal="center" vertical="center" wrapText="1" readingOrder="1"/>
    </xf>
    <xf numFmtId="0" fontId="5" fillId="0" borderId="3" xfId="0" applyFont="1" applyBorder="1" applyAlignment="1">
      <alignment horizontal="left" vertical="center" wrapText="1" indent="1" readingOrder="1"/>
    </xf>
    <xf numFmtId="165" fontId="5" fillId="0" borderId="3" xfId="1" applyNumberFormat="1" applyFont="1" applyFill="1" applyBorder="1" applyAlignment="1">
      <alignment horizontal="center" vertical="center" wrapText="1" readingOrder="1"/>
    </xf>
    <xf numFmtId="0" fontId="5" fillId="0" borderId="3" xfId="0" applyFont="1" applyBorder="1" applyAlignment="1">
      <alignment horizontal="center" vertical="center" readingOrder="1"/>
    </xf>
    <xf numFmtId="0" fontId="5" fillId="7" borderId="3" xfId="0" applyFont="1" applyFill="1" applyBorder="1" applyAlignment="1">
      <alignment horizontal="left" vertical="center" wrapText="1" indent="1"/>
    </xf>
    <xf numFmtId="0" fontId="5" fillId="0" borderId="3" xfId="0" applyFont="1" applyBorder="1" applyAlignment="1">
      <alignment horizontal="left" vertical="center" wrapText="1" readingOrder="1"/>
    </xf>
    <xf numFmtId="0" fontId="6" fillId="3" borderId="3" xfId="0" applyFont="1" applyFill="1" applyBorder="1" applyAlignment="1">
      <alignment horizontal="left" vertical="center"/>
    </xf>
    <xf numFmtId="0" fontId="5" fillId="3" borderId="3" xfId="0" quotePrefix="1" applyFont="1" applyFill="1" applyBorder="1" applyAlignment="1">
      <alignment horizontal="justify" vertical="center" wrapText="1"/>
    </xf>
    <xf numFmtId="167" fontId="6" fillId="3" borderId="3" xfId="2" applyNumberFormat="1" applyFont="1" applyFill="1" applyBorder="1" applyAlignment="1">
      <alignment horizontal="center" vertical="center" wrapText="1"/>
    </xf>
    <xf numFmtId="0" fontId="5" fillId="2" borderId="3" xfId="0" applyFont="1" applyFill="1" applyBorder="1" applyAlignment="1">
      <alignment horizontal="left" vertical="center" wrapText="1" indent="1" readingOrder="1"/>
    </xf>
    <xf numFmtId="165" fontId="6" fillId="2" borderId="3" xfId="1" applyNumberFormat="1" applyFont="1" applyFill="1" applyBorder="1" applyAlignment="1">
      <alignment horizontal="left" vertical="center" wrapText="1" readingOrder="1"/>
    </xf>
    <xf numFmtId="0" fontId="6" fillId="2" borderId="3" xfId="0" applyFont="1" applyFill="1" applyBorder="1" applyAlignment="1">
      <alignment horizontal="center" vertical="center" wrapText="1" readingOrder="1"/>
    </xf>
    <xf numFmtId="0" fontId="10" fillId="2" borderId="3" xfId="0" applyFont="1" applyFill="1" applyBorder="1" applyAlignment="1">
      <alignment horizontal="center" vertical="center" wrapText="1" readingOrder="1"/>
    </xf>
    <xf numFmtId="0" fontId="8" fillId="2" borderId="3" xfId="0" applyFont="1" applyFill="1" applyBorder="1" applyAlignment="1">
      <alignment horizontal="center" vertical="center" wrapText="1" readingOrder="1"/>
    </xf>
    <xf numFmtId="9" fontId="10" fillId="2" borderId="3" xfId="2" applyFont="1" applyFill="1" applyBorder="1" applyAlignment="1">
      <alignment horizontal="center" vertical="center" wrapText="1" readingOrder="1"/>
    </xf>
    <xf numFmtId="0" fontId="6" fillId="2" borderId="3" xfId="0" applyFont="1" applyFill="1" applyBorder="1" applyAlignment="1">
      <alignment horizontal="left" vertical="center" wrapText="1" readingOrder="1"/>
    </xf>
    <xf numFmtId="165" fontId="5" fillId="2" borderId="3" xfId="1" applyNumberFormat="1" applyFont="1" applyFill="1" applyBorder="1" applyAlignment="1">
      <alignment horizontal="left" vertical="center" wrapText="1" readingOrder="1"/>
    </xf>
    <xf numFmtId="165" fontId="5" fillId="2" borderId="3" xfId="1" quotePrefix="1" applyNumberFormat="1" applyFont="1" applyFill="1" applyBorder="1" applyAlignment="1">
      <alignment horizontal="center" vertical="center" readingOrder="1"/>
    </xf>
    <xf numFmtId="0" fontId="5" fillId="2" borderId="3" xfId="0" applyFont="1" applyFill="1" applyBorder="1" applyAlignment="1">
      <alignment horizontal="left" vertical="center" wrapText="1" readingOrder="1"/>
    </xf>
    <xf numFmtId="0" fontId="5" fillId="3" borderId="3" xfId="0" applyFont="1" applyFill="1" applyBorder="1" applyAlignment="1">
      <alignment horizontal="center" vertical="center" wrapText="1" readingOrder="1"/>
    </xf>
    <xf numFmtId="165" fontId="5" fillId="3" borderId="3" xfId="1" applyNumberFormat="1" applyFont="1" applyFill="1" applyBorder="1" applyAlignment="1">
      <alignment horizontal="center" vertical="center" wrapText="1" readingOrder="1"/>
    </xf>
    <xf numFmtId="165" fontId="6" fillId="3" borderId="3" xfId="1" quotePrefix="1" applyNumberFormat="1" applyFont="1" applyFill="1" applyBorder="1" applyAlignment="1">
      <alignment horizontal="center" vertical="center" readingOrder="1"/>
    </xf>
    <xf numFmtId="9" fontId="6" fillId="3" borderId="3" xfId="2" applyFont="1" applyFill="1" applyBorder="1" applyAlignment="1">
      <alignment horizontal="center" vertical="center" wrapText="1" readingOrder="1"/>
    </xf>
    <xf numFmtId="9" fontId="6" fillId="2" borderId="3" xfId="2" applyFont="1" applyFill="1" applyBorder="1" applyAlignment="1">
      <alignment horizontal="center" vertical="center" wrapText="1" readingOrder="1"/>
    </xf>
    <xf numFmtId="167" fontId="10" fillId="2" borderId="3" xfId="2" applyNumberFormat="1" applyFont="1" applyFill="1" applyBorder="1" applyAlignment="1">
      <alignment horizontal="center" vertical="center" wrapText="1" readingOrder="1"/>
    </xf>
    <xf numFmtId="0" fontId="16" fillId="0" borderId="3" xfId="0" applyFont="1" applyBorder="1" applyAlignment="1">
      <alignment vertical="center"/>
    </xf>
    <xf numFmtId="0" fontId="6" fillId="7" borderId="3" xfId="0" applyFont="1" applyFill="1" applyBorder="1" applyAlignment="1">
      <alignment horizontal="center" vertical="center"/>
    </xf>
    <xf numFmtId="0" fontId="16" fillId="0" borderId="0" xfId="0" applyFont="1" applyAlignment="1">
      <alignment horizontal="left" vertical="center"/>
    </xf>
    <xf numFmtId="0" fontId="17" fillId="0" borderId="3" xfId="0" applyFont="1" applyBorder="1" applyAlignment="1">
      <alignment horizontal="left" vertical="center"/>
    </xf>
    <xf numFmtId="0" fontId="16" fillId="0" borderId="3" xfId="0" applyFont="1" applyBorder="1" applyAlignment="1">
      <alignment horizontal="left" vertical="center"/>
    </xf>
    <xf numFmtId="0" fontId="16" fillId="0" borderId="3" xfId="0" applyFont="1" applyBorder="1" applyAlignment="1">
      <alignment horizontal="left" vertical="center" indent="1"/>
    </xf>
    <xf numFmtId="165" fontId="5" fillId="0" borderId="3" xfId="1" applyNumberFormat="1" applyFont="1" applyFill="1" applyBorder="1" applyAlignment="1">
      <alignment horizontal="center" vertical="center" readingOrder="1"/>
    </xf>
    <xf numFmtId="9" fontId="5" fillId="2" borderId="3" xfId="2" applyFont="1" applyFill="1" applyBorder="1" applyAlignment="1">
      <alignment horizontal="center" vertical="center" wrapText="1" readingOrder="1"/>
    </xf>
    <xf numFmtId="167" fontId="5" fillId="2" borderId="3" xfId="2" applyNumberFormat="1" applyFont="1" applyFill="1" applyBorder="1" applyAlignment="1">
      <alignment horizontal="center" vertical="center" wrapText="1" readingOrder="1"/>
    </xf>
    <xf numFmtId="0" fontId="6" fillId="3" borderId="3" xfId="0" applyFont="1" applyFill="1" applyBorder="1" applyAlignment="1">
      <alignment horizontal="left" vertical="center" wrapText="1" readingOrder="1"/>
    </xf>
    <xf numFmtId="9" fontId="6" fillId="2" borderId="3" xfId="2" applyFont="1" applyFill="1" applyBorder="1" applyAlignment="1">
      <alignment horizontal="left" vertical="center" wrapText="1" readingOrder="1"/>
    </xf>
    <xf numFmtId="9" fontId="10" fillId="2" borderId="3" xfId="2" applyFont="1" applyFill="1" applyBorder="1" applyAlignment="1">
      <alignment horizontal="left" vertical="center" wrapText="1" readingOrder="1"/>
    </xf>
    <xf numFmtId="167" fontId="6" fillId="3" borderId="3" xfId="2" applyNumberFormat="1" applyFont="1" applyFill="1" applyBorder="1" applyAlignment="1">
      <alignment horizontal="center" vertical="center" wrapText="1" readingOrder="1"/>
    </xf>
    <xf numFmtId="0" fontId="5" fillId="7" borderId="3" xfId="0" applyFont="1" applyFill="1" applyBorder="1" applyAlignment="1">
      <alignment vertical="center"/>
    </xf>
    <xf numFmtId="0" fontId="5" fillId="7" borderId="3" xfId="0" quotePrefix="1" applyFont="1" applyFill="1" applyBorder="1" applyAlignment="1">
      <alignment horizontal="left" vertical="center" wrapText="1" indent="1"/>
    </xf>
    <xf numFmtId="0" fontId="6" fillId="8" borderId="3" xfId="0" applyFont="1" applyFill="1" applyBorder="1" applyAlignment="1">
      <alignment horizontal="left" vertical="center" indent="1"/>
    </xf>
    <xf numFmtId="0" fontId="6" fillId="7" borderId="3" xfId="0" applyFont="1" applyFill="1" applyBorder="1" applyAlignment="1">
      <alignment horizontal="left" vertical="center" wrapText="1" indent="1"/>
    </xf>
    <xf numFmtId="0" fontId="5" fillId="2" borderId="3" xfId="0" quotePrefix="1" applyFont="1" applyFill="1" applyBorder="1" applyAlignment="1">
      <alignment horizontal="left" vertical="center" wrapText="1" indent="1"/>
    </xf>
    <xf numFmtId="0" fontId="5" fillId="9" borderId="3" xfId="0" quotePrefix="1" applyFont="1" applyFill="1" applyBorder="1" applyAlignment="1">
      <alignment horizontal="left" vertical="center" wrapText="1" indent="1"/>
    </xf>
    <xf numFmtId="0" fontId="6" fillId="8" borderId="3" xfId="0" applyFont="1" applyFill="1" applyBorder="1" applyAlignment="1">
      <alignment horizontal="left" vertical="center" wrapText="1" indent="1"/>
    </xf>
    <xf numFmtId="165" fontId="6" fillId="7" borderId="3" xfId="1" applyNumberFormat="1" applyFont="1" applyFill="1" applyBorder="1" applyAlignment="1">
      <alignment horizontal="center" vertical="center" wrapText="1"/>
    </xf>
    <xf numFmtId="1" fontId="5" fillId="0" borderId="0" xfId="2" applyNumberFormat="1" applyFont="1" applyAlignment="1">
      <alignment horizontal="center" vertical="center"/>
    </xf>
    <xf numFmtId="1" fontId="5" fillId="0" borderId="0" xfId="0" applyNumberFormat="1" applyFont="1" applyAlignment="1">
      <alignment horizontal="center" vertical="center"/>
    </xf>
    <xf numFmtId="0" fontId="27" fillId="0" borderId="0" xfId="0" applyFont="1" applyAlignment="1">
      <alignment vertical="center"/>
    </xf>
    <xf numFmtId="0" fontId="24" fillId="0" borderId="0" xfId="0" applyFont="1" applyAlignment="1">
      <alignment vertical="center"/>
    </xf>
    <xf numFmtId="0" fontId="6" fillId="3" borderId="3" xfId="0" applyFont="1" applyFill="1" applyBorder="1" applyAlignment="1">
      <alignment horizontal="center" vertical="center" wrapText="1"/>
    </xf>
    <xf numFmtId="165" fontId="5" fillId="0" borderId="3" xfId="1" applyNumberFormat="1" applyFont="1" applyFill="1" applyBorder="1" applyAlignment="1">
      <alignment horizontal="center" vertical="center" wrapText="1"/>
    </xf>
    <xf numFmtId="0" fontId="5" fillId="0" borderId="3" xfId="0" applyFont="1" applyFill="1" applyBorder="1" applyAlignment="1">
      <alignment horizontal="left" vertical="center" wrapText="1"/>
    </xf>
    <xf numFmtId="0" fontId="5" fillId="0" borderId="0" xfId="0" applyFont="1" applyFill="1" applyAlignment="1">
      <alignment vertical="center"/>
    </xf>
    <xf numFmtId="0" fontId="5" fillId="0" borderId="3" xfId="0" applyFont="1" applyFill="1" applyBorder="1" applyAlignment="1">
      <alignment horizontal="center" vertical="center"/>
    </xf>
    <xf numFmtId="43" fontId="5" fillId="2" borderId="3" xfId="1" quotePrefix="1" applyNumberFormat="1" applyFont="1" applyFill="1" applyBorder="1" applyAlignment="1">
      <alignment horizontal="center" vertical="center" readingOrder="1"/>
    </xf>
    <xf numFmtId="0" fontId="5" fillId="0" borderId="3" xfId="0" quotePrefix="1" applyFont="1" applyFill="1" applyBorder="1" applyAlignment="1">
      <alignment horizontal="left" vertical="center" wrapText="1" indent="1"/>
    </xf>
    <xf numFmtId="0" fontId="5" fillId="0" borderId="0" xfId="0" applyFont="1" applyFill="1" applyAlignment="1">
      <alignment horizontal="center" vertical="center"/>
    </xf>
    <xf numFmtId="0" fontId="5" fillId="11" borderId="3" xfId="0" quotePrefix="1" applyFont="1" applyFill="1" applyBorder="1" applyAlignment="1">
      <alignment horizontal="left" vertical="center" wrapText="1" indent="1"/>
    </xf>
    <xf numFmtId="0" fontId="5" fillId="11" borderId="3" xfId="0" applyFont="1" applyFill="1" applyBorder="1" applyAlignment="1">
      <alignment horizontal="center" vertical="center"/>
    </xf>
    <xf numFmtId="0" fontId="5" fillId="0" borderId="3" xfId="0" applyFont="1" applyFill="1" applyBorder="1" applyAlignment="1">
      <alignment horizontal="left" vertical="center" wrapText="1" indent="1" readingOrder="1"/>
    </xf>
    <xf numFmtId="167" fontId="5" fillId="0" borderId="3" xfId="2" applyNumberFormat="1" applyFont="1" applyFill="1" applyBorder="1" applyAlignment="1">
      <alignment horizontal="center" vertical="center" wrapText="1"/>
    </xf>
    <xf numFmtId="166" fontId="5" fillId="0" borderId="0" xfId="1" applyNumberFormat="1" applyFont="1" applyFill="1" applyAlignment="1">
      <alignment vertical="center"/>
    </xf>
    <xf numFmtId="43" fontId="5" fillId="0" borderId="0" xfId="1" applyFont="1" applyFill="1" applyAlignment="1">
      <alignment vertical="center"/>
    </xf>
    <xf numFmtId="0" fontId="5" fillId="0" borderId="0" xfId="0" applyFont="1" applyFill="1"/>
    <xf numFmtId="0" fontId="5" fillId="11" borderId="3" xfId="0" applyFont="1" applyFill="1" applyBorder="1" applyAlignment="1">
      <alignment horizontal="center" vertical="center" wrapText="1" readingOrder="1"/>
    </xf>
    <xf numFmtId="0" fontId="5" fillId="11" borderId="3" xfId="0" applyFont="1" applyFill="1" applyBorder="1" applyAlignment="1">
      <alignment horizontal="left" vertical="center" wrapText="1" indent="1" readingOrder="1"/>
    </xf>
    <xf numFmtId="165" fontId="5" fillId="11" borderId="3" xfId="1" applyNumberFormat="1" applyFont="1" applyFill="1" applyBorder="1" applyAlignment="1">
      <alignment horizontal="center" vertical="center" wrapText="1"/>
    </xf>
    <xf numFmtId="167" fontId="5" fillId="11" borderId="3" xfId="2" applyNumberFormat="1" applyFont="1" applyFill="1" applyBorder="1" applyAlignment="1">
      <alignment horizontal="center" vertical="center" wrapText="1"/>
    </xf>
    <xf numFmtId="166" fontId="5" fillId="11" borderId="0" xfId="1" applyNumberFormat="1" applyFont="1" applyFill="1" applyAlignment="1">
      <alignment vertical="center"/>
    </xf>
    <xf numFmtId="43" fontId="5" fillId="11" borderId="0" xfId="1" applyFont="1" applyFill="1" applyAlignment="1">
      <alignment vertical="center"/>
    </xf>
    <xf numFmtId="0" fontId="5" fillId="11" borderId="0" xfId="0" applyFont="1" applyFill="1"/>
    <xf numFmtId="10" fontId="5" fillId="11" borderId="0" xfId="0" applyNumberFormat="1" applyFont="1" applyFill="1"/>
    <xf numFmtId="43" fontId="5" fillId="11" borderId="0" xfId="0" applyNumberFormat="1" applyFont="1" applyFill="1"/>
    <xf numFmtId="10" fontId="5" fillId="11" borderId="0" xfId="2" applyNumberFormat="1" applyFont="1" applyFill="1"/>
    <xf numFmtId="0" fontId="5" fillId="11" borderId="3" xfId="0" applyFont="1" applyFill="1" applyBorder="1" applyAlignment="1">
      <alignment horizontal="left" vertical="center"/>
    </xf>
    <xf numFmtId="167" fontId="6" fillId="11" borderId="3" xfId="2" applyNumberFormat="1" applyFont="1" applyFill="1" applyBorder="1" applyAlignment="1">
      <alignment horizontal="center" vertical="center" wrapText="1"/>
    </xf>
    <xf numFmtId="0" fontId="5" fillId="11" borderId="3" xfId="0" applyFont="1" applyFill="1" applyBorder="1" applyAlignment="1">
      <alignment horizontal="left" vertical="center" wrapText="1" readingOrder="1"/>
    </xf>
    <xf numFmtId="0" fontId="6" fillId="11" borderId="3" xfId="0" applyFont="1" applyFill="1" applyBorder="1" applyAlignment="1">
      <alignment horizontal="center" vertical="center" wrapText="1" readingOrder="1"/>
    </xf>
    <xf numFmtId="0" fontId="6" fillId="11" borderId="3" xfId="0" applyFont="1" applyFill="1" applyBorder="1" applyAlignment="1">
      <alignment horizontal="left" vertical="center" wrapText="1" readingOrder="1"/>
    </xf>
    <xf numFmtId="165" fontId="6" fillId="11" borderId="3" xfId="1" applyNumberFormat="1" applyFont="1" applyFill="1" applyBorder="1" applyAlignment="1">
      <alignment horizontal="center" vertical="center" wrapText="1"/>
    </xf>
    <xf numFmtId="43" fontId="5" fillId="0" borderId="0" xfId="0" applyNumberFormat="1" applyFont="1" applyFill="1"/>
    <xf numFmtId="0" fontId="5" fillId="11" borderId="3" xfId="0" applyFont="1" applyFill="1" applyBorder="1" applyAlignment="1">
      <alignment vertical="center" wrapText="1"/>
    </xf>
    <xf numFmtId="0" fontId="6" fillId="0" borderId="3" xfId="0" applyFont="1" applyFill="1" applyBorder="1" applyAlignment="1">
      <alignment horizontal="center" vertical="center"/>
    </xf>
    <xf numFmtId="9" fontId="6" fillId="0" borderId="3" xfId="2" applyFont="1" applyFill="1" applyBorder="1" applyAlignment="1">
      <alignment horizontal="center" vertical="center" wrapText="1"/>
    </xf>
    <xf numFmtId="43" fontId="5" fillId="0" borderId="3" xfId="1" quotePrefix="1" applyNumberFormat="1" applyFont="1" applyFill="1" applyBorder="1" applyAlignment="1">
      <alignment horizontal="center" vertical="center" readingOrder="1"/>
    </xf>
    <xf numFmtId="0" fontId="5" fillId="2" borderId="3" xfId="0" quotePrefix="1" applyFont="1" applyFill="1" applyBorder="1" applyAlignment="1">
      <alignment vertical="center" wrapText="1"/>
    </xf>
    <xf numFmtId="0" fontId="32" fillId="0" borderId="0" xfId="0" applyFont="1" applyAlignment="1">
      <alignment horizontal="center" vertical="center" wrapText="1"/>
    </xf>
    <xf numFmtId="0" fontId="32" fillId="3" borderId="3" xfId="1" applyNumberFormat="1" applyFont="1" applyFill="1" applyBorder="1" applyAlignment="1">
      <alignment horizontal="center" vertical="center" wrapText="1"/>
    </xf>
    <xf numFmtId="0" fontId="13" fillId="0" borderId="0" xfId="0" applyFont="1" applyAlignment="1">
      <alignment horizontal="center" vertical="center"/>
    </xf>
    <xf numFmtId="0" fontId="13" fillId="0" borderId="0" xfId="0" applyFont="1" applyAlignment="1">
      <alignment vertical="center"/>
    </xf>
    <xf numFmtId="0" fontId="32" fillId="5" borderId="3" xfId="0" applyFont="1" applyFill="1" applyBorder="1" applyAlignment="1">
      <alignment horizontal="center" vertical="center" wrapText="1"/>
    </xf>
    <xf numFmtId="165" fontId="32" fillId="5" borderId="3" xfId="1" applyNumberFormat="1" applyFont="1" applyFill="1" applyBorder="1" applyAlignment="1">
      <alignment vertical="center"/>
    </xf>
    <xf numFmtId="0" fontId="32" fillId="0" borderId="0" xfId="0" applyFont="1" applyAlignment="1">
      <alignment vertical="center"/>
    </xf>
    <xf numFmtId="166" fontId="6" fillId="2" borderId="3" xfId="1" applyNumberFormat="1" applyFont="1" applyFill="1" applyBorder="1" applyAlignment="1">
      <alignment horizontal="left" vertical="center" wrapText="1" readingOrder="1"/>
    </xf>
    <xf numFmtId="166" fontId="6" fillId="3" borderId="3" xfId="1" applyNumberFormat="1" applyFont="1" applyFill="1" applyBorder="1" applyAlignment="1">
      <alignment horizontal="left" vertical="center" wrapText="1" readingOrder="1"/>
    </xf>
    <xf numFmtId="166" fontId="5" fillId="0" borderId="3" xfId="1" quotePrefix="1" applyNumberFormat="1" applyFont="1" applyFill="1" applyBorder="1" applyAlignment="1">
      <alignment horizontal="center" vertical="center" readingOrder="1"/>
    </xf>
    <xf numFmtId="166" fontId="5" fillId="0" borderId="3" xfId="1" applyNumberFormat="1" applyFont="1" applyFill="1" applyBorder="1" applyAlignment="1">
      <alignment horizontal="left" vertical="center" wrapText="1" readingOrder="1"/>
    </xf>
    <xf numFmtId="166" fontId="6" fillId="3" borderId="3" xfId="1" quotePrefix="1" applyNumberFormat="1" applyFont="1" applyFill="1" applyBorder="1" applyAlignment="1">
      <alignment horizontal="center" vertical="center" readingOrder="1"/>
    </xf>
    <xf numFmtId="166" fontId="5" fillId="2" borderId="3" xfId="1" applyNumberFormat="1" applyFont="1" applyFill="1" applyBorder="1" applyAlignment="1">
      <alignment horizontal="left" vertical="center" wrapText="1" readingOrder="1"/>
    </xf>
    <xf numFmtId="166" fontId="5" fillId="2" borderId="3" xfId="1" quotePrefix="1" applyNumberFormat="1" applyFont="1" applyFill="1" applyBorder="1" applyAlignment="1">
      <alignment horizontal="center" vertical="center" readingOrder="1"/>
    </xf>
    <xf numFmtId="167" fontId="6" fillId="2" borderId="3" xfId="2" applyNumberFormat="1" applyFont="1" applyFill="1" applyBorder="1" applyAlignment="1">
      <alignment horizontal="left" vertical="center" wrapText="1" readingOrder="1"/>
    </xf>
    <xf numFmtId="167" fontId="10" fillId="2" borderId="3" xfId="2" applyNumberFormat="1" applyFont="1" applyFill="1" applyBorder="1" applyAlignment="1">
      <alignment horizontal="left" vertical="center" wrapText="1" readingOrder="1"/>
    </xf>
    <xf numFmtId="167" fontId="5" fillId="0" borderId="3" xfId="2" applyNumberFormat="1" applyFont="1" applyFill="1" applyBorder="1" applyAlignment="1">
      <alignment horizontal="left" vertical="center" wrapText="1" readingOrder="1"/>
    </xf>
    <xf numFmtId="167" fontId="6" fillId="2" borderId="3" xfId="2" applyNumberFormat="1" applyFont="1" applyFill="1" applyBorder="1" applyAlignment="1">
      <alignment horizontal="center" vertical="center" wrapText="1" readingOrder="1"/>
    </xf>
    <xf numFmtId="167" fontId="5" fillId="2" borderId="3" xfId="2" applyNumberFormat="1" applyFont="1" applyFill="1" applyBorder="1" applyAlignment="1">
      <alignment horizontal="left" vertical="center" wrapText="1" readingOrder="1"/>
    </xf>
    <xf numFmtId="167" fontId="6" fillId="0" borderId="3" xfId="2" applyNumberFormat="1" applyFont="1" applyFill="1" applyBorder="1" applyAlignment="1">
      <alignment horizontal="center" vertical="center" wrapText="1" readingOrder="1"/>
    </xf>
    <xf numFmtId="9" fontId="10" fillId="2" borderId="3" xfId="1" applyNumberFormat="1" applyFont="1" applyFill="1" applyBorder="1" applyAlignment="1">
      <alignment horizontal="left" vertical="center" wrapText="1" readingOrder="1"/>
    </xf>
    <xf numFmtId="43" fontId="5" fillId="0" borderId="3" xfId="1" applyNumberFormat="1" applyFont="1" applyFill="1" applyBorder="1" applyAlignment="1">
      <alignment horizontal="left" vertical="center" wrapText="1" readingOrder="1"/>
    </xf>
    <xf numFmtId="43" fontId="6" fillId="3" borderId="3" xfId="1" applyNumberFormat="1" applyFont="1" applyFill="1" applyBorder="1" applyAlignment="1">
      <alignment horizontal="left" vertical="center" wrapText="1" readingOrder="1"/>
    </xf>
    <xf numFmtId="43" fontId="6" fillId="2" borderId="3" xfId="1" applyNumberFormat="1" applyFont="1" applyFill="1" applyBorder="1" applyAlignment="1">
      <alignment horizontal="left" vertical="center" wrapText="1" readingOrder="1"/>
    </xf>
    <xf numFmtId="169" fontId="6" fillId="2" borderId="3" xfId="1" applyNumberFormat="1" applyFont="1" applyFill="1" applyBorder="1" applyAlignment="1">
      <alignment horizontal="left" vertical="center" wrapText="1" readingOrder="1"/>
    </xf>
    <xf numFmtId="0" fontId="6" fillId="3" borderId="3" xfId="0" applyFont="1" applyFill="1" applyBorder="1" applyAlignment="1">
      <alignment horizontal="center" vertical="center" wrapText="1"/>
    </xf>
    <xf numFmtId="43" fontId="6" fillId="3" borderId="3" xfId="1" applyFont="1" applyFill="1" applyBorder="1" applyAlignment="1">
      <alignment horizontal="center" vertical="center" wrapText="1"/>
    </xf>
    <xf numFmtId="165" fontId="32" fillId="3" borderId="3" xfId="1" applyNumberFormat="1" applyFont="1" applyFill="1" applyBorder="1" applyAlignment="1">
      <alignment horizontal="center" vertical="center" wrapText="1"/>
    </xf>
    <xf numFmtId="165" fontId="6" fillId="9" borderId="3" xfId="1" applyNumberFormat="1" applyFont="1" applyFill="1" applyBorder="1" applyAlignment="1">
      <alignment vertical="center"/>
    </xf>
    <xf numFmtId="0" fontId="32" fillId="12" borderId="3" xfId="0" applyFont="1" applyFill="1" applyBorder="1" applyAlignment="1" applyProtection="1">
      <alignment horizontal="center" vertical="center"/>
      <protection locked="0"/>
    </xf>
    <xf numFmtId="0" fontId="32" fillId="12" borderId="3" xfId="0" applyFont="1" applyFill="1" applyBorder="1" applyAlignment="1" applyProtection="1">
      <alignment vertical="center" wrapText="1"/>
      <protection locked="0"/>
    </xf>
    <xf numFmtId="0" fontId="32" fillId="12" borderId="3" xfId="0" applyFont="1" applyFill="1" applyBorder="1" applyAlignment="1">
      <alignment horizontal="center" vertical="center" wrapText="1"/>
    </xf>
    <xf numFmtId="165" fontId="32" fillId="12" borderId="3" xfId="1" applyNumberFormat="1" applyFont="1" applyFill="1" applyBorder="1" applyAlignment="1">
      <alignment vertical="center"/>
    </xf>
    <xf numFmtId="165" fontId="32" fillId="12" borderId="3" xfId="1" applyNumberFormat="1" applyFont="1" applyFill="1" applyBorder="1" applyAlignment="1">
      <alignment horizontal="right" vertical="center"/>
    </xf>
    <xf numFmtId="165" fontId="13" fillId="0" borderId="3" xfId="1" applyNumberFormat="1" applyFont="1" applyFill="1" applyBorder="1" applyAlignment="1">
      <alignment horizontal="center" vertical="center"/>
    </xf>
    <xf numFmtId="0" fontId="13" fillId="0" borderId="3" xfId="0" applyFont="1" applyFill="1" applyBorder="1" applyAlignment="1">
      <alignment horizontal="center" vertical="center"/>
    </xf>
    <xf numFmtId="0" fontId="34" fillId="0" borderId="0" xfId="0" applyFont="1" applyFill="1" applyAlignment="1">
      <alignment horizontal="center" vertical="center"/>
    </xf>
    <xf numFmtId="0" fontId="32" fillId="0" borderId="3" xfId="0" applyFont="1" applyFill="1" applyBorder="1" applyAlignment="1">
      <alignment horizontal="center" vertical="center"/>
    </xf>
    <xf numFmtId="165" fontId="32" fillId="0" borderId="3" xfId="1" applyNumberFormat="1" applyFont="1" applyFill="1" applyBorder="1" applyAlignment="1">
      <alignment horizontal="center" vertical="center"/>
    </xf>
    <xf numFmtId="165" fontId="32" fillId="0" borderId="3" xfId="1" applyNumberFormat="1" applyFont="1" applyFill="1" applyBorder="1" applyAlignment="1">
      <alignment vertical="center"/>
    </xf>
    <xf numFmtId="165" fontId="32" fillId="0" borderId="3" xfId="0" applyNumberFormat="1" applyFont="1" applyFill="1" applyBorder="1" applyAlignment="1">
      <alignment vertical="center"/>
    </xf>
    <xf numFmtId="0" fontId="36" fillId="0" borderId="0" xfId="0" applyFont="1" applyFill="1" applyAlignment="1">
      <alignment horizontal="center" vertical="center"/>
    </xf>
    <xf numFmtId="0" fontId="32" fillId="5" borderId="3" xfId="0" applyFont="1" applyFill="1" applyBorder="1" applyAlignment="1" applyProtection="1">
      <alignment horizontal="center" vertical="center"/>
      <protection locked="0"/>
    </xf>
    <xf numFmtId="0" fontId="32" fillId="5" borderId="3" xfId="0" applyFont="1" applyFill="1" applyBorder="1" applyAlignment="1" applyProtection="1">
      <alignment vertical="center" wrapText="1"/>
      <protection locked="0"/>
    </xf>
    <xf numFmtId="165" fontId="32" fillId="5" borderId="3" xfId="1" applyNumberFormat="1" applyFont="1" applyFill="1" applyBorder="1" applyAlignment="1">
      <alignment horizontal="right" vertical="center"/>
    </xf>
    <xf numFmtId="39" fontId="6" fillId="4" borderId="3" xfId="1" applyNumberFormat="1" applyFont="1" applyFill="1" applyBorder="1" applyAlignment="1">
      <alignment horizontal="center" vertical="center" wrapText="1"/>
    </xf>
    <xf numFmtId="0" fontId="5" fillId="0" borderId="0" xfId="0" applyFont="1" applyFill="1" applyAlignment="1">
      <alignment horizontal="left" vertical="center" wrapText="1"/>
    </xf>
    <xf numFmtId="43" fontId="5" fillId="0" borderId="0" xfId="1" applyFont="1" applyFill="1" applyBorder="1" applyAlignment="1">
      <alignment horizontal="center" vertical="center"/>
    </xf>
    <xf numFmtId="165" fontId="5" fillId="0" borderId="0" xfId="1" applyNumberFormat="1" applyFont="1" applyFill="1" applyBorder="1" applyAlignment="1">
      <alignment vertical="center"/>
    </xf>
    <xf numFmtId="43" fontId="5" fillId="0" borderId="0" xfId="1" applyFont="1" applyFill="1" applyBorder="1" applyAlignment="1">
      <alignment vertical="center"/>
    </xf>
    <xf numFmtId="0" fontId="6" fillId="0" borderId="0" xfId="0" applyFont="1" applyFill="1" applyAlignment="1">
      <alignment vertical="center"/>
    </xf>
    <xf numFmtId="0" fontId="6" fillId="0" borderId="3" xfId="0" applyFont="1" applyFill="1" applyBorder="1" applyAlignment="1">
      <alignment horizontal="center" vertical="center" wrapText="1"/>
    </xf>
    <xf numFmtId="0" fontId="6" fillId="0" borderId="3" xfId="0" applyFont="1" applyFill="1" applyBorder="1" applyAlignment="1">
      <alignment horizontal="left" vertical="center" wrapText="1"/>
    </xf>
    <xf numFmtId="39" fontId="6" fillId="0" borderId="3" xfId="1" applyNumberFormat="1" applyFont="1" applyFill="1" applyBorder="1" applyAlignment="1">
      <alignment horizontal="center" vertical="center" wrapText="1"/>
    </xf>
    <xf numFmtId="165" fontId="6" fillId="0" borderId="3" xfId="1" applyNumberFormat="1" applyFont="1" applyFill="1" applyBorder="1" applyAlignment="1">
      <alignment horizontal="center" vertical="center" wrapText="1"/>
    </xf>
    <xf numFmtId="43" fontId="5" fillId="0" borderId="0" xfId="1" applyFont="1" applyFill="1" applyAlignment="1">
      <alignment horizontal="center" vertical="center"/>
    </xf>
    <xf numFmtId="165" fontId="5" fillId="0" borderId="0" xfId="1" applyNumberFormat="1" applyFont="1" applyFill="1" applyAlignment="1">
      <alignment vertical="center"/>
    </xf>
    <xf numFmtId="0" fontId="6" fillId="4" borderId="3" xfId="0" applyFont="1" applyFill="1" applyBorder="1" applyAlignment="1">
      <alignment horizontal="left" vertical="center" wrapText="1" indent="1"/>
    </xf>
    <xf numFmtId="39" fontId="6" fillId="4" borderId="3" xfId="1" applyNumberFormat="1" applyFont="1" applyFill="1" applyBorder="1" applyAlignment="1">
      <alignment horizontal="center" vertical="center"/>
    </xf>
    <xf numFmtId="165" fontId="5" fillId="4" borderId="3" xfId="1" applyNumberFormat="1" applyFont="1" applyFill="1" applyBorder="1" applyAlignment="1">
      <alignment vertical="center"/>
    </xf>
    <xf numFmtId="165" fontId="5" fillId="4" borderId="3" xfId="1" applyNumberFormat="1" applyFont="1" applyFill="1" applyBorder="1" applyAlignment="1">
      <alignment horizontal="left" vertical="center" indent="1"/>
    </xf>
    <xf numFmtId="0" fontId="5" fillId="4" borderId="3" xfId="0" applyFont="1" applyFill="1" applyBorder="1" applyAlignment="1">
      <alignment horizontal="center" vertical="center"/>
    </xf>
    <xf numFmtId="0" fontId="5" fillId="4" borderId="3" xfId="0" applyFont="1" applyFill="1" applyBorder="1" applyAlignment="1">
      <alignment horizontal="left" vertical="center" wrapText="1"/>
    </xf>
    <xf numFmtId="39" fontId="5" fillId="4" borderId="3" xfId="1" applyNumberFormat="1" applyFont="1" applyFill="1" applyBorder="1" applyAlignment="1">
      <alignment horizontal="center" vertical="center"/>
    </xf>
    <xf numFmtId="0" fontId="5" fillId="4" borderId="3" xfId="0" quotePrefix="1" applyFont="1" applyFill="1" applyBorder="1" applyAlignment="1">
      <alignment horizontal="left" vertical="center" wrapText="1" indent="1"/>
    </xf>
    <xf numFmtId="9" fontId="5" fillId="4" borderId="3" xfId="2" applyFont="1" applyFill="1" applyBorder="1" applyAlignment="1">
      <alignment horizontal="center" vertical="center" wrapText="1"/>
    </xf>
    <xf numFmtId="39" fontId="5" fillId="4" borderId="3" xfId="1" applyNumberFormat="1" applyFont="1" applyFill="1" applyBorder="1" applyAlignment="1">
      <alignment vertical="center"/>
    </xf>
    <xf numFmtId="0" fontId="5" fillId="4" borderId="3" xfId="0" applyFont="1" applyFill="1" applyBorder="1" applyAlignment="1">
      <alignment horizontal="left" vertical="center" wrapText="1" indent="1"/>
    </xf>
    <xf numFmtId="0" fontId="6" fillId="4" borderId="3" xfId="0" applyFont="1" applyFill="1" applyBorder="1" applyAlignment="1">
      <alignment horizontal="justify" vertical="center" wrapText="1"/>
    </xf>
    <xf numFmtId="165" fontId="6" fillId="4" borderId="3" xfId="1" applyNumberFormat="1" applyFont="1" applyFill="1" applyBorder="1" applyAlignment="1">
      <alignment horizontal="left" vertical="center" indent="1"/>
    </xf>
    <xf numFmtId="0" fontId="5" fillId="4" borderId="3" xfId="0" quotePrefix="1" applyFont="1" applyFill="1" applyBorder="1" applyAlignment="1">
      <alignment vertical="center" wrapText="1"/>
    </xf>
    <xf numFmtId="0" fontId="6" fillId="9" borderId="3" xfId="0" applyFont="1" applyFill="1" applyBorder="1" applyAlignment="1">
      <alignment vertical="center" wrapText="1"/>
    </xf>
    <xf numFmtId="39" fontId="6" fillId="9" borderId="3" xfId="1" applyNumberFormat="1" applyFont="1" applyFill="1" applyBorder="1" applyAlignment="1">
      <alignment horizontal="center" vertical="center"/>
    </xf>
    <xf numFmtId="9" fontId="6" fillId="9" borderId="3" xfId="2" applyFont="1" applyFill="1" applyBorder="1" applyAlignment="1">
      <alignment horizontal="center" vertical="center" wrapText="1"/>
    </xf>
    <xf numFmtId="165" fontId="6" fillId="9" borderId="3" xfId="1" applyNumberFormat="1" applyFont="1" applyFill="1" applyBorder="1" applyAlignment="1">
      <alignment horizontal="left" vertical="center" indent="1"/>
    </xf>
    <xf numFmtId="0" fontId="6" fillId="9" borderId="3" xfId="0" applyFont="1" applyFill="1" applyBorder="1" applyAlignment="1">
      <alignment horizontal="left" vertical="center" wrapText="1"/>
    </xf>
    <xf numFmtId="0" fontId="6" fillId="9" borderId="3" xfId="0" applyFont="1" applyFill="1" applyBorder="1" applyAlignment="1">
      <alignment horizontal="left" vertical="center" wrapText="1" indent="1"/>
    </xf>
    <xf numFmtId="165" fontId="5" fillId="9" borderId="3" xfId="1" applyNumberFormat="1" applyFont="1" applyFill="1" applyBorder="1" applyAlignment="1">
      <alignment vertical="center"/>
    </xf>
    <xf numFmtId="165" fontId="5" fillId="9" borderId="3" xfId="1" applyNumberFormat="1" applyFont="1" applyFill="1" applyBorder="1" applyAlignment="1">
      <alignment horizontal="left" vertical="center" indent="1"/>
    </xf>
    <xf numFmtId="0" fontId="5" fillId="9" borderId="3" xfId="0" applyFont="1" applyFill="1" applyBorder="1" applyAlignment="1">
      <alignment horizontal="center" vertical="center"/>
    </xf>
    <xf numFmtId="0" fontId="5" fillId="9" borderId="3" xfId="0" applyFont="1" applyFill="1" applyBorder="1" applyAlignment="1">
      <alignment horizontal="left" vertical="center" wrapText="1"/>
    </xf>
    <xf numFmtId="39" fontId="5" fillId="9" borderId="3" xfId="1" applyNumberFormat="1" applyFont="1" applyFill="1" applyBorder="1" applyAlignment="1">
      <alignment horizontal="center" vertical="center"/>
    </xf>
    <xf numFmtId="9" fontId="5" fillId="9" borderId="3" xfId="2" applyFont="1" applyFill="1" applyBorder="1" applyAlignment="1">
      <alignment horizontal="center" vertical="center" wrapText="1"/>
    </xf>
    <xf numFmtId="0" fontId="5" fillId="9" borderId="3" xfId="0" applyFont="1" applyFill="1" applyBorder="1" applyAlignment="1">
      <alignment horizontal="left" vertical="center" wrapText="1" indent="1"/>
    </xf>
    <xf numFmtId="165" fontId="6" fillId="9" borderId="3" xfId="0" applyNumberFormat="1" applyFont="1" applyFill="1" applyBorder="1" applyAlignment="1">
      <alignment horizontal="left" vertical="center" wrapText="1" indent="1"/>
    </xf>
    <xf numFmtId="169" fontId="5" fillId="9" borderId="3" xfId="1" applyNumberFormat="1" applyFont="1" applyFill="1" applyBorder="1" applyAlignment="1">
      <alignment vertical="center"/>
    </xf>
    <xf numFmtId="9" fontId="5" fillId="9" borderId="3" xfId="2" quotePrefix="1" applyFont="1" applyFill="1" applyBorder="1" applyAlignment="1">
      <alignment horizontal="center" vertical="center" wrapText="1"/>
    </xf>
    <xf numFmtId="39" fontId="5" fillId="9" borderId="3" xfId="1" applyNumberFormat="1" applyFont="1" applyFill="1" applyBorder="1" applyAlignment="1">
      <alignment vertical="center"/>
    </xf>
    <xf numFmtId="0" fontId="6" fillId="9" borderId="3" xfId="0" quotePrefix="1" applyFont="1" applyFill="1" applyBorder="1" applyAlignment="1">
      <alignment horizontal="left" vertical="center" wrapText="1" indent="1"/>
    </xf>
    <xf numFmtId="9" fontId="6" fillId="9" borderId="3" xfId="2" quotePrefix="1" applyFont="1" applyFill="1" applyBorder="1" applyAlignment="1">
      <alignment horizontal="center" vertical="center" wrapText="1"/>
    </xf>
    <xf numFmtId="1" fontId="5" fillId="9" borderId="3" xfId="2" applyNumberFormat="1" applyFont="1" applyFill="1" applyBorder="1" applyAlignment="1">
      <alignment horizontal="center" vertical="center" wrapText="1"/>
    </xf>
    <xf numFmtId="165" fontId="5" fillId="9" borderId="3" xfId="1" applyNumberFormat="1" applyFont="1" applyFill="1" applyBorder="1" applyAlignment="1">
      <alignment horizontal="left" vertical="center" wrapText="1" indent="1"/>
    </xf>
    <xf numFmtId="0" fontId="5" fillId="9" borderId="0" xfId="0" quotePrefix="1" applyFont="1" applyFill="1" applyAlignment="1">
      <alignment vertical="center" wrapText="1"/>
    </xf>
    <xf numFmtId="1" fontId="6" fillId="9" borderId="3" xfId="0" applyNumberFormat="1" applyFont="1" applyFill="1" applyBorder="1" applyAlignment="1">
      <alignment horizontal="left" vertical="center" indent="1"/>
    </xf>
    <xf numFmtId="9" fontId="6" fillId="9" borderId="3" xfId="2" applyFont="1" applyFill="1" applyBorder="1" applyAlignment="1">
      <alignment horizontal="center" vertical="center"/>
    </xf>
    <xf numFmtId="0" fontId="5" fillId="9" borderId="3" xfId="0" applyFont="1" applyFill="1" applyBorder="1" applyAlignment="1">
      <alignment vertical="center" wrapText="1"/>
    </xf>
    <xf numFmtId="0" fontId="5" fillId="9" borderId="0" xfId="0" applyFont="1" applyFill="1" applyAlignment="1">
      <alignment vertical="center"/>
    </xf>
    <xf numFmtId="0" fontId="6" fillId="6" borderId="3" xfId="0" applyFont="1" applyFill="1" applyBorder="1" applyAlignment="1">
      <alignment horizontal="center" vertical="center"/>
    </xf>
    <xf numFmtId="0" fontId="6" fillId="6" borderId="3" xfId="0" applyFont="1" applyFill="1" applyBorder="1" applyAlignment="1">
      <alignment horizontal="left" vertical="center" wrapText="1"/>
    </xf>
    <xf numFmtId="39" fontId="6" fillId="6" borderId="3" xfId="1" applyNumberFormat="1" applyFont="1" applyFill="1" applyBorder="1" applyAlignment="1">
      <alignment horizontal="center" vertical="center"/>
    </xf>
    <xf numFmtId="0" fontId="5" fillId="6" borderId="3" xfId="0" applyFont="1" applyFill="1" applyBorder="1" applyAlignment="1">
      <alignment horizontal="left" vertical="center" indent="1"/>
    </xf>
    <xf numFmtId="9" fontId="6" fillId="6" borderId="3" xfId="2" applyFont="1" applyFill="1" applyBorder="1" applyAlignment="1">
      <alignment horizontal="center" vertical="center"/>
    </xf>
    <xf numFmtId="165" fontId="6" fillId="6" borderId="3" xfId="1" applyNumberFormat="1" applyFont="1" applyFill="1" applyBorder="1" applyAlignment="1">
      <alignment vertical="center"/>
    </xf>
    <xf numFmtId="43" fontId="6" fillId="6" borderId="3" xfId="1" applyFont="1" applyFill="1" applyBorder="1" applyAlignment="1">
      <alignment vertical="center"/>
    </xf>
    <xf numFmtId="0" fontId="5" fillId="6" borderId="3" xfId="0" applyFont="1" applyFill="1" applyBorder="1" applyAlignment="1">
      <alignment horizontal="center" vertical="center"/>
    </xf>
    <xf numFmtId="0" fontId="5" fillId="6" borderId="3" xfId="0" applyFont="1" applyFill="1" applyBorder="1" applyAlignment="1">
      <alignment horizontal="left" vertical="center" wrapText="1"/>
    </xf>
    <xf numFmtId="39" fontId="5" fillId="6" borderId="3" xfId="1" applyNumberFormat="1" applyFont="1" applyFill="1" applyBorder="1" applyAlignment="1">
      <alignment horizontal="center" vertical="center"/>
    </xf>
    <xf numFmtId="0" fontId="5" fillId="6" borderId="3" xfId="0" quotePrefix="1" applyFont="1" applyFill="1" applyBorder="1" applyAlignment="1">
      <alignment horizontal="left" vertical="center" wrapText="1" indent="1"/>
    </xf>
    <xf numFmtId="9" fontId="5" fillId="6" borderId="3" xfId="2" quotePrefix="1" applyFont="1" applyFill="1" applyBorder="1" applyAlignment="1">
      <alignment horizontal="center" vertical="center" wrapText="1"/>
    </xf>
    <xf numFmtId="39" fontId="5" fillId="6" borderId="3" xfId="1" applyNumberFormat="1" applyFont="1" applyFill="1" applyBorder="1" applyAlignment="1">
      <alignment vertical="center"/>
    </xf>
    <xf numFmtId="9" fontId="5" fillId="6" borderId="3" xfId="2" applyFont="1" applyFill="1" applyBorder="1" applyAlignment="1">
      <alignment horizontal="center" vertical="center" wrapText="1"/>
    </xf>
    <xf numFmtId="165" fontId="5" fillId="6" borderId="3" xfId="1" applyNumberFormat="1" applyFont="1" applyFill="1" applyBorder="1" applyAlignment="1">
      <alignment vertical="center"/>
    </xf>
    <xf numFmtId="165" fontId="5" fillId="6" borderId="3" xfId="1" quotePrefix="1" applyNumberFormat="1" applyFont="1" applyFill="1" applyBorder="1" applyAlignment="1">
      <alignment horizontal="left" vertical="center" wrapText="1" indent="1"/>
    </xf>
    <xf numFmtId="0" fontId="5" fillId="6" borderId="3" xfId="0" applyFont="1" applyFill="1" applyBorder="1" applyAlignment="1">
      <alignment horizontal="left" vertical="center" wrapText="1" indent="1"/>
    </xf>
    <xf numFmtId="165" fontId="5" fillId="6" borderId="3" xfId="1" applyNumberFormat="1" applyFont="1" applyFill="1" applyBorder="1" applyAlignment="1">
      <alignment horizontal="left" vertical="center" indent="1"/>
    </xf>
    <xf numFmtId="0" fontId="6" fillId="12" borderId="3" xfId="0" applyFont="1" applyFill="1" applyBorder="1" applyAlignment="1">
      <alignment horizontal="center" vertical="center"/>
    </xf>
    <xf numFmtId="39" fontId="6" fillId="12" borderId="3" xfId="1" applyNumberFormat="1" applyFont="1" applyFill="1" applyBorder="1" applyAlignment="1">
      <alignment horizontal="center" vertical="center"/>
    </xf>
    <xf numFmtId="0" fontId="5" fillId="12" borderId="3" xfId="0" applyFont="1" applyFill="1" applyBorder="1" applyAlignment="1">
      <alignment horizontal="left" vertical="center" indent="1"/>
    </xf>
    <xf numFmtId="9" fontId="6" fillId="12" borderId="3" xfId="2" applyFont="1" applyFill="1" applyBorder="1" applyAlignment="1">
      <alignment horizontal="center" vertical="center"/>
    </xf>
    <xf numFmtId="165" fontId="6" fillId="12" borderId="3" xfId="1" applyNumberFormat="1" applyFont="1" applyFill="1" applyBorder="1" applyAlignment="1">
      <alignment vertical="center"/>
    </xf>
    <xf numFmtId="0" fontId="5" fillId="12" borderId="3" xfId="0" applyFont="1" applyFill="1" applyBorder="1" applyAlignment="1">
      <alignment horizontal="center" vertical="center"/>
    </xf>
    <xf numFmtId="0" fontId="5" fillId="12" borderId="3" xfId="0" applyFont="1" applyFill="1" applyBorder="1" applyAlignment="1">
      <alignment horizontal="left" vertical="center" wrapText="1"/>
    </xf>
    <xf numFmtId="39" fontId="5" fillId="12" borderId="3" xfId="1" applyNumberFormat="1" applyFont="1" applyFill="1" applyBorder="1" applyAlignment="1">
      <alignment horizontal="center" vertical="center"/>
    </xf>
    <xf numFmtId="0" fontId="5" fillId="12" borderId="3" xfId="0" quotePrefix="1" applyFont="1" applyFill="1" applyBorder="1" applyAlignment="1">
      <alignment horizontal="left" vertical="center" wrapText="1" indent="1"/>
    </xf>
    <xf numFmtId="39" fontId="5" fillId="12" borderId="3" xfId="1" applyNumberFormat="1" applyFont="1" applyFill="1" applyBorder="1" applyAlignment="1">
      <alignment vertical="center"/>
    </xf>
    <xf numFmtId="165" fontId="5" fillId="12" borderId="3" xfId="1" applyNumberFormat="1" applyFont="1" applyFill="1" applyBorder="1" applyAlignment="1">
      <alignment horizontal="left" vertical="center" indent="1"/>
    </xf>
    <xf numFmtId="9" fontId="5" fillId="12" borderId="3" xfId="2" applyFont="1" applyFill="1" applyBorder="1" applyAlignment="1">
      <alignment horizontal="center" vertical="center" wrapText="1"/>
    </xf>
    <xf numFmtId="165" fontId="5" fillId="12" borderId="3" xfId="1" applyNumberFormat="1" applyFont="1" applyFill="1" applyBorder="1" applyAlignment="1">
      <alignment vertical="center"/>
    </xf>
    <xf numFmtId="0" fontId="5" fillId="12" borderId="3" xfId="0" applyFont="1" applyFill="1" applyBorder="1" applyAlignment="1">
      <alignment horizontal="left" vertical="center" wrapText="1" indent="1"/>
    </xf>
    <xf numFmtId="0" fontId="5" fillId="9" borderId="3" xfId="0" applyFont="1" applyFill="1" applyBorder="1" applyAlignment="1">
      <alignment horizontal="left" vertical="center" indent="1"/>
    </xf>
    <xf numFmtId="0" fontId="5" fillId="4" borderId="3" xfId="0" applyFont="1" applyFill="1" applyBorder="1" applyAlignment="1">
      <alignment horizontal="left" vertical="center" indent="1"/>
    </xf>
    <xf numFmtId="9" fontId="6" fillId="4" borderId="3" xfId="2" applyFont="1" applyFill="1" applyBorder="1" applyAlignment="1">
      <alignment horizontal="center" vertical="center"/>
    </xf>
    <xf numFmtId="43" fontId="6" fillId="4" borderId="3" xfId="1" applyFont="1" applyFill="1" applyBorder="1" applyAlignment="1">
      <alignment vertical="center"/>
    </xf>
    <xf numFmtId="9" fontId="5" fillId="4" borderId="3" xfId="2" quotePrefix="1" applyFont="1" applyFill="1" applyBorder="1" applyAlignment="1">
      <alignment horizontal="center" vertical="center" wrapText="1"/>
    </xf>
    <xf numFmtId="0" fontId="6" fillId="9" borderId="3" xfId="0" applyFont="1" applyFill="1" applyBorder="1" applyAlignment="1">
      <alignment horizontal="justify" vertical="center" wrapText="1"/>
    </xf>
    <xf numFmtId="9" fontId="13" fillId="9" borderId="3" xfId="2" applyFont="1" applyFill="1" applyBorder="1" applyAlignment="1">
      <alignment horizontal="center" vertical="center" wrapText="1"/>
    </xf>
    <xf numFmtId="0" fontId="6" fillId="12" borderId="3" xfId="0" applyFont="1" applyFill="1" applyBorder="1" applyAlignment="1">
      <alignment horizontal="justify" vertical="center" wrapText="1"/>
    </xf>
    <xf numFmtId="9" fontId="13" fillId="12" borderId="3" xfId="2" applyFont="1" applyFill="1" applyBorder="1" applyAlignment="1">
      <alignment horizontal="center" vertical="center" wrapText="1"/>
    </xf>
    <xf numFmtId="0" fontId="5" fillId="12" borderId="3" xfId="0" applyFont="1" applyFill="1" applyBorder="1" applyAlignment="1">
      <alignment vertical="center" wrapText="1"/>
    </xf>
    <xf numFmtId="0" fontId="5" fillId="0" borderId="3" xfId="0" applyFont="1" applyFill="1" applyBorder="1" applyAlignment="1">
      <alignment vertical="center"/>
    </xf>
    <xf numFmtId="43" fontId="6" fillId="0" borderId="3" xfId="0" applyNumberFormat="1" applyFont="1" applyFill="1" applyBorder="1" applyAlignment="1">
      <alignment horizontal="center" vertical="center"/>
    </xf>
    <xf numFmtId="0" fontId="6" fillId="0" borderId="3" xfId="0" applyFont="1" applyFill="1" applyBorder="1" applyAlignment="1">
      <alignment vertical="center"/>
    </xf>
    <xf numFmtId="43" fontId="5" fillId="0" borderId="3" xfId="0" applyNumberFormat="1" applyFont="1" applyFill="1" applyBorder="1" applyAlignment="1">
      <alignment horizontal="center" vertical="center"/>
    </xf>
    <xf numFmtId="0" fontId="27" fillId="0" borderId="0" xfId="0" applyFont="1" applyFill="1" applyAlignment="1">
      <alignment horizontal="center" vertical="center" wrapText="1"/>
    </xf>
    <xf numFmtId="165" fontId="27" fillId="0" borderId="0" xfId="1" applyNumberFormat="1" applyFont="1" applyFill="1" applyAlignment="1">
      <alignment horizontal="right" vertical="center"/>
    </xf>
    <xf numFmtId="14" fontId="27" fillId="0" borderId="0" xfId="0" applyNumberFormat="1" applyFont="1" applyFill="1" applyAlignment="1">
      <alignment horizontal="center" vertical="center"/>
    </xf>
    <xf numFmtId="0" fontId="27" fillId="0" borderId="0" xfId="0" applyFont="1" applyFill="1" applyAlignment="1">
      <alignment horizontal="center" vertical="center"/>
    </xf>
    <xf numFmtId="0" fontId="27" fillId="0" borderId="0" xfId="0" applyFont="1" applyFill="1" applyAlignment="1">
      <alignment vertical="center"/>
    </xf>
    <xf numFmtId="0" fontId="24" fillId="0" borderId="1" xfId="0" applyFont="1" applyFill="1" applyBorder="1" applyAlignment="1">
      <alignment horizontal="center" vertical="center" wrapText="1"/>
    </xf>
    <xf numFmtId="165" fontId="24" fillId="0" borderId="0" xfId="1" applyNumberFormat="1" applyFont="1" applyFill="1" applyAlignment="1">
      <alignment horizontal="right" vertical="center" wrapText="1"/>
    </xf>
    <xf numFmtId="165" fontId="27" fillId="0" borderId="0" xfId="1" applyNumberFormat="1" applyFont="1" applyFill="1" applyAlignment="1">
      <alignment horizontal="right" vertical="center" wrapText="1"/>
    </xf>
    <xf numFmtId="0" fontId="24" fillId="0" borderId="0" xfId="0" applyFont="1" applyFill="1" applyAlignment="1">
      <alignment horizontal="center" vertical="center"/>
    </xf>
    <xf numFmtId="0" fontId="24" fillId="0" borderId="0" xfId="0" applyFont="1" applyFill="1" applyAlignment="1">
      <alignment vertical="center"/>
    </xf>
    <xf numFmtId="0" fontId="13" fillId="0" borderId="0" xfId="0" applyFont="1" applyFill="1" applyAlignment="1">
      <alignment horizontal="center" vertical="center" wrapText="1"/>
    </xf>
    <xf numFmtId="0" fontId="13" fillId="0" borderId="0" xfId="0" applyFont="1" applyFill="1" applyAlignment="1">
      <alignment horizontal="center" vertical="center"/>
    </xf>
    <xf numFmtId="0" fontId="32" fillId="0" borderId="0" xfId="0" applyFont="1" applyFill="1" applyAlignment="1">
      <alignment horizontal="center" vertical="center" wrapText="1"/>
    </xf>
    <xf numFmtId="165" fontId="32" fillId="0" borderId="3" xfId="1" applyNumberFormat="1" applyFont="1" applyFill="1" applyBorder="1" applyAlignment="1">
      <alignment horizontal="center" vertical="center" wrapText="1"/>
    </xf>
    <xf numFmtId="0" fontId="13" fillId="0" borderId="3" xfId="0" applyFont="1" applyFill="1" applyBorder="1" applyAlignment="1">
      <alignment horizontal="center" vertical="center" wrapText="1"/>
    </xf>
    <xf numFmtId="165" fontId="13" fillId="0" borderId="3" xfId="1" applyNumberFormat="1" applyFont="1" applyFill="1" applyBorder="1" applyAlignment="1" applyProtection="1">
      <alignment horizontal="center" vertical="center" wrapText="1"/>
    </xf>
    <xf numFmtId="165" fontId="33" fillId="0" borderId="3" xfId="1" applyNumberFormat="1" applyFont="1" applyFill="1" applyBorder="1" applyAlignment="1" applyProtection="1">
      <alignment horizontal="center" vertical="center" wrapText="1"/>
    </xf>
    <xf numFmtId="0" fontId="32" fillId="0" borderId="3" xfId="0" applyFont="1" applyFill="1" applyBorder="1" applyAlignment="1">
      <alignment horizontal="center" vertical="center" wrapText="1"/>
    </xf>
    <xf numFmtId="0" fontId="32" fillId="0" borderId="3" xfId="0" applyFont="1" applyFill="1" applyBorder="1" applyAlignment="1">
      <alignment horizontal="left" vertical="center"/>
    </xf>
    <xf numFmtId="0" fontId="13" fillId="0" borderId="0" xfId="0" applyFont="1" applyFill="1" applyAlignment="1">
      <alignment horizontal="left" vertical="center"/>
    </xf>
    <xf numFmtId="0" fontId="13" fillId="0" borderId="0" xfId="0" applyFont="1" applyFill="1" applyAlignment="1">
      <alignment vertical="center"/>
    </xf>
    <xf numFmtId="0" fontId="32" fillId="0" borderId="3" xfId="0" applyFont="1" applyFill="1" applyBorder="1" applyAlignment="1">
      <alignment horizontal="left" vertical="center" wrapText="1"/>
    </xf>
    <xf numFmtId="0" fontId="32" fillId="0" borderId="0" xfId="0" applyFont="1" applyFill="1" applyAlignment="1">
      <alignment horizontal="center" vertical="center"/>
    </xf>
    <xf numFmtId="0" fontId="32" fillId="0" borderId="0" xfId="0" applyFont="1" applyFill="1" applyAlignment="1">
      <alignment vertical="center"/>
    </xf>
    <xf numFmtId="165" fontId="6" fillId="0" borderId="3" xfId="0" applyNumberFormat="1" applyFont="1" applyFill="1" applyBorder="1" applyAlignment="1">
      <alignment vertical="center"/>
    </xf>
    <xf numFmtId="0" fontId="26" fillId="0" borderId="0" xfId="0" applyFont="1" applyFill="1" applyAlignment="1">
      <alignment horizontal="center" vertical="center"/>
    </xf>
    <xf numFmtId="0" fontId="35" fillId="0" borderId="0" xfId="0" applyFont="1" applyFill="1" applyAlignment="1">
      <alignment horizontal="center" vertical="center"/>
    </xf>
    <xf numFmtId="165" fontId="36" fillId="0" borderId="0" xfId="0" applyNumberFormat="1" applyFont="1" applyFill="1" applyAlignment="1">
      <alignment horizontal="center" vertical="center"/>
    </xf>
    <xf numFmtId="0" fontId="5" fillId="0" borderId="0" xfId="0" applyFont="1" applyFill="1" applyAlignment="1" applyProtection="1">
      <alignment horizontal="center" vertical="center"/>
      <protection locked="0"/>
    </xf>
    <xf numFmtId="0" fontId="5" fillId="0" borderId="0" xfId="0" applyFont="1" applyFill="1" applyAlignment="1" applyProtection="1">
      <alignment vertical="center" wrapText="1"/>
      <protection locked="0"/>
    </xf>
    <xf numFmtId="0" fontId="5" fillId="0" borderId="0" xfId="0" applyFont="1" applyFill="1" applyAlignment="1">
      <alignment horizontal="center" vertical="center" wrapText="1"/>
    </xf>
    <xf numFmtId="14" fontId="5" fillId="0" borderId="0" xfId="0" applyNumberFormat="1" applyFont="1" applyFill="1" applyAlignment="1">
      <alignment horizontal="center" vertical="center"/>
    </xf>
    <xf numFmtId="0" fontId="32" fillId="13" borderId="3" xfId="0" applyFont="1" applyFill="1" applyBorder="1" applyAlignment="1" applyProtection="1">
      <alignment horizontal="center" vertical="center"/>
      <protection locked="0"/>
    </xf>
    <xf numFmtId="0" fontId="32" fillId="13" borderId="3" xfId="0" applyFont="1" applyFill="1" applyBorder="1" applyAlignment="1" applyProtection="1">
      <alignment vertical="center" wrapText="1"/>
      <protection locked="0"/>
    </xf>
    <xf numFmtId="0" fontId="32" fillId="13" borderId="3" xfId="0" applyFont="1" applyFill="1" applyBorder="1" applyAlignment="1">
      <alignment horizontal="center" vertical="center" wrapText="1"/>
    </xf>
    <xf numFmtId="165" fontId="32" fillId="13" borderId="3" xfId="1" applyNumberFormat="1" applyFont="1" applyFill="1" applyBorder="1" applyAlignment="1">
      <alignment vertical="center"/>
    </xf>
    <xf numFmtId="165" fontId="32" fillId="13" borderId="3" xfId="1" applyNumberFormat="1" applyFont="1" applyFill="1" applyBorder="1" applyAlignment="1">
      <alignment horizontal="right" vertical="center"/>
    </xf>
    <xf numFmtId="0" fontId="32" fillId="14" borderId="3" xfId="0" applyFont="1" applyFill="1" applyBorder="1" applyAlignment="1" applyProtection="1">
      <alignment horizontal="center" vertical="center"/>
      <protection locked="0"/>
    </xf>
    <xf numFmtId="0" fontId="32" fillId="14" borderId="3" xfId="0" applyFont="1" applyFill="1" applyBorder="1" applyAlignment="1" applyProtection="1">
      <alignment vertical="center" wrapText="1"/>
      <protection locked="0"/>
    </xf>
    <xf numFmtId="0" fontId="32" fillId="14" borderId="3" xfId="0" applyFont="1" applyFill="1" applyBorder="1" applyAlignment="1">
      <alignment horizontal="center" vertical="center" wrapText="1"/>
    </xf>
    <xf numFmtId="165" fontId="32" fillId="14" borderId="3" xfId="1" applyNumberFormat="1" applyFont="1" applyFill="1" applyBorder="1" applyAlignment="1">
      <alignment vertical="center"/>
    </xf>
    <xf numFmtId="165" fontId="32" fillId="14" borderId="3" xfId="1" applyNumberFormat="1" applyFont="1" applyFill="1" applyBorder="1" applyAlignment="1">
      <alignment horizontal="right" vertical="center"/>
    </xf>
    <xf numFmtId="0" fontId="32" fillId="15" borderId="3" xfId="0" applyFont="1" applyFill="1" applyBorder="1" applyAlignment="1" applyProtection="1">
      <alignment horizontal="center" vertical="center"/>
      <protection locked="0"/>
    </xf>
    <xf numFmtId="0" fontId="32" fillId="15" borderId="3" xfId="0" applyFont="1" applyFill="1" applyBorder="1" applyAlignment="1">
      <alignment vertical="center" wrapText="1"/>
    </xf>
    <xf numFmtId="0" fontId="32" fillId="15" borderId="3" xfId="0" applyFont="1" applyFill="1" applyBorder="1" applyAlignment="1">
      <alignment horizontal="center" vertical="center" wrapText="1"/>
    </xf>
    <xf numFmtId="165" fontId="32" fillId="15" borderId="3" xfId="1" applyNumberFormat="1" applyFont="1" applyFill="1" applyBorder="1" applyAlignment="1">
      <alignment vertical="center"/>
    </xf>
    <xf numFmtId="165" fontId="32" fillId="15" borderId="3" xfId="1" applyNumberFormat="1" applyFont="1" applyFill="1" applyBorder="1" applyAlignment="1">
      <alignment horizontal="right" vertical="center"/>
    </xf>
    <xf numFmtId="0" fontId="32" fillId="16" borderId="3" xfId="0" applyFont="1" applyFill="1" applyBorder="1" applyAlignment="1">
      <alignment horizontal="center" vertical="center"/>
    </xf>
    <xf numFmtId="0" fontId="32" fillId="16" borderId="3" xfId="0" applyFont="1" applyFill="1" applyBorder="1" applyAlignment="1">
      <alignment vertical="center" wrapText="1"/>
    </xf>
    <xf numFmtId="0" fontId="32" fillId="16" borderId="3" xfId="0" applyFont="1" applyFill="1" applyBorder="1" applyAlignment="1">
      <alignment horizontal="center" vertical="center" wrapText="1"/>
    </xf>
    <xf numFmtId="165" fontId="32" fillId="16" borderId="3" xfId="1" applyNumberFormat="1" applyFont="1" applyFill="1" applyBorder="1" applyAlignment="1">
      <alignment vertical="center"/>
    </xf>
    <xf numFmtId="165" fontId="32" fillId="17" borderId="3" xfId="1" applyNumberFormat="1" applyFont="1" applyFill="1" applyBorder="1" applyAlignment="1">
      <alignment horizontal="right" vertical="center"/>
    </xf>
    <xf numFmtId="0" fontId="32" fillId="17" borderId="3" xfId="0" applyFont="1" applyFill="1" applyBorder="1" applyAlignment="1" applyProtection="1">
      <alignment horizontal="center" vertical="center"/>
      <protection locked="0"/>
    </xf>
    <xf numFmtId="0" fontId="32" fillId="17" borderId="3" xfId="0" applyFont="1" applyFill="1" applyBorder="1" applyAlignment="1" applyProtection="1">
      <alignment vertical="center" wrapText="1"/>
      <protection locked="0"/>
    </xf>
    <xf numFmtId="0" fontId="32" fillId="17" borderId="3" xfId="0" applyFont="1" applyFill="1" applyBorder="1" applyAlignment="1">
      <alignment horizontal="center" vertical="center" wrapText="1"/>
    </xf>
    <xf numFmtId="165" fontId="32" fillId="17" borderId="3" xfId="1" applyNumberFormat="1" applyFont="1" applyFill="1" applyBorder="1" applyAlignment="1">
      <alignment vertical="center"/>
    </xf>
    <xf numFmtId="0" fontId="37" fillId="0" borderId="0" xfId="0" applyFont="1" applyAlignment="1">
      <alignment horizontal="center"/>
    </xf>
    <xf numFmtId="0" fontId="37" fillId="0" borderId="0" xfId="0" applyFont="1" applyAlignment="1">
      <alignment horizontal="left"/>
    </xf>
    <xf numFmtId="0" fontId="37" fillId="0" borderId="0" xfId="0" applyFont="1"/>
    <xf numFmtId="0" fontId="37" fillId="0" borderId="0" xfId="0" applyFont="1" applyFill="1"/>
    <xf numFmtId="0" fontId="39" fillId="0" borderId="0" xfId="0" applyFont="1" applyAlignment="1">
      <alignment horizontal="left"/>
    </xf>
    <xf numFmtId="0" fontId="41" fillId="18" borderId="3" xfId="0" applyFont="1" applyFill="1" applyBorder="1" applyAlignment="1">
      <alignment horizontal="center" vertical="center" wrapText="1"/>
    </xf>
    <xf numFmtId="2" fontId="32" fillId="6" borderId="3" xfId="0" applyNumberFormat="1" applyFont="1" applyFill="1" applyBorder="1" applyAlignment="1">
      <alignment horizontal="right" vertical="center" wrapText="1"/>
    </xf>
    <xf numFmtId="0" fontId="39" fillId="0" borderId="3" xfId="0" applyFont="1" applyBorder="1" applyAlignment="1">
      <alignment horizontal="center" vertical="center" wrapText="1"/>
    </xf>
    <xf numFmtId="0" fontId="39" fillId="0" borderId="3" xfId="0" applyFont="1" applyBorder="1" applyAlignment="1">
      <alignment horizontal="left" vertical="center" wrapText="1"/>
    </xf>
    <xf numFmtId="2" fontId="39" fillId="0" borderId="3" xfId="0" applyNumberFormat="1" applyFont="1" applyBorder="1" applyAlignment="1">
      <alignment horizontal="right" vertical="center" wrapText="1"/>
    </xf>
    <xf numFmtId="0" fontId="37" fillId="0" borderId="3" xfId="0" applyFont="1" applyBorder="1" applyAlignment="1">
      <alignment horizontal="center" vertical="center" wrapText="1"/>
    </xf>
    <xf numFmtId="0" fontId="37" fillId="0" borderId="3" xfId="0" applyFont="1" applyBorder="1" applyAlignment="1">
      <alignment horizontal="left" vertical="center" wrapText="1"/>
    </xf>
    <xf numFmtId="43" fontId="37" fillId="0" borderId="3" xfId="0" applyNumberFormat="1" applyFont="1" applyBorder="1" applyAlignment="1">
      <alignment horizontal="right" vertical="center" wrapText="1"/>
    </xf>
    <xf numFmtId="49" fontId="44" fillId="2" borderId="3" xfId="0" applyNumberFormat="1" applyFont="1" applyFill="1" applyBorder="1" applyAlignment="1">
      <alignment horizontal="left" vertical="center" wrapText="1" indent="1" readingOrder="1"/>
    </xf>
    <xf numFmtId="2" fontId="37" fillId="0" borderId="0" xfId="0" applyNumberFormat="1" applyFont="1" applyFill="1"/>
    <xf numFmtId="0" fontId="45" fillId="0" borderId="3" xfId="0" applyFont="1" applyBorder="1" applyAlignment="1">
      <alignment horizontal="left" vertical="center" wrapText="1"/>
    </xf>
    <xf numFmtId="43" fontId="39" fillId="0" borderId="3" xfId="0" applyNumberFormat="1" applyFont="1" applyBorder="1" applyAlignment="1">
      <alignment horizontal="right" vertical="center" wrapText="1"/>
    </xf>
    <xf numFmtId="166" fontId="44" fillId="2" borderId="3" xfId="0" applyNumberFormat="1" applyFont="1" applyFill="1" applyBorder="1" applyAlignment="1">
      <alignment horizontal="left" vertical="center" wrapText="1" indent="1" readingOrder="1"/>
    </xf>
    <xf numFmtId="43" fontId="33" fillId="0" borderId="3" xfId="1" quotePrefix="1" applyFont="1" applyBorder="1" applyAlignment="1">
      <alignment horizontal="right" vertical="center" wrapText="1" readingOrder="1"/>
    </xf>
    <xf numFmtId="3" fontId="46" fillId="0" borderId="0" xfId="0" applyNumberFormat="1" applyFont="1" applyAlignment="1">
      <alignment horizontal="center" vertical="center" readingOrder="1"/>
    </xf>
    <xf numFmtId="0" fontId="39" fillId="0" borderId="0" xfId="0" applyFont="1" applyFill="1" applyAlignment="1">
      <alignment horizontal="left"/>
    </xf>
    <xf numFmtId="0" fontId="41" fillId="18" borderId="3" xfId="0" applyFont="1" applyFill="1" applyBorder="1" applyAlignment="1">
      <alignment horizontal="center" vertical="center"/>
    </xf>
    <xf numFmtId="0" fontId="37" fillId="0" borderId="3" xfId="0" applyFont="1" applyBorder="1" applyAlignment="1">
      <alignment horizontal="center" vertical="center"/>
    </xf>
    <xf numFmtId="0" fontId="13" fillId="0" borderId="3" xfId="0" applyFont="1" applyBorder="1" applyAlignment="1">
      <alignment horizontal="left" vertical="center" wrapText="1"/>
    </xf>
    <xf numFmtId="2" fontId="47" fillId="0" borderId="13" xfId="0" applyNumberFormat="1" applyFont="1" applyBorder="1" applyAlignment="1">
      <alignment horizontal="right" vertical="center" wrapText="1" readingOrder="1"/>
    </xf>
    <xf numFmtId="2" fontId="47" fillId="0" borderId="13" xfId="0" applyNumberFormat="1" applyFont="1" applyBorder="1" applyAlignment="1">
      <alignment horizontal="right" wrapText="1" readingOrder="1"/>
    </xf>
    <xf numFmtId="2" fontId="37" fillId="0" borderId="0" xfId="0" applyNumberFormat="1" applyFont="1"/>
    <xf numFmtId="0" fontId="13" fillId="2" borderId="3" xfId="288" applyNumberFormat="1" applyFont="1" applyFill="1" applyBorder="1" applyAlignment="1">
      <alignment horizontal="right" vertical="center"/>
    </xf>
    <xf numFmtId="0" fontId="47" fillId="0" borderId="3" xfId="0" applyFont="1" applyBorder="1" applyAlignment="1">
      <alignment horizontal="left" vertical="center" wrapText="1"/>
    </xf>
    <xf numFmtId="43" fontId="45" fillId="7" borderId="3" xfId="1" applyFont="1" applyFill="1" applyBorder="1" applyAlignment="1">
      <alignment horizontal="right" vertical="center" wrapText="1" readingOrder="1"/>
    </xf>
    <xf numFmtId="0" fontId="45" fillId="0" borderId="3" xfId="0" applyFont="1" applyBorder="1" applyAlignment="1">
      <alignment horizontal="center" vertical="center" wrapText="1" readingOrder="1"/>
    </xf>
    <xf numFmtId="0" fontId="45" fillId="0" borderId="3" xfId="0" applyFont="1" applyBorder="1" applyAlignment="1">
      <alignment horizontal="left" vertical="center" wrapText="1" readingOrder="1"/>
    </xf>
    <xf numFmtId="43" fontId="45" fillId="0" borderId="3" xfId="1" applyFont="1" applyFill="1" applyBorder="1" applyAlignment="1">
      <alignment horizontal="right" vertical="center" wrapText="1" readingOrder="1"/>
    </xf>
    <xf numFmtId="0" fontId="47" fillId="7" borderId="3" xfId="0" applyFont="1" applyFill="1" applyBorder="1" applyAlignment="1">
      <alignment horizontal="center" vertical="center" wrapText="1" readingOrder="1"/>
    </xf>
    <xf numFmtId="0" fontId="47" fillId="7" borderId="3" xfId="0" applyFont="1" applyFill="1" applyBorder="1" applyAlignment="1">
      <alignment horizontal="left" vertical="center" wrapText="1" readingOrder="1"/>
    </xf>
    <xf numFmtId="43" fontId="47" fillId="7" borderId="3" xfId="1" applyFont="1" applyFill="1" applyBorder="1" applyAlignment="1">
      <alignment horizontal="right" vertical="center" wrapText="1" readingOrder="1"/>
    </xf>
    <xf numFmtId="0" fontId="45" fillId="0" borderId="3" xfId="0" applyFont="1" applyBorder="1" applyAlignment="1">
      <alignment horizontal="center" vertical="center" wrapText="1"/>
    </xf>
    <xf numFmtId="2" fontId="45" fillId="0" borderId="3" xfId="0" applyNumberFormat="1" applyFont="1" applyBorder="1" applyAlignment="1">
      <alignment horizontal="right" vertical="center" wrapText="1"/>
    </xf>
    <xf numFmtId="0" fontId="47" fillId="0" borderId="3" xfId="0" quotePrefix="1" applyFont="1" applyBorder="1" applyAlignment="1">
      <alignment horizontal="center" vertical="center" wrapText="1"/>
    </xf>
    <xf numFmtId="0" fontId="47" fillId="0" borderId="3" xfId="0" applyFont="1" applyBorder="1" applyAlignment="1">
      <alignment horizontal="left" vertical="center" wrapText="1" readingOrder="1"/>
    </xf>
    <xf numFmtId="43" fontId="47" fillId="0" borderId="3" xfId="0" applyNumberFormat="1" applyFont="1" applyBorder="1" applyAlignment="1">
      <alignment horizontal="right" vertical="center" wrapText="1"/>
    </xf>
    <xf numFmtId="0" fontId="44" fillId="0" borderId="3" xfId="0" applyFont="1" applyBorder="1" applyAlignment="1">
      <alignment horizontal="left" vertical="center" wrapText="1" indent="1" readingOrder="1"/>
    </xf>
    <xf numFmtId="0" fontId="44" fillId="2" borderId="3" xfId="0" applyFont="1" applyFill="1" applyBorder="1" applyAlignment="1">
      <alignment horizontal="left" vertical="center" wrapText="1" indent="1" readingOrder="1"/>
    </xf>
    <xf numFmtId="0" fontId="45" fillId="0" borderId="3" xfId="0" quotePrefix="1" applyFont="1" applyBorder="1" applyAlignment="1">
      <alignment horizontal="center" vertical="center" wrapText="1"/>
    </xf>
    <xf numFmtId="43" fontId="45" fillId="0" borderId="3" xfId="0" applyNumberFormat="1" applyFont="1" applyBorder="1" applyAlignment="1">
      <alignment horizontal="right" vertical="center" wrapText="1"/>
    </xf>
    <xf numFmtId="2" fontId="48" fillId="6" borderId="3" xfId="0" applyNumberFormat="1" applyFont="1" applyFill="1" applyBorder="1" applyAlignment="1">
      <alignment horizontal="center" vertical="center" wrapText="1"/>
    </xf>
    <xf numFmtId="0" fontId="32" fillId="0" borderId="3" xfId="0" applyFont="1" applyBorder="1" applyAlignment="1">
      <alignment horizontal="center" vertical="center" wrapText="1" readingOrder="1"/>
    </xf>
    <xf numFmtId="0" fontId="32" fillId="0" borderId="3" xfId="0" applyFont="1" applyBorder="1" applyAlignment="1">
      <alignment horizontal="left" vertical="center" wrapText="1" readingOrder="1"/>
    </xf>
    <xf numFmtId="43" fontId="32" fillId="0" borderId="3" xfId="0" applyNumberFormat="1" applyFont="1" applyBorder="1" applyAlignment="1">
      <alignment horizontal="right" vertical="center" wrapText="1"/>
    </xf>
    <xf numFmtId="166" fontId="32" fillId="0" borderId="3" xfId="0" applyNumberFormat="1" applyFont="1" applyBorder="1" applyAlignment="1">
      <alignment horizontal="right" vertical="center" wrapText="1"/>
    </xf>
    <xf numFmtId="0" fontId="13" fillId="0" borderId="3" xfId="289" applyFont="1" applyBorder="1" applyAlignment="1">
      <alignment horizontal="left" vertical="center" wrapText="1" readingOrder="1"/>
    </xf>
    <xf numFmtId="176" fontId="13" fillId="0" borderId="3" xfId="0" applyNumberFormat="1" applyFont="1" applyBorder="1" applyAlignment="1">
      <alignment horizontal="right" vertical="center" wrapText="1"/>
    </xf>
    <xf numFmtId="0" fontId="32" fillId="0" borderId="3" xfId="289" applyFont="1" applyBorder="1" applyAlignment="1">
      <alignment horizontal="center" vertical="center" wrapText="1" readingOrder="1"/>
    </xf>
    <xf numFmtId="0" fontId="32" fillId="0" borderId="3" xfId="289" applyFont="1" applyBorder="1" applyAlignment="1">
      <alignment horizontal="left" vertical="center" wrapText="1" readingOrder="1"/>
    </xf>
    <xf numFmtId="176" fontId="32" fillId="0" borderId="3" xfId="0" applyNumberFormat="1" applyFont="1" applyBorder="1" applyAlignment="1">
      <alignment horizontal="right" vertical="center" wrapText="1"/>
    </xf>
    <xf numFmtId="0" fontId="32" fillId="0" borderId="3" xfId="289" applyFont="1" applyBorder="1" applyAlignment="1">
      <alignment horizontal="left" vertical="center"/>
    </xf>
    <xf numFmtId="43" fontId="49" fillId="0" borderId="3" xfId="1" quotePrefix="1" applyFont="1" applyBorder="1" applyAlignment="1">
      <alignment horizontal="right" vertical="center" wrapText="1" readingOrder="1"/>
    </xf>
    <xf numFmtId="2" fontId="32" fillId="0" borderId="3" xfId="0" applyNumberFormat="1" applyFont="1" applyBorder="1" applyAlignment="1">
      <alignment horizontal="right" vertical="center"/>
    </xf>
    <xf numFmtId="2" fontId="49" fillId="0" borderId="3" xfId="1" quotePrefix="1" applyNumberFormat="1" applyFont="1" applyBorder="1" applyAlignment="1">
      <alignment horizontal="right" vertical="center" wrapText="1" readingOrder="1"/>
    </xf>
    <xf numFmtId="0" fontId="41" fillId="18" borderId="3" xfId="0" applyFont="1" applyFill="1" applyBorder="1" applyAlignment="1">
      <alignment horizontal="center" vertical="center" wrapText="1" readingOrder="1"/>
    </xf>
    <xf numFmtId="0" fontId="13" fillId="0" borderId="3" xfId="0" applyFont="1" applyBorder="1" applyAlignment="1">
      <alignment horizontal="center" vertical="center" wrapText="1" readingOrder="1"/>
    </xf>
    <xf numFmtId="0" fontId="13" fillId="0" borderId="3" xfId="0" applyFont="1" applyBorder="1" applyAlignment="1">
      <alignment horizontal="left" vertical="center" wrapText="1" readingOrder="1"/>
    </xf>
    <xf numFmtId="2" fontId="13" fillId="0" borderId="3" xfId="1" applyNumberFormat="1" applyFont="1" applyBorder="1" applyAlignment="1">
      <alignment horizontal="right" vertical="center" wrapText="1" readingOrder="1"/>
    </xf>
    <xf numFmtId="2" fontId="33" fillId="0" borderId="3" xfId="1" quotePrefix="1" applyNumberFormat="1" applyFont="1" applyBorder="1" applyAlignment="1">
      <alignment horizontal="right" vertical="center" wrapText="1" readingOrder="1"/>
    </xf>
    <xf numFmtId="0" fontId="13" fillId="0" borderId="3" xfId="0" quotePrefix="1" applyFont="1" applyBorder="1" applyAlignment="1">
      <alignment horizontal="center" vertical="center" wrapText="1" readingOrder="1"/>
    </xf>
    <xf numFmtId="2" fontId="13" fillId="0" borderId="3" xfId="0" applyNumberFormat="1" applyFont="1" applyBorder="1" applyAlignment="1">
      <alignment horizontal="right" vertical="center" wrapText="1" readingOrder="1"/>
    </xf>
    <xf numFmtId="43" fontId="32" fillId="0" borderId="3" xfId="0" applyNumberFormat="1" applyFont="1" applyBorder="1" applyAlignment="1">
      <alignment horizontal="right" vertical="center" wrapText="1" readingOrder="1"/>
    </xf>
    <xf numFmtId="43" fontId="13" fillId="0" borderId="3" xfId="0" applyNumberFormat="1" applyFont="1" applyBorder="1" applyAlignment="1">
      <alignment horizontal="right" vertical="center" wrapText="1" readingOrder="1"/>
    </xf>
    <xf numFmtId="43" fontId="13" fillId="0" borderId="3" xfId="1" quotePrefix="1" applyFont="1" applyBorder="1" applyAlignment="1">
      <alignment horizontal="right" vertical="center" wrapText="1" readingOrder="1"/>
    </xf>
    <xf numFmtId="43" fontId="13" fillId="0" borderId="6" xfId="1" quotePrefix="1" applyFont="1" applyBorder="1" applyAlignment="1">
      <alignment horizontal="right" vertical="center" wrapText="1" readingOrder="1"/>
    </xf>
    <xf numFmtId="43" fontId="13" fillId="0" borderId="3" xfId="1" applyFont="1" applyBorder="1" applyAlignment="1">
      <alignment horizontal="right" vertical="center" wrapText="1" readingOrder="1"/>
    </xf>
    <xf numFmtId="43" fontId="13" fillId="0" borderId="6" xfId="1" applyFont="1" applyBorder="1" applyAlignment="1">
      <alignment horizontal="right" vertical="center" wrapText="1" readingOrder="1"/>
    </xf>
    <xf numFmtId="43" fontId="32" fillId="0" borderId="3" xfId="1" quotePrefix="1" applyFont="1" applyBorder="1" applyAlignment="1">
      <alignment horizontal="right" vertical="center" wrapText="1" readingOrder="1"/>
    </xf>
    <xf numFmtId="43" fontId="32" fillId="0" borderId="6" xfId="1" quotePrefix="1" applyFont="1" applyBorder="1" applyAlignment="1">
      <alignment horizontal="right" vertical="center" wrapText="1" readingOrder="1"/>
    </xf>
    <xf numFmtId="0" fontId="13" fillId="0" borderId="0" xfId="289" applyFont="1" applyAlignment="1">
      <alignment horizontal="center" vertical="center" wrapText="1" readingOrder="1"/>
    </xf>
    <xf numFmtId="0" fontId="13" fillId="0" borderId="0" xfId="289" applyFont="1" applyAlignment="1">
      <alignment horizontal="left" vertical="center" wrapText="1" readingOrder="1"/>
    </xf>
    <xf numFmtId="43" fontId="32" fillId="0" borderId="0" xfId="0" applyNumberFormat="1" applyFont="1" applyAlignment="1">
      <alignment horizontal="right" vertical="center" wrapText="1" readingOrder="1"/>
    </xf>
    <xf numFmtId="43" fontId="13" fillId="0" borderId="0" xfId="1" quotePrefix="1" applyFont="1" applyBorder="1" applyAlignment="1">
      <alignment horizontal="right" vertical="center" wrapText="1" readingOrder="1"/>
    </xf>
    <xf numFmtId="0" fontId="50" fillId="18" borderId="14" xfId="0" applyFont="1" applyFill="1" applyBorder="1" applyAlignment="1">
      <alignment horizontal="center" vertical="center" wrapText="1" readingOrder="1"/>
    </xf>
    <xf numFmtId="43" fontId="45" fillId="17" borderId="3" xfId="0" applyNumberFormat="1" applyFont="1" applyFill="1" applyBorder="1" applyAlignment="1">
      <alignment horizontal="right" vertical="center" wrapText="1"/>
    </xf>
    <xf numFmtId="0" fontId="39" fillId="0" borderId="3" xfId="0" applyFont="1" applyBorder="1" applyAlignment="1">
      <alignment vertical="center" wrapText="1"/>
    </xf>
    <xf numFmtId="43" fontId="45" fillId="0" borderId="3" xfId="1" applyFont="1" applyBorder="1" applyAlignment="1">
      <alignment vertical="center"/>
    </xf>
    <xf numFmtId="0" fontId="47" fillId="0" borderId="3" xfId="0" applyFont="1" applyBorder="1" applyAlignment="1">
      <alignment horizontal="center" vertical="center" wrapText="1"/>
    </xf>
    <xf numFmtId="0" fontId="37" fillId="0" borderId="3" xfId="0" applyFont="1" applyBorder="1" applyAlignment="1">
      <alignment vertical="center" wrapText="1"/>
    </xf>
    <xf numFmtId="43" fontId="47" fillId="0" borderId="3" xfId="1" applyFont="1" applyBorder="1" applyAlignment="1">
      <alignment vertical="center"/>
    </xf>
    <xf numFmtId="0" fontId="37" fillId="0" borderId="0" xfId="0" applyFont="1" applyAlignment="1">
      <alignment horizontal="center" vertical="center" wrapText="1"/>
    </xf>
    <xf numFmtId="0" fontId="37" fillId="0" borderId="0" xfId="0" applyFont="1" applyAlignment="1">
      <alignment vertical="center" wrapText="1"/>
    </xf>
    <xf numFmtId="43" fontId="47" fillId="0" borderId="0" xfId="0" applyNumberFormat="1" applyFont="1" applyAlignment="1">
      <alignment horizontal="right" vertical="center" wrapText="1"/>
    </xf>
    <xf numFmtId="43" fontId="47" fillId="0" borderId="0" xfId="1" applyFont="1" applyBorder="1" applyAlignment="1">
      <alignment vertical="center"/>
    </xf>
    <xf numFmtId="0" fontId="47" fillId="0" borderId="0" xfId="0" applyFont="1" applyAlignment="1">
      <alignment vertical="center"/>
    </xf>
    <xf numFmtId="0" fontId="47" fillId="0" borderId="3" xfId="0" applyFont="1" applyBorder="1" applyAlignment="1">
      <alignment horizontal="center" vertical="center" wrapText="1" readingOrder="1"/>
    </xf>
    <xf numFmtId="0" fontId="47" fillId="0" borderId="3" xfId="0" applyFont="1" applyBorder="1" applyAlignment="1">
      <alignment horizontal="left" vertical="center" wrapText="1" indent="1" readingOrder="1"/>
    </xf>
    <xf numFmtId="0" fontId="50" fillId="18" borderId="13" xfId="0" applyFont="1" applyFill="1" applyBorder="1" applyAlignment="1">
      <alignment horizontal="center" vertical="center" wrapText="1" readingOrder="1"/>
    </xf>
    <xf numFmtId="4" fontId="13" fillId="0" borderId="3" xfId="0" applyNumberFormat="1" applyFont="1" applyBorder="1" applyAlignment="1">
      <alignment horizontal="right" vertical="center" wrapText="1" readingOrder="1"/>
    </xf>
    <xf numFmtId="0" fontId="39" fillId="0" borderId="0" xfId="0" applyFont="1"/>
    <xf numFmtId="0" fontId="50" fillId="18" borderId="3" xfId="0" applyFont="1" applyFill="1" applyBorder="1" applyAlignment="1">
      <alignment horizontal="center" vertical="center" wrapText="1" readingOrder="1"/>
    </xf>
    <xf numFmtId="0" fontId="48" fillId="6" borderId="3" xfId="0" applyFont="1" applyFill="1" applyBorder="1" applyAlignment="1">
      <alignment vertical="center" wrapText="1" readingOrder="1"/>
    </xf>
    <xf numFmtId="0" fontId="48" fillId="6" borderId="3" xfId="0" applyFont="1" applyFill="1" applyBorder="1" applyAlignment="1">
      <alignment horizontal="center" vertical="center" wrapText="1" readingOrder="1"/>
    </xf>
    <xf numFmtId="43" fontId="48" fillId="6" borderId="3" xfId="1" applyFont="1" applyFill="1" applyBorder="1" applyAlignment="1">
      <alignment horizontal="center" vertical="center" wrapText="1" readingOrder="1"/>
    </xf>
    <xf numFmtId="0" fontId="53" fillId="0" borderId="3" xfId="0" applyFont="1" applyFill="1" applyBorder="1" applyAlignment="1">
      <alignment horizontal="left" vertical="center" wrapText="1" readingOrder="1"/>
    </xf>
    <xf numFmtId="166" fontId="45" fillId="0" borderId="3" xfId="1" applyNumberFormat="1" applyFont="1" applyFill="1" applyBorder="1" applyAlignment="1">
      <alignment horizontal="right" vertical="center" wrapText="1" readingOrder="1"/>
    </xf>
    <xf numFmtId="49" fontId="52" fillId="0" borderId="3" xfId="1" applyNumberFormat="1" applyFont="1" applyBorder="1" applyAlignment="1">
      <alignment horizontal="left" vertical="center" wrapText="1" readingOrder="1"/>
    </xf>
    <xf numFmtId="0" fontId="44" fillId="0" borderId="3" xfId="0" applyFont="1" applyBorder="1" applyAlignment="1">
      <alignment horizontal="left" vertical="center" wrapText="1" readingOrder="1"/>
    </xf>
    <xf numFmtId="166" fontId="47" fillId="0" borderId="3" xfId="1" applyNumberFormat="1" applyFont="1" applyBorder="1" applyAlignment="1">
      <alignment horizontal="right" vertical="center" wrapText="1" readingOrder="1"/>
    </xf>
    <xf numFmtId="166" fontId="52" fillId="0" borderId="3" xfId="1" applyNumberFormat="1" applyFont="1" applyBorder="1" applyAlignment="1">
      <alignment horizontal="left" vertical="center" wrapText="1" readingOrder="1"/>
    </xf>
    <xf numFmtId="2" fontId="47" fillId="0" borderId="3" xfId="0" applyNumberFormat="1" applyFont="1" applyBorder="1" applyAlignment="1">
      <alignment horizontal="right" vertical="center" wrapText="1" readingOrder="1"/>
    </xf>
    <xf numFmtId="177" fontId="47" fillId="0" borderId="3" xfId="0" applyNumberFormat="1" applyFont="1" applyBorder="1" applyAlignment="1">
      <alignment horizontal="right" vertical="center" wrapText="1" readingOrder="1"/>
    </xf>
    <xf numFmtId="43" fontId="47" fillId="0" borderId="3" xfId="0" applyNumberFormat="1" applyFont="1" applyBorder="1" applyAlignment="1">
      <alignment horizontal="right" vertical="center" wrapText="1" readingOrder="1"/>
    </xf>
    <xf numFmtId="176" fontId="47" fillId="0" borderId="3" xfId="0" applyNumberFormat="1" applyFont="1" applyBorder="1" applyAlignment="1">
      <alignment horizontal="right" vertical="center" wrapText="1" readingOrder="1"/>
    </xf>
    <xf numFmtId="49" fontId="44" fillId="0" borderId="3" xfId="0" applyNumberFormat="1" applyFont="1" applyBorder="1" applyAlignment="1">
      <alignment horizontal="left" vertical="center" wrapText="1" indent="1" readingOrder="1"/>
    </xf>
    <xf numFmtId="0" fontId="53" fillId="0" borderId="0" xfId="0" applyFont="1" applyAlignment="1">
      <alignment horizontal="left" vertical="center" wrapText="1" readingOrder="1"/>
    </xf>
    <xf numFmtId="43" fontId="45" fillId="0" borderId="0" xfId="0" applyNumberFormat="1" applyFont="1" applyAlignment="1">
      <alignment horizontal="center" vertical="center" wrapText="1" readingOrder="1"/>
    </xf>
    <xf numFmtId="43" fontId="47" fillId="0" borderId="0" xfId="1" applyFont="1" applyBorder="1" applyAlignment="1">
      <alignment horizontal="center" vertical="center" wrapText="1" readingOrder="1"/>
    </xf>
    <xf numFmtId="49" fontId="47" fillId="0" borderId="0" xfId="1" quotePrefix="1" applyNumberFormat="1" applyFont="1" applyFill="1" applyBorder="1" applyAlignment="1">
      <alignment horizontal="left" vertical="center" wrapText="1" readingOrder="1"/>
    </xf>
    <xf numFmtId="43" fontId="47" fillId="0" borderId="17" xfId="0" applyNumberFormat="1" applyFont="1" applyBorder="1" applyAlignment="1">
      <alignment horizontal="right" vertical="center" wrapText="1" readingOrder="1"/>
    </xf>
    <xf numFmtId="43" fontId="47" fillId="0" borderId="13" xfId="0" applyNumberFormat="1" applyFont="1" applyBorder="1" applyAlignment="1">
      <alignment horizontal="right" vertical="center" wrapText="1" readingOrder="1"/>
    </xf>
    <xf numFmtId="176" fontId="47" fillId="0" borderId="17" xfId="0" applyNumberFormat="1" applyFont="1" applyBorder="1" applyAlignment="1">
      <alignment horizontal="right" vertical="center" wrapText="1" readingOrder="1"/>
    </xf>
    <xf numFmtId="176" fontId="47" fillId="0" borderId="13" xfId="0" applyNumberFormat="1" applyFont="1" applyBorder="1" applyAlignment="1">
      <alignment horizontal="right" vertical="center" wrapText="1" readingOrder="1"/>
    </xf>
    <xf numFmtId="49" fontId="51" fillId="0" borderId="18" xfId="1" quotePrefix="1" applyNumberFormat="1" applyFont="1" applyFill="1" applyBorder="1" applyAlignment="1">
      <alignment horizontal="left" vertical="center" wrapText="1" readingOrder="1"/>
    </xf>
    <xf numFmtId="0" fontId="47" fillId="0" borderId="13" xfId="0" applyFont="1" applyBorder="1" applyAlignment="1">
      <alignment horizontal="right" vertical="center" wrapText="1" readingOrder="1"/>
    </xf>
    <xf numFmtId="0" fontId="32" fillId="0" borderId="3" xfId="0" applyFont="1" applyBorder="1" applyAlignment="1">
      <alignment horizontal="left" vertical="center" wrapText="1"/>
    </xf>
    <xf numFmtId="0" fontId="5" fillId="0" borderId="0" xfId="0" applyFont="1" applyAlignment="1">
      <alignment horizontal="left" vertical="center" wrapText="1"/>
    </xf>
    <xf numFmtId="43" fontId="47" fillId="0" borderId="0" xfId="1" quotePrefix="1" applyFont="1" applyFill="1" applyBorder="1" applyAlignment="1">
      <alignment horizontal="left" vertical="center" wrapText="1" readingOrder="1"/>
    </xf>
    <xf numFmtId="0" fontId="5" fillId="0" borderId="3" xfId="0" applyFont="1" applyBorder="1" applyAlignment="1">
      <alignment horizontal="left" vertical="center" wrapText="1"/>
    </xf>
    <xf numFmtId="0" fontId="5" fillId="0" borderId="19" xfId="0" applyFont="1" applyBorder="1" applyAlignment="1">
      <alignment horizontal="left" vertical="center" wrapText="1"/>
    </xf>
    <xf numFmtId="0" fontId="50" fillId="18" borderId="3" xfId="0" applyFont="1" applyFill="1" applyBorder="1" applyAlignment="1">
      <alignment horizontal="center" vertical="center" readingOrder="1"/>
    </xf>
    <xf numFmtId="0" fontId="50" fillId="18" borderId="3" xfId="0" applyFont="1" applyFill="1" applyBorder="1" applyAlignment="1">
      <alignment vertical="center" wrapText="1" readingOrder="1"/>
    </xf>
    <xf numFmtId="0" fontId="50" fillId="18" borderId="8" xfId="0" applyFont="1" applyFill="1" applyBorder="1" applyAlignment="1">
      <alignment horizontal="center" vertical="center" wrapText="1" readingOrder="1"/>
    </xf>
    <xf numFmtId="43" fontId="48" fillId="6" borderId="8" xfId="1" applyFont="1" applyFill="1" applyBorder="1" applyAlignment="1">
      <alignment horizontal="center" vertical="center" wrapText="1" readingOrder="1"/>
    </xf>
    <xf numFmtId="166" fontId="45" fillId="0" borderId="8" xfId="1" applyNumberFormat="1" applyFont="1" applyFill="1" applyBorder="1" applyAlignment="1">
      <alignment horizontal="right" vertical="center" wrapText="1" readingOrder="1"/>
    </xf>
    <xf numFmtId="166" fontId="47" fillId="0" borderId="8" xfId="1" applyNumberFormat="1" applyFont="1" applyBorder="1" applyAlignment="1">
      <alignment horizontal="right" vertical="center" wrapText="1" readingOrder="1"/>
    </xf>
    <xf numFmtId="2" fontId="47" fillId="0" borderId="8" xfId="0" applyNumberFormat="1" applyFont="1" applyBorder="1" applyAlignment="1">
      <alignment horizontal="right" vertical="center" wrapText="1" readingOrder="1"/>
    </xf>
    <xf numFmtId="43" fontId="13" fillId="0" borderId="8" xfId="0" applyNumberFormat="1" applyFont="1" applyBorder="1" applyAlignment="1">
      <alignment horizontal="center" vertical="center" wrapText="1" readingOrder="1"/>
    </xf>
    <xf numFmtId="43" fontId="32" fillId="0" borderId="8" xfId="0" applyNumberFormat="1" applyFont="1" applyBorder="1" applyAlignment="1">
      <alignment horizontal="center" vertical="center" wrapText="1" readingOrder="1"/>
    </xf>
    <xf numFmtId="43" fontId="47" fillId="0" borderId="8" xfId="0" applyNumberFormat="1" applyFont="1" applyBorder="1" applyAlignment="1">
      <alignment horizontal="center" vertical="center" wrapText="1" readingOrder="1"/>
    </xf>
    <xf numFmtId="43" fontId="51" fillId="0" borderId="8" xfId="0" applyNumberFormat="1" applyFont="1" applyBorder="1" applyAlignment="1">
      <alignment horizontal="center" vertical="center" wrapText="1" readingOrder="1"/>
    </xf>
    <xf numFmtId="0" fontId="39" fillId="0" borderId="0" xfId="0" applyFont="1" applyFill="1" applyBorder="1"/>
    <xf numFmtId="0" fontId="37" fillId="0" borderId="0" xfId="0" applyFont="1" applyFill="1" applyBorder="1"/>
    <xf numFmtId="0" fontId="41" fillId="0" borderId="0" xfId="0" applyFont="1" applyFill="1" applyBorder="1" applyAlignment="1">
      <alignment vertical="center" wrapText="1"/>
    </xf>
    <xf numFmtId="0" fontId="50" fillId="0" borderId="0" xfId="0" applyFont="1" applyFill="1" applyBorder="1" applyAlignment="1">
      <alignment horizontal="center" vertical="center" wrapText="1" readingOrder="1"/>
    </xf>
    <xf numFmtId="0" fontId="48" fillId="0" borderId="0" xfId="0" applyFont="1" applyFill="1" applyBorder="1" applyAlignment="1">
      <alignment horizontal="center" vertical="center" wrapText="1" readingOrder="1"/>
    </xf>
    <xf numFmtId="0" fontId="53" fillId="0" borderId="0" xfId="0" applyFont="1" applyFill="1" applyBorder="1" applyAlignment="1">
      <alignment horizontal="left" vertical="center" wrapText="1" readingOrder="1"/>
    </xf>
    <xf numFmtId="0" fontId="44" fillId="0" borderId="0" xfId="0" applyFont="1" applyFill="1" applyBorder="1" applyAlignment="1">
      <alignment horizontal="left" vertical="center" wrapText="1" readingOrder="1"/>
    </xf>
    <xf numFmtId="0" fontId="32" fillId="0" borderId="0" xfId="0" applyFont="1" applyFill="1" applyBorder="1" applyAlignment="1">
      <alignment horizontal="left" vertical="center" wrapText="1" readingOrder="1"/>
    </xf>
    <xf numFmtId="0" fontId="32" fillId="0" borderId="0" xfId="0" applyFont="1" applyFill="1" applyBorder="1" applyAlignment="1">
      <alignment horizontal="left" vertical="center" wrapText="1"/>
    </xf>
    <xf numFmtId="0" fontId="5" fillId="0" borderId="0" xfId="0" applyFont="1" applyFill="1" applyBorder="1" applyAlignment="1">
      <alignment horizontal="left" vertical="center" wrapText="1"/>
    </xf>
    <xf numFmtId="0" fontId="13" fillId="0" borderId="0" xfId="0" applyFont="1" applyFill="1" applyBorder="1" applyAlignment="1">
      <alignment horizontal="left" vertical="center" wrapText="1"/>
    </xf>
    <xf numFmtId="0" fontId="50" fillId="0" borderId="0" xfId="0" applyFont="1" applyFill="1" applyBorder="1" applyAlignment="1">
      <alignment vertical="center" wrapText="1" readingOrder="1"/>
    </xf>
    <xf numFmtId="0" fontId="39" fillId="0" borderId="3" xfId="0" applyFont="1" applyFill="1" applyBorder="1" applyAlignment="1">
      <alignment horizontal="left" vertical="center" wrapText="1"/>
    </xf>
    <xf numFmtId="0" fontId="41" fillId="0" borderId="0" xfId="0" applyFont="1" applyFill="1" applyBorder="1" applyAlignment="1">
      <alignment horizontal="center" vertical="center" wrapText="1"/>
    </xf>
    <xf numFmtId="0" fontId="41" fillId="18" borderId="8" xfId="0" applyFont="1" applyFill="1" applyBorder="1" applyAlignment="1">
      <alignment horizontal="center" vertical="center" wrapText="1"/>
    </xf>
    <xf numFmtId="2" fontId="32" fillId="6" borderId="8" xfId="0" applyNumberFormat="1" applyFont="1" applyFill="1" applyBorder="1" applyAlignment="1">
      <alignment horizontal="right" vertical="center" wrapText="1"/>
    </xf>
    <xf numFmtId="2" fontId="39" fillId="0" borderId="8" xfId="0" applyNumberFormat="1" applyFont="1" applyBorder="1" applyAlignment="1">
      <alignment horizontal="right" vertical="center" wrapText="1"/>
    </xf>
    <xf numFmtId="2" fontId="37" fillId="0" borderId="8" xfId="0" applyNumberFormat="1" applyFont="1" applyBorder="1" applyAlignment="1">
      <alignment horizontal="right" vertical="center" wrapText="1"/>
    </xf>
    <xf numFmtId="0" fontId="41" fillId="18" borderId="8" xfId="0" applyFont="1" applyFill="1" applyBorder="1" applyAlignment="1">
      <alignment horizontal="center" vertical="center"/>
    </xf>
    <xf numFmtId="43" fontId="32" fillId="2" borderId="8" xfId="288" applyFont="1" applyFill="1" applyBorder="1" applyAlignment="1">
      <alignment horizontal="right" vertical="center"/>
    </xf>
    <xf numFmtId="43" fontId="45" fillId="7" borderId="8" xfId="1" applyFont="1" applyFill="1" applyBorder="1" applyAlignment="1">
      <alignment horizontal="right" vertical="center" wrapText="1" readingOrder="1"/>
    </xf>
    <xf numFmtId="43" fontId="47" fillId="7" borderId="8" xfId="1" applyFont="1" applyFill="1" applyBorder="1" applyAlignment="1">
      <alignment horizontal="right" vertical="center" wrapText="1" readingOrder="1"/>
    </xf>
    <xf numFmtId="2" fontId="45" fillId="0" borderId="8" xfId="0" applyNumberFormat="1" applyFont="1" applyBorder="1" applyAlignment="1">
      <alignment horizontal="right" vertical="center" wrapText="1"/>
    </xf>
    <xf numFmtId="2" fontId="47" fillId="0" borderId="8" xfId="0" applyNumberFormat="1" applyFont="1" applyBorder="1" applyAlignment="1">
      <alignment horizontal="right" vertical="center" wrapText="1"/>
    </xf>
    <xf numFmtId="2" fontId="48" fillId="6" borderId="8" xfId="0" applyNumberFormat="1" applyFont="1" applyFill="1" applyBorder="1" applyAlignment="1">
      <alignment horizontal="center" vertical="center" wrapText="1"/>
    </xf>
    <xf numFmtId="43" fontId="32" fillId="0" borderId="8" xfId="0" applyNumberFormat="1" applyFont="1" applyBorder="1" applyAlignment="1">
      <alignment horizontal="right" vertical="center" wrapText="1"/>
    </xf>
    <xf numFmtId="43" fontId="13" fillId="0" borderId="8" xfId="0" applyNumberFormat="1" applyFont="1" applyBorder="1" applyAlignment="1">
      <alignment horizontal="right" vertical="center" wrapText="1"/>
    </xf>
    <xf numFmtId="0" fontId="41" fillId="18" borderId="8" xfId="0" applyFont="1" applyFill="1" applyBorder="1" applyAlignment="1">
      <alignment horizontal="center" vertical="center" wrapText="1" readingOrder="1"/>
    </xf>
    <xf numFmtId="2" fontId="32" fillId="0" borderId="8" xfId="0" applyNumberFormat="1" applyFont="1" applyBorder="1" applyAlignment="1">
      <alignment horizontal="right" vertical="center" wrapText="1" readingOrder="1"/>
    </xf>
    <xf numFmtId="43" fontId="13" fillId="0" borderId="8" xfId="0" applyNumberFormat="1" applyFont="1" applyBorder="1" applyAlignment="1">
      <alignment horizontal="right" vertical="center" wrapText="1" readingOrder="1"/>
    </xf>
    <xf numFmtId="43" fontId="32" fillId="0" borderId="8" xfId="0" applyNumberFormat="1" applyFont="1" applyBorder="1" applyAlignment="1">
      <alignment horizontal="right" vertical="center" wrapText="1" readingOrder="1"/>
    </xf>
    <xf numFmtId="0" fontId="50" fillId="18" borderId="20" xfId="0" applyFont="1" applyFill="1" applyBorder="1" applyAlignment="1">
      <alignment horizontal="center" vertical="center" wrapText="1" readingOrder="1"/>
    </xf>
    <xf numFmtId="43" fontId="45" fillId="17" borderId="8" xfId="0" applyNumberFormat="1" applyFont="1" applyFill="1" applyBorder="1" applyAlignment="1">
      <alignment horizontal="right" vertical="center" wrapText="1"/>
    </xf>
    <xf numFmtId="43" fontId="45" fillId="0" borderId="8" xfId="0" applyNumberFormat="1" applyFont="1" applyBorder="1" applyAlignment="1">
      <alignment horizontal="right" vertical="center" wrapText="1"/>
    </xf>
    <xf numFmtId="43" fontId="47" fillId="0" borderId="8" xfId="0" applyNumberFormat="1" applyFont="1" applyBorder="1" applyAlignment="1">
      <alignment horizontal="right" vertical="center" wrapText="1"/>
    </xf>
    <xf numFmtId="0" fontId="50" fillId="18" borderId="17" xfId="0" applyFont="1" applyFill="1" applyBorder="1" applyAlignment="1">
      <alignment horizontal="center" vertical="center" wrapText="1" readingOrder="1"/>
    </xf>
    <xf numFmtId="4" fontId="32" fillId="0" borderId="8" xfId="0" applyNumberFormat="1" applyFont="1" applyBorder="1" applyAlignment="1">
      <alignment horizontal="right" vertical="center" wrapText="1" readingOrder="1"/>
    </xf>
    <xf numFmtId="0" fontId="37" fillId="0" borderId="0" xfId="0" applyFont="1" applyFill="1" applyBorder="1" applyAlignment="1">
      <alignment horizontal="left"/>
    </xf>
    <xf numFmtId="0" fontId="39" fillId="0" borderId="0" xfId="0" applyFont="1" applyFill="1" applyBorder="1" applyAlignment="1">
      <alignment horizontal="left" vertical="center" wrapText="1"/>
    </xf>
    <xf numFmtId="0" fontId="45" fillId="0" borderId="0" xfId="0" applyFont="1" applyFill="1" applyBorder="1" applyAlignment="1">
      <alignment horizontal="left" vertical="center" wrapText="1"/>
    </xf>
    <xf numFmtId="0" fontId="47" fillId="0" borderId="0" xfId="0" applyFont="1" applyFill="1" applyBorder="1" applyAlignment="1">
      <alignment horizontal="left" vertical="center" wrapText="1"/>
    </xf>
    <xf numFmtId="0" fontId="45" fillId="0" borderId="0" xfId="0" applyFont="1" applyFill="1" applyBorder="1" applyAlignment="1">
      <alignment horizontal="left" vertical="center" wrapText="1" readingOrder="1"/>
    </xf>
    <xf numFmtId="0" fontId="47" fillId="0" borderId="0" xfId="0" applyFont="1" applyFill="1" applyBorder="1" applyAlignment="1">
      <alignment horizontal="left" vertical="center" wrapText="1" readingOrder="1"/>
    </xf>
    <xf numFmtId="0" fontId="48" fillId="0" borderId="0" xfId="0" applyFont="1" applyFill="1" applyBorder="1" applyAlignment="1">
      <alignment horizontal="left" vertical="center" wrapText="1"/>
    </xf>
    <xf numFmtId="0" fontId="13" fillId="0" borderId="0" xfId="289" applyFont="1" applyFill="1" applyBorder="1" applyAlignment="1">
      <alignment horizontal="left" vertical="center" wrapText="1" readingOrder="1"/>
    </xf>
    <xf numFmtId="0" fontId="32" fillId="0" borderId="0" xfId="289" applyFont="1" applyFill="1" applyBorder="1" applyAlignment="1">
      <alignment horizontal="left" vertical="center" wrapText="1" readingOrder="1"/>
    </xf>
    <xf numFmtId="0" fontId="32" fillId="0" borderId="0" xfId="289" applyFont="1" applyFill="1" applyBorder="1" applyAlignment="1">
      <alignment horizontal="left" vertical="center"/>
    </xf>
    <xf numFmtId="0" fontId="13" fillId="0" borderId="0" xfId="0" applyFont="1" applyFill="1" applyBorder="1" applyAlignment="1">
      <alignment horizontal="left" vertical="center" wrapText="1" readingOrder="1"/>
    </xf>
    <xf numFmtId="0" fontId="39" fillId="0" borderId="0" xfId="0" applyFont="1" applyFill="1" applyBorder="1" applyAlignment="1">
      <alignment vertical="center" wrapText="1"/>
    </xf>
    <xf numFmtId="0" fontId="37" fillId="0" borderId="0" xfId="0" applyFont="1" applyFill="1" applyBorder="1" applyAlignment="1">
      <alignment vertical="center" wrapText="1"/>
    </xf>
    <xf numFmtId="0" fontId="47" fillId="0" borderId="0" xfId="0" applyFont="1" applyFill="1" applyBorder="1" applyAlignment="1">
      <alignment horizontal="left" vertical="center" wrapText="1" indent="1" readingOrder="1"/>
    </xf>
    <xf numFmtId="0" fontId="37" fillId="0" borderId="3" xfId="0" applyFont="1" applyBorder="1" applyAlignment="1">
      <alignment horizontal="left"/>
    </xf>
    <xf numFmtId="0" fontId="53" fillId="0" borderId="3" xfId="0" applyFont="1" applyBorder="1" applyAlignment="1">
      <alignment horizontal="left" vertical="center" wrapText="1" readingOrder="1"/>
    </xf>
    <xf numFmtId="0" fontId="54" fillId="0" borderId="0" xfId="0" applyFont="1"/>
    <xf numFmtId="0" fontId="57" fillId="0" borderId="3" xfId="0" applyFont="1" applyBorder="1" applyAlignment="1">
      <alignment horizontal="left" vertical="center" wrapText="1" readingOrder="1"/>
    </xf>
    <xf numFmtId="0" fontId="57" fillId="0" borderId="3" xfId="0" applyFont="1" applyFill="1" applyBorder="1" applyAlignment="1">
      <alignment horizontal="left" vertical="center" wrapText="1" readingOrder="1"/>
    </xf>
    <xf numFmtId="0" fontId="51" fillId="0" borderId="3" xfId="0" applyFont="1" applyBorder="1" applyAlignment="1">
      <alignment horizontal="center" vertical="center" wrapText="1" readingOrder="1"/>
    </xf>
    <xf numFmtId="0" fontId="51" fillId="0" borderId="3" xfId="0" applyFont="1" applyBorder="1" applyAlignment="1">
      <alignment horizontal="left" vertical="center" wrapText="1" readingOrder="1"/>
    </xf>
    <xf numFmtId="0" fontId="42" fillId="0" borderId="3" xfId="0" applyFont="1" applyBorder="1" applyAlignment="1">
      <alignment horizontal="center" vertical="center" wrapText="1" readingOrder="1"/>
    </xf>
    <xf numFmtId="0" fontId="48" fillId="0" borderId="3" xfId="0" applyFont="1" applyBorder="1" applyAlignment="1">
      <alignment horizontal="left" vertical="center" wrapText="1" readingOrder="1"/>
    </xf>
    <xf numFmtId="0" fontId="51" fillId="0" borderId="0" xfId="0" applyFont="1" applyAlignment="1">
      <alignment horizontal="center" vertical="center" wrapText="1" readingOrder="1"/>
    </xf>
    <xf numFmtId="0" fontId="58" fillId="0" borderId="0" xfId="0" applyFont="1" applyAlignment="1">
      <alignment horizontal="center" vertical="center" wrapText="1" readingOrder="1"/>
    </xf>
    <xf numFmtId="0" fontId="57" fillId="0" borderId="0" xfId="0" applyFont="1" applyAlignment="1">
      <alignment horizontal="left" vertical="center" wrapText="1" readingOrder="1"/>
    </xf>
    <xf numFmtId="0" fontId="48" fillId="0" borderId="3" xfId="0" applyFont="1" applyBorder="1" applyAlignment="1">
      <alignment horizontal="left" vertical="center" wrapText="1"/>
    </xf>
    <xf numFmtId="0" fontId="42" fillId="0" borderId="0" xfId="0" applyFont="1" applyAlignment="1">
      <alignment horizontal="center" vertical="center" wrapText="1"/>
    </xf>
    <xf numFmtId="0" fontId="42" fillId="0" borderId="0" xfId="0" applyFont="1" applyAlignment="1">
      <alignment horizontal="left" vertical="center" wrapText="1"/>
    </xf>
    <xf numFmtId="0" fontId="42" fillId="0" borderId="3" xfId="0" applyFont="1" applyBorder="1" applyAlignment="1">
      <alignment horizontal="left" vertical="center" wrapText="1"/>
    </xf>
    <xf numFmtId="43" fontId="54" fillId="0" borderId="0" xfId="0" applyNumberFormat="1" applyFont="1"/>
    <xf numFmtId="0" fontId="37" fillId="0" borderId="0" xfId="0" applyFont="1" applyAlignment="1"/>
    <xf numFmtId="0" fontId="48" fillId="6" borderId="3" xfId="0" applyFont="1" applyFill="1" applyBorder="1" applyAlignment="1">
      <alignment vertical="center" readingOrder="1"/>
    </xf>
    <xf numFmtId="49" fontId="52" fillId="0" borderId="3" xfId="1" applyNumberFormat="1" applyFont="1" applyBorder="1" applyAlignment="1">
      <alignment horizontal="left" vertical="center" readingOrder="1"/>
    </xf>
    <xf numFmtId="166" fontId="52" fillId="0" borderId="3" xfId="1" applyNumberFormat="1" applyFont="1" applyBorder="1" applyAlignment="1">
      <alignment horizontal="left" vertical="center" readingOrder="1"/>
    </xf>
    <xf numFmtId="49" fontId="44" fillId="2" borderId="3" xfId="0" applyNumberFormat="1" applyFont="1" applyFill="1" applyBorder="1" applyAlignment="1">
      <alignment horizontal="left" vertical="center" readingOrder="1"/>
    </xf>
    <xf numFmtId="0" fontId="44" fillId="0" borderId="3" xfId="0" applyFont="1" applyBorder="1" applyAlignment="1">
      <alignment horizontal="left" vertical="center" readingOrder="1"/>
    </xf>
    <xf numFmtId="49" fontId="44" fillId="0" borderId="3" xfId="0" applyNumberFormat="1" applyFont="1" applyBorder="1" applyAlignment="1">
      <alignment horizontal="left" vertical="center" readingOrder="1"/>
    </xf>
    <xf numFmtId="49" fontId="47" fillId="0" borderId="0" xfId="1" quotePrefix="1" applyNumberFormat="1" applyFont="1" applyFill="1" applyBorder="1" applyAlignment="1">
      <alignment horizontal="left" vertical="center" readingOrder="1"/>
    </xf>
    <xf numFmtId="43" fontId="47" fillId="0" borderId="0" xfId="1" quotePrefix="1" applyFont="1" applyFill="1" applyBorder="1" applyAlignment="1">
      <alignment horizontal="left" vertical="center" readingOrder="1"/>
    </xf>
    <xf numFmtId="0" fontId="44" fillId="2" borderId="3" xfId="0" applyFont="1" applyFill="1" applyBorder="1" applyAlignment="1">
      <alignment horizontal="left" vertical="center" readingOrder="1"/>
    </xf>
    <xf numFmtId="166" fontId="44" fillId="2" borderId="3" xfId="0" applyNumberFormat="1" applyFont="1" applyFill="1" applyBorder="1" applyAlignment="1">
      <alignment horizontal="left" vertical="center" readingOrder="1"/>
    </xf>
    <xf numFmtId="0" fontId="42" fillId="6" borderId="3" xfId="0" applyFont="1" applyFill="1" applyBorder="1" applyAlignment="1">
      <alignment horizontal="left" vertical="center"/>
    </xf>
    <xf numFmtId="0" fontId="43" fillId="0" borderId="3" xfId="0" applyFont="1" applyBorder="1" applyAlignment="1">
      <alignment vertical="center"/>
    </xf>
    <xf numFmtId="0" fontId="13" fillId="0" borderId="3" xfId="0" applyFont="1" applyBorder="1" applyAlignment="1">
      <alignment horizontal="left" vertical="center"/>
    </xf>
    <xf numFmtId="0" fontId="13" fillId="0" borderId="3" xfId="0" quotePrefix="1" applyFont="1" applyBorder="1" applyAlignment="1">
      <alignment horizontal="justify" vertical="center" readingOrder="1"/>
    </xf>
    <xf numFmtId="0" fontId="5" fillId="0" borderId="3" xfId="0" quotePrefix="1" applyFont="1" applyBorder="1" applyAlignment="1">
      <alignment horizontal="justify" vertical="center" readingOrder="1"/>
    </xf>
    <xf numFmtId="49" fontId="44" fillId="2" borderId="0" xfId="0" applyNumberFormat="1" applyFont="1" applyFill="1" applyAlignment="1">
      <alignment horizontal="left" vertical="center" readingOrder="1"/>
    </xf>
    <xf numFmtId="0" fontId="51" fillId="17" borderId="3" xfId="0" applyFont="1" applyFill="1" applyBorder="1" applyAlignment="1">
      <alignment vertical="center"/>
    </xf>
    <xf numFmtId="43" fontId="13" fillId="0" borderId="3" xfId="0" applyNumberFormat="1" applyFont="1" applyBorder="1" applyAlignment="1">
      <alignment horizontal="left" vertical="center" wrapText="1"/>
    </xf>
    <xf numFmtId="43" fontId="39" fillId="0" borderId="3" xfId="0" applyNumberFormat="1" applyFont="1" applyBorder="1" applyAlignment="1">
      <alignment vertical="center" wrapText="1"/>
    </xf>
    <xf numFmtId="0" fontId="59" fillId="7" borderId="3" xfId="0" applyFont="1" applyFill="1" applyBorder="1" applyAlignment="1">
      <alignment horizontal="left" vertical="center" wrapText="1" readingOrder="1"/>
    </xf>
    <xf numFmtId="43" fontId="44" fillId="0" borderId="3" xfId="0" applyNumberFormat="1" applyFont="1" applyBorder="1" applyAlignment="1">
      <alignment horizontal="left" vertical="center" wrapText="1" readingOrder="1"/>
    </xf>
    <xf numFmtId="49" fontId="14" fillId="0" borderId="3" xfId="0" applyNumberFormat="1" applyFont="1" applyBorder="1" applyAlignment="1">
      <alignment horizontal="left" vertical="center" readingOrder="1"/>
    </xf>
    <xf numFmtId="0" fontId="56" fillId="0" borderId="0" xfId="0" applyFont="1" applyAlignment="1">
      <alignment horizontal="left"/>
    </xf>
    <xf numFmtId="0" fontId="60" fillId="0" borderId="0" xfId="0" applyFont="1" applyAlignment="1">
      <alignment horizontal="left"/>
    </xf>
    <xf numFmtId="43" fontId="5" fillId="0" borderId="3" xfId="0" applyNumberFormat="1" applyFont="1" applyBorder="1" applyAlignment="1">
      <alignment horizontal="left" vertical="center" wrapText="1"/>
    </xf>
    <xf numFmtId="0" fontId="41" fillId="18" borderId="3" xfId="0" applyFont="1" applyFill="1" applyBorder="1" applyAlignment="1">
      <alignment horizontal="center" vertical="center" wrapText="1"/>
    </xf>
    <xf numFmtId="0" fontId="50" fillId="18" borderId="3" xfId="0" applyFont="1" applyFill="1" applyBorder="1" applyAlignment="1">
      <alignment horizontal="center" vertical="center" readingOrder="1"/>
    </xf>
    <xf numFmtId="0" fontId="6" fillId="0" borderId="2" xfId="0" applyFont="1" applyFill="1" applyBorder="1" applyAlignment="1" applyProtection="1">
      <alignment horizontal="center" vertical="center" wrapText="1"/>
      <protection locked="0"/>
    </xf>
    <xf numFmtId="0" fontId="6" fillId="0" borderId="9" xfId="0" applyFont="1" applyFill="1" applyBorder="1" applyAlignment="1" applyProtection="1">
      <alignment horizontal="center" vertical="center" wrapText="1"/>
      <protection locked="0"/>
    </xf>
    <xf numFmtId="0" fontId="8" fillId="0" borderId="0" xfId="0" applyFont="1" applyFill="1" applyAlignment="1" applyProtection="1">
      <alignment horizontal="left" vertical="center" wrapText="1"/>
      <protection locked="0"/>
    </xf>
    <xf numFmtId="0" fontId="8" fillId="0" borderId="1" xfId="0" applyFont="1" applyFill="1" applyBorder="1" applyAlignment="1" applyProtection="1">
      <alignment horizontal="left" vertical="center" wrapText="1"/>
      <protection locked="0"/>
    </xf>
    <xf numFmtId="0" fontId="32" fillId="0" borderId="2" xfId="0" applyFont="1" applyFill="1" applyBorder="1" applyAlignment="1">
      <alignment horizontal="center" vertical="center" wrapText="1"/>
    </xf>
    <xf numFmtId="0" fontId="32" fillId="0" borderId="9" xfId="0" applyFont="1" applyFill="1" applyBorder="1" applyAlignment="1">
      <alignment horizontal="center" vertical="center" wrapText="1"/>
    </xf>
    <xf numFmtId="0" fontId="32" fillId="0" borderId="10" xfId="0" applyFont="1" applyFill="1" applyBorder="1" applyAlignment="1">
      <alignment horizontal="center" vertical="center" wrapText="1"/>
    </xf>
    <xf numFmtId="0" fontId="7" fillId="0" borderId="0" xfId="0" applyFont="1" applyFill="1" applyAlignment="1" applyProtection="1">
      <alignment horizontal="center" vertical="center" wrapText="1"/>
      <protection locked="0"/>
    </xf>
    <xf numFmtId="0" fontId="32" fillId="3" borderId="2" xfId="0" applyFont="1" applyFill="1" applyBorder="1" applyAlignment="1" applyProtection="1">
      <alignment horizontal="center" vertical="center" wrapText="1"/>
      <protection locked="0"/>
    </xf>
    <xf numFmtId="0" fontId="32" fillId="3" borderId="9" xfId="0" applyFont="1" applyFill="1" applyBorder="1" applyAlignment="1" applyProtection="1">
      <alignment horizontal="center" vertical="center" wrapText="1"/>
      <protection locked="0"/>
    </xf>
    <xf numFmtId="0" fontId="32" fillId="3" borderId="10" xfId="0" applyFont="1" applyFill="1" applyBorder="1" applyAlignment="1" applyProtection="1">
      <alignment horizontal="center" vertical="center" wrapText="1"/>
      <protection locked="0"/>
    </xf>
    <xf numFmtId="0" fontId="32" fillId="3" borderId="2" xfId="0" applyFont="1" applyFill="1" applyBorder="1" applyAlignment="1">
      <alignment horizontal="center" vertical="center" wrapText="1"/>
    </xf>
    <xf numFmtId="0" fontId="32" fillId="3" borderId="9" xfId="0" applyFont="1" applyFill="1" applyBorder="1" applyAlignment="1">
      <alignment horizontal="center" vertical="center" wrapText="1"/>
    </xf>
    <xf numFmtId="0" fontId="32" fillId="3" borderId="10" xfId="0" applyFont="1" applyFill="1" applyBorder="1" applyAlignment="1">
      <alignment horizontal="center" vertical="center" wrapText="1"/>
    </xf>
    <xf numFmtId="165" fontId="24" fillId="0" borderId="1" xfId="1" applyNumberFormat="1" applyFont="1" applyFill="1" applyBorder="1" applyAlignment="1">
      <alignment horizontal="center" vertical="center" wrapText="1"/>
    </xf>
    <xf numFmtId="165" fontId="32" fillId="3" borderId="4" xfId="1" applyNumberFormat="1" applyFont="1" applyFill="1" applyBorder="1" applyAlignment="1">
      <alignment horizontal="center" vertical="center" wrapText="1"/>
    </xf>
    <xf numFmtId="165" fontId="32" fillId="3" borderId="5" xfId="1" applyNumberFormat="1" applyFont="1" applyFill="1" applyBorder="1" applyAlignment="1">
      <alignment horizontal="center" vertical="center" wrapText="1"/>
    </xf>
    <xf numFmtId="165" fontId="32" fillId="3" borderId="11" xfId="1" applyNumberFormat="1" applyFont="1" applyFill="1" applyBorder="1" applyAlignment="1">
      <alignment horizontal="center" vertical="center" wrapText="1"/>
    </xf>
    <xf numFmtId="165" fontId="32" fillId="3" borderId="12" xfId="1" applyNumberFormat="1" applyFont="1" applyFill="1" applyBorder="1" applyAlignment="1">
      <alignment horizontal="center" vertical="center" wrapText="1"/>
    </xf>
    <xf numFmtId="0" fontId="32" fillId="3" borderId="4" xfId="0" applyFont="1" applyFill="1" applyBorder="1" applyAlignment="1">
      <alignment horizontal="center" vertical="center" wrapText="1"/>
    </xf>
    <xf numFmtId="0" fontId="32" fillId="3" borderId="11" xfId="0" applyFont="1" applyFill="1" applyBorder="1" applyAlignment="1">
      <alignment horizontal="center" vertical="center" wrapText="1"/>
    </xf>
    <xf numFmtId="165" fontId="32" fillId="3" borderId="3" xfId="1" applyNumberFormat="1" applyFont="1" applyFill="1" applyBorder="1" applyAlignment="1">
      <alignment horizontal="center" vertical="center" wrapText="1"/>
    </xf>
    <xf numFmtId="0" fontId="6" fillId="3" borderId="6" xfId="0" applyFont="1" applyFill="1" applyBorder="1" applyAlignment="1">
      <alignment horizontal="center" vertical="center" wrapText="1" readingOrder="1"/>
    </xf>
    <xf numFmtId="0" fontId="6" fillId="3" borderId="7" xfId="0" applyFont="1" applyFill="1" applyBorder="1" applyAlignment="1">
      <alignment horizontal="center" vertical="center" wrapText="1" readingOrder="1"/>
    </xf>
    <xf numFmtId="0" fontId="6" fillId="3" borderId="8" xfId="0" applyFont="1" applyFill="1" applyBorder="1" applyAlignment="1">
      <alignment horizontal="center" vertical="center" wrapText="1" readingOrder="1"/>
    </xf>
    <xf numFmtId="0" fontId="24" fillId="10" borderId="6" xfId="0" applyFont="1" applyFill="1" applyBorder="1" applyAlignment="1">
      <alignment horizontal="center" vertical="center" wrapText="1" readingOrder="1"/>
    </xf>
    <xf numFmtId="0" fontId="24" fillId="10" borderId="7" xfId="0" applyFont="1" applyFill="1" applyBorder="1" applyAlignment="1">
      <alignment horizontal="center" vertical="center" wrapText="1" readingOrder="1"/>
    </xf>
    <xf numFmtId="0" fontId="24" fillId="10" borderId="8" xfId="0" applyFont="1" applyFill="1" applyBorder="1" applyAlignment="1">
      <alignment horizontal="center" vertical="center" wrapText="1" readingOrder="1"/>
    </xf>
    <xf numFmtId="0" fontId="6" fillId="0" borderId="3" xfId="0" applyFont="1" applyFill="1" applyBorder="1" applyAlignment="1">
      <alignment horizontal="center" vertical="center"/>
    </xf>
    <xf numFmtId="0" fontId="7" fillId="0" borderId="0" xfId="0" applyFont="1" applyFill="1" applyAlignment="1">
      <alignment horizontal="center" vertical="center" wrapText="1"/>
    </xf>
    <xf numFmtId="0" fontId="7" fillId="0" borderId="0" xfId="0" applyFont="1" applyFill="1" applyAlignment="1">
      <alignment horizontal="center" vertical="center"/>
    </xf>
    <xf numFmtId="0" fontId="6" fillId="3" borderId="3" xfId="0" applyFont="1" applyFill="1" applyBorder="1" applyAlignment="1">
      <alignment horizontal="center" vertical="center" wrapText="1"/>
    </xf>
    <xf numFmtId="0" fontId="6" fillId="3" borderId="3" xfId="0" applyFont="1" applyFill="1" applyBorder="1" applyAlignment="1">
      <alignment horizontal="center" vertical="center"/>
    </xf>
    <xf numFmtId="43" fontId="6" fillId="3" borderId="3" xfId="1" applyFont="1" applyFill="1" applyBorder="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center" vertical="center"/>
    </xf>
    <xf numFmtId="0" fontId="5" fillId="11" borderId="2" xfId="0" quotePrefix="1" applyFont="1" applyFill="1" applyBorder="1" applyAlignment="1">
      <alignment horizontal="left" vertical="center" wrapText="1"/>
    </xf>
    <xf numFmtId="0" fontId="5" fillId="11" borderId="10" xfId="0" quotePrefix="1" applyFont="1" applyFill="1" applyBorder="1" applyAlignment="1">
      <alignment horizontal="left" vertical="center" wrapText="1"/>
    </xf>
    <xf numFmtId="0" fontId="11" fillId="0" borderId="1" xfId="0" applyFont="1" applyBorder="1" applyAlignment="1">
      <alignment horizontal="center" vertical="center"/>
    </xf>
    <xf numFmtId="0" fontId="41" fillId="18" borderId="3" xfId="0" applyFont="1" applyFill="1" applyBorder="1" applyAlignment="1">
      <alignment horizontal="center" vertical="center" wrapText="1"/>
    </xf>
    <xf numFmtId="0" fontId="41" fillId="18" borderId="2" xfId="0" applyFont="1" applyFill="1" applyBorder="1" applyAlignment="1">
      <alignment horizontal="center" vertical="center"/>
    </xf>
    <xf numFmtId="0" fontId="41" fillId="18" borderId="10" xfId="0" applyFont="1" applyFill="1" applyBorder="1" applyAlignment="1">
      <alignment horizontal="center" vertical="center"/>
    </xf>
    <xf numFmtId="0" fontId="38" fillId="0" borderId="0" xfId="0" applyFont="1" applyAlignment="1">
      <alignment horizontal="left"/>
    </xf>
    <xf numFmtId="0" fontId="39" fillId="0" borderId="0" xfId="0" applyFont="1" applyAlignment="1">
      <alignment horizontal="left"/>
    </xf>
    <xf numFmtId="0" fontId="50" fillId="18" borderId="14" xfId="0" applyFont="1" applyFill="1" applyBorder="1" applyAlignment="1">
      <alignment horizontal="center" vertical="center" readingOrder="1"/>
    </xf>
    <xf numFmtId="0" fontId="50" fillId="18" borderId="16" xfId="0" applyFont="1" applyFill="1" applyBorder="1" applyAlignment="1">
      <alignment horizontal="center" vertical="center" readingOrder="1"/>
    </xf>
    <xf numFmtId="0" fontId="50" fillId="18" borderId="15" xfId="0" applyFont="1" applyFill="1" applyBorder="1" applyAlignment="1">
      <alignment horizontal="center" vertical="center" readingOrder="1"/>
    </xf>
    <xf numFmtId="0" fontId="41" fillId="18" borderId="3" xfId="0" applyFont="1" applyFill="1" applyBorder="1" applyAlignment="1">
      <alignment horizontal="center" vertical="center" readingOrder="1"/>
    </xf>
    <xf numFmtId="0" fontId="41" fillId="18" borderId="3" xfId="0" applyFont="1" applyFill="1" applyBorder="1" applyAlignment="1">
      <alignment horizontal="center" vertical="center"/>
    </xf>
    <xf numFmtId="0" fontId="48" fillId="0" borderId="3" xfId="0" applyFont="1" applyBorder="1" applyAlignment="1">
      <alignment horizontal="center" vertical="center" wrapText="1" readingOrder="1"/>
    </xf>
    <xf numFmtId="0" fontId="41" fillId="18" borderId="6" xfId="0" applyFont="1" applyFill="1" applyBorder="1" applyAlignment="1">
      <alignment horizontal="center" vertical="center" wrapText="1"/>
    </xf>
    <xf numFmtId="0" fontId="41" fillId="18" borderId="7" xfId="0" applyFont="1" applyFill="1" applyBorder="1" applyAlignment="1">
      <alignment horizontal="center" vertical="center" wrapText="1"/>
    </xf>
    <xf numFmtId="0" fontId="41" fillId="18" borderId="8" xfId="0" applyFont="1" applyFill="1" applyBorder="1" applyAlignment="1">
      <alignment horizontal="center" vertical="center" wrapText="1"/>
    </xf>
    <xf numFmtId="0" fontId="50" fillId="18" borderId="2" xfId="0" applyFont="1" applyFill="1" applyBorder="1" applyAlignment="1">
      <alignment horizontal="center" vertical="center" readingOrder="1"/>
    </xf>
    <xf numFmtId="0" fontId="50" fillId="18" borderId="10" xfId="0" applyFont="1" applyFill="1" applyBorder="1" applyAlignment="1">
      <alignment horizontal="center" vertical="center" readingOrder="1"/>
    </xf>
    <xf numFmtId="0" fontId="50" fillId="18" borderId="3" xfId="0" applyFont="1" applyFill="1" applyBorder="1" applyAlignment="1">
      <alignment horizontal="center" vertical="center" wrapText="1" readingOrder="1"/>
    </xf>
    <xf numFmtId="0" fontId="48" fillId="0" borderId="3" xfId="0" applyFont="1" applyBorder="1" applyAlignment="1">
      <alignment horizontal="center" vertical="center" wrapText="1"/>
    </xf>
    <xf numFmtId="0" fontId="48" fillId="0" borderId="2" xfId="0" applyFont="1" applyBorder="1" applyAlignment="1">
      <alignment horizontal="center" vertical="center" wrapText="1"/>
    </xf>
    <xf numFmtId="0" fontId="48" fillId="0" borderId="9" xfId="0" applyFont="1" applyBorder="1" applyAlignment="1">
      <alignment horizontal="center" vertical="center" wrapText="1"/>
    </xf>
    <xf numFmtId="0" fontId="48" fillId="0" borderId="10" xfId="0" applyFont="1" applyBorder="1" applyAlignment="1">
      <alignment horizontal="center" vertical="center" wrapText="1"/>
    </xf>
    <xf numFmtId="0" fontId="50" fillId="18" borderId="3" xfId="0" applyFont="1" applyFill="1" applyBorder="1" applyAlignment="1">
      <alignment horizontal="center" vertical="center" readingOrder="1"/>
    </xf>
    <xf numFmtId="0" fontId="56" fillId="0" borderId="0" xfId="0" applyFont="1" applyAlignment="1">
      <alignment horizontal="left"/>
    </xf>
    <xf numFmtId="0" fontId="60" fillId="0" borderId="0" xfId="0" applyFont="1" applyAlignment="1">
      <alignment horizontal="left"/>
    </xf>
    <xf numFmtId="0" fontId="55" fillId="0" borderId="0" xfId="0" applyFont="1" applyAlignment="1">
      <alignment horizontal="center"/>
    </xf>
    <xf numFmtId="0" fontId="40" fillId="18" borderId="3" xfId="0" applyFont="1" applyFill="1" applyBorder="1" applyAlignment="1">
      <alignment horizontal="center" vertical="center" wrapText="1"/>
    </xf>
    <xf numFmtId="0" fontId="39" fillId="0" borderId="1" xfId="0" applyFont="1" applyBorder="1" applyAlignment="1">
      <alignment horizontal="left"/>
    </xf>
    <xf numFmtId="0" fontId="5" fillId="0" borderId="0" xfId="0" applyFont="1" applyAlignment="1">
      <alignment horizontal="left" vertical="center"/>
    </xf>
    <xf numFmtId="0" fontId="6" fillId="0" borderId="3" xfId="0" applyFont="1" applyBorder="1" applyAlignment="1">
      <alignment horizontal="left" vertical="center" wrapText="1"/>
    </xf>
    <xf numFmtId="0" fontId="6" fillId="2" borderId="3" xfId="0" applyFont="1" applyFill="1" applyBorder="1" applyAlignment="1">
      <alignment horizontal="left" vertical="center" wrapText="1"/>
    </xf>
    <xf numFmtId="0" fontId="10" fillId="2" borderId="3" xfId="0" applyFont="1" applyFill="1" applyBorder="1" applyAlignment="1">
      <alignment horizontal="left" vertical="center" wrapText="1"/>
    </xf>
    <xf numFmtId="0" fontId="6" fillId="3" borderId="3" xfId="0" applyFont="1" applyFill="1" applyBorder="1" applyAlignment="1">
      <alignment horizontal="left" vertical="center" wrapText="1"/>
    </xf>
    <xf numFmtId="0" fontId="5" fillId="2" borderId="3" xfId="0" applyFont="1" applyFill="1" applyBorder="1" applyAlignment="1">
      <alignment horizontal="left" vertical="center" wrapText="1"/>
    </xf>
    <xf numFmtId="0" fontId="48" fillId="0" borderId="2" xfId="0" applyFont="1" applyBorder="1" applyAlignment="1">
      <alignment horizontal="center" vertical="center" wrapText="1" readingOrder="1"/>
    </xf>
    <xf numFmtId="0" fontId="48" fillId="0" borderId="9" xfId="0" applyFont="1" applyBorder="1" applyAlignment="1">
      <alignment horizontal="center" vertical="center" wrapText="1" readingOrder="1"/>
    </xf>
    <xf numFmtId="0" fontId="48" fillId="0" borderId="10" xfId="0" applyFont="1" applyBorder="1" applyAlignment="1">
      <alignment horizontal="center" vertical="center" wrapText="1" readingOrder="1"/>
    </xf>
    <xf numFmtId="0" fontId="50" fillId="18" borderId="2" xfId="0" applyFont="1" applyFill="1" applyBorder="1" applyAlignment="1">
      <alignment horizontal="center" vertical="center" wrapText="1" readingOrder="1"/>
    </xf>
    <xf numFmtId="0" fontId="50" fillId="18" borderId="10" xfId="0" applyFont="1" applyFill="1" applyBorder="1" applyAlignment="1">
      <alignment horizontal="center" vertical="center" wrapText="1" readingOrder="1"/>
    </xf>
  </cellXfs>
  <cellStyles count="290">
    <cellStyle name="Comma" xfId="1" builtinId="3"/>
    <cellStyle name="Comma [0] 2" xfId="267"/>
    <cellStyle name="Comma 10" xfId="5"/>
    <cellStyle name="Comma 10 10" xfId="286"/>
    <cellStyle name="Comma 10 2" xfId="13"/>
    <cellStyle name="Comma 10 2 2" xfId="28"/>
    <cellStyle name="Comma 10 3" xfId="288"/>
    <cellStyle name="Comma 10 4" xfId="14"/>
    <cellStyle name="Comma 101 8" xfId="72"/>
    <cellStyle name="Comma 101 8 2" xfId="82"/>
    <cellStyle name="Comma 101 8 2 2" xfId="107"/>
    <cellStyle name="Comma 101 8 2 2 2" xfId="157"/>
    <cellStyle name="Comma 101 8 2 2 2 2" xfId="257"/>
    <cellStyle name="Comma 101 8 2 2 3" xfId="207"/>
    <cellStyle name="Comma 101 8 2 3" xfId="132"/>
    <cellStyle name="Comma 101 8 2 3 2" xfId="232"/>
    <cellStyle name="Comma 101 8 2 4" xfId="182"/>
    <cellStyle name="Comma 101 8 3" xfId="100"/>
    <cellStyle name="Comma 101 8 3 2" xfId="150"/>
    <cellStyle name="Comma 101 8 3 2 2" xfId="250"/>
    <cellStyle name="Comma 101 8 3 3" xfId="200"/>
    <cellStyle name="Comma 101 8 4" xfId="125"/>
    <cellStyle name="Comma 101 8 4 2" xfId="225"/>
    <cellStyle name="Comma 101 8 5" xfId="175"/>
    <cellStyle name="Comma 11 10 15" xfId="69"/>
    <cellStyle name="Comma 11 10 15 2" xfId="80"/>
    <cellStyle name="Comma 11 10 15 2 2" xfId="105"/>
    <cellStyle name="Comma 11 10 15 2 2 2" xfId="155"/>
    <cellStyle name="Comma 11 10 15 2 2 2 2" xfId="255"/>
    <cellStyle name="Comma 11 10 15 2 2 3" xfId="205"/>
    <cellStyle name="Comma 11 10 15 2 3" xfId="130"/>
    <cellStyle name="Comma 11 10 15 2 3 2" xfId="230"/>
    <cellStyle name="Comma 11 10 15 2 4" xfId="180"/>
    <cellStyle name="Comma 11 10 15 3" xfId="98"/>
    <cellStyle name="Comma 11 10 15 3 2" xfId="148"/>
    <cellStyle name="Comma 11 10 15 3 2 2" xfId="248"/>
    <cellStyle name="Comma 11 10 15 3 3" xfId="198"/>
    <cellStyle name="Comma 11 10 15 4" xfId="123"/>
    <cellStyle name="Comma 11 10 15 4 2" xfId="223"/>
    <cellStyle name="Comma 11 10 15 5" xfId="173"/>
    <cellStyle name="Comma 11 2 2" xfId="62"/>
    <cellStyle name="Comma 13" xfId="3"/>
    <cellStyle name="Comma 2" xfId="46"/>
    <cellStyle name="Comma 2 10 3 2" xfId="261"/>
    <cellStyle name="Comma 2 2" xfId="10"/>
    <cellStyle name="Comma 2 2 2" xfId="12"/>
    <cellStyle name="Comma 2 2 2 2" xfId="42"/>
    <cellStyle name="Comma 2 25" xfId="57"/>
    <cellStyle name="Comma 2 26 3" xfId="264"/>
    <cellStyle name="Comma 2 3" xfId="52"/>
    <cellStyle name="Comma 2 3 2" xfId="71"/>
    <cellStyle name="Comma 2 3 2 2" xfId="81"/>
    <cellStyle name="Comma 2 3 2 2 2" xfId="106"/>
    <cellStyle name="Comma 2 3 2 2 2 2" xfId="156"/>
    <cellStyle name="Comma 2 3 2 2 2 2 2" xfId="256"/>
    <cellStyle name="Comma 2 3 2 2 2 3" xfId="206"/>
    <cellStyle name="Comma 2 3 2 2 3" xfId="131"/>
    <cellStyle name="Comma 2 3 2 2 3 2" xfId="231"/>
    <cellStyle name="Comma 2 3 2 2 4" xfId="181"/>
    <cellStyle name="Comma 2 3 2 3" xfId="99"/>
    <cellStyle name="Comma 2 3 2 3 2" xfId="149"/>
    <cellStyle name="Comma 2 3 2 3 2 2" xfId="249"/>
    <cellStyle name="Comma 2 3 2 3 3" xfId="199"/>
    <cellStyle name="Comma 2 3 2 4" xfId="124"/>
    <cellStyle name="Comma 2 3 2 4 2" xfId="224"/>
    <cellStyle name="Comma 2 3 2 5" xfId="174"/>
    <cellStyle name="Comma 2 4" xfId="63"/>
    <cellStyle name="Comma 2 5" xfId="284"/>
    <cellStyle name="Comma 3" xfId="6"/>
    <cellStyle name="Comma 3 2" xfId="53"/>
    <cellStyle name="Comma 3 2 2" xfId="9"/>
    <cellStyle name="Comma 3 3" xfId="65"/>
    <cellStyle name="Comma 3 3 2" xfId="54"/>
    <cellStyle name="Comma 3 3 2 2" xfId="78"/>
    <cellStyle name="Comma 3 3 2 2 2" xfId="103"/>
    <cellStyle name="Comma 3 3 2 2 2 2" xfId="153"/>
    <cellStyle name="Comma 3 3 2 2 2 2 2" xfId="253"/>
    <cellStyle name="Comma 3 3 2 2 2 3" xfId="203"/>
    <cellStyle name="Comma 3 3 2 2 3" xfId="128"/>
    <cellStyle name="Comma 3 3 2 2 3 2" xfId="228"/>
    <cellStyle name="Comma 3 3 2 2 4" xfId="178"/>
    <cellStyle name="Comma 3 3 3" xfId="96"/>
    <cellStyle name="Comma 3 3 3 2" xfId="146"/>
    <cellStyle name="Comma 3 3 3 2 2" xfId="246"/>
    <cellStyle name="Comma 3 3 3 3" xfId="196"/>
    <cellStyle name="Comma 3 3 4" xfId="121"/>
    <cellStyle name="Comma 3 3 4 2" xfId="221"/>
    <cellStyle name="Comma 3 3 5" xfId="171"/>
    <cellStyle name="Comma 3 4" xfId="273"/>
    <cellStyle name="Comma 37" xfId="26"/>
    <cellStyle name="Comma 4" xfId="45"/>
    <cellStyle name="Comma 5" xfId="40"/>
    <cellStyle name="Ledger 17 x 11 in" xfId="276"/>
    <cellStyle name="Normal" xfId="0" builtinId="0"/>
    <cellStyle name="Normal 10" xfId="271"/>
    <cellStyle name="Normal 10 3" xfId="274"/>
    <cellStyle name="Normal 11 2" xfId="7"/>
    <cellStyle name="Normal 11 2 2" xfId="51"/>
    <cellStyle name="Normal 161" xfId="260"/>
    <cellStyle name="Normal 2" xfId="11"/>
    <cellStyle name="Normal 2 10" xfId="24"/>
    <cellStyle name="Normal 2 11" xfId="266"/>
    <cellStyle name="Normal 2 15" xfId="272"/>
    <cellStyle name="Normal 2 19" xfId="75"/>
    <cellStyle name="Normal 2 19 2" xfId="41"/>
    <cellStyle name="Normal 2 19 2 2" xfId="83"/>
    <cellStyle name="Normal 2 19 2 2 2" xfId="108"/>
    <cellStyle name="Normal 2 19 2 2 2 2" xfId="158"/>
    <cellStyle name="Normal 2 19 2 2 2 2 2" xfId="258"/>
    <cellStyle name="Normal 2 19 2 2 2 3" xfId="208"/>
    <cellStyle name="Normal 2 19 2 2 3" xfId="133"/>
    <cellStyle name="Normal 2 19 2 2 3 2" xfId="233"/>
    <cellStyle name="Normal 2 19 2 2 4" xfId="183"/>
    <cellStyle name="Normal 2 19 3" xfId="101"/>
    <cellStyle name="Normal 2 19 3 2" xfId="151"/>
    <cellStyle name="Normal 2 19 3 2 2" xfId="251"/>
    <cellStyle name="Normal 2 19 3 3" xfId="201"/>
    <cellStyle name="Normal 2 19 4" xfId="126"/>
    <cellStyle name="Normal 2 19 4 2" xfId="226"/>
    <cellStyle name="Normal 2 19 5" xfId="176"/>
    <cellStyle name="Normal 2 2" xfId="25"/>
    <cellStyle name="Normal 2 2 10" xfId="34"/>
    <cellStyle name="Normal 2 2 10 2 2" xfId="43"/>
    <cellStyle name="Normal 2 2 10 3" xfId="259"/>
    <cellStyle name="Normal 2 2 13" xfId="22"/>
    <cellStyle name="Normal 2 2 13 2" xfId="35"/>
    <cellStyle name="Normal 2 2 14" xfId="32"/>
    <cellStyle name="Normal 2 2 14 2" xfId="94"/>
    <cellStyle name="Normal 2 2 14 2 2" xfId="144"/>
    <cellStyle name="Normal 2 2 14 2 2 2" xfId="244"/>
    <cellStyle name="Normal 2 2 14 2 3" xfId="194"/>
    <cellStyle name="Normal 2 2 14 3" xfId="119"/>
    <cellStyle name="Normal 2 2 14 3 2" xfId="219"/>
    <cellStyle name="Normal 2 2 14 4" xfId="169"/>
    <cellStyle name="Normal 2 2 16" xfId="279"/>
    <cellStyle name="Normal 2 2 2" xfId="263"/>
    <cellStyle name="Normal 2 2 2 19" xfId="269"/>
    <cellStyle name="Normal 2 2 2 19 2" xfId="278"/>
    <cellStyle name="Normal 2 2 2 3" xfId="64"/>
    <cellStyle name="Normal 2 2 2 3 2" xfId="77"/>
    <cellStyle name="Normal 2 2 2 3 2 2" xfId="102"/>
    <cellStyle name="Normal 2 2 2 3 2 2 2" xfId="152"/>
    <cellStyle name="Normal 2 2 2 3 2 2 2 2" xfId="252"/>
    <cellStyle name="Normal 2 2 2 3 2 2 3" xfId="202"/>
    <cellStyle name="Normal 2 2 2 3 2 3" xfId="127"/>
    <cellStyle name="Normal 2 2 2 3 2 3 2" xfId="227"/>
    <cellStyle name="Normal 2 2 2 3 2 4" xfId="177"/>
    <cellStyle name="Normal 2 2 2 3 3" xfId="95"/>
    <cellStyle name="Normal 2 2 2 3 3 2" xfId="145"/>
    <cellStyle name="Normal 2 2 2 3 3 2 2" xfId="245"/>
    <cellStyle name="Normal 2 2 2 3 3 3" xfId="195"/>
    <cellStyle name="Normal 2 2 2 3 4" xfId="120"/>
    <cellStyle name="Normal 2 2 2 3 4 2" xfId="220"/>
    <cellStyle name="Normal 2 2 2 3 5" xfId="170"/>
    <cellStyle name="Normal 2 2 26" xfId="55"/>
    <cellStyle name="Normal 2 2 33" xfId="277"/>
    <cellStyle name="Normal 2 2 6" xfId="47"/>
    <cellStyle name="Normal 2 2 8" xfId="48"/>
    <cellStyle name="Normal 2 3" xfId="39"/>
    <cellStyle name="Normal 2 3 2 2 2" xfId="4"/>
    <cellStyle name="Normal 2 4" xfId="262"/>
    <cellStyle name="Normal 2 5" xfId="281"/>
    <cellStyle name="Normal 2 6 2" xfId="265"/>
    <cellStyle name="Normal 2_Tong muc dau tu" xfId="287"/>
    <cellStyle name="Normal 21" xfId="20"/>
    <cellStyle name="Normal 21 2" xfId="29"/>
    <cellStyle name="Normal 21 2 2" xfId="92"/>
    <cellStyle name="Normal 21 2 2 2" xfId="142"/>
    <cellStyle name="Normal 21 2 2 2 2" xfId="242"/>
    <cellStyle name="Normal 21 2 2 3" xfId="192"/>
    <cellStyle name="Normal 21 2 3" xfId="117"/>
    <cellStyle name="Normal 21 2 3 2" xfId="217"/>
    <cellStyle name="Normal 21 2 4" xfId="167"/>
    <cellStyle name="Normal 21 3" xfId="68"/>
    <cellStyle name="Normal 21 3 2" xfId="79"/>
    <cellStyle name="Normal 21 3 2 2" xfId="104"/>
    <cellStyle name="Normal 21 3 2 2 2" xfId="154"/>
    <cellStyle name="Normal 21 3 2 2 2 2" xfId="254"/>
    <cellStyle name="Normal 21 3 2 2 3" xfId="204"/>
    <cellStyle name="Normal 21 3 2 3" xfId="129"/>
    <cellStyle name="Normal 21 3 2 3 2" xfId="229"/>
    <cellStyle name="Normal 21 3 2 4" xfId="179"/>
    <cellStyle name="Normal 21 3 3" xfId="97"/>
    <cellStyle name="Normal 21 3 3 2" xfId="147"/>
    <cellStyle name="Normal 21 3 3 2 2" xfId="247"/>
    <cellStyle name="Normal 21 3 3 3" xfId="197"/>
    <cellStyle name="Normal 21 3 4" xfId="122"/>
    <cellStyle name="Normal 21 3 4 2" xfId="222"/>
    <cellStyle name="Normal 21 3 5" xfId="172"/>
    <cellStyle name="Normal 21 4" xfId="90"/>
    <cellStyle name="Normal 21 4 2" xfId="140"/>
    <cellStyle name="Normal 21 4 2 2" xfId="240"/>
    <cellStyle name="Normal 21 4 3" xfId="190"/>
    <cellStyle name="Normal 21 5" xfId="115"/>
    <cellStyle name="Normal 21 5 2" xfId="215"/>
    <cellStyle name="Normal 21 6" xfId="165"/>
    <cellStyle name="Normal 278" xfId="282"/>
    <cellStyle name="Normal 3" xfId="8"/>
    <cellStyle name="Normal 3 19" xfId="21"/>
    <cellStyle name="Normal 3 2" xfId="30"/>
    <cellStyle name="Normal 3 2 2" xfId="66"/>
    <cellStyle name="Normal 3 2 2 2" xfId="268"/>
    <cellStyle name="Normal 3 2 3" xfId="93"/>
    <cellStyle name="Normal 3 2 3 2" xfId="143"/>
    <cellStyle name="Normal 3 2 3 2 2" xfId="243"/>
    <cellStyle name="Normal 3 2 3 3" xfId="193"/>
    <cellStyle name="Normal 3 2 4" xfId="118"/>
    <cellStyle name="Normal 3 2 4 2" xfId="218"/>
    <cellStyle name="Normal 3 2 5" xfId="168"/>
    <cellStyle name="Normal 3 2 6" xfId="289"/>
    <cellStyle name="Normal 3 3" xfId="50"/>
    <cellStyle name="Normal 3 3 2" xfId="270"/>
    <cellStyle name="Normal 3 4" xfId="84"/>
    <cellStyle name="Normal 3 4 2" xfId="134"/>
    <cellStyle name="Normal 3 4 2 2" xfId="234"/>
    <cellStyle name="Normal 3 4 3" xfId="184"/>
    <cellStyle name="Normal 3 5" xfId="109"/>
    <cellStyle name="Normal 3 5 2" xfId="209"/>
    <cellStyle name="Normal 3 6" xfId="159"/>
    <cellStyle name="Normal 38" xfId="59"/>
    <cellStyle name="Normal 38 2" xfId="61"/>
    <cellStyle name="Normal 39" xfId="76"/>
    <cellStyle name="Normal 4" xfId="23"/>
    <cellStyle name="Normal 4 2" xfId="70"/>
    <cellStyle name="Normal 4 3" xfId="91"/>
    <cellStyle name="Normal 4 3 2" xfId="141"/>
    <cellStyle name="Normal 4 3 2 2" xfId="241"/>
    <cellStyle name="Normal 4 3 3" xfId="191"/>
    <cellStyle name="Normal 4 4" xfId="116"/>
    <cellStyle name="Normal 4 4 2" xfId="216"/>
    <cellStyle name="Normal 4 5" xfId="166"/>
    <cellStyle name="Normal 408" xfId="15"/>
    <cellStyle name="Normal 408 2" xfId="85"/>
    <cellStyle name="Normal 408 2 2" xfId="135"/>
    <cellStyle name="Normal 408 2 2 2" xfId="235"/>
    <cellStyle name="Normal 408 2 3" xfId="185"/>
    <cellStyle name="Normal 408 3" xfId="110"/>
    <cellStyle name="Normal 408 3 2" xfId="210"/>
    <cellStyle name="Normal 408 4" xfId="160"/>
    <cellStyle name="Normal 409 2 3" xfId="38"/>
    <cellStyle name="Normal 41" xfId="31"/>
    <cellStyle name="Normal 41 2" xfId="280"/>
    <cellStyle name="Normal 410" xfId="16"/>
    <cellStyle name="Normal 410 2" xfId="86"/>
    <cellStyle name="Normal 410 2 2" xfId="136"/>
    <cellStyle name="Normal 410 2 2 2" xfId="236"/>
    <cellStyle name="Normal 410 2 3" xfId="186"/>
    <cellStyle name="Normal 410 3" xfId="111"/>
    <cellStyle name="Normal 410 3 2" xfId="211"/>
    <cellStyle name="Normal 410 4" xfId="161"/>
    <cellStyle name="Normal 411" xfId="17"/>
    <cellStyle name="Normal 411 2" xfId="87"/>
    <cellStyle name="Normal 411 2 2" xfId="137"/>
    <cellStyle name="Normal 411 2 2 2" xfId="237"/>
    <cellStyle name="Normal 411 2 3" xfId="187"/>
    <cellStyle name="Normal 411 3" xfId="112"/>
    <cellStyle name="Normal 411 3 2" xfId="212"/>
    <cellStyle name="Normal 411 4" xfId="162"/>
    <cellStyle name="Normal 412" xfId="18"/>
    <cellStyle name="Normal 412 2" xfId="88"/>
    <cellStyle name="Normal 412 2 2" xfId="138"/>
    <cellStyle name="Normal 412 2 2 2" xfId="238"/>
    <cellStyle name="Normal 412 2 3" xfId="188"/>
    <cellStyle name="Normal 412 3" xfId="113"/>
    <cellStyle name="Normal 412 3 2" xfId="213"/>
    <cellStyle name="Normal 412 4" xfId="163"/>
    <cellStyle name="Normal 413" xfId="19"/>
    <cellStyle name="Normal 413 2" xfId="89"/>
    <cellStyle name="Normal 413 2 2" xfId="139"/>
    <cellStyle name="Normal 413 2 2 2" xfId="239"/>
    <cellStyle name="Normal 413 2 3" xfId="189"/>
    <cellStyle name="Normal 413 3" xfId="114"/>
    <cellStyle name="Normal 413 3 2" xfId="214"/>
    <cellStyle name="Normal 413 4" xfId="164"/>
    <cellStyle name="Normal 415" xfId="36"/>
    <cellStyle name="Normal 415 3" xfId="37"/>
    <cellStyle name="Normal 42 2" xfId="56"/>
    <cellStyle name="Normal 42 2 2" xfId="58"/>
    <cellStyle name="Normal 428" xfId="49"/>
    <cellStyle name="Normal 44" xfId="285"/>
    <cellStyle name="Normal 5" xfId="73"/>
    <cellStyle name="Normal 6" xfId="283"/>
    <cellStyle name="Normal 65" xfId="44"/>
    <cellStyle name="Normal 7 3" xfId="74"/>
    <cellStyle name="Normal 8" xfId="33"/>
    <cellStyle name="Normal 9" xfId="275"/>
    <cellStyle name="Normal 96 2" xfId="67"/>
    <cellStyle name="Percent" xfId="2" builtinId="5"/>
    <cellStyle name="Percent 10" xfId="27"/>
    <cellStyle name="Percent 2 4" xfId="60"/>
  </cellStyles>
  <dxfs count="0"/>
  <tableStyles count="0" defaultTableStyle="TableStyleMedium2" defaultPivotStyle="PivotStyleLight16"/>
  <colors>
    <mruColors>
      <color rgb="FFFCE4D6"/>
      <color rgb="FF73DCF1"/>
      <color rgb="FF579BFF"/>
      <color rgb="FF0000FF"/>
      <color rgb="FF88BD67"/>
      <color rgb="FF9FC8E9"/>
      <color rgb="FFFF65D7"/>
      <color rgb="FFE3ABFF"/>
      <color rgb="FFCC66FF"/>
      <color rgb="FFEE00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EE0033"/>
    <outlinePr summaryBelow="0" summaryRight="0"/>
    <pageSetUpPr fitToPage="1"/>
  </sheetPr>
  <dimension ref="A1:S16"/>
  <sheetViews>
    <sheetView zoomScaleNormal="100" workbookViewId="0">
      <pane xSplit="3" ySplit="7" topLeftCell="D8" activePane="bottomRight" state="frozen"/>
      <selection activeCell="AD1" sqref="AD1:AI1048576"/>
      <selection pane="topRight" activeCell="AD1" sqref="AD1:AI1048576"/>
      <selection pane="bottomLeft" activeCell="AD1" sqref="AD1:AI1048576"/>
      <selection pane="bottomRight" activeCell="F43" sqref="F43"/>
    </sheetView>
  </sheetViews>
  <sheetFormatPr defaultColWidth="9.28515625" defaultRowHeight="12.75" outlineLevelRow="1" outlineLevelCol="1" x14ac:dyDescent="0.25"/>
  <cols>
    <col min="1" max="1" width="6.140625" style="325" customWidth="1"/>
    <col min="2" max="2" width="62" style="326" customWidth="1"/>
    <col min="3" max="3" width="6.7109375" style="327" customWidth="1"/>
    <col min="4" max="5" width="16.7109375" style="52" customWidth="1" outlineLevel="1"/>
    <col min="6" max="6" width="11.42578125" style="52" customWidth="1" outlineLevel="1" collapsed="1"/>
    <col min="7" max="7" width="21.5703125" style="52" customWidth="1" outlineLevel="1"/>
    <col min="8" max="8" width="22.42578125" style="52" customWidth="1" outlineLevel="1"/>
    <col min="9" max="9" width="13.140625" style="328" customWidth="1"/>
    <col min="10" max="10" width="6.7109375" style="124" customWidth="1"/>
    <col min="11" max="11" width="7.7109375" style="124" customWidth="1" outlineLevel="1"/>
    <col min="12" max="12" width="4.5703125" style="124" customWidth="1" outlineLevel="1"/>
    <col min="13" max="13" width="12.5703125" style="124" customWidth="1" outlineLevel="1"/>
    <col min="14" max="14" width="10.140625" style="124" customWidth="1" outlineLevel="1"/>
    <col min="15" max="15" width="9.140625" style="120" customWidth="1" outlineLevel="1"/>
    <col min="16" max="16" width="57.140625" style="120" customWidth="1"/>
    <col min="17" max="17" width="16.42578125" style="120" customWidth="1"/>
    <col min="18" max="19" width="9.28515625" style="120" customWidth="1"/>
    <col min="20" max="25" width="9.28515625" style="4" customWidth="1"/>
    <col min="26" max="16384" width="9.28515625" style="4"/>
  </cols>
  <sheetData>
    <row r="1" spans="1:19" ht="39.950000000000003" customHeight="1" x14ac:dyDescent="0.25">
      <c r="A1" s="592" t="s">
        <v>166</v>
      </c>
      <c r="B1" s="592"/>
      <c r="C1" s="592"/>
      <c r="D1" s="592"/>
      <c r="E1" s="592"/>
      <c r="F1" s="592"/>
      <c r="G1" s="592"/>
      <c r="H1" s="592"/>
      <c r="I1" s="592"/>
      <c r="O1" s="124"/>
      <c r="P1" s="585"/>
    </row>
    <row r="2" spans="1:19" s="115" customFormat="1" ht="6.6" customHeight="1" x14ac:dyDescent="0.25">
      <c r="A2" s="587"/>
      <c r="B2" s="587"/>
      <c r="C2" s="297"/>
      <c r="D2" s="298"/>
      <c r="E2" s="298"/>
      <c r="F2" s="298"/>
      <c r="G2" s="298"/>
      <c r="H2" s="298"/>
      <c r="I2" s="299"/>
      <c r="J2" s="300"/>
      <c r="K2" s="300"/>
      <c r="L2" s="300"/>
      <c r="M2" s="300"/>
      <c r="N2" s="300"/>
      <c r="O2" s="301"/>
      <c r="P2" s="586"/>
      <c r="Q2" s="301"/>
      <c r="R2" s="301"/>
      <c r="S2" s="301"/>
    </row>
    <row r="3" spans="1:19" s="116" customFormat="1" x14ac:dyDescent="0.25">
      <c r="A3" s="588"/>
      <c r="B3" s="588"/>
      <c r="C3" s="302"/>
      <c r="D3" s="303"/>
      <c r="E3" s="303"/>
      <c r="F3" s="304"/>
      <c r="G3" s="599" t="s">
        <v>72</v>
      </c>
      <c r="H3" s="599"/>
      <c r="I3" s="305"/>
      <c r="J3" s="306" t="s">
        <v>72</v>
      </c>
      <c r="K3" s="306"/>
      <c r="L3" s="306"/>
      <c r="M3" s="300"/>
      <c r="N3" s="300"/>
      <c r="O3" s="306"/>
      <c r="P3" s="586"/>
      <c r="Q3" s="306"/>
      <c r="R3" s="306"/>
      <c r="S3" s="306"/>
    </row>
    <row r="4" spans="1:19" s="154" customFormat="1" ht="26.25" customHeight="1" x14ac:dyDescent="0.25">
      <c r="A4" s="593" t="s">
        <v>0</v>
      </c>
      <c r="B4" s="593" t="s">
        <v>1</v>
      </c>
      <c r="C4" s="596" t="s">
        <v>2</v>
      </c>
      <c r="D4" s="600" t="s">
        <v>167</v>
      </c>
      <c r="E4" s="601"/>
      <c r="F4" s="604" t="s">
        <v>63</v>
      </c>
      <c r="G4" s="606" t="s">
        <v>96</v>
      </c>
      <c r="H4" s="606"/>
      <c r="I4" s="589" t="s">
        <v>97</v>
      </c>
      <c r="J4" s="307" t="s">
        <v>43</v>
      </c>
      <c r="K4" s="307" t="s">
        <v>44</v>
      </c>
      <c r="L4" s="307" t="s">
        <v>45</v>
      </c>
      <c r="M4" s="308"/>
      <c r="N4" s="308"/>
      <c r="O4" s="308"/>
      <c r="P4" s="586"/>
      <c r="Q4" s="309"/>
      <c r="R4" s="309"/>
      <c r="S4" s="309"/>
    </row>
    <row r="5" spans="1:19" s="154" customFormat="1" ht="13.15" customHeight="1" x14ac:dyDescent="0.25">
      <c r="A5" s="594"/>
      <c r="B5" s="594"/>
      <c r="C5" s="597"/>
      <c r="D5" s="602"/>
      <c r="E5" s="603"/>
      <c r="F5" s="605"/>
      <c r="G5" s="606"/>
      <c r="H5" s="606"/>
      <c r="I5" s="590"/>
      <c r="J5" s="307"/>
      <c r="K5" s="307"/>
      <c r="L5" s="307"/>
      <c r="M5" s="308"/>
      <c r="N5" s="308"/>
      <c r="O5" s="308"/>
      <c r="P5" s="586"/>
      <c r="Q5" s="309"/>
      <c r="R5" s="309"/>
      <c r="S5" s="309"/>
    </row>
    <row r="6" spans="1:19" s="154" customFormat="1" ht="15" x14ac:dyDescent="0.25">
      <c r="A6" s="595"/>
      <c r="B6" s="595"/>
      <c r="C6" s="598"/>
      <c r="D6" s="155">
        <v>2027</v>
      </c>
      <c r="E6" s="155">
        <v>2028</v>
      </c>
      <c r="F6" s="181" t="s">
        <v>3</v>
      </c>
      <c r="G6" s="155">
        <v>2027</v>
      </c>
      <c r="H6" s="155">
        <v>2028</v>
      </c>
      <c r="I6" s="590"/>
      <c r="J6" s="307"/>
      <c r="K6" s="307"/>
      <c r="L6" s="307"/>
      <c r="M6" s="308"/>
      <c r="N6" s="308"/>
      <c r="O6" s="308"/>
      <c r="P6" s="586"/>
      <c r="Q6" s="309"/>
      <c r="R6" s="309"/>
      <c r="S6" s="309"/>
    </row>
    <row r="7" spans="1:19" s="156" customFormat="1" ht="15" outlineLevel="1" x14ac:dyDescent="0.25">
      <c r="A7" s="189"/>
      <c r="B7" s="311"/>
      <c r="C7" s="311">
        <v>6</v>
      </c>
      <c r="D7" s="312"/>
      <c r="E7" s="312"/>
      <c r="F7" s="188">
        <v>7</v>
      </c>
      <c r="G7" s="313">
        <f>SUBTOTAL(9,G8:G10)</f>
        <v>0</v>
      </c>
      <c r="H7" s="313">
        <f>SUBTOTAL(9,H8:H10)</f>
        <v>0</v>
      </c>
      <c r="I7" s="591"/>
      <c r="J7" s="308"/>
      <c r="K7" s="308"/>
      <c r="L7" s="308"/>
      <c r="M7" s="308"/>
      <c r="N7" s="308"/>
      <c r="O7" s="308"/>
      <c r="P7" s="586"/>
      <c r="Q7" s="308"/>
      <c r="R7" s="308"/>
      <c r="S7" s="308"/>
    </row>
    <row r="8" spans="1:19" s="157" customFormat="1" ht="15" x14ac:dyDescent="0.25">
      <c r="A8" s="314"/>
      <c r="B8" s="315" t="s">
        <v>164</v>
      </c>
      <c r="C8" s="314"/>
      <c r="D8" s="310"/>
      <c r="E8" s="310"/>
      <c r="F8" s="310"/>
      <c r="G8" s="193">
        <f>SUBTOTAL(9,G9:G16)</f>
        <v>0</v>
      </c>
      <c r="H8" s="193">
        <f>SUBTOTAL(9,H9:H16)</f>
        <v>0</v>
      </c>
      <c r="I8" s="192"/>
      <c r="J8" s="316"/>
      <c r="K8" s="308"/>
      <c r="L8" s="308"/>
      <c r="M8" s="308"/>
      <c r="N8" s="308"/>
      <c r="O8" s="317"/>
      <c r="P8" s="317"/>
      <c r="Q8" s="317"/>
      <c r="R8" s="317"/>
      <c r="S8" s="317"/>
    </row>
    <row r="9" spans="1:19" s="157" customFormat="1" ht="15" x14ac:dyDescent="0.25">
      <c r="A9" s="191" t="s">
        <v>52</v>
      </c>
      <c r="B9" s="318" t="s">
        <v>165</v>
      </c>
      <c r="C9" s="314"/>
      <c r="D9" s="310"/>
      <c r="E9" s="310"/>
      <c r="F9" s="310"/>
      <c r="G9" s="193">
        <f>SUBTOTAL(9,G10:G15)</f>
        <v>0</v>
      </c>
      <c r="H9" s="193">
        <f>SUBTOTAL(9,H10:H15)</f>
        <v>0</v>
      </c>
      <c r="I9" s="193"/>
      <c r="J9" s="308"/>
      <c r="K9" s="308"/>
      <c r="L9" s="308"/>
      <c r="M9" s="308"/>
      <c r="N9" s="308"/>
      <c r="O9" s="317"/>
      <c r="P9" s="317"/>
      <c r="Q9" s="317"/>
      <c r="R9" s="317"/>
      <c r="S9" s="317"/>
    </row>
    <row r="10" spans="1:19" s="160" customFormat="1" ht="14.25" x14ac:dyDescent="0.25">
      <c r="A10" s="344" t="s">
        <v>11</v>
      </c>
      <c r="B10" s="345" t="s">
        <v>12</v>
      </c>
      <c r="C10" s="346"/>
      <c r="D10" s="347"/>
      <c r="E10" s="347"/>
      <c r="F10" s="347"/>
      <c r="G10" s="347" t="e">
        <f>SUBTOTAL(9,#REF!)</f>
        <v>#REF!</v>
      </c>
      <c r="H10" s="347" t="e">
        <f>SUBTOTAL(9,#REF!)</f>
        <v>#REF!</v>
      </c>
      <c r="I10" s="193"/>
      <c r="J10" s="319"/>
      <c r="K10" s="319"/>
      <c r="L10" s="319"/>
      <c r="M10" s="320"/>
      <c r="N10" s="320"/>
      <c r="O10" s="320"/>
      <c r="P10" s="320"/>
      <c r="Q10" s="320"/>
      <c r="R10" s="320"/>
      <c r="S10" s="320"/>
    </row>
    <row r="11" spans="1:19" ht="14.25" x14ac:dyDescent="0.25">
      <c r="A11" s="339" t="s">
        <v>22</v>
      </c>
      <c r="B11" s="340" t="s">
        <v>13</v>
      </c>
      <c r="C11" s="341"/>
      <c r="D11" s="342"/>
      <c r="E11" s="342"/>
      <c r="F11" s="343"/>
      <c r="G11" s="342" t="e">
        <f>SUBTOTAL(9,#REF!)</f>
        <v>#REF!</v>
      </c>
      <c r="H11" s="342" t="e">
        <f>SUBTOTAL(9,#REF!)</f>
        <v>#REF!</v>
      </c>
      <c r="I11" s="321"/>
      <c r="J11" s="322"/>
      <c r="K11" s="323"/>
      <c r="L11" s="323"/>
    </row>
    <row r="12" spans="1:19" ht="15" x14ac:dyDescent="0.25">
      <c r="A12" s="183" t="s">
        <v>23</v>
      </c>
      <c r="B12" s="184" t="s">
        <v>19</v>
      </c>
      <c r="C12" s="185"/>
      <c r="D12" s="186"/>
      <c r="E12" s="186"/>
      <c r="F12" s="187"/>
      <c r="G12" s="186" t="e">
        <f>SUBTOTAL(9,#REF!)</f>
        <v>#REF!</v>
      </c>
      <c r="H12" s="186" t="e">
        <f>SUBTOTAL(9,#REF!)</f>
        <v>#REF!</v>
      </c>
      <c r="I12" s="194"/>
      <c r="J12" s="190"/>
      <c r="K12" s="324"/>
      <c r="L12" s="324"/>
    </row>
    <row r="13" spans="1:19" ht="15" x14ac:dyDescent="0.25">
      <c r="A13" s="334" t="s">
        <v>24</v>
      </c>
      <c r="B13" s="335" t="s">
        <v>186</v>
      </c>
      <c r="C13" s="336"/>
      <c r="D13" s="337"/>
      <c r="E13" s="337"/>
      <c r="F13" s="338"/>
      <c r="G13" s="337" t="e">
        <f>SUBTOTAL(9,#REF!)</f>
        <v>#REF!</v>
      </c>
      <c r="H13" s="337" t="e">
        <f>SUBTOTAL(9,#REF!)</f>
        <v>#REF!</v>
      </c>
      <c r="I13" s="194"/>
      <c r="J13" s="190"/>
      <c r="K13" s="195"/>
      <c r="L13" s="195"/>
    </row>
    <row r="14" spans="1:19" ht="15" x14ac:dyDescent="0.25">
      <c r="A14" s="196" t="s">
        <v>26</v>
      </c>
      <c r="B14" s="197" t="s">
        <v>16</v>
      </c>
      <c r="C14" s="158"/>
      <c r="D14" s="159"/>
      <c r="E14" s="159"/>
      <c r="F14" s="198"/>
      <c r="G14" s="159" t="e">
        <f>SUBTOTAL(9,#REF!)</f>
        <v>#REF!</v>
      </c>
      <c r="H14" s="159" t="e">
        <f>SUBTOTAL(9,#REF!)</f>
        <v>#REF!</v>
      </c>
      <c r="I14" s="194"/>
      <c r="J14" s="190"/>
      <c r="K14" s="195"/>
      <c r="L14" s="195"/>
    </row>
    <row r="15" spans="1:19" ht="15" x14ac:dyDescent="0.25">
      <c r="A15" s="329" t="s">
        <v>26</v>
      </c>
      <c r="B15" s="330" t="s">
        <v>5</v>
      </c>
      <c r="C15" s="331"/>
      <c r="D15" s="332"/>
      <c r="E15" s="332"/>
      <c r="F15" s="333"/>
      <c r="G15" s="332" t="e">
        <f>SUBTOTAL(9,#REF!)</f>
        <v>#REF!</v>
      </c>
      <c r="H15" s="332" t="e">
        <f>SUBTOTAL(9,#REF!)</f>
        <v>#REF!</v>
      </c>
      <c r="I15" s="194"/>
      <c r="J15" s="190"/>
      <c r="K15" s="195"/>
      <c r="L15" s="195"/>
    </row>
    <row r="16" spans="1:19" ht="15" x14ac:dyDescent="0.25">
      <c r="A16" s="349" t="s">
        <v>210</v>
      </c>
      <c r="B16" s="350" t="s">
        <v>211</v>
      </c>
      <c r="C16" s="351"/>
      <c r="D16" s="352"/>
      <c r="E16" s="352"/>
      <c r="F16" s="348"/>
      <c r="G16" s="352" t="e">
        <f>SUBTOTAL(9,#REF!)</f>
        <v>#REF!</v>
      </c>
      <c r="H16" s="352" t="e">
        <f>SUBTOTAL(9,#REF!)</f>
        <v>#REF!</v>
      </c>
      <c r="I16" s="194"/>
      <c r="J16" s="308"/>
      <c r="K16" s="319"/>
      <c r="L16" s="319"/>
    </row>
  </sheetData>
  <autoFilter ref="A7:Q16"/>
  <dataConsolidate/>
  <mergeCells count="11">
    <mergeCell ref="P1:P7"/>
    <mergeCell ref="A2:B3"/>
    <mergeCell ref="I4:I7"/>
    <mergeCell ref="A1:I1"/>
    <mergeCell ref="A4:A6"/>
    <mergeCell ref="B4:B6"/>
    <mergeCell ref="C4:C6"/>
    <mergeCell ref="G3:H3"/>
    <mergeCell ref="D4:E5"/>
    <mergeCell ref="F4:F5"/>
    <mergeCell ref="G4:H5"/>
  </mergeCells>
  <pageMargins left="0.4" right="0" top="0.28000000000000003" bottom="0" header="0.1" footer="0"/>
  <pageSetup paperSize="8" scale="85" fitToHeight="0" orientation="landscape" horizontalDpi="4294967295" verticalDpi="4294967295"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Mã!$D$4:$D$6</xm:f>
          </x14:formula1>
          <xm:sqref>L1:L10</xm:sqref>
        </x14:dataValidation>
        <x14:dataValidation type="list" allowBlank="1" showInputMessage="1" showErrorMessage="1">
          <x14:formula1>
            <xm:f>Mã!$B$4:$B$13</xm:f>
          </x14:formula1>
          <xm:sqref>J1:J10</xm:sqref>
        </x14:dataValidation>
        <x14:dataValidation type="list" allowBlank="1" showInputMessage="1" showErrorMessage="1">
          <x14:formula1>
            <xm:f>Mã!$C$4:$C$33</xm:f>
          </x14:formula1>
          <xm:sqref>K10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0000FF"/>
    <outlinePr summaryBelow="0" summaryRight="0"/>
  </sheetPr>
  <dimension ref="A1:AG31"/>
  <sheetViews>
    <sheetView zoomScaleNormal="100" workbookViewId="0">
      <pane xSplit="3" ySplit="4" topLeftCell="D5" activePane="bottomRight" state="frozen"/>
      <selection pane="topRight" activeCell="D1" sqref="D1"/>
      <selection pane="bottomLeft" activeCell="A5" sqref="A5"/>
      <selection pane="bottomRight" activeCell="F11" sqref="F11"/>
    </sheetView>
  </sheetViews>
  <sheetFormatPr defaultColWidth="8.7109375" defaultRowHeight="12.75" outlineLevelRow="1" outlineLevelCol="2" x14ac:dyDescent="0.25"/>
  <cols>
    <col min="1" max="1" width="2.28515625" style="651" customWidth="1"/>
    <col min="2" max="2" width="26.42578125" style="4" customWidth="1"/>
    <col min="3" max="3" width="9.28515625" style="5" customWidth="1" outlineLevel="1"/>
    <col min="4" max="6" width="8" style="4" bestFit="1" customWidth="1" outlineLevel="2"/>
    <col min="7" max="7" width="8.85546875" style="4" customWidth="1" outlineLevel="2"/>
    <col min="8" max="8" width="11.140625" style="4" customWidth="1" outlineLevel="2"/>
    <col min="9" max="9" width="7.85546875" style="4" customWidth="1" outlineLevel="2"/>
    <col min="10" max="11" width="8.85546875" style="4" customWidth="1" outlineLevel="2"/>
    <col min="12" max="12" width="8.28515625" style="4" customWidth="1" outlineLevel="2"/>
    <col min="13" max="13" width="8.42578125" style="10" customWidth="1" outlineLevel="1"/>
    <col min="14" max="14" width="9.7109375" style="4" bestFit="1" customWidth="1" outlineLevel="1"/>
    <col min="15" max="15" width="8.5703125" style="4" customWidth="1" outlineLevel="2"/>
    <col min="16" max="16" width="8.42578125" style="4" customWidth="1" outlineLevel="2"/>
    <col min="17" max="17" width="9.7109375" style="4" customWidth="1" outlineLevel="2"/>
    <col min="18" max="19" width="8" style="4" customWidth="1" outlineLevel="2"/>
    <col min="20" max="20" width="9.28515625" style="4" customWidth="1" outlineLevel="2"/>
    <col min="21" max="21" width="8.85546875" style="4" customWidth="1" outlineLevel="2"/>
    <col min="22" max="22" width="8" style="4" customWidth="1" outlineLevel="2"/>
    <col min="23" max="23" width="7.7109375" style="4" customWidth="1" outlineLevel="2"/>
    <col min="24" max="24" width="7.140625" style="10" customWidth="1" outlineLevel="1"/>
    <col min="25" max="25" width="7.7109375" style="4" customWidth="1" outlineLevel="1"/>
    <col min="26" max="26" width="8.28515625" style="10" customWidth="1"/>
    <col min="27" max="27" width="9" style="4" bestFit="1" customWidth="1"/>
    <col min="28" max="32" width="8.7109375" style="4"/>
    <col min="33" max="33" width="8.7109375" style="5"/>
    <col min="34" max="16384" width="8.7109375" style="4"/>
  </cols>
  <sheetData>
    <row r="1" spans="1:33" x14ac:dyDescent="0.25">
      <c r="D1" s="42">
        <v>1000000</v>
      </c>
      <c r="H1" s="62"/>
      <c r="I1" s="62"/>
      <c r="Y1" s="10"/>
      <c r="AA1" s="10"/>
      <c r="AB1" s="10"/>
      <c r="AC1" s="10"/>
      <c r="AD1" s="10"/>
      <c r="AE1" s="10"/>
      <c r="AF1" s="10"/>
    </row>
    <row r="2" spans="1:33" ht="13.15" customHeight="1" x14ac:dyDescent="0.25">
      <c r="A2" s="652" t="s">
        <v>48</v>
      </c>
      <c r="B2" s="8" t="s">
        <v>33</v>
      </c>
      <c r="C2" s="43" t="s">
        <v>82</v>
      </c>
      <c r="D2" s="610" t="s">
        <v>141</v>
      </c>
      <c r="E2" s="611"/>
      <c r="F2" s="611"/>
      <c r="G2" s="611"/>
      <c r="H2" s="611"/>
      <c r="I2" s="611"/>
      <c r="J2" s="611"/>
      <c r="K2" s="611"/>
      <c r="L2" s="611"/>
      <c r="M2" s="612"/>
      <c r="N2" s="607" t="s">
        <v>142</v>
      </c>
      <c r="O2" s="608"/>
      <c r="P2" s="608"/>
      <c r="Q2" s="608"/>
      <c r="R2" s="608"/>
      <c r="S2" s="608"/>
      <c r="T2" s="608"/>
      <c r="U2" s="608"/>
      <c r="V2" s="608"/>
      <c r="W2" s="609"/>
      <c r="X2" s="610" t="s">
        <v>143</v>
      </c>
      <c r="Y2" s="611"/>
      <c r="Z2" s="611"/>
      <c r="AA2" s="611"/>
      <c r="AB2" s="611"/>
      <c r="AC2" s="611"/>
      <c r="AD2" s="611"/>
      <c r="AE2" s="611"/>
      <c r="AF2" s="612"/>
    </row>
    <row r="3" spans="1:33" ht="25.5" x14ac:dyDescent="0.25">
      <c r="A3" s="652"/>
      <c r="B3" s="8" t="s">
        <v>46</v>
      </c>
      <c r="C3" s="41" t="s">
        <v>44</v>
      </c>
      <c r="D3" s="55" t="s">
        <v>7</v>
      </c>
      <c r="E3" s="55" t="s">
        <v>14</v>
      </c>
      <c r="F3" s="55" t="s">
        <v>19</v>
      </c>
      <c r="G3" s="55" t="s">
        <v>21</v>
      </c>
      <c r="H3" s="55" t="s">
        <v>17</v>
      </c>
      <c r="I3" s="55" t="s">
        <v>317</v>
      </c>
      <c r="J3" s="55" t="s">
        <v>6</v>
      </c>
      <c r="K3" s="55" t="s">
        <v>9</v>
      </c>
      <c r="L3" s="56" t="s">
        <v>41</v>
      </c>
      <c r="M3" s="55" t="s">
        <v>42</v>
      </c>
      <c r="N3" s="57" t="s">
        <v>7</v>
      </c>
      <c r="O3" s="57" t="s">
        <v>14</v>
      </c>
      <c r="P3" s="57" t="s">
        <v>19</v>
      </c>
      <c r="Q3" s="57" t="s">
        <v>21</v>
      </c>
      <c r="R3" s="57" t="s">
        <v>17</v>
      </c>
      <c r="S3" s="57" t="s">
        <v>317</v>
      </c>
      <c r="T3" s="57" t="s">
        <v>6</v>
      </c>
      <c r="U3" s="57" t="s">
        <v>9</v>
      </c>
      <c r="V3" s="58" t="s">
        <v>41</v>
      </c>
      <c r="W3" s="57" t="s">
        <v>42</v>
      </c>
      <c r="X3" s="55" t="s">
        <v>7</v>
      </c>
      <c r="Y3" s="55" t="s">
        <v>14</v>
      </c>
      <c r="Z3" s="55" t="s">
        <v>19</v>
      </c>
      <c r="AA3" s="55" t="s">
        <v>21</v>
      </c>
      <c r="AB3" s="55" t="s">
        <v>17</v>
      </c>
      <c r="AC3" s="55" t="s">
        <v>317</v>
      </c>
      <c r="AD3" s="55" t="s">
        <v>6</v>
      </c>
      <c r="AE3" s="56" t="s">
        <v>41</v>
      </c>
      <c r="AF3" s="55" t="s">
        <v>42</v>
      </c>
    </row>
    <row r="4" spans="1:33" s="36" customFormat="1" outlineLevel="1" x14ac:dyDescent="0.25">
      <c r="A4" s="653" t="s">
        <v>49</v>
      </c>
      <c r="B4" s="78" t="s">
        <v>41</v>
      </c>
      <c r="C4" s="18"/>
      <c r="D4" s="177">
        <f>SUBTOTAL(9,D6:D30)</f>
        <v>0</v>
      </c>
      <c r="E4" s="177">
        <f>SUBTOTAL(9,E6:E30)</f>
        <v>0</v>
      </c>
      <c r="F4" s="161">
        <f>SUBTOTAL(9,F6:F30)</f>
        <v>0</v>
      </c>
      <c r="G4" s="177">
        <f>SUBTOTAL(9,G6:G31)</f>
        <v>0</v>
      </c>
      <c r="H4" s="161">
        <f>SUBTOTAL(9,H6:H30)</f>
        <v>0</v>
      </c>
      <c r="I4" s="161">
        <f>SUBTOTAL(9,I6:I30)</f>
        <v>0</v>
      </c>
      <c r="J4" s="177">
        <f>SUBTOTAL(9,J6:J30)</f>
        <v>0</v>
      </c>
      <c r="K4" s="177">
        <f>SUBTOTAL(9,K6:K30)</f>
        <v>0</v>
      </c>
      <c r="L4" s="177">
        <f>SUBTOTAL(9,L6:L31)</f>
        <v>0</v>
      </c>
      <c r="M4" s="102"/>
      <c r="N4" s="177">
        <f>SUBTOTAL(9,N6:N30)</f>
        <v>0</v>
      </c>
      <c r="O4" s="177">
        <f>SUBTOTAL(9,O6:O30)</f>
        <v>0</v>
      </c>
      <c r="P4" s="161">
        <f>SUBTOTAL(9,P6:P30)</f>
        <v>0</v>
      </c>
      <c r="Q4" s="177">
        <f>SUBTOTAL(9,Q6:Q31)</f>
        <v>0</v>
      </c>
      <c r="R4" s="161">
        <f>SUBTOTAL(9,R6:R30)</f>
        <v>0</v>
      </c>
      <c r="S4" s="161">
        <f>SUBTOTAL(9,S6:S30)</f>
        <v>0</v>
      </c>
      <c r="T4" s="177">
        <f>SUBTOTAL(9,T6:T30)</f>
        <v>0</v>
      </c>
      <c r="U4" s="177">
        <f>SUBTOTAL(9,U6:U30)</f>
        <v>0</v>
      </c>
      <c r="V4" s="178">
        <f>SUBTOTAL(9,V6:V30)</f>
        <v>0</v>
      </c>
      <c r="W4" s="168"/>
      <c r="X4" s="77">
        <f>SUBTOTAL(9,X6:X30)</f>
        <v>0</v>
      </c>
      <c r="Y4" s="77">
        <f>SUBTOTAL(9,Y6:Y30)</f>
        <v>0</v>
      </c>
      <c r="Z4" s="77">
        <f>SUBTOTAL(9,Z6:Z30)</f>
        <v>0</v>
      </c>
      <c r="AA4" s="77">
        <f>SUBTOTAL(9,AA6:AA30)</f>
        <v>0</v>
      </c>
      <c r="AB4" s="77">
        <f>SUBTOTAL(9,AB6:AB30)</f>
        <v>0</v>
      </c>
      <c r="AC4" s="77">
        <f>SUBTOTAL(9,AC6:AC30)</f>
        <v>0</v>
      </c>
      <c r="AD4" s="77">
        <f>SUBTOTAL(9,AD6:AD30)</f>
        <v>0</v>
      </c>
      <c r="AE4" s="77">
        <f>SUBTOTAL(9,AE6:AE30)</f>
        <v>0</v>
      </c>
      <c r="AF4" s="90" t="e">
        <f>AE4/$AE$4</f>
        <v>#DIV/0!</v>
      </c>
      <c r="AG4" s="48"/>
    </row>
    <row r="5" spans="1:33" s="50" customFormat="1" ht="13.5" outlineLevel="1" x14ac:dyDescent="0.25">
      <c r="A5" s="654"/>
      <c r="B5" s="79" t="s">
        <v>90</v>
      </c>
      <c r="C5" s="80"/>
      <c r="D5" s="174" t="e">
        <f>D4/$L$4</f>
        <v>#DIV/0!</v>
      </c>
      <c r="E5" s="174" t="e">
        <f>E4/$L$4</f>
        <v>#DIV/0!</v>
      </c>
      <c r="F5" s="174" t="e">
        <f>F4/$L$4</f>
        <v>#DIV/0!</v>
      </c>
      <c r="G5" s="174" t="e">
        <f>G4/$L$4</f>
        <v>#DIV/0!</v>
      </c>
      <c r="H5" s="174" t="e">
        <f>H4/$L$4</f>
        <v>#DIV/0!</v>
      </c>
      <c r="I5" s="174" t="e">
        <f>I4/$L$4</f>
        <v>#DIV/0!</v>
      </c>
      <c r="J5" s="174" t="e">
        <f>J4/$L$4</f>
        <v>#DIV/0!</v>
      </c>
      <c r="K5" s="174" t="e">
        <f>K4/$L$4</f>
        <v>#DIV/0!</v>
      </c>
      <c r="L5" s="174" t="e">
        <f>L4/$L$4</f>
        <v>#DIV/0!</v>
      </c>
      <c r="M5" s="103"/>
      <c r="N5" s="174" t="e">
        <f>N4/$V$4</f>
        <v>#DIV/0!</v>
      </c>
      <c r="O5" s="174" t="e">
        <f>O4/$V$4</f>
        <v>#DIV/0!</v>
      </c>
      <c r="P5" s="174" t="e">
        <f>P4/$V$4</f>
        <v>#DIV/0!</v>
      </c>
      <c r="Q5" s="174" t="e">
        <f>Q4/$V$4</f>
        <v>#DIV/0!</v>
      </c>
      <c r="R5" s="174" t="e">
        <f>R4/$V$4</f>
        <v>#DIV/0!</v>
      </c>
      <c r="S5" s="174" t="e">
        <f>S4/$V$4</f>
        <v>#DIV/0!</v>
      </c>
      <c r="T5" s="174" t="e">
        <f>T4/$V$4</f>
        <v>#DIV/0!</v>
      </c>
      <c r="U5" s="174" t="e">
        <f>U4/$L$4</f>
        <v>#DIV/0!</v>
      </c>
      <c r="V5" s="174" t="e">
        <f>V4/$V$4</f>
        <v>#DIV/0!</v>
      </c>
      <c r="W5" s="169"/>
      <c r="X5" s="81" t="e">
        <f>X4/$AE$4</f>
        <v>#DIV/0!</v>
      </c>
      <c r="Y5" s="91" t="e">
        <f>Y4/$AE$4</f>
        <v>#DIV/0!</v>
      </c>
      <c r="Z5" s="81" t="e">
        <f>Z4/$AE$4</f>
        <v>#DIV/0!</v>
      </c>
      <c r="AA5" s="91" t="e">
        <f>AA4/$AE$4</f>
        <v>#DIV/0!</v>
      </c>
      <c r="AB5" s="81" t="e">
        <f>AB4/$AE$4</f>
        <v>#DIV/0!</v>
      </c>
      <c r="AC5" s="81" t="e">
        <f>AC4/$AE$4</f>
        <v>#DIV/0!</v>
      </c>
      <c r="AD5" s="81" t="e">
        <f>AD4/$AE$4</f>
        <v>#DIV/0!</v>
      </c>
      <c r="AE5" s="81" t="e">
        <f>AE4/$AE$4</f>
        <v>#DIV/0!</v>
      </c>
      <c r="AF5" s="81"/>
      <c r="AG5" s="49"/>
    </row>
    <row r="6" spans="1:33" ht="25.5" outlineLevel="1" x14ac:dyDescent="0.25">
      <c r="A6" s="655" t="s">
        <v>4</v>
      </c>
      <c r="B6" s="101" t="s">
        <v>107</v>
      </c>
      <c r="C6" s="86"/>
      <c r="D6" s="162">
        <f>SUBTOTAL(9,D7:D10)</f>
        <v>0</v>
      </c>
      <c r="E6" s="162">
        <f t="shared" ref="E6:L6" si="0">SUBTOTAL(9,E7:E10)</f>
        <v>0</v>
      </c>
      <c r="F6" s="162">
        <f t="shared" si="0"/>
        <v>0</v>
      </c>
      <c r="G6" s="162">
        <f t="shared" si="0"/>
        <v>0</v>
      </c>
      <c r="H6" s="162">
        <f t="shared" si="0"/>
        <v>0</v>
      </c>
      <c r="I6" s="162">
        <f t="shared" si="0"/>
        <v>0</v>
      </c>
      <c r="J6" s="162">
        <f t="shared" si="0"/>
        <v>0</v>
      </c>
      <c r="K6" s="162">
        <f t="shared" ref="K6" si="1">SUBTOTAL(9,K7:K10)</f>
        <v>0</v>
      </c>
      <c r="L6" s="176">
        <f t="shared" si="0"/>
        <v>0</v>
      </c>
      <c r="M6" s="104" t="e">
        <f>L6/$L$4</f>
        <v>#DIV/0!</v>
      </c>
      <c r="N6" s="162">
        <f>SUBTOTAL(9,N7:N10)</f>
        <v>0</v>
      </c>
      <c r="O6" s="162">
        <f t="shared" ref="O6:V6" si="2">SUBTOTAL(9,O7:O10)</f>
        <v>0</v>
      </c>
      <c r="P6" s="162">
        <f t="shared" si="2"/>
        <v>0</v>
      </c>
      <c r="Q6" s="162">
        <f t="shared" si="2"/>
        <v>0</v>
      </c>
      <c r="R6" s="162">
        <f t="shared" si="2"/>
        <v>0</v>
      </c>
      <c r="S6" s="162"/>
      <c r="T6" s="162">
        <f t="shared" si="2"/>
        <v>0</v>
      </c>
      <c r="U6" s="162">
        <f t="shared" si="2"/>
        <v>0</v>
      </c>
      <c r="V6" s="162">
        <f t="shared" si="2"/>
        <v>0</v>
      </c>
      <c r="W6" s="104" t="e">
        <f>V6/$V$4</f>
        <v>#DIV/0!</v>
      </c>
      <c r="X6" s="66">
        <f t="shared" ref="X6:AD6" si="3">SUBTOTAL(9,X7:X9)</f>
        <v>0</v>
      </c>
      <c r="Y6" s="66">
        <f t="shared" si="3"/>
        <v>0</v>
      </c>
      <c r="Z6" s="66">
        <f t="shared" si="3"/>
        <v>0</v>
      </c>
      <c r="AA6" s="66">
        <f t="shared" si="3"/>
        <v>0</v>
      </c>
      <c r="AB6" s="66">
        <f t="shared" si="3"/>
        <v>0</v>
      </c>
      <c r="AC6" s="66">
        <f t="shared" ref="AC6" si="4">SUBTOTAL(9,AC7:AC9)</f>
        <v>0</v>
      </c>
      <c r="AD6" s="66">
        <f t="shared" si="3"/>
        <v>0</v>
      </c>
      <c r="AE6" s="66">
        <f>SUBTOTAL(9,AE7:AE10)</f>
        <v>0</v>
      </c>
      <c r="AF6" s="89" t="e">
        <f t="shared" ref="AF6:AF30" si="5">AE6/$AE$4</f>
        <v>#DIV/0!</v>
      </c>
      <c r="AG6" s="114"/>
    </row>
    <row r="7" spans="1:33" outlineLevel="1" x14ac:dyDescent="0.25">
      <c r="A7" s="476">
        <v>1</v>
      </c>
      <c r="B7" s="72" t="s">
        <v>54</v>
      </c>
      <c r="C7" s="44" t="s">
        <v>47</v>
      </c>
      <c r="D7" s="163">
        <f>SUMIFS('PL1.1 ML2027-2028'!$G:$G,'PL1.1 ML2027-2028'!$J:$J,'TH theo DV'!$D$3,'PL1.1 ML2027-2028'!$K:$K,'TH theo DV'!C7)/$D$1</f>
        <v>0</v>
      </c>
      <c r="E7" s="163">
        <f>SUMIFS('PL1.1 ML2027-2028'!$G:$G,'PL1.1 ML2027-2028'!$J:$J,'TH theo DV'!$E$3,'PL1.1 ML2027-2028'!$K:$K,'TH theo DV'!C7)/$D$1</f>
        <v>0</v>
      </c>
      <c r="F7" s="163">
        <f>SUMIFS('PL1.1 ML2027-2028'!$G:$G,'PL1.1 ML2027-2028'!$J:$J,'TH theo DV'!$F$3,'PL1.1 ML2027-2028'!$K:$K,'TH theo DV'!C7)/$D$1</f>
        <v>0</v>
      </c>
      <c r="G7" s="163">
        <f>SUMIFS('PL1.1 ML2027-2028'!$G:$G,'PL1.1 ML2027-2028'!$J:$J,'TH theo DV'!$G$3,'PL1.1 ML2027-2028'!$K:$K,'TH theo DV'!C7)/$D$1</f>
        <v>0</v>
      </c>
      <c r="H7" s="163">
        <f>SUMIFS('PL1.1 ML2027-2028'!$G:$G,'PL1.1 ML2027-2028'!$J:$J,'TH theo DV'!$H$3,'PL1.1 ML2027-2028'!$K:$K,'TH theo DV'!C7)/$D$1</f>
        <v>0</v>
      </c>
      <c r="I7" s="163">
        <f>SUMIFS('PL1.1 ML2027-2028'!$G:$G,'PL1.1 ML2027-2028'!$J:$J,I$3,'PL1.1 ML2027-2028'!$K:$K,C7)/$D$1</f>
        <v>0</v>
      </c>
      <c r="J7" s="163">
        <f>SUMIFS('PL1.1 ML2027-2028'!$G:$G,'PL1.1 ML2027-2028'!$J:$J,'TH theo DV'!$J$3,'PL1.1 ML2027-2028'!$K:$K,'TH theo DV'!C7)/$D$1</f>
        <v>0</v>
      </c>
      <c r="K7" s="163">
        <f>SUMIFS('PL1.1 ML2027-2028'!$G:$G,'PL1.1 ML2027-2028'!$J:$J,'TH theo DV'!K$3,'PL1.1 ML2027-2028'!$K:$K,'TH theo DV'!$C7)/$D$1</f>
        <v>0</v>
      </c>
      <c r="L7" s="175">
        <f>SUM(D7:K7)</f>
        <v>0</v>
      </c>
      <c r="M7" s="100" t="e">
        <f>L7/$L$4</f>
        <v>#DIV/0!</v>
      </c>
      <c r="N7" s="163">
        <f>SUMIFS('PL1.1 ML2027-2028'!$H:$H,'PL1.1 ML2027-2028'!$J:$J,'TH theo DV'!N$3,'PL1.1 ML2027-2028'!$K:$K,'TH theo DV'!$C7)/$D$1</f>
        <v>0</v>
      </c>
      <c r="O7" s="163">
        <f>SUMIFS('PL1.1 ML2027-2028'!$H:$H,'PL1.1 ML2027-2028'!$J:$J,'TH theo DV'!O$3,'PL1.1 ML2027-2028'!$K:$K,'TH theo DV'!$C7)/$D$1</f>
        <v>0</v>
      </c>
      <c r="P7" s="163">
        <f>SUMIFS('PL1.1 ML2027-2028'!$H:$H,'PL1.1 ML2027-2028'!$J:$J,'TH theo DV'!P$3,'PL1.1 ML2027-2028'!$K:$K,'TH theo DV'!$C7)/$D$1</f>
        <v>0</v>
      </c>
      <c r="Q7" s="163">
        <f>SUMIFS('PL1.1 ML2027-2028'!$H:$H,'PL1.1 ML2027-2028'!$J:$J,'TH theo DV'!Q$3,'PL1.1 ML2027-2028'!$K:$K,'TH theo DV'!$C7)/$D$1</f>
        <v>0</v>
      </c>
      <c r="R7" s="163">
        <f>SUMIFS('PL1.1 ML2027-2028'!$H:$H,'PL1.1 ML2027-2028'!$J:$J,'TH theo DV'!R$3,'PL1.1 ML2027-2028'!$K:$K,'TH theo DV'!$C7)/$D$1</f>
        <v>0</v>
      </c>
      <c r="S7" s="163">
        <f>SUMIFS('PL1.1 ML2027-2028'!$H:$H,'PL1.1 ML2027-2028'!$J:$J,'TH theo DV'!S$3,'PL1.1 ML2027-2028'!$K:$K,'TH theo DV'!$C7)/$D$1</f>
        <v>0</v>
      </c>
      <c r="T7" s="163">
        <f>SUMIFS('PL1.1 ML2027-2028'!$H:$H,'PL1.1 ML2027-2028'!$J:$J,'TH theo DV'!T$3,'PL1.1 ML2027-2028'!$K:$K,'TH theo DV'!$C7)/$D$1</f>
        <v>0</v>
      </c>
      <c r="U7" s="163">
        <f>SUMIFS('PL1.1 ML2027-2028'!$H:$H,'PL1.1 ML2027-2028'!$J:$J,'TH theo DV'!U$3,'PL1.1 ML2027-2028'!$K:$K,'TH theo DV'!$C7)/$D$1</f>
        <v>0</v>
      </c>
      <c r="V7" s="166">
        <f t="shared" ref="V7:V10" si="6">SUM(N7:U7)</f>
        <v>0</v>
      </c>
      <c r="W7" s="170"/>
      <c r="X7" s="65">
        <f>D7+N7</f>
        <v>0</v>
      </c>
      <c r="Y7" s="65">
        <f>E7+O7</f>
        <v>0</v>
      </c>
      <c r="Z7" s="65">
        <f>F7+P7</f>
        <v>0</v>
      </c>
      <c r="AA7" s="65">
        <f>G7+Q7</f>
        <v>0</v>
      </c>
      <c r="AB7" s="65">
        <f>H7+R7</f>
        <v>0</v>
      </c>
      <c r="AC7" s="65">
        <f>I7+S7</f>
        <v>0</v>
      </c>
      <c r="AD7" s="65">
        <f t="shared" ref="AD7:AD10" si="7">J7+T7</f>
        <v>0</v>
      </c>
      <c r="AE7" s="64">
        <f>SUM(X7:AD7)</f>
        <v>0</v>
      </c>
      <c r="AF7" s="9" t="e">
        <f t="shared" si="5"/>
        <v>#DIV/0!</v>
      </c>
      <c r="AG7" s="113"/>
    </row>
    <row r="8" spans="1:33" outlineLevel="1" x14ac:dyDescent="0.25">
      <c r="A8" s="476">
        <v>2</v>
      </c>
      <c r="B8" s="72" t="s">
        <v>108</v>
      </c>
      <c r="C8" s="98" t="s">
        <v>108</v>
      </c>
      <c r="D8" s="163">
        <f>SUMIFS('PL1.1 ML2027-2028'!$G:$G,'PL1.1 ML2027-2028'!$J:$J,'TH theo DV'!$D$3,'PL1.1 ML2027-2028'!$K:$K,'TH theo DV'!C8)/$D$1</f>
        <v>0</v>
      </c>
      <c r="E8" s="163">
        <f>SUMIFS('PL1.1 ML2027-2028'!$G:$G,'PL1.1 ML2027-2028'!$J:$J,'TH theo DV'!$E$3,'PL1.1 ML2027-2028'!$K:$K,'TH theo DV'!C8)/$D$1</f>
        <v>0</v>
      </c>
      <c r="F8" s="163">
        <f>SUMIFS('PL1.1 ML2027-2028'!$G:$G,'PL1.1 ML2027-2028'!$J:$J,'TH theo DV'!$F$3,'PL1.1 ML2027-2028'!$K:$K,'TH theo DV'!C8)/$D$1</f>
        <v>0</v>
      </c>
      <c r="G8" s="163">
        <f>SUMIFS('PL1.1 ML2027-2028'!$G:$G,'PL1.1 ML2027-2028'!$J:$J,'TH theo DV'!$G$3,'PL1.1 ML2027-2028'!$K:$K,'TH theo DV'!C8)/$D$1</f>
        <v>0</v>
      </c>
      <c r="H8" s="163">
        <f>SUMIFS('PL1.1 ML2027-2028'!$G:$G,'PL1.1 ML2027-2028'!$J:$J,'TH theo DV'!$H$3,'PL1.1 ML2027-2028'!$K:$K,'TH theo DV'!C8)/$D$1</f>
        <v>0</v>
      </c>
      <c r="I8" s="163">
        <f>SUMIFS('PL1.1 ML2027-2028'!$G:$G,'PL1.1 ML2027-2028'!$J:$J,I$3,'PL1.1 ML2027-2028'!$K:$K,C8)/$D$1</f>
        <v>0</v>
      </c>
      <c r="J8" s="163">
        <f>SUMIFS('PL1.1 ML2027-2028'!$G:$G,'PL1.1 ML2027-2028'!$J:$J,'TH theo DV'!$J$3,'PL1.1 ML2027-2028'!$K:$K,'TH theo DV'!C8)/$D$1</f>
        <v>0</v>
      </c>
      <c r="K8" s="163">
        <f>SUMIFS('PL1.1 ML2027-2028'!$G:$G,'PL1.1 ML2027-2028'!$J:$J,'TH theo DV'!K$3,'PL1.1 ML2027-2028'!$K:$K,'TH theo DV'!$C8)/$D$1</f>
        <v>0</v>
      </c>
      <c r="L8" s="164">
        <f>SUM(D8:K8)</f>
        <v>0</v>
      </c>
      <c r="M8" s="100" t="e">
        <f t="shared" ref="M8:M25" si="8">L8/$L$4</f>
        <v>#DIV/0!</v>
      </c>
      <c r="N8" s="163">
        <f>SUMIFS('PL1.1 ML2027-2028'!$H:$H,'PL1.1 ML2027-2028'!$J:$J,'TH theo DV'!N$3,'PL1.1 ML2027-2028'!$K:$K,'TH theo DV'!$C8)/$D$1</f>
        <v>0</v>
      </c>
      <c r="O8" s="163">
        <f>SUMIFS('PL1.1 ML2027-2028'!$H:$H,'PL1.1 ML2027-2028'!$J:$J,'TH theo DV'!O$3,'PL1.1 ML2027-2028'!$K:$K,'TH theo DV'!$C8)/$D$1</f>
        <v>0</v>
      </c>
      <c r="P8" s="163">
        <f>SUMIFS('PL1.1 ML2027-2028'!$H:$H,'PL1.1 ML2027-2028'!$J:$J,'TH theo DV'!P$3,'PL1.1 ML2027-2028'!$K:$K,'TH theo DV'!$C8)/$D$1</f>
        <v>0</v>
      </c>
      <c r="Q8" s="163">
        <f>SUMIFS('PL1.1 ML2027-2028'!$H:$H,'PL1.1 ML2027-2028'!$J:$J,'TH theo DV'!Q$3,'PL1.1 ML2027-2028'!$K:$K,'TH theo DV'!$C8)/$D$1</f>
        <v>0</v>
      </c>
      <c r="R8" s="163">
        <f>SUMIFS('PL1.1 ML2027-2028'!$H:$H,'PL1.1 ML2027-2028'!$J:$J,'TH theo DV'!R$3,'PL1.1 ML2027-2028'!$K:$K,'TH theo DV'!$C8)/$D$1</f>
        <v>0</v>
      </c>
      <c r="S8" s="163">
        <f>SUMIFS('PL1.1 ML2027-2028'!$H:$H,'PL1.1 ML2027-2028'!$J:$J,'TH theo DV'!S$3,'PL1.1 ML2027-2028'!$K:$K,'TH theo DV'!$C8)/$D$1</f>
        <v>0</v>
      </c>
      <c r="T8" s="163">
        <f>SUMIFS('PL1.1 ML2027-2028'!$H:$H,'PL1.1 ML2027-2028'!$J:$J,'TH theo DV'!T$3,'PL1.1 ML2027-2028'!$K:$K,'TH theo DV'!$C8)/$D$1</f>
        <v>0</v>
      </c>
      <c r="U8" s="163">
        <f>SUMIFS('PL1.1 ML2027-2028'!$H:$H,'PL1.1 ML2027-2028'!$J:$J,'TH theo DV'!U$3,'PL1.1 ML2027-2028'!$K:$K,'TH theo DV'!$C8)/$D$1</f>
        <v>0</v>
      </c>
      <c r="V8" s="166">
        <f t="shared" si="6"/>
        <v>0</v>
      </c>
      <c r="W8" s="170"/>
      <c r="X8" s="65">
        <f>D8+N8</f>
        <v>0</v>
      </c>
      <c r="Y8" s="65">
        <f>E8+O8</f>
        <v>0</v>
      </c>
      <c r="Z8" s="65">
        <f>F8+P8</f>
        <v>0</v>
      </c>
      <c r="AA8" s="65">
        <f>G8+Q8</f>
        <v>0</v>
      </c>
      <c r="AB8" s="65">
        <f>H8+R8</f>
        <v>0</v>
      </c>
      <c r="AC8" s="65">
        <f>I8+S8</f>
        <v>0</v>
      </c>
      <c r="AD8" s="65">
        <f t="shared" si="7"/>
        <v>0</v>
      </c>
      <c r="AE8" s="64">
        <f>SUM(X8:AD8)</f>
        <v>0</v>
      </c>
      <c r="AF8" s="9" t="e">
        <f t="shared" si="5"/>
        <v>#DIV/0!</v>
      </c>
    </row>
    <row r="9" spans="1:33" outlineLevel="1" x14ac:dyDescent="0.25">
      <c r="A9" s="476">
        <v>3</v>
      </c>
      <c r="B9" s="72" t="s">
        <v>109</v>
      </c>
      <c r="C9" s="69" t="s">
        <v>109</v>
      </c>
      <c r="D9" s="163">
        <f>SUMIFS('PL1.1 ML2027-2028'!$G:$G,'PL1.1 ML2027-2028'!$J:$J,'TH theo DV'!$D$3,'PL1.1 ML2027-2028'!$K:$K,'TH theo DV'!C9)/$D$1</f>
        <v>0</v>
      </c>
      <c r="E9" s="163">
        <f>SUMIFS('PL1.1 ML2027-2028'!$G:$G,'PL1.1 ML2027-2028'!$J:$J,'TH theo DV'!$E$3,'PL1.1 ML2027-2028'!$K:$K,'TH theo DV'!C9)/$D$1</f>
        <v>0</v>
      </c>
      <c r="F9" s="163">
        <f>SUMIFS('PL1.1 ML2027-2028'!$G:$G,'PL1.1 ML2027-2028'!$J:$J,'TH theo DV'!$F$3,'PL1.1 ML2027-2028'!$K:$K,'TH theo DV'!C9)/$D$1</f>
        <v>0</v>
      </c>
      <c r="G9" s="163">
        <f>SUMIFS('PL1.1 ML2027-2028'!$G:$G,'PL1.1 ML2027-2028'!$J:$J,'TH theo DV'!G$3,'PL1.1 ML2027-2028'!$K:$K,'TH theo DV'!$C9)/$D$1</f>
        <v>0</v>
      </c>
      <c r="H9" s="163">
        <f>SUMIFS('PL1.1 ML2027-2028'!$G:$G,'PL1.1 ML2027-2028'!$J:$J,'TH theo DV'!$H$3,'PL1.1 ML2027-2028'!$K:$K,'TH theo DV'!C9)/$D$1</f>
        <v>0</v>
      </c>
      <c r="I9" s="163">
        <f>SUMIFS('PL1.1 ML2027-2028'!$G:$G,'PL1.1 ML2027-2028'!$J:$J,I$3,'PL1.1 ML2027-2028'!$K:$K,C9)/$D$1</f>
        <v>0</v>
      </c>
      <c r="J9" s="163">
        <f>SUMIFS('PL1.1 ML2027-2028'!$G:$G,'PL1.1 ML2027-2028'!$J:$J,'TH theo DV'!$J$3,'PL1.1 ML2027-2028'!$K:$K,'TH theo DV'!C9)/$D$1</f>
        <v>0</v>
      </c>
      <c r="K9" s="163">
        <f>SUMIFS('PL1.1 ML2027-2028'!$G:$G,'PL1.1 ML2027-2028'!$J:$J,'TH theo DV'!K$3,'PL1.1 ML2027-2028'!$K:$K,'TH theo DV'!$C9)/$D$1</f>
        <v>0</v>
      </c>
      <c r="L9" s="164">
        <f>SUM(D9:K9)</f>
        <v>0</v>
      </c>
      <c r="M9" s="100" t="e">
        <f t="shared" si="8"/>
        <v>#DIV/0!</v>
      </c>
      <c r="N9" s="163">
        <f>SUMIFS('PL1.1 ML2027-2028'!$H:$H,'PL1.1 ML2027-2028'!$J:$J,'TH theo DV'!N$3,'PL1.1 ML2027-2028'!$K:$K,'TH theo DV'!$C9)/$D$1</f>
        <v>0</v>
      </c>
      <c r="O9" s="163">
        <f>SUMIFS('PL1.1 ML2027-2028'!$H:$H,'PL1.1 ML2027-2028'!$J:$J,'TH theo DV'!O$3,'PL1.1 ML2027-2028'!$K:$K,'TH theo DV'!$C9)/$D$1</f>
        <v>0</v>
      </c>
      <c r="P9" s="163">
        <f>SUMIFS('PL1.1 ML2027-2028'!$H:$H,'PL1.1 ML2027-2028'!$J:$J,'TH theo DV'!P$3,'PL1.1 ML2027-2028'!$K:$K,'TH theo DV'!$C9)/$D$1</f>
        <v>0</v>
      </c>
      <c r="Q9" s="163">
        <f>SUMIFS('PL1.1 ML2027-2028'!$H:$H,'PL1.1 ML2027-2028'!$J:$J,'TH theo DV'!Q$3,'PL1.1 ML2027-2028'!$K:$K,'TH theo DV'!$C9)/$D$1</f>
        <v>0</v>
      </c>
      <c r="R9" s="163">
        <f>SUMIFS('PL1.1 ML2027-2028'!$H:$H,'PL1.1 ML2027-2028'!$J:$J,'TH theo DV'!R$3,'PL1.1 ML2027-2028'!$K:$K,'TH theo DV'!$C9)/$D$1</f>
        <v>0</v>
      </c>
      <c r="S9" s="163">
        <f>SUMIFS('PL1.1 ML2027-2028'!$H:$H,'PL1.1 ML2027-2028'!$J:$J,'TH theo DV'!S$3,'PL1.1 ML2027-2028'!$K:$K,'TH theo DV'!$C9)/$D$1</f>
        <v>0</v>
      </c>
      <c r="T9" s="163">
        <f>SUMIFS('PL1.1 ML2027-2028'!$H:$H,'PL1.1 ML2027-2028'!$J:$J,'TH theo DV'!T$3,'PL1.1 ML2027-2028'!$K:$K,'TH theo DV'!$C9)/$D$1</f>
        <v>0</v>
      </c>
      <c r="U9" s="163">
        <f>SUMIFS('PL1.1 ML2027-2028'!$H:$H,'PL1.1 ML2027-2028'!$J:$J,'TH theo DV'!U$3,'PL1.1 ML2027-2028'!$K:$K,'TH theo DV'!$C9)/$D$1</f>
        <v>0</v>
      </c>
      <c r="V9" s="166">
        <f t="shared" si="6"/>
        <v>0</v>
      </c>
      <c r="W9" s="170"/>
      <c r="X9" s="65">
        <f>D9+N9</f>
        <v>0</v>
      </c>
      <c r="Y9" s="65">
        <f>E9+O9</f>
        <v>0</v>
      </c>
      <c r="Z9" s="65">
        <f>F9+P9</f>
        <v>0</v>
      </c>
      <c r="AA9" s="65">
        <f>G9+Q9</f>
        <v>0</v>
      </c>
      <c r="AB9" s="65">
        <f>H9+R9</f>
        <v>0</v>
      </c>
      <c r="AC9" s="65">
        <f>I9+S9</f>
        <v>0</v>
      </c>
      <c r="AD9" s="65">
        <f t="shared" si="7"/>
        <v>0</v>
      </c>
      <c r="AE9" s="64">
        <f>SUM(X9:AD9)</f>
        <v>0</v>
      </c>
      <c r="AF9" s="67" t="e">
        <f t="shared" si="5"/>
        <v>#DIV/0!</v>
      </c>
    </row>
    <row r="10" spans="1:33" outlineLevel="1" x14ac:dyDescent="0.25">
      <c r="A10" s="476">
        <v>4</v>
      </c>
      <c r="B10" s="72" t="s">
        <v>105</v>
      </c>
      <c r="C10" s="69" t="s">
        <v>110</v>
      </c>
      <c r="D10" s="163">
        <f>SUMIFS('PL1.1 ML2027-2028'!$G:$G,'PL1.1 ML2027-2028'!$J:$J,'TH theo DV'!$D$3,'PL1.1 ML2027-2028'!$K:$K,'TH theo DV'!C10)/$D$1</f>
        <v>0</v>
      </c>
      <c r="E10" s="163">
        <f>SUMIFS('PL1.1 ML2027-2028'!$G:$G,'PL1.1 ML2027-2028'!$J:$J,'TH theo DV'!$E$3,'PL1.1 ML2027-2028'!$K:$K,'TH theo DV'!C10)/$D$1</f>
        <v>0</v>
      </c>
      <c r="F10" s="163">
        <f>SUMIFS('PL1.1 ML2027-2028'!$G:$G,'PL1.1 ML2027-2028'!$J:$J,'TH theo DV'!$F$3,'PL1.1 ML2027-2028'!$K:$K,'TH theo DV'!C10)/$D$1</f>
        <v>0</v>
      </c>
      <c r="G10" s="163">
        <f>SUMIFS('PL1.1 ML2027-2028'!$G:$G,'PL1.1 ML2027-2028'!$J:$J,'TH theo DV'!$G$3,'PL1.1 ML2027-2028'!$K:$K,'TH theo DV'!C10)/$D$1</f>
        <v>0</v>
      </c>
      <c r="H10" s="163">
        <f>SUMIFS('PL1.1 ML2027-2028'!$G:$G,'PL1.1 ML2027-2028'!$J:$J,'TH theo DV'!$H$3,'PL1.1 ML2027-2028'!$K:$K,'TH theo DV'!C10)/$D$1</f>
        <v>0</v>
      </c>
      <c r="I10" s="163">
        <f>SUMIFS('PL1.1 ML2027-2028'!$G:$G,'PL1.1 ML2027-2028'!$J:$J,I$3,'PL1.1 ML2027-2028'!$K:$K,C10)/$D$1</f>
        <v>0</v>
      </c>
      <c r="J10" s="163">
        <f>SUMIFS('PL1.1 ML2027-2028'!$G:$G,'PL1.1 ML2027-2028'!$J:$J,'TH theo DV'!$J$3,'PL1.1 ML2027-2028'!$K:$K,'TH theo DV'!C10)/$D$1</f>
        <v>0</v>
      </c>
      <c r="K10" s="163">
        <f>SUMIFS('PL1.1 ML2027-2028'!$G:$G,'PL1.1 ML2027-2028'!$J:$J,'TH theo DV'!K$3,'PL1.1 ML2027-2028'!$K:$K,'TH theo DV'!$C10)/$D$1</f>
        <v>0</v>
      </c>
      <c r="L10" s="164">
        <f>SUM(D10:K10)</f>
        <v>0</v>
      </c>
      <c r="M10" s="100" t="e">
        <f t="shared" si="8"/>
        <v>#DIV/0!</v>
      </c>
      <c r="N10" s="163">
        <f>SUMIFS('PL1.1 ML2027-2028'!$H:$H,'PL1.1 ML2027-2028'!$J:$J,'TH theo DV'!N$3,'PL1.1 ML2027-2028'!$K:$K,'TH theo DV'!$C10)/$D$1</f>
        <v>0</v>
      </c>
      <c r="O10" s="163">
        <f>SUMIFS('PL1.1 ML2027-2028'!$H:$H,'PL1.1 ML2027-2028'!$J:$J,'TH theo DV'!O$3,'PL1.1 ML2027-2028'!$K:$K,'TH theo DV'!$C10)/$D$1</f>
        <v>0</v>
      </c>
      <c r="P10" s="163">
        <f>SUMIFS('PL1.1 ML2027-2028'!$H:$H,'PL1.1 ML2027-2028'!$J:$J,'TH theo DV'!P$3,'PL1.1 ML2027-2028'!$K:$K,'TH theo DV'!$C10)/$D$1</f>
        <v>0</v>
      </c>
      <c r="Q10" s="163">
        <f>SUMIFS('PL1.1 ML2027-2028'!$H:$H,'PL1.1 ML2027-2028'!$J:$J,'TH theo DV'!Q$3,'PL1.1 ML2027-2028'!$K:$K,'TH theo DV'!$C10)/$D$1</f>
        <v>0</v>
      </c>
      <c r="R10" s="163">
        <f>SUMIFS('PL1.1 ML2027-2028'!$H:$H,'PL1.1 ML2027-2028'!$J:$J,'TH theo DV'!R$3,'PL1.1 ML2027-2028'!$K:$K,'TH theo DV'!$C10)/$D$1</f>
        <v>0</v>
      </c>
      <c r="S10" s="163">
        <f>SUMIFS('PL1.1 ML2027-2028'!$H:$H,'PL1.1 ML2027-2028'!$J:$J,'TH theo DV'!S$3,'PL1.1 ML2027-2028'!$K:$K,'TH theo DV'!$C10)/$D$1</f>
        <v>0</v>
      </c>
      <c r="T10" s="163">
        <f>SUMIFS('PL1.1 ML2027-2028'!$H:$H,'PL1.1 ML2027-2028'!$J:$J,'TH theo DV'!T$3,'PL1.1 ML2027-2028'!$K:$K,'TH theo DV'!$C10)/$D$1</f>
        <v>0</v>
      </c>
      <c r="U10" s="163">
        <f>SUMIFS('PL1.1 ML2027-2028'!$H:$H,'PL1.1 ML2027-2028'!$J:$J,'TH theo DV'!U$3,'PL1.1 ML2027-2028'!$K:$K,'TH theo DV'!$C10)/$D$1</f>
        <v>0</v>
      </c>
      <c r="V10" s="166">
        <f t="shared" si="6"/>
        <v>0</v>
      </c>
      <c r="W10" s="170"/>
      <c r="X10" s="65">
        <f>D10+N10</f>
        <v>0</v>
      </c>
      <c r="Y10" s="65">
        <f>E10+O10</f>
        <v>0</v>
      </c>
      <c r="Z10" s="65">
        <f>F10+P10</f>
        <v>0</v>
      </c>
      <c r="AA10" s="65">
        <f>G10+Q10</f>
        <v>0</v>
      </c>
      <c r="AB10" s="65">
        <f>H10+R10</f>
        <v>0</v>
      </c>
      <c r="AC10" s="65">
        <f>I10+S10</f>
        <v>0</v>
      </c>
      <c r="AD10" s="65">
        <f t="shared" si="7"/>
        <v>0</v>
      </c>
      <c r="AE10" s="64">
        <f>SUM(X10:AD10)</f>
        <v>0</v>
      </c>
      <c r="AF10" s="9" t="e">
        <f t="shared" si="5"/>
        <v>#DIV/0!</v>
      </c>
    </row>
    <row r="11" spans="1:33" ht="25.5" outlineLevel="1" x14ac:dyDescent="0.25">
      <c r="A11" s="655" t="s">
        <v>10</v>
      </c>
      <c r="B11" s="101" t="s">
        <v>111</v>
      </c>
      <c r="C11" s="87"/>
      <c r="D11" s="165">
        <f>SUBTOTAL(9,D12:D25)</f>
        <v>0</v>
      </c>
      <c r="E11" s="165">
        <f t="shared" ref="E11:F11" si="9">SUBTOTAL(9,E12:E25)</f>
        <v>0</v>
      </c>
      <c r="F11" s="165">
        <f t="shared" si="9"/>
        <v>0</v>
      </c>
      <c r="G11" s="165">
        <f>SUBTOTAL(9,G12:G25)</f>
        <v>0</v>
      </c>
      <c r="H11" s="165">
        <f>SUBTOTAL(9,H12:H25)</f>
        <v>0</v>
      </c>
      <c r="I11" s="165"/>
      <c r="J11" s="165">
        <f>SUBTOTAL(9,J12:J25)</f>
        <v>0</v>
      </c>
      <c r="K11" s="165">
        <f>SUBTOTAL(9,K12:K25)</f>
        <v>0</v>
      </c>
      <c r="L11" s="165">
        <f>SUBTOTAL(9,L12:L25)</f>
        <v>0</v>
      </c>
      <c r="M11" s="104" t="e">
        <f>L11/$L$4</f>
        <v>#DIV/0!</v>
      </c>
      <c r="N11" s="165">
        <f>SUBTOTAL(9,N12:N25)</f>
        <v>0</v>
      </c>
      <c r="O11" s="165">
        <f t="shared" ref="O11:P11" si="10">SUBTOTAL(9,O12:O25)</f>
        <v>0</v>
      </c>
      <c r="P11" s="165">
        <f t="shared" si="10"/>
        <v>0</v>
      </c>
      <c r="Q11" s="165">
        <f>SUBTOTAL(9,Q12:Q25)</f>
        <v>0</v>
      </c>
      <c r="R11" s="165">
        <f>SUBTOTAL(9,R12:R25)</f>
        <v>0</v>
      </c>
      <c r="S11" s="165">
        <f>SUBTOTAL(9,S12:S25)</f>
        <v>0</v>
      </c>
      <c r="T11" s="165">
        <f>SUBTOTAL(9,T12:T25)</f>
        <v>0</v>
      </c>
      <c r="U11" s="165">
        <f>SUBTOTAL(9,U12:U25)</f>
        <v>0</v>
      </c>
      <c r="V11" s="165">
        <f>SUBTOTAL(9,V12:V25)</f>
        <v>0</v>
      </c>
      <c r="W11" s="104" t="e">
        <f>V11/$V$4</f>
        <v>#DIV/0!</v>
      </c>
      <c r="X11" s="88">
        <f>SUBTOTAL(9,X12:X29)</f>
        <v>0</v>
      </c>
      <c r="Y11" s="88">
        <f>SUBTOTAL(9,Y12:Y29)</f>
        <v>0</v>
      </c>
      <c r="Z11" s="88">
        <f>SUBTOTAL(9,Z12:Z29)</f>
        <v>0</v>
      </c>
      <c r="AA11" s="88">
        <f>SUBTOTAL(9,AA12:AA29)</f>
        <v>0</v>
      </c>
      <c r="AB11" s="88">
        <f>SUBTOTAL(9,AB12:AB29)</f>
        <v>0</v>
      </c>
      <c r="AC11" s="88">
        <f>SUBTOTAL(9,AC12:AC29)</f>
        <v>0</v>
      </c>
      <c r="AD11" s="88">
        <f>SUBTOTAL(9,AD12:AD29)</f>
        <v>0</v>
      </c>
      <c r="AE11" s="88">
        <f>SUBTOTAL(9,AE12:AE25)</f>
        <v>0</v>
      </c>
      <c r="AF11" s="89" t="e">
        <f t="shared" si="5"/>
        <v>#DIV/0!</v>
      </c>
    </row>
    <row r="12" spans="1:33" s="47" customFormat="1" outlineLevel="1" x14ac:dyDescent="0.25">
      <c r="A12" s="653">
        <v>1</v>
      </c>
      <c r="B12" s="82" t="s">
        <v>173</v>
      </c>
      <c r="C12" s="78"/>
      <c r="D12" s="163">
        <f>SUBTOTAL(9,D13:D14)</f>
        <v>0</v>
      </c>
      <c r="E12" s="163">
        <f>SUBTOTAL(9,E13:E14)</f>
        <v>0</v>
      </c>
      <c r="F12" s="163">
        <f t="shared" ref="F12:J12" si="11">SUBTOTAL(9,F13:F14)</f>
        <v>0</v>
      </c>
      <c r="G12" s="163">
        <f t="shared" si="11"/>
        <v>0</v>
      </c>
      <c r="H12" s="163">
        <f t="shared" si="11"/>
        <v>0</v>
      </c>
      <c r="I12" s="163">
        <f t="shared" si="11"/>
        <v>0</v>
      </c>
      <c r="J12" s="163">
        <f t="shared" si="11"/>
        <v>0</v>
      </c>
      <c r="K12" s="163">
        <f t="shared" ref="K12" si="12">SUBTOTAL(9,K13:K14)</f>
        <v>0</v>
      </c>
      <c r="L12" s="163">
        <f>SUBTOTAL(9,L13:L14)</f>
        <v>0</v>
      </c>
      <c r="M12" s="163" t="e">
        <f t="shared" si="8"/>
        <v>#DIV/0!</v>
      </c>
      <c r="N12" s="161">
        <f>SUBTOTAL(9,N13:N14)</f>
        <v>0</v>
      </c>
      <c r="O12" s="161">
        <f t="shared" ref="O12:U12" si="13">SUBTOTAL(9,O13:O14)</f>
        <v>0</v>
      </c>
      <c r="P12" s="161">
        <f t="shared" si="13"/>
        <v>0</v>
      </c>
      <c r="Q12" s="161">
        <f t="shared" si="13"/>
        <v>0</v>
      </c>
      <c r="R12" s="161">
        <f t="shared" si="13"/>
        <v>0</v>
      </c>
      <c r="S12" s="161">
        <f t="shared" ref="S12" si="14">SUBTOTAL(9,S13:S14)</f>
        <v>0</v>
      </c>
      <c r="T12" s="161">
        <f t="shared" si="13"/>
        <v>0</v>
      </c>
      <c r="U12" s="166">
        <f t="shared" si="13"/>
        <v>0</v>
      </c>
      <c r="V12" s="161">
        <f>SUBTOTAL(9,V13:V14)</f>
        <v>0</v>
      </c>
      <c r="W12" s="171" t="e">
        <f>V12/$V$4</f>
        <v>#DIV/0!</v>
      </c>
      <c r="X12" s="83">
        <f t="shared" ref="X12:AE12" si="15">SUBTOTAL(9,X13:X14)</f>
        <v>0</v>
      </c>
      <c r="Y12" s="83">
        <f t="shared" si="15"/>
        <v>0</v>
      </c>
      <c r="Z12" s="83">
        <f t="shared" si="15"/>
        <v>0</v>
      </c>
      <c r="AA12" s="83">
        <f t="shared" si="15"/>
        <v>0</v>
      </c>
      <c r="AB12" s="83">
        <f t="shared" si="15"/>
        <v>0</v>
      </c>
      <c r="AC12" s="83">
        <f t="shared" ref="AC12" si="16">SUBTOTAL(9,AC13:AC14)</f>
        <v>0</v>
      </c>
      <c r="AD12" s="83">
        <f t="shared" si="15"/>
        <v>0</v>
      </c>
      <c r="AE12" s="83">
        <f t="shared" si="15"/>
        <v>0</v>
      </c>
      <c r="AF12" s="99" t="e">
        <f t="shared" si="5"/>
        <v>#DIV/0!</v>
      </c>
      <c r="AG12" s="37"/>
    </row>
    <row r="13" spans="1:33" s="36" customFormat="1" outlineLevel="1" x14ac:dyDescent="0.25">
      <c r="A13" s="656" t="s">
        <v>8</v>
      </c>
      <c r="B13" s="76" t="s">
        <v>174</v>
      </c>
      <c r="C13" s="18" t="s">
        <v>68</v>
      </c>
      <c r="D13" s="163">
        <f>SUMIFS('PL1.1 ML2027-2028'!$G:$G,'PL1.1 ML2027-2028'!$J:$J,'TH theo DV'!$D$3,'PL1.1 ML2027-2028'!$K:$K,'TH theo DV'!C13)/$D$1</f>
        <v>0</v>
      </c>
      <c r="E13" s="163">
        <f>SUMIFS('PL1.1 ML2027-2028'!$G:$G,'PL1.1 ML2027-2028'!$J:$J,'TH theo DV'!$E$3,'PL1.1 ML2027-2028'!$K:$K,'TH theo DV'!C13)/$D$1</f>
        <v>0</v>
      </c>
      <c r="F13" s="163">
        <f>SUMIFS('PL1.1 ML2027-2028'!$G:$G,'PL1.1 ML2027-2028'!$J:$J,'TH theo DV'!$F$3,'PL1.1 ML2027-2028'!$K:$K,'TH theo DV'!C13)/$D$1</f>
        <v>0</v>
      </c>
      <c r="G13" s="163">
        <f>SUMIFS('PL1.1 ML2027-2028'!$G:$G,'PL1.1 ML2027-2028'!$J:$J,'TH theo DV'!$G$3,'PL1.1 ML2027-2028'!$K:$K,'TH theo DV'!C13)/$D$1</f>
        <v>0</v>
      </c>
      <c r="H13" s="163">
        <f>SUMIFS('PL1.1 ML2027-2028'!$G:$G,'PL1.1 ML2027-2028'!$J:$J,'TH theo DV'!H$3,'PL1.1 ML2027-2028'!$K:$K,'TH theo DV'!$C13)/$D$1</f>
        <v>0</v>
      </c>
      <c r="I13" s="163">
        <f>SUMIFS('PL1.1 ML2027-2028'!$G:$G,'PL1.1 ML2027-2028'!$J:$J,I$3,'PL1.1 ML2027-2028'!$K:$K,C13)/$D$1</f>
        <v>0</v>
      </c>
      <c r="J13" s="163">
        <f>SUMIFS('PL1.1 ML2027-2028'!$G:$G,'PL1.1 ML2027-2028'!$J:$J,'TH theo DV'!$J$3,'PL1.1 ML2027-2028'!$K:$K,'TH theo DV'!C13)/$D$1</f>
        <v>0</v>
      </c>
      <c r="K13" s="163">
        <f>SUMIFS('PL1.1 ML2027-2028'!$G:$G,'PL1.1 ML2027-2028'!$J:$J,'TH theo DV'!K$3,'PL1.1 ML2027-2028'!$K:$K,'TH theo DV'!$C13)/$D$1</f>
        <v>0</v>
      </c>
      <c r="L13" s="163">
        <f>SUM(D13:K13)</f>
        <v>0</v>
      </c>
      <c r="M13" s="163" t="e">
        <f t="shared" si="8"/>
        <v>#DIV/0!</v>
      </c>
      <c r="N13" s="163">
        <f>SUMIFS('PL1.1 ML2027-2028'!$H:$H,'PL1.1 ML2027-2028'!$J:$J,'TH theo DV'!N$3,'PL1.1 ML2027-2028'!$K:$K,'TH theo DV'!$C13)/$D$1</f>
        <v>0</v>
      </c>
      <c r="O13" s="163">
        <f>SUMIFS('PL1.1 ML2027-2028'!$H:$H,'PL1.1 ML2027-2028'!$J:$J,'TH theo DV'!O$3,'PL1.1 ML2027-2028'!$K:$K,'TH theo DV'!$C13)/$D$1</f>
        <v>0</v>
      </c>
      <c r="P13" s="163">
        <f>SUMIFS('PL1.1 ML2027-2028'!$H:$H,'PL1.1 ML2027-2028'!$J:$J,'TH theo DV'!P$3,'PL1.1 ML2027-2028'!$K:$K,'TH theo DV'!$C13)/$D$1</f>
        <v>0</v>
      </c>
      <c r="Q13" s="163">
        <f>SUMIFS('PL1.1 ML2027-2028'!$H:$H,'PL1.1 ML2027-2028'!$J:$J,'TH theo DV'!Q$3,'PL1.1 ML2027-2028'!$K:$K,'TH theo DV'!$C13)/$D$1</f>
        <v>0</v>
      </c>
      <c r="R13" s="163">
        <f>SUMIFS('PL1.1 ML2027-2028'!$H:$H,'PL1.1 ML2027-2028'!$J:$J,'TH theo DV'!R$3,'PL1.1 ML2027-2028'!$K:$K,'TH theo DV'!$C13)/$D$1</f>
        <v>0</v>
      </c>
      <c r="S13" s="163">
        <f>SUMIFS('PL1.1 ML2027-2028'!$H:$H,'PL1.1 ML2027-2028'!$J:$J,'TH theo DV'!S$3,'PL1.1 ML2027-2028'!$K:$K,'TH theo DV'!$C13)/$D$1</f>
        <v>0</v>
      </c>
      <c r="T13" s="163">
        <f>SUMIFS('PL1.1 ML2027-2028'!$H:$H,'PL1.1 ML2027-2028'!$J:$J,'TH theo DV'!T$3,'PL1.1 ML2027-2028'!$K:$K,'TH theo DV'!$C13)/$D$1</f>
        <v>0</v>
      </c>
      <c r="U13" s="163">
        <f>SUMIFS('PL1.1 ML2027-2028'!$H:$H,'PL1.1 ML2027-2028'!$J:$J,'TH theo DV'!U$3,'PL1.1 ML2027-2028'!$K:$K,'TH theo DV'!$C13)/$D$1</f>
        <v>0</v>
      </c>
      <c r="V13" s="166">
        <f>SUM(N13:U13)</f>
        <v>0</v>
      </c>
      <c r="W13" s="172"/>
      <c r="X13" s="84">
        <f>D13+N13</f>
        <v>0</v>
      </c>
      <c r="Y13" s="84">
        <f>E13+O13</f>
        <v>0</v>
      </c>
      <c r="Z13" s="84">
        <f>F13+P13</f>
        <v>0</v>
      </c>
      <c r="AA13" s="84">
        <f>G13+Q13</f>
        <v>0</v>
      </c>
      <c r="AB13" s="84">
        <f>H13+R13</f>
        <v>0</v>
      </c>
      <c r="AC13" s="84">
        <f>I13+S13</f>
        <v>0</v>
      </c>
      <c r="AD13" s="84">
        <f t="shared" ref="AD13:AD14" si="17">J13+T13</f>
        <v>0</v>
      </c>
      <c r="AE13" s="83">
        <f>SUM(X13:AD13)</f>
        <v>0</v>
      </c>
      <c r="AF13" s="99" t="e">
        <f t="shared" si="5"/>
        <v>#DIV/0!</v>
      </c>
      <c r="AG13" s="113"/>
    </row>
    <row r="14" spans="1:33" s="36" customFormat="1" outlineLevel="1" x14ac:dyDescent="0.25">
      <c r="A14" s="656" t="s">
        <v>8</v>
      </c>
      <c r="B14" s="76" t="s">
        <v>175</v>
      </c>
      <c r="C14" s="18" t="s">
        <v>69</v>
      </c>
      <c r="D14" s="163">
        <f>SUMIFS('PL1.1 ML2027-2028'!$G:$G,'PL1.1 ML2027-2028'!$J:$J,'TH theo DV'!$D$3,'PL1.1 ML2027-2028'!$K:$K,'TH theo DV'!C14)/$D$1</f>
        <v>0</v>
      </c>
      <c r="E14" s="163">
        <f>SUMIFS('PL1.1 ML2027-2028'!$G:$G,'PL1.1 ML2027-2028'!$J:$J,'TH theo DV'!$E$3,'PL1.1 ML2027-2028'!$K:$K,'TH theo DV'!C14)/$D$1</f>
        <v>0</v>
      </c>
      <c r="F14" s="163">
        <f>SUMIFS('PL1.1 ML2027-2028'!$G:$G,'PL1.1 ML2027-2028'!$J:$J,'TH theo DV'!$F$3,'PL1.1 ML2027-2028'!$K:$K,'TH theo DV'!C14)/$D$1</f>
        <v>0</v>
      </c>
      <c r="G14" s="163">
        <f>SUMIFS('PL1.1 ML2027-2028'!$G:$G,'PL1.1 ML2027-2028'!$J:$J,'TH theo DV'!$G$3,'PL1.1 ML2027-2028'!$K:$K,'TH theo DV'!C14)/$D$1</f>
        <v>0</v>
      </c>
      <c r="H14" s="163">
        <f>SUMIFS('PL1.1 ML2027-2028'!$G:$G,'PL1.1 ML2027-2028'!$J:$J,'TH theo DV'!H$3,'PL1.1 ML2027-2028'!$K:$K,'TH theo DV'!$C14)/$D$1</f>
        <v>0</v>
      </c>
      <c r="I14" s="163">
        <f>SUMIFS('PL1.1 ML2027-2028'!$G:$G,'PL1.1 ML2027-2028'!$J:$J,I$3,'PL1.1 ML2027-2028'!$K:$K,C14)/$D$1+SUMIFS('PL1.1 ML2027-2028'!$G:$G,'PL1.1 ML2027-2028'!$J:$J,I$3,'PL1.1 ML2027-2028'!$K:$K,C14)/$D$1</f>
        <v>0</v>
      </c>
      <c r="J14" s="163">
        <f>SUMIFS('PL1.1 ML2027-2028'!$G:$G,'PL1.1 ML2027-2028'!$J:$J,'TH theo DV'!$J$3,'PL1.1 ML2027-2028'!$K:$K,'TH theo DV'!C14)/$D$1</f>
        <v>0</v>
      </c>
      <c r="K14" s="163">
        <f>SUMIFS('PL1.1 ML2027-2028'!$G:$G,'PL1.1 ML2027-2028'!$J:$J,'TH theo DV'!K$3,'PL1.1 ML2027-2028'!$K:$K,'TH theo DV'!$C14)/$D$1</f>
        <v>0</v>
      </c>
      <c r="L14" s="163">
        <f>SUM(D14:K14)</f>
        <v>0</v>
      </c>
      <c r="M14" s="163" t="e">
        <f t="shared" si="8"/>
        <v>#DIV/0!</v>
      </c>
      <c r="N14" s="163">
        <f>SUMIFS('PL1.1 ML2027-2028'!$H:$H,'PL1.1 ML2027-2028'!$J:$J,'TH theo DV'!N$3,'PL1.1 ML2027-2028'!$K:$K,'TH theo DV'!$C14)/$D$1</f>
        <v>0</v>
      </c>
      <c r="O14" s="163">
        <f>SUMIFS('PL1.1 ML2027-2028'!$H:$H,'PL1.1 ML2027-2028'!$J:$J,'TH theo DV'!O$3,'PL1.1 ML2027-2028'!$K:$K,'TH theo DV'!$C14)/$D$1</f>
        <v>0</v>
      </c>
      <c r="P14" s="163">
        <f>SUMIFS('PL1.1 ML2027-2028'!$H:$H,'PL1.1 ML2027-2028'!$J:$J,'TH theo DV'!P$3,'PL1.1 ML2027-2028'!$K:$K,'TH theo DV'!$C14)/$D$1</f>
        <v>0</v>
      </c>
      <c r="Q14" s="163">
        <f>SUMIFS('PL1.1 ML2027-2028'!$H:$H,'PL1.1 ML2027-2028'!$J:$J,'TH theo DV'!Q$3,'PL1.1 ML2027-2028'!$K:$K,'TH theo DV'!$C14)/$D$1</f>
        <v>0</v>
      </c>
      <c r="R14" s="163">
        <f>SUMIFS('PL1.1 ML2027-2028'!$H:$H,'PL1.1 ML2027-2028'!$J:$J,'TH theo DV'!R$3,'PL1.1 ML2027-2028'!$K:$K,'TH theo DV'!$C14)/$D$1</f>
        <v>0</v>
      </c>
      <c r="S14" s="163">
        <f>SUMIFS('PL1.1 ML2027-2028'!$H:$H,'PL1.1 ML2027-2028'!$J:$J,'TH theo DV'!S$3,'PL1.1 ML2027-2028'!$K:$K,'TH theo DV'!$C14)/$D$1</f>
        <v>0</v>
      </c>
      <c r="T14" s="163">
        <f>SUMIFS('PL1.1 ML2027-2028'!$H:$H,'PL1.1 ML2027-2028'!$J:$J,'TH theo DV'!T$3,'PL1.1 ML2027-2028'!$K:$K,'TH theo DV'!$C14)/$D$1</f>
        <v>0</v>
      </c>
      <c r="U14" s="163">
        <f>SUMIFS('PL1.1 ML2027-2028'!$H:$H,'PL1.1 ML2027-2028'!$J:$J,'TH theo DV'!U$3,'PL1.1 ML2027-2028'!$K:$K,'TH theo DV'!$C14)/$D$1</f>
        <v>0</v>
      </c>
      <c r="V14" s="166">
        <f>SUM(N14:U14)</f>
        <v>0</v>
      </c>
      <c r="W14" s="172"/>
      <c r="X14" s="84">
        <f>D14+N14</f>
        <v>0</v>
      </c>
      <c r="Y14" s="84">
        <f>E14+O14</f>
        <v>0</v>
      </c>
      <c r="Z14" s="84">
        <f>F14+P14</f>
        <v>0</v>
      </c>
      <c r="AA14" s="84">
        <f>G14+Q14</f>
        <v>0</v>
      </c>
      <c r="AB14" s="84">
        <f>H14+R14</f>
        <v>0</v>
      </c>
      <c r="AC14" s="84">
        <f>I14+S14</f>
        <v>0</v>
      </c>
      <c r="AD14" s="84">
        <f t="shared" si="17"/>
        <v>0</v>
      </c>
      <c r="AE14" s="83">
        <f>SUM(X14:AD14)</f>
        <v>0</v>
      </c>
      <c r="AF14" s="99" t="e">
        <f t="shared" si="5"/>
        <v>#DIV/0!</v>
      </c>
      <c r="AG14" s="48"/>
    </row>
    <row r="15" spans="1:33" s="36" customFormat="1" outlineLevel="1" x14ac:dyDescent="0.25">
      <c r="A15" s="653">
        <v>2</v>
      </c>
      <c r="B15" s="82" t="s">
        <v>103</v>
      </c>
      <c r="C15" s="18"/>
      <c r="D15" s="163">
        <f t="shared" ref="D15:G15" si="18">SUBTOTAL(9,D16:D19)</f>
        <v>0</v>
      </c>
      <c r="E15" s="163">
        <f t="shared" si="18"/>
        <v>0</v>
      </c>
      <c r="F15" s="163">
        <f>SUBTOTAL(9,F16:F19)</f>
        <v>0</v>
      </c>
      <c r="G15" s="163">
        <f t="shared" si="18"/>
        <v>0</v>
      </c>
      <c r="H15" s="163">
        <f>SUBTOTAL(9,H16:H19)</f>
        <v>0</v>
      </c>
      <c r="I15" s="163">
        <f>SUBTOTAL(9,I16:I19)</f>
        <v>0</v>
      </c>
      <c r="J15" s="163">
        <f t="shared" ref="J15:K15" si="19">SUBTOTAL(9,J16:J19)</f>
        <v>0</v>
      </c>
      <c r="K15" s="163">
        <f t="shared" si="19"/>
        <v>0</v>
      </c>
      <c r="L15" s="163">
        <f>SUBTOTAL(9,L16:L19)</f>
        <v>0</v>
      </c>
      <c r="M15" s="163" t="e">
        <f t="shared" si="8"/>
        <v>#DIV/0!</v>
      </c>
      <c r="N15" s="161">
        <f>SUBTOTAL(9,N16:N19)</f>
        <v>0</v>
      </c>
      <c r="O15" s="161">
        <f t="shared" ref="O15:V15" si="20">SUBTOTAL(9,O16:O19)</f>
        <v>0</v>
      </c>
      <c r="P15" s="161">
        <f t="shared" si="20"/>
        <v>0</v>
      </c>
      <c r="Q15" s="161">
        <f t="shared" si="20"/>
        <v>0</v>
      </c>
      <c r="R15" s="161">
        <f t="shared" si="20"/>
        <v>0</v>
      </c>
      <c r="S15" s="161">
        <f t="shared" ref="S15" si="21">SUBTOTAL(9,S16:S19)</f>
        <v>0</v>
      </c>
      <c r="T15" s="161">
        <f t="shared" si="20"/>
        <v>0</v>
      </c>
      <c r="U15" s="166">
        <f t="shared" si="20"/>
        <v>0</v>
      </c>
      <c r="V15" s="161">
        <f t="shared" si="20"/>
        <v>0</v>
      </c>
      <c r="W15" s="171" t="e">
        <f>V15/$V$4</f>
        <v>#DIV/0!</v>
      </c>
      <c r="X15" s="83">
        <f t="shared" ref="X15:AE15" si="22">SUBTOTAL(9,X16:X19)</f>
        <v>0</v>
      </c>
      <c r="Y15" s="83">
        <f t="shared" si="22"/>
        <v>0</v>
      </c>
      <c r="Z15" s="83">
        <f t="shared" si="22"/>
        <v>0</v>
      </c>
      <c r="AA15" s="83">
        <f t="shared" si="22"/>
        <v>0</v>
      </c>
      <c r="AB15" s="83">
        <f t="shared" si="22"/>
        <v>0</v>
      </c>
      <c r="AC15" s="83">
        <f t="shared" ref="AC15" si="23">SUBTOTAL(9,AC16:AC19)</f>
        <v>0</v>
      </c>
      <c r="AD15" s="83">
        <f t="shared" si="22"/>
        <v>0</v>
      </c>
      <c r="AE15" s="83">
        <f t="shared" si="22"/>
        <v>0</v>
      </c>
      <c r="AF15" s="99" t="e">
        <f t="shared" si="5"/>
        <v>#DIV/0!</v>
      </c>
      <c r="AG15" s="48"/>
    </row>
    <row r="16" spans="1:33" s="36" customFormat="1" ht="14.65" customHeight="1" outlineLevel="1" x14ac:dyDescent="0.25">
      <c r="A16" s="656" t="s">
        <v>8</v>
      </c>
      <c r="B16" s="76" t="s">
        <v>62</v>
      </c>
      <c r="C16" s="45" t="s">
        <v>70</v>
      </c>
      <c r="D16" s="163">
        <f>SUMIFS('PL1.1 ML2027-2028'!$G:$G,'PL1.1 ML2027-2028'!$J:$J,'TH theo DV'!$D$3,'PL1.1 ML2027-2028'!$K:$K,'TH theo DV'!C16)/$D$1</f>
        <v>0</v>
      </c>
      <c r="E16" s="163">
        <f>SUMIFS('PL1.1 ML2027-2028'!$G:$G,'PL1.1 ML2027-2028'!$J:$J,'TH theo DV'!$E$3,'PL1.1 ML2027-2028'!$K:$K,'TH theo DV'!C16)/$D$1</f>
        <v>0</v>
      </c>
      <c r="F16" s="163">
        <f>SUMIFS('PL1.1 ML2027-2028'!$G:$G,'PL1.1 ML2027-2028'!$J:$J,'TH theo DV'!$F$3,'PL1.1 ML2027-2028'!$K:$K,'TH theo DV'!C16)/$D$1</f>
        <v>0</v>
      </c>
      <c r="G16" s="163">
        <f>SUMIFS('PL1.1 ML2027-2028'!$G:$G,'PL1.1 ML2027-2028'!$J:$J,'TH theo DV'!$G$3,'PL1.1 ML2027-2028'!$K:$K,'TH theo DV'!C16)/$D$1</f>
        <v>0</v>
      </c>
      <c r="H16" s="163">
        <f>SUMIFS('PL1.1 ML2027-2028'!$G:$G,'PL1.1 ML2027-2028'!$J:$J,'TH theo DV'!$H$3,'PL1.1 ML2027-2028'!$K:$K,'TH theo DV'!C16)/$D$1</f>
        <v>0</v>
      </c>
      <c r="I16" s="163">
        <f>SUMIFS('PL1.1 ML2027-2028'!$G:$G,'PL1.1 ML2027-2028'!$J:$J,I$3,'PL1.1 ML2027-2028'!$K:$K,C16)/$D$1</f>
        <v>0</v>
      </c>
      <c r="J16" s="163">
        <f>SUMIFS('PL1.1 ML2027-2028'!$G:$G,'PL1.1 ML2027-2028'!$J:$J,'TH theo DV'!$J$3,'PL1.1 ML2027-2028'!$K:$K,'TH theo DV'!C16)/$D$1</f>
        <v>0</v>
      </c>
      <c r="K16" s="163">
        <f>SUMIFS('PL1.1 ML2027-2028'!$G:$G,'PL1.1 ML2027-2028'!$J:$J,'TH theo DV'!K$3,'PL1.1 ML2027-2028'!$K:$K,'TH theo DV'!$C16)/$D$1</f>
        <v>0</v>
      </c>
      <c r="L16" s="163">
        <f t="shared" ref="L16:L21" si="24">SUM(D16:K16)</f>
        <v>0</v>
      </c>
      <c r="M16" s="163" t="e">
        <f t="shared" si="8"/>
        <v>#DIV/0!</v>
      </c>
      <c r="N16" s="163">
        <f>SUMIFS('PL1.1 ML2027-2028'!$H:$H,'PL1.1 ML2027-2028'!$J:$J,'TH theo DV'!N$3,'PL1.1 ML2027-2028'!$K:$K,'TH theo DV'!$C16)/$D$1</f>
        <v>0</v>
      </c>
      <c r="O16" s="163">
        <f>SUMIFS('PL1.1 ML2027-2028'!$H:$H,'PL1.1 ML2027-2028'!$J:$J,'TH theo DV'!O$3,'PL1.1 ML2027-2028'!$K:$K,'TH theo DV'!$C16)/$D$1</f>
        <v>0</v>
      </c>
      <c r="P16" s="163">
        <f>SUMIFS('PL1.1 ML2027-2028'!$H:$H,'PL1.1 ML2027-2028'!$J:$J,'TH theo DV'!P$3,'PL1.1 ML2027-2028'!$K:$K,'TH theo DV'!$C16)/$D$1</f>
        <v>0</v>
      </c>
      <c r="Q16" s="163">
        <f>SUMIFS('PL1.1 ML2027-2028'!$H:$H,'PL1.1 ML2027-2028'!$J:$J,'TH theo DV'!Q$3,'PL1.1 ML2027-2028'!$K:$K,'TH theo DV'!$C16)/$D$1</f>
        <v>0</v>
      </c>
      <c r="R16" s="163">
        <f>SUMIFS('PL1.1 ML2027-2028'!$H:$H,'PL1.1 ML2027-2028'!$J:$J,'TH theo DV'!R$3,'PL1.1 ML2027-2028'!$K:$K,'TH theo DV'!$C16)/$D$1</f>
        <v>0</v>
      </c>
      <c r="S16" s="163">
        <f>SUMIFS('PL1.1 ML2027-2028'!$H:$H,'PL1.1 ML2027-2028'!$J:$J,'TH theo DV'!S$3,'PL1.1 ML2027-2028'!$K:$K,'TH theo DV'!$C16)/$D$1</f>
        <v>0</v>
      </c>
      <c r="T16" s="163">
        <f>SUMIFS('PL1.1 ML2027-2028'!$H:$H,'PL1.1 ML2027-2028'!$J:$J,'TH theo DV'!T$3,'PL1.1 ML2027-2028'!$K:$K,'TH theo DV'!$C16)/$D$1</f>
        <v>0</v>
      </c>
      <c r="U16" s="163">
        <f>SUMIFS('PL1.1 ML2027-2028'!$H:$H,'PL1.1 ML2027-2028'!$J:$J,'TH theo DV'!U$3,'PL1.1 ML2027-2028'!$K:$K,'TH theo DV'!$C16)/$D$1</f>
        <v>0</v>
      </c>
      <c r="V16" s="166">
        <f t="shared" ref="V16:V19" si="25">SUM(N16:U16)</f>
        <v>0</v>
      </c>
      <c r="W16" s="172"/>
      <c r="X16" s="84">
        <f>D16+N16</f>
        <v>0</v>
      </c>
      <c r="Y16" s="84">
        <f>E16+O16</f>
        <v>0</v>
      </c>
      <c r="Z16" s="84">
        <f>F16+P16</f>
        <v>0</v>
      </c>
      <c r="AA16" s="84">
        <f>G16+Q16</f>
        <v>0</v>
      </c>
      <c r="AB16" s="84">
        <f>H16+R16</f>
        <v>0</v>
      </c>
      <c r="AC16" s="84">
        <f>I16+S16</f>
        <v>0</v>
      </c>
      <c r="AD16" s="84">
        <f t="shared" ref="AD16:AD21" si="26">J16+T16</f>
        <v>0</v>
      </c>
      <c r="AE16" s="83">
        <f t="shared" ref="AE16:AE21" si="27">SUM(X16:AD16)</f>
        <v>0</v>
      </c>
      <c r="AF16" s="100" t="e">
        <f t="shared" si="5"/>
        <v>#DIV/0!</v>
      </c>
      <c r="AG16" s="48"/>
    </row>
    <row r="17" spans="1:33" s="36" customFormat="1" outlineLevel="1" x14ac:dyDescent="0.25">
      <c r="A17" s="656" t="s">
        <v>8</v>
      </c>
      <c r="B17" s="76" t="s">
        <v>75</v>
      </c>
      <c r="C17" s="45" t="s">
        <v>71</v>
      </c>
      <c r="D17" s="163">
        <f>SUMIFS('PL1.1 ML2027-2028'!$G:$G,'PL1.1 ML2027-2028'!$J:$J,'TH theo DV'!$D$3,'PL1.1 ML2027-2028'!$K:$K,'TH theo DV'!C17)/$D$1</f>
        <v>0</v>
      </c>
      <c r="E17" s="163">
        <f>SUMIFS('PL1.1 ML2027-2028'!$G:$G,'PL1.1 ML2027-2028'!$J:$J,'TH theo DV'!$E$3,'PL1.1 ML2027-2028'!$K:$K,'TH theo DV'!C17)/$D$1</f>
        <v>0</v>
      </c>
      <c r="F17" s="163">
        <f>SUMIFS('PL1.1 ML2027-2028'!$G:$G,'PL1.1 ML2027-2028'!$J:$J,'TH theo DV'!$F$3,'PL1.1 ML2027-2028'!$K:$K,'TH theo DV'!C17)/$D$1</f>
        <v>0</v>
      </c>
      <c r="G17" s="163">
        <f>SUMIFS('PL1.1 ML2027-2028'!$G:$G,'PL1.1 ML2027-2028'!$J:$J,'TH theo DV'!$G$3,'PL1.1 ML2027-2028'!$K:$K,'TH theo DV'!C17)/$D$1</f>
        <v>0</v>
      </c>
      <c r="H17" s="163">
        <f>SUMIFS('PL1.1 ML2027-2028'!$G:$G,'PL1.1 ML2027-2028'!$J:$J,'TH theo DV'!$H$3,'PL1.1 ML2027-2028'!$K:$K,'TH theo DV'!C17)/$D$1</f>
        <v>0</v>
      </c>
      <c r="I17" s="163">
        <f>SUMIFS('PL1.1 ML2027-2028'!$G:$G,'PL1.1 ML2027-2028'!$J:$J,I$3,'PL1.1 ML2027-2028'!$K:$K,C17)/$D$1</f>
        <v>0</v>
      </c>
      <c r="J17" s="163">
        <f>SUMIFS('PL1.1 ML2027-2028'!$G:$G,'PL1.1 ML2027-2028'!$J:$J,'TH theo DV'!$J$3,'PL1.1 ML2027-2028'!$K:$K,'TH theo DV'!C17)/$D$1</f>
        <v>0</v>
      </c>
      <c r="K17" s="163">
        <f>SUMIFS('PL1.1 ML2027-2028'!$G:$G,'PL1.1 ML2027-2028'!$J:$J,'TH theo DV'!K$3,'PL1.1 ML2027-2028'!$K:$K,'TH theo DV'!$C17)/$D$1</f>
        <v>0</v>
      </c>
      <c r="L17" s="163">
        <f t="shared" si="24"/>
        <v>0</v>
      </c>
      <c r="M17" s="163" t="e">
        <f t="shared" si="8"/>
        <v>#DIV/0!</v>
      </c>
      <c r="N17" s="163">
        <f>SUMIFS('PL1.1 ML2027-2028'!$H:$H,'PL1.1 ML2027-2028'!$J:$J,'TH theo DV'!N$3,'PL1.1 ML2027-2028'!$K:$K,'TH theo DV'!$C17)/$D$1</f>
        <v>0</v>
      </c>
      <c r="O17" s="163">
        <f>SUMIFS('PL1.1 ML2027-2028'!$H:$H,'PL1.1 ML2027-2028'!$J:$J,'TH theo DV'!O$3,'PL1.1 ML2027-2028'!$K:$K,'TH theo DV'!$C17)/$D$1</f>
        <v>0</v>
      </c>
      <c r="P17" s="163">
        <f>SUMIFS('PL1.1 ML2027-2028'!$H:$H,'PL1.1 ML2027-2028'!$J:$J,'TH theo DV'!P$3,'PL1.1 ML2027-2028'!$K:$K,'TH theo DV'!$C17)/$D$1</f>
        <v>0</v>
      </c>
      <c r="Q17" s="163">
        <f>SUMIFS('PL1.1 ML2027-2028'!$H:$H,'PL1.1 ML2027-2028'!$J:$J,'TH theo DV'!Q$3,'PL1.1 ML2027-2028'!$K:$K,'TH theo DV'!$C17)/$D$1</f>
        <v>0</v>
      </c>
      <c r="R17" s="163">
        <f>SUMIFS('PL1.1 ML2027-2028'!$H:$H,'PL1.1 ML2027-2028'!$J:$J,'TH theo DV'!R$3,'PL1.1 ML2027-2028'!$K:$K,'TH theo DV'!$C17)/$D$1</f>
        <v>0</v>
      </c>
      <c r="S17" s="163">
        <f>SUMIFS('PL1.1 ML2027-2028'!$H:$H,'PL1.1 ML2027-2028'!$J:$J,'TH theo DV'!S$3,'PL1.1 ML2027-2028'!$K:$K,'TH theo DV'!$C17)/$D$1</f>
        <v>0</v>
      </c>
      <c r="T17" s="163">
        <f>SUMIFS('PL1.1 ML2027-2028'!$H:$H,'PL1.1 ML2027-2028'!$J:$J,'TH theo DV'!T$3,'PL1.1 ML2027-2028'!$K:$K,'TH theo DV'!$C17)/$D$1</f>
        <v>0</v>
      </c>
      <c r="U17" s="163">
        <f>SUMIFS('PL1.1 ML2027-2028'!$H:$H,'PL1.1 ML2027-2028'!$J:$J,'TH theo DV'!U$3,'PL1.1 ML2027-2028'!$K:$K,'TH theo DV'!$C17)/$D$1</f>
        <v>0</v>
      </c>
      <c r="V17" s="166">
        <f t="shared" si="25"/>
        <v>0</v>
      </c>
      <c r="W17" s="172"/>
      <c r="X17" s="84">
        <f>D17+N17</f>
        <v>0</v>
      </c>
      <c r="Y17" s="84">
        <f>E17+O17</f>
        <v>0</v>
      </c>
      <c r="Z17" s="84">
        <f>F17+P17</f>
        <v>0</v>
      </c>
      <c r="AA17" s="84">
        <f>G17+Q17</f>
        <v>0</v>
      </c>
      <c r="AB17" s="84">
        <f>H17+R17</f>
        <v>0</v>
      </c>
      <c r="AC17" s="84">
        <f>I17+S17</f>
        <v>0</v>
      </c>
      <c r="AD17" s="84">
        <f t="shared" si="26"/>
        <v>0</v>
      </c>
      <c r="AE17" s="83">
        <f t="shared" si="27"/>
        <v>0</v>
      </c>
      <c r="AF17" s="100" t="e">
        <f t="shared" si="5"/>
        <v>#DIV/0!</v>
      </c>
      <c r="AG17" s="113"/>
    </row>
    <row r="18" spans="1:33" s="36" customFormat="1" outlineLevel="1" x14ac:dyDescent="0.25">
      <c r="A18" s="656" t="s">
        <v>8</v>
      </c>
      <c r="B18" s="76" t="s">
        <v>76</v>
      </c>
      <c r="C18" s="18" t="s">
        <v>66</v>
      </c>
      <c r="D18" s="163">
        <f>SUMIFS('PL1.1 ML2027-2028'!$G:$G,'PL1.1 ML2027-2028'!$J:$J,'TH theo DV'!$D$3,'PL1.1 ML2027-2028'!$K:$K,'TH theo DV'!C18)/$D$1</f>
        <v>0</v>
      </c>
      <c r="E18" s="163">
        <f>SUMIFS('PL1.1 ML2027-2028'!$G:$G,'PL1.1 ML2027-2028'!$J:$J,'TH theo DV'!$E$3,'PL1.1 ML2027-2028'!$K:$K,'TH theo DV'!C18)/$D$1</f>
        <v>0</v>
      </c>
      <c r="F18" s="163">
        <f>SUMIFS('PL1.1 ML2027-2028'!$G:$G,'PL1.1 ML2027-2028'!$J:$J,'TH theo DV'!$F$3,'PL1.1 ML2027-2028'!$K:$K,'TH theo DV'!C18)/$D$1</f>
        <v>0</v>
      </c>
      <c r="G18" s="163">
        <f>SUMIFS('PL1.1 ML2027-2028'!$G:$G,'PL1.1 ML2027-2028'!$J:$J,'TH theo DV'!$G$3,'PL1.1 ML2027-2028'!$K:$K,'TH theo DV'!C18)/$D$1</f>
        <v>0</v>
      </c>
      <c r="H18" s="163">
        <f>SUMIFS('PL1.1 ML2027-2028'!$G:$G,'PL1.1 ML2027-2028'!$J:$J,'TH theo DV'!$H$3,'PL1.1 ML2027-2028'!$K:$K,'TH theo DV'!C18)/$D$1</f>
        <v>0</v>
      </c>
      <c r="I18" s="163">
        <f>SUMIFS('PL1.1 ML2027-2028'!$G:$G,'PL1.1 ML2027-2028'!$J:$J,I$3,'PL1.1 ML2027-2028'!$K:$K,C18)/$D$1</f>
        <v>0</v>
      </c>
      <c r="J18" s="163">
        <f>SUMIFS('PL1.1 ML2027-2028'!$G:$G,'PL1.1 ML2027-2028'!$J:$J,'TH theo DV'!$J$3,'PL1.1 ML2027-2028'!$K:$K,'TH theo DV'!C18)/$D$1</f>
        <v>0</v>
      </c>
      <c r="K18" s="163">
        <f>SUMIFS('PL1.1 ML2027-2028'!$G:$G,'PL1.1 ML2027-2028'!$J:$J,'TH theo DV'!K$3,'PL1.1 ML2027-2028'!$K:$K,'TH theo DV'!$C18)/$D$1</f>
        <v>0</v>
      </c>
      <c r="L18" s="163">
        <f t="shared" si="24"/>
        <v>0</v>
      </c>
      <c r="M18" s="163" t="e">
        <f t="shared" si="8"/>
        <v>#DIV/0!</v>
      </c>
      <c r="N18" s="163">
        <f>SUMIFS('PL1.1 ML2027-2028'!$H:$H,'PL1.1 ML2027-2028'!$J:$J,'TH theo DV'!N$3,'PL1.1 ML2027-2028'!$K:$K,'TH theo DV'!$C18)/$D$1</f>
        <v>0</v>
      </c>
      <c r="O18" s="163">
        <f>SUMIFS('PL1.1 ML2027-2028'!$H:$H,'PL1.1 ML2027-2028'!$J:$J,'TH theo DV'!O$3,'PL1.1 ML2027-2028'!$K:$K,'TH theo DV'!$C18)/$D$1</f>
        <v>0</v>
      </c>
      <c r="P18" s="163">
        <f>SUMIFS('PL1.1 ML2027-2028'!$H:$H,'PL1.1 ML2027-2028'!$J:$J,'TH theo DV'!P$3,'PL1.1 ML2027-2028'!$K:$K,'TH theo DV'!$C18)/$D$1</f>
        <v>0</v>
      </c>
      <c r="Q18" s="163">
        <f>SUMIFS('PL1.1 ML2027-2028'!$H:$H,'PL1.1 ML2027-2028'!$J:$J,'TH theo DV'!Q$3,'PL1.1 ML2027-2028'!$K:$K,'TH theo DV'!$C18)/$D$1</f>
        <v>0</v>
      </c>
      <c r="R18" s="163">
        <f>SUMIFS('PL1.1 ML2027-2028'!$H:$H,'PL1.1 ML2027-2028'!$J:$J,'TH theo DV'!R$3,'PL1.1 ML2027-2028'!$K:$K,'TH theo DV'!$C18)/$D$1</f>
        <v>0</v>
      </c>
      <c r="S18" s="163">
        <f>SUMIFS('PL1.1 ML2027-2028'!$H:$H,'PL1.1 ML2027-2028'!$J:$J,'TH theo DV'!S$3,'PL1.1 ML2027-2028'!$K:$K,'TH theo DV'!$C18)/$D$1</f>
        <v>0</v>
      </c>
      <c r="T18" s="163">
        <f>SUMIFS('PL1.1 ML2027-2028'!$H:$H,'PL1.1 ML2027-2028'!$J:$J,'TH theo DV'!T$3,'PL1.1 ML2027-2028'!$K:$K,'TH theo DV'!$C18)/$D$1</f>
        <v>0</v>
      </c>
      <c r="U18" s="163">
        <f>SUMIFS('PL1.1 ML2027-2028'!$H:$H,'PL1.1 ML2027-2028'!$J:$J,'TH theo DV'!U$3,'PL1.1 ML2027-2028'!$K:$K,'TH theo DV'!$C18)/$D$1</f>
        <v>0</v>
      </c>
      <c r="V18" s="166">
        <f t="shared" si="25"/>
        <v>0</v>
      </c>
      <c r="W18" s="172"/>
      <c r="X18" s="84">
        <f>D18+N18</f>
        <v>0</v>
      </c>
      <c r="Y18" s="84">
        <f>E18+O18</f>
        <v>0</v>
      </c>
      <c r="Z18" s="84">
        <f>F18+P18</f>
        <v>0</v>
      </c>
      <c r="AA18" s="84">
        <f>G18+Q18</f>
        <v>0</v>
      </c>
      <c r="AB18" s="84">
        <f>H18+R18</f>
        <v>0</v>
      </c>
      <c r="AC18" s="84">
        <f>I18+S18</f>
        <v>0</v>
      </c>
      <c r="AD18" s="84">
        <f t="shared" si="26"/>
        <v>0</v>
      </c>
      <c r="AE18" s="83">
        <f t="shared" si="27"/>
        <v>0</v>
      </c>
      <c r="AF18" s="100" t="e">
        <f t="shared" si="5"/>
        <v>#DIV/0!</v>
      </c>
      <c r="AG18" s="113"/>
    </row>
    <row r="19" spans="1:33" s="36" customFormat="1" outlineLevel="1" x14ac:dyDescent="0.25">
      <c r="A19" s="656" t="s">
        <v>8</v>
      </c>
      <c r="B19" s="76" t="s">
        <v>91</v>
      </c>
      <c r="C19" s="18" t="s">
        <v>94</v>
      </c>
      <c r="D19" s="163">
        <f>SUMIFS('PL1.1 ML2027-2028'!$G:$G,'PL1.1 ML2027-2028'!$J:$J,'TH theo DV'!$D$3,'PL1.1 ML2027-2028'!$K:$K,'TH theo DV'!C19)/$D$1</f>
        <v>0</v>
      </c>
      <c r="E19" s="163">
        <f>SUMIFS('PL1.1 ML2027-2028'!$G:$G,'PL1.1 ML2027-2028'!$J:$J,'TH theo DV'!$E$3,'PL1.1 ML2027-2028'!$K:$K,'TH theo DV'!C19)/$D$1</f>
        <v>0</v>
      </c>
      <c r="F19" s="163">
        <f>SUMIFS('PL1.1 ML2027-2028'!$G:$G,'PL1.1 ML2027-2028'!$J:$J,'TH theo DV'!$F$3,'PL1.1 ML2027-2028'!$K:$K,'TH theo DV'!C19)/$D$1</f>
        <v>0</v>
      </c>
      <c r="G19" s="163">
        <f>SUMIFS('PL1.1 ML2027-2028'!$G:$G,'PL1.1 ML2027-2028'!$J:$J,'TH theo DV'!$G$3,'PL1.1 ML2027-2028'!$K:$K,'TH theo DV'!C19)/$D$1</f>
        <v>0</v>
      </c>
      <c r="H19" s="163">
        <f>SUMIFS('PL1.1 ML2027-2028'!$G:$G,'PL1.1 ML2027-2028'!$J:$J,'TH theo DV'!$H$3,'PL1.1 ML2027-2028'!$K:$K,'TH theo DV'!C19)/$D$1</f>
        <v>0</v>
      </c>
      <c r="I19" s="163">
        <f>SUMIFS('PL1.1 ML2027-2028'!$G:$G,'PL1.1 ML2027-2028'!$J:$J,I$3,'PL1.1 ML2027-2028'!$K:$K,C19)/$D$1</f>
        <v>0</v>
      </c>
      <c r="J19" s="163">
        <f>SUMIFS('PL1.1 ML2027-2028'!$G:$G,'PL1.1 ML2027-2028'!$J:$J,'TH theo DV'!$J$3,'PL1.1 ML2027-2028'!$K:$K,'TH theo DV'!C19)/$D$1</f>
        <v>0</v>
      </c>
      <c r="K19" s="163">
        <f>SUMIFS('PL1.1 ML2027-2028'!$G:$G,'PL1.1 ML2027-2028'!$J:$J,'TH theo DV'!K$3,'PL1.1 ML2027-2028'!$K:$K,'TH theo DV'!$C19)/$D$1</f>
        <v>0</v>
      </c>
      <c r="L19" s="163">
        <f t="shared" si="24"/>
        <v>0</v>
      </c>
      <c r="M19" s="163" t="e">
        <f t="shared" si="8"/>
        <v>#DIV/0!</v>
      </c>
      <c r="N19" s="163">
        <f>SUMIFS('PL1.1 ML2027-2028'!$H:$H,'PL1.1 ML2027-2028'!$J:$J,'TH theo DV'!N$3,'PL1.1 ML2027-2028'!$K:$K,'TH theo DV'!$C19)/$D$1</f>
        <v>0</v>
      </c>
      <c r="O19" s="163">
        <f>SUMIFS('PL1.1 ML2027-2028'!$H:$H,'PL1.1 ML2027-2028'!$J:$J,'TH theo DV'!O$3,'PL1.1 ML2027-2028'!$K:$K,'TH theo DV'!$C19)/$D$1</f>
        <v>0</v>
      </c>
      <c r="P19" s="163">
        <f>SUMIFS('PL1.1 ML2027-2028'!$H:$H,'PL1.1 ML2027-2028'!$J:$J,'TH theo DV'!P$3,'PL1.1 ML2027-2028'!$K:$K,'TH theo DV'!$C19)/$D$1</f>
        <v>0</v>
      </c>
      <c r="Q19" s="163">
        <f>SUMIFS('PL1.1 ML2027-2028'!$H:$H,'PL1.1 ML2027-2028'!$J:$J,'TH theo DV'!Q$3,'PL1.1 ML2027-2028'!$K:$K,'TH theo DV'!$C19)/$D$1</f>
        <v>0</v>
      </c>
      <c r="R19" s="163">
        <f>SUMIFS('PL1.1 ML2027-2028'!$H:$H,'PL1.1 ML2027-2028'!$J:$J,'TH theo DV'!R$3,'PL1.1 ML2027-2028'!$K:$K,'TH theo DV'!$C19)/$D$1</f>
        <v>0</v>
      </c>
      <c r="S19" s="163">
        <f>SUMIFS('PL1.1 ML2027-2028'!$H:$H,'PL1.1 ML2027-2028'!$J:$J,'TH theo DV'!S$3,'PL1.1 ML2027-2028'!$K:$K,'TH theo DV'!$C19)/$D$1</f>
        <v>0</v>
      </c>
      <c r="T19" s="163">
        <f>SUMIFS('PL1.1 ML2027-2028'!$H:$H,'PL1.1 ML2027-2028'!$J:$J,'TH theo DV'!T$3,'PL1.1 ML2027-2028'!$K:$K,'TH theo DV'!$C19)/$D$1</f>
        <v>0</v>
      </c>
      <c r="U19" s="163">
        <f>SUMIFS('PL1.1 ML2027-2028'!$H:$H,'PL1.1 ML2027-2028'!$J:$J,'TH theo DV'!U$3,'PL1.1 ML2027-2028'!$K:$K,'TH theo DV'!$C19)/$D$1</f>
        <v>0</v>
      </c>
      <c r="V19" s="166">
        <f t="shared" si="25"/>
        <v>0</v>
      </c>
      <c r="W19" s="172"/>
      <c r="X19" s="84">
        <f>D19+N19</f>
        <v>0</v>
      </c>
      <c r="Y19" s="84">
        <f>E19+O19</f>
        <v>0</v>
      </c>
      <c r="Z19" s="84">
        <f>F19+P19</f>
        <v>0</v>
      </c>
      <c r="AA19" s="84">
        <f>G19+Q19</f>
        <v>0</v>
      </c>
      <c r="AB19" s="84">
        <f>H19+R19</f>
        <v>0</v>
      </c>
      <c r="AC19" s="84">
        <f>I19+S19</f>
        <v>0</v>
      </c>
      <c r="AD19" s="84">
        <f t="shared" si="26"/>
        <v>0</v>
      </c>
      <c r="AE19" s="83">
        <f t="shared" si="27"/>
        <v>0</v>
      </c>
      <c r="AF19" s="100" t="e">
        <f t="shared" si="5"/>
        <v>#DIV/0!</v>
      </c>
      <c r="AG19" s="113"/>
    </row>
    <row r="20" spans="1:33" s="36" customFormat="1" outlineLevel="1" x14ac:dyDescent="0.25">
      <c r="A20" s="653">
        <v>3</v>
      </c>
      <c r="B20" s="82" t="s">
        <v>60</v>
      </c>
      <c r="C20" s="45" t="s">
        <v>64</v>
      </c>
      <c r="D20" s="163">
        <f>SUMIFS('PL1.1 ML2027-2028'!$G:$G,'PL1.1 ML2027-2028'!$J:$J,'TH theo DV'!$D$3,'PL1.1 ML2027-2028'!$K:$K,'TH theo DV'!C20)/$D$1</f>
        <v>0</v>
      </c>
      <c r="E20" s="163">
        <f>SUMIFS('PL1.1 ML2027-2028'!$G:$G,'PL1.1 ML2027-2028'!$J:$J,'TH theo DV'!$E$3,'PL1.1 ML2027-2028'!$K:$K,'TH theo DV'!C20)/$D$1</f>
        <v>0</v>
      </c>
      <c r="F20" s="163">
        <f>SUMIFS('PL1.1 ML2027-2028'!$G:$G,'PL1.1 ML2027-2028'!$J:$J,'TH theo DV'!$F$3,'PL1.1 ML2027-2028'!$K:$K,'TH theo DV'!C20)/$D$1</f>
        <v>0</v>
      </c>
      <c r="G20" s="163">
        <f>SUMIFS('PL1.1 ML2027-2028'!$G:$G,'PL1.1 ML2027-2028'!$J:$J,'TH theo DV'!$G$3,'PL1.1 ML2027-2028'!$K:$K,'TH theo DV'!C20)/$D$1</f>
        <v>0</v>
      </c>
      <c r="H20" s="163">
        <f>SUMIFS('PL1.1 ML2027-2028'!$G:$G,'PL1.1 ML2027-2028'!$J:$J,'TH theo DV'!$H$3,'PL1.1 ML2027-2028'!$K:$K,'TH theo DV'!C20)/$D$1</f>
        <v>0</v>
      </c>
      <c r="I20" s="163">
        <f>SUMIFS('PL1.1 ML2027-2028'!$G:$G,'PL1.1 ML2027-2028'!$J:$J,I$3,'PL1.1 ML2027-2028'!$K:$K,C20)/$D$1</f>
        <v>0</v>
      </c>
      <c r="J20" s="163">
        <f>SUMIFS('PL1.1 ML2027-2028'!$G:$G,'PL1.1 ML2027-2028'!$J:$J,'TH theo DV'!$J$3,'PL1.1 ML2027-2028'!$K:$K,'TH theo DV'!C20)/$D$1</f>
        <v>0</v>
      </c>
      <c r="K20" s="163">
        <f>SUMIFS('PL1.1 ML2027-2028'!$G:$G,'PL1.1 ML2027-2028'!$J:$J,'TH theo DV'!K$3,'PL1.1 ML2027-2028'!$K:$K,'TH theo DV'!$C20)/$D$1</f>
        <v>0</v>
      </c>
      <c r="L20" s="163">
        <f t="shared" si="24"/>
        <v>0</v>
      </c>
      <c r="M20" s="163" t="e">
        <f t="shared" si="8"/>
        <v>#DIV/0!</v>
      </c>
      <c r="N20" s="163">
        <f>SUMIFS('PL1.1 ML2027-2028'!$H:$H,'PL1.1 ML2027-2028'!$J:$J,'TH theo DV'!N$3,'PL1.1 ML2027-2028'!$K:$K,'TH theo DV'!$C20)/$D$1</f>
        <v>0</v>
      </c>
      <c r="O20" s="163">
        <f>SUMIFS('PL1.1 ML2027-2028'!$H:$H,'PL1.1 ML2027-2028'!$J:$J,'TH theo DV'!O$3,'PL1.1 ML2027-2028'!$K:$K,'TH theo DV'!$C20)/$D$1</f>
        <v>0</v>
      </c>
      <c r="P20" s="163">
        <f>SUMIFS('PL1.1 ML2027-2028'!$H:$H,'PL1.1 ML2027-2028'!$J:$J,'TH theo DV'!P$3,'PL1.1 ML2027-2028'!$K:$K,'TH theo DV'!$C20)/$D$1</f>
        <v>0</v>
      </c>
      <c r="Q20" s="163">
        <f>SUMIFS('PL1.1 ML2027-2028'!$H:$H,'PL1.1 ML2027-2028'!$J:$J,'TH theo DV'!Q$3,'PL1.1 ML2027-2028'!$K:$K,'TH theo DV'!$C20)/$D$1</f>
        <v>0</v>
      </c>
      <c r="R20" s="163">
        <f>SUMIFS('PL1.1 ML2027-2028'!$H:$H,'PL1.1 ML2027-2028'!$J:$J,'TH theo DV'!R$3,'PL1.1 ML2027-2028'!$K:$K,'TH theo DV'!$C20)/$D$1</f>
        <v>0</v>
      </c>
      <c r="S20" s="163">
        <f>SUMIFS('PL1.1 ML2027-2028'!$H:$H,'PL1.1 ML2027-2028'!$J:$J,'TH theo DV'!S$3,'PL1.1 ML2027-2028'!$K:$K,'TH theo DV'!$C20)/$D$1</f>
        <v>0</v>
      </c>
      <c r="T20" s="163">
        <f>SUMIFS('PL1.1 ML2027-2028'!$H:$H,'PL1.1 ML2027-2028'!$J:$J,'TH theo DV'!T$3,'PL1.1 ML2027-2028'!$K:$K,'TH theo DV'!$C20)/$D$1</f>
        <v>0</v>
      </c>
      <c r="U20" s="163">
        <f>SUMIFS('PL1.1 ML2027-2028'!$H:$H,'PL1.1 ML2027-2028'!$J:$J,'TH theo DV'!U$3,'PL1.1 ML2027-2028'!$K:$K,'TH theo DV'!$C20)/$D$1</f>
        <v>0</v>
      </c>
      <c r="V20" s="166">
        <f>SUM(N20:U20)</f>
        <v>0</v>
      </c>
      <c r="W20" s="172"/>
      <c r="X20" s="84">
        <f>D20+N20</f>
        <v>0</v>
      </c>
      <c r="Y20" s="84">
        <f>E20+O20</f>
        <v>0</v>
      </c>
      <c r="Z20" s="84">
        <f>F20+P20</f>
        <v>0</v>
      </c>
      <c r="AA20" s="84">
        <f>G20+Q20</f>
        <v>0</v>
      </c>
      <c r="AB20" s="84">
        <f>H20+R20</f>
        <v>0</v>
      </c>
      <c r="AC20" s="84">
        <f>I20+S20</f>
        <v>0</v>
      </c>
      <c r="AD20" s="84">
        <f t="shared" si="26"/>
        <v>0</v>
      </c>
      <c r="AE20" s="83">
        <f t="shared" si="27"/>
        <v>0</v>
      </c>
      <c r="AF20" s="100" t="e">
        <f t="shared" si="5"/>
        <v>#DIV/0!</v>
      </c>
      <c r="AG20" s="113"/>
    </row>
    <row r="21" spans="1:33" s="36" customFormat="1" outlineLevel="1" x14ac:dyDescent="0.25">
      <c r="A21" s="653">
        <v>4</v>
      </c>
      <c r="B21" s="82" t="s">
        <v>61</v>
      </c>
      <c r="C21" s="18" t="s">
        <v>65</v>
      </c>
      <c r="D21" s="163">
        <f>SUMIFS('PL1.1 ML2027-2028'!$G:$G,'PL1.1 ML2027-2028'!$J:$J,'TH theo DV'!$D$3,'PL1.1 ML2027-2028'!$K:$K,'TH theo DV'!C21)/$D$1</f>
        <v>0</v>
      </c>
      <c r="E21" s="163">
        <f>SUMIFS('PL1.1 ML2027-2028'!$G:$G,'PL1.1 ML2027-2028'!$J:$J,'TH theo DV'!$E$3,'PL1.1 ML2027-2028'!$K:$K,'TH theo DV'!C21)/$D$1</f>
        <v>0</v>
      </c>
      <c r="F21" s="163">
        <f>SUMIFS('PL1.1 ML2027-2028'!$G:$G,'PL1.1 ML2027-2028'!$J:$J,'TH theo DV'!$F$3,'PL1.1 ML2027-2028'!$K:$K,'TH theo DV'!C21)/$D$1</f>
        <v>0</v>
      </c>
      <c r="G21" s="163">
        <f>SUMIFS('PL1.1 ML2027-2028'!$G:$G,'PL1.1 ML2027-2028'!$J:$J,'TH theo DV'!$G$3,'PL1.1 ML2027-2028'!$K:$K,'TH theo DV'!C21)/$D$1</f>
        <v>0</v>
      </c>
      <c r="H21" s="163">
        <f>SUMIFS('PL1.1 ML2027-2028'!$G:$G,'PL1.1 ML2027-2028'!$J:$J,'TH theo DV'!$H$3,'PL1.1 ML2027-2028'!$K:$K,'TH theo DV'!C21)/$D$1</f>
        <v>0</v>
      </c>
      <c r="I21" s="163">
        <f>SUMIFS('PL1.1 ML2027-2028'!$G:$G,'PL1.1 ML2027-2028'!$J:$J,I$3,'PL1.1 ML2027-2028'!$K:$K,C21)/$D$1</f>
        <v>0</v>
      </c>
      <c r="J21" s="163">
        <f>SUMIFS('PL1.1 ML2027-2028'!$G:$G,'PL1.1 ML2027-2028'!$J:$J,'TH theo DV'!$J$3,'PL1.1 ML2027-2028'!$K:$K,'TH theo DV'!C21)/$D$1</f>
        <v>0</v>
      </c>
      <c r="K21" s="163">
        <f>SUMIFS('PL1.1 ML2027-2028'!$G:$G,'PL1.1 ML2027-2028'!$J:$J,'TH theo DV'!K$3,'PL1.1 ML2027-2028'!$K:$K,'TH theo DV'!$C21)/$D$1</f>
        <v>0</v>
      </c>
      <c r="L21" s="163">
        <f t="shared" si="24"/>
        <v>0</v>
      </c>
      <c r="M21" s="163" t="e">
        <f t="shared" si="8"/>
        <v>#DIV/0!</v>
      </c>
      <c r="N21" s="163">
        <f>SUMIFS('PL1.1 ML2027-2028'!$H:$H,'PL1.1 ML2027-2028'!$J:$J,'TH theo DV'!N$3,'PL1.1 ML2027-2028'!$K:$K,'TH theo DV'!$C21)/$D$1</f>
        <v>0</v>
      </c>
      <c r="O21" s="163">
        <f>SUMIFS('PL1.1 ML2027-2028'!$H:$H,'PL1.1 ML2027-2028'!$J:$J,'TH theo DV'!O$3,'PL1.1 ML2027-2028'!$K:$K,'TH theo DV'!$C21)/$D$1</f>
        <v>0</v>
      </c>
      <c r="P21" s="163">
        <f>SUMIFS('PL1.1 ML2027-2028'!$H:$H,'PL1.1 ML2027-2028'!$J:$J,'TH theo DV'!P$3,'PL1.1 ML2027-2028'!$K:$K,'TH theo DV'!$C21)/$D$1</f>
        <v>0</v>
      </c>
      <c r="Q21" s="163">
        <f>SUMIFS('PL1.1 ML2027-2028'!$H:$H,'PL1.1 ML2027-2028'!$J:$J,'TH theo DV'!Q$3,'PL1.1 ML2027-2028'!$K:$K,'TH theo DV'!$C21)/$D$1</f>
        <v>0</v>
      </c>
      <c r="R21" s="163">
        <f>SUMIFS('PL1.1 ML2027-2028'!$H:$H,'PL1.1 ML2027-2028'!$J:$J,'TH theo DV'!R$3,'PL1.1 ML2027-2028'!$K:$K,'TH theo DV'!$C21)/$D$1</f>
        <v>0</v>
      </c>
      <c r="S21" s="163">
        <f>SUMIFS('PL1.1 ML2027-2028'!$H:$H,'PL1.1 ML2027-2028'!$J:$J,'TH theo DV'!S$3,'PL1.1 ML2027-2028'!$K:$K,'TH theo DV'!$C21)/$D$1</f>
        <v>0</v>
      </c>
      <c r="T21" s="163">
        <f>SUMIFS('PL1.1 ML2027-2028'!$H:$H,'PL1.1 ML2027-2028'!$J:$J,'TH theo DV'!T$3,'PL1.1 ML2027-2028'!$K:$K,'TH theo DV'!$C21)/$D$1</f>
        <v>0</v>
      </c>
      <c r="U21" s="163">
        <f>SUMIFS('PL1.1 ML2027-2028'!$H:$H,'PL1.1 ML2027-2028'!$J:$J,'TH theo DV'!U$3,'PL1.1 ML2027-2028'!$K:$K,'TH theo DV'!$C21)/$D$1</f>
        <v>0</v>
      </c>
      <c r="V21" s="166">
        <f>SUM(N21:U21)</f>
        <v>0</v>
      </c>
      <c r="W21" s="172"/>
      <c r="X21" s="84">
        <f>D21+N21</f>
        <v>0</v>
      </c>
      <c r="Y21" s="84">
        <f>E21+O21</f>
        <v>0</v>
      </c>
      <c r="Z21" s="84">
        <f>F21+P21</f>
        <v>0</v>
      </c>
      <c r="AA21" s="84">
        <f>G21+Q21</f>
        <v>0</v>
      </c>
      <c r="AB21" s="84">
        <f>H21+R21</f>
        <v>0</v>
      </c>
      <c r="AC21" s="84">
        <f>I21+S21</f>
        <v>0</v>
      </c>
      <c r="AD21" s="84">
        <f t="shared" si="26"/>
        <v>0</v>
      </c>
      <c r="AE21" s="83">
        <f t="shared" si="27"/>
        <v>0</v>
      </c>
      <c r="AF21" s="100" t="e">
        <f t="shared" si="5"/>
        <v>#DIV/0!</v>
      </c>
      <c r="AG21" s="113"/>
    </row>
    <row r="22" spans="1:33" s="36" customFormat="1" outlineLevel="1" x14ac:dyDescent="0.25">
      <c r="A22" s="653">
        <v>5</v>
      </c>
      <c r="B22" s="82" t="s">
        <v>106</v>
      </c>
      <c r="C22" s="18"/>
      <c r="D22" s="163">
        <f t="shared" ref="D22:L22" si="28">SUBTOTAL(9,D23:D25)</f>
        <v>0</v>
      </c>
      <c r="E22" s="163">
        <f t="shared" si="28"/>
        <v>0</v>
      </c>
      <c r="F22" s="163">
        <f t="shared" si="28"/>
        <v>0</v>
      </c>
      <c r="G22" s="163">
        <f t="shared" si="28"/>
        <v>0</v>
      </c>
      <c r="H22" s="163">
        <f t="shared" si="28"/>
        <v>0</v>
      </c>
      <c r="I22" s="163">
        <f t="shared" si="28"/>
        <v>0</v>
      </c>
      <c r="J22" s="163">
        <f t="shared" si="28"/>
        <v>0</v>
      </c>
      <c r="K22" s="163">
        <f t="shared" ref="K22" si="29">SUBTOTAL(9,K23:K25)</f>
        <v>0</v>
      </c>
      <c r="L22" s="163">
        <f t="shared" si="28"/>
        <v>0</v>
      </c>
      <c r="M22" s="163" t="e">
        <f t="shared" si="8"/>
        <v>#DIV/0!</v>
      </c>
      <c r="N22" s="161">
        <f>SUBTOTAL(9,N23:N25)</f>
        <v>0</v>
      </c>
      <c r="O22" s="161">
        <f t="shared" ref="O22:U22" si="30">SUBTOTAL(9,O23:O25)</f>
        <v>0</v>
      </c>
      <c r="P22" s="161">
        <f t="shared" si="30"/>
        <v>0</v>
      </c>
      <c r="Q22" s="161">
        <f t="shared" si="30"/>
        <v>0</v>
      </c>
      <c r="R22" s="161">
        <f t="shared" si="30"/>
        <v>0</v>
      </c>
      <c r="S22" s="161">
        <f t="shared" ref="S22" si="31">SUBTOTAL(9,S23:S25)</f>
        <v>0</v>
      </c>
      <c r="T22" s="161">
        <f t="shared" si="30"/>
        <v>0</v>
      </c>
      <c r="U22" s="166">
        <f t="shared" si="30"/>
        <v>0</v>
      </c>
      <c r="V22" s="161">
        <f>SUBTOTAL(9,V23:V25)</f>
        <v>0</v>
      </c>
      <c r="W22" s="171" t="e">
        <f>V22/$V$4</f>
        <v>#DIV/0!</v>
      </c>
      <c r="X22" s="83">
        <f t="shared" ref="X22:AE22" si="32">SUBTOTAL(9,X23:X25)</f>
        <v>0</v>
      </c>
      <c r="Y22" s="83">
        <f t="shared" si="32"/>
        <v>0</v>
      </c>
      <c r="Z22" s="83">
        <f t="shared" si="32"/>
        <v>0</v>
      </c>
      <c r="AA22" s="83">
        <f t="shared" si="32"/>
        <v>0</v>
      </c>
      <c r="AB22" s="83">
        <f t="shared" si="32"/>
        <v>0</v>
      </c>
      <c r="AC22" s="83">
        <f t="shared" ref="AC22" si="33">SUBTOTAL(9,AC23:AC25)</f>
        <v>0</v>
      </c>
      <c r="AD22" s="83">
        <f t="shared" si="32"/>
        <v>0</v>
      </c>
      <c r="AE22" s="83">
        <f t="shared" si="32"/>
        <v>0</v>
      </c>
      <c r="AF22" s="100" t="e">
        <f t="shared" si="5"/>
        <v>#DIV/0!</v>
      </c>
      <c r="AG22" s="48"/>
    </row>
    <row r="23" spans="1:33" outlineLevel="1" x14ac:dyDescent="0.25">
      <c r="A23" s="476" t="s">
        <v>8</v>
      </c>
      <c r="B23" s="68" t="s">
        <v>113</v>
      </c>
      <c r="C23" s="70" t="s">
        <v>116</v>
      </c>
      <c r="D23" s="163">
        <f>SUMIFS('PL1.1 ML2027-2028'!$G:$G,'PL1.1 ML2027-2028'!$J:$J,'TH theo DV'!$D$3,'PL1.1 ML2027-2028'!$K:$K,'TH theo DV'!C23)/$D$1</f>
        <v>0</v>
      </c>
      <c r="E23" s="163">
        <f>SUMIFS('PL1.1 ML2027-2028'!$G:$G,'PL1.1 ML2027-2028'!$J:$J,'TH theo DV'!$E$3,'PL1.1 ML2027-2028'!$K:$K,'TH theo DV'!C23)/$D$1</f>
        <v>0</v>
      </c>
      <c r="F23" s="163">
        <f>SUMIFS('PL1.1 ML2027-2028'!$G:$G,'PL1.1 ML2027-2028'!$J:$J,'TH theo DV'!$F$3,'PL1.1 ML2027-2028'!$K:$K,'TH theo DV'!C23)/$D$1</f>
        <v>0</v>
      </c>
      <c r="G23" s="163">
        <f>SUMIFS('PL1.1 ML2027-2028'!$G:$G,'PL1.1 ML2027-2028'!$J:$J,'TH theo DV'!$G$3,'PL1.1 ML2027-2028'!$K:$K,'TH theo DV'!C23)/$D$1</f>
        <v>0</v>
      </c>
      <c r="H23" s="163">
        <f>SUMIFS('PL1.1 ML2027-2028'!$G:$G,'PL1.1 ML2027-2028'!$J:$J,'TH theo DV'!$H$3,'PL1.1 ML2027-2028'!$K:$K,'TH theo DV'!C23)/$D$1</f>
        <v>0</v>
      </c>
      <c r="I23" s="163">
        <f>SUMIFS('PL1.1 ML2027-2028'!$G:$G,'PL1.1 ML2027-2028'!$J:$J,I$3,'PL1.1 ML2027-2028'!$K:$K,C23)/$D$1</f>
        <v>0</v>
      </c>
      <c r="J23" s="163">
        <f>SUMIFS('PL1.1 ML2027-2028'!$G:$G,'PL1.1 ML2027-2028'!$J:$J,'TH theo DV'!$J$3,'PL1.1 ML2027-2028'!$K:$K,'TH theo DV'!C23)/$D$1</f>
        <v>0</v>
      </c>
      <c r="K23" s="163">
        <f>SUMIFS('PL1.1 ML2027-2028'!$G:$G,'PL1.1 ML2027-2028'!$J:$J,'TH theo DV'!K$3,'PL1.1 ML2027-2028'!$K:$K,'TH theo DV'!$C23)/$D$1</f>
        <v>0</v>
      </c>
      <c r="L23" s="163">
        <f>SUM(D23:K23)</f>
        <v>0</v>
      </c>
      <c r="M23" s="163" t="e">
        <f t="shared" si="8"/>
        <v>#DIV/0!</v>
      </c>
      <c r="N23" s="163">
        <f>SUMIFS('PL1.1 ML2027-2028'!$H:$H,'PL1.1 ML2027-2028'!$J:$J,'TH theo DV'!N$3,'PL1.1 ML2027-2028'!$K:$K,'TH theo DV'!$C23)/$D$1</f>
        <v>0</v>
      </c>
      <c r="O23" s="163">
        <f>SUMIFS('PL1.1 ML2027-2028'!$H:$H,'PL1.1 ML2027-2028'!$J:$J,'TH theo DV'!O$3,'PL1.1 ML2027-2028'!$K:$K,'TH theo DV'!$C23)/$D$1</f>
        <v>0</v>
      </c>
      <c r="P23" s="163">
        <f>SUMIFS('PL1.1 ML2027-2028'!$H:$H,'PL1.1 ML2027-2028'!$J:$J,'TH theo DV'!P$3,'PL1.1 ML2027-2028'!$K:$K,'TH theo DV'!$C23)/$D$1</f>
        <v>0</v>
      </c>
      <c r="Q23" s="163">
        <f>SUMIFS('PL1.1 ML2027-2028'!$H:$H,'PL1.1 ML2027-2028'!$J:$J,'TH theo DV'!Q$3,'PL1.1 ML2027-2028'!$K:$K,'TH theo DV'!$C23)/$D$1</f>
        <v>0</v>
      </c>
      <c r="R23" s="163">
        <f>SUMIFS('PL1.1 ML2027-2028'!$H:$H,'PL1.1 ML2027-2028'!$J:$J,'TH theo DV'!R$3,'PL1.1 ML2027-2028'!$K:$K,'TH theo DV'!$C23)/$D$1</f>
        <v>0</v>
      </c>
      <c r="S23" s="163">
        <f>SUMIFS('PL1.1 ML2027-2028'!$H:$H,'PL1.1 ML2027-2028'!$J:$J,'TH theo DV'!S$3,'PL1.1 ML2027-2028'!$K:$K,'TH theo DV'!$C23)/$D$1</f>
        <v>0</v>
      </c>
      <c r="T23" s="163">
        <f>SUMIFS('PL1.1 ML2027-2028'!$H:$H,'PL1.1 ML2027-2028'!$J:$J,'TH theo DV'!T$3,'PL1.1 ML2027-2028'!$K:$K,'TH theo DV'!$C23)/$D$1</f>
        <v>0</v>
      </c>
      <c r="U23" s="163">
        <f>SUMIFS('PL1.1 ML2027-2028'!$H:$H,'PL1.1 ML2027-2028'!$J:$J,'TH theo DV'!U$3,'PL1.1 ML2027-2028'!$K:$K,'TH theo DV'!$C23)/$D$1</f>
        <v>0</v>
      </c>
      <c r="V23" s="166">
        <f t="shared" ref="V23:V25" si="34">SUM(N23:U23)</f>
        <v>0</v>
      </c>
      <c r="W23" s="170"/>
      <c r="X23" s="65">
        <f>D23+N23</f>
        <v>0</v>
      </c>
      <c r="Y23" s="65">
        <f>E23+O23</f>
        <v>0</v>
      </c>
      <c r="Z23" s="65">
        <f>F23+P23</f>
        <v>0</v>
      </c>
      <c r="AA23" s="65">
        <f>G23+Q23</f>
        <v>0</v>
      </c>
      <c r="AB23" s="65">
        <f>H23+R23</f>
        <v>0</v>
      </c>
      <c r="AC23" s="65">
        <f>I23+S23</f>
        <v>0</v>
      </c>
      <c r="AD23" s="65">
        <f t="shared" ref="AD23:AD25" si="35">J23+T23</f>
        <v>0</v>
      </c>
      <c r="AE23" s="64">
        <f>SUM(X23:AD23)</f>
        <v>0</v>
      </c>
      <c r="AF23" s="67" t="e">
        <f t="shared" si="5"/>
        <v>#DIV/0!</v>
      </c>
    </row>
    <row r="24" spans="1:33" outlineLevel="1" x14ac:dyDescent="0.25">
      <c r="A24" s="476" t="s">
        <v>8</v>
      </c>
      <c r="B24" s="68" t="s">
        <v>114</v>
      </c>
      <c r="C24" s="70" t="s">
        <v>117</v>
      </c>
      <c r="D24" s="163">
        <f>SUMIFS('PL1.1 ML2027-2028'!$G:$G,'PL1.1 ML2027-2028'!$J:$J,'TH theo DV'!$D$3,'PL1.1 ML2027-2028'!$K:$K,'TH theo DV'!C24)/$D$1</f>
        <v>0</v>
      </c>
      <c r="E24" s="163">
        <f>SUMIFS('PL1.1 ML2027-2028'!$G:$G,'PL1.1 ML2027-2028'!$J:$J,'TH theo DV'!$E$3,'PL1.1 ML2027-2028'!$K:$K,'TH theo DV'!C24)/$D$1</f>
        <v>0</v>
      </c>
      <c r="F24" s="163">
        <f>SUMIFS('PL1.1 ML2027-2028'!$G:$G,'PL1.1 ML2027-2028'!$J:$J,'TH theo DV'!$F$3,'PL1.1 ML2027-2028'!$K:$K,'TH theo DV'!C24)/$D$1</f>
        <v>0</v>
      </c>
      <c r="G24" s="163">
        <f>SUMIFS('PL1.1 ML2027-2028'!$G:$G,'PL1.1 ML2027-2028'!$J:$J,'TH theo DV'!$G$3,'PL1.1 ML2027-2028'!$K:$K,'TH theo DV'!C24)/$D$1</f>
        <v>0</v>
      </c>
      <c r="H24" s="163">
        <f>SUMIFS('PL1.1 ML2027-2028'!$G:$G,'PL1.1 ML2027-2028'!$J:$J,'TH theo DV'!$H$3,'PL1.1 ML2027-2028'!$K:$K,'TH theo DV'!C24)/$D$1</f>
        <v>0</v>
      </c>
      <c r="I24" s="163">
        <f>SUMIFS('PL1.1 ML2027-2028'!$G:$G,'PL1.1 ML2027-2028'!$J:$J,I$3,'PL1.1 ML2027-2028'!$K:$K,C24)/$D$1</f>
        <v>0</v>
      </c>
      <c r="J24" s="163">
        <f>SUMIFS('PL1.1 ML2027-2028'!$G:$G,'PL1.1 ML2027-2028'!$J:$J,'TH theo DV'!$J$3,'PL1.1 ML2027-2028'!$K:$K,'TH theo DV'!C24)/$D$1</f>
        <v>0</v>
      </c>
      <c r="K24" s="163">
        <f>SUMIFS('PL1.1 ML2027-2028'!$G:$G,'PL1.1 ML2027-2028'!$J:$J,'TH theo DV'!K$3,'PL1.1 ML2027-2028'!$K:$K,'TH theo DV'!$C24)/$D$1</f>
        <v>0</v>
      </c>
      <c r="L24" s="163">
        <f>SUM(D24:K24)</f>
        <v>0</v>
      </c>
      <c r="M24" s="163" t="e">
        <f t="shared" si="8"/>
        <v>#DIV/0!</v>
      </c>
      <c r="N24" s="163">
        <f>SUMIFS('PL1.1 ML2027-2028'!$H:$H,'PL1.1 ML2027-2028'!$J:$J,'TH theo DV'!N$3,'PL1.1 ML2027-2028'!$K:$K,'TH theo DV'!$C24)/$D$1</f>
        <v>0</v>
      </c>
      <c r="O24" s="163">
        <f>SUMIFS('PL1.1 ML2027-2028'!$H:$H,'PL1.1 ML2027-2028'!$J:$J,'TH theo DV'!O$3,'PL1.1 ML2027-2028'!$K:$K,'TH theo DV'!$C24)/$D$1</f>
        <v>0</v>
      </c>
      <c r="P24" s="163">
        <f>SUMIFS('PL1.1 ML2027-2028'!$H:$H,'PL1.1 ML2027-2028'!$J:$J,'TH theo DV'!P$3,'PL1.1 ML2027-2028'!$K:$K,'TH theo DV'!$C24)/$D$1</f>
        <v>0</v>
      </c>
      <c r="Q24" s="163">
        <f>SUMIFS('PL1.1 ML2027-2028'!$H:$H,'PL1.1 ML2027-2028'!$J:$J,'TH theo DV'!Q$3,'PL1.1 ML2027-2028'!$K:$K,'TH theo DV'!$C24)/$D$1</f>
        <v>0</v>
      </c>
      <c r="R24" s="163">
        <f>SUMIFS('PL1.1 ML2027-2028'!$H:$H,'PL1.1 ML2027-2028'!$J:$J,'TH theo DV'!R$3,'PL1.1 ML2027-2028'!$K:$K,'TH theo DV'!$C24)/$D$1</f>
        <v>0</v>
      </c>
      <c r="S24" s="163">
        <f>SUMIFS('PL1.1 ML2027-2028'!$H:$H,'PL1.1 ML2027-2028'!$J:$J,'TH theo DV'!S$3,'PL1.1 ML2027-2028'!$K:$K,'TH theo DV'!$C24)/$D$1</f>
        <v>0</v>
      </c>
      <c r="T24" s="163">
        <f>SUMIFS('PL1.1 ML2027-2028'!$H:$H,'PL1.1 ML2027-2028'!$J:$J,'TH theo DV'!T$3,'PL1.1 ML2027-2028'!$K:$K,'TH theo DV'!$C24)/$D$1</f>
        <v>0</v>
      </c>
      <c r="U24" s="163">
        <f>SUMIFS('PL1.1 ML2027-2028'!$H:$H,'PL1.1 ML2027-2028'!$J:$J,'TH theo DV'!U$3,'PL1.1 ML2027-2028'!$K:$K,'TH theo DV'!$C24)/$D$1</f>
        <v>0</v>
      </c>
      <c r="V24" s="166">
        <f t="shared" si="34"/>
        <v>0</v>
      </c>
      <c r="W24" s="170"/>
      <c r="X24" s="65">
        <f>D24+N24</f>
        <v>0</v>
      </c>
      <c r="Y24" s="65">
        <f>E24+O24</f>
        <v>0</v>
      </c>
      <c r="Z24" s="65">
        <f>F24+P24</f>
        <v>0</v>
      </c>
      <c r="AA24" s="65">
        <f>G24+Q24</f>
        <v>0</v>
      </c>
      <c r="AB24" s="65">
        <f>H24+R24</f>
        <v>0</v>
      </c>
      <c r="AC24" s="65">
        <f>I24+S24</f>
        <v>0</v>
      </c>
      <c r="AD24" s="65">
        <f t="shared" si="35"/>
        <v>0</v>
      </c>
      <c r="AE24" s="64">
        <f>SUM(X24:AD24)</f>
        <v>0</v>
      </c>
      <c r="AF24" s="67" t="e">
        <f t="shared" si="5"/>
        <v>#DIV/0!</v>
      </c>
    </row>
    <row r="25" spans="1:33" outlineLevel="1" x14ac:dyDescent="0.25">
      <c r="A25" s="476" t="s">
        <v>8</v>
      </c>
      <c r="B25" s="68" t="s">
        <v>350</v>
      </c>
      <c r="C25" s="70" t="s">
        <v>351</v>
      </c>
      <c r="D25" s="163">
        <f>SUMIFS('PL1.1 ML2027-2028'!$G:$G,'PL1.1 ML2027-2028'!$J:$J,'TH theo DV'!$D$3,'PL1.1 ML2027-2028'!$K:$K,'TH theo DV'!C25)/$D$1</f>
        <v>0</v>
      </c>
      <c r="E25" s="163">
        <f>SUMIFS('PL1.1 ML2027-2028'!$G:$G,'PL1.1 ML2027-2028'!$J:$J,'TH theo DV'!$E$3,'PL1.1 ML2027-2028'!$K:$K,'TH theo DV'!C25)/$D$1</f>
        <v>0</v>
      </c>
      <c r="F25" s="163">
        <f>SUMIFS('PL1.1 ML2027-2028'!$G:$G,'PL1.1 ML2027-2028'!$J:$J,'TH theo DV'!$F$3,'PL1.1 ML2027-2028'!$K:$K,'TH theo DV'!C25)/$D$1</f>
        <v>0</v>
      </c>
      <c r="G25" s="163">
        <f>SUMIFS('PL1.1 ML2027-2028'!$G:$G,'PL1.1 ML2027-2028'!$J:$J,'TH theo DV'!$G$3,'PL1.1 ML2027-2028'!$K:$K,'TH theo DV'!C25)/$D$1</f>
        <v>0</v>
      </c>
      <c r="H25" s="163">
        <f>SUMIFS('PL1.1 ML2027-2028'!$G:$G,'PL1.1 ML2027-2028'!$J:$J,'TH theo DV'!$H$3,'PL1.1 ML2027-2028'!$K:$K,'TH theo DV'!C25)/$D$1</f>
        <v>0</v>
      </c>
      <c r="I25" s="163">
        <f>SUMIFS('PL1.1 ML2027-2028'!$G:$G,'PL1.1 ML2027-2028'!$J:$J,I$3,'PL1.1 ML2027-2028'!$K:$K,C25)/$D$1</f>
        <v>0</v>
      </c>
      <c r="J25" s="163">
        <f>SUMIFS('PL1.1 ML2027-2028'!$G:$G,'PL1.1 ML2027-2028'!$J:$J,'TH theo DV'!$J$3,'PL1.1 ML2027-2028'!$K:$K,'TH theo DV'!C25)/$D$1</f>
        <v>0</v>
      </c>
      <c r="K25" s="163">
        <f>SUMIFS('PL1.1 ML2027-2028'!$G:$G,'PL1.1 ML2027-2028'!$J:$J,'TH theo DV'!K$3,'PL1.1 ML2027-2028'!$K:$K,'TH theo DV'!$C25)/$D$1</f>
        <v>0</v>
      </c>
      <c r="L25" s="163">
        <f>SUM(D25:K25)</f>
        <v>0</v>
      </c>
      <c r="M25" s="163" t="e">
        <f t="shared" si="8"/>
        <v>#DIV/0!</v>
      </c>
      <c r="N25" s="163">
        <f>SUMIFS('PL1.1 ML2027-2028'!$H:$H,'PL1.1 ML2027-2028'!$J:$J,'TH theo DV'!N$3,'PL1.1 ML2027-2028'!$K:$K,'TH theo DV'!$C25)/$D$1</f>
        <v>0</v>
      </c>
      <c r="O25" s="163">
        <f>SUMIFS('PL1.1 ML2027-2028'!$H:$H,'PL1.1 ML2027-2028'!$J:$J,'TH theo DV'!O$3,'PL1.1 ML2027-2028'!$K:$K,'TH theo DV'!$C25)/$D$1</f>
        <v>0</v>
      </c>
      <c r="P25" s="163">
        <f>SUMIFS('PL1.1 ML2027-2028'!$H:$H,'PL1.1 ML2027-2028'!$J:$J,'TH theo DV'!P$3,'PL1.1 ML2027-2028'!$K:$K,'TH theo DV'!$C25)/$D$1</f>
        <v>0</v>
      </c>
      <c r="Q25" s="163">
        <f>SUMIFS('PL1.1 ML2027-2028'!$H:$H,'PL1.1 ML2027-2028'!$J:$J,'TH theo DV'!Q$3,'PL1.1 ML2027-2028'!$K:$K,'TH theo DV'!$C25)/$D$1</f>
        <v>0</v>
      </c>
      <c r="R25" s="163">
        <f>SUMIFS('PL1.1 ML2027-2028'!$H:$H,'PL1.1 ML2027-2028'!$J:$J,'TH theo DV'!R$3,'PL1.1 ML2027-2028'!$K:$K,'TH theo DV'!$C25)/$D$1</f>
        <v>0</v>
      </c>
      <c r="S25" s="163">
        <f>SUMIFS('PL1.1 ML2027-2028'!$H:$H,'PL1.1 ML2027-2028'!$J:$J,'TH theo DV'!S$3,'PL1.1 ML2027-2028'!$K:$K,'TH theo DV'!$C25)/$D$1</f>
        <v>0</v>
      </c>
      <c r="T25" s="163">
        <f>SUMIFS('PL1.1 ML2027-2028'!$H:$H,'PL1.1 ML2027-2028'!$J:$J,'TH theo DV'!T$3,'PL1.1 ML2027-2028'!$K:$K,'TH theo DV'!$C25)/$D$1</f>
        <v>0</v>
      </c>
      <c r="U25" s="163">
        <f>SUMIFS('PL1.1 ML2027-2028'!$H:$H,'PL1.1 ML2027-2028'!$J:$J,'TH theo DV'!U$3,'PL1.1 ML2027-2028'!$K:$K,'TH theo DV'!$C25)/$D$1</f>
        <v>0</v>
      </c>
      <c r="V25" s="166">
        <f t="shared" si="34"/>
        <v>0</v>
      </c>
      <c r="W25" s="170"/>
      <c r="X25" s="65">
        <f>D25+N25</f>
        <v>0</v>
      </c>
      <c r="Y25" s="65">
        <f>E25+O25</f>
        <v>0</v>
      </c>
      <c r="Z25" s="65">
        <f>F25+P25</f>
        <v>0</v>
      </c>
      <c r="AA25" s="65">
        <f>G25+Q25</f>
        <v>0</v>
      </c>
      <c r="AB25" s="65">
        <f>H25+R25</f>
        <v>0</v>
      </c>
      <c r="AC25" s="65">
        <f>I25+S25</f>
        <v>0</v>
      </c>
      <c r="AD25" s="65">
        <f t="shared" si="35"/>
        <v>0</v>
      </c>
      <c r="AE25" s="64">
        <f>SUM(X25:AD25)</f>
        <v>0</v>
      </c>
      <c r="AF25" s="67" t="e">
        <f t="shared" si="5"/>
        <v>#DIV/0!</v>
      </c>
    </row>
    <row r="26" spans="1:33" ht="25.5" outlineLevel="1" x14ac:dyDescent="0.25">
      <c r="A26" s="655" t="s">
        <v>15</v>
      </c>
      <c r="B26" s="101" t="s">
        <v>115</v>
      </c>
      <c r="C26" s="86"/>
      <c r="D26" s="162">
        <f t="shared" ref="D26:F26" si="36">SUBTOTAL(9,D27:D30)</f>
        <v>0</v>
      </c>
      <c r="E26" s="162">
        <f t="shared" si="36"/>
        <v>0</v>
      </c>
      <c r="F26" s="162">
        <f t="shared" si="36"/>
        <v>0</v>
      </c>
      <c r="G26" s="162">
        <f>SUBTOTAL(9,G27:G30)</f>
        <v>0</v>
      </c>
      <c r="H26" s="162">
        <f t="shared" ref="H26:L26" si="37">SUBTOTAL(9,H27:H30)</f>
        <v>0</v>
      </c>
      <c r="I26" s="162"/>
      <c r="J26" s="162">
        <f t="shared" si="37"/>
        <v>0</v>
      </c>
      <c r="K26" s="176">
        <f t="shared" ref="K26" si="38">SUBTOTAL(9,K27:K30)</f>
        <v>0</v>
      </c>
      <c r="L26" s="162">
        <f t="shared" si="37"/>
        <v>0</v>
      </c>
      <c r="M26" s="104" t="e">
        <f t="shared" ref="M26:M31" si="39">L26/$L$4</f>
        <v>#DIV/0!</v>
      </c>
      <c r="N26" s="162">
        <f t="shared" ref="N26" si="40">SUBTOTAL(9,N27:N30)</f>
        <v>0</v>
      </c>
      <c r="O26" s="162">
        <f t="shared" ref="O26" si="41">SUBTOTAL(9,O28:O30)</f>
        <v>0</v>
      </c>
      <c r="P26" s="162">
        <f t="shared" ref="P26:V26" si="42">SUBTOTAL(9,P27:P30)</f>
        <v>0</v>
      </c>
      <c r="Q26" s="162">
        <f t="shared" si="42"/>
        <v>0</v>
      </c>
      <c r="R26" s="162">
        <f t="shared" si="42"/>
        <v>0</v>
      </c>
      <c r="S26" s="162">
        <f t="shared" ref="S26" si="43">SUBTOTAL(9,S27:S30)</f>
        <v>0</v>
      </c>
      <c r="T26" s="162">
        <f t="shared" si="42"/>
        <v>0</v>
      </c>
      <c r="U26" s="162">
        <f t="shared" si="42"/>
        <v>0</v>
      </c>
      <c r="V26" s="162">
        <f t="shared" si="42"/>
        <v>0</v>
      </c>
      <c r="W26" s="104" t="e">
        <f t="shared" ref="W26:W31" si="44">V26/$V$4</f>
        <v>#DIV/0!</v>
      </c>
      <c r="X26" s="66">
        <f t="shared" ref="X26:AE26" si="45">SUBTOTAL(9,X28:X30)</f>
        <v>0</v>
      </c>
      <c r="Y26" s="66">
        <f t="shared" si="45"/>
        <v>0</v>
      </c>
      <c r="Z26" s="66">
        <f t="shared" si="45"/>
        <v>0</v>
      </c>
      <c r="AA26" s="66">
        <f t="shared" si="45"/>
        <v>0</v>
      </c>
      <c r="AB26" s="66">
        <f t="shared" si="45"/>
        <v>0</v>
      </c>
      <c r="AC26" s="66">
        <f t="shared" ref="AC26" si="46">SUBTOTAL(9,AC28:AC30)</f>
        <v>0</v>
      </c>
      <c r="AD26" s="66">
        <f t="shared" si="45"/>
        <v>0</v>
      </c>
      <c r="AE26" s="66">
        <f t="shared" si="45"/>
        <v>0</v>
      </c>
      <c r="AF26" s="104" t="e">
        <f t="shared" si="5"/>
        <v>#DIV/0!</v>
      </c>
    </row>
    <row r="27" spans="1:33" s="36" customFormat="1" outlineLevel="1" x14ac:dyDescent="0.25">
      <c r="A27" s="656">
        <v>1</v>
      </c>
      <c r="B27" s="51" t="s">
        <v>159</v>
      </c>
      <c r="C27" s="18" t="s">
        <v>160</v>
      </c>
      <c r="D27" s="167">
        <f>SUMIFS('PL1.1 ML2027-2028'!$G:$G,'PL1.1 ML2027-2028'!$J:$J,'TH theo DV'!$D$3,'PL1.1 ML2027-2028'!$K:$K,'TH theo DV'!C27)/$D$1</f>
        <v>0</v>
      </c>
      <c r="E27" s="167">
        <f>SUMIFS('PL1.1 ML2027-2028'!$G:$G,'PL1.1 ML2027-2028'!$J:$J,'TH theo DV'!$E$3,'PL1.1 ML2027-2028'!$K:$K,'TH theo DV'!C27)/$D$1</f>
        <v>0</v>
      </c>
      <c r="F27" s="167">
        <f>SUMIFS('PL1.1 ML2027-2028'!$G:$G,'PL1.1 ML2027-2028'!$J:$J,'TH theo DV'!$F$3,'PL1.1 ML2027-2028'!$K:$K,'TH theo DV'!C27)/$D$1</f>
        <v>0</v>
      </c>
      <c r="G27" s="163">
        <f>SUMIFS('PL1.1 ML2027-2028'!$G:$G,'PL1.1 ML2027-2028'!$J:$J,'TH theo DV'!$G$3,'PL1.1 ML2027-2028'!$K:$K,'TH theo DV'!C27)/$D$1</f>
        <v>0</v>
      </c>
      <c r="H27" s="163">
        <f>SUMIFS('PL1.1 ML2027-2028'!$G:$G,'PL1.1 ML2027-2028'!$J:$J,'TH theo DV'!$H$3,'PL1.1 ML2027-2028'!$K:$K,'TH theo DV'!C27)/$D$1</f>
        <v>0</v>
      </c>
      <c r="I27" s="163">
        <f>SUMIFS('PL1.1 ML2027-2028'!$G:$G,'PL1.1 ML2027-2028'!$J:$J,I$3,'PL1.1 ML2027-2028'!$K:$K,C27)/$D$1</f>
        <v>0</v>
      </c>
      <c r="J27" s="167">
        <f>SUMIFS('PL1.1 ML2027-2028'!$G:$G,'PL1.1 ML2027-2028'!$J:$J,'TH theo DV'!$J$3,'PL1.1 ML2027-2028'!$K:$K,'TH theo DV'!C27)/$D$1</f>
        <v>0</v>
      </c>
      <c r="K27" s="152">
        <f>SUMIFS('PL1.1 ML2027-2028'!$G:$G,'PL1.1 ML2027-2028'!$J:$J,'TH theo DV'!K$3,'PL1.1 ML2027-2028'!$K:$K,'TH theo DV'!$C27)/$D$1</f>
        <v>0</v>
      </c>
      <c r="L27" s="164">
        <f>SUM(D27:K27)</f>
        <v>0</v>
      </c>
      <c r="M27" s="100" t="e">
        <f t="shared" si="39"/>
        <v>#DIV/0!</v>
      </c>
      <c r="N27" s="167">
        <f>SUMIFS('PL1.1 ML2027-2028'!$H:$H,'PL1.1 ML2027-2028'!$J:$J,'TH theo DV'!N$3,'PL1.1 ML2027-2028'!$K:$K,'TH theo DV'!$C27)/$D$1</f>
        <v>0</v>
      </c>
      <c r="O27" s="167">
        <f>SUMIFS('PL1.1 ML2027-2028'!$H:$H,'PL1.1 ML2027-2028'!$J:$J,'TH theo DV'!O$3,'PL1.1 ML2027-2028'!$K:$K,'TH theo DV'!$C27)/$D$1</f>
        <v>0</v>
      </c>
      <c r="P27" s="167">
        <f>SUMIFS('PL1.1 ML2027-2028'!$H:$H,'PL1.1 ML2027-2028'!$J:$J,'TH theo DV'!P$3,'PL1.1 ML2027-2028'!$K:$K,'TH theo DV'!$C27)/$D$1</f>
        <v>0</v>
      </c>
      <c r="Q27" s="167">
        <f>SUMIFS('PL1.1 ML2027-2028'!$H:$H,'PL1.1 ML2027-2028'!$J:$J,'TH theo DV'!Q$3,'PL1.1 ML2027-2028'!$K:$K,'TH theo DV'!$C27)/$D$1</f>
        <v>0</v>
      </c>
      <c r="R27" s="167">
        <f>SUMIFS('PL1.1 ML2027-2028'!$H:$H,'PL1.1 ML2027-2028'!$J:$J,'TH theo DV'!R$3,'PL1.1 ML2027-2028'!$K:$K,'TH theo DV'!$C27)/$D$1</f>
        <v>0</v>
      </c>
      <c r="S27" s="167">
        <f>SUMIFS('PL1.1 ML2027-2028'!$H:$H,'PL1.1 ML2027-2028'!$J:$J,'TH theo DV'!S$3,'PL1.1 ML2027-2028'!$K:$K,'TH theo DV'!$C27)/$D$1</f>
        <v>0</v>
      </c>
      <c r="T27" s="167">
        <f>SUMIFS('PL1.1 ML2027-2028'!$H:$H,'PL1.1 ML2027-2028'!$J:$J,'TH theo DV'!T$3,'PL1.1 ML2027-2028'!$K:$K,'TH theo DV'!$C27)/$D$1</f>
        <v>0</v>
      </c>
      <c r="U27" s="163">
        <f>SUMIFS('PL1.1 ML2027-2028'!$H:$H,'PL1.1 ML2027-2028'!$J:$J,'TH theo DV'!U$3,'PL1.1 ML2027-2028'!$K:$K,'TH theo DV'!$C27)/$D$1</f>
        <v>0</v>
      </c>
      <c r="V27" s="166">
        <f t="shared" ref="V27:V31" si="47">SUM(N27:U27)</f>
        <v>0</v>
      </c>
      <c r="W27" s="171" t="e">
        <f t="shared" si="44"/>
        <v>#DIV/0!</v>
      </c>
      <c r="X27" s="84">
        <f>D27+N27</f>
        <v>0</v>
      </c>
      <c r="Y27" s="84">
        <f>E27+O27</f>
        <v>0</v>
      </c>
      <c r="Z27" s="84">
        <f>F27+P27</f>
        <v>0</v>
      </c>
      <c r="AA27" s="84">
        <f>G27+Q27</f>
        <v>0</v>
      </c>
      <c r="AB27" s="84">
        <f>H27+R27</f>
        <v>0</v>
      </c>
      <c r="AC27" s="84">
        <f>I27+S27</f>
        <v>0</v>
      </c>
      <c r="AD27" s="84">
        <f t="shared" ref="AD27:AD31" si="48">J27+T27</f>
        <v>0</v>
      </c>
      <c r="AE27" s="83">
        <f t="shared" ref="AE27" si="49">SUM(X27:AD27)</f>
        <v>0</v>
      </c>
      <c r="AF27" s="100" t="e">
        <f t="shared" si="5"/>
        <v>#DIV/0!</v>
      </c>
      <c r="AG27" s="48"/>
    </row>
    <row r="28" spans="1:33" ht="25.5" outlineLevel="1" x14ac:dyDescent="0.25">
      <c r="A28" s="476">
        <v>2</v>
      </c>
      <c r="B28" s="85" t="s">
        <v>158</v>
      </c>
      <c r="C28" s="70" t="s">
        <v>77</v>
      </c>
      <c r="D28" s="167">
        <f>SUMIFS('PL1.1 ML2027-2028'!$G:$G,'PL1.1 ML2027-2028'!$J:$J,'TH theo DV'!$D$3,'PL1.1 ML2027-2028'!$K:$K,'TH theo DV'!C28)/$D$1</f>
        <v>0</v>
      </c>
      <c r="E28" s="167">
        <f>SUMIFS('PL1.1 ML2027-2028'!$G:$G,'PL1.1 ML2027-2028'!$J:$J,'TH theo DV'!$E$3,'PL1.1 ML2027-2028'!$K:$K,'TH theo DV'!C28)/$D$1</f>
        <v>0</v>
      </c>
      <c r="F28" s="167">
        <f>SUMIFS('PL1.1 ML2027-2028'!$G:$G,'PL1.1 ML2027-2028'!$J:$J,'TH theo DV'!$F$3,'PL1.1 ML2027-2028'!$K:$K,'TH theo DV'!C28)/$D$1</f>
        <v>0</v>
      </c>
      <c r="G28" s="163">
        <f>SUMIFS('PL1.1 ML2027-2028'!$G:$G,'PL1.1 ML2027-2028'!$J:$J,'TH theo DV'!$G$3,'PL1.1 ML2027-2028'!$K:$K,'TH theo DV'!C28)/$D$1</f>
        <v>0</v>
      </c>
      <c r="H28" s="163">
        <f>SUMIFS('PL1.1 ML2027-2028'!$G:$G,'PL1.1 ML2027-2028'!$J:$J,'TH theo DV'!$H$3,'PL1.1 ML2027-2028'!$K:$K,'TH theo DV'!C28)/$D$1</f>
        <v>0</v>
      </c>
      <c r="I28" s="163">
        <f>SUMIFS('PL1.1 ML2027-2028'!$G:$G,'PL1.1 ML2027-2028'!$J:$J,I$3,'PL1.1 ML2027-2028'!$K:$K,C28)/$D$1</f>
        <v>0</v>
      </c>
      <c r="J28" s="167">
        <f>SUMIFS('PL1.1 ML2027-2028'!$G:$G,'PL1.1 ML2027-2028'!$J:$J,'TH theo DV'!$J$3,'PL1.1 ML2027-2028'!$K:$K,'TH theo DV'!C28)/$D$1</f>
        <v>0</v>
      </c>
      <c r="K28" s="152">
        <f>SUMIFS('PL1.1 ML2027-2028'!$G:$G,'PL1.1 ML2027-2028'!$J:$J,'TH theo DV'!K$3,'PL1.1 ML2027-2028'!$K:$K,'TH theo DV'!$C28)/$D$1</f>
        <v>0</v>
      </c>
      <c r="L28" s="164">
        <f>SUM(D28:K28)</f>
        <v>0</v>
      </c>
      <c r="M28" s="67" t="e">
        <f t="shared" si="39"/>
        <v>#DIV/0!</v>
      </c>
      <c r="N28" s="163">
        <f>SUMIFS('PL1.1 ML2027-2028'!$H:$H,'PL1.1 ML2027-2028'!$J:$J,'TH theo DV'!N$3,'PL1.1 ML2027-2028'!$K:$K,'TH theo DV'!$C28)/$D$1</f>
        <v>0</v>
      </c>
      <c r="O28" s="163">
        <f>SUMIFS('PL1.1 ML2027-2028'!$H:$H,'PL1.1 ML2027-2028'!$J:$J,'TH theo DV'!O$3,'PL1.1 ML2027-2028'!$K:$K,'TH theo DV'!$C28)/$D$1</f>
        <v>0</v>
      </c>
      <c r="P28" s="163">
        <f>SUMIFS('PL1.1 ML2027-2028'!$H:$H,'PL1.1 ML2027-2028'!$J:$J,'TH theo DV'!P$3,'PL1.1 ML2027-2028'!$K:$K,'TH theo DV'!$C28)/$D$1</f>
        <v>0</v>
      </c>
      <c r="Q28" s="163">
        <f>SUMIFS('PL1.1 ML2027-2028'!$H:$H,'PL1.1 ML2027-2028'!$J:$J,'TH theo DV'!Q$3,'PL1.1 ML2027-2028'!$K:$K,'TH theo DV'!$C28)/$D$1</f>
        <v>0</v>
      </c>
      <c r="R28" s="163">
        <f>SUMIFS('PL1.1 ML2027-2028'!$H:$H,'PL1.1 ML2027-2028'!$J:$J,'TH theo DV'!R$3,'PL1.1 ML2027-2028'!$K:$K,'TH theo DV'!$C28)/$D$1</f>
        <v>0</v>
      </c>
      <c r="S28" s="163">
        <f>SUMIFS('PL1.1 ML2027-2028'!$H:$H,'PL1.1 ML2027-2028'!$J:$J,'TH theo DV'!S$3,'PL1.1 ML2027-2028'!$K:$K,'TH theo DV'!$C28)/$D$1</f>
        <v>0</v>
      </c>
      <c r="T28" s="163">
        <f>SUMIFS('PL1.1 ML2027-2028'!$H:$H,'PL1.1 ML2027-2028'!$J:$J,'TH theo DV'!T$3,'PL1.1 ML2027-2028'!$K:$K,'TH theo DV'!$C28)/$D$1</f>
        <v>0</v>
      </c>
      <c r="U28" s="163">
        <f>SUMIFS('PL1.1 ML2027-2028'!$H:$H,'PL1.1 ML2027-2028'!$J:$J,'TH theo DV'!U$3,'PL1.1 ML2027-2028'!$K:$K,'TH theo DV'!$C28)/$D$1</f>
        <v>0</v>
      </c>
      <c r="V28" s="166">
        <f t="shared" si="47"/>
        <v>0</v>
      </c>
      <c r="W28" s="173" t="e">
        <f t="shared" si="44"/>
        <v>#DIV/0!</v>
      </c>
      <c r="X28" s="65">
        <f>D28+N28</f>
        <v>0</v>
      </c>
      <c r="Y28" s="65">
        <f>E28+O28</f>
        <v>0</v>
      </c>
      <c r="Z28" s="65">
        <f>F28+P28</f>
        <v>0</v>
      </c>
      <c r="AA28" s="65">
        <f>G28+Q28</f>
        <v>0</v>
      </c>
      <c r="AB28" s="65">
        <f>H28+R28</f>
        <v>0</v>
      </c>
      <c r="AC28" s="65">
        <f>I28+S28</f>
        <v>0</v>
      </c>
      <c r="AD28" s="65">
        <f t="shared" si="48"/>
        <v>0</v>
      </c>
      <c r="AE28" s="64">
        <f t="shared" ref="AE28:AE29" si="50">SUM(X28:AD28)</f>
        <v>0</v>
      </c>
      <c r="AF28" s="67" t="e">
        <f t="shared" si="5"/>
        <v>#DIV/0!</v>
      </c>
      <c r="AG28" s="113"/>
    </row>
    <row r="29" spans="1:33" ht="17.649999999999999" customHeight="1" outlineLevel="1" x14ac:dyDescent="0.25">
      <c r="A29" s="656">
        <v>3</v>
      </c>
      <c r="B29" s="72" t="s">
        <v>161</v>
      </c>
      <c r="C29" s="44" t="s">
        <v>118</v>
      </c>
      <c r="D29" s="167">
        <f>SUMIFS('PL1.1 ML2027-2028'!$G:$G,'PL1.1 ML2027-2028'!$J:$J,'TH theo DV'!$D$3,'PL1.1 ML2027-2028'!$K:$K,'TH theo DV'!C29)/$D$1</f>
        <v>0</v>
      </c>
      <c r="E29" s="167">
        <f>SUMIFS('PL1.1 ML2027-2028'!$G:$G,'PL1.1 ML2027-2028'!$J:$J,'TH theo DV'!$E$3,'PL1.1 ML2027-2028'!$K:$K,'TH theo DV'!C29)/$D$1</f>
        <v>0</v>
      </c>
      <c r="F29" s="122">
        <f>SUMIFS('PL1.1 ML2027-2028'!$G:$G,'PL1.1 ML2027-2028'!$J:$J,'TH theo DV'!$F$3,'PL1.1 ML2027-2028'!$K:$K,'TH theo DV'!C29)/$D$1</f>
        <v>0</v>
      </c>
      <c r="G29" s="163">
        <f>SUMIFS('PL1.1 ML2027-2028'!$G:$G,'PL1.1 ML2027-2028'!$J:$J,'TH theo DV'!$G$3,'PL1.1 ML2027-2028'!$K:$K,'TH theo DV'!C29)/$D$1</f>
        <v>0</v>
      </c>
      <c r="H29" s="163">
        <f>SUMIFS('PL1.1 ML2027-2028'!$G:$G,'PL1.1 ML2027-2028'!$J:$J,'TH theo DV'!$H$3,'PL1.1 ML2027-2028'!$K:$K,'TH theo DV'!C29)/$D$1</f>
        <v>0</v>
      </c>
      <c r="I29" s="163">
        <f>SUMIFS('PL1.1 ML2027-2028'!$G:$G,'PL1.1 ML2027-2028'!$J:$J,I$3,'PL1.1 ML2027-2028'!$K:$K,C29)/$D$1</f>
        <v>0</v>
      </c>
      <c r="J29" s="167">
        <f>SUMIFS('PL1.1 ML2027-2028'!$G:$G,'PL1.1 ML2027-2028'!$J:$J,'TH theo DV'!$J$3,'PL1.1 ML2027-2028'!$K:$K,'TH theo DV'!C29)/$D$1</f>
        <v>0</v>
      </c>
      <c r="K29" s="152">
        <f>SUMIFS('PL1.1 ML2027-2028'!$G:$G,'PL1.1 ML2027-2028'!$J:$J,'TH theo DV'!K$3,'PL1.1 ML2027-2028'!$K:$K,'TH theo DV'!$C29)/$D$1</f>
        <v>0</v>
      </c>
      <c r="L29" s="164">
        <f>SUM(D29:K29)</f>
        <v>0</v>
      </c>
      <c r="M29" s="67" t="e">
        <f t="shared" si="39"/>
        <v>#DIV/0!</v>
      </c>
      <c r="N29" s="163">
        <f>SUMIFS('PL1.1 ML2027-2028'!$H:$H,'PL1.1 ML2027-2028'!$J:$J,'TH theo DV'!N$3,'PL1.1 ML2027-2028'!$K:$K,'TH theo DV'!$C29)/$D$1</f>
        <v>0</v>
      </c>
      <c r="O29" s="163">
        <f>SUMIFS('PL1.1 ML2027-2028'!$H:$H,'PL1.1 ML2027-2028'!$J:$J,'TH theo DV'!O$3,'PL1.1 ML2027-2028'!$K:$K,'TH theo DV'!$C29)/$D$1</f>
        <v>0</v>
      </c>
      <c r="P29" s="152">
        <f>SUMIFS('PL1.1 ML2027-2028'!$H:$H,'PL1.1 ML2027-2028'!$J:$J,'TH theo DV'!P$3,'PL1.1 ML2027-2028'!$K:$K,'TH theo DV'!$C29)/$D$1</f>
        <v>0</v>
      </c>
      <c r="Q29" s="163">
        <f>SUMIFS('PL1.1 ML2027-2028'!$H:$H,'PL1.1 ML2027-2028'!$J:$J,'TH theo DV'!Q$3,'PL1.1 ML2027-2028'!$K:$K,'TH theo DV'!$C29)/$D$1</f>
        <v>0</v>
      </c>
      <c r="R29" s="163">
        <f>SUMIFS('PL1.1 ML2027-2028'!$H:$H,'PL1.1 ML2027-2028'!$J:$J,'TH theo DV'!R$3,'PL1.1 ML2027-2028'!$K:$K,'TH theo DV'!$C29)/$D$1</f>
        <v>0</v>
      </c>
      <c r="S29" s="163">
        <f>SUMIFS('PL1.1 ML2027-2028'!$H:$H,'PL1.1 ML2027-2028'!$J:$J,'TH theo DV'!S$3,'PL1.1 ML2027-2028'!$K:$K,'TH theo DV'!$C29)/$D$1</f>
        <v>0</v>
      </c>
      <c r="T29" s="163">
        <f>SUMIFS('PL1.1 ML2027-2028'!$H:$H,'PL1.1 ML2027-2028'!$J:$J,'TH theo DV'!T$3,'PL1.1 ML2027-2028'!$K:$K,'TH theo DV'!$C29)/$D$1</f>
        <v>0</v>
      </c>
      <c r="U29" s="163">
        <f>SUMIFS('PL1.1 ML2027-2028'!$H:$H,'PL1.1 ML2027-2028'!$J:$J,'TH theo DV'!U$3,'PL1.1 ML2027-2028'!$K:$K,'TH theo DV'!$C29)/$D$1</f>
        <v>0</v>
      </c>
      <c r="V29" s="166">
        <f t="shared" si="47"/>
        <v>0</v>
      </c>
      <c r="W29" s="173" t="e">
        <f t="shared" si="44"/>
        <v>#DIV/0!</v>
      </c>
      <c r="X29" s="65">
        <f>D29+N29</f>
        <v>0</v>
      </c>
      <c r="Y29" s="65">
        <f>E29+O29</f>
        <v>0</v>
      </c>
      <c r="Z29" s="65">
        <f>F29+P29</f>
        <v>0</v>
      </c>
      <c r="AA29" s="65">
        <f>G29+Q29</f>
        <v>0</v>
      </c>
      <c r="AB29" s="65">
        <f>H29+R29</f>
        <v>0</v>
      </c>
      <c r="AC29" s="65">
        <f>I29+S29</f>
        <v>0</v>
      </c>
      <c r="AD29" s="65">
        <f t="shared" si="48"/>
        <v>0</v>
      </c>
      <c r="AE29" s="64">
        <f t="shared" si="50"/>
        <v>0</v>
      </c>
      <c r="AF29" s="67" t="e">
        <f t="shared" si="5"/>
        <v>#DIV/0!</v>
      </c>
      <c r="AG29" s="113"/>
    </row>
    <row r="30" spans="1:33" s="36" customFormat="1" ht="25.5" outlineLevel="1" x14ac:dyDescent="0.25">
      <c r="A30" s="656">
        <v>4</v>
      </c>
      <c r="B30" s="85" t="s">
        <v>98</v>
      </c>
      <c r="C30" s="18" t="s">
        <v>99</v>
      </c>
      <c r="D30" s="167">
        <f>SUMIFS('PL1.1 ML2027-2028'!$G:$G,'PL1.1 ML2027-2028'!$J:$J,'TH theo DV'!$D$3,'PL1.1 ML2027-2028'!$K:$K,'TH theo DV'!C30)/$D$1</f>
        <v>0</v>
      </c>
      <c r="E30" s="84">
        <f>SUMIFS('PL1.1 ML2027-2028'!$G:$G,'PL1.1 ML2027-2028'!$J:$J,'TH theo DV'!$E$3,'PL1.1 ML2027-2028'!$K:$K,'TH theo DV'!C30)/$D$1</f>
        <v>0</v>
      </c>
      <c r="F30" s="84">
        <f>SUMIFS('PL1.1 ML2027-2028'!$G:$G,'PL1.1 ML2027-2028'!$J:$J,'TH theo DV'!$F$3,'PL1.1 ML2027-2028'!$K:$K,'TH theo DV'!C30)/$D$1</f>
        <v>0</v>
      </c>
      <c r="G30" s="65">
        <f>SUMIFS('PL1.1 ML2027-2028'!$G:$G,'PL1.1 ML2027-2028'!$J:$J,'TH theo DV'!$G$3,'PL1.1 ML2027-2028'!$K:$K,'TH theo DV'!C30)/$D$1</f>
        <v>0</v>
      </c>
      <c r="H30" s="65">
        <f>SUMIFS('PL1.1 ML2027-2028'!$G:$G,'PL1.1 ML2027-2028'!$J:$J,'TH theo DV'!$H$3,'PL1.1 ML2027-2028'!$K:$K,'TH theo DV'!C30)/$D$1</f>
        <v>0</v>
      </c>
      <c r="I30" s="163">
        <f>SUMIFS('PL1.1 ML2027-2028'!$G:$G,'PL1.1 ML2027-2028'!$J:$J,I$3,'PL1.1 ML2027-2028'!$K:$K,C30)/$D$1</f>
        <v>0</v>
      </c>
      <c r="J30" s="84">
        <f>SUMIFS('PL1.1 ML2027-2028'!$G:$G,'PL1.1 ML2027-2028'!$J:$J,'TH theo DV'!$J$3,'PL1.1 ML2027-2028'!$K:$K,'TH theo DV'!C30)/$D$1</f>
        <v>0</v>
      </c>
      <c r="K30" s="84">
        <f>SUMIFS('PL1.1 ML2027-2028'!$G:$G,'PL1.1 ML2027-2028'!$J:$J,'TH theo DV'!$J$3,'PL1.1 ML2027-2028'!$K:$K,'TH theo DV'!D30)/$D$1</f>
        <v>0</v>
      </c>
      <c r="L30" s="164">
        <f>SUM(D30:K30)</f>
        <v>0</v>
      </c>
      <c r="M30" s="67" t="e">
        <f t="shared" si="39"/>
        <v>#DIV/0!</v>
      </c>
      <c r="N30" s="65">
        <f>SUMIFS('PL1.1 ML2027-2028'!$H:$H,'PL1.1 ML2027-2028'!$J:$J,'TH theo DV'!N$3,'PL1.1 ML2027-2028'!$K:$K,'TH theo DV'!$C30)/$D$1</f>
        <v>0</v>
      </c>
      <c r="O30" s="65">
        <f>SUMIFS('PL1.1 ML2027-2028'!$H:$H,'PL1.1 ML2027-2028'!$J:$J,'TH theo DV'!O$3,'PL1.1 ML2027-2028'!$K:$K,'TH theo DV'!$C30)/$D$1</f>
        <v>0</v>
      </c>
      <c r="P30" s="65">
        <f>SUMIFS('PL1.1 ML2027-2028'!$H:$H,'PL1.1 ML2027-2028'!$J:$J,'TH theo DV'!P$3,'PL1.1 ML2027-2028'!$K:$K,'TH theo DV'!$C30)/$D$1</f>
        <v>0</v>
      </c>
      <c r="Q30" s="65">
        <f>SUMIFS('PL1.1 ML2027-2028'!$H:$H,'PL1.1 ML2027-2028'!$J:$J,'TH theo DV'!Q$3,'PL1.1 ML2027-2028'!$K:$K,'TH theo DV'!$C30)/$D$1</f>
        <v>0</v>
      </c>
      <c r="R30" s="65">
        <f>SUMIFS('PL1.1 ML2027-2028'!$H:$H,'PL1.1 ML2027-2028'!$J:$J,'TH theo DV'!R$3,'PL1.1 ML2027-2028'!$K:$K,'TH theo DV'!$C30)/$D$1</f>
        <v>0</v>
      </c>
      <c r="S30" s="65">
        <f>SUMIFS('PL1.1 ML2027-2028'!$H:$H,'PL1.1 ML2027-2028'!$J:$J,'TH theo DV'!S$3,'PL1.1 ML2027-2028'!$K:$K,'TH theo DV'!$C30)/$D$1</f>
        <v>0</v>
      </c>
      <c r="T30" s="65">
        <f>SUMIFS('PL1.1 ML2027-2028'!$H:$H,'PL1.1 ML2027-2028'!$J:$J,'TH theo DV'!T$3,'PL1.1 ML2027-2028'!$K:$K,'TH theo DV'!$C30)/$D$1</f>
        <v>0</v>
      </c>
      <c r="U30" s="163">
        <f>SUMIFS('PL1.1 ML2027-2028'!$H:$H,'PL1.1 ML2027-2028'!$J:$J,'TH theo DV'!U$3,'PL1.1 ML2027-2028'!$K:$K,'TH theo DV'!$C30)/$D$1</f>
        <v>0</v>
      </c>
      <c r="V30" s="166">
        <f t="shared" si="47"/>
        <v>0</v>
      </c>
      <c r="W30" s="173" t="e">
        <f t="shared" si="44"/>
        <v>#DIV/0!</v>
      </c>
      <c r="X30" s="65">
        <f>D30+N30</f>
        <v>0</v>
      </c>
      <c r="Y30" s="65">
        <f>E30+O30</f>
        <v>0</v>
      </c>
      <c r="Z30" s="65">
        <f>F30+P30</f>
        <v>0</v>
      </c>
      <c r="AA30" s="65">
        <f>G30+Q30</f>
        <v>0</v>
      </c>
      <c r="AB30" s="65">
        <f>H30+R30</f>
        <v>0</v>
      </c>
      <c r="AC30" s="65">
        <f>I30+S30</f>
        <v>0</v>
      </c>
      <c r="AD30" s="65">
        <f t="shared" si="48"/>
        <v>0</v>
      </c>
      <c r="AE30" s="64">
        <f t="shared" ref="AE30" si="51">SUM(X30:AD30)</f>
        <v>0</v>
      </c>
      <c r="AF30" s="67" t="e">
        <f t="shared" si="5"/>
        <v>#DIV/0!</v>
      </c>
      <c r="AG30" s="113"/>
    </row>
    <row r="31" spans="1:33" outlineLevel="1" x14ac:dyDescent="0.25">
      <c r="A31" s="655" t="s">
        <v>18</v>
      </c>
      <c r="B31" s="101" t="s">
        <v>208</v>
      </c>
      <c r="C31" s="86" t="s">
        <v>207</v>
      </c>
      <c r="D31" s="162"/>
      <c r="E31" s="162"/>
      <c r="F31" s="162"/>
      <c r="G31" s="162">
        <f>SUMIFS('PL1.1 ML2027-2028'!$G:$G,'PL1.1 ML2027-2028'!$K:$K,C31)/$D$1</f>
        <v>0</v>
      </c>
      <c r="H31" s="162"/>
      <c r="I31" s="162"/>
      <c r="J31" s="162"/>
      <c r="K31" s="176"/>
      <c r="L31" s="176">
        <f>SUM(D31:K31)</f>
        <v>0</v>
      </c>
      <c r="M31" s="104" t="e">
        <f t="shared" si="39"/>
        <v>#DIV/0!</v>
      </c>
      <c r="N31" s="162"/>
      <c r="O31" s="162"/>
      <c r="P31" s="162"/>
      <c r="Q31" s="162">
        <f>SUMIFS('PL1.1 ML2027-2028'!$H:$H,'PL1.1 ML2027-2028'!$K:$K,C31)/$D$1</f>
        <v>0</v>
      </c>
      <c r="R31" s="162"/>
      <c r="S31" s="162"/>
      <c r="T31" s="162"/>
      <c r="U31" s="162"/>
      <c r="V31" s="162">
        <f t="shared" si="47"/>
        <v>0</v>
      </c>
      <c r="W31" s="104" t="e">
        <f t="shared" si="44"/>
        <v>#DIV/0!</v>
      </c>
      <c r="X31" s="162">
        <f>D31+N31</f>
        <v>0</v>
      </c>
      <c r="Y31" s="162">
        <f>E31+O31</f>
        <v>0</v>
      </c>
      <c r="Z31" s="162">
        <f>F31+P31</f>
        <v>0</v>
      </c>
      <c r="AA31" s="162">
        <f>G31+Q31</f>
        <v>0</v>
      </c>
      <c r="AB31" s="162">
        <f>H31+R31</f>
        <v>0</v>
      </c>
      <c r="AC31" s="162">
        <f>I31+S31</f>
        <v>0</v>
      </c>
      <c r="AD31" s="162">
        <f t="shared" si="48"/>
        <v>0</v>
      </c>
      <c r="AE31" s="162">
        <f t="shared" ref="AE31" si="52">SUM(X31:AD31)</f>
        <v>0</v>
      </c>
      <c r="AF31" s="162" t="e">
        <f t="shared" ref="AF31" si="53">AE31/$AE$4</f>
        <v>#DIV/0!</v>
      </c>
    </row>
  </sheetData>
  <mergeCells count="3">
    <mergeCell ref="N2:W2"/>
    <mergeCell ref="D2:M2"/>
    <mergeCell ref="X2:AF2"/>
  </mergeCells>
  <pageMargins left="0.7" right="0.7" top="0.75" bottom="0.75" header="0.3" footer="0.3"/>
  <pageSetup paperSize="9" orientation="portrait" verticalDpi="300"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Mã!$C$4:$C$26</xm:f>
          </x14:formula1>
          <xm:sqref>C6</xm:sqref>
        </x14:dataValidation>
        <x14:dataValidation type="list" allowBlank="1" showInputMessage="1" showErrorMessage="1">
          <x14:formula1>
            <xm:f>Mã!$C$4:$C$30</xm:f>
          </x14:formula1>
          <xm:sqref>C26:C30 C7:C24</xm:sqref>
        </x14:dataValidation>
        <x14:dataValidation type="list" allowBlank="1" showInputMessage="1" showErrorMessage="1">
          <x14:formula1>
            <xm:f>Mã!$C$4:$C$34</xm:f>
          </x14:formula1>
          <xm:sqref>C31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S114"/>
  <sheetViews>
    <sheetView zoomScale="85" zoomScaleNormal="85" workbookViewId="0">
      <selection activeCell="G8" sqref="G8"/>
    </sheetView>
  </sheetViews>
  <sheetFormatPr defaultColWidth="8.85546875" defaultRowHeight="15" x14ac:dyDescent="0.25"/>
  <cols>
    <col min="1" max="1" width="3.85546875" style="355" customWidth="1"/>
    <col min="2" max="2" width="6.85546875" style="353" customWidth="1"/>
    <col min="3" max="3" width="17.7109375" style="354" customWidth="1"/>
    <col min="4" max="4" width="14.42578125" style="354" customWidth="1"/>
    <col min="5" max="5" width="14.85546875" style="354" customWidth="1"/>
    <col min="6" max="6" width="18.28515625" style="354" customWidth="1"/>
    <col min="7" max="7" width="46.42578125" style="354" customWidth="1"/>
    <col min="8" max="8" width="44.7109375" style="354" customWidth="1"/>
    <col min="9" max="9" width="17.7109375" style="526" customWidth="1"/>
    <col min="10" max="10" width="11.5703125" style="355" customWidth="1"/>
    <col min="11" max="15" width="10.85546875" style="355" bestFit="1" customWidth="1"/>
    <col min="16" max="16" width="71.140625" style="557" customWidth="1"/>
    <col min="17" max="17" width="8.85546875" style="356"/>
    <col min="18" max="16384" width="8.85546875" style="355"/>
  </cols>
  <sheetData>
    <row r="1" spans="2:19" ht="18.75" x14ac:dyDescent="0.3">
      <c r="B1" s="627" t="s">
        <v>214</v>
      </c>
      <c r="C1" s="627"/>
      <c r="D1" s="627"/>
      <c r="E1" s="627"/>
      <c r="F1" s="627"/>
      <c r="G1" s="627"/>
      <c r="H1" s="627"/>
    </row>
    <row r="2" spans="2:19" x14ac:dyDescent="0.25">
      <c r="B2" s="357" t="s">
        <v>215</v>
      </c>
    </row>
    <row r="3" spans="2:19" ht="15.6" customHeight="1" x14ac:dyDescent="0.25">
      <c r="B3" s="649" t="s">
        <v>48</v>
      </c>
      <c r="C3" s="624" t="s">
        <v>216</v>
      </c>
      <c r="D3" s="624" t="s">
        <v>41</v>
      </c>
      <c r="E3" s="624">
        <v>2027</v>
      </c>
      <c r="F3" s="624">
        <v>2028</v>
      </c>
      <c r="G3" s="624" t="s">
        <v>218</v>
      </c>
      <c r="H3" s="624"/>
      <c r="I3" s="502"/>
      <c r="J3" s="649" t="s">
        <v>48</v>
      </c>
      <c r="K3" s="624" t="s">
        <v>216</v>
      </c>
      <c r="L3" s="624" t="s">
        <v>217</v>
      </c>
      <c r="M3" s="624"/>
      <c r="N3" s="624"/>
      <c r="O3" s="624"/>
      <c r="P3" s="624"/>
      <c r="Q3" s="624"/>
      <c r="R3" s="625" t="s">
        <v>218</v>
      </c>
      <c r="S3" s="356"/>
    </row>
    <row r="4" spans="2:19" ht="15.75" customHeight="1" x14ac:dyDescent="0.25">
      <c r="B4" s="649"/>
      <c r="C4" s="624"/>
      <c r="D4" s="624"/>
      <c r="E4" s="624"/>
      <c r="F4" s="624"/>
      <c r="G4" s="583">
        <v>2027</v>
      </c>
      <c r="H4" s="583">
        <v>2028</v>
      </c>
      <c r="I4" s="502"/>
      <c r="J4" s="649"/>
      <c r="K4" s="624"/>
      <c r="L4" s="503" t="s">
        <v>41</v>
      </c>
      <c r="M4" s="358">
        <v>2026</v>
      </c>
      <c r="N4" s="358">
        <v>2027</v>
      </c>
      <c r="O4" s="358">
        <v>2028</v>
      </c>
      <c r="P4" s="358">
        <v>2029</v>
      </c>
      <c r="Q4" s="358">
        <v>2030</v>
      </c>
      <c r="R4" s="626"/>
      <c r="S4" s="356"/>
    </row>
    <row r="5" spans="2:19" ht="15.75" x14ac:dyDescent="0.25">
      <c r="B5" s="501"/>
      <c r="C5" s="501" t="s">
        <v>41</v>
      </c>
      <c r="D5" s="540">
        <f>SUM(E5:F5)</f>
        <v>0</v>
      </c>
      <c r="E5" s="360">
        <f>SUBTOTAL(9,E6:E12)</f>
        <v>0</v>
      </c>
      <c r="F5" s="360">
        <f>SUBTOTAL(9,F6:F12)</f>
        <v>0</v>
      </c>
      <c r="G5" s="540"/>
      <c r="H5" s="540"/>
      <c r="I5" s="497"/>
      <c r="J5" s="501"/>
      <c r="K5" s="501" t="s">
        <v>41</v>
      </c>
      <c r="L5" s="504">
        <v>38.688274887574039</v>
      </c>
      <c r="M5" s="359">
        <v>9.2793895152260237</v>
      </c>
      <c r="N5" s="359">
        <v>11.107721492780065</v>
      </c>
      <c r="O5" s="359">
        <v>12.109146876129818</v>
      </c>
      <c r="P5" s="359">
        <v>3.916827626473486</v>
      </c>
      <c r="Q5" s="359">
        <v>2.2751893769646481</v>
      </c>
      <c r="R5" s="568"/>
      <c r="S5" s="356"/>
    </row>
    <row r="6" spans="2:19" x14ac:dyDescent="0.25">
      <c r="B6" s="360">
        <v>1</v>
      </c>
      <c r="C6" s="361" t="s">
        <v>54</v>
      </c>
      <c r="D6" s="540">
        <f t="shared" ref="D6:D12" si="0">SUM(E6:F6)</f>
        <v>0</v>
      </c>
      <c r="E6" s="360">
        <f>E7</f>
        <v>0</v>
      </c>
      <c r="F6" s="360">
        <f>F7</f>
        <v>0</v>
      </c>
      <c r="G6" s="360"/>
      <c r="H6" s="361"/>
      <c r="I6" s="499"/>
      <c r="J6" s="360">
        <v>1</v>
      </c>
      <c r="K6" s="361" t="s">
        <v>54</v>
      </c>
      <c r="L6" s="505">
        <v>20.853331874999999</v>
      </c>
      <c r="M6" s="362">
        <v>4.7596893749999998</v>
      </c>
      <c r="N6" s="362">
        <v>7.0410487499999999</v>
      </c>
      <c r="O6" s="362">
        <v>6.7361231249999998</v>
      </c>
      <c r="P6" s="362">
        <v>1.3557937499999999</v>
      </c>
      <c r="Q6" s="362">
        <v>0.96067687499999999</v>
      </c>
      <c r="R6" s="569"/>
      <c r="S6" s="356"/>
    </row>
    <row r="7" spans="2:19" x14ac:dyDescent="0.25">
      <c r="B7" s="363" t="s">
        <v>8</v>
      </c>
      <c r="C7" s="364" t="s">
        <v>219</v>
      </c>
      <c r="D7" s="540">
        <f t="shared" si="0"/>
        <v>0</v>
      </c>
      <c r="E7" s="363">
        <f>'TH theo DV'!D7</f>
        <v>0</v>
      </c>
      <c r="F7" s="363">
        <f>'TH theo DV'!N7</f>
        <v>0</v>
      </c>
      <c r="G7" s="363"/>
      <c r="H7" s="364"/>
      <c r="I7" s="499"/>
      <c r="J7" s="363" t="s">
        <v>8</v>
      </c>
      <c r="K7" s="364" t="s">
        <v>219</v>
      </c>
      <c r="L7" s="506">
        <v>20.853331874999999</v>
      </c>
      <c r="M7" s="365">
        <v>4.7596893749999998</v>
      </c>
      <c r="N7" s="365">
        <v>7.0410487499999999</v>
      </c>
      <c r="O7" s="365">
        <v>6.7361231249999998</v>
      </c>
      <c r="P7" s="365">
        <v>1.3557937499999999</v>
      </c>
      <c r="Q7" s="365">
        <v>0.96067687499999999</v>
      </c>
      <c r="R7" s="561" t="s">
        <v>220</v>
      </c>
      <c r="S7" s="367"/>
    </row>
    <row r="8" spans="2:19" x14ac:dyDescent="0.25">
      <c r="B8" s="360">
        <v>2</v>
      </c>
      <c r="C8" s="361" t="s">
        <v>32</v>
      </c>
      <c r="D8" s="540">
        <f t="shared" si="0"/>
        <v>0</v>
      </c>
      <c r="E8" s="360">
        <f>SUBTOTAL(9,E9:E10)</f>
        <v>0</v>
      </c>
      <c r="F8" s="360">
        <f>SUBTOTAL(9,F9:F10)</f>
        <v>0</v>
      </c>
      <c r="G8" s="360"/>
      <c r="H8" s="361"/>
      <c r="I8" s="499"/>
      <c r="J8" s="360">
        <v>2</v>
      </c>
      <c r="K8" s="361" t="s">
        <v>32</v>
      </c>
      <c r="L8" s="505">
        <v>15.73726851257404</v>
      </c>
      <c r="M8" s="362">
        <v>4.193305640226022</v>
      </c>
      <c r="N8" s="362">
        <v>3.4351027427800656</v>
      </c>
      <c r="O8" s="362">
        <v>5.1189537511298191</v>
      </c>
      <c r="P8" s="362">
        <v>1.9294638764734862</v>
      </c>
      <c r="Q8" s="362">
        <v>1.060442501964648</v>
      </c>
      <c r="R8" s="561"/>
      <c r="S8" s="367"/>
    </row>
    <row r="9" spans="2:19" x14ac:dyDescent="0.25">
      <c r="B9" s="363" t="s">
        <v>8</v>
      </c>
      <c r="C9" s="364" t="s">
        <v>219</v>
      </c>
      <c r="D9" s="540">
        <f t="shared" si="0"/>
        <v>0</v>
      </c>
      <c r="E9" s="363">
        <f>'TH theo DV'!D13</f>
        <v>0</v>
      </c>
      <c r="F9" s="363">
        <f>'TH theo DV'!N13</f>
        <v>0</v>
      </c>
      <c r="G9" s="363"/>
      <c r="H9" s="364"/>
      <c r="I9" s="499"/>
      <c r="J9" s="363" t="s">
        <v>8</v>
      </c>
      <c r="K9" s="364" t="s">
        <v>219</v>
      </c>
      <c r="L9" s="506">
        <v>4.2256537529469718</v>
      </c>
      <c r="M9" s="365">
        <v>1.2676070024558102</v>
      </c>
      <c r="N9" s="365">
        <v>0.49012875</v>
      </c>
      <c r="O9" s="365">
        <v>0.460164250491162</v>
      </c>
      <c r="P9" s="365">
        <v>1.65847425</v>
      </c>
      <c r="Q9" s="365">
        <v>0.34927950000000002</v>
      </c>
      <c r="R9" s="561" t="s">
        <v>222</v>
      </c>
      <c r="S9" s="367"/>
    </row>
    <row r="10" spans="2:19" x14ac:dyDescent="0.25">
      <c r="B10" s="363" t="s">
        <v>8</v>
      </c>
      <c r="C10" s="364" t="s">
        <v>221</v>
      </c>
      <c r="D10" s="540">
        <f t="shared" si="0"/>
        <v>0</v>
      </c>
      <c r="E10" s="363">
        <f>'TH theo DV'!D14</f>
        <v>0</v>
      </c>
      <c r="F10" s="363">
        <f>'TH theo DV'!N14</f>
        <v>0</v>
      </c>
      <c r="G10" s="363"/>
      <c r="H10" s="364"/>
      <c r="I10" s="499"/>
      <c r="J10" s="363" t="s">
        <v>8</v>
      </c>
      <c r="K10" s="364" t="s">
        <v>221</v>
      </c>
      <c r="L10" s="506">
        <v>11.51161475962707</v>
      </c>
      <c r="M10" s="365">
        <v>2.9256986377702123</v>
      </c>
      <c r="N10" s="365">
        <v>2.9449739927800653</v>
      </c>
      <c r="O10" s="365">
        <v>4.6587895006386573</v>
      </c>
      <c r="P10" s="365">
        <v>0.27098962647348607</v>
      </c>
      <c r="Q10" s="365">
        <v>0.71116300196464799</v>
      </c>
      <c r="R10" s="561" t="s">
        <v>223</v>
      </c>
      <c r="S10" s="367"/>
    </row>
    <row r="11" spans="2:19" ht="33.6" customHeight="1" x14ac:dyDescent="0.25">
      <c r="B11" s="360">
        <v>3</v>
      </c>
      <c r="C11" s="368" t="s">
        <v>224</v>
      </c>
      <c r="D11" s="540">
        <f t="shared" si="0"/>
        <v>0</v>
      </c>
      <c r="E11" s="389">
        <f>'TH theo DV'!D28</f>
        <v>0</v>
      </c>
      <c r="F11" s="389">
        <f>'TH theo DV'!N28</f>
        <v>0</v>
      </c>
      <c r="G11" s="389"/>
      <c r="H11" s="368"/>
      <c r="I11" s="499"/>
      <c r="J11" s="360">
        <v>3</v>
      </c>
      <c r="K11" s="368" t="s">
        <v>224</v>
      </c>
      <c r="L11" s="505">
        <v>1.3273245</v>
      </c>
      <c r="M11" s="369">
        <v>0.17232449999999999</v>
      </c>
      <c r="N11" s="369">
        <v>0.47749999999999998</v>
      </c>
      <c r="O11" s="369">
        <v>0.1</v>
      </c>
      <c r="P11" s="369">
        <v>0.47749999999999998</v>
      </c>
      <c r="Q11" s="369">
        <v>0.1</v>
      </c>
      <c r="R11" s="567" t="s">
        <v>225</v>
      </c>
      <c r="S11" s="367"/>
    </row>
    <row r="12" spans="2:19" ht="32.450000000000003" customHeight="1" x14ac:dyDescent="0.25">
      <c r="B12" s="360">
        <v>4</v>
      </c>
      <c r="C12" s="368" t="s">
        <v>227</v>
      </c>
      <c r="D12" s="540">
        <f t="shared" si="0"/>
        <v>0</v>
      </c>
      <c r="E12" s="389">
        <f>'TH theo DV'!D27</f>
        <v>0</v>
      </c>
      <c r="F12" s="389">
        <f>'TH theo DV'!N27</f>
        <v>0</v>
      </c>
      <c r="G12" s="389"/>
      <c r="H12" s="368"/>
      <c r="I12" s="499"/>
      <c r="J12" s="360">
        <v>4</v>
      </c>
      <c r="K12" s="368" t="s">
        <v>227</v>
      </c>
      <c r="L12" s="505">
        <v>0.77035000000000009</v>
      </c>
      <c r="M12" s="369">
        <v>0.15407000000000001</v>
      </c>
      <c r="N12" s="369">
        <v>0.15407000000000001</v>
      </c>
      <c r="O12" s="369">
        <v>0.15407000000000001</v>
      </c>
      <c r="P12" s="369">
        <v>0.15407000000000001</v>
      </c>
      <c r="Q12" s="369">
        <v>0.15407000000000001</v>
      </c>
      <c r="R12" s="567" t="s">
        <v>228</v>
      </c>
      <c r="S12" s="367"/>
    </row>
    <row r="13" spans="2:19" ht="17.25" customHeight="1" x14ac:dyDescent="0.25">
      <c r="K13" s="372"/>
      <c r="Q13" s="367"/>
    </row>
    <row r="14" spans="2:19" x14ac:dyDescent="0.25">
      <c r="B14" s="373" t="s">
        <v>229</v>
      </c>
      <c r="Q14" s="367"/>
    </row>
    <row r="15" spans="2:19" ht="15.6" customHeight="1" x14ac:dyDescent="0.25">
      <c r="B15" s="649" t="s">
        <v>48</v>
      </c>
      <c r="C15" s="624" t="s">
        <v>216</v>
      </c>
      <c r="D15" s="624" t="s">
        <v>41</v>
      </c>
      <c r="E15" s="624">
        <v>2027</v>
      </c>
      <c r="F15" s="624">
        <v>2028</v>
      </c>
      <c r="G15" s="624" t="s">
        <v>218</v>
      </c>
      <c r="H15" s="624"/>
      <c r="I15" s="502"/>
      <c r="J15" s="624" t="s">
        <v>217</v>
      </c>
      <c r="K15" s="624"/>
      <c r="L15" s="624"/>
      <c r="M15" s="624"/>
      <c r="N15" s="624"/>
      <c r="O15" s="624"/>
      <c r="P15" s="625" t="s">
        <v>218</v>
      </c>
      <c r="Q15" s="367"/>
    </row>
    <row r="16" spans="2:19" ht="15.75" x14ac:dyDescent="0.25">
      <c r="B16" s="649"/>
      <c r="C16" s="624"/>
      <c r="D16" s="624"/>
      <c r="E16" s="624"/>
      <c r="F16" s="624"/>
      <c r="G16" s="583">
        <v>2027</v>
      </c>
      <c r="H16" s="583">
        <v>2028</v>
      </c>
      <c r="I16" s="502"/>
      <c r="J16" s="507" t="s">
        <v>41</v>
      </c>
      <c r="K16" s="374">
        <v>2026</v>
      </c>
      <c r="L16" s="374">
        <v>2027</v>
      </c>
      <c r="M16" s="374">
        <v>2028</v>
      </c>
      <c r="N16" s="374">
        <v>2029</v>
      </c>
      <c r="O16" s="374">
        <v>2030</v>
      </c>
      <c r="P16" s="626"/>
      <c r="Q16" s="367"/>
    </row>
    <row r="17" spans="2:17" ht="15.75" x14ac:dyDescent="0.25">
      <c r="B17" s="501"/>
      <c r="C17" s="501" t="s">
        <v>41</v>
      </c>
      <c r="D17" s="540">
        <f t="shared" ref="D17:D22" si="1">SUM(E17:F17)</f>
        <v>0</v>
      </c>
      <c r="E17" s="540">
        <f>SUBTOTAL(9,E18:E22)</f>
        <v>0</v>
      </c>
      <c r="F17" s="540">
        <f>SUBTOTAL(9,F18:F22)</f>
        <v>0</v>
      </c>
      <c r="G17" s="540"/>
      <c r="H17" s="540"/>
      <c r="I17" s="497"/>
      <c r="J17" s="504">
        <v>10.450441000000001</v>
      </c>
      <c r="K17" s="359">
        <v>1.8641390000000002</v>
      </c>
      <c r="L17" s="359">
        <v>3.0796190000000001</v>
      </c>
      <c r="M17" s="359">
        <v>2.091494</v>
      </c>
      <c r="N17" s="359">
        <v>1.638903</v>
      </c>
      <c r="O17" s="359">
        <v>1.776286</v>
      </c>
      <c r="P17" s="568"/>
      <c r="Q17" s="367"/>
    </row>
    <row r="18" spans="2:17" x14ac:dyDescent="0.25">
      <c r="B18" s="375">
        <v>1</v>
      </c>
      <c r="C18" s="376" t="s">
        <v>219</v>
      </c>
      <c r="D18" s="540">
        <f t="shared" si="1"/>
        <v>0</v>
      </c>
      <c r="E18" s="376">
        <f>'TH theo DV'!F16</f>
        <v>0</v>
      </c>
      <c r="F18" s="376">
        <f>'TH theo DV'!P16</f>
        <v>0</v>
      </c>
      <c r="G18" s="376"/>
      <c r="H18" s="376"/>
      <c r="I18" s="499"/>
      <c r="J18" s="506">
        <v>6.9064829999999997</v>
      </c>
      <c r="K18" s="377">
        <v>1.5144759999999999</v>
      </c>
      <c r="L18" s="377">
        <v>1.162536</v>
      </c>
      <c r="M18" s="377">
        <v>1.252383</v>
      </c>
      <c r="N18" s="377">
        <v>1.420917</v>
      </c>
      <c r="O18" s="377">
        <v>1.556171</v>
      </c>
      <c r="P18" s="561" t="s">
        <v>230</v>
      </c>
      <c r="Q18" s="367"/>
    </row>
    <row r="19" spans="2:17" ht="30" x14ac:dyDescent="0.25">
      <c r="B19" s="375">
        <v>2</v>
      </c>
      <c r="C19" s="376" t="s">
        <v>75</v>
      </c>
      <c r="D19" s="540">
        <f t="shared" si="1"/>
        <v>0</v>
      </c>
      <c r="E19" s="376">
        <f>'TH theo DV'!F17</f>
        <v>0</v>
      </c>
      <c r="F19" s="376">
        <f>'TH theo DV'!P17</f>
        <v>0</v>
      </c>
      <c r="G19" s="376"/>
      <c r="H19" s="376"/>
      <c r="I19" s="499"/>
      <c r="J19" s="506">
        <v>1.5767199999999999</v>
      </c>
      <c r="K19" s="377">
        <v>7.1999999999999995E-2</v>
      </c>
      <c r="L19" s="377">
        <v>0.86448000000000003</v>
      </c>
      <c r="M19" s="377">
        <v>0.64024000000000003</v>
      </c>
      <c r="N19" s="377">
        <v>0</v>
      </c>
      <c r="O19" s="377">
        <v>0</v>
      </c>
      <c r="P19" s="561" t="s">
        <v>231</v>
      </c>
      <c r="Q19" s="367"/>
    </row>
    <row r="20" spans="2:17" x14ac:dyDescent="0.25">
      <c r="B20" s="375">
        <v>3</v>
      </c>
      <c r="C20" s="376" t="s">
        <v>224</v>
      </c>
      <c r="D20" s="540">
        <f t="shared" si="1"/>
        <v>0</v>
      </c>
      <c r="E20" s="376">
        <f>'TH theo DV'!F28</f>
        <v>0</v>
      </c>
      <c r="F20" s="376">
        <f>'TH theo DV'!P28</f>
        <v>0</v>
      </c>
      <c r="G20" s="376"/>
      <c r="H20" s="376"/>
      <c r="I20" s="499"/>
      <c r="J20" s="506">
        <v>0.35000000000000003</v>
      </c>
      <c r="K20" s="378">
        <v>7.0000000000000007E-2</v>
      </c>
      <c r="L20" s="378">
        <v>7.0000000000000007E-2</v>
      </c>
      <c r="M20" s="378">
        <v>7.0000000000000007E-2</v>
      </c>
      <c r="N20" s="378">
        <v>7.0000000000000007E-2</v>
      </c>
      <c r="O20" s="378">
        <v>7.0000000000000007E-2</v>
      </c>
      <c r="P20" s="561" t="s">
        <v>232</v>
      </c>
      <c r="Q20" s="367"/>
    </row>
    <row r="21" spans="2:17" x14ac:dyDescent="0.25">
      <c r="B21" s="375">
        <v>4</v>
      </c>
      <c r="C21" s="376" t="s">
        <v>233</v>
      </c>
      <c r="D21" s="540">
        <f t="shared" si="1"/>
        <v>0</v>
      </c>
      <c r="E21" s="575">
        <f>'TH theo DV'!F29</f>
        <v>0</v>
      </c>
      <c r="F21" s="575">
        <f>'TH theo DV'!P29</f>
        <v>0</v>
      </c>
      <c r="G21" s="575"/>
      <c r="H21" s="376"/>
      <c r="I21" s="499"/>
      <c r="J21" s="506">
        <v>0.96448</v>
      </c>
      <c r="K21" s="378">
        <v>0.1</v>
      </c>
      <c r="L21" s="378">
        <v>0.86448000000000003</v>
      </c>
      <c r="M21" s="378">
        <v>0</v>
      </c>
      <c r="N21" s="378">
        <v>0</v>
      </c>
      <c r="O21" s="378">
        <v>0</v>
      </c>
      <c r="P21" s="561" t="s">
        <v>234</v>
      </c>
      <c r="Q21" s="367"/>
    </row>
    <row r="22" spans="2:17" x14ac:dyDescent="0.25">
      <c r="B22" s="375">
        <v>5</v>
      </c>
      <c r="C22" s="376" t="s">
        <v>235</v>
      </c>
      <c r="D22" s="540">
        <f t="shared" si="1"/>
        <v>0</v>
      </c>
      <c r="E22" s="376">
        <f>'TH theo DV'!F27</f>
        <v>0</v>
      </c>
      <c r="F22" s="376">
        <f>'TH theo DV'!P27</f>
        <v>0</v>
      </c>
      <c r="G22" s="376"/>
      <c r="H22" s="376"/>
      <c r="I22" s="499"/>
      <c r="J22" s="506">
        <v>0.65275799999999995</v>
      </c>
      <c r="K22" s="377">
        <v>0.10766299999999999</v>
      </c>
      <c r="L22" s="377">
        <v>0.11812300000000001</v>
      </c>
      <c r="M22" s="377">
        <v>0.12887100000000001</v>
      </c>
      <c r="N22" s="377">
        <v>0.14798600000000001</v>
      </c>
      <c r="O22" s="377">
        <v>0.150115</v>
      </c>
      <c r="P22" s="561" t="s">
        <v>236</v>
      </c>
      <c r="Q22" s="367"/>
    </row>
    <row r="23" spans="2:17" x14ac:dyDescent="0.25">
      <c r="K23" s="379"/>
      <c r="L23" s="379"/>
      <c r="M23" s="379"/>
      <c r="N23" s="379"/>
      <c r="O23" s="379"/>
      <c r="Q23" s="367"/>
    </row>
    <row r="24" spans="2:17" x14ac:dyDescent="0.25">
      <c r="B24" s="357" t="s">
        <v>237</v>
      </c>
      <c r="K24" s="379"/>
      <c r="L24" s="379"/>
      <c r="M24" s="379"/>
      <c r="N24" s="379"/>
      <c r="O24" s="379"/>
      <c r="Q24" s="367"/>
    </row>
    <row r="25" spans="2:17" ht="15.6" customHeight="1" x14ac:dyDescent="0.25">
      <c r="B25" s="649" t="s">
        <v>48</v>
      </c>
      <c r="C25" s="624" t="s">
        <v>216</v>
      </c>
      <c r="D25" s="624" t="s">
        <v>41</v>
      </c>
      <c r="E25" s="624">
        <v>2027</v>
      </c>
      <c r="F25" s="624">
        <v>2028</v>
      </c>
      <c r="G25" s="624" t="s">
        <v>218</v>
      </c>
      <c r="H25" s="624"/>
      <c r="I25" s="502"/>
      <c r="J25" s="624" t="s">
        <v>217</v>
      </c>
      <c r="K25" s="624"/>
      <c r="L25" s="624"/>
      <c r="M25" s="624"/>
      <c r="N25" s="624"/>
      <c r="O25" s="624"/>
      <c r="P25" s="625" t="s">
        <v>218</v>
      </c>
      <c r="Q25" s="367"/>
    </row>
    <row r="26" spans="2:17" ht="15.75" x14ac:dyDescent="0.25">
      <c r="B26" s="649"/>
      <c r="C26" s="624"/>
      <c r="D26" s="624"/>
      <c r="E26" s="624"/>
      <c r="F26" s="624"/>
      <c r="G26" s="583">
        <v>2027</v>
      </c>
      <c r="H26" s="583">
        <v>2028</v>
      </c>
      <c r="I26" s="502"/>
      <c r="J26" s="507" t="s">
        <v>41</v>
      </c>
      <c r="K26" s="374">
        <v>2026</v>
      </c>
      <c r="L26" s="374">
        <v>2027</v>
      </c>
      <c r="M26" s="374">
        <v>2028</v>
      </c>
      <c r="N26" s="374">
        <v>2029</v>
      </c>
      <c r="O26" s="374">
        <v>2030</v>
      </c>
      <c r="P26" s="626"/>
      <c r="Q26" s="367"/>
    </row>
    <row r="27" spans="2:17" ht="15.75" x14ac:dyDescent="0.25">
      <c r="B27" s="501"/>
      <c r="C27" s="501" t="s">
        <v>41</v>
      </c>
      <c r="D27" s="540">
        <f t="shared" ref="D27:D32" si="2">SUM(E27:F27)</f>
        <v>0</v>
      </c>
      <c r="E27" s="540">
        <f>SUBTOTAL(9,E28:E32)</f>
        <v>0</v>
      </c>
      <c r="F27" s="540">
        <f>SUBTOTAL(9,F28:F32)</f>
        <v>0</v>
      </c>
      <c r="G27" s="540"/>
      <c r="H27" s="540"/>
      <c r="I27" s="497"/>
      <c r="J27" s="504">
        <v>11.309999999999999</v>
      </c>
      <c r="K27" s="359">
        <v>1.9</v>
      </c>
      <c r="L27" s="359">
        <v>3.79</v>
      </c>
      <c r="M27" s="359">
        <v>2.61</v>
      </c>
      <c r="N27" s="359">
        <v>1.37</v>
      </c>
      <c r="O27" s="359">
        <v>1.6400000000000001</v>
      </c>
      <c r="P27" s="568"/>
      <c r="Q27" s="367"/>
    </row>
    <row r="28" spans="2:17" ht="35.450000000000003" customHeight="1" x14ac:dyDescent="0.25">
      <c r="B28" s="375">
        <v>1</v>
      </c>
      <c r="C28" s="376" t="s">
        <v>238</v>
      </c>
      <c r="D28" s="540">
        <f t="shared" si="2"/>
        <v>0</v>
      </c>
      <c r="E28" s="376">
        <f>'TH theo DV'!E7</f>
        <v>0</v>
      </c>
      <c r="F28" s="376">
        <f>'TH theo DV'!O7</f>
        <v>0</v>
      </c>
      <c r="G28" s="376"/>
      <c r="H28" s="376"/>
      <c r="I28" s="499"/>
      <c r="J28" s="508">
        <v>1.4000000000000001</v>
      </c>
      <c r="K28" s="380">
        <v>0.26</v>
      </c>
      <c r="L28" s="380">
        <v>0.23</v>
      </c>
      <c r="M28" s="380">
        <v>0.26</v>
      </c>
      <c r="N28" s="380">
        <v>0.34</v>
      </c>
      <c r="O28" s="380">
        <v>0.31</v>
      </c>
      <c r="P28" s="561" t="s">
        <v>239</v>
      </c>
      <c r="Q28" s="367"/>
    </row>
    <row r="29" spans="2:17" ht="75.599999999999994" customHeight="1" x14ac:dyDescent="0.25">
      <c r="B29" s="375">
        <v>2</v>
      </c>
      <c r="C29" s="376" t="s">
        <v>240</v>
      </c>
      <c r="D29" s="540">
        <f t="shared" si="2"/>
        <v>0</v>
      </c>
      <c r="E29" s="376">
        <f>'TH theo DV'!E14</f>
        <v>0</v>
      </c>
      <c r="F29" s="376">
        <f>'TH theo DV'!O14</f>
        <v>0</v>
      </c>
      <c r="G29" s="376"/>
      <c r="H29" s="376"/>
      <c r="I29" s="499"/>
      <c r="J29" s="508">
        <v>6.580000000000001</v>
      </c>
      <c r="K29" s="380">
        <v>0.89</v>
      </c>
      <c r="L29" s="380">
        <v>2.14</v>
      </c>
      <c r="M29" s="380">
        <v>1.19</v>
      </c>
      <c r="N29" s="380">
        <v>1.03</v>
      </c>
      <c r="O29" s="380">
        <v>1.33</v>
      </c>
      <c r="P29" s="561" t="s">
        <v>241</v>
      </c>
      <c r="Q29" s="367"/>
    </row>
    <row r="30" spans="2:17" ht="47.45" customHeight="1" x14ac:dyDescent="0.25">
      <c r="B30" s="375">
        <v>3</v>
      </c>
      <c r="C30" s="376" t="s">
        <v>242</v>
      </c>
      <c r="D30" s="540">
        <f t="shared" si="2"/>
        <v>0</v>
      </c>
      <c r="E30" s="376">
        <f>'TH theo DV'!E28</f>
        <v>0</v>
      </c>
      <c r="F30" s="376">
        <f>'TH theo DV'!O28</f>
        <v>0</v>
      </c>
      <c r="G30" s="376"/>
      <c r="H30" s="376"/>
      <c r="I30" s="499"/>
      <c r="J30" s="508">
        <v>3.12</v>
      </c>
      <c r="K30" s="380">
        <v>0.54</v>
      </c>
      <c r="L30" s="380">
        <v>1.42</v>
      </c>
      <c r="M30" s="380">
        <v>1.1599999999999999</v>
      </c>
      <c r="N30" s="371">
        <v>0</v>
      </c>
      <c r="O30" s="371">
        <v>0</v>
      </c>
      <c r="P30" s="561" t="s">
        <v>243</v>
      </c>
      <c r="Q30" s="367"/>
    </row>
    <row r="31" spans="2:17" ht="18.600000000000001" customHeight="1" x14ac:dyDescent="0.25">
      <c r="B31" s="375">
        <v>4</v>
      </c>
      <c r="C31" s="376" t="s">
        <v>233</v>
      </c>
      <c r="D31" s="540">
        <f t="shared" si="2"/>
        <v>0</v>
      </c>
      <c r="E31" s="376">
        <f>'TH theo DV'!E29</f>
        <v>0</v>
      </c>
      <c r="F31" s="376">
        <f>'TH theo DV'!O29</f>
        <v>0</v>
      </c>
      <c r="G31" s="376"/>
      <c r="H31" s="376"/>
      <c r="I31" s="499"/>
      <c r="J31" s="508">
        <v>0.21</v>
      </c>
      <c r="K31" s="380">
        <v>0.21</v>
      </c>
      <c r="L31" s="371">
        <v>0</v>
      </c>
      <c r="M31" s="371">
        <v>0</v>
      </c>
      <c r="N31" s="371">
        <v>0</v>
      </c>
      <c r="O31" s="371">
        <v>0</v>
      </c>
      <c r="P31" s="561" t="s">
        <v>244</v>
      </c>
      <c r="Q31" s="367"/>
    </row>
    <row r="32" spans="2:17" ht="18.600000000000001" customHeight="1" x14ac:dyDescent="0.25">
      <c r="B32" s="375">
        <v>5</v>
      </c>
      <c r="C32" s="381" t="s">
        <v>227</v>
      </c>
      <c r="D32" s="540">
        <f t="shared" si="2"/>
        <v>0</v>
      </c>
      <c r="E32" s="381">
        <f>'TH theo DV'!E30</f>
        <v>0</v>
      </c>
      <c r="F32" s="381">
        <f>'TH theo DV'!O30</f>
        <v>0</v>
      </c>
      <c r="G32" s="381"/>
      <c r="H32" s="381"/>
      <c r="I32" s="529"/>
      <c r="J32" s="508">
        <v>0</v>
      </c>
      <c r="K32" s="371">
        <v>0</v>
      </c>
      <c r="L32" s="371">
        <v>0</v>
      </c>
      <c r="M32" s="371">
        <v>0</v>
      </c>
      <c r="N32" s="371">
        <v>0</v>
      </c>
      <c r="O32" s="371">
        <v>0</v>
      </c>
      <c r="P32" s="561"/>
      <c r="Q32" s="367"/>
    </row>
    <row r="33" spans="2:17" x14ac:dyDescent="0.25">
      <c r="Q33" s="367"/>
    </row>
    <row r="34" spans="2:17" x14ac:dyDescent="0.25">
      <c r="B34" s="357" t="s">
        <v>245</v>
      </c>
      <c r="Q34" s="367"/>
    </row>
    <row r="35" spans="2:17" ht="15.6" customHeight="1" x14ac:dyDescent="0.25">
      <c r="B35" s="649" t="s">
        <v>48</v>
      </c>
      <c r="C35" s="624" t="s">
        <v>216</v>
      </c>
      <c r="D35" s="624" t="s">
        <v>41</v>
      </c>
      <c r="E35" s="624">
        <v>2027</v>
      </c>
      <c r="F35" s="624">
        <v>2028</v>
      </c>
      <c r="G35" s="624" t="s">
        <v>218</v>
      </c>
      <c r="H35" s="624"/>
      <c r="I35" s="502"/>
      <c r="J35" s="624" t="s">
        <v>217</v>
      </c>
      <c r="K35" s="624"/>
      <c r="L35" s="624"/>
      <c r="M35" s="624"/>
      <c r="N35" s="624"/>
      <c r="O35" s="624"/>
      <c r="P35" s="625" t="s">
        <v>246</v>
      </c>
      <c r="Q35" s="367"/>
    </row>
    <row r="36" spans="2:17" ht="15.75" x14ac:dyDescent="0.25">
      <c r="B36" s="649"/>
      <c r="C36" s="624"/>
      <c r="D36" s="624"/>
      <c r="E36" s="624"/>
      <c r="F36" s="624"/>
      <c r="G36" s="583">
        <v>2027</v>
      </c>
      <c r="H36" s="583">
        <v>2028</v>
      </c>
      <c r="I36" s="502"/>
      <c r="J36" s="507" t="s">
        <v>41</v>
      </c>
      <c r="K36" s="374">
        <v>2026</v>
      </c>
      <c r="L36" s="374">
        <v>2027</v>
      </c>
      <c r="M36" s="374">
        <v>2028</v>
      </c>
      <c r="N36" s="374">
        <v>2029</v>
      </c>
      <c r="O36" s="374">
        <v>2030</v>
      </c>
      <c r="P36" s="626"/>
      <c r="Q36" s="367"/>
    </row>
    <row r="37" spans="2:17" x14ac:dyDescent="0.25">
      <c r="B37" s="501"/>
      <c r="C37" s="501" t="s">
        <v>41</v>
      </c>
      <c r="D37" s="540">
        <f t="shared" ref="D37:D43" si="3">SUM(E37:F37)</f>
        <v>0</v>
      </c>
      <c r="E37" s="540">
        <f>SUBTOTAL(9,E38:E43)</f>
        <v>0</v>
      </c>
      <c r="F37" s="540">
        <f>SUBTOTAL(9,F38:F43)</f>
        <v>0</v>
      </c>
      <c r="G37" s="540"/>
      <c r="H37" s="540"/>
      <c r="I37" s="530"/>
      <c r="J37" s="509">
        <v>22.908491803533572</v>
      </c>
      <c r="K37" s="382">
        <v>3.0649003243031019</v>
      </c>
      <c r="L37" s="382">
        <v>3.5873586153121324</v>
      </c>
      <c r="M37" s="382">
        <v>6.4594459243031022</v>
      </c>
      <c r="N37" s="382">
        <v>6.0588486153121321</v>
      </c>
      <c r="O37" s="382">
        <v>3.7379383243031019</v>
      </c>
      <c r="P37" s="561" t="s">
        <v>247</v>
      </c>
      <c r="Q37" s="367"/>
    </row>
    <row r="38" spans="2:17" ht="28.5" x14ac:dyDescent="0.25">
      <c r="B38" s="383" t="s">
        <v>11</v>
      </c>
      <c r="C38" s="384" t="s">
        <v>248</v>
      </c>
      <c r="D38" s="540">
        <f t="shared" si="3"/>
        <v>0</v>
      </c>
      <c r="E38" s="384">
        <f>SUBTOTAL(9,E39:E42)</f>
        <v>0</v>
      </c>
      <c r="F38" s="384">
        <f>SUBTOTAL(9,F39:F42)</f>
        <v>0</v>
      </c>
      <c r="G38" s="384"/>
      <c r="H38" s="384"/>
      <c r="I38" s="530"/>
      <c r="J38" s="509">
        <v>19.658491803533572</v>
      </c>
      <c r="K38" s="385">
        <v>2.414900324303102</v>
      </c>
      <c r="L38" s="385">
        <v>2.9373586153121325</v>
      </c>
      <c r="M38" s="385">
        <v>5.8094459243031018</v>
      </c>
      <c r="N38" s="385">
        <v>5.4088486153121318</v>
      </c>
      <c r="O38" s="385">
        <v>3.087938324303102</v>
      </c>
      <c r="P38" s="561"/>
      <c r="Q38" s="367"/>
    </row>
    <row r="39" spans="2:17" ht="30" x14ac:dyDescent="0.25">
      <c r="B39" s="386">
        <v>1</v>
      </c>
      <c r="C39" s="577" t="s">
        <v>249</v>
      </c>
      <c r="D39" s="540">
        <f t="shared" si="3"/>
        <v>0</v>
      </c>
      <c r="E39" s="387">
        <f>'TH theo DV'!G23+'TH theo DV'!G24</f>
        <v>0</v>
      </c>
      <c r="F39" s="387">
        <f>'TH theo DV'!Q23+'TH theo DV'!Q24</f>
        <v>0</v>
      </c>
      <c r="G39" s="387"/>
      <c r="H39" s="387"/>
      <c r="I39" s="531"/>
      <c r="J39" s="510">
        <v>10.463055803533569</v>
      </c>
      <c r="K39" s="388">
        <v>1.6503343243031017</v>
      </c>
      <c r="L39" s="388">
        <v>2.2394226153121322</v>
      </c>
      <c r="M39" s="388">
        <v>2.1335019243031015</v>
      </c>
      <c r="N39" s="388">
        <v>2.2553446153121319</v>
      </c>
      <c r="O39" s="388">
        <v>2.1844523243031015</v>
      </c>
      <c r="P39" s="561" t="s">
        <v>250</v>
      </c>
      <c r="Q39" s="367"/>
    </row>
    <row r="40" spans="2:17" ht="30" x14ac:dyDescent="0.25">
      <c r="B40" s="386">
        <v>2</v>
      </c>
      <c r="C40" s="387" t="s">
        <v>251</v>
      </c>
      <c r="D40" s="540">
        <f t="shared" si="3"/>
        <v>0</v>
      </c>
      <c r="E40" s="387">
        <f>'TH theo DV'!G29</f>
        <v>0</v>
      </c>
      <c r="F40" s="387">
        <f>'TH theo DV'!Q29</f>
        <v>0</v>
      </c>
      <c r="G40" s="387"/>
      <c r="H40" s="387"/>
      <c r="I40" s="531"/>
      <c r="J40" s="510">
        <v>3.422552</v>
      </c>
      <c r="K40" s="388">
        <v>0</v>
      </c>
      <c r="L40" s="388">
        <v>8.3351999999999996E-2</v>
      </c>
      <c r="M40" s="388">
        <v>0.66135999999999995</v>
      </c>
      <c r="N40" s="388">
        <v>2.5389200000000001</v>
      </c>
      <c r="O40" s="388">
        <v>0.13891999999999999</v>
      </c>
      <c r="P40" s="561" t="s">
        <v>252</v>
      </c>
      <c r="Q40" s="367"/>
    </row>
    <row r="41" spans="2:17" ht="30" x14ac:dyDescent="0.25">
      <c r="B41" s="386">
        <v>3</v>
      </c>
      <c r="C41" s="387" t="s">
        <v>253</v>
      </c>
      <c r="D41" s="540">
        <f t="shared" si="3"/>
        <v>0</v>
      </c>
      <c r="E41" s="387">
        <f>'TH theo DV'!G28</f>
        <v>0</v>
      </c>
      <c r="F41" s="387">
        <f>'TH theo DV'!Q28</f>
        <v>0</v>
      </c>
      <c r="G41" s="387"/>
      <c r="H41" s="387"/>
      <c r="I41" s="531"/>
      <c r="J41" s="510">
        <v>4.9729200000000002</v>
      </c>
      <c r="K41" s="388">
        <v>0.51458400000000004</v>
      </c>
      <c r="L41" s="388">
        <v>0.51458400000000004</v>
      </c>
      <c r="M41" s="388">
        <v>2.9145840000000001</v>
      </c>
      <c r="N41" s="388">
        <v>0.51458400000000004</v>
      </c>
      <c r="O41" s="388">
        <v>0.51458400000000004</v>
      </c>
      <c r="P41" s="561" t="s">
        <v>254</v>
      </c>
      <c r="Q41" s="367"/>
    </row>
    <row r="42" spans="2:17" ht="30" x14ac:dyDescent="0.25">
      <c r="B42" s="375">
        <v>4</v>
      </c>
      <c r="C42" s="387" t="s">
        <v>255</v>
      </c>
      <c r="D42" s="540">
        <f t="shared" si="3"/>
        <v>0</v>
      </c>
      <c r="E42" s="387">
        <f>'TH theo DV'!G27</f>
        <v>0</v>
      </c>
      <c r="F42" s="387">
        <f>'TH theo DV'!Q27</f>
        <v>0</v>
      </c>
      <c r="G42" s="387"/>
      <c r="H42" s="387"/>
      <c r="I42" s="531"/>
      <c r="J42" s="510">
        <v>0.79996400000000001</v>
      </c>
      <c r="K42" s="388">
        <v>0.24998200000000001</v>
      </c>
      <c r="L42" s="388">
        <v>0.1</v>
      </c>
      <c r="M42" s="388">
        <v>0.1</v>
      </c>
      <c r="N42" s="388">
        <v>0.1</v>
      </c>
      <c r="O42" s="388">
        <v>0.24998200000000001</v>
      </c>
      <c r="P42" s="561" t="s">
        <v>256</v>
      </c>
      <c r="Q42" s="367"/>
    </row>
    <row r="43" spans="2:17" ht="28.5" x14ac:dyDescent="0.25">
      <c r="B43" s="383" t="s">
        <v>22</v>
      </c>
      <c r="C43" s="384" t="s">
        <v>257</v>
      </c>
      <c r="D43" s="540">
        <f t="shared" si="3"/>
        <v>0</v>
      </c>
      <c r="E43" s="384">
        <f>'TH theo DV'!G31</f>
        <v>0</v>
      </c>
      <c r="F43" s="384">
        <f>'TH theo DV'!Q31</f>
        <v>0</v>
      </c>
      <c r="G43" s="384"/>
      <c r="H43" s="384"/>
      <c r="I43" s="530"/>
      <c r="J43" s="509">
        <v>3.25</v>
      </c>
      <c r="K43" s="385">
        <v>0.65</v>
      </c>
      <c r="L43" s="385">
        <v>0.65</v>
      </c>
      <c r="M43" s="385">
        <v>0.65</v>
      </c>
      <c r="N43" s="385">
        <v>0.65</v>
      </c>
      <c r="O43" s="385">
        <v>0.65</v>
      </c>
      <c r="P43" s="561" t="s">
        <v>258</v>
      </c>
      <c r="Q43" s="367"/>
    </row>
    <row r="44" spans="2:17" x14ac:dyDescent="0.25">
      <c r="Q44" s="367"/>
    </row>
    <row r="45" spans="2:17" x14ac:dyDescent="0.25">
      <c r="B45" s="357" t="s">
        <v>259</v>
      </c>
      <c r="Q45" s="367"/>
    </row>
    <row r="46" spans="2:17" ht="15.6" customHeight="1" x14ac:dyDescent="0.25">
      <c r="B46" s="649" t="s">
        <v>48</v>
      </c>
      <c r="C46" s="624" t="s">
        <v>216</v>
      </c>
      <c r="D46" s="624" t="s">
        <v>41</v>
      </c>
      <c r="E46" s="624">
        <v>2027</v>
      </c>
      <c r="F46" s="624">
        <v>2028</v>
      </c>
      <c r="G46" s="624" t="s">
        <v>218</v>
      </c>
      <c r="H46" s="624"/>
      <c r="I46" s="502"/>
      <c r="J46" s="624" t="s">
        <v>217</v>
      </c>
      <c r="K46" s="624"/>
      <c r="L46" s="624"/>
      <c r="M46" s="624"/>
      <c r="N46" s="624"/>
      <c r="O46" s="624"/>
      <c r="P46" s="633" t="s">
        <v>246</v>
      </c>
      <c r="Q46" s="367"/>
    </row>
    <row r="47" spans="2:17" ht="15.75" x14ac:dyDescent="0.25">
      <c r="B47" s="649"/>
      <c r="C47" s="624"/>
      <c r="D47" s="624"/>
      <c r="E47" s="624"/>
      <c r="F47" s="624"/>
      <c r="G47" s="583">
        <v>2027</v>
      </c>
      <c r="H47" s="583">
        <v>2028</v>
      </c>
      <c r="I47" s="502"/>
      <c r="J47" s="503" t="s">
        <v>260</v>
      </c>
      <c r="K47" s="358">
        <v>2026</v>
      </c>
      <c r="L47" s="358">
        <v>2027</v>
      </c>
      <c r="M47" s="358">
        <v>2028</v>
      </c>
      <c r="N47" s="358">
        <v>2029</v>
      </c>
      <c r="O47" s="358">
        <v>2030</v>
      </c>
      <c r="P47" s="633"/>
      <c r="Q47" s="367"/>
    </row>
    <row r="48" spans="2:17" ht="15.75" x14ac:dyDescent="0.25">
      <c r="B48" s="501"/>
      <c r="C48" s="501" t="s">
        <v>41</v>
      </c>
      <c r="D48" s="540">
        <f t="shared" ref="D48:D57" si="4">SUM(E48:F48)</f>
        <v>0</v>
      </c>
      <c r="E48" s="540">
        <f>SUBTOTAL(9,E49:E57)</f>
        <v>0</v>
      </c>
      <c r="F48" s="540">
        <f>SUBTOTAL(9,F49:F57)</f>
        <v>0</v>
      </c>
      <c r="G48" s="540"/>
      <c r="H48" s="540"/>
      <c r="I48" s="497"/>
      <c r="J48" s="504">
        <v>18.608598336</v>
      </c>
      <c r="K48" s="359">
        <v>4.682423816</v>
      </c>
      <c r="L48" s="359">
        <v>5.5319648599999995</v>
      </c>
      <c r="M48" s="359">
        <v>4.2553343400000001</v>
      </c>
      <c r="N48" s="359">
        <v>2.2735215200000001</v>
      </c>
      <c r="O48" s="359">
        <v>1.8653537999999998</v>
      </c>
      <c r="P48" s="568"/>
      <c r="Q48" s="367"/>
    </row>
    <row r="49" spans="2:17" x14ac:dyDescent="0.25">
      <c r="B49" s="389">
        <v>1</v>
      </c>
      <c r="C49" s="361" t="s">
        <v>54</v>
      </c>
      <c r="D49" s="540">
        <f t="shared" si="4"/>
        <v>0</v>
      </c>
      <c r="E49" s="361">
        <f>E50</f>
        <v>0</v>
      </c>
      <c r="F49" s="361">
        <f>F50</f>
        <v>0</v>
      </c>
      <c r="G49" s="361"/>
      <c r="H49" s="361"/>
      <c r="I49" s="527"/>
      <c r="J49" s="511">
        <v>3.8975780827632387</v>
      </c>
      <c r="K49" s="390">
        <v>0.77923288195474516</v>
      </c>
      <c r="L49" s="390">
        <v>1.4217625180106339</v>
      </c>
      <c r="M49" s="390">
        <v>1.0507716009021422</v>
      </c>
      <c r="N49" s="390">
        <v>0.34650542317214467</v>
      </c>
      <c r="O49" s="390">
        <v>0.29930565872357306</v>
      </c>
      <c r="P49" s="561"/>
      <c r="Q49" s="367"/>
    </row>
    <row r="50" spans="2:17" ht="18.600000000000001" customHeight="1" x14ac:dyDescent="0.25">
      <c r="B50" s="391" t="s">
        <v>8</v>
      </c>
      <c r="C50" s="392" t="s">
        <v>219</v>
      </c>
      <c r="D50" s="540">
        <f t="shared" si="4"/>
        <v>0</v>
      </c>
      <c r="E50" s="392">
        <f>'TH theo DV'!H7</f>
        <v>0</v>
      </c>
      <c r="F50" s="392">
        <f>'TH theo DV'!R7</f>
        <v>0</v>
      </c>
      <c r="G50" s="392"/>
      <c r="H50" s="392"/>
      <c r="I50" s="531"/>
      <c r="J50" s="512">
        <v>0.98339502000000001</v>
      </c>
      <c r="K50" s="393">
        <v>0.21404855999999997</v>
      </c>
      <c r="L50" s="393">
        <v>0.31848520000000002</v>
      </c>
      <c r="M50" s="393">
        <v>0.28023068000000001</v>
      </c>
      <c r="N50" s="393">
        <v>9.1522079999999992E-2</v>
      </c>
      <c r="O50" s="393">
        <v>7.9108499999999998E-2</v>
      </c>
      <c r="P50" s="562" t="s">
        <v>261</v>
      </c>
      <c r="Q50" s="367"/>
    </row>
    <row r="51" spans="2:17" x14ac:dyDescent="0.25">
      <c r="B51" s="389">
        <v>2</v>
      </c>
      <c r="C51" s="368" t="s">
        <v>263</v>
      </c>
      <c r="D51" s="540">
        <f t="shared" si="4"/>
        <v>0</v>
      </c>
      <c r="E51" s="368"/>
      <c r="F51" s="368"/>
      <c r="G51" s="368"/>
      <c r="H51" s="368"/>
      <c r="I51" s="528"/>
      <c r="J51" s="511">
        <v>1.3217269565246501</v>
      </c>
      <c r="K51" s="390">
        <v>0.39191711005965429</v>
      </c>
      <c r="L51" s="390">
        <v>0.27337490104375178</v>
      </c>
      <c r="M51" s="390">
        <v>0.30389836641151968</v>
      </c>
      <c r="N51" s="390">
        <v>0.18076838287681612</v>
      </c>
      <c r="O51" s="390">
        <v>0.17176819613290822</v>
      </c>
      <c r="P51" s="561"/>
      <c r="Q51" s="367"/>
    </row>
    <row r="52" spans="2:17" ht="19.149999999999999" customHeight="1" x14ac:dyDescent="0.25">
      <c r="B52" s="391" t="s">
        <v>8</v>
      </c>
      <c r="C52" s="392" t="s">
        <v>219</v>
      </c>
      <c r="D52" s="540">
        <f t="shared" si="4"/>
        <v>0</v>
      </c>
      <c r="E52" s="392">
        <f>'TH theo DV'!H13</f>
        <v>0</v>
      </c>
      <c r="F52" s="392">
        <f>'TH theo DV'!R13</f>
        <v>0</v>
      </c>
      <c r="G52" s="392"/>
      <c r="H52" s="392"/>
      <c r="I52" s="531"/>
      <c r="J52" s="512">
        <v>0.8025987</v>
      </c>
      <c r="K52" s="393">
        <v>0.21275368000000003</v>
      </c>
      <c r="L52" s="393">
        <v>0.13423389999999999</v>
      </c>
      <c r="M52" s="393">
        <v>0.18085789999999999</v>
      </c>
      <c r="N52" s="393">
        <v>0.13275367999999999</v>
      </c>
      <c r="O52" s="393">
        <v>0.14199954000000001</v>
      </c>
      <c r="P52" s="562" t="s">
        <v>264</v>
      </c>
      <c r="Q52" s="367"/>
    </row>
    <row r="53" spans="2:17" ht="30" customHeight="1" x14ac:dyDescent="0.25">
      <c r="B53" s="391" t="s">
        <v>8</v>
      </c>
      <c r="C53" s="392" t="s">
        <v>221</v>
      </c>
      <c r="D53" s="540">
        <f t="shared" si="4"/>
        <v>0</v>
      </c>
      <c r="E53" s="392">
        <f>'TH theo DV'!H14</f>
        <v>0</v>
      </c>
      <c r="F53" s="392">
        <f>'TH theo DV'!R14</f>
        <v>0</v>
      </c>
      <c r="G53" s="392"/>
      <c r="H53" s="392"/>
      <c r="I53" s="531"/>
      <c r="J53" s="512">
        <v>0.51912825652465011</v>
      </c>
      <c r="K53" s="393">
        <v>0.17916343005965427</v>
      </c>
      <c r="L53" s="393">
        <v>0.13914100104375179</v>
      </c>
      <c r="M53" s="393">
        <v>0.12304046641151968</v>
      </c>
      <c r="N53" s="393">
        <v>4.801470287681614E-2</v>
      </c>
      <c r="O53" s="393">
        <v>2.976865613290822E-2</v>
      </c>
      <c r="P53" s="566" t="s">
        <v>265</v>
      </c>
      <c r="Q53" s="367"/>
    </row>
    <row r="54" spans="2:17" ht="31.15" customHeight="1" x14ac:dyDescent="0.25">
      <c r="B54" s="396">
        <v>3</v>
      </c>
      <c r="C54" s="368" t="s">
        <v>266</v>
      </c>
      <c r="D54" s="540">
        <f t="shared" si="4"/>
        <v>0</v>
      </c>
      <c r="E54" s="368">
        <f>'TH theo DV'!H15</f>
        <v>0</v>
      </c>
      <c r="F54" s="368">
        <f>'TH theo DV'!R15</f>
        <v>0</v>
      </c>
      <c r="G54" s="368"/>
      <c r="H54" s="368"/>
      <c r="I54" s="528"/>
      <c r="J54" s="511">
        <v>3.280188680712111</v>
      </c>
      <c r="K54" s="397">
        <v>0.58235224798560048</v>
      </c>
      <c r="L54" s="397">
        <v>1.1242816809456144</v>
      </c>
      <c r="M54" s="397">
        <v>0.9131186126863382</v>
      </c>
      <c r="N54" s="397">
        <v>0.3437019539510392</v>
      </c>
      <c r="O54" s="397">
        <v>0.31673418514351875</v>
      </c>
      <c r="P54" s="566" t="s">
        <v>267</v>
      </c>
      <c r="Q54" s="367"/>
    </row>
    <row r="55" spans="2:17" ht="18.600000000000001" customHeight="1" x14ac:dyDescent="0.25">
      <c r="B55" s="396">
        <v>4</v>
      </c>
      <c r="C55" s="368" t="s">
        <v>224</v>
      </c>
      <c r="D55" s="540">
        <f t="shared" si="4"/>
        <v>0</v>
      </c>
      <c r="E55" s="368">
        <f>'TH theo DV'!H28</f>
        <v>0</v>
      </c>
      <c r="F55" s="368">
        <f>'TH theo DV'!R28</f>
        <v>0</v>
      </c>
      <c r="G55" s="368"/>
      <c r="H55" s="368"/>
      <c r="I55" s="528"/>
      <c r="J55" s="511">
        <v>5.8375959999999996</v>
      </c>
      <c r="K55" s="397">
        <v>1.4075960000000001</v>
      </c>
      <c r="L55" s="397">
        <v>2.0249999999999999</v>
      </c>
      <c r="M55" s="397">
        <v>1.3</v>
      </c>
      <c r="N55" s="397">
        <v>0.71499999999999997</v>
      </c>
      <c r="O55" s="397">
        <v>0.39</v>
      </c>
      <c r="P55" s="566" t="s">
        <v>268</v>
      </c>
      <c r="Q55" s="367"/>
    </row>
    <row r="56" spans="2:17" ht="33.6" customHeight="1" x14ac:dyDescent="0.25">
      <c r="B56" s="389">
        <v>5</v>
      </c>
      <c r="C56" s="368" t="s">
        <v>226</v>
      </c>
      <c r="D56" s="540">
        <f t="shared" si="4"/>
        <v>0</v>
      </c>
      <c r="E56" s="368">
        <f>'TH theo DV'!H29</f>
        <v>0</v>
      </c>
      <c r="F56" s="368">
        <f>'TH theo DV'!R29</f>
        <v>0</v>
      </c>
      <c r="G56" s="368"/>
      <c r="H56" s="368"/>
      <c r="I56" s="528"/>
      <c r="J56" s="511">
        <v>2.5435183499999998</v>
      </c>
      <c r="K56" s="397">
        <v>1.1147687900000001</v>
      </c>
      <c r="L56" s="397">
        <v>0.35718738999999994</v>
      </c>
      <c r="M56" s="397">
        <v>0.35718738999999994</v>
      </c>
      <c r="N56" s="397">
        <v>0.35718738999999994</v>
      </c>
      <c r="O56" s="397">
        <v>0.35718738999999994</v>
      </c>
      <c r="P56" s="566" t="s">
        <v>269</v>
      </c>
      <c r="Q56" s="367"/>
    </row>
    <row r="57" spans="2:17" ht="24" customHeight="1" x14ac:dyDescent="0.25">
      <c r="B57" s="389">
        <v>6</v>
      </c>
      <c r="C57" s="368" t="s">
        <v>227</v>
      </c>
      <c r="D57" s="540">
        <f t="shared" si="4"/>
        <v>0</v>
      </c>
      <c r="E57" s="368">
        <f>'TH theo DV'!H27</f>
        <v>0</v>
      </c>
      <c r="F57" s="368">
        <f>'TH theo DV'!R27</f>
        <v>0</v>
      </c>
      <c r="G57" s="368"/>
      <c r="H57" s="368"/>
      <c r="I57" s="528"/>
      <c r="J57" s="511">
        <v>1.7279902659999995</v>
      </c>
      <c r="K57" s="397">
        <v>0.40655678599999984</v>
      </c>
      <c r="L57" s="397">
        <v>0.33035836999999996</v>
      </c>
      <c r="M57" s="397">
        <v>0.33035836999999996</v>
      </c>
      <c r="N57" s="397">
        <v>0.33035836999999996</v>
      </c>
      <c r="O57" s="397">
        <v>0.33035836999999996</v>
      </c>
      <c r="P57" s="566" t="s">
        <v>270</v>
      </c>
      <c r="Q57" s="367"/>
    </row>
    <row r="58" spans="2:17" x14ac:dyDescent="0.25">
      <c r="Q58" s="367"/>
    </row>
    <row r="59" spans="2:17" x14ac:dyDescent="0.25">
      <c r="B59" s="650" t="s">
        <v>271</v>
      </c>
      <c r="C59" s="650"/>
      <c r="D59" s="650"/>
      <c r="E59" s="650"/>
      <c r="F59" s="650"/>
      <c r="Q59" s="367"/>
    </row>
    <row r="60" spans="2:17" ht="15.6" customHeight="1" x14ac:dyDescent="0.25">
      <c r="B60" s="649" t="s">
        <v>48</v>
      </c>
      <c r="C60" s="624" t="s">
        <v>216</v>
      </c>
      <c r="D60" s="624" t="s">
        <v>41</v>
      </c>
      <c r="E60" s="624">
        <v>2027</v>
      </c>
      <c r="F60" s="624">
        <v>2028</v>
      </c>
      <c r="G60" s="624" t="s">
        <v>218</v>
      </c>
      <c r="H60" s="624"/>
      <c r="I60" s="502"/>
      <c r="J60" s="624" t="s">
        <v>217</v>
      </c>
      <c r="K60" s="624"/>
      <c r="L60" s="624"/>
      <c r="M60" s="624"/>
      <c r="N60" s="624"/>
      <c r="O60" s="624"/>
      <c r="P60" s="625" t="s">
        <v>218</v>
      </c>
      <c r="Q60" s="367"/>
    </row>
    <row r="61" spans="2:17" ht="15.75" x14ac:dyDescent="0.25">
      <c r="B61" s="649"/>
      <c r="C61" s="624"/>
      <c r="D61" s="624"/>
      <c r="E61" s="624"/>
      <c r="F61" s="624"/>
      <c r="G61" s="583">
        <v>2027</v>
      </c>
      <c r="H61" s="583">
        <v>2028</v>
      </c>
      <c r="I61" s="502"/>
      <c r="J61" s="503" t="s">
        <v>41</v>
      </c>
      <c r="K61" s="358">
        <v>2026</v>
      </c>
      <c r="L61" s="358">
        <v>2027</v>
      </c>
      <c r="M61" s="358">
        <v>2028</v>
      </c>
      <c r="N61" s="358">
        <v>2029</v>
      </c>
      <c r="O61" s="358">
        <v>2030</v>
      </c>
      <c r="P61" s="626"/>
      <c r="Q61" s="367"/>
    </row>
    <row r="62" spans="2:17" ht="15.75" x14ac:dyDescent="0.25">
      <c r="B62" s="501"/>
      <c r="C62" s="501" t="s">
        <v>41</v>
      </c>
      <c r="D62" s="540">
        <f t="shared" ref="D62:D70" si="5">SUM(E62:F62)</f>
        <v>0</v>
      </c>
      <c r="E62" s="540">
        <f t="shared" ref="E62" si="6">SUM(F62:G62)</f>
        <v>0</v>
      </c>
      <c r="F62" s="540">
        <f t="shared" ref="F62" si="7">SUM(G62:H62)</f>
        <v>0</v>
      </c>
      <c r="G62" s="540"/>
      <c r="H62" s="540"/>
      <c r="I62" s="532"/>
      <c r="J62" s="513">
        <v>13.205724</v>
      </c>
      <c r="K62" s="398">
        <v>3.9176030000000002</v>
      </c>
      <c r="L62" s="398">
        <v>3.6133709999999999</v>
      </c>
      <c r="M62" s="398">
        <v>2.1641330000000001</v>
      </c>
      <c r="N62" s="398">
        <v>1.8335649999999997</v>
      </c>
      <c r="O62" s="398">
        <v>1.677052</v>
      </c>
      <c r="P62" s="568"/>
      <c r="Q62" s="367"/>
    </row>
    <row r="63" spans="2:17" x14ac:dyDescent="0.25">
      <c r="B63" s="399">
        <v>1</v>
      </c>
      <c r="C63" s="400" t="s">
        <v>54</v>
      </c>
      <c r="D63" s="540">
        <f t="shared" si="5"/>
        <v>0</v>
      </c>
      <c r="E63" s="540">
        <f t="shared" ref="E63" si="8">SUM(F63:G63)</f>
        <v>0</v>
      </c>
      <c r="F63" s="540">
        <f t="shared" ref="F63" si="9">SUM(G63:H63)</f>
        <v>0</v>
      </c>
      <c r="G63" s="400"/>
      <c r="H63" s="400"/>
      <c r="I63" s="496"/>
      <c r="J63" s="514">
        <v>3.2775906650485771</v>
      </c>
      <c r="K63" s="402">
        <v>1.0104539000987092</v>
      </c>
      <c r="L63" s="402">
        <v>0.6106931434708015</v>
      </c>
      <c r="M63" s="402">
        <v>0.68074986250742586</v>
      </c>
      <c r="N63" s="402">
        <v>0.55388670276009777</v>
      </c>
      <c r="O63" s="402">
        <v>0.42180705621154235</v>
      </c>
      <c r="P63" s="570"/>
      <c r="Q63" s="367"/>
    </row>
    <row r="64" spans="2:17" ht="46.15" customHeight="1" x14ac:dyDescent="0.25">
      <c r="B64" s="391" t="s">
        <v>8</v>
      </c>
      <c r="C64" s="403" t="s">
        <v>272</v>
      </c>
      <c r="D64" s="540">
        <f t="shared" si="5"/>
        <v>0</v>
      </c>
      <c r="E64" s="392">
        <f>'TH theo DV'!I7</f>
        <v>0</v>
      </c>
      <c r="F64" s="392">
        <f>'TH theo DV'!S7</f>
        <v>0</v>
      </c>
      <c r="G64" s="403"/>
      <c r="H64" s="403"/>
      <c r="I64" s="533"/>
      <c r="J64" s="515">
        <v>1.2236339826704987</v>
      </c>
      <c r="K64" s="404">
        <v>0.30214270588235292</v>
      </c>
      <c r="L64" s="404">
        <v>0.4153059295154185</v>
      </c>
      <c r="M64" s="404">
        <v>0.36709922727272731</v>
      </c>
      <c r="N64" s="404">
        <v>7.3865866666666669E-2</v>
      </c>
      <c r="O64" s="404">
        <v>6.5220253333333339E-2</v>
      </c>
      <c r="P64" s="561" t="s">
        <v>273</v>
      </c>
      <c r="Q64" s="367"/>
    </row>
    <row r="65" spans="2:17" x14ac:dyDescent="0.25">
      <c r="B65" s="399">
        <v>2</v>
      </c>
      <c r="C65" s="400" t="s">
        <v>32</v>
      </c>
      <c r="D65" s="540">
        <f t="shared" si="5"/>
        <v>0</v>
      </c>
      <c r="E65" s="540">
        <f t="shared" ref="E65" si="10">SUM(F65:G65)</f>
        <v>0</v>
      </c>
      <c r="F65" s="540">
        <f t="shared" ref="F65" si="11">SUM(G65:H65)</f>
        <v>0</v>
      </c>
      <c r="G65" s="400"/>
      <c r="H65" s="400"/>
      <c r="I65" s="496"/>
      <c r="J65" s="514">
        <v>2.2201222632172573</v>
      </c>
      <c r="K65" s="402">
        <v>1.5784341653491021</v>
      </c>
      <c r="L65" s="402">
        <v>0.26647526195790056</v>
      </c>
      <c r="M65" s="402">
        <v>0.19843095591025497</v>
      </c>
      <c r="N65" s="402">
        <v>8.4418133333333326E-2</v>
      </c>
      <c r="O65" s="402">
        <v>9.2363746666666677E-2</v>
      </c>
      <c r="P65" s="561"/>
      <c r="Q65" s="367"/>
    </row>
    <row r="66" spans="2:17" ht="49.15" customHeight="1" x14ac:dyDescent="0.25">
      <c r="B66" s="391" t="s">
        <v>8</v>
      </c>
      <c r="C66" s="403" t="s">
        <v>276</v>
      </c>
      <c r="D66" s="540">
        <f t="shared" si="5"/>
        <v>0</v>
      </c>
      <c r="E66" s="392">
        <f>'TH theo DV'!I9</f>
        <v>0</v>
      </c>
      <c r="F66" s="392">
        <f>'TH theo DV'!S9</f>
        <v>0</v>
      </c>
      <c r="G66" s="403"/>
      <c r="H66" s="403"/>
      <c r="I66" s="533"/>
      <c r="J66" s="515">
        <v>0.42893901732950129</v>
      </c>
      <c r="K66" s="404">
        <v>2.8812294117647061E-2</v>
      </c>
      <c r="L66" s="404">
        <v>9.4578070484581486E-2</v>
      </c>
      <c r="M66" s="404">
        <v>0.12876677272727274</v>
      </c>
      <c r="N66" s="404">
        <v>8.4418133333333326E-2</v>
      </c>
      <c r="O66" s="404">
        <v>9.2363746666666677E-2</v>
      </c>
      <c r="P66" s="561" t="s">
        <v>277</v>
      </c>
      <c r="Q66" s="367"/>
    </row>
    <row r="67" spans="2:17" x14ac:dyDescent="0.25">
      <c r="B67" s="391" t="s">
        <v>8</v>
      </c>
      <c r="C67" s="403" t="s">
        <v>278</v>
      </c>
      <c r="D67" s="540">
        <f t="shared" si="5"/>
        <v>0</v>
      </c>
      <c r="E67" s="392">
        <f>'TH theo DV'!I14</f>
        <v>0</v>
      </c>
      <c r="F67" s="392">
        <f>'TH theo DV'!S14</f>
        <v>0</v>
      </c>
      <c r="G67" s="403"/>
      <c r="H67" s="403"/>
      <c r="I67" s="533"/>
      <c r="J67" s="515">
        <v>1.7911832458877566</v>
      </c>
      <c r="K67" s="404">
        <v>1.5496218712314551</v>
      </c>
      <c r="L67" s="404">
        <v>0.17189719147331908</v>
      </c>
      <c r="M67" s="404">
        <v>6.9664183182982231E-2</v>
      </c>
      <c r="N67" s="404">
        <v>0</v>
      </c>
      <c r="O67" s="404">
        <v>0</v>
      </c>
      <c r="P67" s="561" t="s">
        <v>279</v>
      </c>
      <c r="Q67" s="367"/>
    </row>
    <row r="68" spans="2:17" ht="63" customHeight="1" x14ac:dyDescent="0.25">
      <c r="B68" s="405">
        <v>3</v>
      </c>
      <c r="C68" s="406" t="s">
        <v>280</v>
      </c>
      <c r="D68" s="540">
        <f t="shared" si="5"/>
        <v>0</v>
      </c>
      <c r="E68" s="392">
        <f>'TH theo DV'!I15</f>
        <v>0</v>
      </c>
      <c r="F68" s="392">
        <f>'TH theo DV'!S15</f>
        <v>0</v>
      </c>
      <c r="G68" s="406"/>
      <c r="H68" s="406"/>
      <c r="I68" s="534"/>
      <c r="J68" s="514">
        <v>4.8369640717341653</v>
      </c>
      <c r="K68" s="407">
        <v>1.1560629345521887</v>
      </c>
      <c r="L68" s="407">
        <v>0.96283359457129813</v>
      </c>
      <c r="M68" s="407">
        <v>0.88028718158231911</v>
      </c>
      <c r="N68" s="407">
        <v>0.94334116390656864</v>
      </c>
      <c r="O68" s="407">
        <v>0.89443919712179099</v>
      </c>
      <c r="P68" s="561" t="s">
        <v>281</v>
      </c>
      <c r="Q68" s="367"/>
    </row>
    <row r="69" spans="2:17" ht="22.9" customHeight="1" x14ac:dyDescent="0.25">
      <c r="B69" s="405">
        <v>4</v>
      </c>
      <c r="C69" s="406" t="s">
        <v>160</v>
      </c>
      <c r="D69" s="540">
        <f t="shared" si="5"/>
        <v>0</v>
      </c>
      <c r="E69" s="392">
        <f>'TH theo DV'!I27</f>
        <v>0</v>
      </c>
      <c r="F69" s="392">
        <f>'TH theo DV'!S27</f>
        <v>0</v>
      </c>
      <c r="G69" s="406"/>
      <c r="H69" s="406"/>
      <c r="I69" s="534"/>
      <c r="J69" s="514">
        <v>1.3086470000000001</v>
      </c>
      <c r="K69" s="401">
        <v>0.172652</v>
      </c>
      <c r="L69" s="401">
        <v>0.21096899999999999</v>
      </c>
      <c r="M69" s="401">
        <v>0.404665</v>
      </c>
      <c r="N69" s="401">
        <v>0.251919</v>
      </c>
      <c r="O69" s="401">
        <v>0.26844200000000001</v>
      </c>
      <c r="P69" s="561" t="s">
        <v>282</v>
      </c>
      <c r="Q69" s="367"/>
    </row>
    <row r="70" spans="2:17" ht="45" customHeight="1" x14ac:dyDescent="0.25">
      <c r="B70" s="405">
        <v>5</v>
      </c>
      <c r="C70" s="408" t="s">
        <v>283</v>
      </c>
      <c r="D70" s="540">
        <f t="shared" si="5"/>
        <v>0</v>
      </c>
      <c r="E70" s="392">
        <f>'TH theo DV'!I21</f>
        <v>0</v>
      </c>
      <c r="F70" s="392">
        <f>'TH theo DV'!S21</f>
        <v>0</v>
      </c>
      <c r="G70" s="408"/>
      <c r="H70" s="408"/>
      <c r="I70" s="535"/>
      <c r="J70" s="514">
        <v>1.5624</v>
      </c>
      <c r="K70" s="409"/>
      <c r="L70" s="410">
        <v>1.5624</v>
      </c>
      <c r="M70" s="411"/>
      <c r="N70" s="411"/>
      <c r="O70" s="411"/>
      <c r="P70" s="561" t="s">
        <v>284</v>
      </c>
      <c r="Q70" s="367"/>
    </row>
    <row r="71" spans="2:17" x14ac:dyDescent="0.25">
      <c r="Q71" s="367"/>
    </row>
    <row r="72" spans="2:17" x14ac:dyDescent="0.25">
      <c r="B72" s="357" t="s">
        <v>285</v>
      </c>
      <c r="Q72" s="367"/>
    </row>
    <row r="73" spans="2:17" ht="15.6" customHeight="1" x14ac:dyDescent="0.25">
      <c r="B73" s="649" t="s">
        <v>48</v>
      </c>
      <c r="C73" s="624" t="s">
        <v>216</v>
      </c>
      <c r="D73" s="624" t="s">
        <v>41</v>
      </c>
      <c r="E73" s="624">
        <v>2027</v>
      </c>
      <c r="F73" s="624">
        <v>2028</v>
      </c>
      <c r="G73" s="624" t="s">
        <v>218</v>
      </c>
      <c r="H73" s="624"/>
      <c r="I73" s="502"/>
      <c r="J73" s="624" t="s">
        <v>217</v>
      </c>
      <c r="K73" s="624"/>
      <c r="L73" s="624"/>
      <c r="M73" s="624"/>
      <c r="N73" s="624"/>
      <c r="O73" s="624"/>
      <c r="P73" s="632" t="s">
        <v>218</v>
      </c>
      <c r="Q73" s="367"/>
    </row>
    <row r="74" spans="2:17" ht="15.75" x14ac:dyDescent="0.25">
      <c r="B74" s="649"/>
      <c r="C74" s="624"/>
      <c r="D74" s="624"/>
      <c r="E74" s="624"/>
      <c r="F74" s="624"/>
      <c r="G74" s="583">
        <v>2027</v>
      </c>
      <c r="H74" s="583">
        <v>2028</v>
      </c>
      <c r="I74" s="502"/>
      <c r="J74" s="516" t="s">
        <v>41</v>
      </c>
      <c r="K74" s="412">
        <v>2026</v>
      </c>
      <c r="L74" s="412">
        <v>2027</v>
      </c>
      <c r="M74" s="412">
        <v>2028</v>
      </c>
      <c r="N74" s="412">
        <v>2029</v>
      </c>
      <c r="O74" s="412">
        <v>2030</v>
      </c>
      <c r="P74" s="632"/>
      <c r="Q74" s="367"/>
    </row>
    <row r="75" spans="2:17" ht="15.75" x14ac:dyDescent="0.25">
      <c r="B75" s="501"/>
      <c r="C75" s="501" t="s">
        <v>41</v>
      </c>
      <c r="D75" s="540">
        <f t="shared" ref="D75:D78" si="12">SUM(E75:F75)</f>
        <v>0</v>
      </c>
      <c r="E75" s="540"/>
      <c r="F75" s="540"/>
      <c r="G75" s="540"/>
      <c r="H75" s="540"/>
      <c r="I75" s="497"/>
      <c r="J75" s="504">
        <v>13.398576470588235</v>
      </c>
      <c r="K75" s="359">
        <v>7.0185764705882354</v>
      </c>
      <c r="L75" s="359">
        <v>3.2192156862745103</v>
      </c>
      <c r="M75" s="359">
        <v>1.6882352941176473</v>
      </c>
      <c r="N75" s="359">
        <v>0.70000000000000018</v>
      </c>
      <c r="O75" s="359">
        <v>0.77254901960784306</v>
      </c>
      <c r="P75" s="568"/>
      <c r="Q75" s="367"/>
    </row>
    <row r="76" spans="2:17" x14ac:dyDescent="0.25">
      <c r="B76" s="413">
        <v>1</v>
      </c>
      <c r="C76" s="414" t="s">
        <v>283</v>
      </c>
      <c r="D76" s="540">
        <f t="shared" si="12"/>
        <v>0</v>
      </c>
      <c r="E76" s="414">
        <f>'TH theo DV'!J21</f>
        <v>0</v>
      </c>
      <c r="F76" s="414">
        <f>'TH theo DV'!T21</f>
        <v>0</v>
      </c>
      <c r="G76" s="414"/>
      <c r="H76" s="414"/>
      <c r="I76" s="536"/>
      <c r="J76" s="517">
        <v>11.964376470588237</v>
      </c>
      <c r="K76" s="415">
        <v>6.6843764705882354</v>
      </c>
      <c r="L76" s="415">
        <v>2.91921568627451</v>
      </c>
      <c r="M76" s="415">
        <v>1.3882352941176472</v>
      </c>
      <c r="N76" s="416">
        <v>0.40000000000000008</v>
      </c>
      <c r="O76" s="416">
        <v>0.5725490196078431</v>
      </c>
      <c r="P76" s="561" t="s">
        <v>286</v>
      </c>
      <c r="Q76" s="367"/>
    </row>
    <row r="77" spans="2:17" ht="30" x14ac:dyDescent="0.25">
      <c r="B77" s="417">
        <v>2</v>
      </c>
      <c r="C77" s="414" t="s">
        <v>287</v>
      </c>
      <c r="D77" s="540">
        <f t="shared" si="12"/>
        <v>0</v>
      </c>
      <c r="E77" s="414">
        <f>'TH theo DV'!J28</f>
        <v>0</v>
      </c>
      <c r="F77" s="414">
        <f>'TH theo DV'!T28</f>
        <v>0</v>
      </c>
      <c r="G77" s="414"/>
      <c r="H77" s="414"/>
      <c r="I77" s="536"/>
      <c r="J77" s="517">
        <v>0.30000000000000004</v>
      </c>
      <c r="K77" s="415">
        <v>0</v>
      </c>
      <c r="L77" s="415">
        <v>0.1</v>
      </c>
      <c r="M77" s="415">
        <v>0.1</v>
      </c>
      <c r="N77" s="416">
        <v>0.1</v>
      </c>
      <c r="O77" s="415">
        <v>0</v>
      </c>
      <c r="P77" s="561" t="s">
        <v>288</v>
      </c>
      <c r="Q77" s="367"/>
    </row>
    <row r="78" spans="2:17" x14ac:dyDescent="0.25">
      <c r="B78" s="413">
        <v>3</v>
      </c>
      <c r="C78" s="414" t="s">
        <v>233</v>
      </c>
      <c r="D78" s="540">
        <f t="shared" si="12"/>
        <v>0</v>
      </c>
      <c r="E78" s="414">
        <f>'TH theo DV'!J29</f>
        <v>0</v>
      </c>
      <c r="F78" s="414">
        <f>'TH theo DV'!T29</f>
        <v>0</v>
      </c>
      <c r="G78" s="414"/>
      <c r="H78" s="414"/>
      <c r="I78" s="536"/>
      <c r="J78" s="517">
        <v>1.1341999999999999</v>
      </c>
      <c r="K78" s="418">
        <v>0.3342</v>
      </c>
      <c r="L78" s="418">
        <v>0.2</v>
      </c>
      <c r="M78" s="418">
        <v>0.2</v>
      </c>
      <c r="N78" s="418">
        <v>0.2</v>
      </c>
      <c r="O78" s="418">
        <v>0.2</v>
      </c>
      <c r="P78" s="561" t="s">
        <v>289</v>
      </c>
      <c r="Q78" s="367"/>
    </row>
    <row r="79" spans="2:17" x14ac:dyDescent="0.25">
      <c r="Q79" s="367"/>
    </row>
    <row r="80" spans="2:17" x14ac:dyDescent="0.25">
      <c r="B80" s="628" t="s">
        <v>290</v>
      </c>
      <c r="C80" s="628"/>
      <c r="Q80" s="367"/>
    </row>
    <row r="81" spans="2:17" ht="15.6" customHeight="1" x14ac:dyDescent="0.25">
      <c r="B81" s="649" t="s">
        <v>48</v>
      </c>
      <c r="C81" s="624" t="s">
        <v>216</v>
      </c>
      <c r="D81" s="624" t="s">
        <v>41</v>
      </c>
      <c r="E81" s="624">
        <v>2027</v>
      </c>
      <c r="F81" s="624">
        <v>2028</v>
      </c>
      <c r="G81" s="624" t="s">
        <v>218</v>
      </c>
      <c r="H81" s="624"/>
      <c r="I81" s="502"/>
      <c r="J81" s="624" t="s">
        <v>217</v>
      </c>
      <c r="K81" s="624"/>
      <c r="L81" s="624"/>
      <c r="M81" s="624"/>
      <c r="N81" s="624"/>
      <c r="O81" s="624"/>
      <c r="P81" s="632" t="s">
        <v>218</v>
      </c>
      <c r="Q81" s="367"/>
    </row>
    <row r="82" spans="2:17" ht="15.75" x14ac:dyDescent="0.25">
      <c r="B82" s="649"/>
      <c r="C82" s="624"/>
      <c r="D82" s="624"/>
      <c r="E82" s="624"/>
      <c r="F82" s="624"/>
      <c r="G82" s="583">
        <v>2027</v>
      </c>
      <c r="H82" s="583">
        <v>2028</v>
      </c>
      <c r="I82" s="502"/>
      <c r="J82" s="516" t="s">
        <v>41</v>
      </c>
      <c r="K82" s="412">
        <v>2026</v>
      </c>
      <c r="L82" s="412">
        <v>2027</v>
      </c>
      <c r="M82" s="412">
        <v>2028</v>
      </c>
      <c r="N82" s="412">
        <v>2029</v>
      </c>
      <c r="O82" s="412">
        <v>2030</v>
      </c>
      <c r="P82" s="632"/>
      <c r="Q82" s="367"/>
    </row>
    <row r="83" spans="2:17" ht="15.75" x14ac:dyDescent="0.25">
      <c r="B83" s="501"/>
      <c r="C83" s="501" t="s">
        <v>41</v>
      </c>
      <c r="D83" s="540">
        <f t="shared" ref="D83:D91" si="13">SUM(E83:F83)</f>
        <v>0</v>
      </c>
      <c r="E83" s="540">
        <f>SUBTOTAL(9,E84:E91)</f>
        <v>0</v>
      </c>
      <c r="F83" s="540">
        <f>SUBTOTAL(9,F84:F91)</f>
        <v>0</v>
      </c>
      <c r="G83" s="540"/>
      <c r="H83" s="540"/>
      <c r="I83" s="497"/>
      <c r="J83" s="504">
        <v>10.653957000000002</v>
      </c>
      <c r="K83" s="359">
        <v>2.5895570000000001</v>
      </c>
      <c r="L83" s="359">
        <v>2.2687779999999997</v>
      </c>
      <c r="M83" s="359">
        <v>2.1056170000000001</v>
      </c>
      <c r="N83" s="359">
        <v>1.859979</v>
      </c>
      <c r="O83" s="359">
        <v>1.8300259999999999</v>
      </c>
      <c r="P83" s="568"/>
      <c r="Q83" s="367"/>
    </row>
    <row r="84" spans="2:17" x14ac:dyDescent="0.25">
      <c r="B84" s="399">
        <v>1</v>
      </c>
      <c r="C84" s="400" t="s">
        <v>54</v>
      </c>
      <c r="D84" s="540">
        <f t="shared" si="13"/>
        <v>0</v>
      </c>
      <c r="E84" s="400">
        <f>E85</f>
        <v>0</v>
      </c>
      <c r="F84" s="400">
        <f>F85</f>
        <v>0</v>
      </c>
      <c r="G84" s="400"/>
      <c r="H84" s="400"/>
      <c r="I84" s="496"/>
      <c r="J84" s="517">
        <v>0.80431999999999992</v>
      </c>
      <c r="K84" s="419">
        <v>0.22907</v>
      </c>
      <c r="L84" s="419">
        <v>0.27179999999999999</v>
      </c>
      <c r="M84" s="419">
        <v>0.17044000000000001</v>
      </c>
      <c r="N84" s="419">
        <v>9.0509999999999993E-2</v>
      </c>
      <c r="O84" s="419">
        <v>4.2500000000000003E-2</v>
      </c>
      <c r="P84" s="571"/>
      <c r="Q84" s="367"/>
    </row>
    <row r="85" spans="2:17" ht="72.599999999999994" customHeight="1" x14ac:dyDescent="0.25">
      <c r="B85" s="391" t="s">
        <v>8</v>
      </c>
      <c r="C85" s="403" t="s">
        <v>272</v>
      </c>
      <c r="D85" s="540">
        <f t="shared" si="13"/>
        <v>0</v>
      </c>
      <c r="E85" s="403">
        <f>'TH theo DV'!J7</f>
        <v>0</v>
      </c>
      <c r="F85" s="403">
        <f>'TH theo DV'!T7</f>
        <v>0</v>
      </c>
      <c r="G85" s="403"/>
      <c r="H85" s="403"/>
      <c r="I85" s="533"/>
      <c r="J85" s="518">
        <v>0.80431999999999992</v>
      </c>
      <c r="K85" s="421">
        <v>0.22907</v>
      </c>
      <c r="L85" s="421">
        <v>0.27179999999999999</v>
      </c>
      <c r="M85" s="421">
        <v>0.17044000000000001</v>
      </c>
      <c r="N85" s="421">
        <v>9.0509999999999993E-2</v>
      </c>
      <c r="O85" s="422">
        <v>4.2500000000000003E-2</v>
      </c>
      <c r="P85" s="561" t="s">
        <v>291</v>
      </c>
      <c r="Q85" s="367"/>
    </row>
    <row r="86" spans="2:17" x14ac:dyDescent="0.25">
      <c r="B86" s="399">
        <v>2</v>
      </c>
      <c r="C86" s="400" t="s">
        <v>32</v>
      </c>
      <c r="D86" s="540">
        <f t="shared" si="13"/>
        <v>0</v>
      </c>
      <c r="E86" s="400">
        <f>SUBTOTAL(9,E87:E88)</f>
        <v>0</v>
      </c>
      <c r="F86" s="400">
        <f>SUBTOTAL(9,F87:F88)</f>
        <v>0</v>
      </c>
      <c r="G86" s="400"/>
      <c r="H86" s="400"/>
      <c r="I86" s="496"/>
      <c r="J86" s="519">
        <v>2.5358719999999999</v>
      </c>
      <c r="K86" s="419">
        <v>0.70642900000000008</v>
      </c>
      <c r="L86" s="419">
        <v>0.58228599999999997</v>
      </c>
      <c r="M86" s="419">
        <v>0.52587200000000001</v>
      </c>
      <c r="N86" s="419">
        <v>0.354464</v>
      </c>
      <c r="O86" s="419">
        <v>0.36682100000000001</v>
      </c>
      <c r="P86" s="572"/>
      <c r="Q86" s="367"/>
    </row>
    <row r="87" spans="2:17" ht="61.9" customHeight="1" x14ac:dyDescent="0.25">
      <c r="B87" s="391" t="s">
        <v>8</v>
      </c>
      <c r="C87" s="403" t="s">
        <v>276</v>
      </c>
      <c r="D87" s="540">
        <f t="shared" si="13"/>
        <v>0</v>
      </c>
      <c r="E87" s="403">
        <f>'TH theo DV'!J13</f>
        <v>0</v>
      </c>
      <c r="F87" s="403">
        <f>'TH theo DV'!T13</f>
        <v>0</v>
      </c>
      <c r="G87" s="403"/>
      <c r="H87" s="403"/>
      <c r="I87" s="533"/>
      <c r="J87" s="518">
        <v>1.95912</v>
      </c>
      <c r="K87" s="423">
        <v>0.54123200000000005</v>
      </c>
      <c r="L87" s="423">
        <v>0.32057999999999998</v>
      </c>
      <c r="M87" s="423">
        <v>0.44297199999999998</v>
      </c>
      <c r="N87" s="423">
        <v>0.30520000000000003</v>
      </c>
      <c r="O87" s="424">
        <v>0.349136</v>
      </c>
      <c r="P87" s="561" t="s">
        <v>292</v>
      </c>
      <c r="Q87" s="367"/>
    </row>
    <row r="88" spans="2:17" ht="33.6" customHeight="1" x14ac:dyDescent="0.25">
      <c r="B88" s="391" t="s">
        <v>8</v>
      </c>
      <c r="C88" s="403" t="s">
        <v>278</v>
      </c>
      <c r="D88" s="540">
        <f t="shared" si="13"/>
        <v>0</v>
      </c>
      <c r="E88" s="403">
        <f>'TH theo DV'!J14</f>
        <v>0</v>
      </c>
      <c r="F88" s="403">
        <f>'TH theo DV'!T14</f>
        <v>0</v>
      </c>
      <c r="G88" s="403"/>
      <c r="H88" s="403"/>
      <c r="I88" s="533"/>
      <c r="J88" s="518">
        <v>0.57675199999999993</v>
      </c>
      <c r="K88" s="423">
        <v>0.16519700000000001</v>
      </c>
      <c r="L88" s="423">
        <v>0.26170599999999999</v>
      </c>
      <c r="M88" s="423">
        <v>8.2900000000000001E-2</v>
      </c>
      <c r="N88" s="423">
        <v>4.9264000000000002E-2</v>
      </c>
      <c r="O88" s="424">
        <v>1.7684999999999999E-2</v>
      </c>
      <c r="P88" s="561" t="s">
        <v>293</v>
      </c>
      <c r="Q88" s="367"/>
    </row>
    <row r="89" spans="2:17" ht="19.149999999999999" customHeight="1" x14ac:dyDescent="0.25">
      <c r="B89" s="405">
        <v>3</v>
      </c>
      <c r="C89" s="406" t="s">
        <v>280</v>
      </c>
      <c r="D89" s="540">
        <f t="shared" si="13"/>
        <v>0</v>
      </c>
      <c r="E89" s="406">
        <f>'TH theo DV'!J15</f>
        <v>0</v>
      </c>
      <c r="F89" s="406">
        <f>'TH theo DV'!T15</f>
        <v>0</v>
      </c>
      <c r="G89" s="406"/>
      <c r="H89" s="406"/>
      <c r="I89" s="534"/>
      <c r="J89" s="519">
        <v>0.124615</v>
      </c>
      <c r="K89" s="425">
        <v>2.7467999999999999E-2</v>
      </c>
      <c r="L89" s="425">
        <v>2.4052E-2</v>
      </c>
      <c r="M89" s="425">
        <v>1.8665000000000001E-2</v>
      </c>
      <c r="N89" s="425">
        <v>2.4365000000000001E-2</v>
      </c>
      <c r="O89" s="426">
        <v>3.0065000000000001E-2</v>
      </c>
      <c r="P89" s="561" t="s">
        <v>294</v>
      </c>
      <c r="Q89" s="367"/>
    </row>
    <row r="90" spans="2:17" ht="33" customHeight="1" x14ac:dyDescent="0.25">
      <c r="B90" s="405">
        <v>4</v>
      </c>
      <c r="C90" s="406" t="s">
        <v>287</v>
      </c>
      <c r="D90" s="540">
        <f t="shared" si="13"/>
        <v>0</v>
      </c>
      <c r="E90" s="406">
        <f>'TH theo DV'!J28</f>
        <v>0</v>
      </c>
      <c r="F90" s="406">
        <f>'TH theo DV'!T28</f>
        <v>0</v>
      </c>
      <c r="G90" s="406"/>
      <c r="H90" s="406"/>
      <c r="I90" s="534"/>
      <c r="J90" s="519">
        <v>0.68759999999999999</v>
      </c>
      <c r="K90" s="425">
        <v>0.20760000000000001</v>
      </c>
      <c r="L90" s="425">
        <v>0.12</v>
      </c>
      <c r="M90" s="425">
        <v>0.12</v>
      </c>
      <c r="N90" s="425">
        <v>0.12</v>
      </c>
      <c r="O90" s="426">
        <v>0.12</v>
      </c>
      <c r="P90" s="561" t="s">
        <v>295</v>
      </c>
      <c r="Q90" s="367"/>
    </row>
    <row r="91" spans="2:17" ht="58.9" customHeight="1" x14ac:dyDescent="0.25">
      <c r="B91" s="405">
        <v>5</v>
      </c>
      <c r="C91" s="406" t="s">
        <v>233</v>
      </c>
      <c r="D91" s="540">
        <f t="shared" si="13"/>
        <v>0</v>
      </c>
      <c r="E91" s="406">
        <f>'TH theo DV'!J29</f>
        <v>0</v>
      </c>
      <c r="F91" s="406">
        <f>'TH theo DV'!T29</f>
        <v>0</v>
      </c>
      <c r="G91" s="406"/>
      <c r="H91" s="406"/>
      <c r="I91" s="534"/>
      <c r="J91" s="519">
        <v>6.5015500000000008</v>
      </c>
      <c r="K91" s="425">
        <v>1.41899</v>
      </c>
      <c r="L91" s="425">
        <v>1.27064</v>
      </c>
      <c r="M91" s="425">
        <v>1.27064</v>
      </c>
      <c r="N91" s="425">
        <v>1.27064</v>
      </c>
      <c r="O91" s="426">
        <v>1.27064</v>
      </c>
      <c r="P91" s="561" t="s">
        <v>296</v>
      </c>
      <c r="Q91" s="367"/>
    </row>
    <row r="92" spans="2:17" x14ac:dyDescent="0.25">
      <c r="B92" s="427"/>
      <c r="C92" s="428"/>
      <c r="D92" s="428"/>
      <c r="E92" s="428"/>
      <c r="F92" s="428"/>
      <c r="G92" s="428"/>
      <c r="H92" s="428"/>
      <c r="I92" s="533"/>
      <c r="J92" s="429"/>
      <c r="K92" s="430"/>
      <c r="L92" s="430"/>
      <c r="M92" s="430"/>
      <c r="N92" s="430"/>
      <c r="O92" s="430"/>
      <c r="P92" s="573"/>
      <c r="Q92" s="367"/>
    </row>
    <row r="93" spans="2:17" x14ac:dyDescent="0.25">
      <c r="B93" s="357" t="s">
        <v>297</v>
      </c>
      <c r="Q93" s="367"/>
    </row>
    <row r="94" spans="2:17" ht="15.6" customHeight="1" x14ac:dyDescent="0.25">
      <c r="B94" s="649" t="s">
        <v>48</v>
      </c>
      <c r="C94" s="624" t="s">
        <v>216</v>
      </c>
      <c r="D94" s="624" t="s">
        <v>41</v>
      </c>
      <c r="E94" s="624">
        <v>2027</v>
      </c>
      <c r="F94" s="624">
        <v>2028</v>
      </c>
      <c r="G94" s="624" t="s">
        <v>218</v>
      </c>
      <c r="H94" s="624"/>
      <c r="I94" s="502"/>
      <c r="J94" s="624" t="s">
        <v>217</v>
      </c>
      <c r="K94" s="624"/>
      <c r="L94" s="624"/>
      <c r="M94" s="624"/>
      <c r="N94" s="624"/>
      <c r="O94" s="624"/>
      <c r="P94" s="629" t="s">
        <v>218</v>
      </c>
      <c r="Q94" s="367"/>
    </row>
    <row r="95" spans="2:17" ht="15.75" x14ac:dyDescent="0.25">
      <c r="B95" s="649"/>
      <c r="C95" s="624"/>
      <c r="D95" s="624"/>
      <c r="E95" s="624"/>
      <c r="F95" s="624"/>
      <c r="G95" s="583">
        <v>2027</v>
      </c>
      <c r="H95" s="583">
        <v>2028</v>
      </c>
      <c r="I95" s="502"/>
      <c r="J95" s="520" t="s">
        <v>41</v>
      </c>
      <c r="K95" s="431">
        <v>2026</v>
      </c>
      <c r="L95" s="431">
        <v>2027</v>
      </c>
      <c r="M95" s="431">
        <v>2028</v>
      </c>
      <c r="N95" s="431">
        <v>2029</v>
      </c>
      <c r="O95" s="431">
        <v>2030</v>
      </c>
      <c r="P95" s="631"/>
      <c r="Q95" s="367"/>
    </row>
    <row r="96" spans="2:17" ht="15.75" x14ac:dyDescent="0.25">
      <c r="B96" s="501"/>
      <c r="C96" s="501" t="s">
        <v>41</v>
      </c>
      <c r="D96" s="540">
        <f t="shared" ref="D96:D104" si="14">SUM(E96:F96)</f>
        <v>0</v>
      </c>
      <c r="E96" s="540">
        <f>SUBTOTAL(9,E97:E104)</f>
        <v>0</v>
      </c>
      <c r="F96" s="540">
        <f>SUBTOTAL(9,F97:F104)</f>
        <v>0</v>
      </c>
      <c r="G96" s="540"/>
      <c r="H96" s="540"/>
      <c r="I96" s="497"/>
      <c r="J96" s="521">
        <v>11.99551224311668</v>
      </c>
      <c r="K96" s="432">
        <v>1.803065328478477</v>
      </c>
      <c r="L96" s="432">
        <v>2.6376268299707331</v>
      </c>
      <c r="M96" s="432">
        <v>2.56156146589012</v>
      </c>
      <c r="N96" s="432">
        <v>2.5018883719725364</v>
      </c>
      <c r="O96" s="432">
        <v>2.4913702468048151</v>
      </c>
      <c r="P96" s="574"/>
      <c r="Q96" s="367"/>
    </row>
    <row r="97" spans="2:17" x14ac:dyDescent="0.25">
      <c r="B97" s="360">
        <v>1</v>
      </c>
      <c r="C97" s="433" t="s">
        <v>54</v>
      </c>
      <c r="D97" s="540">
        <f t="shared" si="14"/>
        <v>0</v>
      </c>
      <c r="E97" s="433">
        <f>E98</f>
        <v>0</v>
      </c>
      <c r="F97" s="433">
        <f>F98</f>
        <v>0</v>
      </c>
      <c r="G97" s="433"/>
      <c r="H97" s="433"/>
      <c r="I97" s="537"/>
      <c r="J97" s="522">
        <v>0.359296</v>
      </c>
      <c r="K97" s="434">
        <v>8.3006999999999997E-2</v>
      </c>
      <c r="L97" s="434">
        <v>0.12350800000000001</v>
      </c>
      <c r="M97" s="434">
        <v>0.108671</v>
      </c>
      <c r="N97" s="434">
        <v>2.3658999999999999E-2</v>
      </c>
      <c r="O97" s="434">
        <v>2.0451E-2</v>
      </c>
      <c r="P97" s="561"/>
      <c r="Q97" s="367"/>
    </row>
    <row r="98" spans="2:17" ht="21" customHeight="1" x14ac:dyDescent="0.25">
      <c r="B98" s="435" t="s">
        <v>8</v>
      </c>
      <c r="C98" s="436" t="s">
        <v>272</v>
      </c>
      <c r="D98" s="540">
        <f t="shared" si="14"/>
        <v>0</v>
      </c>
      <c r="E98" s="436">
        <f>'TH theo DV'!K7</f>
        <v>0</v>
      </c>
      <c r="F98" s="436">
        <f>'TH theo DV'!U7</f>
        <v>0</v>
      </c>
      <c r="G98" s="436"/>
      <c r="H98" s="436"/>
      <c r="I98" s="538"/>
      <c r="J98" s="523">
        <v>0.359296</v>
      </c>
      <c r="K98" s="437">
        <v>8.3006999999999997E-2</v>
      </c>
      <c r="L98" s="437">
        <v>0.12350800000000001</v>
      </c>
      <c r="M98" s="437">
        <v>0.108671</v>
      </c>
      <c r="N98" s="437">
        <v>2.3658999999999999E-2</v>
      </c>
      <c r="O98" s="437">
        <v>2.0451E-2</v>
      </c>
      <c r="P98" s="561" t="s">
        <v>298</v>
      </c>
      <c r="Q98" s="367"/>
    </row>
    <row r="99" spans="2:17" x14ac:dyDescent="0.25">
      <c r="B99" s="360">
        <v>2</v>
      </c>
      <c r="C99" s="433" t="s">
        <v>32</v>
      </c>
      <c r="D99" s="540">
        <f t="shared" si="14"/>
        <v>0</v>
      </c>
      <c r="E99" s="433">
        <f>SUBTOTAL(9,E100:E101)</f>
        <v>0</v>
      </c>
      <c r="F99" s="433">
        <f>SUBTOTAL(9,F100:F101)</f>
        <v>0</v>
      </c>
      <c r="G99" s="433"/>
      <c r="H99" s="433"/>
      <c r="I99" s="537"/>
      <c r="J99" s="522">
        <v>3.743357697662137</v>
      </c>
      <c r="K99" s="434">
        <v>1.5436983284784769</v>
      </c>
      <c r="L99" s="434">
        <v>0.58499419360709681</v>
      </c>
      <c r="M99" s="434">
        <v>0.52376582952648376</v>
      </c>
      <c r="N99" s="434">
        <v>0.54910473560890027</v>
      </c>
      <c r="O99" s="434">
        <v>0.54179461044117894</v>
      </c>
      <c r="P99" s="561"/>
      <c r="Q99" s="367"/>
    </row>
    <row r="100" spans="2:17" ht="21" customHeight="1" x14ac:dyDescent="0.25">
      <c r="B100" s="435" t="s">
        <v>8</v>
      </c>
      <c r="C100" s="436" t="s">
        <v>276</v>
      </c>
      <c r="D100" s="540">
        <f t="shared" si="14"/>
        <v>0</v>
      </c>
      <c r="E100" s="436">
        <f>'TH theo DV'!K13</f>
        <v>0</v>
      </c>
      <c r="F100" s="436">
        <f>'TH theo DV'!U13</f>
        <v>0</v>
      </c>
      <c r="G100" s="436"/>
      <c r="H100" s="436"/>
      <c r="I100" s="538"/>
      <c r="J100" s="523">
        <v>2.9887737110264516</v>
      </c>
      <c r="K100" s="437">
        <v>1.2923745521763452</v>
      </c>
      <c r="L100" s="437">
        <v>0.36317311207878045</v>
      </c>
      <c r="M100" s="437">
        <v>0.47943501366402536</v>
      </c>
      <c r="N100" s="437">
        <v>0.39243043487047646</v>
      </c>
      <c r="O100" s="437">
        <v>0.46136059823682396</v>
      </c>
      <c r="P100" s="561" t="s">
        <v>299</v>
      </c>
      <c r="Q100" s="367"/>
    </row>
    <row r="101" spans="2:17" ht="21" customHeight="1" x14ac:dyDescent="0.25">
      <c r="B101" s="435" t="s">
        <v>8</v>
      </c>
      <c r="C101" s="436" t="s">
        <v>278</v>
      </c>
      <c r="D101" s="540">
        <f t="shared" si="14"/>
        <v>0</v>
      </c>
      <c r="E101" s="436">
        <f>'TH theo DV'!K14</f>
        <v>0</v>
      </c>
      <c r="F101" s="436">
        <f>'TH theo DV'!U14</f>
        <v>0</v>
      </c>
      <c r="G101" s="436"/>
      <c r="H101" s="436"/>
      <c r="I101" s="538"/>
      <c r="J101" s="523">
        <v>0.75458398663568504</v>
      </c>
      <c r="K101" s="437">
        <v>0.2513237763021316</v>
      </c>
      <c r="L101" s="437">
        <v>0.22182108152831631</v>
      </c>
      <c r="M101" s="437">
        <v>4.4330815862458371E-2</v>
      </c>
      <c r="N101" s="437">
        <v>0.15667430073842384</v>
      </c>
      <c r="O101" s="437">
        <v>8.0434012204354977E-2</v>
      </c>
      <c r="P101" s="561" t="s">
        <v>300</v>
      </c>
      <c r="Q101" s="367"/>
    </row>
    <row r="102" spans="2:17" ht="28.5" x14ac:dyDescent="0.25">
      <c r="B102" s="360">
        <v>4</v>
      </c>
      <c r="C102" s="433" t="s">
        <v>287</v>
      </c>
      <c r="D102" s="540">
        <f t="shared" si="14"/>
        <v>0</v>
      </c>
      <c r="E102" s="576">
        <f>'TH theo DV'!K28</f>
        <v>0</v>
      </c>
      <c r="F102" s="576">
        <f>'TH theo DV'!U28</f>
        <v>0</v>
      </c>
      <c r="G102" s="576"/>
      <c r="H102" s="433"/>
      <c r="I102" s="537"/>
      <c r="J102" s="522">
        <v>0</v>
      </c>
      <c r="K102" s="434">
        <v>0</v>
      </c>
      <c r="L102" s="434">
        <v>0</v>
      </c>
      <c r="M102" s="434">
        <v>0</v>
      </c>
      <c r="N102" s="434">
        <v>0</v>
      </c>
      <c r="O102" s="434">
        <v>0</v>
      </c>
      <c r="P102" s="561"/>
      <c r="Q102" s="367"/>
    </row>
    <row r="103" spans="2:17" ht="32.450000000000003" customHeight="1" x14ac:dyDescent="0.25">
      <c r="B103" s="360">
        <v>5</v>
      </c>
      <c r="C103" s="433" t="s">
        <v>233</v>
      </c>
      <c r="D103" s="540">
        <f t="shared" si="14"/>
        <v>0</v>
      </c>
      <c r="E103" s="576">
        <f>'TH theo DV'!K29</f>
        <v>0</v>
      </c>
      <c r="F103" s="576">
        <f>'TH theo DV'!U29</f>
        <v>0</v>
      </c>
      <c r="G103" s="576"/>
      <c r="H103" s="433"/>
      <c r="I103" s="537"/>
      <c r="J103" s="522">
        <v>7.892858545454545</v>
      </c>
      <c r="K103" s="434">
        <v>0.17635999999999999</v>
      </c>
      <c r="L103" s="434">
        <v>1.9291246363636363</v>
      </c>
      <c r="M103" s="434">
        <v>1.9291246363636363</v>
      </c>
      <c r="N103" s="434">
        <v>1.9291246363636363</v>
      </c>
      <c r="O103" s="434">
        <v>1.9291246363636363</v>
      </c>
      <c r="P103" s="561" t="s">
        <v>301</v>
      </c>
      <c r="Q103" s="367"/>
    </row>
    <row r="104" spans="2:17" x14ac:dyDescent="0.25">
      <c r="B104" s="360">
        <v>6</v>
      </c>
      <c r="C104" s="433" t="s">
        <v>227</v>
      </c>
      <c r="D104" s="540">
        <f t="shared" si="14"/>
        <v>0</v>
      </c>
      <c r="E104" s="576">
        <f>'TH theo DV'!K27</f>
        <v>0</v>
      </c>
      <c r="F104" s="576">
        <f>'TH theo DV'!U27</f>
        <v>0</v>
      </c>
      <c r="G104" s="576"/>
      <c r="H104" s="433"/>
      <c r="I104" s="537"/>
      <c r="J104" s="522">
        <v>0</v>
      </c>
      <c r="K104" s="434">
        <v>0</v>
      </c>
      <c r="L104" s="434">
        <v>0</v>
      </c>
      <c r="M104" s="434">
        <v>0</v>
      </c>
      <c r="N104" s="434">
        <v>0</v>
      </c>
      <c r="O104" s="434">
        <v>0</v>
      </c>
      <c r="P104" s="561"/>
      <c r="Q104" s="367"/>
    </row>
    <row r="105" spans="2:17" x14ac:dyDescent="0.25">
      <c r="B105" s="438"/>
      <c r="C105" s="439"/>
      <c r="D105" s="439"/>
      <c r="E105" s="439"/>
      <c r="F105" s="439"/>
      <c r="G105" s="439"/>
      <c r="H105" s="439"/>
      <c r="I105" s="538"/>
      <c r="J105" s="440"/>
      <c r="K105" s="441"/>
      <c r="L105" s="441"/>
      <c r="M105" s="441"/>
      <c r="N105" s="441"/>
      <c r="O105" s="441"/>
      <c r="P105" s="442"/>
      <c r="Q105" s="367"/>
    </row>
    <row r="106" spans="2:17" x14ac:dyDescent="0.25">
      <c r="B106" s="628" t="s">
        <v>302</v>
      </c>
      <c r="C106" s="628"/>
      <c r="D106" s="628"/>
      <c r="Q106" s="367"/>
    </row>
    <row r="107" spans="2:17" ht="15.6" customHeight="1" x14ac:dyDescent="0.25">
      <c r="B107" s="649" t="s">
        <v>48</v>
      </c>
      <c r="C107" s="624" t="s">
        <v>216</v>
      </c>
      <c r="D107" s="624" t="s">
        <v>41</v>
      </c>
      <c r="E107" s="624">
        <v>2027</v>
      </c>
      <c r="F107" s="624">
        <v>2028</v>
      </c>
      <c r="G107" s="624" t="s">
        <v>218</v>
      </c>
      <c r="H107" s="624"/>
      <c r="I107" s="502"/>
      <c r="J107" s="624" t="s">
        <v>217</v>
      </c>
      <c r="K107" s="624"/>
      <c r="L107" s="624"/>
      <c r="M107" s="624"/>
      <c r="N107" s="624"/>
      <c r="O107" s="624"/>
      <c r="P107" s="629" t="s">
        <v>218</v>
      </c>
      <c r="Q107" s="367"/>
    </row>
    <row r="108" spans="2:17" ht="15.75" x14ac:dyDescent="0.25">
      <c r="B108" s="649"/>
      <c r="C108" s="624"/>
      <c r="D108" s="624"/>
      <c r="E108" s="624"/>
      <c r="F108" s="624"/>
      <c r="G108" s="583">
        <v>2027</v>
      </c>
      <c r="H108" s="583">
        <v>2028</v>
      </c>
      <c r="I108" s="502"/>
      <c r="J108" s="520" t="s">
        <v>41</v>
      </c>
      <c r="K108" s="431">
        <v>2026</v>
      </c>
      <c r="L108" s="431">
        <v>2027</v>
      </c>
      <c r="M108" s="431">
        <v>2028</v>
      </c>
      <c r="N108" s="431">
        <v>2029</v>
      </c>
      <c r="O108" s="431">
        <v>2030</v>
      </c>
      <c r="P108" s="631"/>
      <c r="Q108" s="367"/>
    </row>
    <row r="109" spans="2:17" ht="30" x14ac:dyDescent="0.25">
      <c r="B109" s="443">
        <v>1</v>
      </c>
      <c r="C109" s="444" t="s">
        <v>303</v>
      </c>
      <c r="D109" s="540">
        <f t="shared" ref="D109" si="15">SUM(E109:F109)</f>
        <v>0</v>
      </c>
      <c r="E109" s="444"/>
      <c r="F109" s="444"/>
      <c r="G109" s="444"/>
      <c r="H109" s="444"/>
      <c r="I109" s="539"/>
      <c r="J109" s="522">
        <v>0.90549999999999997</v>
      </c>
      <c r="K109" s="420">
        <v>0.19950000000000001</v>
      </c>
      <c r="L109" s="420">
        <v>0.188</v>
      </c>
      <c r="M109" s="420">
        <v>0.14199999999999999</v>
      </c>
      <c r="N109" s="420">
        <v>0.23400000000000001</v>
      </c>
      <c r="O109" s="420">
        <v>0.14199999999999999</v>
      </c>
      <c r="P109" s="561" t="s">
        <v>304</v>
      </c>
      <c r="Q109" s="367"/>
    </row>
    <row r="110" spans="2:17" x14ac:dyDescent="0.25">
      <c r="Q110" s="367"/>
    </row>
    <row r="111" spans="2:17" x14ac:dyDescent="0.25">
      <c r="B111" s="628" t="s">
        <v>305</v>
      </c>
      <c r="C111" s="628"/>
      <c r="D111" s="628"/>
      <c r="Q111" s="367"/>
    </row>
    <row r="112" spans="2:17" ht="15.6" customHeight="1" x14ac:dyDescent="0.25">
      <c r="B112" s="649" t="s">
        <v>48</v>
      </c>
      <c r="C112" s="624" t="s">
        <v>216</v>
      </c>
      <c r="D112" s="624" t="s">
        <v>41</v>
      </c>
      <c r="E112" s="624">
        <v>2027</v>
      </c>
      <c r="F112" s="624">
        <v>2028</v>
      </c>
      <c r="G112" s="624" t="s">
        <v>218</v>
      </c>
      <c r="H112" s="624"/>
      <c r="I112" s="502"/>
      <c r="J112" s="624" t="s">
        <v>217</v>
      </c>
      <c r="K112" s="624"/>
      <c r="L112" s="624"/>
      <c r="M112" s="624"/>
      <c r="N112" s="624"/>
      <c r="O112" s="624"/>
      <c r="P112" s="629" t="s">
        <v>218</v>
      </c>
      <c r="Q112" s="367"/>
    </row>
    <row r="113" spans="2:17" ht="15.75" x14ac:dyDescent="0.25">
      <c r="B113" s="649"/>
      <c r="C113" s="624"/>
      <c r="D113" s="624"/>
      <c r="E113" s="624"/>
      <c r="F113" s="624"/>
      <c r="G113" s="583">
        <v>2027</v>
      </c>
      <c r="H113" s="583">
        <v>2028</v>
      </c>
      <c r="I113" s="502"/>
      <c r="J113" s="524" t="s">
        <v>41</v>
      </c>
      <c r="K113" s="445">
        <v>2026</v>
      </c>
      <c r="L113" s="445">
        <v>2027</v>
      </c>
      <c r="M113" s="445">
        <v>2028</v>
      </c>
      <c r="N113" s="445">
        <v>2029</v>
      </c>
      <c r="O113" s="445">
        <v>2030</v>
      </c>
      <c r="P113" s="630"/>
      <c r="Q113" s="367"/>
    </row>
    <row r="114" spans="2:17" ht="30" x14ac:dyDescent="0.25">
      <c r="B114" s="443">
        <v>1</v>
      </c>
      <c r="C114" s="444" t="s">
        <v>306</v>
      </c>
      <c r="D114" s="540">
        <f t="shared" ref="D114" si="16">SUM(E114:F114)</f>
        <v>0</v>
      </c>
      <c r="E114" s="444">
        <f>'TH theo DV'!G25</f>
        <v>0</v>
      </c>
      <c r="F114" s="444">
        <f>'TH theo DV'!Q25</f>
        <v>0</v>
      </c>
      <c r="G114" s="444"/>
      <c r="H114" s="444"/>
      <c r="I114" s="539"/>
      <c r="J114" s="525">
        <v>2.3288775000000004</v>
      </c>
      <c r="K114" s="446">
        <v>0.2</v>
      </c>
      <c r="L114" s="446">
        <v>0.44416666666666671</v>
      </c>
      <c r="M114" s="446">
        <v>0.50903787878787887</v>
      </c>
      <c r="N114" s="446">
        <v>0.53903257575757579</v>
      </c>
      <c r="O114" s="446">
        <v>0.63664037878787894</v>
      </c>
      <c r="P114" s="561" t="s">
        <v>307</v>
      </c>
      <c r="Q114" s="367"/>
    </row>
  </sheetData>
  <mergeCells count="95">
    <mergeCell ref="B1:H1"/>
    <mergeCell ref="J3:J4"/>
    <mergeCell ref="K3:K4"/>
    <mergeCell ref="B59:F59"/>
    <mergeCell ref="G107:H107"/>
    <mergeCell ref="B112:B113"/>
    <mergeCell ref="C112:C113"/>
    <mergeCell ref="D112:D113"/>
    <mergeCell ref="E112:E113"/>
    <mergeCell ref="F112:F113"/>
    <mergeCell ref="G112:H112"/>
    <mergeCell ref="B107:B108"/>
    <mergeCell ref="C107:C108"/>
    <mergeCell ref="D107:D108"/>
    <mergeCell ref="E107:E108"/>
    <mergeCell ref="F107:F108"/>
    <mergeCell ref="G81:H81"/>
    <mergeCell ref="B94:B95"/>
    <mergeCell ref="C94:C95"/>
    <mergeCell ref="D94:D95"/>
    <mergeCell ref="E94:E95"/>
    <mergeCell ref="F94:F95"/>
    <mergeCell ref="G94:H94"/>
    <mergeCell ref="B81:B82"/>
    <mergeCell ref="C81:C82"/>
    <mergeCell ref="D81:D82"/>
    <mergeCell ref="E81:E82"/>
    <mergeCell ref="F81:F82"/>
    <mergeCell ref="G60:H60"/>
    <mergeCell ref="B73:B74"/>
    <mergeCell ref="C73:C74"/>
    <mergeCell ref="D73:D74"/>
    <mergeCell ref="E73:E74"/>
    <mergeCell ref="F73:F74"/>
    <mergeCell ref="G73:H73"/>
    <mergeCell ref="B60:B61"/>
    <mergeCell ref="C60:C61"/>
    <mergeCell ref="D60:D61"/>
    <mergeCell ref="E60:E61"/>
    <mergeCell ref="F60:F61"/>
    <mergeCell ref="G35:H35"/>
    <mergeCell ref="B46:B47"/>
    <mergeCell ref="C46:C47"/>
    <mergeCell ref="D46:D47"/>
    <mergeCell ref="E46:E47"/>
    <mergeCell ref="F46:F47"/>
    <mergeCell ref="G46:H46"/>
    <mergeCell ref="B35:B36"/>
    <mergeCell ref="C35:C36"/>
    <mergeCell ref="D35:D36"/>
    <mergeCell ref="E35:E36"/>
    <mergeCell ref="F35:F36"/>
    <mergeCell ref="G15:H15"/>
    <mergeCell ref="B25:B26"/>
    <mergeCell ref="C25:C26"/>
    <mergeCell ref="D25:D26"/>
    <mergeCell ref="E25:E26"/>
    <mergeCell ref="F25:F26"/>
    <mergeCell ref="G25:H25"/>
    <mergeCell ref="B15:B16"/>
    <mergeCell ref="C15:C16"/>
    <mergeCell ref="D15:D16"/>
    <mergeCell ref="E15:E16"/>
    <mergeCell ref="F15:F16"/>
    <mergeCell ref="G3:H3"/>
    <mergeCell ref="B3:B4"/>
    <mergeCell ref="C3:C4"/>
    <mergeCell ref="D3:D4"/>
    <mergeCell ref="E3:E4"/>
    <mergeCell ref="F3:F4"/>
    <mergeCell ref="B111:D111"/>
    <mergeCell ref="B106:D106"/>
    <mergeCell ref="J112:O112"/>
    <mergeCell ref="P112:P113"/>
    <mergeCell ref="B80:C80"/>
    <mergeCell ref="J94:O94"/>
    <mergeCell ref="P94:P95"/>
    <mergeCell ref="J107:O107"/>
    <mergeCell ref="P107:P108"/>
    <mergeCell ref="J73:O73"/>
    <mergeCell ref="P73:P74"/>
    <mergeCell ref="J81:O81"/>
    <mergeCell ref="P81:P82"/>
    <mergeCell ref="J46:O46"/>
    <mergeCell ref="P46:P47"/>
    <mergeCell ref="L3:Q3"/>
    <mergeCell ref="R3:R4"/>
    <mergeCell ref="J15:O15"/>
    <mergeCell ref="P15:P16"/>
    <mergeCell ref="J60:O60"/>
    <mergeCell ref="P60:P61"/>
    <mergeCell ref="J25:O25"/>
    <mergeCell ref="P25:P26"/>
    <mergeCell ref="J35:O35"/>
    <mergeCell ref="P35:P36"/>
  </mergeCells>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26"/>
  <sheetViews>
    <sheetView tabSelected="1" zoomScale="85" zoomScaleNormal="85" workbookViewId="0">
      <selection activeCell="G10" sqref="G10"/>
    </sheetView>
  </sheetViews>
  <sheetFormatPr defaultColWidth="8.85546875" defaultRowHeight="15.75" x14ac:dyDescent="0.25"/>
  <cols>
    <col min="1" max="1" width="4.5703125" style="355" customWidth="1"/>
    <col min="2" max="2" width="6.140625" style="542" customWidth="1"/>
    <col min="3" max="3" width="9.42578125" style="542" customWidth="1"/>
    <col min="4" max="4" width="12.140625" style="542" customWidth="1"/>
    <col min="5" max="5" width="14.85546875" style="355" customWidth="1"/>
    <col min="6" max="6" width="13.140625" style="355" customWidth="1"/>
    <col min="7" max="7" width="11.28515625" style="355" customWidth="1"/>
    <col min="8" max="9" width="46.42578125" style="355" customWidth="1"/>
    <col min="10" max="10" width="14.85546875" style="490" customWidth="1"/>
    <col min="11" max="16" width="8.85546875" style="355"/>
    <col min="17" max="17" width="86.140625" style="557" customWidth="1"/>
    <col min="18" max="16384" width="8.85546875" style="355"/>
  </cols>
  <sheetData>
    <row r="1" spans="1:17" x14ac:dyDescent="0.25">
      <c r="B1" s="648" t="s">
        <v>308</v>
      </c>
      <c r="C1" s="648"/>
      <c r="D1" s="648"/>
      <c r="E1" s="648"/>
      <c r="F1" s="447"/>
      <c r="G1" s="447"/>
      <c r="J1" s="489"/>
    </row>
    <row r="3" spans="1:17" x14ac:dyDescent="0.25">
      <c r="B3" s="647" t="s">
        <v>309</v>
      </c>
      <c r="C3" s="647"/>
      <c r="D3" s="647"/>
      <c r="E3" s="647"/>
      <c r="F3" s="647"/>
      <c r="G3" s="647"/>
      <c r="H3" s="647"/>
      <c r="I3" s="581"/>
    </row>
    <row r="4" spans="1:17" x14ac:dyDescent="0.25">
      <c r="A4" s="447"/>
      <c r="B4" s="646" t="s">
        <v>310</v>
      </c>
      <c r="C4" s="646"/>
      <c r="D4" s="646"/>
      <c r="E4" s="646"/>
      <c r="F4" s="646"/>
      <c r="G4" s="646"/>
      <c r="H4" s="646"/>
      <c r="I4" s="580"/>
    </row>
    <row r="5" spans="1:17" ht="19.899999999999999" customHeight="1" x14ac:dyDescent="0.25">
      <c r="B5" s="640" t="s">
        <v>48</v>
      </c>
      <c r="C5" s="660" t="s">
        <v>311</v>
      </c>
      <c r="D5" s="640" t="s">
        <v>46</v>
      </c>
      <c r="E5" s="640" t="s">
        <v>41</v>
      </c>
      <c r="F5" s="640">
        <v>2027</v>
      </c>
      <c r="G5" s="640">
        <v>2028</v>
      </c>
      <c r="H5" s="640" t="s">
        <v>218</v>
      </c>
      <c r="I5" s="640"/>
      <c r="J5" s="491"/>
      <c r="K5" s="635" t="s">
        <v>217</v>
      </c>
      <c r="L5" s="636"/>
      <c r="M5" s="636"/>
      <c r="N5" s="636"/>
      <c r="O5" s="636"/>
      <c r="P5" s="637"/>
      <c r="Q5" s="638" t="s">
        <v>218</v>
      </c>
    </row>
    <row r="6" spans="1:17" x14ac:dyDescent="0.25">
      <c r="B6" s="640"/>
      <c r="C6" s="661"/>
      <c r="D6" s="640"/>
      <c r="E6" s="640"/>
      <c r="F6" s="640"/>
      <c r="G6" s="640"/>
      <c r="H6" s="584">
        <v>2027</v>
      </c>
      <c r="I6" s="478">
        <v>2028</v>
      </c>
      <c r="J6" s="492"/>
      <c r="K6" s="480" t="s">
        <v>41</v>
      </c>
      <c r="L6" s="448">
        <v>2026</v>
      </c>
      <c r="M6" s="448">
        <v>2027</v>
      </c>
      <c r="N6" s="448">
        <v>2028</v>
      </c>
      <c r="O6" s="448">
        <v>2029</v>
      </c>
      <c r="P6" s="448">
        <v>2030</v>
      </c>
      <c r="Q6" s="639"/>
    </row>
    <row r="7" spans="1:17" ht="22.15" customHeight="1" x14ac:dyDescent="0.25">
      <c r="B7" s="543"/>
      <c r="C7" s="543"/>
      <c r="D7" s="544" t="s">
        <v>41</v>
      </c>
      <c r="E7" s="541">
        <f>SUM(F7:G7)</f>
        <v>0</v>
      </c>
      <c r="F7" s="541"/>
      <c r="G7" s="541"/>
      <c r="H7" s="541"/>
      <c r="I7" s="541"/>
      <c r="J7" s="493"/>
      <c r="K7" s="481">
        <v>62.730464052789905</v>
      </c>
      <c r="L7" s="451">
        <v>16.425237401166711</v>
      </c>
      <c r="M7" s="451">
        <v>16.981045510870249</v>
      </c>
      <c r="N7" s="451">
        <v>16.867676491387648</v>
      </c>
      <c r="O7" s="451">
        <v>6.8385740042247791</v>
      </c>
      <c r="P7" s="451">
        <v>5.6179306451405164</v>
      </c>
      <c r="Q7" s="558"/>
    </row>
    <row r="8" spans="1:17" ht="13.9" customHeight="1" x14ac:dyDescent="0.25">
      <c r="B8" s="545">
        <v>1</v>
      </c>
      <c r="C8" s="657" t="s">
        <v>312</v>
      </c>
      <c r="D8" s="544" t="s">
        <v>54</v>
      </c>
      <c r="E8" s="541">
        <f t="shared" ref="E8:E12" si="0">SUM(F8:G8)</f>
        <v>0</v>
      </c>
      <c r="F8" s="452"/>
      <c r="G8" s="452"/>
      <c r="H8" s="454"/>
      <c r="I8" s="454"/>
      <c r="J8" s="494"/>
      <c r="K8" s="482">
        <v>30.592116622811801</v>
      </c>
      <c r="L8" s="453">
        <v>7.1214531570534545</v>
      </c>
      <c r="M8" s="453">
        <v>9.698812411481434</v>
      </c>
      <c r="N8" s="453">
        <v>9.0067555884095682</v>
      </c>
      <c r="O8" s="453">
        <v>2.7103548759322429</v>
      </c>
      <c r="P8" s="453">
        <v>2.0547405899351152</v>
      </c>
      <c r="Q8" s="559"/>
    </row>
    <row r="9" spans="1:17" x14ac:dyDescent="0.25">
      <c r="B9" s="545">
        <v>2</v>
      </c>
      <c r="C9" s="658"/>
      <c r="D9" s="546" t="s">
        <v>219</v>
      </c>
      <c r="E9" s="541">
        <f t="shared" si="0"/>
        <v>0</v>
      </c>
      <c r="F9" s="578">
        <f>'TH theo DV'!L7</f>
        <v>0</v>
      </c>
      <c r="G9" s="578">
        <f>'TH theo DV'!V7</f>
        <v>0</v>
      </c>
      <c r="H9" s="454"/>
      <c r="I9" s="454"/>
      <c r="J9" s="495"/>
      <c r="K9" s="483">
        <v>24.223976877670495</v>
      </c>
      <c r="L9" s="456">
        <v>5.5879576408823528</v>
      </c>
      <c r="M9" s="456">
        <v>8.170147879515417</v>
      </c>
      <c r="N9" s="456">
        <v>7.6625640322727273</v>
      </c>
      <c r="O9" s="456">
        <v>1.6353506966666669</v>
      </c>
      <c r="P9" s="456">
        <v>1.1679566283333331</v>
      </c>
      <c r="Q9" s="559" t="s">
        <v>313</v>
      </c>
    </row>
    <row r="10" spans="1:17" x14ac:dyDescent="0.25">
      <c r="B10" s="545">
        <v>4</v>
      </c>
      <c r="C10" s="658"/>
      <c r="D10" s="544" t="s">
        <v>32</v>
      </c>
      <c r="E10" s="541">
        <f t="shared" si="0"/>
        <v>0</v>
      </c>
      <c r="F10" s="452"/>
      <c r="G10" s="452"/>
      <c r="H10" s="457"/>
      <c r="I10" s="457"/>
      <c r="J10" s="494"/>
      <c r="K10" s="482">
        <v>32.138347429978083</v>
      </c>
      <c r="L10" s="453">
        <v>9.3037842441132561</v>
      </c>
      <c r="M10" s="453">
        <v>7.2822330993888151</v>
      </c>
      <c r="N10" s="453">
        <v>7.8609209029780782</v>
      </c>
      <c r="O10" s="453">
        <v>4.1282191282925362</v>
      </c>
      <c r="P10" s="453">
        <v>3.5631900552054017</v>
      </c>
      <c r="Q10" s="560"/>
    </row>
    <row r="11" spans="1:17" x14ac:dyDescent="0.25">
      <c r="B11" s="545">
        <v>5</v>
      </c>
      <c r="C11" s="658"/>
      <c r="D11" s="546" t="s">
        <v>219</v>
      </c>
      <c r="E11" s="541">
        <f t="shared" si="0"/>
        <v>0</v>
      </c>
      <c r="F11" s="455">
        <f>'TH theo DV'!L13</f>
        <v>0</v>
      </c>
      <c r="G11" s="455">
        <f>'TH theo DV'!V13</f>
        <v>0</v>
      </c>
      <c r="H11" s="457"/>
      <c r="I11" s="457"/>
      <c r="J11" s="495"/>
      <c r="K11" s="484">
        <v>10.405085181302926</v>
      </c>
      <c r="L11" s="458">
        <v>3.3427795287498023</v>
      </c>
      <c r="M11" s="458">
        <v>1.4026938325633618</v>
      </c>
      <c r="N11" s="458">
        <v>1.69219593688246</v>
      </c>
      <c r="O11" s="458">
        <v>2.5732764982038101</v>
      </c>
      <c r="P11" s="458">
        <v>1.3941393849034907</v>
      </c>
      <c r="Q11" s="560" t="s">
        <v>314</v>
      </c>
    </row>
    <row r="12" spans="1:17" x14ac:dyDescent="0.25">
      <c r="B12" s="545">
        <v>6</v>
      </c>
      <c r="C12" s="659"/>
      <c r="D12" s="546" t="s">
        <v>221</v>
      </c>
      <c r="E12" s="541">
        <f t="shared" si="0"/>
        <v>0</v>
      </c>
      <c r="F12" s="455">
        <f>'TH theo DV'!L14</f>
        <v>0</v>
      </c>
      <c r="G12" s="455">
        <f>'TH theo DV'!V14</f>
        <v>0</v>
      </c>
      <c r="H12" s="454"/>
      <c r="I12" s="454"/>
      <c r="J12" s="495"/>
      <c r="K12" s="484">
        <v>21.73326224867516</v>
      </c>
      <c r="L12" s="459">
        <v>5.9610047153634529</v>
      </c>
      <c r="M12" s="459">
        <v>5.8795392668254536</v>
      </c>
      <c r="N12" s="459">
        <v>6.1687249660956178</v>
      </c>
      <c r="O12" s="459">
        <v>1.5549426300887261</v>
      </c>
      <c r="P12" s="459">
        <v>2.1690506703019112</v>
      </c>
      <c r="Q12" s="559" t="s">
        <v>315</v>
      </c>
    </row>
    <row r="14" spans="1:17" x14ac:dyDescent="0.25">
      <c r="B14" s="646" t="s">
        <v>316</v>
      </c>
      <c r="C14" s="646"/>
      <c r="D14" s="646"/>
      <c r="E14" s="646"/>
      <c r="F14" s="646"/>
      <c r="G14" s="646"/>
      <c r="H14" s="646"/>
      <c r="I14" s="580"/>
    </row>
    <row r="15" spans="1:17" ht="19.899999999999999" customHeight="1" x14ac:dyDescent="0.25">
      <c r="B15" s="640" t="s">
        <v>48</v>
      </c>
      <c r="C15" s="660" t="s">
        <v>311</v>
      </c>
      <c r="D15" s="640" t="s">
        <v>46</v>
      </c>
      <c r="E15" s="640" t="s">
        <v>41</v>
      </c>
      <c r="F15" s="640">
        <v>2027</v>
      </c>
      <c r="G15" s="640">
        <v>2028</v>
      </c>
      <c r="H15" s="640" t="s">
        <v>218</v>
      </c>
      <c r="I15" s="640"/>
      <c r="J15" s="492"/>
      <c r="K15" s="624" t="s">
        <v>217</v>
      </c>
      <c r="L15" s="624"/>
      <c r="M15" s="624"/>
      <c r="N15" s="624"/>
      <c r="O15" s="624"/>
      <c r="P15" s="624"/>
      <c r="Q15" s="645" t="s">
        <v>218</v>
      </c>
    </row>
    <row r="16" spans="1:17" ht="15.6" customHeight="1" x14ac:dyDescent="0.25">
      <c r="B16" s="640"/>
      <c r="C16" s="661"/>
      <c r="D16" s="640"/>
      <c r="E16" s="640"/>
      <c r="F16" s="640"/>
      <c r="G16" s="640"/>
      <c r="H16" s="584">
        <v>2027</v>
      </c>
      <c r="I16" s="584">
        <v>2028</v>
      </c>
      <c r="J16" s="492"/>
      <c r="K16" s="480" t="s">
        <v>41</v>
      </c>
      <c r="L16" s="448">
        <v>2026</v>
      </c>
      <c r="M16" s="448">
        <v>2027</v>
      </c>
      <c r="N16" s="448">
        <v>2028</v>
      </c>
      <c r="O16" s="448">
        <v>2029</v>
      </c>
      <c r="P16" s="448">
        <v>2030</v>
      </c>
      <c r="Q16" s="645"/>
    </row>
    <row r="17" spans="2:17" x14ac:dyDescent="0.25">
      <c r="B17" s="543"/>
      <c r="C17" s="543"/>
      <c r="D17" s="544" t="s">
        <v>41</v>
      </c>
      <c r="E17" s="541">
        <f t="shared" ref="E17:E22" si="1">SUM(F17:G17)</f>
        <v>0</v>
      </c>
      <c r="F17" s="541"/>
      <c r="G17" s="541"/>
      <c r="H17" s="541"/>
      <c r="I17" s="541"/>
      <c r="J17" s="493"/>
      <c r="K17" s="481">
        <v>10.405085181302926</v>
      </c>
      <c r="L17" s="451">
        <v>3.3427795287498023</v>
      </c>
      <c r="M17" s="451">
        <v>1.4026938325633618</v>
      </c>
      <c r="N17" s="451">
        <v>1.69219593688246</v>
      </c>
      <c r="O17" s="451">
        <v>2.5732764982038101</v>
      </c>
      <c r="P17" s="451">
        <v>1.3941393849034907</v>
      </c>
      <c r="Q17" s="558"/>
    </row>
    <row r="18" spans="2:17" ht="15.75" customHeight="1" x14ac:dyDescent="0.25">
      <c r="B18" s="547">
        <v>1</v>
      </c>
      <c r="C18" s="657" t="s">
        <v>276</v>
      </c>
      <c r="D18" s="548" t="s">
        <v>29</v>
      </c>
      <c r="E18" s="541">
        <f t="shared" si="1"/>
        <v>0</v>
      </c>
      <c r="F18" s="414">
        <f>'TH theo DV'!D13</f>
        <v>0</v>
      </c>
      <c r="G18" s="414">
        <f>'TH theo DV'!N13</f>
        <v>0</v>
      </c>
      <c r="H18" s="366"/>
      <c r="I18" s="366"/>
      <c r="J18" s="496"/>
      <c r="K18" s="485">
        <v>4.2256537529469718</v>
      </c>
      <c r="L18" s="365">
        <v>1.2676070024558102</v>
      </c>
      <c r="M18" s="365">
        <v>0.49012875</v>
      </c>
      <c r="N18" s="365">
        <v>0.460164250491162</v>
      </c>
      <c r="O18" s="365">
        <v>1.65847425</v>
      </c>
      <c r="P18" s="365">
        <v>0.34927950000000002</v>
      </c>
      <c r="Q18" s="561" t="s">
        <v>222</v>
      </c>
    </row>
    <row r="19" spans="2:17" ht="31.9" customHeight="1" x14ac:dyDescent="0.25">
      <c r="B19" s="547">
        <v>2</v>
      </c>
      <c r="C19" s="658"/>
      <c r="D19" s="548" t="s">
        <v>30</v>
      </c>
      <c r="E19" s="541">
        <f t="shared" si="1"/>
        <v>0</v>
      </c>
      <c r="F19" s="414">
        <f>'TH theo DV'!H13</f>
        <v>0</v>
      </c>
      <c r="G19" s="414">
        <f>'TH theo DV'!R13</f>
        <v>0</v>
      </c>
      <c r="H19" s="394"/>
      <c r="I19" s="394"/>
      <c r="J19" s="496"/>
      <c r="K19" s="485">
        <v>0.8025987</v>
      </c>
      <c r="L19" s="460">
        <v>0.21275368000000003</v>
      </c>
      <c r="M19" s="460">
        <v>0.13423389999999999</v>
      </c>
      <c r="N19" s="460">
        <v>0.18085789999999999</v>
      </c>
      <c r="O19" s="460">
        <v>0.13275367999999999</v>
      </c>
      <c r="P19" s="460">
        <v>0.14199954000000001</v>
      </c>
      <c r="Q19" s="562" t="s">
        <v>264</v>
      </c>
    </row>
    <row r="20" spans="2:17" x14ac:dyDescent="0.25">
      <c r="B20" s="547">
        <v>3</v>
      </c>
      <c r="C20" s="658"/>
      <c r="D20" s="548" t="s">
        <v>317</v>
      </c>
      <c r="E20" s="541">
        <f t="shared" si="1"/>
        <v>0</v>
      </c>
      <c r="F20" s="414"/>
      <c r="G20" s="414"/>
      <c r="H20" s="462"/>
      <c r="I20" s="462"/>
      <c r="J20" s="496"/>
      <c r="K20" s="485">
        <v>0.42893901732950129</v>
      </c>
      <c r="L20" s="461">
        <v>2.8812294117647061E-2</v>
      </c>
      <c r="M20" s="461">
        <v>9.4578070484581486E-2</v>
      </c>
      <c r="N20" s="461">
        <v>0.12876677272727274</v>
      </c>
      <c r="O20" s="461">
        <v>8.4418133333333326E-2</v>
      </c>
      <c r="P20" s="461">
        <v>9.2363746666666677E-2</v>
      </c>
      <c r="Q20" s="563" t="s">
        <v>277</v>
      </c>
    </row>
    <row r="21" spans="2:17" x14ac:dyDescent="0.25">
      <c r="B21" s="547">
        <v>4</v>
      </c>
      <c r="C21" s="658"/>
      <c r="D21" s="548" t="s">
        <v>31</v>
      </c>
      <c r="E21" s="541">
        <f t="shared" si="1"/>
        <v>0</v>
      </c>
      <c r="F21" s="414">
        <f>'TH theo DV'!J13</f>
        <v>0</v>
      </c>
      <c r="G21" s="414">
        <f>'TH theo DV'!T13</f>
        <v>0</v>
      </c>
      <c r="H21" s="366"/>
      <c r="I21" s="366"/>
      <c r="J21" s="496"/>
      <c r="K21" s="485">
        <v>1.95912</v>
      </c>
      <c r="L21" s="423">
        <v>0.54123200000000005</v>
      </c>
      <c r="M21" s="423">
        <v>0.32057999999999998</v>
      </c>
      <c r="N21" s="423">
        <v>0.44297199999999998</v>
      </c>
      <c r="O21" s="423">
        <v>0.30520000000000003</v>
      </c>
      <c r="P21" s="423">
        <v>0.349136</v>
      </c>
      <c r="Q21" s="561" t="s">
        <v>292</v>
      </c>
    </row>
    <row r="22" spans="2:17" x14ac:dyDescent="0.25">
      <c r="B22" s="547">
        <v>5</v>
      </c>
      <c r="C22" s="659"/>
      <c r="D22" s="548" t="s">
        <v>318</v>
      </c>
      <c r="E22" s="541">
        <f t="shared" si="1"/>
        <v>0</v>
      </c>
      <c r="F22" s="414">
        <f>'TH theo DV'!K13</f>
        <v>0</v>
      </c>
      <c r="G22" s="414">
        <f>'TH theo DV'!U13</f>
        <v>0</v>
      </c>
      <c r="H22" s="462"/>
      <c r="I22" s="462"/>
      <c r="J22" s="496"/>
      <c r="K22" s="485">
        <v>2.9887737110264516</v>
      </c>
      <c r="L22" s="460">
        <v>1.2923745521763452</v>
      </c>
      <c r="M22" s="460">
        <v>0.36317311207878045</v>
      </c>
      <c r="N22" s="460">
        <v>0.47943501366402536</v>
      </c>
      <c r="O22" s="460">
        <v>0.39243043487047646</v>
      </c>
      <c r="P22" s="460">
        <v>0.46136059823682396</v>
      </c>
      <c r="Q22" s="563" t="s">
        <v>299</v>
      </c>
    </row>
    <row r="23" spans="2:17" x14ac:dyDescent="0.25">
      <c r="B23" s="549"/>
      <c r="C23" s="550"/>
      <c r="D23" s="551"/>
      <c r="E23" s="463"/>
      <c r="F23" s="463"/>
      <c r="G23" s="463"/>
      <c r="H23" s="466"/>
      <c r="I23" s="466"/>
      <c r="J23" s="494"/>
      <c r="K23" s="464"/>
      <c r="L23" s="465"/>
      <c r="M23" s="465"/>
      <c r="N23" s="465"/>
      <c r="O23" s="465"/>
      <c r="P23" s="465"/>
      <c r="Q23" s="564"/>
    </row>
    <row r="24" spans="2:17" x14ac:dyDescent="0.25">
      <c r="B24" s="646" t="s">
        <v>319</v>
      </c>
      <c r="C24" s="646"/>
      <c r="D24" s="646"/>
      <c r="E24" s="646"/>
      <c r="F24" s="646"/>
      <c r="G24" s="646"/>
      <c r="H24" s="646"/>
      <c r="I24" s="580"/>
    </row>
    <row r="25" spans="2:17" ht="19.899999999999999" customHeight="1" x14ac:dyDescent="0.25">
      <c r="B25" s="640" t="s">
        <v>48</v>
      </c>
      <c r="C25" s="660" t="s">
        <v>311</v>
      </c>
      <c r="D25" s="640" t="s">
        <v>46</v>
      </c>
      <c r="E25" s="640" t="s">
        <v>41</v>
      </c>
      <c r="F25" s="640">
        <v>2027</v>
      </c>
      <c r="G25" s="640">
        <v>2028</v>
      </c>
      <c r="H25" s="640" t="s">
        <v>218</v>
      </c>
      <c r="I25" s="640"/>
      <c r="J25" s="492"/>
      <c r="K25" s="624" t="s">
        <v>217</v>
      </c>
      <c r="L25" s="624"/>
      <c r="M25" s="624"/>
      <c r="N25" s="624"/>
      <c r="O25" s="624"/>
      <c r="P25" s="624"/>
      <c r="Q25" s="638" t="s">
        <v>218</v>
      </c>
    </row>
    <row r="26" spans="2:17" ht="15.6" customHeight="1" x14ac:dyDescent="0.25">
      <c r="B26" s="640"/>
      <c r="C26" s="661"/>
      <c r="D26" s="640"/>
      <c r="E26" s="640"/>
      <c r="F26" s="640"/>
      <c r="G26" s="640"/>
      <c r="H26" s="584">
        <v>2027</v>
      </c>
      <c r="I26" s="584">
        <v>2028</v>
      </c>
      <c r="J26" s="492"/>
      <c r="K26" s="480" t="s">
        <v>41</v>
      </c>
      <c r="L26" s="448">
        <v>2026</v>
      </c>
      <c r="M26" s="448">
        <v>2027</v>
      </c>
      <c r="N26" s="448">
        <v>2028</v>
      </c>
      <c r="O26" s="448">
        <v>2029</v>
      </c>
      <c r="P26" s="448">
        <v>2030</v>
      </c>
      <c r="Q26" s="639"/>
    </row>
    <row r="27" spans="2:17" x14ac:dyDescent="0.25">
      <c r="B27" s="543"/>
      <c r="C27" s="543"/>
      <c r="D27" s="544" t="s">
        <v>41</v>
      </c>
      <c r="E27" s="541">
        <f t="shared" ref="E27:E33" si="2">SUM(F27:G27)</f>
        <v>0</v>
      </c>
      <c r="F27" s="541"/>
      <c r="G27" s="541"/>
      <c r="H27" s="541"/>
      <c r="I27" s="541"/>
      <c r="J27" s="493"/>
      <c r="K27" s="481">
        <v>21.73326224867516</v>
      </c>
      <c r="L27" s="451">
        <v>5.9610047153634529</v>
      </c>
      <c r="M27" s="451">
        <v>5.8795392668254536</v>
      </c>
      <c r="N27" s="451">
        <v>6.1687249660956178</v>
      </c>
      <c r="O27" s="451">
        <v>1.5549426300887261</v>
      </c>
      <c r="P27" s="451">
        <v>2.1690506703019112</v>
      </c>
      <c r="Q27" s="558"/>
    </row>
    <row r="28" spans="2:17" ht="15.75" customHeight="1" x14ac:dyDescent="0.25">
      <c r="B28" s="547">
        <v>1</v>
      </c>
      <c r="C28" s="657" t="s">
        <v>278</v>
      </c>
      <c r="D28" s="548" t="s">
        <v>29</v>
      </c>
      <c r="E28" s="541">
        <f t="shared" si="2"/>
        <v>0</v>
      </c>
      <c r="F28" s="414">
        <f>'TH theo DV'!D14</f>
        <v>0</v>
      </c>
      <c r="G28" s="414">
        <f>'TH theo DV'!N14</f>
        <v>0</v>
      </c>
      <c r="H28" s="366"/>
      <c r="I28" s="366"/>
      <c r="J28" s="496"/>
      <c r="K28" s="486">
        <v>11.51161475962707</v>
      </c>
      <c r="L28" s="365">
        <v>2.9256986377702123</v>
      </c>
      <c r="M28" s="365">
        <v>2.9449739927800653</v>
      </c>
      <c r="N28" s="365">
        <v>4.6587895006386573</v>
      </c>
      <c r="O28" s="365">
        <v>0.27098962647348607</v>
      </c>
      <c r="P28" s="365">
        <v>0.71116300196464799</v>
      </c>
      <c r="Q28" s="561" t="s">
        <v>223</v>
      </c>
    </row>
    <row r="29" spans="2:17" x14ac:dyDescent="0.25">
      <c r="B29" s="547">
        <v>2</v>
      </c>
      <c r="C29" s="658"/>
      <c r="D29" s="548" t="s">
        <v>28</v>
      </c>
      <c r="E29" s="541">
        <f t="shared" si="2"/>
        <v>0</v>
      </c>
      <c r="F29" s="414">
        <f>'TH theo DV'!E14</f>
        <v>0</v>
      </c>
      <c r="G29" s="414">
        <f>'TH theo DV'!O14</f>
        <v>0</v>
      </c>
      <c r="H29" s="366"/>
      <c r="I29" s="366"/>
      <c r="J29" s="496"/>
      <c r="K29" s="486">
        <v>6.580000000000001</v>
      </c>
      <c r="L29" s="380">
        <v>0.89</v>
      </c>
      <c r="M29" s="380">
        <v>2.14</v>
      </c>
      <c r="N29" s="380">
        <v>1.19</v>
      </c>
      <c r="O29" s="380">
        <v>1.03</v>
      </c>
      <c r="P29" s="380">
        <v>1.33</v>
      </c>
      <c r="Q29" s="561" t="s">
        <v>241</v>
      </c>
    </row>
    <row r="30" spans="2:17" ht="30" customHeight="1" x14ac:dyDescent="0.25">
      <c r="B30" s="547">
        <v>3</v>
      </c>
      <c r="C30" s="658"/>
      <c r="D30" s="548" t="s">
        <v>30</v>
      </c>
      <c r="E30" s="541">
        <f t="shared" si="2"/>
        <v>0</v>
      </c>
      <c r="F30" s="414">
        <f>'TH theo DV'!H14</f>
        <v>0</v>
      </c>
      <c r="G30" s="414">
        <f>'TH theo DV'!R14</f>
        <v>0</v>
      </c>
      <c r="H30" s="394"/>
      <c r="I30" s="394"/>
      <c r="J30" s="496"/>
      <c r="K30" s="486">
        <v>0.51912825652465011</v>
      </c>
      <c r="L30" s="460">
        <v>0.17916343005965427</v>
      </c>
      <c r="M30" s="460">
        <v>0.13914100104375179</v>
      </c>
      <c r="N30" s="460">
        <v>0.12304046641151968</v>
      </c>
      <c r="O30" s="460">
        <v>4.801470287681614E-2</v>
      </c>
      <c r="P30" s="460">
        <v>2.976865613290822E-2</v>
      </c>
      <c r="Q30" s="562" t="s">
        <v>265</v>
      </c>
    </row>
    <row r="31" spans="2:17" x14ac:dyDescent="0.25">
      <c r="B31" s="547">
        <v>4</v>
      </c>
      <c r="C31" s="658"/>
      <c r="D31" s="548" t="s">
        <v>317</v>
      </c>
      <c r="E31" s="541">
        <f t="shared" si="2"/>
        <v>0</v>
      </c>
      <c r="F31" s="414"/>
      <c r="G31" s="414"/>
      <c r="H31" s="462"/>
      <c r="I31" s="462"/>
      <c r="J31" s="496"/>
      <c r="K31" s="486">
        <v>1.7911832458877566</v>
      </c>
      <c r="L31" s="461">
        <v>1.5496218712314551</v>
      </c>
      <c r="M31" s="461">
        <v>0.17189719147331908</v>
      </c>
      <c r="N31" s="461">
        <v>6.9664183182982231E-2</v>
      </c>
      <c r="O31" s="461">
        <v>0</v>
      </c>
      <c r="P31" s="461">
        <v>0</v>
      </c>
      <c r="Q31" s="579" t="s">
        <v>279</v>
      </c>
    </row>
    <row r="32" spans="2:17" x14ac:dyDescent="0.25">
      <c r="B32" s="547">
        <v>5</v>
      </c>
      <c r="C32" s="658"/>
      <c r="D32" s="548" t="s">
        <v>31</v>
      </c>
      <c r="E32" s="541">
        <f t="shared" si="2"/>
        <v>0</v>
      </c>
      <c r="F32" s="414">
        <f>'TH theo DV'!J14</f>
        <v>0</v>
      </c>
      <c r="G32" s="414">
        <f>'TH theo DV'!T14</f>
        <v>0</v>
      </c>
      <c r="H32" s="366"/>
      <c r="I32" s="366"/>
      <c r="J32" s="496"/>
      <c r="K32" s="486">
        <v>0.57675199999999993</v>
      </c>
      <c r="L32" s="423">
        <v>0.16519700000000001</v>
      </c>
      <c r="M32" s="423">
        <v>0.26170599999999999</v>
      </c>
      <c r="N32" s="423">
        <v>8.2900000000000001E-2</v>
      </c>
      <c r="O32" s="423">
        <v>4.9264000000000002E-2</v>
      </c>
      <c r="P32" s="424">
        <v>1.7684999999999999E-2</v>
      </c>
      <c r="Q32" s="561" t="s">
        <v>293</v>
      </c>
    </row>
    <row r="33" spans="2:18" x14ac:dyDescent="0.25">
      <c r="B33" s="547">
        <v>6</v>
      </c>
      <c r="C33" s="659"/>
      <c r="D33" s="548" t="s">
        <v>318</v>
      </c>
      <c r="E33" s="541">
        <f t="shared" si="2"/>
        <v>0</v>
      </c>
      <c r="F33" s="414">
        <f>'TH theo DV'!K14</f>
        <v>0</v>
      </c>
      <c r="G33" s="414">
        <f>'TH theo DV'!U14</f>
        <v>0</v>
      </c>
      <c r="H33" s="462"/>
      <c r="I33" s="462"/>
      <c r="J33" s="496"/>
      <c r="K33" s="486">
        <v>0.75458398663568504</v>
      </c>
      <c r="L33" s="460">
        <v>0.2513237763021316</v>
      </c>
      <c r="M33" s="460">
        <v>0.22182108152831631</v>
      </c>
      <c r="N33" s="460">
        <v>4.4330815862458371E-2</v>
      </c>
      <c r="O33" s="460">
        <v>0.15667430073842384</v>
      </c>
      <c r="P33" s="460">
        <v>8.0434012204354977E-2</v>
      </c>
      <c r="Q33" s="563" t="s">
        <v>320</v>
      </c>
    </row>
    <row r="35" spans="2:18" x14ac:dyDescent="0.25">
      <c r="B35" s="646" t="s">
        <v>321</v>
      </c>
      <c r="C35" s="646"/>
      <c r="D35" s="646"/>
      <c r="E35" s="646"/>
      <c r="F35" s="646"/>
      <c r="G35" s="646"/>
      <c r="H35" s="646"/>
      <c r="I35" s="580"/>
    </row>
    <row r="36" spans="2:18" ht="22.9" customHeight="1" x14ac:dyDescent="0.25">
      <c r="B36" s="640" t="s">
        <v>48</v>
      </c>
      <c r="C36" s="660" t="s">
        <v>311</v>
      </c>
      <c r="D36" s="640" t="s">
        <v>46</v>
      </c>
      <c r="E36" s="640" t="s">
        <v>41</v>
      </c>
      <c r="F36" s="640">
        <v>2027</v>
      </c>
      <c r="G36" s="640">
        <v>2028</v>
      </c>
      <c r="H36" s="640" t="s">
        <v>218</v>
      </c>
      <c r="I36" s="640"/>
      <c r="J36" s="492"/>
      <c r="K36" s="624" t="s">
        <v>217</v>
      </c>
      <c r="L36" s="624"/>
      <c r="M36" s="624"/>
      <c r="N36" s="624"/>
      <c r="O36" s="624"/>
      <c r="P36" s="624"/>
      <c r="Q36" s="638" t="s">
        <v>218</v>
      </c>
    </row>
    <row r="37" spans="2:18" x14ac:dyDescent="0.25">
      <c r="B37" s="640"/>
      <c r="C37" s="661"/>
      <c r="D37" s="640"/>
      <c r="E37" s="640"/>
      <c r="F37" s="640"/>
      <c r="G37" s="640"/>
      <c r="H37" s="584">
        <v>2027</v>
      </c>
      <c r="I37" s="584">
        <v>2028</v>
      </c>
      <c r="J37" s="492"/>
      <c r="K37" s="480" t="s">
        <v>41</v>
      </c>
      <c r="L37" s="448">
        <v>2026</v>
      </c>
      <c r="M37" s="448">
        <v>2027</v>
      </c>
      <c r="N37" s="448">
        <v>2028</v>
      </c>
      <c r="O37" s="448">
        <v>2029</v>
      </c>
      <c r="P37" s="448">
        <v>2030</v>
      </c>
      <c r="Q37" s="639"/>
    </row>
    <row r="38" spans="2:18" x14ac:dyDescent="0.25">
      <c r="B38" s="543"/>
      <c r="C38" s="543"/>
      <c r="D38" s="544" t="s">
        <v>41</v>
      </c>
      <c r="E38" s="541">
        <f t="shared" ref="E38:E43" si="3">SUM(F38:G38)</f>
        <v>0</v>
      </c>
      <c r="F38" s="541"/>
      <c r="G38" s="541"/>
      <c r="H38" s="541"/>
      <c r="I38" s="541"/>
      <c r="J38" s="493"/>
      <c r="K38" s="481">
        <v>24.223976877670495</v>
      </c>
      <c r="L38" s="451">
        <v>5.5879576408823528</v>
      </c>
      <c r="M38" s="451">
        <v>8.170147879515417</v>
      </c>
      <c r="N38" s="451">
        <v>7.6625640322727273</v>
      </c>
      <c r="O38" s="451">
        <v>1.6353506966666669</v>
      </c>
      <c r="P38" s="451">
        <v>1.1679566283333331</v>
      </c>
      <c r="Q38" s="558"/>
    </row>
    <row r="39" spans="2:18" ht="15.75" customHeight="1" x14ac:dyDescent="0.25">
      <c r="B39" s="547">
        <v>1</v>
      </c>
      <c r="C39" s="657" t="s">
        <v>272</v>
      </c>
      <c r="D39" s="548" t="s">
        <v>29</v>
      </c>
      <c r="E39" s="541">
        <f t="shared" si="3"/>
        <v>0</v>
      </c>
      <c r="F39" s="414">
        <f>'TH theo DV'!D7</f>
        <v>0</v>
      </c>
      <c r="G39" s="414">
        <f>'TH theo DV'!N7</f>
        <v>0</v>
      </c>
      <c r="H39" s="366"/>
      <c r="I39" s="366"/>
      <c r="J39" s="496"/>
      <c r="K39" s="486">
        <v>20.853331874999999</v>
      </c>
      <c r="L39" s="365">
        <v>4.7596893749999998</v>
      </c>
      <c r="M39" s="365">
        <v>7.0410487499999999</v>
      </c>
      <c r="N39" s="365">
        <v>6.7361231249999998</v>
      </c>
      <c r="O39" s="365">
        <v>1.3557937499999999</v>
      </c>
      <c r="P39" s="365">
        <v>0.96067687499999999</v>
      </c>
      <c r="Q39" s="561" t="s">
        <v>220</v>
      </c>
    </row>
    <row r="40" spans="2:18" x14ac:dyDescent="0.25">
      <c r="B40" s="547">
        <v>3</v>
      </c>
      <c r="C40" s="658"/>
      <c r="D40" s="548" t="s">
        <v>30</v>
      </c>
      <c r="E40" s="541">
        <f t="shared" si="3"/>
        <v>0</v>
      </c>
      <c r="F40" s="414">
        <f>'TH theo DV'!H7</f>
        <v>0</v>
      </c>
      <c r="G40" s="414">
        <f>'TH theo DV'!R7</f>
        <v>0</v>
      </c>
      <c r="H40" s="394"/>
      <c r="I40" s="394"/>
      <c r="J40" s="496"/>
      <c r="K40" s="486">
        <v>0.98339502000000001</v>
      </c>
      <c r="L40" s="467">
        <v>0.21404855999999997</v>
      </c>
      <c r="M40" s="468">
        <v>0.31848520000000002</v>
      </c>
      <c r="N40" s="468">
        <v>0.28023068000000001</v>
      </c>
      <c r="O40" s="468">
        <v>9.1522079999999992E-2</v>
      </c>
      <c r="P40" s="468">
        <v>7.9108499999999998E-2</v>
      </c>
      <c r="Q40" s="562" t="s">
        <v>261</v>
      </c>
    </row>
    <row r="41" spans="2:18" x14ac:dyDescent="0.25">
      <c r="B41" s="547">
        <v>2</v>
      </c>
      <c r="C41" s="658"/>
      <c r="D41" s="548" t="s">
        <v>317</v>
      </c>
      <c r="E41" s="541">
        <f t="shared" si="3"/>
        <v>0</v>
      </c>
      <c r="F41" s="414"/>
      <c r="G41" s="414"/>
      <c r="H41" s="462"/>
      <c r="I41" s="462"/>
      <c r="J41" s="496"/>
      <c r="K41" s="486">
        <v>1.2236339826704987</v>
      </c>
      <c r="L41" s="469">
        <v>0.30214270588235292</v>
      </c>
      <c r="M41" s="470">
        <v>0.4153059295154185</v>
      </c>
      <c r="N41" s="470">
        <v>0.36709922727272731</v>
      </c>
      <c r="O41" s="470">
        <v>7.3865866666666669E-2</v>
      </c>
      <c r="P41" s="470">
        <v>6.5220253333333339E-2</v>
      </c>
      <c r="Q41" s="563" t="s">
        <v>273</v>
      </c>
    </row>
    <row r="42" spans="2:18" x14ac:dyDescent="0.25">
      <c r="B42" s="547">
        <v>4</v>
      </c>
      <c r="C42" s="658"/>
      <c r="D42" s="548" t="s">
        <v>31</v>
      </c>
      <c r="E42" s="541">
        <f t="shared" si="3"/>
        <v>0</v>
      </c>
      <c r="F42" s="414">
        <f>'TH theo DV'!J7</f>
        <v>0</v>
      </c>
      <c r="G42" s="414">
        <f>'TH theo DV'!T7</f>
        <v>0</v>
      </c>
      <c r="H42" s="366"/>
      <c r="I42" s="366"/>
      <c r="J42" s="496"/>
      <c r="K42" s="486">
        <v>0.80431999999999992</v>
      </c>
      <c r="L42" s="421">
        <v>0.22907</v>
      </c>
      <c r="M42" s="421">
        <v>0.27179999999999999</v>
      </c>
      <c r="N42" s="421">
        <v>0.17044000000000001</v>
      </c>
      <c r="O42" s="421">
        <v>9.0509999999999993E-2</v>
      </c>
      <c r="P42" s="422">
        <v>4.2500000000000003E-2</v>
      </c>
      <c r="Q42" s="561" t="s">
        <v>291</v>
      </c>
    </row>
    <row r="43" spans="2:18" x14ac:dyDescent="0.25">
      <c r="B43" s="547">
        <v>5</v>
      </c>
      <c r="C43" s="659"/>
      <c r="D43" s="548" t="s">
        <v>318</v>
      </c>
      <c r="E43" s="541">
        <f t="shared" si="3"/>
        <v>0</v>
      </c>
      <c r="F43" s="414">
        <f>'TH theo DV'!K7</f>
        <v>0</v>
      </c>
      <c r="G43" s="414">
        <f>'TH theo DV'!U7</f>
        <v>0</v>
      </c>
      <c r="H43" s="462"/>
      <c r="I43" s="462"/>
      <c r="J43" s="496"/>
      <c r="K43" s="486">
        <v>0.359296</v>
      </c>
      <c r="L43" s="467">
        <v>8.3006999999999997E-2</v>
      </c>
      <c r="M43" s="468">
        <v>0.12350800000000001</v>
      </c>
      <c r="N43" s="468">
        <v>0.108671</v>
      </c>
      <c r="O43" s="468">
        <v>2.3658999999999999E-2</v>
      </c>
      <c r="P43" s="468">
        <v>2.0451E-2</v>
      </c>
      <c r="Q43" s="563" t="s">
        <v>298</v>
      </c>
      <c r="R43" s="471"/>
    </row>
    <row r="45" spans="2:18" x14ac:dyDescent="0.25">
      <c r="B45" s="646" t="s">
        <v>322</v>
      </c>
      <c r="C45" s="646"/>
      <c r="D45" s="646"/>
      <c r="E45" s="646"/>
      <c r="F45" s="646"/>
      <c r="G45" s="646"/>
      <c r="H45" s="646"/>
      <c r="I45" s="580"/>
    </row>
    <row r="46" spans="2:18" ht="17.45" customHeight="1" x14ac:dyDescent="0.25">
      <c r="B46" s="640" t="s">
        <v>48</v>
      </c>
      <c r="C46" s="660" t="s">
        <v>311</v>
      </c>
      <c r="D46" s="640" t="s">
        <v>46</v>
      </c>
      <c r="E46" s="640" t="s">
        <v>41</v>
      </c>
      <c r="F46" s="640">
        <v>2027</v>
      </c>
      <c r="G46" s="640">
        <v>2028</v>
      </c>
      <c r="H46" s="640" t="s">
        <v>218</v>
      </c>
      <c r="I46" s="640"/>
      <c r="J46" s="492"/>
      <c r="K46" s="624" t="s">
        <v>217</v>
      </c>
      <c r="L46" s="624"/>
      <c r="M46" s="624"/>
      <c r="N46" s="624"/>
      <c r="O46" s="624"/>
      <c r="P46" s="624"/>
      <c r="Q46" s="638" t="s">
        <v>218</v>
      </c>
    </row>
    <row r="47" spans="2:18" ht="14.45" customHeight="1" x14ac:dyDescent="0.25">
      <c r="B47" s="640"/>
      <c r="C47" s="661"/>
      <c r="D47" s="640"/>
      <c r="E47" s="640"/>
      <c r="F47" s="640"/>
      <c r="G47" s="640"/>
      <c r="H47" s="584">
        <v>2027</v>
      </c>
      <c r="I47" s="584">
        <v>2028</v>
      </c>
      <c r="J47" s="492"/>
      <c r="K47" s="480" t="s">
        <v>41</v>
      </c>
      <c r="L47" s="448">
        <v>2026</v>
      </c>
      <c r="M47" s="448">
        <v>2027</v>
      </c>
      <c r="N47" s="448">
        <v>2028</v>
      </c>
      <c r="O47" s="448">
        <v>2029</v>
      </c>
      <c r="P47" s="448">
        <v>2030</v>
      </c>
      <c r="Q47" s="639"/>
    </row>
    <row r="48" spans="2:18" x14ac:dyDescent="0.25">
      <c r="B48" s="449"/>
      <c r="C48" s="449"/>
      <c r="D48" s="450" t="s">
        <v>41</v>
      </c>
      <c r="E48" s="541">
        <f t="shared" ref="E48:E54" si="4">SUM(F48:G48)</f>
        <v>0</v>
      </c>
      <c r="F48" s="450"/>
      <c r="G48" s="450"/>
      <c r="H48" s="449"/>
      <c r="I48" s="449"/>
      <c r="J48" s="493"/>
      <c r="K48" s="481">
        <v>6.3681397451413169</v>
      </c>
      <c r="L48" s="451">
        <v>1.5334955161711015</v>
      </c>
      <c r="M48" s="451">
        <v>1.5286645319660168</v>
      </c>
      <c r="N48" s="451">
        <v>1.3441915561368407</v>
      </c>
      <c r="O48" s="451">
        <v>1.0750041792655758</v>
      </c>
      <c r="P48" s="451">
        <v>0.88678396160178208</v>
      </c>
      <c r="Q48" s="558"/>
    </row>
    <row r="49" spans="2:17" ht="13.9" customHeight="1" x14ac:dyDescent="0.25">
      <c r="B49" s="547">
        <v>1</v>
      </c>
      <c r="C49" s="657" t="s">
        <v>274</v>
      </c>
      <c r="D49" s="548" t="s">
        <v>29</v>
      </c>
      <c r="E49" s="541">
        <f t="shared" si="4"/>
        <v>0</v>
      </c>
      <c r="F49" s="400"/>
      <c r="G49" s="400"/>
      <c r="H49" s="462"/>
      <c r="I49" s="462"/>
      <c r="J49" s="496"/>
      <c r="K49" s="486">
        <v>0</v>
      </c>
      <c r="L49" s="468">
        <v>0</v>
      </c>
      <c r="M49" s="468">
        <v>0</v>
      </c>
      <c r="N49" s="468">
        <v>0</v>
      </c>
      <c r="O49" s="468">
        <v>0</v>
      </c>
      <c r="P49" s="468">
        <v>0</v>
      </c>
      <c r="Q49" s="563"/>
    </row>
    <row r="50" spans="2:17" ht="43.9" customHeight="1" x14ac:dyDescent="0.25">
      <c r="B50" s="547">
        <v>2</v>
      </c>
      <c r="C50" s="658"/>
      <c r="D50" s="548" t="s">
        <v>28</v>
      </c>
      <c r="E50" s="541">
        <f t="shared" si="4"/>
        <v>0</v>
      </c>
      <c r="F50" s="400"/>
      <c r="G50" s="400"/>
      <c r="H50" s="462"/>
      <c r="I50" s="462"/>
      <c r="J50" s="496"/>
      <c r="K50" s="486">
        <v>1.4000000000000001</v>
      </c>
      <c r="L50" s="472">
        <v>0.26</v>
      </c>
      <c r="M50" s="472">
        <v>0.23</v>
      </c>
      <c r="N50" s="472">
        <v>0.26</v>
      </c>
      <c r="O50" s="472">
        <v>0.34</v>
      </c>
      <c r="P50" s="472">
        <v>0.31</v>
      </c>
      <c r="Q50" s="563" t="s">
        <v>239</v>
      </c>
    </row>
    <row r="51" spans="2:17" ht="33.6" customHeight="1" x14ac:dyDescent="0.25">
      <c r="B51" s="547">
        <v>3</v>
      </c>
      <c r="C51" s="658"/>
      <c r="D51" s="548" t="s">
        <v>30</v>
      </c>
      <c r="E51" s="541">
        <f t="shared" si="4"/>
        <v>0</v>
      </c>
      <c r="F51" s="400"/>
      <c r="G51" s="400"/>
      <c r="H51" s="394"/>
      <c r="I51" s="394"/>
      <c r="J51" s="496"/>
      <c r="K51" s="486">
        <v>2.914183062763239</v>
      </c>
      <c r="L51" s="468">
        <v>0.56518432195474522</v>
      </c>
      <c r="M51" s="468">
        <v>1.1032773180106339</v>
      </c>
      <c r="N51" s="468">
        <v>0.7705409209021421</v>
      </c>
      <c r="O51" s="468">
        <v>0.25498334317214466</v>
      </c>
      <c r="P51" s="468">
        <v>0.22019715872357304</v>
      </c>
      <c r="Q51" s="562" t="s">
        <v>262</v>
      </c>
    </row>
    <row r="52" spans="2:17" ht="49.15" customHeight="1" x14ac:dyDescent="0.25">
      <c r="B52" s="547">
        <v>4</v>
      </c>
      <c r="C52" s="658"/>
      <c r="D52" s="548" t="s">
        <v>317</v>
      </c>
      <c r="E52" s="541">
        <f t="shared" si="4"/>
        <v>0</v>
      </c>
      <c r="F52" s="400"/>
      <c r="G52" s="400"/>
      <c r="H52" s="462"/>
      <c r="I52" s="462"/>
      <c r="J52" s="496"/>
      <c r="K52" s="486">
        <v>2.0539566823780779</v>
      </c>
      <c r="L52" s="470">
        <v>0.70831119421635624</v>
      </c>
      <c r="M52" s="470">
        <v>0.19538721395538297</v>
      </c>
      <c r="N52" s="470">
        <v>0.31365063523469855</v>
      </c>
      <c r="O52" s="470">
        <v>0.4800208360934311</v>
      </c>
      <c r="P52" s="470">
        <v>0.35658680287820904</v>
      </c>
      <c r="Q52" s="579" t="s">
        <v>275</v>
      </c>
    </row>
    <row r="53" spans="2:17" x14ac:dyDescent="0.25">
      <c r="B53" s="547">
        <v>5</v>
      </c>
      <c r="C53" s="658"/>
      <c r="D53" s="548" t="s">
        <v>31</v>
      </c>
      <c r="E53" s="541">
        <f t="shared" si="4"/>
        <v>0</v>
      </c>
      <c r="F53" s="400"/>
      <c r="G53" s="400"/>
      <c r="H53" s="462"/>
      <c r="I53" s="462"/>
      <c r="J53" s="496"/>
      <c r="K53" s="486">
        <v>0</v>
      </c>
      <c r="L53" s="468">
        <v>0</v>
      </c>
      <c r="M53" s="468">
        <v>0</v>
      </c>
      <c r="N53" s="468">
        <v>0</v>
      </c>
      <c r="O53" s="468">
        <v>0</v>
      </c>
      <c r="P53" s="468">
        <v>0</v>
      </c>
      <c r="Q53" s="563"/>
    </row>
    <row r="54" spans="2:17" x14ac:dyDescent="0.25">
      <c r="B54" s="547">
        <v>6</v>
      </c>
      <c r="C54" s="659"/>
      <c r="D54" s="548" t="s">
        <v>318</v>
      </c>
      <c r="E54" s="541">
        <f t="shared" si="4"/>
        <v>0</v>
      </c>
      <c r="F54" s="400"/>
      <c r="G54" s="400"/>
      <c r="H54" s="462"/>
      <c r="I54" s="462"/>
      <c r="J54" s="496"/>
      <c r="K54" s="486">
        <v>0</v>
      </c>
      <c r="L54" s="468">
        <v>0</v>
      </c>
      <c r="M54" s="468">
        <v>0</v>
      </c>
      <c r="N54" s="468">
        <v>0</v>
      </c>
      <c r="O54" s="468">
        <v>0</v>
      </c>
      <c r="P54" s="468">
        <v>0</v>
      </c>
      <c r="Q54" s="563"/>
    </row>
    <row r="57" spans="2:17" x14ac:dyDescent="0.25">
      <c r="B57" s="647" t="s">
        <v>323</v>
      </c>
      <c r="C57" s="647"/>
      <c r="D57" s="647"/>
      <c r="E57" s="647"/>
      <c r="F57" s="647"/>
      <c r="G57" s="647"/>
      <c r="H57" s="647"/>
      <c r="I57" s="581"/>
    </row>
    <row r="58" spans="2:17" x14ac:dyDescent="0.25">
      <c r="B58" s="646" t="s">
        <v>324</v>
      </c>
      <c r="C58" s="646"/>
      <c r="D58" s="646"/>
      <c r="E58" s="646"/>
      <c r="F58" s="646"/>
      <c r="G58" s="646"/>
      <c r="H58" s="646"/>
      <c r="I58" s="580"/>
    </row>
    <row r="59" spans="2:17" ht="19.899999999999999" customHeight="1" x14ac:dyDescent="0.25">
      <c r="B59" s="640" t="s">
        <v>48</v>
      </c>
      <c r="C59" s="660" t="s">
        <v>311</v>
      </c>
      <c r="D59" s="640" t="s">
        <v>46</v>
      </c>
      <c r="E59" s="640" t="s">
        <v>41</v>
      </c>
      <c r="F59" s="640">
        <v>2027</v>
      </c>
      <c r="G59" s="640">
        <v>2028</v>
      </c>
      <c r="H59" s="640" t="s">
        <v>218</v>
      </c>
      <c r="I59" s="640"/>
      <c r="J59" s="492"/>
      <c r="K59" s="624" t="s">
        <v>217</v>
      </c>
      <c r="L59" s="624"/>
      <c r="M59" s="624"/>
      <c r="N59" s="624"/>
      <c r="O59" s="624"/>
      <c r="P59" s="624"/>
      <c r="Q59" s="638" t="s">
        <v>218</v>
      </c>
    </row>
    <row r="60" spans="2:17" ht="15.6" customHeight="1" x14ac:dyDescent="0.25">
      <c r="B60" s="640"/>
      <c r="C60" s="661"/>
      <c r="D60" s="640"/>
      <c r="E60" s="640"/>
      <c r="F60" s="640"/>
      <c r="G60" s="640"/>
      <c r="H60" s="584">
        <v>2027</v>
      </c>
      <c r="I60" s="584">
        <v>2028</v>
      </c>
      <c r="J60" s="492"/>
      <c r="K60" s="480" t="s">
        <v>41</v>
      </c>
      <c r="L60" s="448">
        <v>2026</v>
      </c>
      <c r="M60" s="448">
        <v>2027</v>
      </c>
      <c r="N60" s="448">
        <v>2028</v>
      </c>
      <c r="O60" s="448">
        <v>2029</v>
      </c>
      <c r="P60" s="448">
        <v>2030</v>
      </c>
      <c r="Q60" s="639"/>
    </row>
    <row r="61" spans="2:17" x14ac:dyDescent="0.25">
      <c r="B61" s="543"/>
      <c r="C61" s="543"/>
      <c r="D61" s="544" t="s">
        <v>41</v>
      </c>
      <c r="E61" s="541">
        <f t="shared" ref="E61:E67" si="5">SUM(F61:G61)</f>
        <v>0</v>
      </c>
      <c r="F61" s="541"/>
      <c r="G61" s="541"/>
      <c r="H61" s="541"/>
      <c r="I61" s="541"/>
      <c r="J61" s="493"/>
      <c r="K61" s="481">
        <v>17.074970752446276</v>
      </c>
      <c r="L61" s="451">
        <v>3.4223591825377895</v>
      </c>
      <c r="M61" s="451">
        <v>4.2081832755169124</v>
      </c>
      <c r="N61" s="451">
        <v>3.7746937942686571</v>
      </c>
      <c r="O61" s="451">
        <v>2.8023251178576079</v>
      </c>
      <c r="P61" s="451">
        <v>2.8674093822653099</v>
      </c>
      <c r="Q61" s="558"/>
    </row>
    <row r="62" spans="2:17" ht="34.9" customHeight="1" x14ac:dyDescent="0.25">
      <c r="B62" s="547">
        <v>1</v>
      </c>
      <c r="C62" s="657" t="s">
        <v>325</v>
      </c>
      <c r="D62" s="548" t="s">
        <v>326</v>
      </c>
      <c r="E62" s="541">
        <f t="shared" si="5"/>
        <v>0</v>
      </c>
      <c r="F62" s="414">
        <f>'TH theo DV'!F17</f>
        <v>0</v>
      </c>
      <c r="G62" s="414">
        <f>'TH theo DV'!P17</f>
        <v>0</v>
      </c>
      <c r="H62" s="462"/>
      <c r="I62" s="462"/>
      <c r="J62" s="496"/>
      <c r="K62" s="485">
        <v>1.5767199999999999</v>
      </c>
      <c r="L62" s="468">
        <v>7.1999999999999995E-2</v>
      </c>
      <c r="M62" s="468">
        <v>0.86448000000000003</v>
      </c>
      <c r="N62" s="468">
        <v>0.64024000000000003</v>
      </c>
      <c r="O62" s="468">
        <v>0</v>
      </c>
      <c r="P62" s="468">
        <v>0</v>
      </c>
      <c r="Q62" s="563" t="s">
        <v>327</v>
      </c>
    </row>
    <row r="63" spans="2:17" ht="34.9" customHeight="1" x14ac:dyDescent="0.25">
      <c r="B63" s="547">
        <v>2</v>
      </c>
      <c r="C63" s="658"/>
      <c r="D63" s="548" t="s">
        <v>328</v>
      </c>
      <c r="E63" s="541">
        <f t="shared" si="5"/>
        <v>0</v>
      </c>
      <c r="F63" s="414">
        <f>'TH theo DV'!F16</f>
        <v>0</v>
      </c>
      <c r="G63" s="414">
        <f>'TH theo DV'!P16</f>
        <v>0</v>
      </c>
      <c r="H63" s="462"/>
      <c r="I63" s="462"/>
      <c r="J63" s="496"/>
      <c r="K63" s="485">
        <v>6.9064829999999997</v>
      </c>
      <c r="L63" s="377">
        <v>1.5144759999999999</v>
      </c>
      <c r="M63" s="468">
        <v>1.162536</v>
      </c>
      <c r="N63" s="468">
        <v>1.252383</v>
      </c>
      <c r="O63" s="468">
        <v>1.420917</v>
      </c>
      <c r="P63" s="468">
        <v>1.556171</v>
      </c>
      <c r="Q63" s="563" t="s">
        <v>329</v>
      </c>
    </row>
    <row r="64" spans="2:17" ht="34.9" customHeight="1" x14ac:dyDescent="0.25">
      <c r="B64" s="547"/>
      <c r="C64" s="658"/>
      <c r="D64" s="548" t="s">
        <v>330</v>
      </c>
      <c r="E64" s="541">
        <f t="shared" si="5"/>
        <v>0</v>
      </c>
      <c r="F64" s="414">
        <f>'TH theo DV'!F28</f>
        <v>0</v>
      </c>
      <c r="G64" s="414">
        <f>'TH theo DV'!P28</f>
        <v>0</v>
      </c>
      <c r="H64" s="462"/>
      <c r="I64" s="462"/>
      <c r="J64" s="496"/>
      <c r="K64" s="485">
        <v>0.35000000000000003</v>
      </c>
      <c r="L64" s="468">
        <v>7.0000000000000007E-2</v>
      </c>
      <c r="M64" s="468">
        <v>7.0000000000000007E-2</v>
      </c>
      <c r="N64" s="468">
        <v>7.0000000000000007E-2</v>
      </c>
      <c r="O64" s="468">
        <v>7.0000000000000007E-2</v>
      </c>
      <c r="P64" s="468">
        <v>7.0000000000000007E-2</v>
      </c>
      <c r="Q64" s="563" t="s">
        <v>232</v>
      </c>
    </row>
    <row r="65" spans="2:17" ht="34.9" customHeight="1" x14ac:dyDescent="0.25">
      <c r="B65" s="547">
        <v>4</v>
      </c>
      <c r="C65" s="658"/>
      <c r="D65" s="548" t="s">
        <v>30</v>
      </c>
      <c r="E65" s="541">
        <f t="shared" si="5"/>
        <v>0</v>
      </c>
      <c r="F65" s="414">
        <f>'TH theo DV'!H15</f>
        <v>0</v>
      </c>
      <c r="G65" s="414">
        <f>'TH theo DV'!R15</f>
        <v>0</v>
      </c>
      <c r="H65" s="394"/>
      <c r="I65" s="394"/>
      <c r="J65" s="496"/>
      <c r="K65" s="485">
        <v>3.280188680712111</v>
      </c>
      <c r="L65" s="468">
        <v>0.58235224798560048</v>
      </c>
      <c r="M65" s="468">
        <v>1.1242816809456144</v>
      </c>
      <c r="N65" s="468">
        <v>0.9131186126863382</v>
      </c>
      <c r="O65" s="468">
        <v>0.3437019539510392</v>
      </c>
      <c r="P65" s="468">
        <v>0.31673418514351875</v>
      </c>
      <c r="Q65" s="562" t="s">
        <v>267</v>
      </c>
    </row>
    <row r="66" spans="2:17" ht="70.150000000000006" customHeight="1" x14ac:dyDescent="0.25">
      <c r="B66" s="547">
        <v>5</v>
      </c>
      <c r="C66" s="658"/>
      <c r="D66" s="548" t="s">
        <v>317</v>
      </c>
      <c r="E66" s="541">
        <f t="shared" si="5"/>
        <v>0</v>
      </c>
      <c r="F66" s="414"/>
      <c r="G66" s="414"/>
      <c r="H66" s="462"/>
      <c r="I66" s="462"/>
      <c r="J66" s="496"/>
      <c r="K66" s="485">
        <v>4.8369640717341653</v>
      </c>
      <c r="L66" s="470">
        <v>1.1560629345521887</v>
      </c>
      <c r="M66" s="470">
        <v>0.96283359457129813</v>
      </c>
      <c r="N66" s="470">
        <v>0.88028718158231911</v>
      </c>
      <c r="O66" s="470">
        <v>0.94334116390656864</v>
      </c>
      <c r="P66" s="470">
        <v>0.89443919712179099</v>
      </c>
      <c r="Q66" s="563" t="s">
        <v>281</v>
      </c>
    </row>
    <row r="67" spans="2:17" ht="22.15" customHeight="1" x14ac:dyDescent="0.25">
      <c r="B67" s="547">
        <v>6</v>
      </c>
      <c r="C67" s="659"/>
      <c r="D67" s="548" t="s">
        <v>31</v>
      </c>
      <c r="E67" s="541">
        <f t="shared" si="5"/>
        <v>0</v>
      </c>
      <c r="F67" s="414">
        <f>'TH theo DV'!J15</f>
        <v>0</v>
      </c>
      <c r="G67" s="414">
        <f>'TH theo DV'!T15</f>
        <v>0</v>
      </c>
      <c r="H67" s="366"/>
      <c r="I67" s="366"/>
      <c r="J67" s="496"/>
      <c r="K67" s="485">
        <v>0.124615</v>
      </c>
      <c r="L67" s="421">
        <v>2.7467999999999999E-2</v>
      </c>
      <c r="M67" s="421">
        <v>2.4052E-2</v>
      </c>
      <c r="N67" s="421">
        <v>1.8665000000000001E-2</v>
      </c>
      <c r="O67" s="421">
        <v>2.4365000000000001E-2</v>
      </c>
      <c r="P67" s="422">
        <v>3.0065000000000001E-2</v>
      </c>
      <c r="Q67" s="561" t="s">
        <v>294</v>
      </c>
    </row>
    <row r="69" spans="2:17" x14ac:dyDescent="0.25">
      <c r="B69" s="647" t="s">
        <v>331</v>
      </c>
      <c r="C69" s="647"/>
      <c r="D69" s="647"/>
      <c r="E69" s="647"/>
      <c r="F69" s="647"/>
      <c r="G69" s="647"/>
      <c r="H69" s="647"/>
      <c r="I69" s="581"/>
    </row>
    <row r="70" spans="2:17" x14ac:dyDescent="0.25">
      <c r="B70" s="646" t="s">
        <v>332</v>
      </c>
      <c r="C70" s="646"/>
      <c r="D70" s="646"/>
      <c r="E70" s="646"/>
      <c r="F70" s="646"/>
      <c r="G70" s="646"/>
      <c r="H70" s="646"/>
      <c r="I70" s="580"/>
    </row>
    <row r="71" spans="2:17" ht="19.899999999999999" customHeight="1" x14ac:dyDescent="0.25">
      <c r="B71" s="640" t="s">
        <v>48</v>
      </c>
      <c r="C71" s="640" t="s">
        <v>311</v>
      </c>
      <c r="D71" s="640" t="s">
        <v>46</v>
      </c>
      <c r="E71" s="640" t="s">
        <v>41</v>
      </c>
      <c r="F71" s="640">
        <v>2027</v>
      </c>
      <c r="G71" s="640">
        <v>2028</v>
      </c>
      <c r="H71" s="640" t="s">
        <v>218</v>
      </c>
      <c r="I71" s="640"/>
      <c r="J71" s="492"/>
      <c r="K71" s="624" t="s">
        <v>217</v>
      </c>
      <c r="L71" s="624"/>
      <c r="M71" s="624"/>
      <c r="N71" s="624"/>
      <c r="O71" s="624"/>
      <c r="P71" s="624"/>
      <c r="Q71" s="638" t="s">
        <v>218</v>
      </c>
    </row>
    <row r="72" spans="2:17" ht="15.6" customHeight="1" x14ac:dyDescent="0.25">
      <c r="B72" s="640"/>
      <c r="C72" s="640"/>
      <c r="D72" s="640"/>
      <c r="E72" s="640"/>
      <c r="F72" s="640"/>
      <c r="G72" s="640"/>
      <c r="H72" s="584">
        <v>2027</v>
      </c>
      <c r="I72" s="584">
        <v>2028</v>
      </c>
      <c r="J72" s="492"/>
      <c r="K72" s="480" t="s">
        <v>41</v>
      </c>
      <c r="L72" s="448">
        <v>2026</v>
      </c>
      <c r="M72" s="448">
        <v>2027</v>
      </c>
      <c r="N72" s="448">
        <v>2028</v>
      </c>
      <c r="O72" s="448">
        <v>2029</v>
      </c>
      <c r="P72" s="448">
        <v>2030</v>
      </c>
      <c r="Q72" s="639"/>
    </row>
    <row r="73" spans="2:17" x14ac:dyDescent="0.25">
      <c r="B73" s="543"/>
      <c r="C73" s="543"/>
      <c r="D73" s="544" t="s">
        <v>41</v>
      </c>
      <c r="E73" s="541">
        <f t="shared" ref="E73:E75" si="6">SUM(F73:G73)</f>
        <v>0</v>
      </c>
      <c r="F73" s="541"/>
      <c r="G73" s="541"/>
      <c r="H73" s="541"/>
      <c r="I73" s="541"/>
      <c r="J73" s="493"/>
      <c r="K73" s="481">
        <v>13.713055803533569</v>
      </c>
      <c r="L73" s="451">
        <v>2.3003343243031016</v>
      </c>
      <c r="M73" s="451">
        <v>2.8894226153121321</v>
      </c>
      <c r="N73" s="451">
        <v>2.7835019243031014</v>
      </c>
      <c r="O73" s="451">
        <v>2.9053446153121318</v>
      </c>
      <c r="P73" s="451">
        <v>2.8344523243031015</v>
      </c>
      <c r="Q73" s="558"/>
    </row>
    <row r="74" spans="2:17" ht="40.15" customHeight="1" x14ac:dyDescent="0.25">
      <c r="B74" s="547">
        <v>2</v>
      </c>
      <c r="C74" s="634" t="s">
        <v>21</v>
      </c>
      <c r="D74" s="552" t="s">
        <v>333</v>
      </c>
      <c r="E74" s="541">
        <f t="shared" si="6"/>
        <v>0</v>
      </c>
      <c r="F74" s="376">
        <f>'TH theo DV'!L23</f>
        <v>0</v>
      </c>
      <c r="G74" s="376">
        <f>'TH theo DV'!V23</f>
        <v>0</v>
      </c>
      <c r="H74" s="462"/>
      <c r="I74" s="462"/>
      <c r="J74" s="497"/>
      <c r="K74" s="485">
        <v>3.25</v>
      </c>
      <c r="L74" s="468">
        <v>0.65</v>
      </c>
      <c r="M74" s="468">
        <v>0.65</v>
      </c>
      <c r="N74" s="468">
        <v>0.65</v>
      </c>
      <c r="O74" s="468">
        <v>0.65</v>
      </c>
      <c r="P74" s="468">
        <v>0.65</v>
      </c>
      <c r="Q74" s="563" t="s">
        <v>258</v>
      </c>
    </row>
    <row r="75" spans="2:17" ht="47.25" x14ac:dyDescent="0.25">
      <c r="B75" s="547">
        <v>3</v>
      </c>
      <c r="C75" s="634"/>
      <c r="D75" s="548" t="s">
        <v>334</v>
      </c>
      <c r="E75" s="541">
        <f t="shared" si="6"/>
        <v>0</v>
      </c>
      <c r="F75" s="414">
        <f>'TH theo DV'!L24</f>
        <v>0</v>
      </c>
      <c r="G75" s="414">
        <f>'TH theo DV'!V24</f>
        <v>0</v>
      </c>
      <c r="H75" s="462"/>
      <c r="I75" s="462"/>
      <c r="J75" s="496"/>
      <c r="K75" s="485">
        <v>10.463055803533569</v>
      </c>
      <c r="L75" s="468">
        <v>1.6503343243031017</v>
      </c>
      <c r="M75" s="468">
        <v>2.2394226153121322</v>
      </c>
      <c r="N75" s="468">
        <v>2.1335019243031015</v>
      </c>
      <c r="O75" s="468">
        <v>2.2553446153121319</v>
      </c>
      <c r="P75" s="468">
        <v>2.1844523243031015</v>
      </c>
      <c r="Q75" s="563" t="s">
        <v>250</v>
      </c>
    </row>
    <row r="77" spans="2:17" x14ac:dyDescent="0.25">
      <c r="B77" s="647" t="s">
        <v>335</v>
      </c>
      <c r="C77" s="647"/>
      <c r="D77" s="647"/>
      <c r="E77" s="647"/>
      <c r="F77" s="647"/>
      <c r="G77" s="647"/>
      <c r="H77" s="647"/>
      <c r="I77" s="581"/>
    </row>
    <row r="78" spans="2:17" ht="18.600000000000001" customHeight="1" x14ac:dyDescent="0.25">
      <c r="B78" s="500"/>
      <c r="C78" s="500"/>
      <c r="D78" s="500"/>
      <c r="E78" s="492"/>
      <c r="F78" s="492"/>
      <c r="G78" s="492"/>
      <c r="H78" s="500"/>
      <c r="I78" s="500"/>
      <c r="J78" s="492"/>
      <c r="K78" s="624" t="s">
        <v>217</v>
      </c>
      <c r="L78" s="624"/>
      <c r="M78" s="624"/>
      <c r="N78" s="624"/>
      <c r="O78" s="624"/>
      <c r="P78" s="624"/>
      <c r="Q78" s="638" t="s">
        <v>218</v>
      </c>
    </row>
    <row r="79" spans="2:17" ht="18.600000000000001" customHeight="1" x14ac:dyDescent="0.25">
      <c r="B79" s="479" t="s">
        <v>48</v>
      </c>
      <c r="C79" s="479" t="s">
        <v>311</v>
      </c>
      <c r="D79" s="479" t="s">
        <v>46</v>
      </c>
      <c r="E79" s="448" t="s">
        <v>41</v>
      </c>
      <c r="F79" s="448">
        <v>2027</v>
      </c>
      <c r="G79" s="448">
        <v>2028</v>
      </c>
      <c r="H79" s="479" t="s">
        <v>218</v>
      </c>
      <c r="I79" s="479" t="s">
        <v>218</v>
      </c>
      <c r="J79" s="492"/>
      <c r="K79" s="480" t="s">
        <v>41</v>
      </c>
      <c r="L79" s="448">
        <v>2026</v>
      </c>
      <c r="M79" s="448">
        <v>2027</v>
      </c>
      <c r="N79" s="448">
        <v>2028</v>
      </c>
      <c r="O79" s="448">
        <v>2029</v>
      </c>
      <c r="P79" s="448">
        <v>2030</v>
      </c>
      <c r="Q79" s="639"/>
    </row>
    <row r="80" spans="2:17" ht="18.600000000000001" customHeight="1" x14ac:dyDescent="0.25">
      <c r="B80" s="543"/>
      <c r="C80" s="543"/>
      <c r="D80" s="544" t="s">
        <v>41</v>
      </c>
      <c r="E80" s="541">
        <f t="shared" ref="E80:E83" si="7">SUM(F80:G80)</f>
        <v>0</v>
      </c>
      <c r="F80" s="541"/>
      <c r="G80" s="541"/>
      <c r="H80" s="541"/>
      <c r="I80" s="541"/>
      <c r="J80" s="493"/>
      <c r="K80" s="481">
        <v>13.398576470588237</v>
      </c>
      <c r="L80" s="451">
        <v>7.0185764705882354</v>
      </c>
      <c r="M80" s="451">
        <v>3.2192156862745103</v>
      </c>
      <c r="N80" s="451">
        <v>1.6882352941176473</v>
      </c>
      <c r="O80" s="451">
        <v>0.70000000000000018</v>
      </c>
      <c r="P80" s="451">
        <v>0.77254901960784306</v>
      </c>
      <c r="Q80" s="558"/>
    </row>
    <row r="81" spans="2:17" ht="43.9" customHeight="1" x14ac:dyDescent="0.25">
      <c r="B81" s="545">
        <v>1</v>
      </c>
      <c r="C81" s="641" t="s">
        <v>336</v>
      </c>
      <c r="D81" s="552" t="s">
        <v>337</v>
      </c>
      <c r="E81" s="541">
        <f t="shared" si="7"/>
        <v>0</v>
      </c>
      <c r="F81" s="473"/>
      <c r="G81" s="473"/>
      <c r="H81" s="366"/>
      <c r="I81" s="366"/>
      <c r="J81" s="497"/>
      <c r="K81" s="487">
        <v>11.964376470588237</v>
      </c>
      <c r="L81" s="377">
        <v>6.6843764705882354</v>
      </c>
      <c r="M81" s="377">
        <v>2.91921568627451</v>
      </c>
      <c r="N81" s="377">
        <v>1.3882352941176472</v>
      </c>
      <c r="O81" s="377">
        <v>0.40000000000000008</v>
      </c>
      <c r="P81" s="377">
        <v>0.5725490196078431</v>
      </c>
      <c r="Q81" s="561" t="s">
        <v>286</v>
      </c>
    </row>
    <row r="82" spans="2:17" ht="22.9" customHeight="1" x14ac:dyDescent="0.25">
      <c r="B82" s="545">
        <v>2</v>
      </c>
      <c r="C82" s="641"/>
      <c r="D82" s="552" t="s">
        <v>338</v>
      </c>
      <c r="E82" s="541">
        <f t="shared" si="7"/>
        <v>0</v>
      </c>
      <c r="F82" s="473"/>
      <c r="G82" s="473"/>
      <c r="H82" s="366"/>
      <c r="I82" s="366"/>
      <c r="J82" s="497"/>
      <c r="K82" s="487">
        <v>0.30000000000000004</v>
      </c>
      <c r="L82" s="377">
        <v>0</v>
      </c>
      <c r="M82" s="377">
        <v>0.1</v>
      </c>
      <c r="N82" s="377">
        <v>0.1</v>
      </c>
      <c r="O82" s="377">
        <v>0.1</v>
      </c>
      <c r="P82" s="377">
        <v>0</v>
      </c>
      <c r="Q82" s="561" t="s">
        <v>288</v>
      </c>
    </row>
    <row r="83" spans="2:17" x14ac:dyDescent="0.25">
      <c r="B83" s="545">
        <v>3</v>
      </c>
      <c r="C83" s="641"/>
      <c r="D83" s="552" t="s">
        <v>160</v>
      </c>
      <c r="E83" s="541">
        <f t="shared" si="7"/>
        <v>0</v>
      </c>
      <c r="F83" s="473"/>
      <c r="G83" s="473"/>
      <c r="H83" s="366"/>
      <c r="I83" s="366"/>
      <c r="J83" s="497"/>
      <c r="K83" s="487">
        <v>1.1341999999999999</v>
      </c>
      <c r="L83" s="377">
        <v>0.3342</v>
      </c>
      <c r="M83" s="377">
        <v>0.2</v>
      </c>
      <c r="N83" s="377">
        <v>0.2</v>
      </c>
      <c r="O83" s="377">
        <v>0.2</v>
      </c>
      <c r="P83" s="377">
        <v>0.2</v>
      </c>
      <c r="Q83" s="561" t="s">
        <v>289</v>
      </c>
    </row>
    <row r="84" spans="2:17" ht="14.65" customHeight="1" x14ac:dyDescent="0.25">
      <c r="B84" s="549"/>
      <c r="C84" s="553"/>
      <c r="D84" s="554"/>
      <c r="E84" s="474"/>
      <c r="F84" s="474"/>
      <c r="G84" s="474"/>
      <c r="H84" s="475"/>
      <c r="I84" s="475"/>
      <c r="J84" s="498"/>
      <c r="K84" s="464"/>
      <c r="L84" s="465"/>
      <c r="M84" s="465"/>
      <c r="N84" s="465"/>
      <c r="O84" s="465"/>
      <c r="P84" s="465"/>
      <c r="Q84" s="565"/>
    </row>
    <row r="85" spans="2:17" ht="16.149999999999999" customHeight="1" x14ac:dyDescent="0.25">
      <c r="B85" s="549"/>
      <c r="C85" s="553"/>
      <c r="D85" s="554"/>
      <c r="E85" s="474"/>
      <c r="F85" s="474"/>
      <c r="G85" s="474"/>
      <c r="H85" s="475"/>
      <c r="I85" s="475"/>
      <c r="J85" s="498"/>
      <c r="K85" s="464"/>
      <c r="L85" s="465"/>
      <c r="M85" s="465"/>
      <c r="N85" s="465"/>
      <c r="O85" s="465"/>
      <c r="P85" s="465"/>
      <c r="Q85" s="565"/>
    </row>
    <row r="86" spans="2:17" x14ac:dyDescent="0.25">
      <c r="B86" s="647" t="s">
        <v>339</v>
      </c>
      <c r="C86" s="647"/>
      <c r="D86" s="647"/>
      <c r="E86" s="647"/>
      <c r="F86" s="647"/>
      <c r="G86" s="647"/>
      <c r="H86" s="647"/>
      <c r="I86" s="581"/>
    </row>
    <row r="87" spans="2:17" x14ac:dyDescent="0.25">
      <c r="B87" s="646" t="s">
        <v>287</v>
      </c>
      <c r="C87" s="646"/>
      <c r="D87" s="646"/>
      <c r="E87" s="646"/>
      <c r="F87" s="646"/>
      <c r="G87" s="646"/>
      <c r="H87" s="646"/>
      <c r="I87" s="580"/>
    </row>
    <row r="88" spans="2:17" ht="19.899999999999999" customHeight="1" x14ac:dyDescent="0.25">
      <c r="B88" s="640" t="s">
        <v>48</v>
      </c>
      <c r="C88" s="640" t="s">
        <v>311</v>
      </c>
      <c r="D88" s="640" t="s">
        <v>46</v>
      </c>
      <c r="E88" s="640" t="s">
        <v>41</v>
      </c>
      <c r="F88" s="640">
        <v>2027</v>
      </c>
      <c r="G88" s="640">
        <v>2028</v>
      </c>
      <c r="H88" s="640" t="s">
        <v>218</v>
      </c>
      <c r="I88" s="640"/>
      <c r="J88" s="492"/>
      <c r="K88" s="624" t="s">
        <v>217</v>
      </c>
      <c r="L88" s="624"/>
      <c r="M88" s="624"/>
      <c r="N88" s="624"/>
      <c r="O88" s="624"/>
      <c r="P88" s="624"/>
      <c r="Q88" s="638" t="s">
        <v>218</v>
      </c>
    </row>
    <row r="89" spans="2:17" x14ac:dyDescent="0.25">
      <c r="B89" s="640"/>
      <c r="C89" s="640"/>
      <c r="D89" s="640"/>
      <c r="E89" s="640"/>
      <c r="F89" s="640"/>
      <c r="G89" s="640"/>
      <c r="H89" s="584">
        <v>2027</v>
      </c>
      <c r="I89" s="584">
        <v>2028</v>
      </c>
      <c r="J89" s="492"/>
      <c r="K89" s="480" t="s">
        <v>41</v>
      </c>
      <c r="L89" s="448">
        <v>2026</v>
      </c>
      <c r="M89" s="448">
        <v>2027</v>
      </c>
      <c r="N89" s="448">
        <v>2028</v>
      </c>
      <c r="O89" s="448">
        <v>2029</v>
      </c>
      <c r="P89" s="448">
        <v>2030</v>
      </c>
      <c r="Q89" s="639"/>
    </row>
    <row r="90" spans="2:17" x14ac:dyDescent="0.25">
      <c r="B90" s="543"/>
      <c r="C90" s="543"/>
      <c r="D90" s="544" t="s">
        <v>41</v>
      </c>
      <c r="E90" s="541">
        <f t="shared" ref="E90:E97" si="8">SUM(F90:G90)</f>
        <v>0</v>
      </c>
      <c r="F90" s="541"/>
      <c r="G90" s="541"/>
      <c r="H90" s="541"/>
      <c r="I90" s="541"/>
      <c r="J90" s="493"/>
      <c r="K90" s="481">
        <v>15.9454405</v>
      </c>
      <c r="L90" s="451">
        <v>2.8421045000000005</v>
      </c>
      <c r="M90" s="451">
        <v>4.5570839999999997</v>
      </c>
      <c r="N90" s="451">
        <v>5.5945840000000002</v>
      </c>
      <c r="O90" s="451">
        <v>1.8270840000000002</v>
      </c>
      <c r="P90" s="451">
        <v>1.124584</v>
      </c>
      <c r="Q90" s="558"/>
    </row>
    <row r="91" spans="2:17" ht="45" customHeight="1" x14ac:dyDescent="0.25">
      <c r="B91" s="545">
        <v>1</v>
      </c>
      <c r="C91" s="641" t="s">
        <v>287</v>
      </c>
      <c r="D91" s="552" t="s">
        <v>29</v>
      </c>
      <c r="E91" s="541">
        <f t="shared" si="8"/>
        <v>0</v>
      </c>
      <c r="F91" s="376">
        <f>'TH theo DV'!D28</f>
        <v>0</v>
      </c>
      <c r="G91" s="376">
        <f>'TH theo DV'!N28</f>
        <v>0</v>
      </c>
      <c r="H91" s="394"/>
      <c r="I91" s="394"/>
      <c r="J91" s="497"/>
      <c r="K91" s="488">
        <v>1.3273245</v>
      </c>
      <c r="L91" s="365">
        <v>0.17232449999999999</v>
      </c>
      <c r="M91" s="365">
        <v>0.47749999999999998</v>
      </c>
      <c r="N91" s="365">
        <v>0.1</v>
      </c>
      <c r="O91" s="365">
        <v>0.47749999999999998</v>
      </c>
      <c r="P91" s="365">
        <v>0.1</v>
      </c>
      <c r="Q91" s="562" t="s">
        <v>340</v>
      </c>
    </row>
    <row r="92" spans="2:17" x14ac:dyDescent="0.25">
      <c r="B92" s="545">
        <v>2</v>
      </c>
      <c r="C92" s="641"/>
      <c r="D92" s="552" t="s">
        <v>28</v>
      </c>
      <c r="E92" s="541">
        <f t="shared" si="8"/>
        <v>0</v>
      </c>
      <c r="F92" s="376">
        <f>'TH theo DV'!E28</f>
        <v>0</v>
      </c>
      <c r="G92" s="376">
        <f>'TH theo DV'!O28</f>
        <v>0</v>
      </c>
      <c r="H92" s="462"/>
      <c r="I92" s="462"/>
      <c r="J92" s="497"/>
      <c r="K92" s="488">
        <v>3.12</v>
      </c>
      <c r="L92" s="472">
        <v>0.54</v>
      </c>
      <c r="M92" s="472">
        <v>1.42</v>
      </c>
      <c r="N92" s="472">
        <v>1.1599999999999999</v>
      </c>
      <c r="O92" s="468">
        <v>0</v>
      </c>
      <c r="P92" s="468">
        <v>0</v>
      </c>
      <c r="Q92" s="563" t="s">
        <v>243</v>
      </c>
    </row>
    <row r="93" spans="2:17" ht="31.5" x14ac:dyDescent="0.25">
      <c r="B93" s="545">
        <v>3</v>
      </c>
      <c r="C93" s="641"/>
      <c r="D93" s="552" t="s">
        <v>341</v>
      </c>
      <c r="E93" s="541">
        <f t="shared" si="8"/>
        <v>0</v>
      </c>
      <c r="F93" s="376">
        <f>'TH theo DV'!H28</f>
        <v>0</v>
      </c>
      <c r="G93" s="376">
        <f>'TH theo DV'!R28</f>
        <v>0</v>
      </c>
      <c r="H93" s="395"/>
      <c r="I93" s="395"/>
      <c r="J93" s="497"/>
      <c r="K93" s="488">
        <v>5.8375959999999996</v>
      </c>
      <c r="L93" s="393">
        <v>1.4075960000000001</v>
      </c>
      <c r="M93" s="393">
        <v>2.0249999999999999</v>
      </c>
      <c r="N93" s="393">
        <v>1.3</v>
      </c>
      <c r="O93" s="393">
        <v>0.71499999999999997</v>
      </c>
      <c r="P93" s="393">
        <v>0.39</v>
      </c>
      <c r="Q93" s="566" t="s">
        <v>268</v>
      </c>
    </row>
    <row r="94" spans="2:17" ht="31.5" x14ac:dyDescent="0.25">
      <c r="B94" s="545"/>
      <c r="C94" s="641"/>
      <c r="D94" s="552" t="s">
        <v>342</v>
      </c>
      <c r="E94" s="541">
        <f t="shared" si="8"/>
        <v>0</v>
      </c>
      <c r="F94" s="376"/>
      <c r="G94" s="376"/>
      <c r="H94" s="462"/>
      <c r="I94" s="462"/>
      <c r="J94" s="497"/>
      <c r="K94" s="488">
        <v>0</v>
      </c>
      <c r="L94" s="468">
        <v>0</v>
      </c>
      <c r="M94" s="468">
        <v>0</v>
      </c>
      <c r="N94" s="468">
        <v>0</v>
      </c>
      <c r="O94" s="468">
        <v>0</v>
      </c>
      <c r="P94" s="468">
        <v>0</v>
      </c>
      <c r="Q94" s="563"/>
    </row>
    <row r="95" spans="2:17" ht="58.9" customHeight="1" x14ac:dyDescent="0.25">
      <c r="B95" s="545">
        <v>4</v>
      </c>
      <c r="C95" s="641"/>
      <c r="D95" s="552" t="s">
        <v>21</v>
      </c>
      <c r="E95" s="541">
        <f t="shared" si="8"/>
        <v>0</v>
      </c>
      <c r="F95" s="376">
        <f>'TH theo DV'!G28</f>
        <v>0</v>
      </c>
      <c r="G95" s="376">
        <f>'TH theo DV'!Q28</f>
        <v>0</v>
      </c>
      <c r="H95" s="462"/>
      <c r="I95" s="462"/>
      <c r="J95" s="497"/>
      <c r="K95" s="488">
        <v>4.9729200000000002</v>
      </c>
      <c r="L95" s="468">
        <v>0.51458400000000004</v>
      </c>
      <c r="M95" s="468">
        <v>0.51458400000000004</v>
      </c>
      <c r="N95" s="468">
        <v>2.9145840000000001</v>
      </c>
      <c r="O95" s="468">
        <v>0.51458400000000004</v>
      </c>
      <c r="P95" s="468">
        <v>0.51458400000000004</v>
      </c>
      <c r="Q95" s="563" t="s">
        <v>343</v>
      </c>
    </row>
    <row r="96" spans="2:17" ht="33.6" customHeight="1" x14ac:dyDescent="0.25">
      <c r="B96" s="545"/>
      <c r="C96" s="641"/>
      <c r="D96" s="552" t="s">
        <v>31</v>
      </c>
      <c r="E96" s="541">
        <f t="shared" si="8"/>
        <v>0</v>
      </c>
      <c r="F96" s="376">
        <f>'TH theo DV'!J28</f>
        <v>0</v>
      </c>
      <c r="G96" s="376">
        <f>'TH theo DV'!T28</f>
        <v>0</v>
      </c>
      <c r="H96" s="366"/>
      <c r="I96" s="366"/>
      <c r="J96" s="497"/>
      <c r="K96" s="488">
        <v>0.68759999999999999</v>
      </c>
      <c r="L96" s="421">
        <v>0.20760000000000001</v>
      </c>
      <c r="M96" s="421">
        <v>0.12</v>
      </c>
      <c r="N96" s="421">
        <v>0.12</v>
      </c>
      <c r="O96" s="421">
        <v>0.12</v>
      </c>
      <c r="P96" s="422">
        <v>0.12</v>
      </c>
      <c r="Q96" s="561" t="s">
        <v>295</v>
      </c>
    </row>
    <row r="97" spans="2:17" x14ac:dyDescent="0.25">
      <c r="B97" s="545">
        <v>5</v>
      </c>
      <c r="C97" s="641"/>
      <c r="D97" s="552" t="s">
        <v>318</v>
      </c>
      <c r="E97" s="541">
        <f t="shared" si="8"/>
        <v>0</v>
      </c>
      <c r="F97" s="575">
        <f>'TH theo DV'!K28</f>
        <v>0</v>
      </c>
      <c r="G97" s="575">
        <f>'TH theo DV'!U28</f>
        <v>0</v>
      </c>
      <c r="H97" s="462"/>
      <c r="I97" s="462"/>
      <c r="J97" s="497"/>
      <c r="K97" s="488">
        <v>0</v>
      </c>
      <c r="L97" s="468">
        <v>0</v>
      </c>
      <c r="M97" s="468">
        <v>0</v>
      </c>
      <c r="N97" s="468">
        <v>0</v>
      </c>
      <c r="O97" s="468">
        <v>0</v>
      </c>
      <c r="P97" s="468">
        <v>0</v>
      </c>
      <c r="Q97" s="563"/>
    </row>
    <row r="99" spans="2:17" x14ac:dyDescent="0.25">
      <c r="B99" s="646" t="s">
        <v>344</v>
      </c>
      <c r="C99" s="646"/>
      <c r="D99" s="646"/>
      <c r="E99" s="646"/>
      <c r="F99" s="646"/>
      <c r="G99" s="646"/>
      <c r="H99" s="646"/>
      <c r="I99" s="580"/>
    </row>
    <row r="100" spans="2:17" ht="19.899999999999999" customHeight="1" x14ac:dyDescent="0.25">
      <c r="B100" s="640" t="s">
        <v>48</v>
      </c>
      <c r="C100" s="640" t="s">
        <v>311</v>
      </c>
      <c r="D100" s="640" t="s">
        <v>46</v>
      </c>
      <c r="E100" s="640" t="s">
        <v>41</v>
      </c>
      <c r="F100" s="640">
        <v>2027</v>
      </c>
      <c r="G100" s="640">
        <v>2028</v>
      </c>
      <c r="H100" s="640" t="s">
        <v>218</v>
      </c>
      <c r="I100" s="640"/>
      <c r="J100" s="492"/>
      <c r="K100" s="624" t="s">
        <v>217</v>
      </c>
      <c r="L100" s="624"/>
      <c r="M100" s="624"/>
      <c r="N100" s="624"/>
      <c r="O100" s="624"/>
      <c r="P100" s="624"/>
      <c r="Q100" s="638" t="s">
        <v>218</v>
      </c>
    </row>
    <row r="101" spans="2:17" ht="15.6" customHeight="1" x14ac:dyDescent="0.25">
      <c r="B101" s="640"/>
      <c r="C101" s="640"/>
      <c r="D101" s="640"/>
      <c r="E101" s="640"/>
      <c r="F101" s="640"/>
      <c r="G101" s="640"/>
      <c r="H101" s="584">
        <v>2027</v>
      </c>
      <c r="I101" s="584">
        <v>2028</v>
      </c>
      <c r="J101" s="492"/>
      <c r="K101" s="480" t="s">
        <v>41</v>
      </c>
      <c r="L101" s="448">
        <v>2026</v>
      </c>
      <c r="M101" s="448">
        <v>2027</v>
      </c>
      <c r="N101" s="448">
        <v>2028</v>
      </c>
      <c r="O101" s="448">
        <v>2029</v>
      </c>
      <c r="P101" s="448">
        <v>2030</v>
      </c>
      <c r="Q101" s="639"/>
    </row>
    <row r="102" spans="2:17" x14ac:dyDescent="0.25">
      <c r="B102" s="543"/>
      <c r="C102" s="543"/>
      <c r="D102" s="544" t="s">
        <v>41</v>
      </c>
      <c r="E102" s="541">
        <f t="shared" ref="E102:E109" si="9">SUM(F102:G102)</f>
        <v>0</v>
      </c>
      <c r="F102" s="541"/>
      <c r="G102" s="541"/>
      <c r="H102" s="541"/>
      <c r="I102" s="541"/>
      <c r="J102" s="493"/>
      <c r="K102" s="481">
        <v>23.097358895454544</v>
      </c>
      <c r="L102" s="451">
        <v>3.0201187899999997</v>
      </c>
      <c r="M102" s="451">
        <v>6.0671840263636359</v>
      </c>
      <c r="N102" s="451">
        <v>4.2183120263636358</v>
      </c>
      <c r="O102" s="451">
        <v>6.0958720263636366</v>
      </c>
      <c r="P102" s="451">
        <v>3.6958720263636362</v>
      </c>
      <c r="Q102" s="558"/>
    </row>
    <row r="103" spans="2:17" x14ac:dyDescent="0.25">
      <c r="B103" s="545">
        <v>1</v>
      </c>
      <c r="C103" s="642" t="s">
        <v>233</v>
      </c>
      <c r="D103" s="555" t="s">
        <v>325</v>
      </c>
      <c r="E103" s="541">
        <f t="shared" si="9"/>
        <v>0</v>
      </c>
      <c r="F103" s="476">
        <f>'TH theo DV'!D29</f>
        <v>0</v>
      </c>
      <c r="G103" s="476">
        <f>'TH theo DV'!N29</f>
        <v>0</v>
      </c>
      <c r="H103" s="462"/>
      <c r="I103" s="462"/>
      <c r="J103" s="498"/>
      <c r="K103" s="488">
        <v>0.96448</v>
      </c>
      <c r="L103" s="468">
        <v>0.1</v>
      </c>
      <c r="M103" s="468">
        <v>0.86448000000000003</v>
      </c>
      <c r="N103" s="468">
        <v>0</v>
      </c>
      <c r="O103" s="468">
        <v>0</v>
      </c>
      <c r="P103" s="468">
        <v>0</v>
      </c>
      <c r="Q103" s="563" t="s">
        <v>234</v>
      </c>
    </row>
    <row r="104" spans="2:17" ht="15.6" customHeight="1" x14ac:dyDescent="0.25">
      <c r="B104" s="545">
        <v>2</v>
      </c>
      <c r="C104" s="643"/>
      <c r="D104" s="555" t="s">
        <v>28</v>
      </c>
      <c r="E104" s="541">
        <f t="shared" si="9"/>
        <v>0</v>
      </c>
      <c r="F104" s="476">
        <f>'TH theo DV'!E29</f>
        <v>0</v>
      </c>
      <c r="G104" s="476">
        <f>'TH theo DV'!O29</f>
        <v>0</v>
      </c>
      <c r="H104" s="462"/>
      <c r="I104" s="462"/>
      <c r="J104" s="498"/>
      <c r="K104" s="488">
        <v>0.21</v>
      </c>
      <c r="L104" s="472">
        <v>0.21</v>
      </c>
      <c r="M104" s="468">
        <v>0</v>
      </c>
      <c r="N104" s="468">
        <v>0</v>
      </c>
      <c r="O104" s="468">
        <v>0</v>
      </c>
      <c r="P104" s="468">
        <v>0</v>
      </c>
      <c r="Q104" s="563" t="s">
        <v>244</v>
      </c>
    </row>
    <row r="105" spans="2:17" ht="31.5" x14ac:dyDescent="0.25">
      <c r="B105" s="545">
        <v>3</v>
      </c>
      <c r="C105" s="643"/>
      <c r="D105" s="555" t="s">
        <v>341</v>
      </c>
      <c r="E105" s="541">
        <f t="shared" si="9"/>
        <v>0</v>
      </c>
      <c r="F105" s="476">
        <f>'TH theo DV'!H29</f>
        <v>0</v>
      </c>
      <c r="G105" s="476">
        <f>'TH theo DV'!R29</f>
        <v>0</v>
      </c>
      <c r="H105" s="395"/>
      <c r="I105" s="395"/>
      <c r="J105" s="498"/>
      <c r="K105" s="488">
        <v>2.5435183499999998</v>
      </c>
      <c r="L105" s="393">
        <v>1.1147687900000001</v>
      </c>
      <c r="M105" s="393">
        <v>0.35718738999999994</v>
      </c>
      <c r="N105" s="393">
        <v>0.35718738999999994</v>
      </c>
      <c r="O105" s="393">
        <v>0.35718738999999994</v>
      </c>
      <c r="P105" s="393">
        <v>0.35718738999999994</v>
      </c>
      <c r="Q105" s="566" t="s">
        <v>269</v>
      </c>
    </row>
    <row r="106" spans="2:17" ht="31.5" x14ac:dyDescent="0.25">
      <c r="B106" s="545">
        <v>4</v>
      </c>
      <c r="C106" s="643"/>
      <c r="D106" s="555" t="s">
        <v>342</v>
      </c>
      <c r="E106" s="541">
        <f t="shared" si="9"/>
        <v>0</v>
      </c>
      <c r="F106" s="476"/>
      <c r="G106" s="476"/>
      <c r="H106" s="462"/>
      <c r="I106" s="462"/>
      <c r="J106" s="498"/>
      <c r="K106" s="488">
        <v>1.5624</v>
      </c>
      <c r="L106" s="468"/>
      <c r="M106" s="468">
        <v>1.5624</v>
      </c>
      <c r="N106" s="468"/>
      <c r="O106" s="468"/>
      <c r="P106" s="468"/>
      <c r="Q106" s="563" t="s">
        <v>345</v>
      </c>
    </row>
    <row r="107" spans="2:17" x14ac:dyDescent="0.25">
      <c r="B107" s="545">
        <v>5</v>
      </c>
      <c r="C107" s="643"/>
      <c r="D107" s="555" t="s">
        <v>31</v>
      </c>
      <c r="E107" s="541">
        <f t="shared" si="9"/>
        <v>0</v>
      </c>
      <c r="F107" s="476">
        <f>'TH theo DV'!J29</f>
        <v>0</v>
      </c>
      <c r="G107" s="476">
        <f>'TH theo DV'!T29</f>
        <v>0</v>
      </c>
      <c r="H107" s="366"/>
      <c r="I107" s="366"/>
      <c r="J107" s="498"/>
      <c r="K107" s="488">
        <v>6.5015500000000008</v>
      </c>
      <c r="L107" s="421">
        <v>1.41899</v>
      </c>
      <c r="M107" s="421">
        <v>1.27064</v>
      </c>
      <c r="N107" s="421">
        <v>1.27064</v>
      </c>
      <c r="O107" s="421">
        <v>1.27064</v>
      </c>
      <c r="P107" s="422">
        <v>1.27064</v>
      </c>
      <c r="Q107" s="561" t="s">
        <v>346</v>
      </c>
    </row>
    <row r="108" spans="2:17" x14ac:dyDescent="0.25">
      <c r="B108" s="545">
        <v>6</v>
      </c>
      <c r="C108" s="643"/>
      <c r="D108" s="555" t="s">
        <v>21</v>
      </c>
      <c r="E108" s="541">
        <f t="shared" si="9"/>
        <v>0</v>
      </c>
      <c r="F108" s="476">
        <f>'TH theo DV'!G29</f>
        <v>0</v>
      </c>
      <c r="G108" s="476">
        <f>'TH theo DV'!Q29</f>
        <v>0</v>
      </c>
      <c r="H108" s="462"/>
      <c r="I108" s="462"/>
      <c r="J108" s="498"/>
      <c r="K108" s="488">
        <v>3.422552</v>
      </c>
      <c r="L108" s="468">
        <v>0</v>
      </c>
      <c r="M108" s="468">
        <v>8.3351999999999996E-2</v>
      </c>
      <c r="N108" s="468">
        <v>0.66135999999999995</v>
      </c>
      <c r="O108" s="468">
        <v>2.5389200000000001</v>
      </c>
      <c r="P108" s="468">
        <v>0.13891999999999999</v>
      </c>
      <c r="Q108" s="563" t="s">
        <v>252</v>
      </c>
    </row>
    <row r="109" spans="2:17" x14ac:dyDescent="0.25">
      <c r="B109" s="545">
        <v>7</v>
      </c>
      <c r="C109" s="644"/>
      <c r="D109" s="555" t="s">
        <v>318</v>
      </c>
      <c r="E109" s="541">
        <f t="shared" si="9"/>
        <v>0</v>
      </c>
      <c r="F109" s="582">
        <f>'TH theo DV'!K29</f>
        <v>0</v>
      </c>
      <c r="G109" s="582">
        <f>'TH theo DV'!U29</f>
        <v>0</v>
      </c>
      <c r="H109" s="462"/>
      <c r="I109" s="462"/>
      <c r="J109" s="498"/>
      <c r="K109" s="488">
        <v>7.892858545454545</v>
      </c>
      <c r="L109" s="468">
        <v>0.17635999999999999</v>
      </c>
      <c r="M109" s="468">
        <v>1.9291246363636363</v>
      </c>
      <c r="N109" s="468">
        <v>1.9291246363636363</v>
      </c>
      <c r="O109" s="468">
        <v>1.9291246363636363</v>
      </c>
      <c r="P109" s="468">
        <v>1.9291246363636363</v>
      </c>
      <c r="Q109" s="563" t="s">
        <v>347</v>
      </c>
    </row>
    <row r="111" spans="2:17" x14ac:dyDescent="0.25">
      <c r="B111" s="646" t="s">
        <v>348</v>
      </c>
      <c r="C111" s="646"/>
      <c r="D111" s="646"/>
      <c r="E111" s="646"/>
      <c r="F111" s="646"/>
      <c r="G111" s="646"/>
      <c r="H111" s="646"/>
      <c r="I111" s="580"/>
    </row>
    <row r="112" spans="2:17" ht="19.899999999999999" customHeight="1" x14ac:dyDescent="0.25">
      <c r="B112" s="640" t="s">
        <v>48</v>
      </c>
      <c r="C112" s="640" t="s">
        <v>311</v>
      </c>
      <c r="D112" s="640" t="s">
        <v>46</v>
      </c>
      <c r="E112" s="640" t="s">
        <v>41</v>
      </c>
      <c r="F112" s="640">
        <v>2027</v>
      </c>
      <c r="G112" s="640">
        <v>2028</v>
      </c>
      <c r="H112" s="640" t="s">
        <v>218</v>
      </c>
      <c r="I112" s="640"/>
      <c r="J112" s="492"/>
      <c r="K112" s="624" t="s">
        <v>217</v>
      </c>
      <c r="L112" s="624"/>
      <c r="M112" s="624"/>
      <c r="N112" s="624"/>
      <c r="O112" s="624"/>
      <c r="P112" s="624"/>
      <c r="Q112" s="645" t="s">
        <v>218</v>
      </c>
    </row>
    <row r="113" spans="2:17" ht="15.6" customHeight="1" x14ac:dyDescent="0.25">
      <c r="B113" s="640"/>
      <c r="C113" s="640"/>
      <c r="D113" s="640"/>
      <c r="E113" s="640"/>
      <c r="F113" s="640"/>
      <c r="G113" s="640"/>
      <c r="H113" s="584">
        <v>2027</v>
      </c>
      <c r="I113" s="584">
        <v>2028</v>
      </c>
      <c r="J113" s="492"/>
      <c r="K113" s="480" t="s">
        <v>41</v>
      </c>
      <c r="L113" s="448">
        <v>2026</v>
      </c>
      <c r="M113" s="448">
        <v>2027</v>
      </c>
      <c r="N113" s="448">
        <v>2028</v>
      </c>
      <c r="O113" s="448">
        <v>2029</v>
      </c>
      <c r="P113" s="448">
        <v>2030</v>
      </c>
      <c r="Q113" s="645"/>
    </row>
    <row r="114" spans="2:17" x14ac:dyDescent="0.25">
      <c r="B114" s="543"/>
      <c r="C114" s="543"/>
      <c r="D114" s="544" t="s">
        <v>41</v>
      </c>
      <c r="E114" s="541">
        <f t="shared" ref="E114:E121" si="10">SUM(F114:G114)</f>
        <v>0</v>
      </c>
      <c r="F114" s="541"/>
      <c r="G114" s="541"/>
      <c r="H114" s="541"/>
      <c r="I114" s="541"/>
      <c r="J114" s="493"/>
      <c r="K114" s="481">
        <v>5.2597092659999998</v>
      </c>
      <c r="L114" s="451">
        <v>1.0909237859999998</v>
      </c>
      <c r="M114" s="451">
        <v>0.91352036999999986</v>
      </c>
      <c r="N114" s="451">
        <v>1.1179643699999999</v>
      </c>
      <c r="O114" s="451">
        <v>0.98433336999999987</v>
      </c>
      <c r="P114" s="451">
        <v>1.1529673699999998</v>
      </c>
      <c r="Q114" s="558"/>
    </row>
    <row r="115" spans="2:17" ht="30" customHeight="1" x14ac:dyDescent="0.25">
      <c r="B115" s="545">
        <v>1</v>
      </c>
      <c r="C115" s="641" t="s">
        <v>160</v>
      </c>
      <c r="D115" s="555" t="s">
        <v>29</v>
      </c>
      <c r="E115" s="541">
        <f t="shared" si="10"/>
        <v>0</v>
      </c>
      <c r="F115" s="376">
        <f>'TH theo DV'!D27</f>
        <v>0</v>
      </c>
      <c r="G115" s="376">
        <f>'TH theo DV'!N27</f>
        <v>0</v>
      </c>
      <c r="H115" s="370"/>
      <c r="I115" s="370"/>
      <c r="J115" s="499"/>
      <c r="K115" s="487">
        <v>0.77035000000000009</v>
      </c>
      <c r="L115" s="365">
        <v>0.15407000000000001</v>
      </c>
      <c r="M115" s="365">
        <v>0.15407000000000001</v>
      </c>
      <c r="N115" s="365">
        <v>0.15407000000000001</v>
      </c>
      <c r="O115" s="365">
        <v>0.15407000000000001</v>
      </c>
      <c r="P115" s="365">
        <v>0.15407000000000001</v>
      </c>
      <c r="Q115" s="567" t="s">
        <v>228</v>
      </c>
    </row>
    <row r="116" spans="2:17" ht="18" customHeight="1" x14ac:dyDescent="0.25">
      <c r="B116" s="545">
        <v>2</v>
      </c>
      <c r="C116" s="641"/>
      <c r="D116" s="555" t="s">
        <v>28</v>
      </c>
      <c r="E116" s="541">
        <f t="shared" si="10"/>
        <v>0</v>
      </c>
      <c r="F116" s="376">
        <f>'TH theo DV'!E27</f>
        <v>0</v>
      </c>
      <c r="G116" s="376">
        <f>'TH theo DV'!O27</f>
        <v>0</v>
      </c>
      <c r="H116" s="462"/>
      <c r="I116" s="462"/>
      <c r="J116" s="499"/>
      <c r="K116" s="487">
        <v>0</v>
      </c>
      <c r="L116" s="460">
        <v>0</v>
      </c>
      <c r="M116" s="460">
        <v>0</v>
      </c>
      <c r="N116" s="460">
        <v>0</v>
      </c>
      <c r="O116" s="460">
        <v>0</v>
      </c>
      <c r="P116" s="460">
        <v>0</v>
      </c>
      <c r="Q116" s="563"/>
    </row>
    <row r="117" spans="2:17" ht="30" customHeight="1" x14ac:dyDescent="0.25">
      <c r="B117" s="545">
        <v>3</v>
      </c>
      <c r="C117" s="641"/>
      <c r="D117" s="555" t="s">
        <v>341</v>
      </c>
      <c r="E117" s="541">
        <f t="shared" si="10"/>
        <v>0</v>
      </c>
      <c r="F117" s="376">
        <f>'TH theo DV'!H27</f>
        <v>0</v>
      </c>
      <c r="G117" s="376">
        <f>'TH theo DV'!R27</f>
        <v>0</v>
      </c>
      <c r="H117" s="394"/>
      <c r="I117" s="394"/>
      <c r="J117" s="499"/>
      <c r="K117" s="487">
        <v>1.7279902659999995</v>
      </c>
      <c r="L117" s="460">
        <v>0.40655678599999984</v>
      </c>
      <c r="M117" s="460">
        <v>0.33035836999999996</v>
      </c>
      <c r="N117" s="460">
        <v>0.33035836999999996</v>
      </c>
      <c r="O117" s="460">
        <v>0.33035836999999996</v>
      </c>
      <c r="P117" s="460">
        <v>0.33035836999999996</v>
      </c>
      <c r="Q117" s="562" t="s">
        <v>349</v>
      </c>
    </row>
    <row r="118" spans="2:17" ht="19.899999999999999" customHeight="1" x14ac:dyDescent="0.25">
      <c r="B118" s="545">
        <v>4</v>
      </c>
      <c r="C118" s="641"/>
      <c r="D118" s="555" t="s">
        <v>342</v>
      </c>
      <c r="E118" s="541">
        <f t="shared" si="10"/>
        <v>0</v>
      </c>
      <c r="F118" s="376"/>
      <c r="G118" s="376"/>
      <c r="H118" s="462"/>
      <c r="I118" s="462"/>
      <c r="J118" s="499"/>
      <c r="K118" s="487">
        <v>1.3086470000000001</v>
      </c>
      <c r="L118" s="460">
        <v>0.172652</v>
      </c>
      <c r="M118" s="460">
        <v>0.21096899999999999</v>
      </c>
      <c r="N118" s="460">
        <v>0.404665</v>
      </c>
      <c r="O118" s="460">
        <v>0.251919</v>
      </c>
      <c r="P118" s="460">
        <v>0.26844200000000001</v>
      </c>
      <c r="Q118" s="563" t="s">
        <v>282</v>
      </c>
    </row>
    <row r="119" spans="2:17" ht="18" customHeight="1" x14ac:dyDescent="0.25">
      <c r="B119" s="545">
        <v>5</v>
      </c>
      <c r="C119" s="641"/>
      <c r="D119" s="555" t="s">
        <v>31</v>
      </c>
      <c r="E119" s="541">
        <f t="shared" si="10"/>
        <v>0</v>
      </c>
      <c r="F119" s="376">
        <f>'TH theo DV'!J27</f>
        <v>0</v>
      </c>
      <c r="G119" s="376">
        <f>'TH theo DV'!T27</f>
        <v>0</v>
      </c>
      <c r="H119" s="462"/>
      <c r="I119" s="462"/>
      <c r="J119" s="499"/>
      <c r="K119" s="487">
        <v>0</v>
      </c>
      <c r="L119" s="460">
        <v>0</v>
      </c>
      <c r="M119" s="460">
        <v>0</v>
      </c>
      <c r="N119" s="460">
        <v>0</v>
      </c>
      <c r="O119" s="460">
        <v>0</v>
      </c>
      <c r="P119" s="460">
        <v>0</v>
      </c>
      <c r="Q119" s="563"/>
    </row>
    <row r="120" spans="2:17" ht="43.15" customHeight="1" x14ac:dyDescent="0.25">
      <c r="B120" s="545">
        <v>6</v>
      </c>
      <c r="C120" s="641"/>
      <c r="D120" s="555" t="s">
        <v>21</v>
      </c>
      <c r="E120" s="541">
        <f t="shared" si="10"/>
        <v>0</v>
      </c>
      <c r="F120" s="376">
        <f>'TH theo DV'!G27</f>
        <v>0</v>
      </c>
      <c r="G120" s="376">
        <f>'TH theo DV'!Q27</f>
        <v>0</v>
      </c>
      <c r="H120" s="366"/>
      <c r="I120" s="366"/>
      <c r="J120" s="499"/>
      <c r="K120" s="487">
        <v>0.79996400000000001</v>
      </c>
      <c r="L120" s="388">
        <v>0.24998200000000001</v>
      </c>
      <c r="M120" s="388">
        <v>0.1</v>
      </c>
      <c r="N120" s="388">
        <v>0.1</v>
      </c>
      <c r="O120" s="388">
        <v>0.1</v>
      </c>
      <c r="P120" s="388">
        <v>0.24998200000000001</v>
      </c>
      <c r="Q120" s="561" t="s">
        <v>256</v>
      </c>
    </row>
    <row r="121" spans="2:17" ht="19.899999999999999" customHeight="1" x14ac:dyDescent="0.25">
      <c r="B121" s="545">
        <v>7</v>
      </c>
      <c r="C121" s="641"/>
      <c r="D121" s="555" t="s">
        <v>325</v>
      </c>
      <c r="E121" s="541">
        <f t="shared" si="10"/>
        <v>0</v>
      </c>
      <c r="F121" s="376">
        <f>'TH theo DV'!F27</f>
        <v>0</v>
      </c>
      <c r="G121" s="376">
        <f>'TH theo DV'!U27</f>
        <v>0</v>
      </c>
      <c r="H121" s="462"/>
      <c r="I121" s="462"/>
      <c r="J121" s="499"/>
      <c r="K121" s="487">
        <v>0.65275799999999995</v>
      </c>
      <c r="L121" s="460">
        <v>0.10766299999999999</v>
      </c>
      <c r="M121" s="460">
        <v>0.11812300000000001</v>
      </c>
      <c r="N121" s="460">
        <v>0.12887100000000001</v>
      </c>
      <c r="O121" s="460">
        <v>0.14798600000000001</v>
      </c>
      <c r="P121" s="460">
        <v>0.150115</v>
      </c>
      <c r="Q121" s="563" t="s">
        <v>236</v>
      </c>
    </row>
    <row r="123" spans="2:17" x14ac:dyDescent="0.25">
      <c r="C123" s="556"/>
    </row>
    <row r="124" spans="2:17" x14ac:dyDescent="0.25">
      <c r="C124" s="556"/>
      <c r="L124" s="477"/>
    </row>
    <row r="126" spans="2:17" x14ac:dyDescent="0.25">
      <c r="C126" s="556"/>
    </row>
  </sheetData>
  <mergeCells count="119">
    <mergeCell ref="C5:C6"/>
    <mergeCell ref="C49:C54"/>
    <mergeCell ref="C39:C43"/>
    <mergeCell ref="C28:C33"/>
    <mergeCell ref="C18:C22"/>
    <mergeCell ref="C8:C12"/>
    <mergeCell ref="B112:B113"/>
    <mergeCell ref="C112:C113"/>
    <mergeCell ref="D112:D113"/>
    <mergeCell ref="E112:E113"/>
    <mergeCell ref="F112:F113"/>
    <mergeCell ref="B100:B101"/>
    <mergeCell ref="C100:C101"/>
    <mergeCell ref="D100:D101"/>
    <mergeCell ref="E100:E101"/>
    <mergeCell ref="F100:F101"/>
    <mergeCell ref="B88:B89"/>
    <mergeCell ref="C88:C89"/>
    <mergeCell ref="D88:D89"/>
    <mergeCell ref="E88:E89"/>
    <mergeCell ref="F88:F89"/>
    <mergeCell ref="G59:G60"/>
    <mergeCell ref="H59:I59"/>
    <mergeCell ref="B71:B72"/>
    <mergeCell ref="C71:C72"/>
    <mergeCell ref="D71:D72"/>
    <mergeCell ref="E71:E72"/>
    <mergeCell ref="F71:F72"/>
    <mergeCell ref="G71:G72"/>
    <mergeCell ref="H71:I71"/>
    <mergeCell ref="B59:B60"/>
    <mergeCell ref="C59:C60"/>
    <mergeCell ref="D59:D60"/>
    <mergeCell ref="E59:E60"/>
    <mergeCell ref="F59:F60"/>
    <mergeCell ref="B46:B47"/>
    <mergeCell ref="C46:C47"/>
    <mergeCell ref="D46:D47"/>
    <mergeCell ref="E46:E47"/>
    <mergeCell ref="F46:F47"/>
    <mergeCell ref="B36:B37"/>
    <mergeCell ref="C36:C37"/>
    <mergeCell ref="D36:D37"/>
    <mergeCell ref="E36:E37"/>
    <mergeCell ref="F36:F37"/>
    <mergeCell ref="B25:B26"/>
    <mergeCell ref="C25:C26"/>
    <mergeCell ref="D25:D26"/>
    <mergeCell ref="E25:E26"/>
    <mergeCell ref="F25:F26"/>
    <mergeCell ref="B87:H87"/>
    <mergeCell ref="B99:H99"/>
    <mergeCell ref="B111:H111"/>
    <mergeCell ref="B1:E1"/>
    <mergeCell ref="B24:H24"/>
    <mergeCell ref="B14:H14"/>
    <mergeCell ref="B4:H4"/>
    <mergeCell ref="B3:H3"/>
    <mergeCell ref="B57:H57"/>
    <mergeCell ref="B58:H58"/>
    <mergeCell ref="B35:H35"/>
    <mergeCell ref="B5:B6"/>
    <mergeCell ref="B15:B16"/>
    <mergeCell ref="C15:C16"/>
    <mergeCell ref="D15:D16"/>
    <mergeCell ref="E15:E16"/>
    <mergeCell ref="Q88:Q89"/>
    <mergeCell ref="Q100:Q101"/>
    <mergeCell ref="Q112:Q113"/>
    <mergeCell ref="B45:H45"/>
    <mergeCell ref="B70:H70"/>
    <mergeCell ref="B69:H69"/>
    <mergeCell ref="B77:H77"/>
    <mergeCell ref="Q71:Q72"/>
    <mergeCell ref="K112:P112"/>
    <mergeCell ref="K78:P78"/>
    <mergeCell ref="C81:C83"/>
    <mergeCell ref="K71:P71"/>
    <mergeCell ref="C74:C75"/>
    <mergeCell ref="K59:P59"/>
    <mergeCell ref="C62:C67"/>
    <mergeCell ref="B86:H86"/>
    <mergeCell ref="Q25:Q26"/>
    <mergeCell ref="Q36:Q37"/>
    <mergeCell ref="Q46:Q47"/>
    <mergeCell ref="Q59:Q60"/>
    <mergeCell ref="Q78:Q79"/>
    <mergeCell ref="C115:C121"/>
    <mergeCell ref="K100:P100"/>
    <mergeCell ref="C103:C109"/>
    <mergeCell ref="K88:P88"/>
    <mergeCell ref="C91:C97"/>
    <mergeCell ref="G88:G89"/>
    <mergeCell ref="H88:I88"/>
    <mergeCell ref="G100:G101"/>
    <mergeCell ref="H100:I100"/>
    <mergeCell ref="G112:G113"/>
    <mergeCell ref="H112:I112"/>
    <mergeCell ref="K46:P46"/>
    <mergeCell ref="K36:P36"/>
    <mergeCell ref="K25:P25"/>
    <mergeCell ref="G25:G26"/>
    <mergeCell ref="H25:I25"/>
    <mergeCell ref="G36:G37"/>
    <mergeCell ref="H36:I36"/>
    <mergeCell ref="G46:G47"/>
    <mergeCell ref="H46:I46"/>
    <mergeCell ref="K15:P15"/>
    <mergeCell ref="K5:P5"/>
    <mergeCell ref="Q5:Q6"/>
    <mergeCell ref="H5:I5"/>
    <mergeCell ref="E5:E6"/>
    <mergeCell ref="D5:D6"/>
    <mergeCell ref="F5:F6"/>
    <mergeCell ref="G5:G6"/>
    <mergeCell ref="Q15:Q16"/>
    <mergeCell ref="F15:F16"/>
    <mergeCell ref="G15:G16"/>
    <mergeCell ref="H15:I15"/>
  </mergeCells>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EE0033"/>
    <outlinePr summaryBelow="0" summaryRight="0"/>
    <pageSetUpPr fitToPage="1"/>
  </sheetPr>
  <dimension ref="A1:N57"/>
  <sheetViews>
    <sheetView zoomScale="90" zoomScaleNormal="90" workbookViewId="0">
      <pane xSplit="4" ySplit="4" topLeftCell="E17" activePane="bottomRight" state="frozen"/>
      <selection activeCell="N27" sqref="N27"/>
      <selection pane="topRight" activeCell="N27" sqref="N27"/>
      <selection pane="bottomLeft" activeCell="N27" sqref="N27"/>
      <selection pane="bottomRight" activeCell="K11" sqref="K11"/>
    </sheetView>
  </sheetViews>
  <sheetFormatPr defaultColWidth="9.28515625" defaultRowHeight="12.75" outlineLevelRow="2" x14ac:dyDescent="0.25"/>
  <cols>
    <col min="1" max="1" width="3.28515625" style="124" bestFit="1" customWidth="1"/>
    <col min="2" max="2" width="24.7109375" style="200" customWidth="1"/>
    <col min="3" max="3" width="17.7109375" style="209" customWidth="1"/>
    <col min="4" max="4" width="57" style="120" customWidth="1"/>
    <col min="5" max="5" width="7.28515625" style="120" customWidth="1"/>
    <col min="6" max="6" width="16.28515625" style="210" customWidth="1"/>
    <col min="7" max="7" width="53.5703125" style="120" customWidth="1"/>
    <col min="8" max="8" width="7.28515625" style="120" customWidth="1"/>
    <col min="9" max="9" width="17" style="130" customWidth="1"/>
    <col min="10" max="10" width="9.140625" style="130" customWidth="1"/>
    <col min="11" max="12" width="9.28515625" style="124" customWidth="1"/>
    <col min="13" max="16384" width="9.28515625" style="120"/>
  </cols>
  <sheetData>
    <row r="1" spans="1:13" ht="18.75" x14ac:dyDescent="0.25">
      <c r="A1" s="614" t="s">
        <v>171</v>
      </c>
      <c r="B1" s="615"/>
      <c r="C1" s="615"/>
      <c r="D1" s="615"/>
      <c r="E1" s="615"/>
      <c r="F1" s="615"/>
      <c r="G1" s="615"/>
      <c r="H1" s="615"/>
      <c r="I1" s="615"/>
      <c r="J1" s="615"/>
    </row>
    <row r="2" spans="1:13" x14ac:dyDescent="0.25">
      <c r="C2" s="201"/>
      <c r="F2" s="202"/>
      <c r="I2" s="203"/>
      <c r="J2" s="203"/>
    </row>
    <row r="3" spans="1:13" s="204" customFormat="1" x14ac:dyDescent="0.25">
      <c r="A3" s="617" t="s">
        <v>0</v>
      </c>
      <c r="B3" s="616" t="s">
        <v>33</v>
      </c>
      <c r="C3" s="617">
        <v>2027</v>
      </c>
      <c r="D3" s="617"/>
      <c r="E3" s="617"/>
      <c r="F3" s="617">
        <v>2028</v>
      </c>
      <c r="G3" s="617"/>
      <c r="H3" s="617"/>
      <c r="I3" s="618" t="s">
        <v>170</v>
      </c>
      <c r="J3" s="616" t="s">
        <v>88</v>
      </c>
      <c r="K3" s="613" t="s">
        <v>213</v>
      </c>
      <c r="L3" s="613"/>
      <c r="M3" s="613"/>
    </row>
    <row r="4" spans="1:13" ht="38.25" x14ac:dyDescent="0.25">
      <c r="A4" s="617"/>
      <c r="B4" s="616"/>
      <c r="C4" s="180" t="s">
        <v>168</v>
      </c>
      <c r="D4" s="179" t="s">
        <v>89</v>
      </c>
      <c r="E4" s="179" t="s">
        <v>88</v>
      </c>
      <c r="F4" s="180" t="s">
        <v>168</v>
      </c>
      <c r="G4" s="179" t="s">
        <v>89</v>
      </c>
      <c r="H4" s="179" t="s">
        <v>88</v>
      </c>
      <c r="I4" s="618"/>
      <c r="J4" s="616"/>
      <c r="K4" s="150" t="s">
        <v>209</v>
      </c>
      <c r="L4" s="150" t="s">
        <v>44</v>
      </c>
      <c r="M4" s="150"/>
    </row>
    <row r="5" spans="1:13" x14ac:dyDescent="0.25">
      <c r="A5" s="150"/>
      <c r="B5" s="206" t="s">
        <v>34</v>
      </c>
      <c r="C5" s="207" t="e">
        <f>SUBTOTAL(9,C6:C57)</f>
        <v>#REF!</v>
      </c>
      <c r="D5" s="205"/>
      <c r="E5" s="151" t="e">
        <f>C5/I5</f>
        <v>#REF!</v>
      </c>
      <c r="F5" s="207" t="e">
        <f>SUBTOTAL(9,F7:F57)</f>
        <v>#REF!</v>
      </c>
      <c r="G5" s="205"/>
      <c r="H5" s="151" t="e">
        <f>F5/I5</f>
        <v>#REF!</v>
      </c>
      <c r="I5" s="207" t="e">
        <f>SUBTOTAL(9,I6:I57)</f>
        <v>#REF!</v>
      </c>
      <c r="J5" s="208"/>
      <c r="K5" s="121"/>
      <c r="L5" s="121"/>
      <c r="M5" s="293"/>
    </row>
    <row r="6" spans="1:13" ht="25.5" x14ac:dyDescent="0.25">
      <c r="A6" s="13" t="s">
        <v>11</v>
      </c>
      <c r="B6" s="15" t="s">
        <v>107</v>
      </c>
      <c r="C6" s="199">
        <f>SUBTOTAL(9,C7:C14)</f>
        <v>0</v>
      </c>
      <c r="D6" s="211"/>
      <c r="E6" s="16" t="e">
        <f>C6/$C$5</f>
        <v>#REF!</v>
      </c>
      <c r="F6" s="31">
        <f>SUBTOTAL(9,F7:F13)</f>
        <v>0</v>
      </c>
      <c r="G6" s="14"/>
      <c r="H6" s="16" t="e">
        <f>F6/$F$5</f>
        <v>#REF!</v>
      </c>
      <c r="I6" s="31">
        <f>SUBTOTAL(9,I7:I14)</f>
        <v>0</v>
      </c>
      <c r="J6" s="16" t="e">
        <f>I6/$I$5</f>
        <v>#REF!</v>
      </c>
      <c r="K6" s="121"/>
      <c r="L6" s="121"/>
      <c r="M6" s="293"/>
    </row>
    <row r="7" spans="1:13" s="204" customFormat="1" outlineLevel="1" x14ac:dyDescent="0.25">
      <c r="A7" s="13" t="s">
        <v>4</v>
      </c>
      <c r="B7" s="15" t="s">
        <v>54</v>
      </c>
      <c r="C7" s="212">
        <f>SUBTOTAL(9,C8:C11)</f>
        <v>0</v>
      </c>
      <c r="D7" s="211"/>
      <c r="E7" s="16" t="e">
        <f>C7/$C$5</f>
        <v>#REF!</v>
      </c>
      <c r="F7" s="213">
        <f>SUBTOTAL(9,F8:F11)</f>
        <v>0</v>
      </c>
      <c r="G7" s="214">
        <v>0</v>
      </c>
      <c r="H7" s="16" t="e">
        <f>F7/$F$5</f>
        <v>#REF!</v>
      </c>
      <c r="I7" s="46">
        <f>SUBTOTAL(9,I8:I11)</f>
        <v>0</v>
      </c>
      <c r="J7" s="16" t="e">
        <f>I7/$I$5</f>
        <v>#REF!</v>
      </c>
      <c r="K7" s="150"/>
      <c r="L7" s="294"/>
      <c r="M7" s="295"/>
    </row>
    <row r="8" spans="1:13" ht="25.5" outlineLevel="2" x14ac:dyDescent="0.25">
      <c r="A8" s="215">
        <v>1</v>
      </c>
      <c r="B8" s="216" t="s">
        <v>29</v>
      </c>
      <c r="C8" s="217">
        <f>SUMIFS('PL1.1 ML2027-2028'!$G:$G,'PL1.1 ML2027-2028'!$J:$J,K8,'PL1.1 ML2027-2028'!$K:$K,L8)/10^6</f>
        <v>0</v>
      </c>
      <c r="D8" s="218" t="s">
        <v>193</v>
      </c>
      <c r="E8" s="219"/>
      <c r="F8" s="220">
        <f>SUMIFS('PL1.1 ML2027-2028'!$H:$H,'PL1.1 ML2027-2028'!$J:$J,K8,'PL1.1 ML2027-2028'!$K:$K,L8)/10^6</f>
        <v>0</v>
      </c>
      <c r="G8" s="218" t="s">
        <v>194</v>
      </c>
      <c r="H8" s="219"/>
      <c r="I8" s="213">
        <f>C8+F8</f>
        <v>0</v>
      </c>
      <c r="J8" s="219" t="e">
        <f t="shared" ref="J8:J12" si="0">I8/$I$5</f>
        <v>#REF!</v>
      </c>
      <c r="K8" s="121" t="s">
        <v>7</v>
      </c>
      <c r="L8" s="121" t="s">
        <v>47</v>
      </c>
      <c r="M8" s="293"/>
    </row>
    <row r="9" spans="1:13" outlineLevel="2" x14ac:dyDescent="0.25">
      <c r="A9" s="215">
        <v>2</v>
      </c>
      <c r="B9" s="216" t="s">
        <v>28</v>
      </c>
      <c r="C9" s="217">
        <f>SUMIFS('PL1.1 ML2027-2028'!$G:$G,'PL1.1 ML2027-2028'!$J:$J,K9,'PL1.1 ML2027-2028'!$K:$K,L9)/10^6</f>
        <v>0</v>
      </c>
      <c r="D9" s="218"/>
      <c r="E9" s="219" t="e">
        <f t="shared" ref="E9:E14" si="1">C9/$C$5</f>
        <v>#REF!</v>
      </c>
      <c r="F9" s="220">
        <f>SUMIFS('PL1.1 ML2027-2028'!$H:$H,'PL1.1 ML2027-2028'!$J:$J,K9,'PL1.1 ML2027-2028'!$K:$K,L9)/10^6</f>
        <v>0</v>
      </c>
      <c r="G9" s="218"/>
      <c r="H9" s="219"/>
      <c r="I9" s="213">
        <f t="shared" ref="I9:I14" si="2">C9+F9</f>
        <v>0</v>
      </c>
      <c r="J9" s="219" t="e">
        <f t="shared" si="0"/>
        <v>#REF!</v>
      </c>
      <c r="K9" s="121" t="s">
        <v>14</v>
      </c>
      <c r="L9" s="121" t="s">
        <v>47</v>
      </c>
      <c r="M9" s="293"/>
    </row>
    <row r="10" spans="1:13" ht="38.25" outlineLevel="2" x14ac:dyDescent="0.25">
      <c r="A10" s="215">
        <v>3</v>
      </c>
      <c r="B10" s="216" t="s">
        <v>30</v>
      </c>
      <c r="C10" s="217">
        <f>SUMIFS('PL1.1 ML2027-2028'!$G:$G,'PL1.1 ML2027-2028'!$J:$J,K10,'PL1.1 ML2027-2028'!$K:$K,L10)/10^6</f>
        <v>0</v>
      </c>
      <c r="D10" s="218" t="s">
        <v>195</v>
      </c>
      <c r="E10" s="219" t="e">
        <f t="shared" si="1"/>
        <v>#REF!</v>
      </c>
      <c r="F10" s="220">
        <f>SUMIFS('PL1.1 ML2027-2028'!$H:$H,'PL1.1 ML2027-2028'!$J:$J,K10,'PL1.1 ML2027-2028'!$K:$K,L10)/10^6</f>
        <v>0</v>
      </c>
      <c r="G10" s="214">
        <v>0</v>
      </c>
      <c r="H10" s="219"/>
      <c r="I10" s="213">
        <f t="shared" si="2"/>
        <v>0</v>
      </c>
      <c r="J10" s="219" t="e">
        <f t="shared" si="0"/>
        <v>#REF!</v>
      </c>
      <c r="K10" s="121" t="s">
        <v>17</v>
      </c>
      <c r="L10" s="121" t="s">
        <v>47</v>
      </c>
      <c r="M10" s="293"/>
    </row>
    <row r="11" spans="1:13" ht="38.25" outlineLevel="2" x14ac:dyDescent="0.25">
      <c r="A11" s="215">
        <v>4</v>
      </c>
      <c r="B11" s="216" t="s">
        <v>31</v>
      </c>
      <c r="C11" s="217">
        <f>SUMIFS('PL1.1 ML2027-2028'!$G:$G,'PL1.1 ML2027-2028'!$J:$J,K11,'PL1.1 ML2027-2028'!$K:$K,L11)/10^6</f>
        <v>0</v>
      </c>
      <c r="D11" s="221" t="s">
        <v>169</v>
      </c>
      <c r="E11" s="219" t="e">
        <f t="shared" si="1"/>
        <v>#REF!</v>
      </c>
      <c r="F11" s="220">
        <f>SUMIFS('PL1.1 ML2027-2028'!$H:$H,'PL1.1 ML2027-2028'!$J:$J,K11,'PL1.1 ML2027-2028'!$K:$K,L11)/10^6</f>
        <v>0</v>
      </c>
      <c r="G11" s="214">
        <v>0</v>
      </c>
      <c r="H11" s="219"/>
      <c r="I11" s="213">
        <f t="shared" si="2"/>
        <v>0</v>
      </c>
      <c r="J11" s="219" t="e">
        <f t="shared" si="0"/>
        <v>#REF!</v>
      </c>
      <c r="K11" s="121" t="s">
        <v>6</v>
      </c>
      <c r="L11" s="121" t="s">
        <v>47</v>
      </c>
      <c r="M11" s="293"/>
    </row>
    <row r="12" spans="1:13" s="204" customFormat="1" outlineLevel="2" x14ac:dyDescent="0.25">
      <c r="A12" s="13" t="s">
        <v>10</v>
      </c>
      <c r="B12" s="222" t="s">
        <v>108</v>
      </c>
      <c r="C12" s="217">
        <f>SUMIFS('PL1.1 ML2027-2028'!$G:$G,'PL1.1 ML2027-2028'!$J:$J,K12,'PL1.1 ML2027-2028'!$K:$K,L12)/10^6</f>
        <v>0</v>
      </c>
      <c r="D12" s="221" t="s">
        <v>148</v>
      </c>
      <c r="E12" s="16" t="e">
        <f t="shared" si="1"/>
        <v>#REF!</v>
      </c>
      <c r="F12" s="220">
        <f>SUMIFS('PL1.1 ML2027-2028'!$H:$H,'PL1.1 ML2027-2028'!$J:$J,K12,'PL1.1 ML2027-2028'!$K:$K,L12)/10^6</f>
        <v>0</v>
      </c>
      <c r="G12" s="223">
        <v>0</v>
      </c>
      <c r="H12" s="16"/>
      <c r="I12" s="46">
        <f t="shared" si="2"/>
        <v>0</v>
      </c>
      <c r="J12" s="219" t="e">
        <f t="shared" si="0"/>
        <v>#REF!</v>
      </c>
      <c r="K12" s="121" t="s">
        <v>19</v>
      </c>
      <c r="L12" s="121" t="s">
        <v>108</v>
      </c>
      <c r="M12" s="295"/>
    </row>
    <row r="13" spans="1:13" ht="25.5" outlineLevel="2" x14ac:dyDescent="0.25">
      <c r="A13" s="13" t="s">
        <v>15</v>
      </c>
      <c r="B13" s="222" t="s">
        <v>109</v>
      </c>
      <c r="C13" s="217">
        <f>SUMIFS('PL1.1 ML2027-2028'!$G:$G,'PL1.1 ML2027-2028'!$J:$J,K13,'PL1.1 ML2027-2028'!$K:$K,L13)/10^6</f>
        <v>0</v>
      </c>
      <c r="D13" s="224" t="s">
        <v>200</v>
      </c>
      <c r="E13" s="16" t="e">
        <f t="shared" si="1"/>
        <v>#REF!</v>
      </c>
      <c r="F13" s="220">
        <f>SUMIFS('PL1.1 ML2027-2028'!$H:$H,'PL1.1 ML2027-2028'!$J:$J,K13,'PL1.1 ML2027-2028'!$K:$K,L13)/10^6</f>
        <v>0</v>
      </c>
      <c r="G13" s="224" t="s">
        <v>201</v>
      </c>
      <c r="H13" s="219"/>
      <c r="I13" s="213">
        <f t="shared" si="2"/>
        <v>0</v>
      </c>
      <c r="J13" s="219" t="e">
        <f>I13/$I$5</f>
        <v>#REF!</v>
      </c>
      <c r="K13" s="121" t="s">
        <v>21</v>
      </c>
      <c r="L13" s="121" t="s">
        <v>109</v>
      </c>
      <c r="M13" s="293"/>
    </row>
    <row r="14" spans="1:13" outlineLevel="2" x14ac:dyDescent="0.25">
      <c r="A14" s="13" t="s">
        <v>18</v>
      </c>
      <c r="B14" s="222" t="s">
        <v>105</v>
      </c>
      <c r="C14" s="217">
        <f>SUMIFS('PL1.1 ML2027-2028'!$G:$G,'PL1.1 ML2027-2028'!$J:$J,K14,'PL1.1 ML2027-2028'!$K:$K,L14)/10^6</f>
        <v>0</v>
      </c>
      <c r="D14" s="218" t="s">
        <v>149</v>
      </c>
      <c r="E14" s="16" t="e">
        <f t="shared" si="1"/>
        <v>#REF!</v>
      </c>
      <c r="F14" s="220">
        <f>SUMIFS('PL1.1 ML2027-2028'!$H:$H,'PL1.1 ML2027-2028'!$J:$J,K14,'PL1.1 ML2027-2028'!$K:$K,L14)/10^6</f>
        <v>0</v>
      </c>
      <c r="G14" s="214">
        <v>0</v>
      </c>
      <c r="H14" s="219"/>
      <c r="I14" s="213">
        <f t="shared" si="2"/>
        <v>0</v>
      </c>
      <c r="J14" s="219" t="e">
        <f>I14/$I$5</f>
        <v>#REF!</v>
      </c>
      <c r="K14" s="121" t="s">
        <v>14</v>
      </c>
      <c r="L14" s="121" t="s">
        <v>110</v>
      </c>
      <c r="M14" s="293"/>
    </row>
    <row r="15" spans="1:13" ht="25.5" x14ac:dyDescent="0.25">
      <c r="A15" s="33" t="s">
        <v>22</v>
      </c>
      <c r="B15" s="225" t="s">
        <v>111</v>
      </c>
      <c r="C15" s="226" t="e">
        <f>SUBTOTAL(9,C16:C34)</f>
        <v>#REF!</v>
      </c>
      <c r="D15" s="110"/>
      <c r="E15" s="227" t="e">
        <f>C15/$C$5</f>
        <v>#REF!</v>
      </c>
      <c r="F15" s="182" t="e">
        <f>SUBTOTAL(9,F16:F34)</f>
        <v>#REF!</v>
      </c>
      <c r="G15" s="228"/>
      <c r="H15" s="227" t="e">
        <f>F15/$F$5</f>
        <v>#REF!</v>
      </c>
      <c r="I15" s="182" t="e">
        <f>SUBTOTAL(9,I16:I34)</f>
        <v>#REF!</v>
      </c>
      <c r="J15" s="227" t="e">
        <f>I15/$I$5</f>
        <v>#REF!</v>
      </c>
      <c r="K15" s="296"/>
      <c r="L15" s="121"/>
      <c r="M15" s="293"/>
    </row>
    <row r="16" spans="1:13" s="204" customFormat="1" outlineLevel="1" x14ac:dyDescent="0.25">
      <c r="A16" s="33" t="s">
        <v>4</v>
      </c>
      <c r="B16" s="229" t="s">
        <v>29</v>
      </c>
      <c r="C16" s="226">
        <f>SUBTOTAL(9,C17:C18)</f>
        <v>0</v>
      </c>
      <c r="D16" s="230"/>
      <c r="E16" s="227" t="e">
        <f>C16/C5</f>
        <v>#REF!</v>
      </c>
      <c r="F16" s="231">
        <f>SUBTOTAL(9,F17:F18)</f>
        <v>0</v>
      </c>
      <c r="G16" s="232">
        <v>0</v>
      </c>
      <c r="H16" s="227" t="e">
        <f>F16/F5</f>
        <v>#REF!</v>
      </c>
      <c r="I16" s="231">
        <f>SUBTOTAL(9,I17:I18)</f>
        <v>0</v>
      </c>
      <c r="J16" s="227" t="e">
        <f>I16/$I$5</f>
        <v>#REF!</v>
      </c>
      <c r="K16" s="150"/>
      <c r="L16" s="150"/>
      <c r="M16" s="295"/>
    </row>
    <row r="17" spans="1:13" outlineLevel="2" x14ac:dyDescent="0.25">
      <c r="A17" s="233">
        <v>1</v>
      </c>
      <c r="B17" s="234" t="s">
        <v>212</v>
      </c>
      <c r="C17" s="235">
        <f>SUMIFS('PL1.1 ML2027-2028'!$G:$G,'PL1.1 ML2027-2028'!$J:$J,K17,'PL1.1 ML2027-2028'!$K:$K,L17)/10^6
+ SUMIFS('PL1.1 ML2027-2028'!$G:$G,'PL1.1 ML2027-2028'!$J:$J,M17,'PL1.1 ML2027-2028'!$K:$K,L17)/10^6</f>
        <v>0</v>
      </c>
      <c r="D17" s="110" t="s">
        <v>187</v>
      </c>
      <c r="E17" s="236" t="e">
        <f t="shared" ref="E17:E18" si="3">C17/$C$5</f>
        <v>#REF!</v>
      </c>
      <c r="F17" s="231">
        <f>SUMIFS('PL1.1 ML2027-2028'!$H:$H,'PL1.1 ML2027-2028'!$J:$J,K17,'PL1.1 ML2027-2028'!$K:$K,L17)/10^6
+ SUMIFS('PL1.1 ML2027-2028'!$H:$H,'PL1.1 ML2027-2028'!$J:$J,M17,'PL1.1 ML2027-2028'!$K:$K,L17)/10^6</f>
        <v>0</v>
      </c>
      <c r="G17" s="232" t="s">
        <v>188</v>
      </c>
      <c r="H17" s="236"/>
      <c r="I17" s="231">
        <f>C17+F17</f>
        <v>0</v>
      </c>
      <c r="J17" s="236" t="e">
        <f>I17/$I$5</f>
        <v>#REF!</v>
      </c>
      <c r="K17" s="121" t="s">
        <v>7</v>
      </c>
      <c r="L17" s="121" t="s">
        <v>68</v>
      </c>
      <c r="M17" s="121" t="s">
        <v>9</v>
      </c>
    </row>
    <row r="18" spans="1:13" ht="114.6" customHeight="1" outlineLevel="2" x14ac:dyDescent="0.25">
      <c r="A18" s="233">
        <v>2</v>
      </c>
      <c r="B18" s="234" t="s">
        <v>35</v>
      </c>
      <c r="C18" s="235">
        <f>SUMIFS('PL1.1 ML2027-2028'!$G:$G,'PL1.1 ML2027-2028'!$J:$J,K18,'PL1.1 ML2027-2028'!$K:$K,L18)/10^6
+ SUMIFS('PL1.1 ML2027-2028'!$G:$G,'PL1.1 ML2027-2028'!$J:$J,M18,'PL1.1 ML2027-2028'!$K:$K,L18)/10^6</f>
        <v>0</v>
      </c>
      <c r="D18" s="110" t="s">
        <v>189</v>
      </c>
      <c r="E18" s="236" t="e">
        <f t="shared" si="3"/>
        <v>#REF!</v>
      </c>
      <c r="F18" s="231">
        <f>SUMIFS('PL1.1 ML2027-2028'!$H:$H,'PL1.1 ML2027-2028'!$J:$J,K18,'PL1.1 ML2027-2028'!$K:$K,L18)/10^6
+ SUMIFS('PL1.1 ML2027-2028'!$H:$H,'PL1.1 ML2027-2028'!$J:$J,M18,'PL1.1 ML2027-2028'!$K:$K,L18)/10^6</f>
        <v>0</v>
      </c>
      <c r="G18" s="110" t="s">
        <v>190</v>
      </c>
      <c r="H18" s="236"/>
      <c r="I18" s="231">
        <f>C18+F18</f>
        <v>0</v>
      </c>
      <c r="J18" s="236" t="e">
        <f t="shared" ref="J18" si="4">I18/$I$5</f>
        <v>#REF!</v>
      </c>
      <c r="K18" s="121" t="s">
        <v>7</v>
      </c>
      <c r="L18" s="121" t="s">
        <v>69</v>
      </c>
      <c r="M18" s="121" t="s">
        <v>9</v>
      </c>
    </row>
    <row r="19" spans="1:13" outlineLevel="1" x14ac:dyDescent="0.25">
      <c r="A19" s="33" t="s">
        <v>15</v>
      </c>
      <c r="B19" s="229" t="s">
        <v>28</v>
      </c>
      <c r="C19" s="226">
        <f>SUBTOTAL(9,C20:C20)</f>
        <v>0</v>
      </c>
      <c r="D19" s="238"/>
      <c r="E19" s="227" t="e">
        <f>C19/C5</f>
        <v>#REF!</v>
      </c>
      <c r="F19" s="239">
        <f>SUBTOTAL(9,F20:F20)</f>
        <v>0</v>
      </c>
      <c r="G19" s="232">
        <v>0</v>
      </c>
      <c r="H19" s="227" t="e">
        <f>F19/F5</f>
        <v>#REF!</v>
      </c>
      <c r="I19" s="182">
        <f>SUBTOTAL(9,I20:I20)</f>
        <v>0</v>
      </c>
      <c r="J19" s="227" t="e">
        <f>I19/$I$5</f>
        <v>#REF!</v>
      </c>
      <c r="K19" s="296"/>
      <c r="L19" s="296"/>
      <c r="M19" s="293"/>
    </row>
    <row r="20" spans="1:13" ht="76.5" outlineLevel="2" x14ac:dyDescent="0.25">
      <c r="A20" s="233">
        <v>1</v>
      </c>
      <c r="B20" s="234" t="s">
        <v>36</v>
      </c>
      <c r="C20" s="235">
        <f>SUMIFS('PL1.1 ML2027-2028'!$G:$G,'PL1.1 ML2027-2028'!$J:$J,K20,'PL1.1 ML2027-2028'!$K:$K,L20)/10^6</f>
        <v>0</v>
      </c>
      <c r="D20" s="237" t="s">
        <v>176</v>
      </c>
      <c r="E20" s="240"/>
      <c r="F20" s="241">
        <f>SUMIFS('PL1.1 ML2027-2028'!$H:$H,'PL1.1 ML2027-2028'!$J:$J,K20,'PL1.1 ML2027-2028'!$K:$K,L20)/10^6</f>
        <v>0</v>
      </c>
      <c r="G20" s="237" t="s">
        <v>177</v>
      </c>
      <c r="H20" s="236"/>
      <c r="I20" s="231">
        <f t="shared" ref="I20:I34" si="5">C20+F20</f>
        <v>0</v>
      </c>
      <c r="J20" s="236" t="e">
        <f>I20/$I$5</f>
        <v>#REF!</v>
      </c>
      <c r="K20" s="121" t="s">
        <v>14</v>
      </c>
      <c r="L20" s="121" t="s">
        <v>69</v>
      </c>
      <c r="M20" s="293"/>
    </row>
    <row r="21" spans="1:13" s="204" customFormat="1" outlineLevel="1" x14ac:dyDescent="0.25">
      <c r="A21" s="33" t="s">
        <v>18</v>
      </c>
      <c r="B21" s="229" t="s">
        <v>37</v>
      </c>
      <c r="C21" s="226">
        <f>SUBTOTAL(9,C22:C24)</f>
        <v>0</v>
      </c>
      <c r="D21" s="242"/>
      <c r="E21" s="243" t="e">
        <f>C21/C5</f>
        <v>#REF!</v>
      </c>
      <c r="F21" s="182">
        <f>SUBTOTAL(9,F22:F24)</f>
        <v>0</v>
      </c>
      <c r="G21" s="232">
        <v>0</v>
      </c>
      <c r="H21" s="227" t="e">
        <f>F21/F5</f>
        <v>#REF!</v>
      </c>
      <c r="I21" s="182">
        <f>SUBTOTAL(9,I22:I24)</f>
        <v>0</v>
      </c>
      <c r="J21" s="227" t="e">
        <f>I21/$I$5</f>
        <v>#REF!</v>
      </c>
      <c r="K21" s="150"/>
      <c r="L21" s="150"/>
      <c r="M21" s="295"/>
    </row>
    <row r="22" spans="1:13" ht="25.5" outlineLevel="2" x14ac:dyDescent="0.25">
      <c r="A22" s="233">
        <v>1</v>
      </c>
      <c r="B22" s="234" t="s">
        <v>74</v>
      </c>
      <c r="C22" s="235">
        <f>SUMIFS('PL1.1 ML2027-2028'!$G:$G,'PL1.1 ML2027-2028'!$K:$K,L22)/10^6</f>
        <v>0</v>
      </c>
      <c r="D22" s="237"/>
      <c r="E22" s="244"/>
      <c r="F22" s="241">
        <f>SUMIFS('PL1.1 ML2027-2028'!$H:$H,'PL1.1 ML2027-2028'!$K:$K,L22)/10^6</f>
        <v>0</v>
      </c>
      <c r="G22" s="245"/>
      <c r="H22" s="236"/>
      <c r="I22" s="231">
        <f t="shared" si="5"/>
        <v>0</v>
      </c>
      <c r="J22" s="236" t="e">
        <f t="shared" ref="J22:J24" si="6">I22/$I$5</f>
        <v>#REF!</v>
      </c>
      <c r="K22" s="121"/>
      <c r="L22" s="121" t="s">
        <v>70</v>
      </c>
      <c r="M22" s="293"/>
    </row>
    <row r="23" spans="1:13" outlineLevel="2" x14ac:dyDescent="0.25">
      <c r="A23" s="233">
        <v>2</v>
      </c>
      <c r="B23" s="234" t="s">
        <v>75</v>
      </c>
      <c r="C23" s="235">
        <f>SUMIFS('PL1.1 ML2027-2028'!$G:$G,'PL1.1 ML2027-2028'!$K:$K,L23)/10^6</f>
        <v>0</v>
      </c>
      <c r="D23" s="110"/>
      <c r="E23" s="236"/>
      <c r="F23" s="241">
        <f>SUMIFS('PL1.1 ML2027-2028'!$H:$H,'PL1.1 ML2027-2028'!$K:$K,L23)/10^6</f>
        <v>0</v>
      </c>
      <c r="G23" s="232">
        <v>0</v>
      </c>
      <c r="H23" s="236"/>
      <c r="I23" s="231">
        <f t="shared" si="5"/>
        <v>0</v>
      </c>
      <c r="J23" s="236" t="e">
        <f t="shared" si="6"/>
        <v>#REF!</v>
      </c>
      <c r="K23" s="121"/>
      <c r="L23" s="121" t="s">
        <v>71</v>
      </c>
      <c r="M23" s="293"/>
    </row>
    <row r="24" spans="1:13" outlineLevel="2" x14ac:dyDescent="0.25">
      <c r="A24" s="233">
        <v>3</v>
      </c>
      <c r="B24" s="234" t="s">
        <v>76</v>
      </c>
      <c r="C24" s="235">
        <f>SUMIFS('PL1.1 ML2027-2028'!$G:$G,'PL1.1 ML2027-2028'!$K:$K,L24)/10^6</f>
        <v>0</v>
      </c>
      <c r="D24" s="110"/>
      <c r="E24" s="236"/>
      <c r="F24" s="241">
        <f>SUMIFS('PL1.1 ML2027-2028'!$H:$H,'PL1.1 ML2027-2028'!$K:$K,L24)/10^6</f>
        <v>0</v>
      </c>
      <c r="G24" s="232">
        <v>0</v>
      </c>
      <c r="H24" s="236"/>
      <c r="I24" s="231">
        <f t="shared" si="5"/>
        <v>0</v>
      </c>
      <c r="J24" s="236" t="e">
        <f t="shared" si="6"/>
        <v>#REF!</v>
      </c>
      <c r="K24" s="121"/>
      <c r="L24" s="121" t="s">
        <v>66</v>
      </c>
      <c r="M24" s="293"/>
    </row>
    <row r="25" spans="1:13" s="204" customFormat="1" outlineLevel="1" x14ac:dyDescent="0.25">
      <c r="A25" s="33" t="s">
        <v>20</v>
      </c>
      <c r="B25" s="229" t="s">
        <v>21</v>
      </c>
      <c r="C25" s="226">
        <f>SUBTOTAL(9,C26:C28)</f>
        <v>0</v>
      </c>
      <c r="D25" s="242"/>
      <c r="E25" s="243" t="e">
        <f>C25/C5</f>
        <v>#REF!</v>
      </c>
      <c r="F25" s="231">
        <f>SUBTOTAL(9,F26:F28)</f>
        <v>0</v>
      </c>
      <c r="G25" s="232">
        <v>0</v>
      </c>
      <c r="H25" s="227" t="e">
        <f>F25/F5</f>
        <v>#REF!</v>
      </c>
      <c r="I25" s="182">
        <f>SUBTOTAL(9,I26:I28)</f>
        <v>0</v>
      </c>
      <c r="J25" s="227" t="e">
        <f>I25/$I$5</f>
        <v>#REF!</v>
      </c>
      <c r="K25" s="150"/>
      <c r="L25" s="150"/>
      <c r="M25" s="295"/>
    </row>
    <row r="26" spans="1:13" ht="38.25" outlineLevel="2" x14ac:dyDescent="0.25">
      <c r="A26" s="233">
        <v>1</v>
      </c>
      <c r="B26" s="234" t="s">
        <v>113</v>
      </c>
      <c r="C26" s="235">
        <f>SUMIFS('PL1.1 ML2027-2028'!$G:$G,'PL1.1 ML2027-2028'!$J:$J,K26,'PL1.1 ML2027-2028'!$K:$K,L26)/10^6</f>
        <v>0</v>
      </c>
      <c r="D26" s="110" t="s">
        <v>202</v>
      </c>
      <c r="E26" s="236"/>
      <c r="F26" s="241">
        <f>SUMIFS('PL1.1 ML2027-2028'!$H:$H,'PL1.1 ML2027-2028'!$J:$J,K26,'PL1.1 ML2027-2028'!$K:$K,L26)/10^6</f>
        <v>0</v>
      </c>
      <c r="G26" s="110" t="s">
        <v>202</v>
      </c>
      <c r="H26" s="236"/>
      <c r="I26" s="231">
        <f t="shared" si="5"/>
        <v>0</v>
      </c>
      <c r="J26" s="236" t="e">
        <f t="shared" ref="J26" si="7">I26/$I$5</f>
        <v>#REF!</v>
      </c>
      <c r="K26" s="121" t="s">
        <v>21</v>
      </c>
      <c r="L26" s="121" t="s">
        <v>116</v>
      </c>
      <c r="M26" s="293"/>
    </row>
    <row r="27" spans="1:13" ht="242.25" outlineLevel="2" x14ac:dyDescent="0.25">
      <c r="A27" s="233">
        <v>2</v>
      </c>
      <c r="B27" s="234" t="s">
        <v>114</v>
      </c>
      <c r="C27" s="235">
        <f>SUMIFS('PL1.1 ML2027-2028'!$G:$G,'PL1.1 ML2027-2028'!$J:$J,K27,'PL1.1 ML2027-2028'!$K:$K,L27)/10^6</f>
        <v>0</v>
      </c>
      <c r="D27" s="246" t="s">
        <v>204</v>
      </c>
      <c r="E27" s="236"/>
      <c r="F27" s="241">
        <f>SUMIFS('PL1.1 ML2027-2028'!$H:$H,'PL1.1 ML2027-2028'!$J:$J,K27,'PL1.1 ML2027-2028'!$K:$K,L27)/10^6</f>
        <v>0</v>
      </c>
      <c r="G27" s="246" t="s">
        <v>203</v>
      </c>
      <c r="H27" s="236"/>
      <c r="I27" s="231">
        <f t="shared" ref="I27" si="8">C27+F27</f>
        <v>0</v>
      </c>
      <c r="J27" s="236" t="e">
        <f>I27/$I$5</f>
        <v>#REF!</v>
      </c>
      <c r="K27" s="121" t="s">
        <v>21</v>
      </c>
      <c r="L27" s="121" t="s">
        <v>117</v>
      </c>
      <c r="M27" s="293"/>
    </row>
    <row r="28" spans="1:13" outlineLevel="2" x14ac:dyDescent="0.25">
      <c r="A28" s="233">
        <v>3</v>
      </c>
      <c r="B28" s="234" t="s">
        <v>120</v>
      </c>
      <c r="C28" s="235">
        <f>SUMIFS('PL1.1 ML2027-2028'!$G:$G,'PL1.1 ML2027-2028'!$J:$J,K28,'PL1.1 ML2027-2028'!$K:$K,L28)/10^6</f>
        <v>0</v>
      </c>
      <c r="D28" s="237" t="s">
        <v>121</v>
      </c>
      <c r="E28" s="236"/>
      <c r="F28" s="241">
        <f>SUMIFS('PL1.1 ML2027-2028'!$H:$H,'PL1.1 ML2027-2028'!$J:$J,K28,'PL1.1 ML2027-2028'!$K:$K,L28)/10^6</f>
        <v>0</v>
      </c>
      <c r="G28" s="232">
        <v>0</v>
      </c>
      <c r="H28" s="236"/>
      <c r="I28" s="231">
        <f>C28+F28</f>
        <v>0</v>
      </c>
      <c r="J28" s="236" t="e">
        <f>I28/$I$5</f>
        <v>#REF!</v>
      </c>
      <c r="K28" s="121" t="s">
        <v>21</v>
      </c>
      <c r="L28" s="121" t="s">
        <v>51</v>
      </c>
      <c r="M28" s="293"/>
    </row>
    <row r="29" spans="1:13" s="204" customFormat="1" outlineLevel="1" x14ac:dyDescent="0.25">
      <c r="A29" s="33" t="s">
        <v>50</v>
      </c>
      <c r="B29" s="229" t="s">
        <v>30</v>
      </c>
      <c r="C29" s="226" t="e">
        <f>SUBTOTAL(9,C30:C31)</f>
        <v>#REF!</v>
      </c>
      <c r="D29" s="242"/>
      <c r="E29" s="243" t="e">
        <f>C29/C5</f>
        <v>#REF!</v>
      </c>
      <c r="F29" s="182" t="e">
        <f>SUBTOTAL(9,F30:F31)</f>
        <v>#REF!</v>
      </c>
      <c r="G29" s="232">
        <v>0</v>
      </c>
      <c r="H29" s="227" t="e">
        <f>F29/F5</f>
        <v>#REF!</v>
      </c>
      <c r="I29" s="182" t="e">
        <f>SUBTOTAL(9,I30:I31)</f>
        <v>#REF!</v>
      </c>
      <c r="J29" s="227" t="e">
        <f>I29/$I$5</f>
        <v>#REF!</v>
      </c>
      <c r="K29" s="150"/>
      <c r="L29" s="150"/>
      <c r="M29" s="295"/>
    </row>
    <row r="30" spans="1:13" ht="25.5" outlineLevel="2" x14ac:dyDescent="0.25">
      <c r="A30" s="233">
        <v>1</v>
      </c>
      <c r="B30" s="234" t="s">
        <v>78</v>
      </c>
      <c r="C30" s="235">
        <f>'TH theo DV'!H13+'TH theo DV'!H16</f>
        <v>0</v>
      </c>
      <c r="D30" s="110" t="s">
        <v>196</v>
      </c>
      <c r="E30" s="236"/>
      <c r="F30" s="231">
        <f>'TH theo DV'!R13+'TH theo DV'!R16</f>
        <v>0</v>
      </c>
      <c r="G30" s="232">
        <v>0</v>
      </c>
      <c r="H30" s="236"/>
      <c r="I30" s="231">
        <f>C30+F30</f>
        <v>0</v>
      </c>
      <c r="J30" s="236" t="e">
        <f t="shared" ref="J30:J31" si="9">I30/$I$5</f>
        <v>#REF!</v>
      </c>
      <c r="K30" s="121" t="s">
        <v>17</v>
      </c>
      <c r="L30" s="121" t="s">
        <v>17</v>
      </c>
      <c r="M30" s="293"/>
    </row>
    <row r="31" spans="1:13" ht="51" outlineLevel="2" x14ac:dyDescent="0.25">
      <c r="A31" s="233">
        <v>2</v>
      </c>
      <c r="B31" s="234" t="s">
        <v>35</v>
      </c>
      <c r="C31" s="235" t="e">
        <f>'TH theo DV'!H14+'TH theo DV'!H17+'TH theo DV'!H18+'TH theo DV'!H19+'TH theo DV'!H20+'TH theo DV'!H21+'TH theo DV'!H22+'TH theo DV'!#REF!</f>
        <v>#REF!</v>
      </c>
      <c r="D31" s="110" t="s">
        <v>197</v>
      </c>
      <c r="E31" s="236"/>
      <c r="F31" s="231" t="e">
        <f>'TH theo DV'!R14+'TH theo DV'!R17+'TH theo DV'!R18+'TH theo DV'!R19+'TH theo DV'!R20+'TH theo DV'!R21+'TH theo DV'!R22+'TH theo DV'!#REF!</f>
        <v>#REF!</v>
      </c>
      <c r="G31" s="232">
        <v>0</v>
      </c>
      <c r="H31" s="236"/>
      <c r="I31" s="231" t="e">
        <f>C31+F31</f>
        <v>#REF!</v>
      </c>
      <c r="J31" s="236" t="e">
        <f t="shared" si="9"/>
        <v>#REF!</v>
      </c>
      <c r="K31" s="121" t="s">
        <v>17</v>
      </c>
      <c r="L31" s="121" t="s">
        <v>17</v>
      </c>
      <c r="M31" s="293"/>
    </row>
    <row r="32" spans="1:13" s="204" customFormat="1" outlineLevel="1" x14ac:dyDescent="0.25">
      <c r="A32" s="33" t="s">
        <v>50</v>
      </c>
      <c r="B32" s="229" t="s">
        <v>31</v>
      </c>
      <c r="C32" s="226" t="e">
        <f>SUBTOTAL(9,C33:C34)</f>
        <v>#REF!</v>
      </c>
      <c r="D32" s="247"/>
      <c r="E32" s="248" t="e">
        <f>C32/$C$5</f>
        <v>#REF!</v>
      </c>
      <c r="F32" s="231" t="e">
        <f>SUBTOTAL(9,F33:F34)</f>
        <v>#REF!</v>
      </c>
      <c r="G32" s="232">
        <v>0</v>
      </c>
      <c r="H32" s="248" t="e">
        <f>F32/$F$5</f>
        <v>#REF!</v>
      </c>
      <c r="I32" s="182" t="e">
        <f>SUBTOTAL(9,I33:I34)</f>
        <v>#REF!</v>
      </c>
      <c r="J32" s="227" t="e">
        <f>I32/$I$5</f>
        <v>#REF!</v>
      </c>
      <c r="K32" s="150"/>
      <c r="L32" s="150"/>
      <c r="M32" s="295"/>
    </row>
    <row r="33" spans="1:13" ht="127.5" outlineLevel="2" x14ac:dyDescent="0.25">
      <c r="A33" s="233">
        <v>1</v>
      </c>
      <c r="B33" s="234" t="s">
        <v>78</v>
      </c>
      <c r="C33" s="235">
        <f>'TH theo DV'!J13+'TH theo DV'!J16</f>
        <v>0</v>
      </c>
      <c r="D33" s="110" t="s">
        <v>172</v>
      </c>
      <c r="E33" s="249"/>
      <c r="F33" s="231">
        <f>'TH theo DV'!T13+'TH theo DV'!T16</f>
        <v>0</v>
      </c>
      <c r="G33" s="232">
        <v>0</v>
      </c>
      <c r="H33" s="249"/>
      <c r="I33" s="231">
        <f t="shared" si="5"/>
        <v>0</v>
      </c>
      <c r="J33" s="236" t="e">
        <f t="shared" ref="J33:J34" si="10">I33/$I$5</f>
        <v>#REF!</v>
      </c>
      <c r="K33" s="121" t="s">
        <v>6</v>
      </c>
      <c r="L33" s="121" t="s">
        <v>6</v>
      </c>
      <c r="M33" s="293"/>
    </row>
    <row r="34" spans="1:13" ht="25.5" outlineLevel="2" x14ac:dyDescent="0.25">
      <c r="A34" s="233">
        <v>2</v>
      </c>
      <c r="B34" s="234" t="s">
        <v>35</v>
      </c>
      <c r="C34" s="235" t="e">
        <f>'TH theo DV'!J14+'TH theo DV'!J17+'TH theo DV'!J18+'TH theo DV'!J19+'TH theo DV'!J20+'TH theo DV'!J21+'TH theo DV'!J22+'TH theo DV'!#REF!</f>
        <v>#REF!</v>
      </c>
      <c r="D34" s="250"/>
      <c r="E34" s="249"/>
      <c r="F34" s="231" t="e">
        <f>'TH theo DV'!T14+'TH theo DV'!T17+'TH theo DV'!T18+'TH theo DV'!T19+'TH theo DV'!T20+'TH theo DV'!T21+'TH theo DV'!T22+'TH theo DV'!#REF!</f>
        <v>#REF!</v>
      </c>
      <c r="G34" s="250"/>
      <c r="H34" s="249"/>
      <c r="I34" s="231" t="e">
        <f t="shared" si="5"/>
        <v>#REF!</v>
      </c>
      <c r="J34" s="236" t="e">
        <f t="shared" si="10"/>
        <v>#REF!</v>
      </c>
      <c r="K34" s="121" t="s">
        <v>6</v>
      </c>
      <c r="L34" s="121" t="s">
        <v>6</v>
      </c>
      <c r="M34" s="293"/>
    </row>
    <row r="35" spans="1:13" x14ac:dyDescent="0.25">
      <c r="A35" s="13" t="s">
        <v>23</v>
      </c>
      <c r="B35" s="15" t="s">
        <v>159</v>
      </c>
      <c r="C35" s="212">
        <f>SUBTOTAL(9,C36:C41)</f>
        <v>0</v>
      </c>
      <c r="D35" s="284"/>
      <c r="E35" s="285" t="e">
        <f>C35/$C$5</f>
        <v>#REF!</v>
      </c>
      <c r="F35" s="46">
        <f>SUBTOTAL(9,F36:F41)</f>
        <v>0</v>
      </c>
      <c r="G35" s="284"/>
      <c r="H35" s="286" t="e">
        <f>F35/$F$5</f>
        <v>#REF!</v>
      </c>
      <c r="I35" s="46">
        <f>SUBTOTAL(9,I36:I41)</f>
        <v>0</v>
      </c>
      <c r="J35" s="285" t="e">
        <f>I35/$I$5</f>
        <v>#REF!</v>
      </c>
      <c r="K35" s="121"/>
      <c r="L35" s="121"/>
      <c r="M35" s="293"/>
    </row>
    <row r="36" spans="1:13" ht="12.95" customHeight="1" outlineLevel="1" x14ac:dyDescent="0.25">
      <c r="A36" s="215">
        <v>1</v>
      </c>
      <c r="B36" s="216" t="s">
        <v>29</v>
      </c>
      <c r="C36" s="217">
        <f>SUMIFS('PL1.1 ML2027-2028'!$G:$G,'PL1.1 ML2027-2028'!$J:$J,K36,'PL1.1 ML2027-2028'!$K:$K,L36)/10^6</f>
        <v>0</v>
      </c>
      <c r="D36" s="218" t="s">
        <v>191</v>
      </c>
      <c r="E36" s="287"/>
      <c r="F36" s="220">
        <f>SUMIFS('PL1.1 ML2027-2028'!$H:$H,'PL1.1 ML2027-2028'!$J:$J,K36,'PL1.1 ML2027-2028'!$K:$K,L36)/10^6</f>
        <v>0</v>
      </c>
      <c r="G36" s="214" t="s">
        <v>191</v>
      </c>
      <c r="H36" s="219"/>
      <c r="I36" s="213">
        <f t="shared" ref="I36:I41" si="11">C36+F36</f>
        <v>0</v>
      </c>
      <c r="J36" s="219" t="e">
        <f t="shared" ref="J36:J41" si="12">I36/$I$5</f>
        <v>#REF!</v>
      </c>
      <c r="K36" s="121" t="s">
        <v>7</v>
      </c>
      <c r="L36" s="121" t="s">
        <v>160</v>
      </c>
      <c r="M36" s="293"/>
    </row>
    <row r="37" spans="1:13" ht="12.95" customHeight="1" outlineLevel="1" x14ac:dyDescent="0.25">
      <c r="A37" s="215">
        <v>2</v>
      </c>
      <c r="B37" s="216" t="s">
        <v>28</v>
      </c>
      <c r="C37" s="217">
        <f>SUMIFS('PL1.1 ML2027-2028'!$G:$G,'PL1.1 ML2027-2028'!$J:$J,K37,'PL1.1 ML2027-2028'!$K:$K,L37)/10^6</f>
        <v>0</v>
      </c>
      <c r="D37" s="218"/>
      <c r="E37" s="287"/>
      <c r="F37" s="220">
        <f>SUMIFS('PL1.1 ML2027-2028'!$H:$H,'PL1.1 ML2027-2028'!$J:$J,K37,'PL1.1 ML2027-2028'!$K:$K,L37)/10^6</f>
        <v>0</v>
      </c>
      <c r="G37" s="218"/>
      <c r="H37" s="219"/>
      <c r="I37" s="213">
        <f t="shared" si="11"/>
        <v>0</v>
      </c>
      <c r="J37" s="219" t="e">
        <f t="shared" si="12"/>
        <v>#REF!</v>
      </c>
      <c r="K37" s="121" t="s">
        <v>14</v>
      </c>
      <c r="L37" s="121" t="s">
        <v>160</v>
      </c>
      <c r="M37" s="293"/>
    </row>
    <row r="38" spans="1:13" ht="12.95" customHeight="1" outlineLevel="1" x14ac:dyDescent="0.25">
      <c r="A38" s="215">
        <v>3</v>
      </c>
      <c r="B38" s="216" t="s">
        <v>21</v>
      </c>
      <c r="C38" s="217">
        <f>SUMIFS('PL1.1 ML2027-2028'!$G:$G,'PL1.1 ML2027-2028'!$J:$J,K38,'PL1.1 ML2027-2028'!$K:$K,L38)/10^6</f>
        <v>0</v>
      </c>
      <c r="D38" s="221" t="s">
        <v>134</v>
      </c>
      <c r="E38" s="219"/>
      <c r="F38" s="220">
        <f>SUMIFS('PL1.1 ML2027-2028'!$H:$H,'PL1.1 ML2027-2028'!$J:$J,K38,'PL1.1 ML2027-2028'!$K:$K,L38)/10^6</f>
        <v>0</v>
      </c>
      <c r="G38" s="214">
        <v>0</v>
      </c>
      <c r="H38" s="219"/>
      <c r="I38" s="213">
        <f t="shared" si="11"/>
        <v>0</v>
      </c>
      <c r="J38" s="219" t="e">
        <f t="shared" si="12"/>
        <v>#REF!</v>
      </c>
      <c r="K38" s="121" t="s">
        <v>21</v>
      </c>
      <c r="L38" s="121" t="s">
        <v>160</v>
      </c>
      <c r="M38" s="293"/>
    </row>
    <row r="39" spans="1:13" outlineLevel="1" x14ac:dyDescent="0.25">
      <c r="A39" s="215">
        <v>4</v>
      </c>
      <c r="B39" s="216" t="s">
        <v>30</v>
      </c>
      <c r="C39" s="217">
        <f>SUMIFS('PL1.1 ML2027-2028'!$G:$G,'PL1.1 ML2027-2028'!$J:$J,K39,'PL1.1 ML2027-2028'!$K:$K,L39)/10^6</f>
        <v>0</v>
      </c>
      <c r="D39" s="218" t="s">
        <v>199</v>
      </c>
      <c r="E39" s="219"/>
      <c r="F39" s="220">
        <f>SUMIFS('PL1.1 ML2027-2028'!$H:$H,'PL1.1 ML2027-2028'!$J:$J,K39,'PL1.1 ML2027-2028'!$K:$K,L39)/10^6</f>
        <v>0</v>
      </c>
      <c r="G39" s="214">
        <v>0</v>
      </c>
      <c r="H39" s="219"/>
      <c r="I39" s="213">
        <f t="shared" si="11"/>
        <v>0</v>
      </c>
      <c r="J39" s="219" t="e">
        <f t="shared" si="12"/>
        <v>#REF!</v>
      </c>
      <c r="K39" s="121" t="s">
        <v>17</v>
      </c>
      <c r="L39" s="121" t="s">
        <v>160</v>
      </c>
      <c r="M39" s="293"/>
    </row>
    <row r="40" spans="1:13" ht="89.25" outlineLevel="1" x14ac:dyDescent="0.25">
      <c r="A40" s="215">
        <v>5</v>
      </c>
      <c r="B40" s="216" t="s">
        <v>37</v>
      </c>
      <c r="C40" s="217">
        <f>SUMIFS('PL1.1 ML2027-2028'!$G:$G,'PL1.1 ML2027-2028'!$J:$J,K40,'PL1.1 ML2027-2028'!$K:$K,L40)/10^6</f>
        <v>0</v>
      </c>
      <c r="D40" s="218" t="s">
        <v>126</v>
      </c>
      <c r="E40" s="219"/>
      <c r="F40" s="220">
        <f>SUMIFS('PL1.1 ML2027-2028'!$H:$H,'PL1.1 ML2027-2028'!$J:$J,K40,'PL1.1 ML2027-2028'!$K:$K,L40)/10^6</f>
        <v>0</v>
      </c>
      <c r="G40" s="214">
        <v>0</v>
      </c>
      <c r="H40" s="219"/>
      <c r="I40" s="213">
        <f t="shared" si="11"/>
        <v>0</v>
      </c>
      <c r="J40" s="219" t="e">
        <f t="shared" si="12"/>
        <v>#REF!</v>
      </c>
      <c r="K40" s="121" t="s">
        <v>19</v>
      </c>
      <c r="L40" s="121" t="s">
        <v>160</v>
      </c>
      <c r="M40" s="293"/>
    </row>
    <row r="41" spans="1:13" ht="63.75" outlineLevel="1" x14ac:dyDescent="0.25">
      <c r="A41" s="215">
        <v>5</v>
      </c>
      <c r="B41" s="216" t="s">
        <v>31</v>
      </c>
      <c r="C41" s="217">
        <f>SUMIFS('PL1.1 ML2027-2028'!$G:$G,'PL1.1 ML2027-2028'!$J:$J,K41,'PL1.1 ML2027-2028'!$K:$K,L41)/10^6</f>
        <v>0</v>
      </c>
      <c r="D41" s="218" t="s">
        <v>128</v>
      </c>
      <c r="E41" s="219"/>
      <c r="F41" s="220">
        <f>SUMIFS('PL1.1 ML2027-2028'!$H:$H,'PL1.1 ML2027-2028'!$J:$J,K41,'PL1.1 ML2027-2028'!$K:$K,L41)/10^6</f>
        <v>0</v>
      </c>
      <c r="G41" s="214">
        <v>0</v>
      </c>
      <c r="H41" s="219"/>
      <c r="I41" s="213">
        <f t="shared" si="11"/>
        <v>0</v>
      </c>
      <c r="J41" s="219" t="e">
        <f t="shared" si="12"/>
        <v>#REF!</v>
      </c>
      <c r="K41" s="121" t="s">
        <v>6</v>
      </c>
      <c r="L41" s="121" t="s">
        <v>160</v>
      </c>
      <c r="M41" s="293"/>
    </row>
    <row r="42" spans="1:13" ht="25.5" x14ac:dyDescent="0.25">
      <c r="A42" s="251" t="s">
        <v>23</v>
      </c>
      <c r="B42" s="252" t="s">
        <v>73</v>
      </c>
      <c r="C42" s="253">
        <f>SUBTOTAL(9,C43:C48)</f>
        <v>0</v>
      </c>
      <c r="D42" s="254"/>
      <c r="E42" s="255" t="e">
        <f>C42/$C$5</f>
        <v>#REF!</v>
      </c>
      <c r="F42" s="256">
        <f>SUBTOTAL(9,F43:F48)</f>
        <v>0</v>
      </c>
      <c r="G42" s="254"/>
      <c r="H42" s="257" t="e">
        <f>F42/$F$5</f>
        <v>#REF!</v>
      </c>
      <c r="I42" s="256">
        <f>SUBTOTAL(9,I43:I48)</f>
        <v>0</v>
      </c>
      <c r="J42" s="255" t="e">
        <f>I42/$I$5</f>
        <v>#REF!</v>
      </c>
      <c r="K42" s="121"/>
      <c r="L42" s="121"/>
      <c r="M42" s="293"/>
    </row>
    <row r="43" spans="1:13" ht="38.25" outlineLevel="1" x14ac:dyDescent="0.25">
      <c r="A43" s="258">
        <v>1</v>
      </c>
      <c r="B43" s="259" t="s">
        <v>29</v>
      </c>
      <c r="C43" s="260">
        <f>SUMIFS('PL1.1 ML2027-2028'!$G:$G,'PL1.1 ML2027-2028'!$J:$J,K43,'PL1.1 ML2027-2028'!$K:$K,L43)/10^6</f>
        <v>0</v>
      </c>
      <c r="D43" s="261" t="s">
        <v>192</v>
      </c>
      <c r="E43" s="262"/>
      <c r="F43" s="263">
        <f>SUMIFS('PL1.1 ML2027-2028'!$H:$H,'PL1.1 ML2027-2028'!$J:$J,K43,'PL1.1 ML2027-2028'!$K:$K,L43)/10^6</f>
        <v>0</v>
      </c>
      <c r="G43" s="261" t="s">
        <v>192</v>
      </c>
      <c r="H43" s="264"/>
      <c r="I43" s="265">
        <f t="shared" ref="I43:I48" si="13">C43+F43</f>
        <v>0</v>
      </c>
      <c r="J43" s="264" t="e">
        <f t="shared" ref="J43:J48" si="14">I43/$I$5</f>
        <v>#REF!</v>
      </c>
      <c r="K43" s="121" t="s">
        <v>7</v>
      </c>
      <c r="L43" s="121" t="s">
        <v>77</v>
      </c>
      <c r="M43" s="293"/>
    </row>
    <row r="44" spans="1:13" ht="38.25" outlineLevel="1" x14ac:dyDescent="0.25">
      <c r="A44" s="258">
        <v>2</v>
      </c>
      <c r="B44" s="259" t="s">
        <v>28</v>
      </c>
      <c r="C44" s="260">
        <f>SUMIFS('PL1.1 ML2027-2028'!$G:$G,'PL1.1 ML2027-2028'!$J:$J,K44,'PL1.1 ML2027-2028'!$K:$K,L44)/10^6</f>
        <v>0</v>
      </c>
      <c r="D44" s="261" t="s">
        <v>178</v>
      </c>
      <c r="E44" s="262"/>
      <c r="F44" s="263">
        <f>SUMIFS('PL1.1 ML2027-2028'!$H:$H,'PL1.1 ML2027-2028'!$J:$J,K44,'PL1.1 ML2027-2028'!$K:$K,L44)/10^6</f>
        <v>0</v>
      </c>
      <c r="G44" s="266" t="s">
        <v>179</v>
      </c>
      <c r="H44" s="264"/>
      <c r="I44" s="265">
        <f t="shared" si="13"/>
        <v>0</v>
      </c>
      <c r="J44" s="264" t="e">
        <f t="shared" si="14"/>
        <v>#REF!</v>
      </c>
      <c r="K44" s="121" t="s">
        <v>14</v>
      </c>
      <c r="L44" s="121" t="s">
        <v>77</v>
      </c>
      <c r="M44" s="293"/>
    </row>
    <row r="45" spans="1:13" ht="38.25" outlineLevel="1" x14ac:dyDescent="0.25">
      <c r="A45" s="258">
        <v>3</v>
      </c>
      <c r="B45" s="259" t="s">
        <v>21</v>
      </c>
      <c r="C45" s="260">
        <f>SUMIFS('PL1.1 ML2027-2028'!$G:$G,'PL1.1 ML2027-2028'!$J:$J,K45,'PL1.1 ML2027-2028'!$K:$K,L45)/10^6</f>
        <v>0</v>
      </c>
      <c r="D45" s="267" t="s">
        <v>134</v>
      </c>
      <c r="E45" s="264"/>
      <c r="F45" s="263">
        <f>SUMIFS('PL1.1 ML2027-2028'!$H:$H,'PL1.1 ML2027-2028'!$J:$J,K45,'PL1.1 ML2027-2028'!$K:$K,L45)/10^6</f>
        <v>0</v>
      </c>
      <c r="G45" s="268">
        <v>0</v>
      </c>
      <c r="H45" s="264"/>
      <c r="I45" s="265">
        <f t="shared" si="13"/>
        <v>0</v>
      </c>
      <c r="J45" s="264" t="e">
        <f t="shared" si="14"/>
        <v>#REF!</v>
      </c>
      <c r="K45" s="121" t="s">
        <v>21</v>
      </c>
      <c r="L45" s="121" t="s">
        <v>77</v>
      </c>
      <c r="M45" s="293"/>
    </row>
    <row r="46" spans="1:13" outlineLevel="1" x14ac:dyDescent="0.25">
      <c r="A46" s="258">
        <v>4</v>
      </c>
      <c r="B46" s="259" t="s">
        <v>30</v>
      </c>
      <c r="C46" s="260">
        <f>SUMIFS('PL1.1 ML2027-2028'!$G:$G,'PL1.1 ML2027-2028'!$J:$J,K46,'PL1.1 ML2027-2028'!$K:$K,L46)/10^6</f>
        <v>0</v>
      </c>
      <c r="D46" s="261"/>
      <c r="E46" s="264"/>
      <c r="F46" s="263">
        <f>SUMIFS('PL1.1 ML2027-2028'!$H:$H,'PL1.1 ML2027-2028'!$J:$J,K46,'PL1.1 ML2027-2028'!$K:$K,L46)/10^6</f>
        <v>0</v>
      </c>
      <c r="G46" s="268">
        <v>0</v>
      </c>
      <c r="H46" s="264"/>
      <c r="I46" s="265">
        <f t="shared" si="13"/>
        <v>0</v>
      </c>
      <c r="J46" s="264" t="e">
        <f t="shared" si="14"/>
        <v>#REF!</v>
      </c>
      <c r="K46" s="121" t="s">
        <v>17</v>
      </c>
      <c r="L46" s="121" t="s">
        <v>77</v>
      </c>
      <c r="M46" s="293"/>
    </row>
    <row r="47" spans="1:13" outlineLevel="1" x14ac:dyDescent="0.25">
      <c r="A47" s="258">
        <v>5</v>
      </c>
      <c r="B47" s="259" t="s">
        <v>37</v>
      </c>
      <c r="C47" s="260">
        <f>SUMIFS('PL1.1 ML2027-2028'!$G:$G,'PL1.1 ML2027-2028'!$J:$J,K47,'PL1.1 ML2027-2028'!$K:$K,L47)/10^6</f>
        <v>0</v>
      </c>
      <c r="D47" s="261"/>
      <c r="E47" s="264"/>
      <c r="F47" s="263">
        <f>SUMIFS('PL1.1 ML2027-2028'!$H:$H,'PL1.1 ML2027-2028'!$J:$J,K47,'PL1.1 ML2027-2028'!$K:$K,L47)/10^6</f>
        <v>0</v>
      </c>
      <c r="G47" s="268">
        <v>0</v>
      </c>
      <c r="H47" s="264"/>
      <c r="I47" s="265">
        <f t="shared" si="13"/>
        <v>0</v>
      </c>
      <c r="J47" s="264" t="e">
        <f t="shared" ref="J47" si="15">I47/$I$5</f>
        <v>#REF!</v>
      </c>
      <c r="K47" s="121" t="s">
        <v>19</v>
      </c>
      <c r="L47" s="121" t="s">
        <v>77</v>
      </c>
      <c r="M47" s="293"/>
    </row>
    <row r="48" spans="1:13" ht="63.75" outlineLevel="1" x14ac:dyDescent="0.25">
      <c r="A48" s="258">
        <v>5</v>
      </c>
      <c r="B48" s="259" t="s">
        <v>31</v>
      </c>
      <c r="C48" s="260">
        <f>SUMIFS('PL1.1 ML2027-2028'!$G:$G,'PL1.1 ML2027-2028'!$J:$J,K48,'PL1.1 ML2027-2028'!$K:$K,L48)/10^6</f>
        <v>0</v>
      </c>
      <c r="D48" s="261" t="s">
        <v>128</v>
      </c>
      <c r="E48" s="264"/>
      <c r="F48" s="263">
        <f>SUMIFS('PL1.1 ML2027-2028'!$H:$H,'PL1.1 ML2027-2028'!$J:$J,K48,'PL1.1 ML2027-2028'!$K:$K,L48)/10^6</f>
        <v>0</v>
      </c>
      <c r="G48" s="268">
        <v>0</v>
      </c>
      <c r="H48" s="264"/>
      <c r="I48" s="265">
        <f t="shared" si="13"/>
        <v>0</v>
      </c>
      <c r="J48" s="264" t="e">
        <f t="shared" si="14"/>
        <v>#REF!</v>
      </c>
      <c r="K48" s="121" t="s">
        <v>6</v>
      </c>
      <c r="L48" s="121" t="s">
        <v>77</v>
      </c>
      <c r="M48" s="293"/>
    </row>
    <row r="49" spans="1:14" x14ac:dyDescent="0.25">
      <c r="A49" s="33" t="s">
        <v>24</v>
      </c>
      <c r="B49" s="288" t="s">
        <v>59</v>
      </c>
      <c r="C49" s="226">
        <f>SUBTOTAL(9,C50:C53)</f>
        <v>0</v>
      </c>
      <c r="D49" s="283"/>
      <c r="E49" s="248" t="e">
        <f>C49/$C$5</f>
        <v>#REF!</v>
      </c>
      <c r="F49" s="182">
        <f>SUBTOTAL(9,F50:F53)</f>
        <v>0</v>
      </c>
      <c r="G49" s="283"/>
      <c r="H49" s="248" t="e">
        <f>F49/$F$5</f>
        <v>#REF!</v>
      </c>
      <c r="I49" s="182">
        <f>SUBTOTAL(9,I50:I53)</f>
        <v>0</v>
      </c>
      <c r="J49" s="248" t="e">
        <f>I49/$I$5</f>
        <v>#REF!</v>
      </c>
      <c r="K49" s="121"/>
      <c r="L49" s="121"/>
      <c r="M49" s="293"/>
    </row>
    <row r="50" spans="1:14" outlineLevel="1" x14ac:dyDescent="0.25">
      <c r="A50" s="233">
        <v>1</v>
      </c>
      <c r="B50" s="234" t="s">
        <v>29</v>
      </c>
      <c r="C50" s="235">
        <f>SUMIFS('PL1.1 ML2027-2028'!$G:$G,'PL1.1 ML2027-2028'!$J:$J,K50,'PL1.1 ML2027-2028'!$K:$K,L50)/10^6</f>
        <v>0</v>
      </c>
      <c r="D50" s="237" t="s">
        <v>135</v>
      </c>
      <c r="E50" s="236"/>
      <c r="F50" s="241">
        <f>SUMIFS('PL1.1 ML2027-2028'!$H:$H,'PL1.1 ML2027-2028'!$J:$J,K50,'PL1.1 ML2027-2028'!$K:$K,L50)/10^6</f>
        <v>0</v>
      </c>
      <c r="G50" s="232">
        <v>0</v>
      </c>
      <c r="H50" s="236"/>
      <c r="I50" s="231">
        <f>C50+F50</f>
        <v>0</v>
      </c>
      <c r="J50" s="236" t="e">
        <f t="shared" ref="J50:J53" si="16">I50/$I$5</f>
        <v>#REF!</v>
      </c>
      <c r="K50" s="121" t="s">
        <v>7</v>
      </c>
      <c r="L50" s="121" t="s">
        <v>118</v>
      </c>
      <c r="M50" s="293"/>
    </row>
    <row r="51" spans="1:14" ht="25.5" outlineLevel="1" x14ac:dyDescent="0.25">
      <c r="A51" s="233">
        <v>2</v>
      </c>
      <c r="B51" s="234" t="s">
        <v>37</v>
      </c>
      <c r="C51" s="235">
        <f>SUMIFS('PL1.1 ML2027-2028'!$G:$G,'PL1.1 ML2027-2028'!$J:$J,K51,'PL1.1 ML2027-2028'!$K:$K,L51)/10^6</f>
        <v>0</v>
      </c>
      <c r="D51" s="237" t="s">
        <v>119</v>
      </c>
      <c r="E51" s="236"/>
      <c r="F51" s="241">
        <f>SUMIFS('PL1.1 ML2027-2028'!$H:$H,'PL1.1 ML2027-2028'!$J:$J,K51,'PL1.1 ML2027-2028'!$K:$K,L51)/10^6</f>
        <v>0</v>
      </c>
      <c r="G51" s="232">
        <v>0</v>
      </c>
      <c r="H51" s="236"/>
      <c r="I51" s="231">
        <f>C51+F51</f>
        <v>0</v>
      </c>
      <c r="J51" s="236" t="e">
        <f t="shared" si="16"/>
        <v>#REF!</v>
      </c>
      <c r="K51" s="121" t="s">
        <v>19</v>
      </c>
      <c r="L51" s="121" t="s">
        <v>118</v>
      </c>
      <c r="M51" s="293"/>
    </row>
    <row r="52" spans="1:14" ht="51" outlineLevel="1" x14ac:dyDescent="0.25">
      <c r="A52" s="233">
        <v>3</v>
      </c>
      <c r="B52" s="234" t="s">
        <v>30</v>
      </c>
      <c r="C52" s="235">
        <f>SUMIFS('PL1.1 ML2027-2028'!$G:$G,'PL1.1 ML2027-2028'!$J:$J,K52,'PL1.1 ML2027-2028'!$K:$K,L52)/10^6+SUMIFS('PL1.1 ML2027-2028'!$G:$G,'PL1.1 ML2027-2028'!$J:$J,M52,'PL1.1 ML2027-2028'!$K:$K,L52)/10^6</f>
        <v>0</v>
      </c>
      <c r="D52" s="110" t="s">
        <v>198</v>
      </c>
      <c r="E52" s="289"/>
      <c r="F52" s="241">
        <f>SUMIFS('PL1.1 ML2027-2028'!$H:$H,'PL1.1 ML2027-2028'!$J:$J,K52,'PL1.1 ML2027-2028'!$K:$K,L52)/10^6+SUMIFS('PL1.1 ML2027-2028'!$H:$H,'PL1.1 ML2027-2028'!$J:$J,M52,'PL1.1 ML2027-2028'!$K:$K,L52)/10^6</f>
        <v>0</v>
      </c>
      <c r="G52" s="232">
        <v>0</v>
      </c>
      <c r="H52" s="289"/>
      <c r="I52" s="231">
        <f>C52+F52</f>
        <v>0</v>
      </c>
      <c r="J52" s="236" t="e">
        <f t="shared" si="16"/>
        <v>#REF!</v>
      </c>
      <c r="K52" s="121" t="s">
        <v>17</v>
      </c>
      <c r="L52" s="121" t="s">
        <v>118</v>
      </c>
      <c r="M52" s="121" t="s">
        <v>9</v>
      </c>
      <c r="N52" s="124"/>
    </row>
    <row r="53" spans="1:14" ht="102" outlineLevel="1" x14ac:dyDescent="0.25">
      <c r="A53" s="233">
        <v>4</v>
      </c>
      <c r="B53" s="234" t="s">
        <v>31</v>
      </c>
      <c r="C53" s="235">
        <f>SUMIFS('PL1.1 ML2027-2028'!$G:$G,'PL1.1 ML2027-2028'!$J:$J,K53,'PL1.1 ML2027-2028'!$K:$K,L53)/10^6</f>
        <v>0</v>
      </c>
      <c r="D53" s="110" t="s">
        <v>129</v>
      </c>
      <c r="E53" s="249"/>
      <c r="F53" s="241">
        <f>SUMIFS('PL1.1 ML2027-2028'!$H:$H,'PL1.1 ML2027-2028'!$J:$J,K53,'PL1.1 ML2027-2028'!$K:$K,L53)/10^6</f>
        <v>0</v>
      </c>
      <c r="G53" s="232">
        <v>0</v>
      </c>
      <c r="H53" s="249"/>
      <c r="I53" s="231">
        <f>C53+F53</f>
        <v>0</v>
      </c>
      <c r="J53" s="236" t="e">
        <f t="shared" si="16"/>
        <v>#REF!</v>
      </c>
      <c r="K53" s="121" t="s">
        <v>6</v>
      </c>
      <c r="L53" s="121" t="s">
        <v>118</v>
      </c>
      <c r="M53" s="293"/>
    </row>
    <row r="54" spans="1:14" ht="25.5" x14ac:dyDescent="0.25">
      <c r="A54" s="269" t="s">
        <v>25</v>
      </c>
      <c r="B54" s="290" t="s">
        <v>98</v>
      </c>
      <c r="C54" s="270">
        <f>SUBTOTAL(9,C55:C57)</f>
        <v>0</v>
      </c>
      <c r="D54" s="271"/>
      <c r="E54" s="272" t="e">
        <f>C54/$C$5</f>
        <v>#REF!</v>
      </c>
      <c r="F54" s="273">
        <f>SUBTOTAL(9,F55:F57)</f>
        <v>0</v>
      </c>
      <c r="G54" s="271"/>
      <c r="H54" s="272" t="e">
        <f>F54/$F$5</f>
        <v>#REF!</v>
      </c>
      <c r="I54" s="273">
        <f>SUBTOTAL(9,I55:I57)</f>
        <v>0</v>
      </c>
      <c r="J54" s="272" t="e">
        <f>I54/$I$5</f>
        <v>#REF!</v>
      </c>
      <c r="K54" s="121"/>
      <c r="L54" s="121"/>
      <c r="M54" s="293"/>
    </row>
    <row r="55" spans="1:14" ht="38.25" outlineLevel="1" x14ac:dyDescent="0.25">
      <c r="A55" s="274">
        <v>1</v>
      </c>
      <c r="B55" s="275" t="s">
        <v>29</v>
      </c>
      <c r="C55" s="276">
        <f>SUMIFS('PL1.1 ML2027-2028'!$G:$G,'PL1.1 ML2027-2028'!$J:$J,K55,'PL1.1 ML2027-2028'!$K:$K,L55)/10^6</f>
        <v>0</v>
      </c>
      <c r="D55" s="282" t="s">
        <v>138</v>
      </c>
      <c r="E55" s="280"/>
      <c r="F55" s="278">
        <f>SUMIFS('PL1.1 ML2027-2028'!$H:$H,'PL1.1 ML2027-2028'!$J:$J,K55,'PL1.1 ML2027-2028'!$K:$K,L55)/10^6</f>
        <v>0</v>
      </c>
      <c r="G55" s="279">
        <v>0</v>
      </c>
      <c r="H55" s="280"/>
      <c r="I55" s="281">
        <f>C55+F55</f>
        <v>0</v>
      </c>
      <c r="J55" s="280" t="e">
        <f t="shared" ref="J55:J57" si="17">I55/$I$5</f>
        <v>#REF!</v>
      </c>
      <c r="K55" s="121" t="s">
        <v>7</v>
      </c>
      <c r="L55" s="121" t="s">
        <v>99</v>
      </c>
      <c r="M55" s="293"/>
    </row>
    <row r="56" spans="1:14" ht="76.5" outlineLevel="1" x14ac:dyDescent="0.25">
      <c r="A56" s="274">
        <v>2</v>
      </c>
      <c r="B56" s="275" t="s">
        <v>30</v>
      </c>
      <c r="C56" s="276">
        <f>SUMIFS('PL1.1 ML2027-2028'!$G:$G,'PL1.1 ML2027-2028'!$J:$J,K56,'PL1.1 ML2027-2028'!$K:$K,L56)/10^6</f>
        <v>0</v>
      </c>
      <c r="D56" s="277" t="s">
        <v>127</v>
      </c>
      <c r="E56" s="291"/>
      <c r="F56" s="278">
        <f>SUMIFS('PL1.1 ML2027-2028'!$H:$H,'PL1.1 ML2027-2028'!$J:$J,K56,'PL1.1 ML2027-2028'!$K:$K,L56)/10^6</f>
        <v>0</v>
      </c>
      <c r="G56" s="279">
        <v>0</v>
      </c>
      <c r="H56" s="291"/>
      <c r="I56" s="281">
        <f>C56+F56</f>
        <v>0</v>
      </c>
      <c r="J56" s="280" t="e">
        <f t="shared" si="17"/>
        <v>#REF!</v>
      </c>
      <c r="K56" s="121" t="s">
        <v>17</v>
      </c>
      <c r="L56" s="121" t="s">
        <v>99</v>
      </c>
      <c r="M56" s="293"/>
    </row>
    <row r="57" spans="1:14" ht="51" outlineLevel="1" x14ac:dyDescent="0.25">
      <c r="A57" s="274">
        <v>3</v>
      </c>
      <c r="B57" s="275" t="s">
        <v>31</v>
      </c>
      <c r="C57" s="276">
        <f>SUMIFS('PL1.1 ML2027-2028'!$G:$G,'PL1.1 ML2027-2028'!$J:$J,K57,'PL1.1 ML2027-2028'!$K:$K,L57)/10^6</f>
        <v>0</v>
      </c>
      <c r="D57" s="277" t="s">
        <v>130</v>
      </c>
      <c r="E57" s="292"/>
      <c r="F57" s="278">
        <f>SUMIFS('PL1.1 ML2027-2028'!$H:$H,'PL1.1 ML2027-2028'!$J:$J,K57,'PL1.1 ML2027-2028'!$K:$K,L57)/10^6</f>
        <v>0</v>
      </c>
      <c r="G57" s="279">
        <v>0</v>
      </c>
      <c r="H57" s="292"/>
      <c r="I57" s="281">
        <f>C57+F57</f>
        <v>0</v>
      </c>
      <c r="J57" s="280" t="e">
        <f t="shared" si="17"/>
        <v>#REF!</v>
      </c>
      <c r="K57" s="121" t="s">
        <v>6</v>
      </c>
      <c r="L57" s="121" t="s">
        <v>99</v>
      </c>
      <c r="M57" s="293"/>
    </row>
  </sheetData>
  <autoFilter ref="A5:K57"/>
  <mergeCells count="8">
    <mergeCell ref="K3:M3"/>
    <mergeCell ref="A1:J1"/>
    <mergeCell ref="J3:J4"/>
    <mergeCell ref="A3:A4"/>
    <mergeCell ref="B3:B4"/>
    <mergeCell ref="C3:E3"/>
    <mergeCell ref="F3:H3"/>
    <mergeCell ref="I3:I4"/>
  </mergeCells>
  <pageMargins left="0.39" right="0.18" top="0.2" bottom="0.14000000000000001" header="0.21" footer="0.13"/>
  <pageSetup paperSize="9" scale="75" fitToHeight="0" orientation="landscape"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EE0033"/>
    <outlinePr summaryBelow="0" summaryRight="0"/>
    <pageSetUpPr fitToPage="1"/>
  </sheetPr>
  <dimension ref="A1:K29"/>
  <sheetViews>
    <sheetView zoomScale="90" zoomScaleNormal="90" workbookViewId="0">
      <pane xSplit="2" ySplit="3" topLeftCell="C4" activePane="bottomRight" state="frozen"/>
      <selection activeCell="N27" sqref="N27"/>
      <selection pane="topRight" activeCell="N27" sqref="N27"/>
      <selection pane="bottomLeft" activeCell="N27" sqref="N27"/>
      <selection pane="bottomRight" activeCell="F11" sqref="F11"/>
    </sheetView>
  </sheetViews>
  <sheetFormatPr defaultColWidth="9.28515625" defaultRowHeight="12.75" outlineLevelRow="1" x14ac:dyDescent="0.2"/>
  <cols>
    <col min="1" max="1" width="3.28515625" style="7" bestFit="1" customWidth="1"/>
    <col min="2" max="2" width="26.7109375" style="7" customWidth="1"/>
    <col min="3" max="3" width="78" style="7" customWidth="1"/>
    <col min="4" max="4" width="10.85546875" style="22" customWidth="1"/>
    <col min="5" max="5" width="7.140625" style="26" customWidth="1"/>
    <col min="6" max="6" width="59.5703125" style="7" customWidth="1"/>
    <col min="7" max="7" width="9.28515625" style="23" hidden="1" customWidth="1"/>
    <col min="8" max="8" width="14.28515625" style="38" customWidth="1"/>
    <col min="9" max="16384" width="9.28515625" style="7"/>
  </cols>
  <sheetData>
    <row r="1" spans="1:9" ht="18.75" x14ac:dyDescent="0.2">
      <c r="A1" s="619" t="s">
        <v>140</v>
      </c>
      <c r="B1" s="620"/>
      <c r="C1" s="620"/>
      <c r="D1" s="620"/>
      <c r="E1" s="620"/>
      <c r="F1" s="620"/>
      <c r="G1" s="25"/>
      <c r="H1" s="25"/>
      <c r="I1" s="25"/>
    </row>
    <row r="2" spans="1:9" x14ac:dyDescent="0.2">
      <c r="C2" s="53"/>
    </row>
    <row r="3" spans="1:9" ht="25.5" x14ac:dyDescent="0.2">
      <c r="A3" s="2" t="s">
        <v>0</v>
      </c>
      <c r="B3" s="3" t="s">
        <v>38</v>
      </c>
      <c r="C3" s="3" t="s">
        <v>39</v>
      </c>
      <c r="D3" s="63" t="s">
        <v>168</v>
      </c>
      <c r="E3" s="27" t="s">
        <v>40</v>
      </c>
      <c r="F3" s="3" t="s">
        <v>55</v>
      </c>
    </row>
    <row r="4" spans="1:9" x14ac:dyDescent="0.2">
      <c r="A4" s="2"/>
      <c r="B4" s="117" t="s">
        <v>34</v>
      </c>
      <c r="C4" s="117"/>
      <c r="D4" s="20">
        <f>SUBTOTAL(9,D5:D29)</f>
        <v>0</v>
      </c>
      <c r="E4" s="27"/>
      <c r="F4" s="117"/>
    </row>
    <row r="5" spans="1:9" x14ac:dyDescent="0.2">
      <c r="A5" s="2" t="s">
        <v>4</v>
      </c>
      <c r="B5" s="73" t="s">
        <v>107</v>
      </c>
      <c r="C5" s="74"/>
      <c r="D5" s="12">
        <f>SUBTOTAL(9,D6:D9)</f>
        <v>0</v>
      </c>
      <c r="E5" s="75" t="e">
        <f>D5/$D$4</f>
        <v>#DIV/0!</v>
      </c>
      <c r="F5" s="74"/>
    </row>
    <row r="6" spans="1:9" s="131" customFormat="1" ht="114.75" outlineLevel="1" x14ac:dyDescent="0.2">
      <c r="A6" s="121">
        <v>1</v>
      </c>
      <c r="B6" s="119" t="s">
        <v>54</v>
      </c>
      <c r="C6" s="123" t="s">
        <v>147</v>
      </c>
      <c r="D6" s="118">
        <f>'TH theo DV'!AE7</f>
        <v>0</v>
      </c>
      <c r="E6" s="128" t="e">
        <f>D6/$D$4</f>
        <v>#DIV/0!</v>
      </c>
      <c r="F6" s="123" t="s">
        <v>146</v>
      </c>
      <c r="G6" s="129" t="s">
        <v>47</v>
      </c>
      <c r="H6" s="130"/>
      <c r="I6" s="148"/>
    </row>
    <row r="7" spans="1:9" ht="25.5" outlineLevel="1" x14ac:dyDescent="0.2">
      <c r="A7" s="17">
        <v>2</v>
      </c>
      <c r="B7" s="105" t="s">
        <v>108</v>
      </c>
      <c r="C7" s="71" t="s">
        <v>148</v>
      </c>
      <c r="D7" s="59">
        <f>'TH theo DV'!AE8</f>
        <v>0</v>
      </c>
      <c r="E7" s="24" t="e">
        <f>D7/$D$4</f>
        <v>#DIV/0!</v>
      </c>
      <c r="F7" s="106" t="s">
        <v>123</v>
      </c>
    </row>
    <row r="8" spans="1:9" s="138" customFormat="1" ht="25.5" outlineLevel="1" x14ac:dyDescent="0.2">
      <c r="A8" s="126">
        <v>3</v>
      </c>
      <c r="B8" s="149" t="s">
        <v>109</v>
      </c>
      <c r="C8" s="153" t="s">
        <v>200</v>
      </c>
      <c r="D8" s="134">
        <f>'TH theo DV'!AE9</f>
        <v>0</v>
      </c>
      <c r="E8" s="135" t="e">
        <f>D8/$D$4</f>
        <v>#DIV/0!</v>
      </c>
      <c r="F8" s="125" t="s">
        <v>133</v>
      </c>
      <c r="G8" s="136" t="s">
        <v>21</v>
      </c>
      <c r="H8" s="137"/>
    </row>
    <row r="9" spans="1:9" ht="25.5" outlineLevel="1" x14ac:dyDescent="0.2">
      <c r="A9" s="17">
        <v>4</v>
      </c>
      <c r="B9" s="54" t="s">
        <v>105</v>
      </c>
      <c r="C9" s="106" t="s">
        <v>149</v>
      </c>
      <c r="D9" s="59">
        <f>'TH theo DV'!AE10</f>
        <v>0</v>
      </c>
      <c r="E9" s="24" t="e">
        <f>D9/$D$4</f>
        <v>#DIV/0!</v>
      </c>
      <c r="F9" s="106" t="s">
        <v>132</v>
      </c>
      <c r="G9" s="23" t="s">
        <v>110</v>
      </c>
    </row>
    <row r="10" spans="1:9" x14ac:dyDescent="0.2">
      <c r="A10" s="39" t="s">
        <v>10</v>
      </c>
      <c r="B10" s="40" t="s">
        <v>111</v>
      </c>
      <c r="C10" s="107"/>
      <c r="D10" s="60">
        <f>SUBTOTAL(9,D11:D24)</f>
        <v>0</v>
      </c>
      <c r="E10" s="32" t="e">
        <f>D10/D4</f>
        <v>#DIV/0!</v>
      </c>
      <c r="F10" s="111"/>
    </row>
    <row r="11" spans="1:9" outlineLevel="1" x14ac:dyDescent="0.2">
      <c r="A11" s="93">
        <v>1</v>
      </c>
      <c r="B11" s="82" t="s">
        <v>32</v>
      </c>
      <c r="C11" s="108"/>
      <c r="D11" s="112">
        <f>SUBTOTAL(9,D12:D13)</f>
        <v>0</v>
      </c>
      <c r="E11" s="24" t="e">
        <f t="shared" ref="E11:E19" si="0">D11/$D$4</f>
        <v>#DIV/0!</v>
      </c>
      <c r="F11" s="71"/>
    </row>
    <row r="12" spans="1:9" ht="114.75" outlineLevel="1" x14ac:dyDescent="0.2">
      <c r="A12" s="17" t="s">
        <v>8</v>
      </c>
      <c r="B12" s="76" t="s">
        <v>101</v>
      </c>
      <c r="C12" s="106" t="s">
        <v>145</v>
      </c>
      <c r="D12" s="59">
        <f>'TH theo DV'!AE13</f>
        <v>0</v>
      </c>
      <c r="E12" s="24" t="e">
        <f t="shared" si="0"/>
        <v>#DIV/0!</v>
      </c>
      <c r="F12" s="106" t="s">
        <v>150</v>
      </c>
      <c r="G12" s="23" t="s">
        <v>7</v>
      </c>
    </row>
    <row r="13" spans="1:9" s="131" customFormat="1" ht="140.25" outlineLevel="1" x14ac:dyDescent="0.2">
      <c r="A13" s="121" t="s">
        <v>8</v>
      </c>
      <c r="B13" s="127" t="s">
        <v>102</v>
      </c>
      <c r="C13" s="123" t="s">
        <v>185</v>
      </c>
      <c r="D13" s="118">
        <f>'TH theo DV'!AE14</f>
        <v>0</v>
      </c>
      <c r="E13" s="128" t="e">
        <f t="shared" si="0"/>
        <v>#DIV/0!</v>
      </c>
      <c r="F13" s="123" t="s">
        <v>184</v>
      </c>
      <c r="G13" s="129" t="s">
        <v>14</v>
      </c>
      <c r="H13" s="130"/>
    </row>
    <row r="14" spans="1:9" outlineLevel="1" x14ac:dyDescent="0.2">
      <c r="A14" s="78">
        <v>2</v>
      </c>
      <c r="B14" s="82" t="s">
        <v>103</v>
      </c>
      <c r="C14" s="109"/>
      <c r="D14" s="112">
        <f>SUBTOTAL(9,D15:D18)</f>
        <v>0</v>
      </c>
      <c r="E14" s="24" t="e">
        <f t="shared" si="0"/>
        <v>#DIV/0!</v>
      </c>
      <c r="F14" s="106"/>
    </row>
    <row r="15" spans="1:9" ht="51" outlineLevel="1" x14ac:dyDescent="0.2">
      <c r="A15" s="18" t="s">
        <v>8</v>
      </c>
      <c r="B15" s="76" t="s">
        <v>62</v>
      </c>
      <c r="C15" s="106" t="s">
        <v>152</v>
      </c>
      <c r="D15" s="59">
        <f>'TH theo DV'!AE16</f>
        <v>0</v>
      </c>
      <c r="E15" s="24" t="e">
        <f t="shared" si="0"/>
        <v>#DIV/0!</v>
      </c>
      <c r="F15" s="106" t="s">
        <v>151</v>
      </c>
      <c r="G15" s="23" t="s">
        <v>19</v>
      </c>
    </row>
    <row r="16" spans="1:9" ht="114.75" outlineLevel="1" x14ac:dyDescent="0.2">
      <c r="A16" s="18" t="s">
        <v>8</v>
      </c>
      <c r="B16" s="76" t="s">
        <v>75</v>
      </c>
      <c r="C16" s="106" t="s">
        <v>153</v>
      </c>
      <c r="D16" s="59">
        <f>'TH theo DV'!AE17</f>
        <v>0</v>
      </c>
      <c r="E16" s="24" t="e">
        <f t="shared" si="0"/>
        <v>#DIV/0!</v>
      </c>
      <c r="F16" s="106" t="s">
        <v>154</v>
      </c>
      <c r="G16" s="23" t="s">
        <v>19</v>
      </c>
    </row>
    <row r="17" spans="1:11" ht="76.5" outlineLevel="1" x14ac:dyDescent="0.2">
      <c r="A17" s="18" t="s">
        <v>8</v>
      </c>
      <c r="B17" s="76" t="s">
        <v>76</v>
      </c>
      <c r="C17" s="106" t="s">
        <v>163</v>
      </c>
      <c r="D17" s="59">
        <f>'TH theo DV'!AE18</f>
        <v>0</v>
      </c>
      <c r="E17" s="24" t="e">
        <f t="shared" si="0"/>
        <v>#DIV/0!</v>
      </c>
      <c r="F17" s="106" t="s">
        <v>155</v>
      </c>
      <c r="G17" s="23" t="s">
        <v>19</v>
      </c>
    </row>
    <row r="18" spans="1:11" ht="25.5" outlineLevel="1" x14ac:dyDescent="0.2">
      <c r="A18" s="18" t="s">
        <v>8</v>
      </c>
      <c r="B18" s="76" t="s">
        <v>91</v>
      </c>
      <c r="C18" s="106" t="s">
        <v>125</v>
      </c>
      <c r="D18" s="59">
        <f>'TH theo DV'!AE19</f>
        <v>0</v>
      </c>
      <c r="E18" s="24" t="e">
        <f t="shared" si="0"/>
        <v>#DIV/0!</v>
      </c>
      <c r="F18" s="106" t="s">
        <v>124</v>
      </c>
      <c r="G18" s="23" t="s">
        <v>17</v>
      </c>
    </row>
    <row r="19" spans="1:11" s="138" customFormat="1" ht="25.5" outlineLevel="1" x14ac:dyDescent="0.2">
      <c r="A19" s="145">
        <v>3</v>
      </c>
      <c r="B19" s="146" t="s">
        <v>60</v>
      </c>
      <c r="C19" s="125" t="s">
        <v>144</v>
      </c>
      <c r="D19" s="147">
        <f>'TH theo DV'!AE20</f>
        <v>0</v>
      </c>
      <c r="E19" s="135" t="e">
        <f t="shared" si="0"/>
        <v>#DIV/0!</v>
      </c>
      <c r="F19" s="125" t="s">
        <v>8</v>
      </c>
      <c r="G19" s="136" t="s">
        <v>21</v>
      </c>
      <c r="H19" s="137"/>
      <c r="J19" s="139"/>
    </row>
    <row r="20" spans="1:11" ht="25.5" outlineLevel="1" x14ac:dyDescent="0.2">
      <c r="A20" s="78">
        <v>4</v>
      </c>
      <c r="B20" s="82" t="s">
        <v>61</v>
      </c>
      <c r="C20" s="106" t="s">
        <v>156</v>
      </c>
      <c r="D20" s="112">
        <f>'TH theo DV'!AE21</f>
        <v>0</v>
      </c>
      <c r="E20" s="24"/>
      <c r="F20" s="106" t="s">
        <v>157</v>
      </c>
      <c r="G20" s="23" t="s">
        <v>65</v>
      </c>
      <c r="J20" s="30"/>
    </row>
    <row r="21" spans="1:11" outlineLevel="1" x14ac:dyDescent="0.2">
      <c r="A21" s="78">
        <v>5</v>
      </c>
      <c r="B21" s="82" t="s">
        <v>106</v>
      </c>
      <c r="C21" s="106"/>
      <c r="D21" s="112">
        <f>SUBTOTAL(9,D22:D24)</f>
        <v>0</v>
      </c>
      <c r="E21" s="24"/>
      <c r="F21" s="106"/>
      <c r="J21" s="30"/>
    </row>
    <row r="22" spans="1:11" s="138" customFormat="1" ht="25.5" outlineLevel="1" x14ac:dyDescent="0.2">
      <c r="A22" s="132" t="s">
        <v>8</v>
      </c>
      <c r="B22" s="133" t="s">
        <v>113</v>
      </c>
      <c r="C22" s="125" t="s">
        <v>206</v>
      </c>
      <c r="D22" s="134">
        <f>'TH theo DV'!AE23</f>
        <v>0</v>
      </c>
      <c r="E22" s="135"/>
      <c r="F22" s="621" t="s">
        <v>162</v>
      </c>
      <c r="G22" s="136" t="s">
        <v>21</v>
      </c>
      <c r="H22" s="137"/>
      <c r="J22" s="139"/>
    </row>
    <row r="23" spans="1:11" s="138" customFormat="1" ht="51" outlineLevel="1" x14ac:dyDescent="0.2">
      <c r="A23" s="132" t="s">
        <v>8</v>
      </c>
      <c r="B23" s="133" t="s">
        <v>114</v>
      </c>
      <c r="C23" s="125" t="s">
        <v>205</v>
      </c>
      <c r="D23" s="134">
        <f>'TH theo DV'!AE24</f>
        <v>0</v>
      </c>
      <c r="E23" s="135"/>
      <c r="F23" s="622"/>
      <c r="G23" s="136" t="s">
        <v>21</v>
      </c>
      <c r="H23" s="137"/>
      <c r="J23" s="139"/>
    </row>
    <row r="24" spans="1:11" s="138" customFormat="1" ht="25.5" outlineLevel="1" x14ac:dyDescent="0.2">
      <c r="A24" s="132" t="s">
        <v>8</v>
      </c>
      <c r="B24" s="133" t="s">
        <v>51</v>
      </c>
      <c r="C24" s="125" t="s">
        <v>121</v>
      </c>
      <c r="D24" s="134">
        <f>'TH theo DV'!AE25</f>
        <v>0</v>
      </c>
      <c r="E24" s="135" t="e">
        <f>D24/$D$4</f>
        <v>#DIV/0!</v>
      </c>
      <c r="F24" s="125" t="s">
        <v>122</v>
      </c>
      <c r="G24" s="136" t="s">
        <v>21</v>
      </c>
      <c r="H24" s="137"/>
      <c r="I24" s="140"/>
      <c r="J24" s="141"/>
      <c r="K24" s="139"/>
    </row>
    <row r="25" spans="1:11" x14ac:dyDescent="0.2">
      <c r="A25" s="33" t="s">
        <v>15</v>
      </c>
      <c r="B25" s="34" t="s">
        <v>115</v>
      </c>
      <c r="C25" s="110"/>
      <c r="D25" s="61">
        <f>SUBTOTAL(9,D27:D29)</f>
        <v>0</v>
      </c>
      <c r="E25" s="35" t="e">
        <f>D25/$D$4</f>
        <v>#DIV/0!</v>
      </c>
      <c r="F25" s="110"/>
    </row>
    <row r="26" spans="1:11" s="138" customFormat="1" ht="76.5" outlineLevel="1" x14ac:dyDescent="0.2">
      <c r="A26" s="126">
        <v>1</v>
      </c>
      <c r="B26" s="142" t="s">
        <v>159</v>
      </c>
      <c r="C26" s="125" t="s">
        <v>180</v>
      </c>
      <c r="D26" s="134">
        <f>'TH theo DV'!AE27</f>
        <v>0</v>
      </c>
      <c r="E26" s="143"/>
      <c r="F26" s="125" t="s">
        <v>181</v>
      </c>
      <c r="G26" s="136"/>
      <c r="H26" s="137"/>
    </row>
    <row r="27" spans="1:11" s="138" customFormat="1" ht="114.75" outlineLevel="1" x14ac:dyDescent="0.2">
      <c r="A27" s="126">
        <v>2</v>
      </c>
      <c r="B27" s="144" t="s">
        <v>158</v>
      </c>
      <c r="C27" s="125" t="s">
        <v>182</v>
      </c>
      <c r="D27" s="134">
        <f>'TH theo DV'!AE28</f>
        <v>0</v>
      </c>
      <c r="E27" s="135"/>
      <c r="F27" s="125" t="s">
        <v>183</v>
      </c>
      <c r="G27" s="136"/>
      <c r="H27" s="137"/>
    </row>
    <row r="28" spans="1:11" ht="153" outlineLevel="1" x14ac:dyDescent="0.2">
      <c r="A28" s="17">
        <v>3</v>
      </c>
      <c r="B28" s="72" t="s">
        <v>161</v>
      </c>
      <c r="C28" s="106" t="s">
        <v>136</v>
      </c>
      <c r="D28" s="59">
        <f>'TH theo DV'!AE29</f>
        <v>0</v>
      </c>
      <c r="E28" s="24"/>
      <c r="F28" s="106" t="s">
        <v>131</v>
      </c>
    </row>
    <row r="29" spans="1:11" ht="153" outlineLevel="1" x14ac:dyDescent="0.2">
      <c r="A29" s="17">
        <v>4</v>
      </c>
      <c r="B29" s="85" t="s">
        <v>98</v>
      </c>
      <c r="C29" s="106" t="s">
        <v>139</v>
      </c>
      <c r="D29" s="59">
        <f>'TH theo DV'!AE30</f>
        <v>0</v>
      </c>
      <c r="E29" s="24"/>
      <c r="F29" s="106" t="s">
        <v>137</v>
      </c>
    </row>
  </sheetData>
  <autoFilter ref="A3:G29"/>
  <mergeCells count="2">
    <mergeCell ref="A1:F1"/>
    <mergeCell ref="F22:F23"/>
  </mergeCells>
  <pageMargins left="0.45" right="0.2" top="0.25" bottom="0.2" header="0.2" footer="0.2"/>
  <pageSetup paperSize="9" scale="75" fitToHeight="0" orientation="landscape"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B2:K35"/>
  <sheetViews>
    <sheetView workbookViewId="0">
      <selection activeCell="I38" sqref="I38"/>
    </sheetView>
  </sheetViews>
  <sheetFormatPr defaultColWidth="8.7109375" defaultRowHeight="12.75" x14ac:dyDescent="0.25"/>
  <cols>
    <col min="1" max="2" width="8.7109375" style="6"/>
    <col min="3" max="3" width="12.7109375" style="6" bestFit="1" customWidth="1"/>
    <col min="4" max="6" width="8.7109375" style="6"/>
    <col min="7" max="7" width="2.7109375" style="6" bestFit="1" customWidth="1"/>
    <col min="8" max="8" width="8.7109375" style="94"/>
    <col min="9" max="16384" width="8.7109375" style="6"/>
  </cols>
  <sheetData>
    <row r="2" spans="2:11" x14ac:dyDescent="0.25">
      <c r="B2" s="623" t="s">
        <v>67</v>
      </c>
      <c r="C2" s="623"/>
      <c r="D2" s="623"/>
    </row>
    <row r="3" spans="2:11" x14ac:dyDescent="0.25">
      <c r="B3" s="19" t="s">
        <v>43</v>
      </c>
      <c r="C3" s="19" t="s">
        <v>44</v>
      </c>
      <c r="D3" s="19" t="s">
        <v>45</v>
      </c>
    </row>
    <row r="4" spans="2:11" x14ac:dyDescent="0.25">
      <c r="B4" s="28" t="s">
        <v>7</v>
      </c>
      <c r="C4" s="18" t="s">
        <v>47</v>
      </c>
      <c r="D4" s="1" t="s">
        <v>53</v>
      </c>
      <c r="G4" s="11" t="s">
        <v>4</v>
      </c>
      <c r="H4" s="95" t="s">
        <v>112</v>
      </c>
      <c r="I4" s="92"/>
      <c r="J4" s="92"/>
      <c r="K4" s="92"/>
    </row>
    <row r="5" spans="2:11" x14ac:dyDescent="0.25">
      <c r="B5" s="28"/>
      <c r="C5" s="18" t="s">
        <v>93</v>
      </c>
      <c r="D5" s="1"/>
      <c r="G5" s="21">
        <v>1</v>
      </c>
      <c r="H5" s="96" t="s">
        <v>54</v>
      </c>
      <c r="I5" s="92"/>
      <c r="J5" s="92"/>
      <c r="K5" s="92"/>
    </row>
    <row r="6" spans="2:11" x14ac:dyDescent="0.25">
      <c r="B6" s="28" t="s">
        <v>14</v>
      </c>
      <c r="C6" s="28"/>
      <c r="D6" s="1" t="s">
        <v>27</v>
      </c>
      <c r="G6" s="21">
        <v>2</v>
      </c>
      <c r="H6" s="96" t="s">
        <v>108</v>
      </c>
      <c r="I6" s="92"/>
      <c r="J6" s="92"/>
      <c r="K6" s="92"/>
    </row>
    <row r="7" spans="2:11" x14ac:dyDescent="0.25">
      <c r="B7" s="28" t="s">
        <v>19</v>
      </c>
      <c r="C7" s="28" t="s">
        <v>64</v>
      </c>
      <c r="D7" s="1"/>
      <c r="G7" s="21">
        <v>3</v>
      </c>
      <c r="H7" s="96" t="s">
        <v>109</v>
      </c>
      <c r="I7" s="92"/>
      <c r="J7" s="92"/>
      <c r="K7" s="92"/>
    </row>
    <row r="8" spans="2:11" x14ac:dyDescent="0.25">
      <c r="B8" s="28" t="s">
        <v>9</v>
      </c>
      <c r="C8" s="28"/>
      <c r="D8" s="1"/>
      <c r="G8" s="21">
        <v>4</v>
      </c>
      <c r="H8" s="96" t="s">
        <v>105</v>
      </c>
      <c r="I8" s="92"/>
      <c r="J8" s="92"/>
      <c r="K8" s="92"/>
    </row>
    <row r="9" spans="2:11" x14ac:dyDescent="0.25">
      <c r="B9" s="28"/>
      <c r="C9" s="28" t="s">
        <v>95</v>
      </c>
      <c r="D9" s="1"/>
      <c r="G9" s="11" t="s">
        <v>10</v>
      </c>
      <c r="H9" s="95" t="s">
        <v>111</v>
      </c>
      <c r="I9" s="92"/>
      <c r="J9" s="92"/>
      <c r="K9" s="92"/>
    </row>
    <row r="10" spans="2:11" x14ac:dyDescent="0.25">
      <c r="B10" s="28" t="s">
        <v>21</v>
      </c>
      <c r="C10" s="29" t="s">
        <v>65</v>
      </c>
      <c r="D10" s="1"/>
      <c r="G10" s="21">
        <v>2</v>
      </c>
      <c r="H10" s="96" t="s">
        <v>32</v>
      </c>
      <c r="I10" s="92"/>
      <c r="J10" s="92"/>
      <c r="K10" s="92"/>
    </row>
    <row r="11" spans="2:11" x14ac:dyDescent="0.25">
      <c r="B11" s="28" t="s">
        <v>17</v>
      </c>
      <c r="C11" s="18" t="s">
        <v>68</v>
      </c>
      <c r="D11" s="1"/>
      <c r="G11" s="21" t="s">
        <v>8</v>
      </c>
      <c r="H11" s="96" t="s">
        <v>101</v>
      </c>
      <c r="I11" s="92"/>
      <c r="J11" s="92"/>
      <c r="K11" s="92"/>
    </row>
    <row r="12" spans="2:11" x14ac:dyDescent="0.25">
      <c r="B12" s="28" t="s">
        <v>6</v>
      </c>
      <c r="C12" s="18" t="s">
        <v>69</v>
      </c>
      <c r="D12" s="1"/>
      <c r="G12" s="21" t="s">
        <v>8</v>
      </c>
      <c r="H12" s="96" t="s">
        <v>102</v>
      </c>
      <c r="I12" s="92"/>
      <c r="J12" s="92"/>
      <c r="K12" s="92"/>
    </row>
    <row r="13" spans="2:11" x14ac:dyDescent="0.25">
      <c r="B13" s="28" t="s">
        <v>56</v>
      </c>
      <c r="C13" s="18" t="s">
        <v>70</v>
      </c>
      <c r="D13" s="1"/>
      <c r="G13" s="21">
        <v>3</v>
      </c>
      <c r="H13" s="96" t="s">
        <v>103</v>
      </c>
      <c r="I13" s="92"/>
      <c r="J13" s="92"/>
      <c r="K13" s="92"/>
    </row>
    <row r="14" spans="2:11" x14ac:dyDescent="0.25">
      <c r="B14" s="1"/>
      <c r="C14" s="18" t="s">
        <v>71</v>
      </c>
      <c r="D14" s="1"/>
      <c r="G14" s="21" t="s">
        <v>8</v>
      </c>
      <c r="H14" s="96" t="s">
        <v>57</v>
      </c>
      <c r="I14" s="92"/>
      <c r="J14" s="92"/>
      <c r="K14" s="92"/>
    </row>
    <row r="15" spans="2:11" x14ac:dyDescent="0.25">
      <c r="B15" s="1"/>
      <c r="C15" s="18" t="s">
        <v>108</v>
      </c>
      <c r="D15" s="1"/>
      <c r="G15" s="21" t="s">
        <v>8</v>
      </c>
      <c r="H15" s="96" t="s">
        <v>84</v>
      </c>
      <c r="I15" s="92"/>
      <c r="J15" s="92"/>
      <c r="K15" s="92"/>
    </row>
    <row r="16" spans="2:11" x14ac:dyDescent="0.25">
      <c r="B16" s="1"/>
      <c r="C16" s="18" t="s">
        <v>66</v>
      </c>
      <c r="D16" s="1"/>
      <c r="G16" s="21" t="s">
        <v>8</v>
      </c>
      <c r="H16" s="96" t="s">
        <v>85</v>
      </c>
      <c r="I16" s="92"/>
      <c r="J16" s="92"/>
      <c r="K16" s="92"/>
    </row>
    <row r="17" spans="2:11" x14ac:dyDescent="0.25">
      <c r="B17" s="1"/>
      <c r="C17" s="18" t="s">
        <v>116</v>
      </c>
      <c r="D17" s="1"/>
      <c r="G17" s="21" t="s">
        <v>8</v>
      </c>
      <c r="H17" s="96" t="s">
        <v>92</v>
      </c>
      <c r="I17" s="92"/>
      <c r="J17" s="92"/>
      <c r="K17" s="92"/>
    </row>
    <row r="18" spans="2:11" x14ac:dyDescent="0.25">
      <c r="B18" s="1"/>
      <c r="C18" s="18" t="s">
        <v>117</v>
      </c>
      <c r="D18" s="1"/>
      <c r="G18" s="21">
        <v>4</v>
      </c>
      <c r="H18" s="96" t="s">
        <v>60</v>
      </c>
      <c r="I18" s="92"/>
      <c r="J18" s="92"/>
      <c r="K18" s="92"/>
    </row>
    <row r="19" spans="2:11" x14ac:dyDescent="0.25">
      <c r="B19" s="1"/>
      <c r="C19" s="18" t="s">
        <v>58</v>
      </c>
      <c r="D19" s="1"/>
      <c r="G19" s="21">
        <v>5</v>
      </c>
      <c r="H19" s="96" t="s">
        <v>61</v>
      </c>
      <c r="I19" s="92"/>
      <c r="J19" s="92"/>
      <c r="K19" s="92"/>
    </row>
    <row r="20" spans="2:11" x14ac:dyDescent="0.25">
      <c r="B20" s="1"/>
      <c r="C20" s="18" t="s">
        <v>86</v>
      </c>
      <c r="D20" s="1"/>
      <c r="G20" s="21">
        <v>6</v>
      </c>
      <c r="H20" s="96" t="s">
        <v>106</v>
      </c>
      <c r="I20" s="92"/>
      <c r="J20" s="92"/>
      <c r="K20" s="92"/>
    </row>
    <row r="21" spans="2:11" x14ac:dyDescent="0.25">
      <c r="B21" s="1"/>
      <c r="C21" s="18" t="s">
        <v>83</v>
      </c>
      <c r="D21" s="1"/>
      <c r="G21" s="21" t="s">
        <v>8</v>
      </c>
      <c r="H21" s="97" t="s">
        <v>113</v>
      </c>
      <c r="I21" s="92"/>
      <c r="J21" s="92"/>
      <c r="K21" s="92"/>
    </row>
    <row r="22" spans="2:11" x14ac:dyDescent="0.25">
      <c r="B22" s="1"/>
      <c r="C22" s="18" t="s">
        <v>94</v>
      </c>
      <c r="D22" s="1"/>
      <c r="G22" s="21" t="s">
        <v>8</v>
      </c>
      <c r="H22" s="97" t="s">
        <v>114</v>
      </c>
      <c r="I22" s="92"/>
      <c r="J22" s="92"/>
      <c r="K22" s="92"/>
    </row>
    <row r="23" spans="2:11" x14ac:dyDescent="0.25">
      <c r="B23" s="1"/>
      <c r="C23" s="45" t="s">
        <v>109</v>
      </c>
      <c r="D23" s="1"/>
      <c r="G23" s="21" t="s">
        <v>8</v>
      </c>
      <c r="H23" s="97" t="s">
        <v>51</v>
      </c>
      <c r="I23" s="92"/>
      <c r="J23" s="92"/>
      <c r="K23" s="92"/>
    </row>
    <row r="24" spans="2:11" x14ac:dyDescent="0.25">
      <c r="B24" s="1"/>
      <c r="C24" s="18" t="s">
        <v>110</v>
      </c>
      <c r="D24" s="1"/>
      <c r="G24" s="11" t="s">
        <v>15</v>
      </c>
      <c r="H24" s="95" t="s">
        <v>115</v>
      </c>
      <c r="I24" s="92"/>
      <c r="J24" s="92"/>
      <c r="K24" s="92"/>
    </row>
    <row r="25" spans="2:11" x14ac:dyDescent="0.25">
      <c r="B25" s="1"/>
      <c r="C25" s="18" t="s">
        <v>87</v>
      </c>
      <c r="D25" s="1"/>
      <c r="G25" s="21">
        <v>1</v>
      </c>
      <c r="H25" s="96" t="s">
        <v>100</v>
      </c>
      <c r="I25" s="92"/>
      <c r="J25" s="92"/>
      <c r="K25" s="92"/>
    </row>
    <row r="26" spans="2:11" x14ac:dyDescent="0.25">
      <c r="B26" s="1"/>
      <c r="C26" s="18" t="s">
        <v>51</v>
      </c>
      <c r="D26" s="1"/>
      <c r="G26" s="21">
        <v>2</v>
      </c>
      <c r="H26" s="96" t="s">
        <v>104</v>
      </c>
      <c r="I26" s="92"/>
      <c r="J26" s="92"/>
      <c r="K26" s="92"/>
    </row>
    <row r="27" spans="2:11" x14ac:dyDescent="0.25">
      <c r="B27" s="1"/>
      <c r="C27" s="18" t="s">
        <v>160</v>
      </c>
      <c r="D27" s="1"/>
      <c r="G27" s="21"/>
      <c r="H27" s="96"/>
      <c r="I27" s="92"/>
      <c r="J27" s="92"/>
      <c r="K27" s="92"/>
    </row>
    <row r="28" spans="2:11" ht="12.6" customHeight="1" x14ac:dyDescent="0.25">
      <c r="B28" s="21"/>
      <c r="C28" s="18" t="s">
        <v>77</v>
      </c>
      <c r="D28" s="21"/>
      <c r="G28" s="21">
        <v>3</v>
      </c>
      <c r="H28" s="96" t="s">
        <v>98</v>
      </c>
      <c r="I28" s="92"/>
      <c r="J28" s="92"/>
      <c r="K28" s="92"/>
    </row>
    <row r="29" spans="2:11" x14ac:dyDescent="0.25">
      <c r="B29" s="21"/>
      <c r="C29" s="18" t="s">
        <v>99</v>
      </c>
      <c r="D29" s="21"/>
    </row>
    <row r="30" spans="2:11" x14ac:dyDescent="0.25">
      <c r="B30" s="21"/>
      <c r="C30" s="18" t="s">
        <v>118</v>
      </c>
      <c r="D30" s="21"/>
    </row>
    <row r="31" spans="2:11" x14ac:dyDescent="0.25">
      <c r="B31" s="21"/>
      <c r="C31" s="21" t="s">
        <v>79</v>
      </c>
      <c r="D31" s="21"/>
    </row>
    <row r="32" spans="2:11" x14ac:dyDescent="0.25">
      <c r="B32" s="21"/>
      <c r="C32" s="21" t="s">
        <v>80</v>
      </c>
      <c r="D32" s="21"/>
    </row>
    <row r="33" spans="2:4" x14ac:dyDescent="0.25">
      <c r="B33" s="21"/>
      <c r="C33" s="21" t="s">
        <v>81</v>
      </c>
      <c r="D33" s="21"/>
    </row>
    <row r="34" spans="2:4" x14ac:dyDescent="0.25">
      <c r="C34" s="6" t="s">
        <v>207</v>
      </c>
    </row>
    <row r="35" spans="2:4" x14ac:dyDescent="0.25">
      <c r="C35" s="6" t="s">
        <v>351</v>
      </c>
    </row>
  </sheetData>
  <mergeCells count="1">
    <mergeCell ref="B2:D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PL1.1 ML2027-2028</vt:lpstr>
      <vt:lpstr>TH theo DV</vt:lpstr>
      <vt:lpstr>TH theo Mảng</vt:lpstr>
      <vt:lpstr>TH theo Dịch vụ</vt:lpstr>
      <vt:lpstr>PL1.2 TH theo mục đích</vt:lpstr>
      <vt:lpstr>PL1.3 Buc tranh sau QH</vt:lpstr>
      <vt:lpstr>Mã</vt:lpstr>
      <vt:lpstr>'PL1.1 ML2027-2028'!Print_Area</vt:lpstr>
      <vt:lpstr>'PL1.2 TH theo mục đích'!Print_Area</vt:lpstr>
      <vt:lpstr>'PL1.3 Buc tranh sau QH'!Print_Area</vt:lpstr>
      <vt:lpstr>'PL1.1 ML2027-2028'!Print_Titles</vt:lpstr>
      <vt:lpstr>'PL1.2 TH theo mục đích'!Print_Titles</vt:lpstr>
      <vt:lpstr>'PL1.3 Buc tranh sau QH'!Print_Titles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thunm6</dc:creator>
  <cp:lastModifiedBy>hntna</cp:lastModifiedBy>
  <cp:lastPrinted>2026-07-18T15:56:07Z</cp:lastPrinted>
  <dcterms:created xsi:type="dcterms:W3CDTF">2019-10-23T01:10:24Z</dcterms:created>
  <dcterms:modified xsi:type="dcterms:W3CDTF">2026-09-24T09:26:34Z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BMPSD">
    <vt:lpwstr>K</vt:lpwstr>
  </property>
</Properties>
</file>