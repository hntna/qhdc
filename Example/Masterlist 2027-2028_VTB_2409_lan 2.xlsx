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work\2026\QHDC thi truong\Burundi\Ket qua\Masterlist\"/>
    </mc:Choice>
  </mc:AlternateContent>
  <bookViews>
    <workbookView xWindow="0" yWindow="0" windowWidth="19200" windowHeight="7050" tabRatio="767"/>
  </bookViews>
  <sheets>
    <sheet name="PL1.1 ML2027-2028" sheetId="1" r:id="rId1"/>
    <sheet name="TH theo DV_Tổng" sheetId="18" r:id="rId2"/>
    <sheet name="TH theo DV_2027" sheetId="14" r:id="rId3"/>
    <sheet name="TH theo DV_2028" sheetId="17" r:id="rId4"/>
    <sheet name="boc tach chi tiet theo mang" sheetId="16" r:id="rId5"/>
    <sheet name="Mã" sheetId="15"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p" localSheetId="3">#REF!</definedName>
    <definedName name="\p" localSheetId="1">#REF!</definedName>
    <definedName name="\p">#REF!</definedName>
    <definedName name="__atn1" localSheetId="3">#REF!</definedName>
    <definedName name="__atn1" localSheetId="1">#REF!</definedName>
    <definedName name="__atn1">#REF!</definedName>
    <definedName name="__atn10" localSheetId="3">#REF!</definedName>
    <definedName name="__atn10" localSheetId="1">#REF!</definedName>
    <definedName name="__atn10">#REF!</definedName>
    <definedName name="__atn2" localSheetId="3">#REF!</definedName>
    <definedName name="__atn2" localSheetId="1">#REF!</definedName>
    <definedName name="__atn2">#REF!</definedName>
    <definedName name="__atn3" localSheetId="3">#REF!</definedName>
    <definedName name="__atn3" localSheetId="1">#REF!</definedName>
    <definedName name="__atn3">#REF!</definedName>
    <definedName name="__atn4" localSheetId="3">#REF!</definedName>
    <definedName name="__atn4" localSheetId="1">#REF!</definedName>
    <definedName name="__atn4">#REF!</definedName>
    <definedName name="__atn5" localSheetId="3">#REF!</definedName>
    <definedName name="__atn5" localSheetId="1">#REF!</definedName>
    <definedName name="__atn5">#REF!</definedName>
    <definedName name="__atn6" localSheetId="3">#REF!</definedName>
    <definedName name="__atn6" localSheetId="1">#REF!</definedName>
    <definedName name="__atn6">#REF!</definedName>
    <definedName name="__atn7" localSheetId="3">#REF!</definedName>
    <definedName name="__atn7" localSheetId="1">#REF!</definedName>
    <definedName name="__atn7">#REF!</definedName>
    <definedName name="__atn8" localSheetId="3">#REF!</definedName>
    <definedName name="__atn8" localSheetId="1">#REF!</definedName>
    <definedName name="__atn8">#REF!</definedName>
    <definedName name="__atn9" localSheetId="3">#REF!</definedName>
    <definedName name="__atn9" localSheetId="1">#REF!</definedName>
    <definedName name="__atn9">#REF!</definedName>
    <definedName name="__boi1" localSheetId="3">#REF!</definedName>
    <definedName name="__boi1" localSheetId="1">#REF!</definedName>
    <definedName name="__boi1">#REF!</definedName>
    <definedName name="__boi2" localSheetId="3">#REF!</definedName>
    <definedName name="__boi2" localSheetId="1">#REF!</definedName>
    <definedName name="__boi2">#REF!</definedName>
    <definedName name="__CON1" localSheetId="3">#REF!</definedName>
    <definedName name="__CON1" localSheetId="1">#REF!</definedName>
    <definedName name="__CON1">#REF!</definedName>
    <definedName name="__CON2" localSheetId="3">#REF!</definedName>
    <definedName name="__CON2" localSheetId="1">#REF!</definedName>
    <definedName name="__CON2">#REF!</definedName>
    <definedName name="__cpd1" localSheetId="3">#REF!</definedName>
    <definedName name="__cpd1" localSheetId="1">#REF!</definedName>
    <definedName name="__cpd1">#REF!</definedName>
    <definedName name="__cpd2" localSheetId="3">#REF!</definedName>
    <definedName name="__cpd2" localSheetId="1">#REF!</definedName>
    <definedName name="__cpd2">#REF!</definedName>
    <definedName name="__deo1" localSheetId="3">#REF!</definedName>
    <definedName name="__deo1" localSheetId="1">#REF!</definedName>
    <definedName name="__deo1">#REF!</definedName>
    <definedName name="__deo10" localSheetId="3">#REF!</definedName>
    <definedName name="__deo10" localSheetId="1">#REF!</definedName>
    <definedName name="__deo10">#REF!</definedName>
    <definedName name="__deo2" localSheetId="3">#REF!</definedName>
    <definedName name="__deo2" localSheetId="1">#REF!</definedName>
    <definedName name="__deo2">#REF!</definedName>
    <definedName name="__deo3" localSheetId="3">#REF!</definedName>
    <definedName name="__deo3" localSheetId="1">#REF!</definedName>
    <definedName name="__deo3">#REF!</definedName>
    <definedName name="__deo4" localSheetId="3">#REF!</definedName>
    <definedName name="__deo4" localSheetId="1">#REF!</definedName>
    <definedName name="__deo4">#REF!</definedName>
    <definedName name="__deo5" localSheetId="3">#REF!</definedName>
    <definedName name="__deo5" localSheetId="1">#REF!</definedName>
    <definedName name="__deo5">#REF!</definedName>
    <definedName name="__deo6" localSheetId="3">#REF!</definedName>
    <definedName name="__deo6" localSheetId="1">#REF!</definedName>
    <definedName name="__deo6">#REF!</definedName>
    <definedName name="__deo7" localSheetId="3">#REF!</definedName>
    <definedName name="__deo7" localSheetId="1">#REF!</definedName>
    <definedName name="__deo7">#REF!</definedName>
    <definedName name="__deo8" localSheetId="3">#REF!</definedName>
    <definedName name="__deo8" localSheetId="1">#REF!</definedName>
    <definedName name="__deo8">#REF!</definedName>
    <definedName name="__deo9" localSheetId="3">#REF!</definedName>
    <definedName name="__deo9" localSheetId="1">#REF!</definedName>
    <definedName name="__deo9">#REF!</definedName>
    <definedName name="__lap1" localSheetId="3">#REF!</definedName>
    <definedName name="__lap1" localSheetId="1">#REF!</definedName>
    <definedName name="__lap1">#REF!</definedName>
    <definedName name="__lap2" localSheetId="3">#REF!</definedName>
    <definedName name="__lap2" localSheetId="1">#REF!</definedName>
    <definedName name="__lap2">#REF!</definedName>
    <definedName name="__nc151" localSheetId="3">#REF!</definedName>
    <definedName name="__nc151" localSheetId="1">#REF!</definedName>
    <definedName name="__nc151">#REF!</definedName>
    <definedName name="__NET2" localSheetId="3">#REF!</definedName>
    <definedName name="__NET2" localSheetId="1">#REF!</definedName>
    <definedName name="__NET2">#REF!</definedName>
    <definedName name="__NSO2" hidden="1">{"'Sheet1'!$L$16"}</definedName>
    <definedName name="__SHR1" localSheetId="3">#REF!</definedName>
    <definedName name="__SHR1" localSheetId="1">#REF!</definedName>
    <definedName name="__SHR1">#REF!</definedName>
    <definedName name="__SHR2" localSheetId="3">#REF!</definedName>
    <definedName name="__SHR2" localSheetId="1">#REF!</definedName>
    <definedName name="__SHR2">#REF!</definedName>
    <definedName name="__tax1" localSheetId="3">#REF!</definedName>
    <definedName name="__tax1" localSheetId="1">#REF!</definedName>
    <definedName name="__tax1">#REF!</definedName>
    <definedName name="__tax2" localSheetId="3">#REF!</definedName>
    <definedName name="__tax2" localSheetId="1">#REF!</definedName>
    <definedName name="__tax2">#REF!</definedName>
    <definedName name="__tax3" localSheetId="3">#REF!</definedName>
    <definedName name="__tax3" localSheetId="1">#REF!</definedName>
    <definedName name="__tax3">#REF!</definedName>
    <definedName name="__tax4" localSheetId="3">#REF!</definedName>
    <definedName name="__tax4" localSheetId="1">#REF!</definedName>
    <definedName name="__tax4">#REF!</definedName>
    <definedName name="__tct5" localSheetId="3">#REF!</definedName>
    <definedName name="__tct5" localSheetId="1">#REF!</definedName>
    <definedName name="__tct5">#REF!</definedName>
    <definedName name="__tg427" localSheetId="3">#REF!</definedName>
    <definedName name="__tg427" localSheetId="1">#REF!</definedName>
    <definedName name="__tg427">#REF!</definedName>
    <definedName name="__TH20" localSheetId="3">#REF!</definedName>
    <definedName name="__TH20" localSheetId="1">#REF!</definedName>
    <definedName name="__TH20">#REF!</definedName>
    <definedName name="_1" localSheetId="3">#REF!</definedName>
    <definedName name="_1" localSheetId="1">#REF!</definedName>
    <definedName name="_1">#REF!</definedName>
    <definedName name="_1000A01" localSheetId="3">#REF!</definedName>
    <definedName name="_1000A01" localSheetId="1">#REF!</definedName>
    <definedName name="_1000A01">#REF!</definedName>
    <definedName name="_2" localSheetId="3">#REF!</definedName>
    <definedName name="_2" localSheetId="1">#REF!</definedName>
    <definedName name="_2">#REF!</definedName>
    <definedName name="_atn2" localSheetId="3">#REF!</definedName>
    <definedName name="_atn2" localSheetId="1">#REF!</definedName>
    <definedName name="_atn2">#REF!</definedName>
    <definedName name="_atn3" localSheetId="3">#REF!</definedName>
    <definedName name="_atn3" localSheetId="1">#REF!</definedName>
    <definedName name="_atn3">#REF!</definedName>
    <definedName name="_atn4" localSheetId="3">#REF!</definedName>
    <definedName name="_atn4" localSheetId="1">#REF!</definedName>
    <definedName name="_atn4">#REF!</definedName>
    <definedName name="_atn5" localSheetId="3">#REF!</definedName>
    <definedName name="_atn5" localSheetId="1">#REF!</definedName>
    <definedName name="_atn5">#REF!</definedName>
    <definedName name="_atn6" localSheetId="3">#REF!</definedName>
    <definedName name="_atn6" localSheetId="1">#REF!</definedName>
    <definedName name="_atn6">#REF!</definedName>
    <definedName name="_atn7" localSheetId="3">#REF!</definedName>
    <definedName name="_atn7" localSheetId="1">#REF!</definedName>
    <definedName name="_atn7">#REF!</definedName>
    <definedName name="_atn8" localSheetId="3">#REF!</definedName>
    <definedName name="_atn8" localSheetId="1">#REF!</definedName>
    <definedName name="_atn8">#REF!</definedName>
    <definedName name="_atn9" localSheetId="3">#REF!</definedName>
    <definedName name="_atn9" localSheetId="1">#REF!</definedName>
    <definedName name="_atn9">#REF!</definedName>
    <definedName name="_ATT_REG_DCOM_3G" localSheetId="3">#REF!</definedName>
    <definedName name="_ATT_REG_DCOM_3G" localSheetId="1">#REF!</definedName>
    <definedName name="_ATT_REG_DCOM_3G">#REF!</definedName>
    <definedName name="_ATT_REG_MI_3G" localSheetId="3">#REF!</definedName>
    <definedName name="_ATT_REG_MI_3G" localSheetId="1">#REF!</definedName>
    <definedName name="_ATT_REG_MI_3G">#REF!</definedName>
    <definedName name="_ATT_REG_voice_2G" localSheetId="3">#REF!</definedName>
    <definedName name="_ATT_REG_voice_2G" localSheetId="1">#REF!</definedName>
    <definedName name="_ATT_REG_voice_2G">#REF!</definedName>
    <definedName name="_ATT_REG_voice_3G" localSheetId="3">#REF!</definedName>
    <definedName name="_ATT_REG_voice_3G" localSheetId="1">#REF!</definedName>
    <definedName name="_ATT_REG_voice_3G">#REF!</definedName>
    <definedName name="_boi1" localSheetId="3">#REF!</definedName>
    <definedName name="_boi1" localSheetId="1">#REF!</definedName>
    <definedName name="_boi1">#REF!</definedName>
    <definedName name="_boi2" localSheetId="3">#REF!</definedName>
    <definedName name="_boi2" localSheetId="1">#REF!</definedName>
    <definedName name="_boi2">#REF!</definedName>
    <definedName name="_C_Lphi_4ab" localSheetId="3">#REF!</definedName>
    <definedName name="_C_Lphi_4ab" localSheetId="1">#REF!</definedName>
    <definedName name="_C_Lphi_4ab">#REF!</definedName>
    <definedName name="_chk1" localSheetId="3">#REF!</definedName>
    <definedName name="_chk1" localSheetId="1">#REF!</definedName>
    <definedName name="_chk1">#REF!</definedName>
    <definedName name="_CON1" localSheetId="3">#REF!</definedName>
    <definedName name="_CON1" localSheetId="1">#REF!</definedName>
    <definedName name="_CON1">#REF!</definedName>
    <definedName name="_CON2" localSheetId="3">#REF!</definedName>
    <definedName name="_CON2" localSheetId="1">#REF!</definedName>
    <definedName name="_CON2">#REF!</definedName>
    <definedName name="_cpd1" localSheetId="3">#REF!</definedName>
    <definedName name="_cpd1" localSheetId="1">#REF!</definedName>
    <definedName name="_cpd1">#REF!</definedName>
    <definedName name="_cpd2" localSheetId="3">#REF!</definedName>
    <definedName name="_cpd2" localSheetId="1">#REF!</definedName>
    <definedName name="_cpd2">#REF!</definedName>
    <definedName name="_CPhi_Bhiem" localSheetId="3">#REF!</definedName>
    <definedName name="_CPhi_Bhiem" localSheetId="1">#REF!</definedName>
    <definedName name="_CPhi_Bhiem">#REF!</definedName>
    <definedName name="_CPhi_BQLDA" localSheetId="3">#REF!</definedName>
    <definedName name="_CPhi_BQLDA" localSheetId="1">#REF!</definedName>
    <definedName name="_CPhi_BQLDA">#REF!</definedName>
    <definedName name="_CPhi_DBaoGT" localSheetId="3">#REF!</definedName>
    <definedName name="_CPhi_DBaoGT" localSheetId="1">#REF!</definedName>
    <definedName name="_CPhi_DBaoGT">#REF!</definedName>
    <definedName name="_CPhi_Kdinh" localSheetId="3">#REF!</definedName>
    <definedName name="_CPhi_Kdinh" localSheetId="1">#REF!</definedName>
    <definedName name="_CPhi_Kdinh">#REF!</definedName>
    <definedName name="_CPhi_Nthu_KThanh" localSheetId="3">#REF!</definedName>
    <definedName name="_CPhi_Nthu_KThanh" localSheetId="1">#REF!</definedName>
    <definedName name="_CPhi_Nthu_KThanh">#REF!</definedName>
    <definedName name="_CPhi_QToan" localSheetId="3">#REF!</definedName>
    <definedName name="_CPhi_QToan" localSheetId="1">#REF!</definedName>
    <definedName name="_CPhi_QToan">#REF!</definedName>
    <definedName name="_CPhiTKe_13" localSheetId="3">#REF!</definedName>
    <definedName name="_CPhiTKe_13" localSheetId="1">#REF!</definedName>
    <definedName name="_CPhiTKe_13">#REF!</definedName>
    <definedName name="_cs805" localSheetId="3">#REF!</definedName>
    <definedName name="_cs805" localSheetId="1">#REF!</definedName>
    <definedName name="_cs805">#REF!</definedName>
    <definedName name="_d2" localSheetId="3">#REF!</definedName>
    <definedName name="_d2" localSheetId="1">#REF!</definedName>
    <definedName name="_d2">#REF!</definedName>
    <definedName name="_deo1" localSheetId="3">#REF!</definedName>
    <definedName name="_deo1" localSheetId="1">#REF!</definedName>
    <definedName name="_deo1">#REF!</definedName>
    <definedName name="_deo10" localSheetId="3">#REF!</definedName>
    <definedName name="_deo10" localSheetId="1">#REF!</definedName>
    <definedName name="_deo10">#REF!</definedName>
    <definedName name="_deo2" localSheetId="3">#REF!</definedName>
    <definedName name="_deo2" localSheetId="1">#REF!</definedName>
    <definedName name="_deo2">#REF!</definedName>
    <definedName name="_deo3" localSheetId="3">#REF!</definedName>
    <definedName name="_deo3" localSheetId="1">#REF!</definedName>
    <definedName name="_deo3">#REF!</definedName>
    <definedName name="_deo4" localSheetId="3">#REF!</definedName>
    <definedName name="_deo4" localSheetId="1">#REF!</definedName>
    <definedName name="_deo4">#REF!</definedName>
    <definedName name="_deo5" localSheetId="3">#REF!</definedName>
    <definedName name="_deo5" localSheetId="1">#REF!</definedName>
    <definedName name="_deo5">#REF!</definedName>
    <definedName name="_deo6" localSheetId="3">#REF!</definedName>
    <definedName name="_deo6" localSheetId="1">#REF!</definedName>
    <definedName name="_deo6">#REF!</definedName>
    <definedName name="_deo7" localSheetId="3">#REF!</definedName>
    <definedName name="_deo7" localSheetId="1">#REF!</definedName>
    <definedName name="_deo7">#REF!</definedName>
    <definedName name="_deo8" localSheetId="3">#REF!</definedName>
    <definedName name="_deo8" localSheetId="1">#REF!</definedName>
    <definedName name="_deo8">#REF!</definedName>
    <definedName name="_deo9" localSheetId="3">#REF!</definedName>
    <definedName name="_deo9" localSheetId="1">#REF!</definedName>
    <definedName name="_deo9">#REF!</definedName>
    <definedName name="_Fill" localSheetId="0" hidden="1">#REF!</definedName>
    <definedName name="_Fill" localSheetId="3" hidden="1">#REF!</definedName>
    <definedName name="_Fill" localSheetId="1" hidden="1">#REF!</definedName>
    <definedName name="_Fill" hidden="1">#REF!</definedName>
    <definedName name="_xlnm._FilterDatabase" localSheetId="0" hidden="1">'PL1.1 ML2027-2028'!$A$7:$Y$2183</definedName>
    <definedName name="_xlnm._FilterDatabase" localSheetId="3" hidden="1">#REF!</definedName>
    <definedName name="_xlnm._FilterDatabase" localSheetId="1" hidden="1">#REF!</definedName>
    <definedName name="_xlnm._FilterDatabase" hidden="1">#REF!</definedName>
    <definedName name="_H500866" localSheetId="3">#REF!</definedName>
    <definedName name="_H500866" localSheetId="1">#REF!</definedName>
    <definedName name="_H500866">#REF!</definedName>
    <definedName name="_kbps_sub_ATT_DCOM_3G" localSheetId="3">#REF!</definedName>
    <definedName name="_kbps_sub_ATT_DCOM_3G" localSheetId="1">#REF!</definedName>
    <definedName name="_kbps_sub_ATT_DCOM_3G">#REF!</definedName>
    <definedName name="_kbps_sub_ATT_MI_3G" localSheetId="3">#REF!</definedName>
    <definedName name="_kbps_sub_ATT_MI_3G" localSheetId="1">#REF!</definedName>
    <definedName name="_kbps_sub_ATT_MI_3G">#REF!</definedName>
    <definedName name="_Key1" localSheetId="0" hidden="1">#REF!</definedName>
    <definedName name="_Key1" localSheetId="3" hidden="1">#REF!</definedName>
    <definedName name="_Key1" localSheetId="1" hidden="1">#REF!</definedName>
    <definedName name="_Key1" hidden="1">#REF!</definedName>
    <definedName name="_Key2" localSheetId="0" hidden="1">#REF!</definedName>
    <definedName name="_Key2" localSheetId="3" hidden="1">#REF!</definedName>
    <definedName name="_Key2" localSheetId="1" hidden="1">#REF!</definedName>
    <definedName name="_Key2" hidden="1">#REF!</definedName>
    <definedName name="_lap1" localSheetId="3">#REF!</definedName>
    <definedName name="_lap1" localSheetId="1">#REF!</definedName>
    <definedName name="_lap1">#REF!</definedName>
    <definedName name="_lap2" localSheetId="3">#REF!</definedName>
    <definedName name="_lap2" localSheetId="1">#REF!</definedName>
    <definedName name="_lap2">#REF!</definedName>
    <definedName name="_mErl_sub_ATT_voice_2G" localSheetId="3">#REF!</definedName>
    <definedName name="_mErl_sub_ATT_voice_2G" localSheetId="1">#REF!</definedName>
    <definedName name="_mErl_sub_ATT_voice_2G">#REF!</definedName>
    <definedName name="_mErl_sub_ATT_voice_3G" localSheetId="3">#REF!</definedName>
    <definedName name="_mErl_sub_ATT_voice_3G" localSheetId="1">#REF!</definedName>
    <definedName name="_mErl_sub_ATT_voice_3G">#REF!</definedName>
    <definedName name="_n23" localSheetId="0" hidden="1">{"'Sheet1'!$L$16"}</definedName>
    <definedName name="_n23" hidden="1">{"'Sheet1'!$L$16"}</definedName>
    <definedName name="_NET2" localSheetId="3">#REF!</definedName>
    <definedName name="_NET2" localSheetId="1">#REF!</definedName>
    <definedName name="_NET2">#REF!</definedName>
    <definedName name="_NSO2" localSheetId="0" hidden="1">{"'Sheet1'!$L$16"}</definedName>
    <definedName name="_NSO2" hidden="1">{"'Sheet1'!$L$16"}</definedName>
    <definedName name="_Order1" hidden="1">255</definedName>
    <definedName name="_Order2" hidden="1">255</definedName>
    <definedName name="_SHR1" localSheetId="3">#REF!</definedName>
    <definedName name="_SHR1" localSheetId="1">#REF!</definedName>
    <definedName name="_SHR1">#REF!</definedName>
    <definedName name="_SHR2" localSheetId="3">#REF!</definedName>
    <definedName name="_SHR2" localSheetId="1">#REF!</definedName>
    <definedName name="_SHR2">#REF!</definedName>
    <definedName name="_Sort" localSheetId="0" hidden="1">#REF!</definedName>
    <definedName name="_Sort" localSheetId="3" hidden="1">#REF!</definedName>
    <definedName name="_Sort" localSheetId="1" hidden="1">#REF!</definedName>
    <definedName name="_Sort" hidden="1">#REF!</definedName>
    <definedName name="_T8" localSheetId="0" hidden="1">{"'Sheet1'!$L$16"}</definedName>
    <definedName name="_T8" hidden="1">{"'Sheet1'!$L$16"}</definedName>
    <definedName name="_tax1" localSheetId="3">#REF!</definedName>
    <definedName name="_tax1" localSheetId="1">#REF!</definedName>
    <definedName name="_tax1">#REF!</definedName>
    <definedName name="_tax2" localSheetId="3">#REF!</definedName>
    <definedName name="_tax2" localSheetId="1">#REF!</definedName>
    <definedName name="_tax2">#REF!</definedName>
    <definedName name="_tax3" localSheetId="3">#REF!</definedName>
    <definedName name="_tax3" localSheetId="1">#REF!</definedName>
    <definedName name="_tax3">#REF!</definedName>
    <definedName name="_tax4" localSheetId="3">#REF!</definedName>
    <definedName name="_tax4" localSheetId="1">#REF!</definedName>
    <definedName name="_tax4">#REF!</definedName>
    <definedName name="_tct5" localSheetId="3">#REF!</definedName>
    <definedName name="_tct5" localSheetId="1">#REF!</definedName>
    <definedName name="_tct5">#REF!</definedName>
    <definedName name="_TDT35" localSheetId="3">#REF!</definedName>
    <definedName name="_TDT35" localSheetId="1">#REF!</definedName>
    <definedName name="_TDT35">#REF!</definedName>
    <definedName name="_tg427" localSheetId="3">#REF!</definedName>
    <definedName name="_tg427" localSheetId="1">#REF!</definedName>
    <definedName name="_tg427">#REF!</definedName>
    <definedName name="_TH20" localSheetId="3">#REF!</definedName>
    <definedName name="_TH20" localSheetId="1">#REF!</definedName>
    <definedName name="_TH20">#REF!</definedName>
    <definedName name="_Tỉ_lệ_peak_GD_ngày_max" localSheetId="3">#REF!</definedName>
    <definedName name="_Tỉ_lệ_peak_GD_ngày_max" localSheetId="1">#REF!</definedName>
    <definedName name="_Tỉ_lệ_peak_GD_ngày_max">#REF!</definedName>
    <definedName name="A" localSheetId="3">#REF!</definedName>
    <definedName name="A" localSheetId="1">#REF!</definedName>
    <definedName name="A">#REF!</definedName>
    <definedName name="a." localSheetId="3">#REF!</definedName>
    <definedName name="a." localSheetId="1">#REF!</definedName>
    <definedName name="a.">#REF!</definedName>
    <definedName name="A01_" localSheetId="3">#REF!</definedName>
    <definedName name="A01_" localSheetId="1">#REF!</definedName>
    <definedName name="A01_">#REF!</definedName>
    <definedName name="A01AC" localSheetId="3">#REF!</definedName>
    <definedName name="A01AC" localSheetId="1">#REF!</definedName>
    <definedName name="A01AC">#REF!</definedName>
    <definedName name="A01CAT" localSheetId="3">#REF!</definedName>
    <definedName name="A01CAT" localSheetId="1">#REF!</definedName>
    <definedName name="A01CAT">#REF!</definedName>
    <definedName name="A01CODE" localSheetId="3">#REF!</definedName>
    <definedName name="A01CODE" localSheetId="1">#REF!</definedName>
    <definedName name="A01CODE">#REF!</definedName>
    <definedName name="A01DATA" localSheetId="3">#REF!</definedName>
    <definedName name="A01DATA" localSheetId="1">#REF!</definedName>
    <definedName name="A01DATA">#REF!</definedName>
    <definedName name="A01MI" localSheetId="3">#REF!</definedName>
    <definedName name="A01MI" localSheetId="1">#REF!</definedName>
    <definedName name="A01MI">#REF!</definedName>
    <definedName name="A01TO" localSheetId="3">#REF!</definedName>
    <definedName name="A01TO" localSheetId="1">#REF!</definedName>
    <definedName name="A01TO">#REF!</definedName>
    <definedName name="a277Print_Titles" localSheetId="3">#REF!</definedName>
    <definedName name="a277Print_Titles" localSheetId="1">#REF!</definedName>
    <definedName name="a277Print_Titles">#REF!</definedName>
    <definedName name="A372m372" localSheetId="3">#REF!</definedName>
    <definedName name="A372m372" localSheetId="1">#REF!</definedName>
    <definedName name="A372m372">#REF!</definedName>
    <definedName name="AA" localSheetId="3">#REF!</definedName>
    <definedName name="AA" localSheetId="1">#REF!</definedName>
    <definedName name="AA">#REF!</definedName>
    <definedName name="AAA_DOCTOPS" hidden="1">"AAA_SET"</definedName>
    <definedName name="AAA_duser" hidden="1">"OFF"</definedName>
    <definedName name="aaaa" localSheetId="3">#REF!</definedName>
    <definedName name="aaaa" localSheetId="1">#REF!</definedName>
    <definedName name="aaaa">#REF!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 localSheetId="0" hidden="1">{"'Sheet1'!$L$16"}</definedName>
    <definedName name="aadd" hidden="1">{"'Sheet1'!$L$16"}</definedName>
    <definedName name="aass" localSheetId="0" hidden="1">{"'Sheet1'!$L$16"}</definedName>
    <definedName name="aass" hidden="1">{"'Sheet1'!$L$16"}</definedName>
    <definedName name="ac" localSheetId="3">#REF!</definedName>
    <definedName name="ac" localSheetId="1">#REF!</definedName>
    <definedName name="ac">#REF!</definedName>
    <definedName name="ádfg" localSheetId="0" hidden="1">{"'Sheet1'!$L$16"}</definedName>
    <definedName name="ádfg" hidden="1">{"'Sheet1'!$L$16"}</definedName>
    <definedName name="AirportVisitors" localSheetId="3">#REF!</definedName>
    <definedName name="AirportVisitors" localSheetId="1">#REF!</definedName>
    <definedName name="AirportVisitors">#REF!</definedName>
    <definedName name="AirportVisitorsS" localSheetId="3">#REF!</definedName>
    <definedName name="AirportVisitorsS" localSheetId="1">#REF!</definedName>
    <definedName name="AirportVisitorsS">#REF!</definedName>
    <definedName name="All_Item" localSheetId="3">#REF!</definedName>
    <definedName name="All_Item" localSheetId="1">#REF!</definedName>
    <definedName name="All_Item">#REF!</definedName>
    <definedName name="ALPIN" localSheetId="3">#REF!</definedName>
    <definedName name="ALPIN" localSheetId="1">#REF!</definedName>
    <definedName name="ALPIN">#REF!</definedName>
    <definedName name="ALPJYOU" localSheetId="3">#REF!</definedName>
    <definedName name="ALPJYOU" localSheetId="1">#REF!</definedName>
    <definedName name="ALPJYOU">#REF!</definedName>
    <definedName name="ALPTOI" localSheetId="3">#REF!</definedName>
    <definedName name="ALPTOI" localSheetId="1">#REF!</definedName>
    <definedName name="ALPTOI">#REF!</definedName>
    <definedName name="amiang" localSheetId="3">#REF!</definedName>
    <definedName name="amiang" localSheetId="1">#REF!</definedName>
    <definedName name="amiang">#REF!</definedName>
    <definedName name="anscount" hidden="1">8</definedName>
    <definedName name="As_" localSheetId="3">#REF!</definedName>
    <definedName name="As_" localSheetId="1">#REF!</definedName>
    <definedName name="As_">#REF!</definedName>
    <definedName name="AS2DocOpenMode" hidden="1">"AS2DocumentEdit"</definedName>
    <definedName name="AU" localSheetId="0" hidden="1">{"'Sheet1'!$L$16"}</definedName>
    <definedName name="AU" hidden="1">{"'Sheet1'!$L$16"}</definedName>
    <definedName name="Av" localSheetId="3">#REF!</definedName>
    <definedName name="Av" localSheetId="1">#REF!</definedName>
    <definedName name="Av">#REF!</definedName>
    <definedName name="b_eh" localSheetId="3">#REF!</definedName>
    <definedName name="b_eh" localSheetId="1">#REF!</definedName>
    <definedName name="b_eh">#REF!</definedName>
    <definedName name="b_eh1" localSheetId="3">#REF!</definedName>
    <definedName name="b_eh1" localSheetId="1">#REF!</definedName>
    <definedName name="b_eh1">#REF!</definedName>
    <definedName name="b_ev" localSheetId="3">#REF!</definedName>
    <definedName name="b_ev" localSheetId="1">#REF!</definedName>
    <definedName name="b_ev">#REF!</definedName>
    <definedName name="b_ev1" localSheetId="3">#REF!</definedName>
    <definedName name="b_ev1" localSheetId="1">#REF!</definedName>
    <definedName name="b_ev1">#REF!</definedName>
    <definedName name="b_FR" localSheetId="3">#REF!</definedName>
    <definedName name="b_FR" localSheetId="1">#REF!</definedName>
    <definedName name="b_FR">#REF!</definedName>
    <definedName name="b_fr1" localSheetId="3">#REF!</definedName>
    <definedName name="b_fr1" localSheetId="1">#REF!</definedName>
    <definedName name="b_fr1">#REF!</definedName>
    <definedName name="b_LL" localSheetId="3">#REF!</definedName>
    <definedName name="b_LL" localSheetId="1">#REF!</definedName>
    <definedName name="b_LL">#REF!</definedName>
    <definedName name="b_ll1" localSheetId="3">#REF!</definedName>
    <definedName name="b_ll1" localSheetId="1">#REF!</definedName>
    <definedName name="b_ll1">#REF!</definedName>
    <definedName name="b_WL" localSheetId="3">#REF!</definedName>
    <definedName name="b_WL" localSheetId="1">#REF!</definedName>
    <definedName name="b_WL">#REF!</definedName>
    <definedName name="b_WL1" localSheetId="3">#REF!</definedName>
    <definedName name="b_WL1" localSheetId="1">#REF!</definedName>
    <definedName name="b_WL1">#REF!</definedName>
    <definedName name="b_WS" localSheetId="3">#REF!</definedName>
    <definedName name="b_WS" localSheetId="1">#REF!</definedName>
    <definedName name="b_WS">#REF!</definedName>
    <definedName name="b_ws1" localSheetId="3">#REF!</definedName>
    <definedName name="b_ws1" localSheetId="1">#REF!</definedName>
    <definedName name="b_ws1">#REF!</definedName>
    <definedName name="b3_" localSheetId="3">#REF!</definedName>
    <definedName name="b3_" localSheetId="1">#REF!</definedName>
    <definedName name="b3_">#REF!</definedName>
    <definedName name="b4_" localSheetId="3">#REF!</definedName>
    <definedName name="b4_" localSheetId="1">#REF!</definedName>
    <definedName name="b4_">#REF!</definedName>
    <definedName name="Bang_cly" localSheetId="3">#REF!</definedName>
    <definedName name="Bang_cly" localSheetId="1">#REF!</definedName>
    <definedName name="Bang_cly">#REF!</definedName>
    <definedName name="Bang_CVC" localSheetId="3">#REF!</definedName>
    <definedName name="Bang_CVC" localSheetId="1">#REF!</definedName>
    <definedName name="Bang_CVC">#REF!</definedName>
    <definedName name="bang_gia" localSheetId="3">#REF!</definedName>
    <definedName name="bang_gia" localSheetId="1">#REF!</definedName>
    <definedName name="bang_gia">#REF!</definedName>
    <definedName name="Bang_travl" localSheetId="3">#REF!</definedName>
    <definedName name="Bang_travl" localSheetId="1">#REF!</definedName>
    <definedName name="Bang_travl">#REF!</definedName>
    <definedName name="bangtinh" localSheetId="3">#REF!</definedName>
    <definedName name="bangtinh" localSheetId="1">#REF!</definedName>
    <definedName name="bangtinh">#REF!</definedName>
    <definedName name="BarData" localSheetId="3">#REF!</definedName>
    <definedName name="BarData" localSheetId="1">#REF!</definedName>
    <definedName name="BarData">#REF!</definedName>
    <definedName name="BB" localSheetId="3">#REF!</definedName>
    <definedName name="BB" localSheetId="1">#REF!</definedName>
    <definedName name="BB">#REF!</definedName>
    <definedName name="bchcj" localSheetId="3">#REF!</definedName>
    <definedName name="bchcj" localSheetId="1">#REF!</definedName>
    <definedName name="bchcj">#REF!</definedName>
    <definedName name="bchvch" localSheetId="3">#REF!</definedName>
    <definedName name="bchvch" localSheetId="1">#REF!</definedName>
    <definedName name="bchvch">#REF!</definedName>
    <definedName name="Bcuc" localSheetId="3">#REF!</definedName>
    <definedName name="Bcuc" localSheetId="1">#REF!</definedName>
    <definedName name="Bcuc">#REF!</definedName>
    <definedName name="bdd">1.5</definedName>
    <definedName name="BL">"$A$1:$f$11"</definedName>
    <definedName name="blang" localSheetId="3">#REF!</definedName>
    <definedName name="blang" localSheetId="1">#REF!</definedName>
    <definedName name="blang">#REF!</definedName>
    <definedName name="blong" localSheetId="3">#REF!</definedName>
    <definedName name="blong" localSheetId="1">#REF!</definedName>
    <definedName name="blong">#REF!</definedName>
    <definedName name="bn" localSheetId="3">#REF!</definedName>
    <definedName name="bn" localSheetId="1">#REF!</definedName>
    <definedName name="bn">#REF!</definedName>
    <definedName name="BO" localSheetId="0" hidden="1">{"'Sheet1'!$L$16"}</definedName>
    <definedName name="BO" hidden="1">{"'Sheet1'!$L$16"}</definedName>
    <definedName name="BOQ" localSheetId="3">#REF!</definedName>
    <definedName name="BOQ" localSheetId="1">#REF!</definedName>
    <definedName name="BOQ">#REF!</definedName>
    <definedName name="boxes" localSheetId="3">#REF!</definedName>
    <definedName name="boxes" localSheetId="1">#REF!</definedName>
    <definedName name="boxes">#REF!</definedName>
    <definedName name="bson" localSheetId="3">#REF!</definedName>
    <definedName name="bson" localSheetId="1">#REF!</definedName>
    <definedName name="bson">#REF!</definedName>
    <definedName name="BT" localSheetId="3">#REF!</definedName>
    <definedName name="BT" localSheetId="1">#REF!</definedName>
    <definedName name="BT">#REF!</definedName>
    <definedName name="btai" localSheetId="3">#REF!</definedName>
    <definedName name="btai" localSheetId="1">#REF!</definedName>
    <definedName name="btai">#REF!</definedName>
    <definedName name="btham" localSheetId="3">#REF!</definedName>
    <definedName name="btham" localSheetId="1">#REF!</definedName>
    <definedName name="btham">#REF!</definedName>
    <definedName name="btong" localSheetId="3">#REF!</definedName>
    <definedName name="btong" localSheetId="1">#REF!</definedName>
    <definedName name="btong">#REF!</definedName>
    <definedName name="button_area_1" localSheetId="3">#REF!</definedName>
    <definedName name="button_area_1" localSheetId="1">#REF!</definedName>
    <definedName name="button_area_1">#REF!</definedName>
    <definedName name="bv" localSheetId="3">#REF!</definedName>
    <definedName name="bv" localSheetId="1">#REF!</definedName>
    <definedName name="bv">#REF!</definedName>
    <definedName name="BVCISUMMARY" localSheetId="3">#REF!</definedName>
    <definedName name="BVCISUMMARY" localSheetId="1">#REF!</definedName>
    <definedName name="BVCISUMMARY">#REF!</definedName>
    <definedName name="C.1.1..Phat_tuyen" localSheetId="3">#REF!</definedName>
    <definedName name="C.1.1..Phat_tuyen" localSheetId="1">#REF!</definedName>
    <definedName name="C.1.1..Phat_tuyen">#REF!</definedName>
    <definedName name="C.1.10..VC_Thu_cong_CG" localSheetId="3">#REF!</definedName>
    <definedName name="C.1.10..VC_Thu_cong_CG" localSheetId="1">#REF!</definedName>
    <definedName name="C.1.10..VC_Thu_cong_CG">#REF!</definedName>
    <definedName name="C.1.2..Chat_cay_thu_cong" localSheetId="3">#REF!</definedName>
    <definedName name="C.1.2..Chat_cay_thu_cong" localSheetId="1">#REF!</definedName>
    <definedName name="C.1.2..Chat_cay_thu_cong">#REF!</definedName>
    <definedName name="C.1.3..Chat_cay_may" localSheetId="3">#REF!</definedName>
    <definedName name="C.1.3..Chat_cay_may" localSheetId="1">#REF!</definedName>
    <definedName name="C.1.3..Chat_cay_may">#REF!</definedName>
    <definedName name="C.1.4..Dao_goc_cay" localSheetId="3">#REF!</definedName>
    <definedName name="C.1.4..Dao_goc_cay" localSheetId="1">#REF!</definedName>
    <definedName name="C.1.4..Dao_goc_cay">#REF!</definedName>
    <definedName name="C.1.5..Lam_duong_tam" localSheetId="3">#REF!</definedName>
    <definedName name="C.1.5..Lam_duong_tam" localSheetId="1">#REF!</definedName>
    <definedName name="C.1.5..Lam_duong_tam">#REF!</definedName>
    <definedName name="C.1.6..Lam_cau_tam" localSheetId="3">#REF!</definedName>
    <definedName name="C.1.6..Lam_cau_tam" localSheetId="1">#REF!</definedName>
    <definedName name="C.1.6..Lam_cau_tam">#REF!</definedName>
    <definedName name="C.1.7..Rai_da_chong_lun" localSheetId="3">#REF!</definedName>
    <definedName name="C.1.7..Rai_da_chong_lun" localSheetId="1">#REF!</definedName>
    <definedName name="C.1.7..Rai_da_chong_lun">#REF!</definedName>
    <definedName name="C.1.8..Lam_kho_tam" localSheetId="3">#REF!</definedName>
    <definedName name="C.1.8..Lam_kho_tam" localSheetId="1">#REF!</definedName>
    <definedName name="C.1.8..Lam_kho_tam">#REF!</definedName>
    <definedName name="C.1.8..San_mat_bang" localSheetId="3">#REF!</definedName>
    <definedName name="C.1.8..San_mat_bang" localSheetId="1">#REF!</definedName>
    <definedName name="C.1.8..San_mat_bang">#REF!</definedName>
    <definedName name="C.2.1..VC_Thu_cong" localSheetId="3">#REF!</definedName>
    <definedName name="C.2.1..VC_Thu_cong" localSheetId="1">#REF!</definedName>
    <definedName name="C.2.1..VC_Thu_cong">#REF!</definedName>
    <definedName name="C.2.2..VC_T_cong_CG" localSheetId="3">#REF!</definedName>
    <definedName name="C.2.2..VC_T_cong_CG" localSheetId="1">#REF!</definedName>
    <definedName name="C.2.2..VC_T_cong_CG">#REF!</definedName>
    <definedName name="C.2.3..Boc_do" localSheetId="3">#REF!</definedName>
    <definedName name="C.2.3..Boc_do" localSheetId="1">#REF!</definedName>
    <definedName name="C.2.3..Boc_do">#REF!</definedName>
    <definedName name="C.3.1..Dao_dat_mong_cot" localSheetId="3">#REF!</definedName>
    <definedName name="C.3.1..Dao_dat_mong_cot" localSheetId="1">#REF!</definedName>
    <definedName name="C.3.1..Dao_dat_mong_cot">#REF!</definedName>
    <definedName name="C.3.2..Dao_dat_de_dap" localSheetId="3">#REF!</definedName>
    <definedName name="C.3.2..Dao_dat_de_dap" localSheetId="1">#REF!</definedName>
    <definedName name="C.3.2..Dao_dat_de_dap">#REF!</definedName>
    <definedName name="C.3.3..Dap_dat_mong" localSheetId="3">#REF!</definedName>
    <definedName name="C.3.3..Dap_dat_mong" localSheetId="1">#REF!</definedName>
    <definedName name="C.3.3..Dap_dat_mong">#REF!</definedName>
    <definedName name="C.3.4..Dao_dap_TDia" localSheetId="3">#REF!</definedName>
    <definedName name="C.3.4..Dao_dap_TDia" localSheetId="1">#REF!</definedName>
    <definedName name="C.3.4..Dao_dap_TDia">#REF!</definedName>
    <definedName name="C.3.5..Dap_bo_bao" localSheetId="3">#REF!</definedName>
    <definedName name="C.3.5..Dap_bo_bao" localSheetId="1">#REF!</definedName>
    <definedName name="C.3.5..Dap_bo_bao">#REF!</definedName>
    <definedName name="C.3.6..Bom_tat_nuoc" localSheetId="3">#REF!</definedName>
    <definedName name="C.3.6..Bom_tat_nuoc" localSheetId="1">#REF!</definedName>
    <definedName name="C.3.6..Bom_tat_nuoc">#REF!</definedName>
    <definedName name="C.3.7..Dao_bun" localSheetId="3">#REF!</definedName>
    <definedName name="C.3.7..Dao_bun" localSheetId="1">#REF!</definedName>
    <definedName name="C.3.7..Dao_bun">#REF!</definedName>
    <definedName name="C.3.8..Dap_cat_CT" localSheetId="3">#REF!</definedName>
    <definedName name="C.3.8..Dap_cat_CT" localSheetId="1">#REF!</definedName>
    <definedName name="C.3.8..Dap_cat_CT">#REF!</definedName>
    <definedName name="C.3.9..Dao_pha_da" localSheetId="3">#REF!</definedName>
    <definedName name="C.3.9..Dao_pha_da" localSheetId="1">#REF!</definedName>
    <definedName name="C.3.9..Dao_pha_da">#REF!</definedName>
    <definedName name="C.4.1.Cot_thep" localSheetId="3">#REF!</definedName>
    <definedName name="C.4.1.Cot_thep" localSheetId="1">#REF!</definedName>
    <definedName name="C.4.1.Cot_thep">#REF!</definedName>
    <definedName name="C.4.2..Van_khuon" localSheetId="3">#REF!</definedName>
    <definedName name="C.4.2..Van_khuon" localSheetId="1">#REF!</definedName>
    <definedName name="C.4.2..Van_khuon">#REF!</definedName>
    <definedName name="C.4.3..Be_tong" localSheetId="3">#REF!</definedName>
    <definedName name="C.4.3..Be_tong" localSheetId="1">#REF!</definedName>
    <definedName name="C.4.3..Be_tong">#REF!</definedName>
    <definedName name="C.4.4..Lap_BT_D.San" localSheetId="3">#REF!</definedName>
    <definedName name="C.4.4..Lap_BT_D.San" localSheetId="1">#REF!</definedName>
    <definedName name="C.4.4..Lap_BT_D.San">#REF!</definedName>
    <definedName name="C.4.5..Xay_da_hoc" localSheetId="3">#REF!</definedName>
    <definedName name="C.4.5..Xay_da_hoc" localSheetId="1">#REF!</definedName>
    <definedName name="C.4.5..Xay_da_hoc">#REF!</definedName>
    <definedName name="C.4.6..Dong_coc" localSheetId="3">#REF!</definedName>
    <definedName name="C.4.6..Dong_coc" localSheetId="1">#REF!</definedName>
    <definedName name="C.4.6..Dong_coc">#REF!</definedName>
    <definedName name="C.4.7..Quet_Bi_tum" localSheetId="3">#REF!</definedName>
    <definedName name="C.4.7..Quet_Bi_tum" localSheetId="1">#REF!</definedName>
    <definedName name="C.4.7..Quet_Bi_tum">#REF!</definedName>
    <definedName name="C.5.1..Lap_cot_thep" localSheetId="3">#REF!</definedName>
    <definedName name="C.5.1..Lap_cot_thep" localSheetId="1">#REF!</definedName>
    <definedName name="C.5.1..Lap_cot_thep">#REF!</definedName>
    <definedName name="C.5.2..Lap_cot_BT" localSheetId="3">#REF!</definedName>
    <definedName name="C.5.2..Lap_cot_BT" localSheetId="1">#REF!</definedName>
    <definedName name="C.5.2..Lap_cot_BT">#REF!</definedName>
    <definedName name="C.5.3..Lap_dat_xa" localSheetId="3">#REF!</definedName>
    <definedName name="C.5.3..Lap_dat_xa" localSheetId="1">#REF!</definedName>
    <definedName name="C.5.3..Lap_dat_xa">#REF!</definedName>
    <definedName name="C.5.4..Lap_tiep_dia" localSheetId="3">#REF!</definedName>
    <definedName name="C.5.4..Lap_tiep_dia" localSheetId="1">#REF!</definedName>
    <definedName name="C.5.4..Lap_tiep_dia">#REF!</definedName>
    <definedName name="C.5.5..Son_sat_thep" localSheetId="3">#REF!</definedName>
    <definedName name="C.5.5..Son_sat_thep" localSheetId="1">#REF!</definedName>
    <definedName name="C.5.5..Son_sat_thep">#REF!</definedName>
    <definedName name="C.6.1..Lap_su_dung" localSheetId="3">#REF!</definedName>
    <definedName name="C.6.1..Lap_su_dung" localSheetId="1">#REF!</definedName>
    <definedName name="C.6.1..Lap_su_dung">#REF!</definedName>
    <definedName name="C.6.2..Lap_su_CS" localSheetId="3">#REF!</definedName>
    <definedName name="C.6.2..Lap_su_CS" localSheetId="1">#REF!</definedName>
    <definedName name="C.6.2..Lap_su_CS">#REF!</definedName>
    <definedName name="C.6.3..Su_chuoi_do" localSheetId="3">#REF!</definedName>
    <definedName name="C.6.3..Su_chuoi_do" localSheetId="1">#REF!</definedName>
    <definedName name="C.6.3..Su_chuoi_do">#REF!</definedName>
    <definedName name="C.6.4..Su_chuoi_neo" localSheetId="3">#REF!</definedName>
    <definedName name="C.6.4..Su_chuoi_neo" localSheetId="1">#REF!</definedName>
    <definedName name="C.6.4..Su_chuoi_neo">#REF!</definedName>
    <definedName name="C.6.5..Lap_phu_kien" localSheetId="3">#REF!</definedName>
    <definedName name="C.6.5..Lap_phu_kien" localSheetId="1">#REF!</definedName>
    <definedName name="C.6.5..Lap_phu_kien">#REF!</definedName>
    <definedName name="C.6.6..Ep_noi_day" localSheetId="3">#REF!</definedName>
    <definedName name="C.6.6..Ep_noi_day" localSheetId="1">#REF!</definedName>
    <definedName name="C.6.6..Ep_noi_day">#REF!</definedName>
    <definedName name="C.6.7..KD_vuot_CN" localSheetId="3">#REF!</definedName>
    <definedName name="C.6.7..KD_vuot_CN" localSheetId="1">#REF!</definedName>
    <definedName name="C.6.7..KD_vuot_CN">#REF!</definedName>
    <definedName name="C.6.8..Rai_cang_day" localSheetId="3">#REF!</definedName>
    <definedName name="C.6.8..Rai_cang_day" localSheetId="1">#REF!</definedName>
    <definedName name="C.6.8..Rai_cang_day">#REF!</definedName>
    <definedName name="C.6.9..Cap_quang" localSheetId="3">#REF!</definedName>
    <definedName name="C.6.9..Cap_quang" localSheetId="1">#REF!</definedName>
    <definedName name="C.6.9..Cap_quang">#REF!</definedName>
    <definedName name="C_" localSheetId="3">#REF!</definedName>
    <definedName name="C_" localSheetId="1">#REF!</definedName>
    <definedName name="C_">#REF!</definedName>
    <definedName name="c5." localSheetId="3">#REF!</definedName>
    <definedName name="c5." localSheetId="1">#REF!</definedName>
    <definedName name="c5.">#REF!</definedName>
    <definedName name="CACAU">1415247</definedName>
    <definedName name="cap" localSheetId="3">#REF!</definedName>
    <definedName name="cap" localSheetId="1">#REF!</definedName>
    <definedName name="cap">#REF!</definedName>
    <definedName name="cap0.7" localSheetId="3">#REF!</definedName>
    <definedName name="cap0.7" localSheetId="1">#REF!</definedName>
    <definedName name="cap0.7">#REF!</definedName>
    <definedName name="Category_All" localSheetId="3">#REF!</definedName>
    <definedName name="Category_All" localSheetId="1">#REF!</definedName>
    <definedName name="Category_All">#REF!</definedName>
    <definedName name="CATIN" localSheetId="3">#REF!</definedName>
    <definedName name="CATIN" localSheetId="1">#REF!</definedName>
    <definedName name="CATIN">#REF!</definedName>
    <definedName name="CATJYOU" localSheetId="3">#REF!</definedName>
    <definedName name="CATJYOU" localSheetId="1">#REF!</definedName>
    <definedName name="CATJYOU">#REF!</definedName>
    <definedName name="CATREC" localSheetId="3">#REF!</definedName>
    <definedName name="CATREC" localSheetId="1">#REF!</definedName>
    <definedName name="CATREC">#REF!</definedName>
    <definedName name="CATSYU" localSheetId="3">#REF!</definedName>
    <definedName name="CATSYU" localSheetId="1">#REF!</definedName>
    <definedName name="CATSYU">#REF!</definedName>
    <definedName name="CC" localSheetId="3">#REF!</definedName>
    <definedName name="CC" localSheetId="1">#REF!</definedName>
    <definedName name="CC">#REF!</definedName>
    <definedName name="CCT" localSheetId="3">#REF!</definedName>
    <definedName name="CCT" localSheetId="1">#REF!</definedName>
    <definedName name="CCT">#REF!</definedName>
    <definedName name="cd" localSheetId="3">#REF!</definedName>
    <definedName name="cd" localSheetId="1">#REF!</definedName>
    <definedName name="cd">#REF!</definedName>
    <definedName name="CDB" localSheetId="3">#REF!</definedName>
    <definedName name="CDB" localSheetId="1">#REF!</definedName>
    <definedName name="CDB">#REF!</definedName>
    <definedName name="cdn" localSheetId="3">#REF!</definedName>
    <definedName name="cdn" localSheetId="1">#REF!</definedName>
    <definedName name="cdn">#REF!</definedName>
    <definedName name="CDR" localSheetId="3">#REF!</definedName>
    <definedName name="CDR" localSheetId="1">#REF!</definedName>
    <definedName name="CDR">#REF!</definedName>
    <definedName name="celltips_area" localSheetId="3">#REF!</definedName>
    <definedName name="celltips_area" localSheetId="1">#REF!</definedName>
    <definedName name="celltips_area">#REF!</definedName>
    <definedName name="chay1" localSheetId="3">#REF!</definedName>
    <definedName name="chay1" localSheetId="1">#REF!</definedName>
    <definedName name="chay1">#REF!</definedName>
    <definedName name="chay10" localSheetId="3">#REF!</definedName>
    <definedName name="chay10" localSheetId="1">#REF!</definedName>
    <definedName name="chay10">#REF!</definedName>
    <definedName name="chay2" localSheetId="3">#REF!</definedName>
    <definedName name="chay2" localSheetId="1">#REF!</definedName>
    <definedName name="chay2">#REF!</definedName>
    <definedName name="chay3" localSheetId="3">#REF!</definedName>
    <definedName name="chay3" localSheetId="1">#REF!</definedName>
    <definedName name="chay3">#REF!</definedName>
    <definedName name="chay4" localSheetId="3">#REF!</definedName>
    <definedName name="chay4" localSheetId="1">#REF!</definedName>
    <definedName name="chay4">#REF!</definedName>
    <definedName name="chay5" localSheetId="3">#REF!</definedName>
    <definedName name="chay5" localSheetId="1">#REF!</definedName>
    <definedName name="chay5">#REF!</definedName>
    <definedName name="chay6" localSheetId="3">#REF!</definedName>
    <definedName name="chay6" localSheetId="1">#REF!</definedName>
    <definedName name="chay6">#REF!</definedName>
    <definedName name="chay7" localSheetId="3">#REF!</definedName>
    <definedName name="chay7" localSheetId="1">#REF!</definedName>
    <definedName name="chay7">#REF!</definedName>
    <definedName name="chay8" localSheetId="3">#REF!</definedName>
    <definedName name="chay8" localSheetId="1">#REF!</definedName>
    <definedName name="chay8">#REF!</definedName>
    <definedName name="chay9" localSheetId="3">#REF!</definedName>
    <definedName name="chay9" localSheetId="1">#REF!</definedName>
    <definedName name="chay9">#REF!</definedName>
    <definedName name="chk" localSheetId="3">#REF!</definedName>
    <definedName name="chk" localSheetId="1">#REF!</definedName>
    <definedName name="chk">#REF!</definedName>
    <definedName name="Chøng_tõ" localSheetId="3">#REF!</definedName>
    <definedName name="Chøng_tõ" localSheetId="1">#REF!</definedName>
    <definedName name="Chøng_tõ">#REF!</definedName>
    <definedName name="Chtinh" localSheetId="3">#REF!</definedName>
    <definedName name="Chtinh" localSheetId="1">#REF!</definedName>
    <definedName name="Chtinh">#REF!</definedName>
    <definedName name="chuc1" localSheetId="3">#REF!</definedName>
    <definedName name="chuc1" localSheetId="1">#REF!</definedName>
    <definedName name="chuc1">#REF!</definedName>
    <definedName name="CL" localSheetId="3">#REF!</definedName>
    <definedName name="CL" localSheetId="1">#REF!</definedName>
    <definedName name="CL">#REF!</definedName>
    <definedName name="CLVL" localSheetId="3">#REF!</definedName>
    <definedName name="CLVL" localSheetId="1">#REF!</definedName>
    <definedName name="CLVL">#REF!</definedName>
    <definedName name="CNC" localSheetId="3">#REF!</definedName>
    <definedName name="CNC" localSheetId="1">#REF!</definedName>
    <definedName name="CNC">#REF!</definedName>
    <definedName name="CND" localSheetId="3">#REF!</definedName>
    <definedName name="CND" localSheetId="1">#REF!</definedName>
    <definedName name="CND">#REF!</definedName>
    <definedName name="CNG" localSheetId="3">#REF!</definedName>
    <definedName name="CNG" localSheetId="1">#REF!</definedName>
    <definedName name="CNG">#REF!</definedName>
    <definedName name="Co" localSheetId="3">#REF!</definedName>
    <definedName name="Co" localSheetId="1">#REF!</definedName>
    <definedName name="Co">#REF!</definedName>
    <definedName name="coc" localSheetId="3">#REF!</definedName>
    <definedName name="coc" localSheetId="1">#REF!</definedName>
    <definedName name="coc">#REF!</definedName>
    <definedName name="coldex" localSheetId="3">#REF!</definedName>
    <definedName name="coldex" localSheetId="1">#REF!</definedName>
    <definedName name="coldex">#REF!</definedName>
    <definedName name="COMMON" localSheetId="3">#REF!</definedName>
    <definedName name="COMMON" localSheetId="1">#REF!</definedName>
    <definedName name="COMMON">#REF!</definedName>
    <definedName name="CON_EQP_COS" localSheetId="3">#REF!</definedName>
    <definedName name="CON_EQP_COS" localSheetId="1">#REF!</definedName>
    <definedName name="CON_EQP_COS">#REF!</definedName>
    <definedName name="CON_EQP_COST" localSheetId="3">#REF!</definedName>
    <definedName name="CON_EQP_COST" localSheetId="1">#REF!</definedName>
    <definedName name="CON_EQP_COST">#REF!</definedName>
    <definedName name="Cong_HM_DTCT" localSheetId="3">#REF!</definedName>
    <definedName name="Cong_HM_DTCT" localSheetId="1">#REF!</definedName>
    <definedName name="Cong_HM_DTCT">#REF!</definedName>
    <definedName name="Cong_M_DTCT" localSheetId="3">#REF!</definedName>
    <definedName name="Cong_M_DTCT" localSheetId="1">#REF!</definedName>
    <definedName name="Cong_M_DTCT">#REF!</definedName>
    <definedName name="Cong_NC_DTCT" localSheetId="3">#REF!</definedName>
    <definedName name="Cong_NC_DTCT" localSheetId="1">#REF!</definedName>
    <definedName name="Cong_NC_DTCT">#REF!</definedName>
    <definedName name="Cong_VL_DTCT" localSheetId="3">#REF!</definedName>
    <definedName name="Cong_VL_DTCT" localSheetId="1">#REF!</definedName>
    <definedName name="Cong_VL_DTCT">#REF!</definedName>
    <definedName name="CONGTIEN" localSheetId="3">#REF!</definedName>
    <definedName name="CONGTIEN" localSheetId="1">#REF!</definedName>
    <definedName name="CONGTIEN">#REF!</definedName>
    <definedName name="CONST_EQ" localSheetId="3">#REF!</definedName>
    <definedName name="CONST_EQ" localSheetId="1">#REF!</definedName>
    <definedName name="CONST_EQ">#REF!</definedName>
    <definedName name="COT" localSheetId="3">#REF!</definedName>
    <definedName name="COT" localSheetId="1">#REF!</definedName>
    <definedName name="COT">#REF!</definedName>
    <definedName name="COVER" localSheetId="3">#REF!</definedName>
    <definedName name="COVER" localSheetId="1">#REF!</definedName>
    <definedName name="COVER">#REF!</definedName>
    <definedName name="CPC" localSheetId="3">#REF!</definedName>
    <definedName name="CPC" localSheetId="1">#REF!</definedName>
    <definedName name="CPC">#REF!</definedName>
    <definedName name="cpdd1" localSheetId="3">#REF!</definedName>
    <definedName name="cpdd1" localSheetId="1">#REF!</definedName>
    <definedName name="cpdd1">#REF!</definedName>
    <definedName name="cpdd2" localSheetId="3">#REF!</definedName>
    <definedName name="cpdd2" localSheetId="1">#REF!</definedName>
    <definedName name="cpdd2">#REF!</definedName>
    <definedName name="CRITINST" localSheetId="3">#REF!</definedName>
    <definedName name="CRITINST" localSheetId="1">#REF!</definedName>
    <definedName name="CRITINST">#REF!</definedName>
    <definedName name="CRITPURC" localSheetId="3">#REF!</definedName>
    <definedName name="CRITPURC" localSheetId="1">#REF!</definedName>
    <definedName name="CRITPURC">#REF!</definedName>
    <definedName name="CS" localSheetId="3">#REF!</definedName>
    <definedName name="CS" localSheetId="1">#REF!</definedName>
    <definedName name="CS">#REF!</definedName>
    <definedName name="CS_10" localSheetId="3">#REF!</definedName>
    <definedName name="CS_10" localSheetId="1">#REF!</definedName>
    <definedName name="CS_10">#REF!</definedName>
    <definedName name="CS_100" localSheetId="3">#REF!</definedName>
    <definedName name="CS_100" localSheetId="1">#REF!</definedName>
    <definedName name="CS_100">#REF!</definedName>
    <definedName name="CS_10S" localSheetId="3">#REF!</definedName>
    <definedName name="CS_10S" localSheetId="1">#REF!</definedName>
    <definedName name="CS_10S">#REF!</definedName>
    <definedName name="CS_120" localSheetId="3">#REF!</definedName>
    <definedName name="CS_120" localSheetId="1">#REF!</definedName>
    <definedName name="CS_120">#REF!</definedName>
    <definedName name="CS_140" localSheetId="3">#REF!</definedName>
    <definedName name="CS_140" localSheetId="1">#REF!</definedName>
    <definedName name="CS_140">#REF!</definedName>
    <definedName name="CS_160" localSheetId="3">#REF!</definedName>
    <definedName name="CS_160" localSheetId="1">#REF!</definedName>
    <definedName name="CS_160">#REF!</definedName>
    <definedName name="CS_20" localSheetId="3">#REF!</definedName>
    <definedName name="CS_20" localSheetId="1">#REF!</definedName>
    <definedName name="CS_20">#REF!</definedName>
    <definedName name="CS_30" localSheetId="3">#REF!</definedName>
    <definedName name="CS_30" localSheetId="1">#REF!</definedName>
    <definedName name="CS_30">#REF!</definedName>
    <definedName name="CS_40" localSheetId="3">#REF!</definedName>
    <definedName name="CS_40" localSheetId="1">#REF!</definedName>
    <definedName name="CS_40">#REF!</definedName>
    <definedName name="CS_40S" localSheetId="3">#REF!</definedName>
    <definedName name="CS_40S" localSheetId="1">#REF!</definedName>
    <definedName name="CS_40S">#REF!</definedName>
    <definedName name="CS_5S" localSheetId="3">#REF!</definedName>
    <definedName name="CS_5S" localSheetId="1">#REF!</definedName>
    <definedName name="CS_5S">#REF!</definedName>
    <definedName name="CS_60" localSheetId="3">#REF!</definedName>
    <definedName name="CS_60" localSheetId="1">#REF!</definedName>
    <definedName name="CS_60">#REF!</definedName>
    <definedName name="CS_80" localSheetId="3">#REF!</definedName>
    <definedName name="CS_80" localSheetId="1">#REF!</definedName>
    <definedName name="CS_80">#REF!</definedName>
    <definedName name="CS_80S" localSheetId="3">#REF!</definedName>
    <definedName name="CS_80S" localSheetId="1">#REF!</definedName>
    <definedName name="CS_80S">#REF!</definedName>
    <definedName name="CS_STD" localSheetId="3">#REF!</definedName>
    <definedName name="CS_STD" localSheetId="1">#REF!</definedName>
    <definedName name="CS_STD">#REF!</definedName>
    <definedName name="CS_XS" localSheetId="3">#REF!</definedName>
    <definedName name="CS_XS" localSheetId="1">#REF!</definedName>
    <definedName name="CS_XS">#REF!</definedName>
    <definedName name="CS_XXS" localSheetId="3">#REF!</definedName>
    <definedName name="CS_XXS" localSheetId="1">#REF!</definedName>
    <definedName name="CS_XXS">#REF!</definedName>
    <definedName name="ctdn9697" localSheetId="3">#REF!</definedName>
    <definedName name="ctdn9697" localSheetId="1">#REF!</definedName>
    <definedName name="ctdn9697">#REF!</definedName>
    <definedName name="ctiep" localSheetId="3">#REF!</definedName>
    <definedName name="ctiep" localSheetId="1">#REF!</definedName>
    <definedName name="ctiep">#REF!</definedName>
    <definedName name="ctmai" localSheetId="3">#REF!</definedName>
    <definedName name="ctmai" localSheetId="1">#REF!</definedName>
    <definedName name="ctmai">#REF!</definedName>
    <definedName name="CTO" localSheetId="3">#REF!</definedName>
    <definedName name="CTO" localSheetId="1">#REF!</definedName>
    <definedName name="CTO">#REF!</definedName>
    <definedName name="ctong" localSheetId="3">#REF!</definedName>
    <definedName name="ctong" localSheetId="1">#REF!</definedName>
    <definedName name="ctong">#REF!</definedName>
    <definedName name="ctre" localSheetId="3">#REF!</definedName>
    <definedName name="ctre" localSheetId="1">#REF!</definedName>
    <definedName name="ctre">#REF!</definedName>
    <definedName name="CU_LY" localSheetId="3">#REF!</definedName>
    <definedName name="CU_LY" localSheetId="1">#REF!</definedName>
    <definedName name="CU_LY">#REF!</definedName>
    <definedName name="cui" localSheetId="3">#REF!</definedName>
    <definedName name="cui" localSheetId="1">#REF!</definedName>
    <definedName name="cui">#REF!</definedName>
    <definedName name="cuoc_vc" localSheetId="3">#REF!</definedName>
    <definedName name="cuoc_vc" localSheetId="1">#REF!</definedName>
    <definedName name="cuoc_vc">#REF!</definedName>
    <definedName name="CURRENCY" localSheetId="3">#REF!</definedName>
    <definedName name="CURRENCY" localSheetId="1">#REF!</definedName>
    <definedName name="CURRENCY">#REF!</definedName>
    <definedName name="cx" localSheetId="3">#REF!</definedName>
    <definedName name="cx" localSheetId="1">#REF!</definedName>
    <definedName name="cx">#REF!</definedName>
    <definedName name="d_" localSheetId="3">#REF!</definedName>
    <definedName name="d_" localSheetId="1">#REF!</definedName>
    <definedName name="d_">#REF!</definedName>
    <definedName name="D_7101A_B" localSheetId="3">#REF!</definedName>
    <definedName name="D_7101A_B" localSheetId="1">#REF!</definedName>
    <definedName name="D_7101A_B">#REF!</definedName>
    <definedName name="d1_" localSheetId="3">#REF!</definedName>
    <definedName name="d1_" localSheetId="1">#REF!</definedName>
    <definedName name="d1_">#REF!</definedName>
    <definedName name="d2_" localSheetId="3">#REF!</definedName>
    <definedName name="d2_" localSheetId="1">#REF!</definedName>
    <definedName name="d2_">#REF!</definedName>
    <definedName name="d3_" localSheetId="3">#REF!</definedName>
    <definedName name="d3_" localSheetId="1">#REF!</definedName>
    <definedName name="d3_">#REF!</definedName>
    <definedName name="d4_" localSheetId="3">#REF!</definedName>
    <definedName name="d4_" localSheetId="1">#REF!</definedName>
    <definedName name="d4_">#REF!</definedName>
    <definedName name="d5_" localSheetId="3">#REF!</definedName>
    <definedName name="d5_" localSheetId="1">#REF!</definedName>
    <definedName name="d5_">#REF!</definedName>
    <definedName name="DAILATHANH" localSheetId="0" hidden="1">{"'Sheet1'!$L$16"}</definedName>
    <definedName name="DAILATHANH" hidden="1">{"'Sheet1'!$L$16"}</definedName>
    <definedName name="dapdbm1" localSheetId="3">#REF!</definedName>
    <definedName name="dapdbm1" localSheetId="1">#REF!</definedName>
    <definedName name="dapdbm1">#REF!</definedName>
    <definedName name="dapdbm2" localSheetId="3">#REF!</definedName>
    <definedName name="dapdbm2" localSheetId="1">#REF!</definedName>
    <definedName name="dapdbm2">#REF!</definedName>
    <definedName name="DAT" localSheetId="3">#REF!</definedName>
    <definedName name="DAT" localSheetId="1">#REF!</definedName>
    <definedName name="DAT">#REF!</definedName>
    <definedName name="data" localSheetId="3">#REF!</definedName>
    <definedName name="data" localSheetId="1">#REF!</definedName>
    <definedName name="data">#REF!</definedName>
    <definedName name="data1" localSheetId="3">#REF!</definedName>
    <definedName name="data1" localSheetId="1">#REF!</definedName>
    <definedName name="data1">#REF!</definedName>
    <definedName name="data10" localSheetId="3">#REF!</definedName>
    <definedName name="data10" localSheetId="1">#REF!</definedName>
    <definedName name="data10">#REF!</definedName>
    <definedName name="data11" localSheetId="3">#REF!</definedName>
    <definedName name="data11" localSheetId="1">#REF!</definedName>
    <definedName name="data11">#REF!</definedName>
    <definedName name="data12" localSheetId="3">#REF!</definedName>
    <definedName name="data12" localSheetId="1">#REF!</definedName>
    <definedName name="data12">#REF!</definedName>
    <definedName name="data13" localSheetId="3">#REF!</definedName>
    <definedName name="data13" localSheetId="1">#REF!</definedName>
    <definedName name="data13">#REF!</definedName>
    <definedName name="data14" localSheetId="3">#REF!</definedName>
    <definedName name="data14" localSheetId="1">#REF!</definedName>
    <definedName name="data14">#REF!</definedName>
    <definedName name="data15" localSheetId="3">#REF!</definedName>
    <definedName name="data15" localSheetId="1">#REF!</definedName>
    <definedName name="data15">#REF!</definedName>
    <definedName name="data16" localSheetId="3">#REF!</definedName>
    <definedName name="data16" localSheetId="1">#REF!</definedName>
    <definedName name="data16">#REF!</definedName>
    <definedName name="data17" localSheetId="3">#REF!</definedName>
    <definedName name="data17" localSheetId="1">#REF!</definedName>
    <definedName name="data17">#REF!</definedName>
    <definedName name="data18" localSheetId="3">#REF!</definedName>
    <definedName name="data18" localSheetId="1">#REF!</definedName>
    <definedName name="data18">#REF!</definedName>
    <definedName name="data19" localSheetId="3">#REF!</definedName>
    <definedName name="data19" localSheetId="1">#REF!</definedName>
    <definedName name="data19">#REF!</definedName>
    <definedName name="data2" localSheetId="3">#REF!</definedName>
    <definedName name="data2" localSheetId="1">#REF!</definedName>
    <definedName name="data2">#REF!</definedName>
    <definedName name="data20" localSheetId="3">#REF!</definedName>
    <definedName name="data20" localSheetId="1">#REF!</definedName>
    <definedName name="data20">#REF!</definedName>
    <definedName name="data21" localSheetId="3">#REF!</definedName>
    <definedName name="data21" localSheetId="1">#REF!</definedName>
    <definedName name="data21">#REF!</definedName>
    <definedName name="data22" localSheetId="3">#REF!</definedName>
    <definedName name="data22" localSheetId="1">#REF!</definedName>
    <definedName name="data22">#REF!</definedName>
    <definedName name="data23" localSheetId="3">#REF!</definedName>
    <definedName name="data23" localSheetId="1">#REF!</definedName>
    <definedName name="data23">#REF!</definedName>
    <definedName name="data24" localSheetId="3">#REF!</definedName>
    <definedName name="data24" localSheetId="1">#REF!</definedName>
    <definedName name="data24">#REF!</definedName>
    <definedName name="data25" localSheetId="3">#REF!</definedName>
    <definedName name="data25" localSheetId="1">#REF!</definedName>
    <definedName name="data25">#REF!</definedName>
    <definedName name="data26" localSheetId="3">#REF!</definedName>
    <definedName name="data26" localSheetId="1">#REF!</definedName>
    <definedName name="data26">#REF!</definedName>
    <definedName name="data27" localSheetId="3">#REF!</definedName>
    <definedName name="data27" localSheetId="1">#REF!</definedName>
    <definedName name="data27">#REF!</definedName>
    <definedName name="data28" localSheetId="3">#REF!</definedName>
    <definedName name="data28" localSheetId="1">#REF!</definedName>
    <definedName name="data28">#REF!</definedName>
    <definedName name="data29" localSheetId="3">#REF!</definedName>
    <definedName name="data29" localSheetId="1">#REF!</definedName>
    <definedName name="data29">#REF!</definedName>
    <definedName name="data3" localSheetId="3">#REF!</definedName>
    <definedName name="data3" localSheetId="1">#REF!</definedName>
    <definedName name="data3">#REF!</definedName>
    <definedName name="data30" localSheetId="3">#REF!</definedName>
    <definedName name="data30" localSheetId="1">#REF!</definedName>
    <definedName name="data30">#REF!</definedName>
    <definedName name="data31" localSheetId="3">#REF!</definedName>
    <definedName name="data31" localSheetId="1">#REF!</definedName>
    <definedName name="data31">#REF!</definedName>
    <definedName name="data32" localSheetId="3">#REF!</definedName>
    <definedName name="data32" localSheetId="1">#REF!</definedName>
    <definedName name="data32">#REF!</definedName>
    <definedName name="data33" localSheetId="3">#REF!</definedName>
    <definedName name="data33" localSheetId="1">#REF!</definedName>
    <definedName name="data33">#REF!</definedName>
    <definedName name="data34" localSheetId="3">#REF!</definedName>
    <definedName name="data34" localSheetId="1">#REF!</definedName>
    <definedName name="data34">#REF!</definedName>
    <definedName name="data35" localSheetId="3">#REF!</definedName>
    <definedName name="data35" localSheetId="1">#REF!</definedName>
    <definedName name="data35">#REF!</definedName>
    <definedName name="data36" localSheetId="3">#REF!</definedName>
    <definedName name="data36" localSheetId="1">#REF!</definedName>
    <definedName name="data36">#REF!</definedName>
    <definedName name="data37" localSheetId="3">#REF!</definedName>
    <definedName name="data37" localSheetId="1">#REF!</definedName>
    <definedName name="data37">#REF!</definedName>
    <definedName name="data38" localSheetId="3">#REF!</definedName>
    <definedName name="data38" localSheetId="1">#REF!</definedName>
    <definedName name="data38">#REF!</definedName>
    <definedName name="data39" localSheetId="3">#REF!</definedName>
    <definedName name="data39" localSheetId="1">#REF!</definedName>
    <definedName name="data39">#REF!</definedName>
    <definedName name="data4" localSheetId="3">#REF!</definedName>
    <definedName name="data4" localSheetId="1">#REF!</definedName>
    <definedName name="data4">#REF!</definedName>
    <definedName name="data40" localSheetId="3">#REF!</definedName>
    <definedName name="data40" localSheetId="1">#REF!</definedName>
    <definedName name="data40">#REF!</definedName>
    <definedName name="data41" localSheetId="3">#REF!</definedName>
    <definedName name="data41" localSheetId="1">#REF!</definedName>
    <definedName name="data41">#REF!</definedName>
    <definedName name="data42" localSheetId="3">#REF!</definedName>
    <definedName name="data42" localSheetId="1">#REF!</definedName>
    <definedName name="data42">#REF!</definedName>
    <definedName name="data43" localSheetId="3">#REF!</definedName>
    <definedName name="data43" localSheetId="1">#REF!</definedName>
    <definedName name="data43">#REF!</definedName>
    <definedName name="data44" localSheetId="3">#REF!</definedName>
    <definedName name="data44" localSheetId="1">#REF!</definedName>
    <definedName name="data44">#REF!</definedName>
    <definedName name="data45" localSheetId="3">#REF!</definedName>
    <definedName name="data45" localSheetId="1">#REF!</definedName>
    <definedName name="data45">#REF!</definedName>
    <definedName name="data46" localSheetId="3">#REF!</definedName>
    <definedName name="data46" localSheetId="1">#REF!</definedName>
    <definedName name="data46">#REF!</definedName>
    <definedName name="data47" localSheetId="3">#REF!</definedName>
    <definedName name="data47" localSheetId="1">#REF!</definedName>
    <definedName name="data47">#REF!</definedName>
    <definedName name="data48" localSheetId="3">#REF!</definedName>
    <definedName name="data48" localSheetId="1">#REF!</definedName>
    <definedName name="data48">#REF!</definedName>
    <definedName name="data49" localSheetId="3">#REF!</definedName>
    <definedName name="data49" localSheetId="1">#REF!</definedName>
    <definedName name="data49">#REF!</definedName>
    <definedName name="data5" localSheetId="3">#REF!</definedName>
    <definedName name="data5" localSheetId="1">#REF!</definedName>
    <definedName name="data5">#REF!</definedName>
    <definedName name="data50" localSheetId="3">#REF!</definedName>
    <definedName name="data50" localSheetId="1">#REF!</definedName>
    <definedName name="data50">#REF!</definedName>
    <definedName name="data51" localSheetId="3">#REF!</definedName>
    <definedName name="data51" localSheetId="1">#REF!</definedName>
    <definedName name="data51">#REF!</definedName>
    <definedName name="data52" localSheetId="3">#REF!</definedName>
    <definedName name="data52" localSheetId="1">#REF!</definedName>
    <definedName name="data52">#REF!</definedName>
    <definedName name="data53" localSheetId="3">#REF!</definedName>
    <definedName name="data53" localSheetId="1">#REF!</definedName>
    <definedName name="data53">#REF!</definedName>
    <definedName name="data54" localSheetId="3">#REF!</definedName>
    <definedName name="data54" localSheetId="1">#REF!</definedName>
    <definedName name="data54">#REF!</definedName>
    <definedName name="data55" localSheetId="3">#REF!</definedName>
    <definedName name="data55" localSheetId="1">#REF!</definedName>
    <definedName name="data55">#REF!</definedName>
    <definedName name="data56" localSheetId="3">#REF!</definedName>
    <definedName name="data56" localSheetId="1">#REF!</definedName>
    <definedName name="data56">#REF!</definedName>
    <definedName name="data57" localSheetId="3">#REF!</definedName>
    <definedName name="data57" localSheetId="1">#REF!</definedName>
    <definedName name="data57">#REF!</definedName>
    <definedName name="data58" localSheetId="3">#REF!</definedName>
    <definedName name="data58" localSheetId="1">#REF!</definedName>
    <definedName name="data58">#REF!</definedName>
    <definedName name="data59" localSheetId="3">#REF!</definedName>
    <definedName name="data59" localSheetId="1">#REF!</definedName>
    <definedName name="data59">#REF!</definedName>
    <definedName name="data6" localSheetId="3">#REF!</definedName>
    <definedName name="data6" localSheetId="1">#REF!</definedName>
    <definedName name="data6">#REF!</definedName>
    <definedName name="data60" localSheetId="3">#REF!</definedName>
    <definedName name="data60" localSheetId="1">#REF!</definedName>
    <definedName name="data60">#REF!</definedName>
    <definedName name="data61" localSheetId="3">#REF!</definedName>
    <definedName name="data61" localSheetId="1">#REF!</definedName>
    <definedName name="data61">#REF!</definedName>
    <definedName name="data62" localSheetId="3">#REF!</definedName>
    <definedName name="data62" localSheetId="1">#REF!</definedName>
    <definedName name="data62">#REF!</definedName>
    <definedName name="data63" localSheetId="3">#REF!</definedName>
    <definedName name="data63" localSheetId="1">#REF!</definedName>
    <definedName name="data63">#REF!</definedName>
    <definedName name="data64" localSheetId="3">#REF!</definedName>
    <definedName name="data64" localSheetId="1">#REF!</definedName>
    <definedName name="data64">#REF!</definedName>
    <definedName name="data65" localSheetId="3">#REF!</definedName>
    <definedName name="data65" localSheetId="1">#REF!</definedName>
    <definedName name="data65">#REF!</definedName>
    <definedName name="data66" localSheetId="3">#REF!</definedName>
    <definedName name="data66" localSheetId="1">#REF!</definedName>
    <definedName name="data66">#REF!</definedName>
    <definedName name="data67" localSheetId="3">#REF!</definedName>
    <definedName name="data67" localSheetId="1">#REF!</definedName>
    <definedName name="data67">#REF!</definedName>
    <definedName name="data68" localSheetId="3">#REF!</definedName>
    <definedName name="data68" localSheetId="1">#REF!</definedName>
    <definedName name="data68">#REF!</definedName>
    <definedName name="data69" localSheetId="3">#REF!</definedName>
    <definedName name="data69" localSheetId="1">#REF!</definedName>
    <definedName name="data69">#REF!</definedName>
    <definedName name="data7" localSheetId="3">#REF!</definedName>
    <definedName name="data7" localSheetId="1">#REF!</definedName>
    <definedName name="data7">#REF!</definedName>
    <definedName name="data70" localSheetId="3">#REF!</definedName>
    <definedName name="data70" localSheetId="1">#REF!</definedName>
    <definedName name="data70">#REF!</definedName>
    <definedName name="data8" localSheetId="3">#REF!</definedName>
    <definedName name="data8" localSheetId="1">#REF!</definedName>
    <definedName name="data8">#REF!</definedName>
    <definedName name="data9" localSheetId="3">#REF!</definedName>
    <definedName name="data9" localSheetId="1">#REF!</definedName>
    <definedName name="data9">#REF!</definedName>
    <definedName name="_xlnm.Database" localSheetId="3">#REF!</definedName>
    <definedName name="_xlnm.Database" localSheetId="1">#REF!</definedName>
    <definedName name="_xlnm.Database">#REF!</definedName>
    <definedName name="datak" localSheetId="3">#REF!</definedName>
    <definedName name="datak" localSheetId="1">#REF!</definedName>
    <definedName name="datak">#REF!</definedName>
    <definedName name="datal" localSheetId="3">#REF!</definedName>
    <definedName name="datal" localSheetId="1">#REF!</definedName>
    <definedName name="datal">#REF!</definedName>
    <definedName name="db" localSheetId="3">#REF!</definedName>
    <definedName name="db" localSheetId="1">#REF!</definedName>
    <definedName name="db">#REF!</definedName>
    <definedName name="dc" localSheetId="3">#REF!</definedName>
    <definedName name="dc" localSheetId="1">#REF!</definedName>
    <definedName name="dc">#REF!</definedName>
    <definedName name="dche" localSheetId="3">#REF!</definedName>
    <definedName name="dche" localSheetId="1">#REF!</definedName>
    <definedName name="dche">#REF!</definedName>
    <definedName name="dd4x6" localSheetId="3">#REF!</definedName>
    <definedName name="dd4x6" localSheetId="1">#REF!</definedName>
    <definedName name="dd4x6">#REF!</definedName>
    <definedName name="ddabm" localSheetId="3">#REF!</definedName>
    <definedName name="ddabm" localSheetId="1">#REF!</definedName>
    <definedName name="ddabm">#REF!</definedName>
    <definedName name="dday" localSheetId="3">#REF!</definedName>
    <definedName name="dday" localSheetId="1">#REF!</definedName>
    <definedName name="dday">#REF!</definedName>
    <definedName name="ddbm500" localSheetId="3">#REF!</definedName>
    <definedName name="ddbm500" localSheetId="1">#REF!</definedName>
    <definedName name="ddbm500">#REF!</definedName>
    <definedName name="dden" localSheetId="3">#REF!</definedName>
    <definedName name="dden" localSheetId="1">#REF!</definedName>
    <definedName name="dden">#REF!</definedName>
    <definedName name="ddia" localSheetId="3">#REF!</definedName>
    <definedName name="ddia" localSheetId="1">#REF!</definedName>
    <definedName name="ddia">#REF!</definedName>
    <definedName name="DDK" localSheetId="3">#REF!</definedName>
    <definedName name="DDK" localSheetId="1">#REF!</definedName>
    <definedName name="DDK">#REF!</definedName>
    <definedName name="de" localSheetId="3">#REF!</definedName>
    <definedName name="de" localSheetId="1">#REF!</definedName>
    <definedName name="de">#REF!</definedName>
    <definedName name="den_bu" localSheetId="3">#REF!</definedName>
    <definedName name="den_bu" localSheetId="1">#REF!</definedName>
    <definedName name="den_bu">#REF!</definedName>
    <definedName name="denbu" localSheetId="3">#REF!</definedName>
    <definedName name="denbu" localSheetId="1">#REF!</definedName>
    <definedName name="denbu">#REF!</definedName>
    <definedName name="Det40x4" localSheetId="3">#REF!</definedName>
    <definedName name="Det40x4" localSheetId="1">#REF!</definedName>
    <definedName name="Det40x4">#REF!</definedName>
    <definedName name="Det50x5" localSheetId="3">#REF!</definedName>
    <definedName name="Det50x5" localSheetId="1">#REF!</definedName>
    <definedName name="Det50x5">#REF!</definedName>
    <definedName name="Det63x6" localSheetId="3">#REF!</definedName>
    <definedName name="Det63x6" localSheetId="1">#REF!</definedName>
    <definedName name="Det63x6">#REF!</definedName>
    <definedName name="Det75x6" localSheetId="3">#REF!</definedName>
    <definedName name="Det75x6" localSheetId="1">#REF!</definedName>
    <definedName name="Det75x6">#REF!</definedName>
    <definedName name="df" localSheetId="3">#REF!</definedName>
    <definedName name="df" localSheetId="1">#REF!</definedName>
    <definedName name="df">#REF!</definedName>
    <definedName name="dfg" hidden="1">{"'Sheet1'!$L$16"}</definedName>
    <definedName name="dfgdf" localSheetId="3">#REF!</definedName>
    <definedName name="dfgdf" localSheetId="1">#REF!</definedName>
    <definedName name="dfgdf">#REF!</definedName>
    <definedName name="dfgdfggf" localSheetId="3">#REF!</definedName>
    <definedName name="dfgdfggf" localSheetId="1">#REF!</definedName>
    <definedName name="dfgdfggf">#REF!</definedName>
    <definedName name="dflk" localSheetId="3">#REF!</definedName>
    <definedName name="dflk" localSheetId="1">#REF!</definedName>
    <definedName name="dflk">#REF!</definedName>
    <definedName name="dflt1" localSheetId="3">#REF!</definedName>
    <definedName name="dflt1" localSheetId="1">#REF!</definedName>
    <definedName name="dflt1">#REF!</definedName>
    <definedName name="dflt2" localSheetId="3">#REF!</definedName>
    <definedName name="dflt2" localSheetId="1">#REF!</definedName>
    <definedName name="dflt2">#REF!</definedName>
    <definedName name="dflt3" localSheetId="3">#REF!</definedName>
    <definedName name="dflt3" localSheetId="1">#REF!</definedName>
    <definedName name="dflt3">#REF!</definedName>
    <definedName name="dflt4" localSheetId="3">#REF!</definedName>
    <definedName name="dflt4" localSheetId="1">#REF!</definedName>
    <definedName name="dflt4">#REF!</definedName>
    <definedName name="dflt5" localSheetId="3">#REF!</definedName>
    <definedName name="dflt5" localSheetId="1">#REF!</definedName>
    <definedName name="dflt5">#REF!</definedName>
    <definedName name="dflt6" localSheetId="3">#REF!</definedName>
    <definedName name="dflt6" localSheetId="1">#REF!</definedName>
    <definedName name="dflt6">#REF!</definedName>
    <definedName name="dflt7" localSheetId="3">#REF!</definedName>
    <definedName name="dflt7" localSheetId="1">#REF!</definedName>
    <definedName name="dflt7">#REF!</definedName>
    <definedName name="dg" localSheetId="3">#REF!</definedName>
    <definedName name="dg" localSheetId="1">#REF!</definedName>
    <definedName name="dg">#REF!</definedName>
    <definedName name="DGCS">33500</definedName>
    <definedName name="DGCTI592" localSheetId="3">#REF!</definedName>
    <definedName name="DGCTI592" localSheetId="1">#REF!</definedName>
    <definedName name="DGCTI592">#REF!</definedName>
    <definedName name="dh" localSheetId="3">#REF!</definedName>
    <definedName name="dh" localSheetId="1">#REF!</definedName>
    <definedName name="dh">#REF!</definedName>
    <definedName name="dien" localSheetId="3">#REF!</definedName>
    <definedName name="dien" localSheetId="1">#REF!</definedName>
    <definedName name="dien">#REF!</definedName>
    <definedName name="dim" localSheetId="3">#REF!</definedName>
    <definedName name="dim" localSheetId="1">#REF!</definedName>
    <definedName name="dim">#REF!</definedName>
    <definedName name="display_area_1" localSheetId="3">#REF!</definedName>
    <definedName name="display_area_1" localSheetId="1">#REF!</definedName>
    <definedName name="display_area_1">#REF!</definedName>
    <definedName name="display_area_2" localSheetId="3">#REF!</definedName>
    <definedName name="display_area_2" localSheetId="1">#REF!</definedName>
    <definedName name="display_area_2">#REF!</definedName>
    <definedName name="Dist" localSheetId="3">#REF!</definedName>
    <definedName name="Dist" localSheetId="1">#REF!</definedName>
    <definedName name="Dist">#REF!</definedName>
    <definedName name="dmdv" localSheetId="3">#REF!</definedName>
    <definedName name="dmdv" localSheetId="1">#REF!</definedName>
    <definedName name="dmdv">#REF!</definedName>
    <definedName name="DMHH" localSheetId="3">#REF!</definedName>
    <definedName name="DMHH" localSheetId="1">#REF!</definedName>
    <definedName name="DMHH">#REF!</definedName>
    <definedName name="dmoi" localSheetId="3">#REF!</definedName>
    <definedName name="dmoi" localSheetId="1">#REF!</definedName>
    <definedName name="dmoi">#REF!</definedName>
    <definedName name="DN" localSheetId="3">#REF!</definedName>
    <definedName name="DN" localSheetId="1">#REF!</definedName>
    <definedName name="DN">#REF!</definedName>
    <definedName name="DÑt45x4" localSheetId="3">#REF!</definedName>
    <definedName name="DÑt45x4" localSheetId="1">#REF!</definedName>
    <definedName name="DÑt45x4">#REF!</definedName>
    <definedName name="DOANH_SO" localSheetId="3">#REF!</definedName>
    <definedName name="DOANH_SO" localSheetId="1">#REF!</definedName>
    <definedName name="DOANH_SO">#REF!</definedName>
    <definedName name="Doanh_thu" localSheetId="3">#REF!</definedName>
    <definedName name="Doanh_thu" localSheetId="1">#REF!</definedName>
    <definedName name="Doanh_thu">#REF!</definedName>
    <definedName name="dobt" localSheetId="3">#REF!</definedName>
    <definedName name="dobt" localSheetId="1">#REF!</definedName>
    <definedName name="dobt">#REF!</definedName>
    <definedName name="Document_array">{"ONGNGOAINHA.xls","Sheet1"}</definedName>
    <definedName name="dong" localSheetId="0" hidden="1">{"'Sheet1'!$L$16"}</definedName>
    <definedName name="dong" hidden="1">{"'Sheet1'!$L$16"}</definedName>
    <definedName name="drda" localSheetId="3">#REF!</definedName>
    <definedName name="drda" localSheetId="1">#REF!</definedName>
    <definedName name="drda">#REF!</definedName>
    <definedName name="drdat" localSheetId="3">#REF!</definedName>
    <definedName name="drdat" localSheetId="1">#REF!</definedName>
    <definedName name="drdat">#REF!</definedName>
    <definedName name="DSUMDATA" localSheetId="3">#REF!</definedName>
    <definedName name="DSUMDATA" localSheetId="1">#REF!</definedName>
    <definedName name="DSUMDATA">#REF!</definedName>
    <definedName name="DTBH" localSheetId="3">#REF!</definedName>
    <definedName name="DTBH" localSheetId="1">#REF!</definedName>
    <definedName name="DTBH">#REF!</definedName>
    <definedName name="DUCKY_CO_CD" localSheetId="3">#REF!</definedName>
    <definedName name="DUCKY_CO_CD" localSheetId="1">#REF!</definedName>
    <definedName name="DUCKY_CO_CD">#REF!</definedName>
    <definedName name="DUCKY_NO_CD" localSheetId="3">#REF!</definedName>
    <definedName name="DUCKY_NO_CD" localSheetId="1">#REF!</definedName>
    <definedName name="DUCKY_NO_CD">#REF!</definedName>
    <definedName name="DUDKY_CO_CD" localSheetId="3">#REF!</definedName>
    <definedName name="DUDKY_CO_CD" localSheetId="1">#REF!</definedName>
    <definedName name="DUDKY_CO_CD">#REF!</definedName>
    <definedName name="DUDKY_NO_CD" localSheetId="3">#REF!</definedName>
    <definedName name="DUDKY_NO_CD" localSheetId="1">#REF!</definedName>
    <definedName name="DUDKY_NO_CD">#REF!</definedName>
    <definedName name="dxd" localSheetId="3">#REF!</definedName>
    <definedName name="dxd" localSheetId="1">#REF!</definedName>
    <definedName name="dxd">#REF!</definedName>
    <definedName name="e">13</definedName>
    <definedName name="End_1" localSheetId="3">#REF!</definedName>
    <definedName name="End_1" localSheetId="1">#REF!</definedName>
    <definedName name="End_1">#REF!</definedName>
    <definedName name="End_10" localSheetId="3">#REF!</definedName>
    <definedName name="End_10" localSheetId="1">#REF!</definedName>
    <definedName name="End_10">#REF!</definedName>
    <definedName name="End_11" localSheetId="3">#REF!</definedName>
    <definedName name="End_11" localSheetId="1">#REF!</definedName>
    <definedName name="End_11">#REF!</definedName>
    <definedName name="End_12" localSheetId="3">#REF!</definedName>
    <definedName name="End_12" localSheetId="1">#REF!</definedName>
    <definedName name="End_12">#REF!</definedName>
    <definedName name="End_13" localSheetId="3">#REF!</definedName>
    <definedName name="End_13" localSheetId="1">#REF!</definedName>
    <definedName name="End_13">#REF!</definedName>
    <definedName name="End_2" localSheetId="3">#REF!</definedName>
    <definedName name="End_2" localSheetId="1">#REF!</definedName>
    <definedName name="End_2">#REF!</definedName>
    <definedName name="End_3" localSheetId="3">#REF!</definedName>
    <definedName name="End_3" localSheetId="1">#REF!</definedName>
    <definedName name="End_3">#REF!</definedName>
    <definedName name="End_4" localSheetId="3">#REF!</definedName>
    <definedName name="End_4" localSheetId="1">#REF!</definedName>
    <definedName name="End_4">#REF!</definedName>
    <definedName name="End_5" localSheetId="3">#REF!</definedName>
    <definedName name="End_5" localSheetId="1">#REF!</definedName>
    <definedName name="End_5">#REF!</definedName>
    <definedName name="End_6" localSheetId="3">#REF!</definedName>
    <definedName name="End_6" localSheetId="1">#REF!</definedName>
    <definedName name="End_6">#REF!</definedName>
    <definedName name="End_7" localSheetId="3">#REF!</definedName>
    <definedName name="End_7" localSheetId="1">#REF!</definedName>
    <definedName name="End_7">#REF!</definedName>
    <definedName name="End_8" localSheetId="3">#REF!</definedName>
    <definedName name="End_8" localSheetId="1">#REF!</definedName>
    <definedName name="End_8">#REF!</definedName>
    <definedName name="End_9" localSheetId="3">#REF!</definedName>
    <definedName name="End_9" localSheetId="1">#REF!</definedName>
    <definedName name="End_9">#REF!</definedName>
    <definedName name="_xlnm.Extract" localSheetId="3">#REF!</definedName>
    <definedName name="_xlnm.Extract" localSheetId="1">#REF!</definedName>
    <definedName name="_xlnm.Extract">#REF!</definedName>
    <definedName name="FACTOR" localSheetId="3">#REF!</definedName>
    <definedName name="FACTOR" localSheetId="1">#REF!</definedName>
    <definedName name="FACTOR">#REF!</definedName>
    <definedName name="Fax" localSheetId="3">#REF!</definedName>
    <definedName name="Fax" localSheetId="1">#REF!</definedName>
    <definedName name="Fax">#REF!</definedName>
    <definedName name="Fay" localSheetId="3">#REF!</definedName>
    <definedName name="Fay" localSheetId="1">#REF!</definedName>
    <definedName name="Fay">#REF!</definedName>
    <definedName name="fy_" localSheetId="3">#REF!</definedName>
    <definedName name="fy_" localSheetId="1">#REF!</definedName>
    <definedName name="fy_">#REF!</definedName>
    <definedName name="g">2</definedName>
    <definedName name="gd" localSheetId="3">#REF!</definedName>
    <definedName name="gd" localSheetId="1">#REF!</definedName>
    <definedName name="gd">#REF!</definedName>
    <definedName name="gd." localSheetId="3">#REF!</definedName>
    <definedName name="gd." localSheetId="1">#REF!</definedName>
    <definedName name="gd.">#REF!</definedName>
    <definedName name="GDL" localSheetId="3">#REF!</definedName>
    <definedName name="GDL" localSheetId="1">#REF!</definedName>
    <definedName name="GDL">#REF!</definedName>
    <definedName name="ghichu" localSheetId="3">#REF!</definedName>
    <definedName name="ghichu" localSheetId="1">#REF!</definedName>
    <definedName name="ghichu">#REF!</definedName>
    <definedName name="gi">0.4</definedName>
    <definedName name="Gia_tien" localSheetId="3">#REF!</definedName>
    <definedName name="Gia_tien" localSheetId="1">#REF!</definedName>
    <definedName name="Gia_tien">#REF!</definedName>
    <definedName name="gia_tien_BTN" localSheetId="3">#REF!</definedName>
    <definedName name="gia_tien_BTN" localSheetId="1">#REF!</definedName>
    <definedName name="gia_tien_BTN">#REF!</definedName>
    <definedName name="GiaKHUSD" comment="Giá gói thầu theo KHLCNT USD" localSheetId="3">#REF!</definedName>
    <definedName name="GiaKHUSD" comment="Giá gói thầu theo KHLCNT USD" localSheetId="1">#REF!</definedName>
    <definedName name="GiaKHUSD" comment="Giá gói thầu theo KHLCNT USD">#REF!</definedName>
    <definedName name="GiaKHVND" comment="Giá gói thầu theo KHLCNT (VND)" localSheetId="3">#REF!</definedName>
    <definedName name="GiaKHVND" comment="Giá gói thầu theo KHLCNT (VND)" localSheetId="1">#REF!</definedName>
    <definedName name="GiaKHVND" comment="Giá gói thầu theo KHLCNT (VND)">#REF!</definedName>
    <definedName name="gjj" localSheetId="3">#REF!</definedName>
    <definedName name="gjj" localSheetId="1">#REF!</definedName>
    <definedName name="gjj">#REF!</definedName>
    <definedName name="gld" localSheetId="3">#REF!</definedName>
    <definedName name="gld" localSheetId="1">#REF!</definedName>
    <definedName name="gld">#REF!</definedName>
    <definedName name="GLL" localSheetId="3">#REF!</definedName>
    <definedName name="GLL" localSheetId="1">#REF!</definedName>
    <definedName name="GLL">#REF!</definedName>
    <definedName name="Goc32x3" localSheetId="3">#REF!</definedName>
    <definedName name="Goc32x3" localSheetId="1">#REF!</definedName>
    <definedName name="Goc32x3">#REF!</definedName>
    <definedName name="Goc35x3" localSheetId="3">#REF!</definedName>
    <definedName name="Goc35x3" localSheetId="1">#REF!</definedName>
    <definedName name="Goc35x3">#REF!</definedName>
    <definedName name="Goc40x4" localSheetId="3">#REF!</definedName>
    <definedName name="Goc40x4" localSheetId="1">#REF!</definedName>
    <definedName name="Goc40x4">#REF!</definedName>
    <definedName name="Goc45x4" localSheetId="3">#REF!</definedName>
    <definedName name="Goc45x4" localSheetId="1">#REF!</definedName>
    <definedName name="Goc45x4">#REF!</definedName>
    <definedName name="Goc50x5" localSheetId="3">#REF!</definedName>
    <definedName name="Goc50x5" localSheetId="1">#REF!</definedName>
    <definedName name="Goc50x5">#REF!</definedName>
    <definedName name="Goc63x6" localSheetId="3">#REF!</definedName>
    <definedName name="Goc63x6" localSheetId="1">#REF!</definedName>
    <definedName name="Goc63x6">#REF!</definedName>
    <definedName name="Goc75x6" localSheetId="3">#REF!</definedName>
    <definedName name="Goc75x6" localSheetId="1">#REF!</definedName>
    <definedName name="Goc75x6">#REF!</definedName>
    <definedName name="grB" localSheetId="3">#REF!</definedName>
    <definedName name="grB" localSheetId="1">#REF!</definedName>
    <definedName name="grB">#REF!</definedName>
    <definedName name="GTXL" localSheetId="3">#REF!</definedName>
    <definedName name="GTXL" localSheetId="1">#REF!</definedName>
    <definedName name="GTXL">#REF!</definedName>
    <definedName name="gxm" localSheetId="3">#REF!</definedName>
    <definedName name="gxm" localSheetId="1">#REF!</definedName>
    <definedName name="gxm">#REF!</definedName>
    <definedName name="h" hidden="1">{"'Sheet1'!$L$16"}</definedName>
    <definedName name="Ha" localSheetId="3">#REF!</definedName>
    <definedName name="Ha" localSheetId="1">#REF!</definedName>
    <definedName name="Ha">#REF!</definedName>
    <definedName name="ha." localSheetId="3">#REF!</definedName>
    <definedName name="ha." localSheetId="1">#REF!</definedName>
    <definedName name="ha.">#REF!</definedName>
    <definedName name="haichau6" localSheetId="3">#REF!</definedName>
    <definedName name="haichau6" localSheetId="1">#REF!</definedName>
    <definedName name="haichau6">#REF!</definedName>
    <definedName name="hb." localSheetId="3">#REF!</definedName>
    <definedName name="hb." localSheetId="1">#REF!</definedName>
    <definedName name="hb.">#REF!</definedName>
    <definedName name="hc." localSheetId="3">#REF!</definedName>
    <definedName name="hc." localSheetId="1">#REF!</definedName>
    <definedName name="hc.">#REF!</definedName>
    <definedName name="HCM" localSheetId="3">#REF!</definedName>
    <definedName name="HCM" localSheetId="1">#REF!</definedName>
    <definedName name="HCM">#REF!</definedName>
    <definedName name="hg" localSheetId="3">#REF!</definedName>
    <definedName name="hg" localSheetId="1">#REF!</definedName>
    <definedName name="hg">#REF!</definedName>
    <definedName name="hgj" localSheetId="3">#REF!</definedName>
    <definedName name="hgj" localSheetId="1">#REF!</definedName>
    <definedName name="hgj">#REF!</definedName>
    <definedName name="HH" localSheetId="3">#REF!</definedName>
    <definedName name="HH" localSheetId="1">#REF!</definedName>
    <definedName name="HH">#REF!</definedName>
    <definedName name="hien" localSheetId="3">#REF!</definedName>
    <definedName name="hien" localSheetId="1">#REF!</definedName>
    <definedName name="hien">#REF!</definedName>
    <definedName name="Hinhthuc" localSheetId="3">#REF!</definedName>
    <definedName name="Hinhthuc" localSheetId="1">#REF!</definedName>
    <definedName name="Hinhthuc">#REF!</definedName>
    <definedName name="hnhnhn" localSheetId="0" hidden="1">{"'Sheet1'!$L$16"}</definedName>
    <definedName name="hnhnhn" hidden="1">{"'Sheet1'!$L$16"}</definedName>
    <definedName name="ho" localSheetId="3">#REF!</definedName>
    <definedName name="ho" localSheetId="1">#REF!</definedName>
    <definedName name="ho">#REF!</definedName>
    <definedName name="hoa" localSheetId="0" hidden="1">{"'Sheet1'!$L$16"}</definedName>
    <definedName name="hoa" hidden="1">{"'Sheet1'!$L$16"}</definedName>
    <definedName name="HOME_MANP" localSheetId="3">#REF!</definedName>
    <definedName name="HOME_MANP" localSheetId="1">#REF!</definedName>
    <definedName name="HOME_MANP">#REF!</definedName>
    <definedName name="HOMEOFFICE_COST" localSheetId="3">#REF!</definedName>
    <definedName name="HOMEOFFICE_COST" localSheetId="1">#REF!</definedName>
    <definedName name="HOMEOFFICE_COST">#REF!</definedName>
    <definedName name="hsn">0.5</definedName>
    <definedName name="HSPCKV">0.3</definedName>
    <definedName name="HT" localSheetId="3">#REF!</definedName>
    <definedName name="HT" localSheetId="1">#REF!</definedName>
    <definedName name="HT">#REF!</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huynhhaichau" localSheetId="3">#REF!</definedName>
    <definedName name="huynhhaichau" localSheetId="1">#REF!</definedName>
    <definedName name="huynhhaichau">#REF!</definedName>
    <definedName name="i">1.11</definedName>
    <definedName name="IDLAB_COST" localSheetId="3">#REF!</definedName>
    <definedName name="IDLAB_COST" localSheetId="1">#REF!</definedName>
    <definedName name="IDLAB_COST">#REF!</definedName>
    <definedName name="IND_LAB" localSheetId="3">#REF!</definedName>
    <definedName name="IND_LAB" localSheetId="1">#REF!</definedName>
    <definedName name="IND_LAB">#REF!</definedName>
    <definedName name="INDMANP" localSheetId="3">#REF!</definedName>
    <definedName name="INDMANP" localSheetId="1">#REF!</definedName>
    <definedName name="INDMANP">#REF!</definedName>
    <definedName name="K" localSheetId="3">#REF!</definedName>
    <definedName name="K" localSheetId="1">#REF!</definedName>
    <definedName name="K">#REF!</definedName>
    <definedName name="k.." localSheetId="3">#REF!</definedName>
    <definedName name="k.." localSheetId="1">#REF!</definedName>
    <definedName name="k..">#REF!</definedName>
    <definedName name="KA" localSheetId="3">#REF!</definedName>
    <definedName name="KA" localSheetId="1">#REF!</definedName>
    <definedName name="KA">#REF!</definedName>
    <definedName name="ka." localSheetId="3">#REF!</definedName>
    <definedName name="ka." localSheetId="1">#REF!</definedName>
    <definedName name="ka.">#REF!</definedName>
    <definedName name="KAE" localSheetId="3">#REF!</definedName>
    <definedName name="KAE" localSheetId="1">#REF!</definedName>
    <definedName name="KAE">#REF!</definedName>
    <definedName name="kcong" localSheetId="3">#REF!</definedName>
    <definedName name="kcong" localSheetId="1">#REF!</definedName>
    <definedName name="kcong">#REF!</definedName>
    <definedName name="kdien" localSheetId="3">#REF!</definedName>
    <definedName name="kdien" localSheetId="1">#REF!</definedName>
    <definedName name="kdien">#REF!</definedName>
    <definedName name="KhuyenmaiUPS">"AutoShape 264"</definedName>
    <definedName name="kiem" localSheetId="3">#REF!</definedName>
    <definedName name="kiem" localSheetId="1">#REF!</definedName>
    <definedName name="kiem">#REF!</definedName>
    <definedName name="Kiem_tra_trung_ten" localSheetId="3">#REF!</definedName>
    <definedName name="Kiem_tra_trung_ten" localSheetId="1">#REF!</definedName>
    <definedName name="Kiem_tra_trung_ten">#REF!</definedName>
    <definedName name="kk">0.8</definedName>
    <definedName name="kl" localSheetId="3">#REF!</definedName>
    <definedName name="kl" localSheetId="1">#REF!</definedName>
    <definedName name="kl">#REF!</definedName>
    <definedName name="KPC">0.7</definedName>
    <definedName name="kstk" localSheetId="3">#REF!</definedName>
    <definedName name="kstk" localSheetId="1">#REF!</definedName>
    <definedName name="kstk">#REF!</definedName>
    <definedName name="KVC" localSheetId="3">#REF!</definedName>
    <definedName name="KVC" localSheetId="1">#REF!</definedName>
    <definedName name="KVC">#REF!</definedName>
    <definedName name="l">4.584</definedName>
    <definedName name="lai" localSheetId="0" hidden="1">{"'Sheet1'!$L$16"}</definedName>
    <definedName name="lai" hidden="1">{"'Sheet1'!$L$16"}</definedName>
    <definedName name="LAMTHEM" localSheetId="3">#REF!</definedName>
    <definedName name="LAMTHEM" localSheetId="1">#REF!</definedName>
    <definedName name="LAMTHEM">#REF!</definedName>
    <definedName name="Lb" localSheetId="3">#REF!</definedName>
    <definedName name="Lb" localSheetId="1">#REF!</definedName>
    <definedName name="Lb">#REF!</definedName>
    <definedName name="Lf" localSheetId="3">#REF!</definedName>
    <definedName name="Lf" localSheetId="1">#REF!</definedName>
    <definedName name="Lf">#REF!</definedName>
    <definedName name="LgL" localSheetId="3">#REF!</definedName>
    <definedName name="LgL" localSheetId="1">#REF!</definedName>
    <definedName name="LgL">#REF!</definedName>
    <definedName name="lk" localSheetId="0" hidden="1">{"'Sheet1'!$L$16"}</definedName>
    <definedName name="lk" hidden="1">{"'Sheet1'!$L$16"}</definedName>
    <definedName name="LLs" localSheetId="3">#REF!</definedName>
    <definedName name="LLs" localSheetId="1">#REF!</definedName>
    <definedName name="LLs">#REF!</definedName>
    <definedName name="LN" localSheetId="3">#REF!</definedName>
    <definedName name="LN" localSheetId="1">#REF!</definedName>
    <definedName name="LN">#REF!</definedName>
    <definedName name="LOC" localSheetId="3">#REF!</definedName>
    <definedName name="LOC" localSheetId="1">#REF!</definedName>
    <definedName name="LOC">#REF!</definedName>
    <definedName name="Log_Normal_Fade_Margin" localSheetId="3">#REF!</definedName>
    <definedName name="Log_Normal_Fade_Margin" localSheetId="1">#REF!</definedName>
    <definedName name="Log_Normal_Fade_Margin">#REF!</definedName>
    <definedName name="long" localSheetId="3">#REF!</definedName>
    <definedName name="long" localSheetId="1">#REF!</definedName>
    <definedName name="long">#REF!</definedName>
    <definedName name="Lop" localSheetId="3">#REF!</definedName>
    <definedName name="Lop" localSheetId="1">#REF!</definedName>
    <definedName name="Lop">#REF!</definedName>
    <definedName name="LTR" localSheetId="3">#REF!</definedName>
    <definedName name="LTR" localSheetId="1">#REF!</definedName>
    <definedName name="LTR">#REF!</definedName>
    <definedName name="ltre" localSheetId="3">#REF!</definedName>
    <definedName name="ltre" localSheetId="1">#REF!</definedName>
    <definedName name="ltre">#REF!</definedName>
    <definedName name="Luanthanh" localSheetId="3">#REF!</definedName>
    <definedName name="Luanthanh" localSheetId="1">#REF!</definedName>
    <definedName name="Luanthanh">#REF!</definedName>
    <definedName name="LUONG" localSheetId="3">#REF!</definedName>
    <definedName name="LUONG" localSheetId="1">#REF!</definedName>
    <definedName name="LUONG">#REF!</definedName>
    <definedName name="lVC" localSheetId="3">#REF!</definedName>
    <definedName name="lVC" localSheetId="1">#REF!</definedName>
    <definedName name="lVC">#REF!</definedName>
    <definedName name="m" hidden="1">{"'Sheet1'!$L$16"}</definedName>
    <definedName name="M0.4" localSheetId="3">#REF!</definedName>
    <definedName name="M0.4" localSheetId="1">#REF!</definedName>
    <definedName name="M0.4">#REF!</definedName>
    <definedName name="MAJ_CON_EQP" localSheetId="3">#REF!</definedName>
    <definedName name="MAJ_CON_EQP" localSheetId="1">#REF!</definedName>
    <definedName name="MAJ_CON_EQP">#REF!</definedName>
    <definedName name="Masterlist_CNTT" localSheetId="3" hidden="1">#REF!</definedName>
    <definedName name="Masterlist_CNTT" localSheetId="1" hidden="1">#REF!</definedName>
    <definedName name="Masterlist_CNTT" hidden="1">#REF!</definedName>
    <definedName name="Masterlist_ML" localSheetId="3" hidden="1">#REF!</definedName>
    <definedName name="Masterlist_ML" localSheetId="1" hidden="1">#REF!</definedName>
    <definedName name="Masterlist_ML" hidden="1">#REF!</definedName>
    <definedName name="matit" localSheetId="3">#REF!</definedName>
    <definedName name="matit" localSheetId="1">#REF!</definedName>
    <definedName name="matit">#REF!</definedName>
    <definedName name="MATK" localSheetId="3">#REF!</definedName>
    <definedName name="MATK" localSheetId="1">#REF!</definedName>
    <definedName name="MATK">#REF!</definedName>
    <definedName name="MATK_CD" localSheetId="3">#REF!</definedName>
    <definedName name="MATK_CD" localSheetId="1">#REF!</definedName>
    <definedName name="MATK_CD">#REF!</definedName>
    <definedName name="MATK_M" localSheetId="3">#REF!</definedName>
    <definedName name="MATK_M" localSheetId="1">#REF!</definedName>
    <definedName name="MATK_M">#REF!</definedName>
    <definedName name="MC" localSheetId="3">#REF!</definedName>
    <definedName name="MC" localSheetId="1">#REF!</definedName>
    <definedName name="MC">#REF!</definedName>
    <definedName name="me" localSheetId="3">#REF!</definedName>
    <definedName name="me" localSheetId="1">#REF!</definedName>
    <definedName name="me">#REF!</definedName>
    <definedName name="MG_A" localSheetId="3">#REF!</definedName>
    <definedName name="MG_A" localSheetId="1">#REF!</definedName>
    <definedName name="MG_A">#REF!</definedName>
    <definedName name="minh1" localSheetId="3">#REF!</definedName>
    <definedName name="minh1" localSheetId="1">#REF!</definedName>
    <definedName name="minh1">#REF!</definedName>
    <definedName name="ML" localSheetId="3">#REF!</definedName>
    <definedName name="ML" localSheetId="1">#REF!</definedName>
    <definedName name="ML">#REF!</definedName>
    <definedName name="MN" localSheetId="3">#REF!</definedName>
    <definedName name="MN" localSheetId="1">#REF!</definedName>
    <definedName name="MN">#REF!</definedName>
    <definedName name="mncvhjkhj" localSheetId="0" hidden="1">{"'Sheet1'!$L$16"}</definedName>
    <definedName name="mncvhjkhj" hidden="1">{"'Sheet1'!$L$16"}</definedName>
    <definedName name="MUN" localSheetId="3">#REF!</definedName>
    <definedName name="MUN" localSheetId="1">#REF!</definedName>
    <definedName name="MUN">#REF!</definedName>
    <definedName name="n1_" localSheetId="3">#REF!</definedName>
    <definedName name="n1_" localSheetId="1">#REF!</definedName>
    <definedName name="n1_">#REF!</definedName>
    <definedName name="n2_" localSheetId="3">#REF!</definedName>
    <definedName name="n2_" localSheetId="1">#REF!</definedName>
    <definedName name="n2_">#REF!</definedName>
    <definedName name="n3_" localSheetId="3">#REF!</definedName>
    <definedName name="n3_" localSheetId="1">#REF!</definedName>
    <definedName name="n3_">#REF!</definedName>
    <definedName name="n4_" localSheetId="3">#REF!</definedName>
    <definedName name="n4_" localSheetId="1">#REF!</definedName>
    <definedName name="n4_">#REF!</definedName>
    <definedName name="ncb">#N/A</definedName>
    <definedName name="NCcap0.7" localSheetId="3">#REF!</definedName>
    <definedName name="NCcap0.7" localSheetId="1">#REF!</definedName>
    <definedName name="NCcap0.7">#REF!</definedName>
    <definedName name="NCcap1" localSheetId="3">#REF!</definedName>
    <definedName name="NCcap1" localSheetId="1">#REF!</definedName>
    <definedName name="NCcap1">#REF!</definedName>
    <definedName name="NCKT" localSheetId="3">#REF!</definedName>
    <definedName name="NCKT" localSheetId="1">#REF!</definedName>
    <definedName name="NCKT">#REF!</definedName>
    <definedName name="NDemand01" localSheetId="3">#REF!</definedName>
    <definedName name="NDemand01" localSheetId="1">#REF!</definedName>
    <definedName name="NDemand01">#REF!</definedName>
    <definedName name="NDemand02" localSheetId="3">#REF!</definedName>
    <definedName name="NDemand02" localSheetId="1">#REF!</definedName>
    <definedName name="NDemand02">#REF!</definedName>
    <definedName name="NDemand03" localSheetId="3">#REF!</definedName>
    <definedName name="NDemand03" localSheetId="1">#REF!</definedName>
    <definedName name="NDemand03">#REF!</definedName>
    <definedName name="Néi_dung" localSheetId="3">#REF!</definedName>
    <definedName name="Néi_dung" localSheetId="1">#REF!</definedName>
    <definedName name="Néi_dung">#REF!</definedName>
    <definedName name="NET" localSheetId="3">#REF!</definedName>
    <definedName name="NET" localSheetId="1">#REF!</definedName>
    <definedName name="NET">#REF!</definedName>
    <definedName name="NET_1" localSheetId="3">#REF!</definedName>
    <definedName name="NET_1" localSheetId="1">#REF!</definedName>
    <definedName name="NET_1">#REF!</definedName>
    <definedName name="NET_ANA" localSheetId="3">#REF!</definedName>
    <definedName name="NET_ANA" localSheetId="1">#REF!</definedName>
    <definedName name="NET_ANA">#REF!</definedName>
    <definedName name="NET_ANA_1" localSheetId="3">#REF!</definedName>
    <definedName name="NET_ANA_1" localSheetId="1">#REF!</definedName>
    <definedName name="NET_ANA_1">#REF!</definedName>
    <definedName name="NET_ANA_2" localSheetId="3">#REF!</definedName>
    <definedName name="NET_ANA_2" localSheetId="1">#REF!</definedName>
    <definedName name="NET_ANA_2">#REF!</definedName>
    <definedName name="Ng_y__i" localSheetId="3">#REF!</definedName>
    <definedName name="Ng_y__i" localSheetId="1">#REF!</definedName>
    <definedName name="Ng_y__i">#REF!</definedName>
    <definedName name="ngau" localSheetId="3">#REF!</definedName>
    <definedName name="ngau" localSheetId="1">#REF!</definedName>
    <definedName name="ngau">#REF!</definedName>
    <definedName name="Ngay_BC.KQ_1" comment="Ngày báo cáo Hội đồng kết quả tài chính (2 túi HS)/KQ gói thầu (1 túi HS) lần 1" localSheetId="3">#REF!</definedName>
    <definedName name="Ngay_BC.KQ_1" comment="Ngày báo cáo Hội đồng kết quả tài chính (2 túi HS)/KQ gói thầu (1 túi HS) lần 1" localSheetId="1">#REF!</definedName>
    <definedName name="Ngay_BC.KQ_1" comment="Ngày báo cáo Hội đồng kết quả tài chính (2 túi HS)/KQ gói thầu (1 túi HS) lần 1">#REF!</definedName>
    <definedName name="Ngay_BC_KT_1" comment="Ngày báo cáo hội đồng KQ kỹ thuật lần 1" localSheetId="3">#REF!</definedName>
    <definedName name="Ngay_BC_KT_1" comment="Ngày báo cáo hội đồng KQ kỹ thuật lần 1" localSheetId="1">#REF!</definedName>
    <definedName name="Ngay_BC_KT_1" comment="Ngày báo cáo hội đồng KQ kỹ thuật lần 1">#REF!</definedName>
    <definedName name="Ngay_dong_thau" localSheetId="3">#REF!</definedName>
    <definedName name="Ngay_dong_thau" localSheetId="1">#REF!</definedName>
    <definedName name="Ngay_dong_thau">#REF!</definedName>
    <definedName name="Ngay_hoan.thanh_KQ" localSheetId="3">#REF!</definedName>
    <definedName name="Ngay_hoan.thanh_KQ" localSheetId="1">#REF!</definedName>
    <definedName name="Ngay_hoan.thanh_KQ">#REF!</definedName>
    <definedName name="Ngay_hoan.thanh_KT" localSheetId="3">#REF!</definedName>
    <definedName name="Ngay_hoan.thanh_KT" localSheetId="1">#REF!</definedName>
    <definedName name="Ngay_hoan.thanh_KT">#REF!</definedName>
    <definedName name="Ngay_mo_HSDX.TC" localSheetId="3">#REF!</definedName>
    <definedName name="Ngay_mo_HSDX.TC" localSheetId="1">#REF!</definedName>
    <definedName name="Ngay_mo_HSDX.TC">#REF!</definedName>
    <definedName name="Ngay_phat_hanh" comment="Ngày phát hành hồ sơ" localSheetId="3">#REF!</definedName>
    <definedName name="Ngay_phat_hanh" comment="Ngày phát hành hồ sơ" localSheetId="1">#REF!</definedName>
    <definedName name="Ngay_phat_hanh" comment="Ngày phát hành hồ sơ">#REF!</definedName>
    <definedName name="Ngay_thong.qua_KQ" localSheetId="3">#REF!</definedName>
    <definedName name="Ngay_thong.qua_KQ" localSheetId="1">#REF!</definedName>
    <definedName name="Ngay_thong.qua_KQ">#REF!</definedName>
    <definedName name="Ngay_thong.qua_KT" localSheetId="3">#REF!</definedName>
    <definedName name="Ngay_thong.qua_KT" localSheetId="1">#REF!</definedName>
    <definedName name="Ngay_thong.qua_KT">#REF!</definedName>
    <definedName name="NGAYCTU_B" localSheetId="3">#REF!</definedName>
    <definedName name="NGAYCTU_B" localSheetId="1">#REF!</definedName>
    <definedName name="NGAYCTU_B">#REF!</definedName>
    <definedName name="NGHI" localSheetId="3">#REF!</definedName>
    <definedName name="NGHI" localSheetId="1">#REF!</definedName>
    <definedName name="NGHI">#REF!</definedName>
    <definedName name="NH" localSheetId="3">#REF!</definedName>
    <definedName name="NH" localSheetId="1">#REF!</definedName>
    <definedName name="NH">#REF!</definedName>
    <definedName name="Nhancong" localSheetId="3">#REF!</definedName>
    <definedName name="Nhancong" localSheetId="1">#REF!</definedName>
    <definedName name="Nhancong">#REF!</definedName>
    <definedName name="NHANTIEN" localSheetId="3">#REF!</definedName>
    <definedName name="NHANTIEN" localSheetId="1">#REF!</definedName>
    <definedName name="NHANTIEN">#REF!</definedName>
    <definedName name="nhap1">#N/A</definedName>
    <definedName name="nhap2">#N/A</definedName>
    <definedName name="nhapcb">#N/A</definedName>
    <definedName name="NhNgam" localSheetId="3">#REF!</definedName>
    <definedName name="NhNgam" localSheetId="1">#REF!</definedName>
    <definedName name="NhNgam">#REF!</definedName>
    <definedName name="NHot" localSheetId="3">#REF!</definedName>
    <definedName name="NHot" localSheetId="1">#REF!</definedName>
    <definedName name="NHot">#REF!</definedName>
    <definedName name="NhTreo" localSheetId="3">#REF!</definedName>
    <definedName name="NhTreo" localSheetId="1">#REF!</definedName>
    <definedName name="NhTreo">#REF!</definedName>
    <definedName name="nhua" localSheetId="3">#REF!</definedName>
    <definedName name="nhua" localSheetId="1">#REF!</definedName>
    <definedName name="nhua">#REF!</definedName>
    <definedName name="nm" localSheetId="0" hidden="1">{"'Sheet1'!$L$16"}</definedName>
    <definedName name="nm" hidden="1">{"'Sheet1'!$L$16"}</definedName>
    <definedName name="nn">1.15</definedName>
    <definedName name="No" localSheetId="3">#REF!</definedName>
    <definedName name="No" localSheetId="1">#REF!</definedName>
    <definedName name="No">#REF!</definedName>
    <definedName name="NOCU" localSheetId="3">#REF!</definedName>
    <definedName name="NOCU" localSheetId="1">#REF!</definedName>
    <definedName name="NOCU">#REF!</definedName>
    <definedName name="NS" localSheetId="3">#REF!</definedName>
    <definedName name="NS" localSheetId="1">#REF!</definedName>
    <definedName name="NS">#REF!</definedName>
    <definedName name="NvsASD">"V1995-11-24"</definedName>
    <definedName name="NvsAutoDrillOk">"VN"</definedName>
    <definedName name="NvsElapsedTime">0.000677083335176576</definedName>
    <definedName name="NvsEndTime">35083.4744131944</definedName>
    <definedName name="NvsInstSpec">"%"</definedName>
    <definedName name="NvsLayoutType">"M3"</definedName>
    <definedName name="NvsNplSpec">"%,X,RZF..,CZF.."</definedName>
    <definedName name="NvsPanelEffdt">"V1995-11-24"</definedName>
    <definedName name="NvsPanelSetid">"VMODEL"</definedName>
    <definedName name="NvsReqBU">"VMODEL"</definedName>
    <definedName name="NvsReqBUOnly">"VN"</definedName>
    <definedName name="NvsTransLed">"VN"</definedName>
    <definedName name="NvsTreeASD">"V1995-11-24"</definedName>
    <definedName name="NvsValTbl.OFFCENTER_CHG">"OFFDEPT_CHG_VAL"</definedName>
    <definedName name="p2_" localSheetId="3">#REF!</definedName>
    <definedName name="p2_" localSheetId="1">#REF!</definedName>
    <definedName name="p2_">#REF!</definedName>
    <definedName name="PA" localSheetId="3">#REF!</definedName>
    <definedName name="PA" localSheetId="1">#REF!</definedName>
    <definedName name="PA">#REF!</definedName>
    <definedName name="Phuongthuc" comment="Phương thức lựa chọn nhà thầu" localSheetId="3">#REF!</definedName>
    <definedName name="Phuongthuc" comment="Phương thức lựa chọn nhà thầu" localSheetId="1">#REF!</definedName>
    <definedName name="Phuongthuc" comment="Phương thức lựa chọn nhà thầu">#REF!</definedName>
    <definedName name="PK" localSheetId="3">#REF!</definedName>
    <definedName name="PK" localSheetId="1">#REF!</definedName>
    <definedName name="PK">#REF!</definedName>
    <definedName name="PRICE" localSheetId="3">#REF!</definedName>
    <definedName name="PRICE" localSheetId="1">#REF!</definedName>
    <definedName name="PRICE">#REF!</definedName>
    <definedName name="PRICE1" localSheetId="3">#REF!</definedName>
    <definedName name="PRICE1" localSheetId="1">#REF!</definedName>
    <definedName name="PRICE1">#REF!</definedName>
    <definedName name="_xlnm.Print_Area" localSheetId="0">'PL1.1 ML2027-2028'!$A$1:$I$2184</definedName>
    <definedName name="_xlnm.Print_Area" localSheetId="3">#REF!</definedName>
    <definedName name="_xlnm.Print_Area" localSheetId="1">#REF!</definedName>
    <definedName name="_xlnm.Print_Area">#REF!</definedName>
    <definedName name="PRINT_AREA_MI" localSheetId="3">#REF!</definedName>
    <definedName name="PRINT_AREA_MI" localSheetId="1">#REF!</definedName>
    <definedName name="PRINT_AREA_MI">#REF!</definedName>
    <definedName name="_xlnm.Print_Titles" localSheetId="0">'PL1.1 ML2027-2028'!$4:$7</definedName>
    <definedName name="_xlnm.Print_Titles">#N/A</definedName>
    <definedName name="PRINT_TITLES_MI" localSheetId="3">#REF!</definedName>
    <definedName name="PRINT_TITLES_MI" localSheetId="1">#REF!</definedName>
    <definedName name="PRINT_TITLES_MI">#REF!</definedName>
    <definedName name="PRINTA" localSheetId="3">#REF!</definedName>
    <definedName name="PRINTA" localSheetId="1">#REF!</definedName>
    <definedName name="PRINTA">#REF!</definedName>
    <definedName name="PRINTB" localSheetId="3">#REF!</definedName>
    <definedName name="PRINTB" localSheetId="1">#REF!</definedName>
    <definedName name="PRINTB">#REF!</definedName>
    <definedName name="PRINTC" localSheetId="3">#REF!</definedName>
    <definedName name="PRINTC" localSheetId="1">#REF!</definedName>
    <definedName name="PRINTC">#REF!</definedName>
    <definedName name="PROPOSAL" localSheetId="3">#REF!</definedName>
    <definedName name="PROPOSAL" localSheetId="1">#REF!</definedName>
    <definedName name="PROPOSAL">#REF!</definedName>
    <definedName name="PSCO_CD" localSheetId="3">#REF!</definedName>
    <definedName name="PSCO_CD" localSheetId="1">#REF!</definedName>
    <definedName name="PSCO_CD">#REF!</definedName>
    <definedName name="PSNO_CD" localSheetId="3">#REF!</definedName>
    <definedName name="PSNO_CD" localSheetId="1">#REF!</definedName>
    <definedName name="PSNO_CD">#REF!</definedName>
    <definedName name="pt" localSheetId="3">#REF!</definedName>
    <definedName name="pt" localSheetId="1">#REF!</definedName>
    <definedName name="pt">#REF!</definedName>
    <definedName name="PT_Duong" localSheetId="3">#REF!</definedName>
    <definedName name="PT_Duong" localSheetId="1">#REF!</definedName>
    <definedName name="PT_Duong">#REF!</definedName>
    <definedName name="ptdg" localSheetId="3">#REF!</definedName>
    <definedName name="ptdg" localSheetId="1">#REF!</definedName>
    <definedName name="ptdg">#REF!</definedName>
    <definedName name="PTDG_cau" localSheetId="3">#REF!</definedName>
    <definedName name="PTDG_cau" localSheetId="1">#REF!</definedName>
    <definedName name="PTDG_cau">#REF!</definedName>
    <definedName name="ptdg_cong" localSheetId="3">#REF!</definedName>
    <definedName name="ptdg_cong" localSheetId="1">#REF!</definedName>
    <definedName name="ptdg_cong">#REF!</definedName>
    <definedName name="ptdg_duong" localSheetId="3">#REF!</definedName>
    <definedName name="ptdg_duong" localSheetId="1">#REF!</definedName>
    <definedName name="ptdg_duong">#REF!</definedName>
    <definedName name="qh" localSheetId="3">#REF!</definedName>
    <definedName name="qh" localSheetId="1">#REF!</definedName>
    <definedName name="qh">#REF!</definedName>
    <definedName name="ql" localSheetId="3">#REF!</definedName>
    <definedName name="ql" localSheetId="1">#REF!</definedName>
    <definedName name="ql">#REF!</definedName>
    <definedName name="qp" localSheetId="3">#REF!</definedName>
    <definedName name="qp" localSheetId="1">#REF!</definedName>
    <definedName name="qp">#REF!</definedName>
    <definedName name="qtebt" localSheetId="3">#REF!</definedName>
    <definedName name="qtebt" localSheetId="1">#REF!</definedName>
    <definedName name="qtebt">#REF!</definedName>
    <definedName name="Query1" localSheetId="3">#REF!</definedName>
    <definedName name="Query1" localSheetId="1">#REF!</definedName>
    <definedName name="Query1">#REF!</definedName>
    <definedName name="qx" localSheetId="3">#REF!</definedName>
    <definedName name="qx" localSheetId="1">#REF!</definedName>
    <definedName name="qx">#REF!</definedName>
    <definedName name="qy" localSheetId="3">#REF!</definedName>
    <definedName name="qy" localSheetId="1">#REF!</definedName>
    <definedName name="qy">#REF!</definedName>
    <definedName name="qzqzqz10" localSheetId="3">#REF!</definedName>
    <definedName name="qzqzqz10" localSheetId="1">#REF!</definedName>
    <definedName name="qzqzqz10">#REF!</definedName>
    <definedName name="qzqzqz11" localSheetId="3">#REF!</definedName>
    <definedName name="qzqzqz11" localSheetId="1">#REF!</definedName>
    <definedName name="qzqzqz11">#REF!</definedName>
    <definedName name="qzqzqz12" localSheetId="3">#REF!</definedName>
    <definedName name="qzqzqz12" localSheetId="1">#REF!</definedName>
    <definedName name="qzqzqz12">#REF!</definedName>
    <definedName name="qzqzqz13" localSheetId="3">#REF!</definedName>
    <definedName name="qzqzqz13" localSheetId="1">#REF!</definedName>
    <definedName name="qzqzqz13">#REF!</definedName>
    <definedName name="qzqzqz14" localSheetId="3">#REF!</definedName>
    <definedName name="qzqzqz14" localSheetId="1">#REF!</definedName>
    <definedName name="qzqzqz14">#REF!</definedName>
    <definedName name="qzqzqz15" localSheetId="3">#REF!</definedName>
    <definedName name="qzqzqz15" localSheetId="1">#REF!</definedName>
    <definedName name="qzqzqz15">#REF!</definedName>
    <definedName name="qzqzqz16" localSheetId="3">#REF!</definedName>
    <definedName name="qzqzqz16" localSheetId="1">#REF!</definedName>
    <definedName name="qzqzqz16">#REF!</definedName>
    <definedName name="qzqzqz17" localSheetId="3">#REF!</definedName>
    <definedName name="qzqzqz17" localSheetId="1">#REF!</definedName>
    <definedName name="qzqzqz17">#REF!</definedName>
    <definedName name="qzqzqz18" localSheetId="3">#REF!</definedName>
    <definedName name="qzqzqz18" localSheetId="1">#REF!</definedName>
    <definedName name="qzqzqz18">#REF!</definedName>
    <definedName name="qzqzqz19" localSheetId="3">#REF!</definedName>
    <definedName name="qzqzqz19" localSheetId="1">#REF!</definedName>
    <definedName name="qzqzqz19">#REF!</definedName>
    <definedName name="qzqzqz20" localSheetId="3">#REF!</definedName>
    <definedName name="qzqzqz20" localSheetId="1">#REF!</definedName>
    <definedName name="qzqzqz20">#REF!</definedName>
    <definedName name="qzqzqz21" localSheetId="3">#REF!</definedName>
    <definedName name="qzqzqz21" localSheetId="1">#REF!</definedName>
    <definedName name="qzqzqz21">#REF!</definedName>
    <definedName name="qzqzqz22" localSheetId="3">#REF!</definedName>
    <definedName name="qzqzqz22" localSheetId="1">#REF!</definedName>
    <definedName name="qzqzqz22">#REF!</definedName>
    <definedName name="qzqzqz23" localSheetId="3">#REF!</definedName>
    <definedName name="qzqzqz23" localSheetId="1">#REF!</definedName>
    <definedName name="qzqzqz23">#REF!</definedName>
    <definedName name="qzqzqz24" localSheetId="3">#REF!</definedName>
    <definedName name="qzqzqz24" localSheetId="1">#REF!</definedName>
    <definedName name="qzqzqz24">#REF!</definedName>
    <definedName name="qzqzqz25" localSheetId="3">#REF!</definedName>
    <definedName name="qzqzqz25" localSheetId="1">#REF!</definedName>
    <definedName name="qzqzqz25">#REF!</definedName>
    <definedName name="qzqzqz26" localSheetId="3">#REF!</definedName>
    <definedName name="qzqzqz26" localSheetId="1">#REF!</definedName>
    <definedName name="qzqzqz26">#REF!</definedName>
    <definedName name="qzqzqz27" localSheetId="3">#REF!</definedName>
    <definedName name="qzqzqz27" localSheetId="1">#REF!</definedName>
    <definedName name="qzqzqz27">#REF!</definedName>
    <definedName name="qzqzqz28" localSheetId="3">#REF!</definedName>
    <definedName name="qzqzqz28" localSheetId="1">#REF!</definedName>
    <definedName name="qzqzqz28">#REF!</definedName>
    <definedName name="qzqzqz29" localSheetId="3">#REF!</definedName>
    <definedName name="qzqzqz29" localSheetId="1">#REF!</definedName>
    <definedName name="qzqzqz29">#REF!</definedName>
    <definedName name="qzqzqz30" localSheetId="3">#REF!</definedName>
    <definedName name="qzqzqz30" localSheetId="1">#REF!</definedName>
    <definedName name="qzqzqz30">#REF!</definedName>
    <definedName name="qzqzqz31" localSheetId="3">#REF!</definedName>
    <definedName name="qzqzqz31" localSheetId="1">#REF!</definedName>
    <definedName name="qzqzqz31">#REF!</definedName>
    <definedName name="qzqzqz32" localSheetId="3">#REF!</definedName>
    <definedName name="qzqzqz32" localSheetId="1">#REF!</definedName>
    <definedName name="qzqzqz32">#REF!</definedName>
    <definedName name="qzqzqz6" localSheetId="3">#REF!</definedName>
    <definedName name="qzqzqz6" localSheetId="1">#REF!</definedName>
    <definedName name="qzqzqz6">#REF!</definedName>
    <definedName name="qzqzqz7" localSheetId="3">#REF!</definedName>
    <definedName name="qzqzqz7" localSheetId="1">#REF!</definedName>
    <definedName name="qzqzqz7">#REF!</definedName>
    <definedName name="qzqzqz8" localSheetId="3">#REF!</definedName>
    <definedName name="qzqzqz8" localSheetId="1">#REF!</definedName>
    <definedName name="qzqzqz8">#REF!</definedName>
    <definedName name="qzqzqz9" localSheetId="3">#REF!</definedName>
    <definedName name="qzqzqz9" localSheetId="1">#REF!</definedName>
    <definedName name="qzqzqz9">#REF!</definedName>
    <definedName name="r_" localSheetId="3">#REF!</definedName>
    <definedName name="r_" localSheetId="1">#REF!</definedName>
    <definedName name="r_">#REF!</definedName>
    <definedName name="rang1" localSheetId="3">#REF!</definedName>
    <definedName name="rang1" localSheetId="1">#REF!</definedName>
    <definedName name="rang1">#REF!</definedName>
    <definedName name="range" localSheetId="3">#REF!</definedName>
    <definedName name="range" localSheetId="1">#REF!</definedName>
    <definedName name="range">#REF!</definedName>
    <definedName name="Rate">14563</definedName>
    <definedName name="re" hidden="1">{"'Sheet1'!$L$16"}</definedName>
    <definedName name="RECOUT" localSheetId="3">#REF!</definedName>
    <definedName name="RECOUT" localSheetId="1">#REF!</definedName>
    <definedName name="RECOUT">#REF!</definedName>
    <definedName name="REPORT01" localSheetId="3">#REF!</definedName>
    <definedName name="REPORT01" localSheetId="1">#REF!</definedName>
    <definedName name="REPORT01">#REF!</definedName>
    <definedName name="REPORT02" localSheetId="3">#REF!</definedName>
    <definedName name="REPORT02" localSheetId="1">#REF!</definedName>
    <definedName name="REPORT02">#REF!</definedName>
    <definedName name="RFP003A" localSheetId="3">#REF!</definedName>
    <definedName name="RFP003A" localSheetId="1">#REF!</definedName>
    <definedName name="RFP003A">#REF!</definedName>
    <definedName name="RFP003B" localSheetId="3">#REF!</definedName>
    <definedName name="RFP003B" localSheetId="1">#REF!</definedName>
    <definedName name="RFP003B">#REF!</definedName>
    <definedName name="RFP003C" localSheetId="3">#REF!</definedName>
    <definedName name="RFP003C" localSheetId="1">#REF!</definedName>
    <definedName name="RFP003C">#REF!</definedName>
    <definedName name="RFP003D" localSheetId="3">#REF!</definedName>
    <definedName name="RFP003D" localSheetId="1">#REF!</definedName>
    <definedName name="RFP003D">#REF!</definedName>
    <definedName name="RFP003E" localSheetId="3">#REF!</definedName>
    <definedName name="RFP003E" localSheetId="1">#REF!</definedName>
    <definedName name="RFP003E">#REF!</definedName>
    <definedName name="RFP003F" localSheetId="3">#REF!</definedName>
    <definedName name="RFP003F" localSheetId="1">#REF!</definedName>
    <definedName name="RFP003F">#REF!</definedName>
    <definedName name="rnp">32</definedName>
    <definedName name="s1_" localSheetId="3">#REF!</definedName>
    <definedName name="s1_" localSheetId="1">#REF!</definedName>
    <definedName name="s1_">#REF!</definedName>
    <definedName name="s2_" localSheetId="3">#REF!</definedName>
    <definedName name="s2_" localSheetId="1">#REF!</definedName>
    <definedName name="s2_">#REF!</definedName>
    <definedName name="s3_" localSheetId="3">#REF!</definedName>
    <definedName name="s3_" localSheetId="1">#REF!</definedName>
    <definedName name="s3_">#REF!</definedName>
    <definedName name="s4_" localSheetId="3">#REF!</definedName>
    <definedName name="s4_" localSheetId="1">#REF!</definedName>
    <definedName name="s4_">#REF!</definedName>
    <definedName name="SCCR" localSheetId="3">#REF!</definedName>
    <definedName name="SCCR" localSheetId="1">#REF!</definedName>
    <definedName name="SCCR">#REF!</definedName>
    <definedName name="scdk" localSheetId="3">#REF!</definedName>
    <definedName name="scdk" localSheetId="1">#REF!</definedName>
    <definedName name="scdk">#REF!</definedName>
    <definedName name="scdl" localSheetId="3">#REF!</definedName>
    <definedName name="scdl" localSheetId="1">#REF!</definedName>
    <definedName name="scdl">#REF!</definedName>
    <definedName name="SCDT" localSheetId="3">#REF!</definedName>
    <definedName name="SCDT" localSheetId="1">#REF!</definedName>
    <definedName name="SCDT">#REF!</definedName>
    <definedName name="SCH" localSheetId="3">#REF!</definedName>
    <definedName name="SCH" localSheetId="1">#REF!</definedName>
    <definedName name="SCH">#REF!</definedName>
    <definedName name="sctdl" localSheetId="3">#REF!</definedName>
    <definedName name="sctdl" localSheetId="1">#REF!</definedName>
    <definedName name="sctdl">#REF!</definedName>
    <definedName name="sctqdl" localSheetId="3">#REF!</definedName>
    <definedName name="sctqdl" localSheetId="1">#REF!</definedName>
    <definedName name="sctqdl">#REF!</definedName>
    <definedName name="SDemand02" localSheetId="3">#REF!</definedName>
    <definedName name="SDemand02" localSheetId="1">#REF!</definedName>
    <definedName name="SDemand02">#REF!</definedName>
    <definedName name="SDemand03" localSheetId="3">#REF!</definedName>
    <definedName name="SDemand03" localSheetId="1">#REF!</definedName>
    <definedName name="SDemand03">#REF!</definedName>
    <definedName name="sencount" hidden="1">1</definedName>
    <definedName name="Shoes" localSheetId="3">#REF!</definedName>
    <definedName name="Shoes" localSheetId="1">#REF!</definedName>
    <definedName name="Shoes">#REF!</definedName>
    <definedName name="SIZE" localSheetId="3">#REF!</definedName>
    <definedName name="SIZE" localSheetId="1">#REF!</definedName>
    <definedName name="SIZE">#REF!</definedName>
    <definedName name="SL" localSheetId="3">#REF!</definedName>
    <definedName name="SL" localSheetId="1">#REF!</definedName>
    <definedName name="SL">#REF!</definedName>
    <definedName name="slk" localSheetId="3">#REF!</definedName>
    <definedName name="slk" localSheetId="1">#REF!</definedName>
    <definedName name="slk">#REF!</definedName>
    <definedName name="sll" localSheetId="3">#REF!</definedName>
    <definedName name="sll" localSheetId="1">#REF!</definedName>
    <definedName name="sll">#REF!</definedName>
    <definedName name="SOCTU_NK_BH" localSheetId="3">#REF!</definedName>
    <definedName name="SOCTU_NK_BH" localSheetId="1">#REF!</definedName>
    <definedName name="SOCTU_NK_BH">#REF!</definedName>
    <definedName name="Soi" localSheetId="3">#REF!</definedName>
    <definedName name="Soi" localSheetId="1">#REF!</definedName>
    <definedName name="Soi">#REF!</definedName>
    <definedName name="SORT" localSheetId="3">#REF!</definedName>
    <definedName name="SORT" localSheetId="1">#REF!</definedName>
    <definedName name="SORT">#REF!</definedName>
    <definedName name="SOTIEN_B" localSheetId="3">#REF!</definedName>
    <definedName name="SOTIEN_B" localSheetId="1">#REF!</definedName>
    <definedName name="SOTIEN_B">#REF!</definedName>
    <definedName name="SOTIEN_CO_NK" localSheetId="3">#REF!</definedName>
    <definedName name="SOTIEN_CO_NK" localSheetId="1">#REF!</definedName>
    <definedName name="SOTIEN_CO_NK">#REF!</definedName>
    <definedName name="SOTIEN_NO_NK" localSheetId="3">#REF!</definedName>
    <definedName name="SOTIEN_NO_NK" localSheetId="1">#REF!</definedName>
    <definedName name="SOTIEN_NO_NK">#REF!</definedName>
    <definedName name="SPEC" localSheetId="3">#REF!</definedName>
    <definedName name="SPEC" localSheetId="1">#REF!</definedName>
    <definedName name="SPEC">#REF!</definedName>
    <definedName name="SPECSUMMARY" localSheetId="3">#REF!</definedName>
    <definedName name="SPECSUMMARY" localSheetId="1">#REF!</definedName>
    <definedName name="SPECSUMMARY">#REF!</definedName>
    <definedName name="spk" localSheetId="3">#REF!</definedName>
    <definedName name="spk" localSheetId="1">#REF!</definedName>
    <definedName name="spk">#REF!</definedName>
    <definedName name="SS" localSheetId="3">#REF!</definedName>
    <definedName name="SS" localSheetId="1">#REF!</definedName>
    <definedName name="SS">#REF!</definedName>
    <definedName name="Start_1" localSheetId="3">#REF!</definedName>
    <definedName name="Start_1" localSheetId="1">#REF!</definedName>
    <definedName name="Start_1">#REF!</definedName>
    <definedName name="Start_10" localSheetId="3">#REF!</definedName>
    <definedName name="Start_10" localSheetId="1">#REF!</definedName>
    <definedName name="Start_10">#REF!</definedName>
    <definedName name="Start_11" localSheetId="3">#REF!</definedName>
    <definedName name="Start_11" localSheetId="1">#REF!</definedName>
    <definedName name="Start_11">#REF!</definedName>
    <definedName name="Start_12" localSheetId="3">#REF!</definedName>
    <definedName name="Start_12" localSheetId="1">#REF!</definedName>
    <definedName name="Start_12">#REF!</definedName>
    <definedName name="Start_13" localSheetId="3">#REF!</definedName>
    <definedName name="Start_13" localSheetId="1">#REF!</definedName>
    <definedName name="Start_13">#REF!</definedName>
    <definedName name="Start_2" localSheetId="3">#REF!</definedName>
    <definedName name="Start_2" localSheetId="1">#REF!</definedName>
    <definedName name="Start_2">#REF!</definedName>
    <definedName name="Start_3" localSheetId="3">#REF!</definedName>
    <definedName name="Start_3" localSheetId="1">#REF!</definedName>
    <definedName name="Start_3">#REF!</definedName>
    <definedName name="Start_4" localSheetId="3">#REF!</definedName>
    <definedName name="Start_4" localSheetId="1">#REF!</definedName>
    <definedName name="Start_4">#REF!</definedName>
    <definedName name="Start_5" localSheetId="3">#REF!</definedName>
    <definedName name="Start_5" localSheetId="1">#REF!</definedName>
    <definedName name="Start_5">#REF!</definedName>
    <definedName name="Start_6" localSheetId="3">#REF!</definedName>
    <definedName name="Start_6" localSheetId="1">#REF!</definedName>
    <definedName name="Start_6">#REF!</definedName>
    <definedName name="Start_7" localSheetId="3">#REF!</definedName>
    <definedName name="Start_7" localSheetId="1">#REF!</definedName>
    <definedName name="Start_7">#REF!</definedName>
    <definedName name="Start_8" localSheetId="3">#REF!</definedName>
    <definedName name="Start_8" localSheetId="1">#REF!</definedName>
    <definedName name="Start_8">#REF!</definedName>
    <definedName name="Start_9" localSheetId="3">#REF!</definedName>
    <definedName name="Start_9" localSheetId="1">#REF!</definedName>
    <definedName name="Start_9">#REF!</definedName>
    <definedName name="Status" localSheetId="3">#REF!</definedName>
    <definedName name="Status" localSheetId="1">#REF!</definedName>
    <definedName name="Status">#REF!</definedName>
    <definedName name="std." localSheetId="3">#REF!</definedName>
    <definedName name="std." localSheetId="1">#REF!</definedName>
    <definedName name="std.">#REF!</definedName>
    <definedName name="stop" localSheetId="0" hidden="1">{0}</definedName>
    <definedName name="stop" hidden="1">{0}</definedName>
    <definedName name="STT_NC" localSheetId="3">#REF!</definedName>
    <definedName name="STT_NC" localSheetId="1">#REF!</definedName>
    <definedName name="STT_NC">#REF!</definedName>
    <definedName name="STT_NCT" localSheetId="3">#REF!</definedName>
    <definedName name="STT_NCT" localSheetId="1">#REF!</definedName>
    <definedName name="STT_NCT">#REF!</definedName>
    <definedName name="STT_PH" localSheetId="3">#REF!</definedName>
    <definedName name="STT_PH" localSheetId="1">#REF!</definedName>
    <definedName name="STT_PH">#REF!</definedName>
    <definedName name="SU" localSheetId="3">#REF!</definedName>
    <definedName name="SU" localSheetId="1">#REF!</definedName>
    <definedName name="SU">#REF!</definedName>
    <definedName name="sua" localSheetId="0" hidden="1">{"'Sheet1'!$L$16"}</definedName>
    <definedName name="sua" hidden="1">{"'Sheet1'!$L$16"}</definedName>
    <definedName name="SUM" localSheetId="3">#REF!,#REF!</definedName>
    <definedName name="SUM" localSheetId="1">#REF!,#REF!</definedName>
    <definedName name="SUM">#REF!,#REF!</definedName>
    <definedName name="SUMMARY" localSheetId="3">#REF!</definedName>
    <definedName name="SUMMARY" localSheetId="1">#REF!</definedName>
    <definedName name="SUMMARY">#REF!</definedName>
    <definedName name="T" localSheetId="3">#REF!</definedName>
    <definedName name="T" localSheetId="1">#REF!</definedName>
    <definedName name="T">#REF!</definedName>
    <definedName name="TAMUNG" localSheetId="3">#REF!</definedName>
    <definedName name="TAMUNG" localSheetId="1">#REF!</definedName>
    <definedName name="TAMUNG">#REF!</definedName>
    <definedName name="TaxTV">10%</definedName>
    <definedName name="TaxXL">10%</definedName>
    <definedName name="TBA" localSheetId="3">#REF!</definedName>
    <definedName name="TBA" localSheetId="1">#REF!</definedName>
    <definedName name="TBA">#REF!</definedName>
    <definedName name="tc" localSheetId="3">#REF!</definedName>
    <definedName name="tc" localSheetId="1">#REF!</definedName>
    <definedName name="tc">#REF!</definedName>
    <definedName name="TD" localSheetId="3">#REF!</definedName>
    <definedName name="TD" localSheetId="1">#REF!</definedName>
    <definedName name="TD">#REF!</definedName>
    <definedName name="tdo" localSheetId="3">#REF!</definedName>
    <definedName name="tdo" localSheetId="1">#REF!</definedName>
    <definedName name="tdo">#REF!</definedName>
    <definedName name="tdt" localSheetId="3">#REF!</definedName>
    <definedName name="tdt" localSheetId="1">#REF!</definedName>
    <definedName name="tdt">#REF!</definedName>
    <definedName name="TenNgam" localSheetId="3">#REF!</definedName>
    <definedName name="TenNgam" localSheetId="1">#REF!</definedName>
    <definedName name="TenNgam">#REF!</definedName>
    <definedName name="TenTreo" localSheetId="3">#REF!</definedName>
    <definedName name="TenTreo" localSheetId="1">#REF!</definedName>
    <definedName name="TenTreo">#REF!</definedName>
    <definedName name="ter" localSheetId="3">#REF!</definedName>
    <definedName name="ter" localSheetId="1">#REF!</definedName>
    <definedName name="ter">#REF!</definedName>
    <definedName name="THCTO" localSheetId="3">#REF!</definedName>
    <definedName name="THCTO" localSheetId="1">#REF!</definedName>
    <definedName name="THCTO">#REF!</definedName>
    <definedName name="thdt" localSheetId="3">#REF!</definedName>
    <definedName name="thdt" localSheetId="1">#REF!</definedName>
    <definedName name="thdt">#REF!</definedName>
    <definedName name="thepma">30408</definedName>
    <definedName name="thepmaBL">34500</definedName>
    <definedName name="thepmacl">34500</definedName>
    <definedName name="THI" localSheetId="3">#REF!</definedName>
    <definedName name="THI" localSheetId="1">#REF!</definedName>
    <definedName name="THI">#REF!</definedName>
    <definedName name="thinh" localSheetId="3">#REF!</definedName>
    <definedName name="thinh" localSheetId="1">#REF!</definedName>
    <definedName name="thinh">#REF!</definedName>
    <definedName name="Thoi_gian_BC_KT" comment="Thời gian từ ngày ra b/c KT tới ngày được hội đồng thông qua KQ kỹ thuật" localSheetId="3">#REF!</definedName>
    <definedName name="Thoi_gian_BC_KT" comment="Thời gian từ ngày ra b/c KT tới ngày được hội đồng thông qua KQ kỹ thuật" localSheetId="1">#REF!</definedName>
    <definedName name="Thoi_gian_BC_KT" comment="Thời gian từ ngày ra b/c KT tới ngày được hội đồng thông qua KQ kỹ thuật">#REF!</definedName>
    <definedName name="Thoi_gian_D.G_KT" comment="Thời gian hoàn thành đánh giá HSĐX kỹ thuật từ ngày đóng thầu tới ngày TCG trình báo cáo KQ đánh giá KT lên HĐ" localSheetId="3">#REF!</definedName>
    <definedName name="Thoi_gian_D.G_KT" comment="Thời gian hoàn thành đánh giá HSĐX kỹ thuật từ ngày đóng thầu tới ngày TCG trình báo cáo KQ đánh giá KT lên HĐ" localSheetId="1">#REF!</definedName>
    <definedName name="Thoi_gian_D.G_KT" comment="Thời gian hoàn thành đánh giá HSĐX kỹ thuật từ ngày đóng thầu tới ngày TCG trình báo cáo KQ đánh giá KT lên HĐ">#REF!</definedName>
    <definedName name="Thoi_gian_D.G_tong.hop" localSheetId="3">#REF!</definedName>
    <definedName name="Thoi_gian_D.G_tong.hop" localSheetId="1">#REF!</definedName>
    <definedName name="Thoi_gian_D.G_tong.hop">#REF!</definedName>
    <definedName name="Thoi_gian_HT_B.C" comment="Thời gian hoàn thành báo cáo đánh giá tài chính (2 túi HS) hoặc hoàn thành báo cáo KQ đánh giá HSDT" localSheetId="3">#REF!</definedName>
    <definedName name="Thoi_gian_HT_B.C" comment="Thời gian hoàn thành báo cáo đánh giá tài chính (2 túi HS) hoặc hoàn thành báo cáo KQ đánh giá HSDT" localSheetId="1">#REF!</definedName>
    <definedName name="Thoi_gian_HT_B.C" comment="Thời gian hoàn thành báo cáo đánh giá tài chính (2 túi HS) hoặc hoàn thành báo cáo KQ đánh giá HSDT">#REF!</definedName>
    <definedName name="Thoi_gian_HT_D.G" comment="Thời gian hoàn thành đánh giá HSĐX tài chính (2 túi HS) hoặc thời gian hoàn thành đánh giá HSDT (1 túi HS)" localSheetId="3">#REF!</definedName>
    <definedName name="Thoi_gian_HT_D.G" comment="Thời gian hoàn thành đánh giá HSĐX tài chính (2 túi HS) hoặc thời gian hoàn thành đánh giá HSDT (1 túi HS)" localSheetId="1">#REF!</definedName>
    <definedName name="Thoi_gian_HT_D.G" comment="Thời gian hoàn thành đánh giá HSĐX tài chính (2 túi HS) hoặc thời gian hoàn thành đánh giá HSDT (1 túi HS)">#REF!</definedName>
    <definedName name="Thu__GTGT" localSheetId="3">#REF!</definedName>
    <definedName name="Thu__GTGT" localSheetId="1">#REF!</definedName>
    <definedName name="Thu__GTGT">#REF!</definedName>
    <definedName name="THUE_GTGT" localSheetId="3">#REF!</definedName>
    <definedName name="THUE_GTGT" localSheetId="1">#REF!</definedName>
    <definedName name="THUE_GTGT">#REF!</definedName>
    <definedName name="THUONG" localSheetId="3">#REF!</definedName>
    <definedName name="THUONG" localSheetId="1">#REF!</definedName>
    <definedName name="THUONG">#REF!</definedName>
    <definedName name="Tien" localSheetId="3">#REF!</definedName>
    <definedName name="Tien" localSheetId="1">#REF!</definedName>
    <definedName name="Tien">#REF!</definedName>
    <definedName name="Tim_Lan_Xuat_Hien" localSheetId="3">#REF!</definedName>
    <definedName name="Tim_Lan_Xuat_Hien" localSheetId="1">#REF!</definedName>
    <definedName name="Tim_Lan_Xuat_Hien">#REF!</definedName>
    <definedName name="tim_xuat_hien" localSheetId="3">#REF!</definedName>
    <definedName name="tim_xuat_hien" localSheetId="1">#REF!</definedName>
    <definedName name="tim_xuat_hien">#REF!</definedName>
    <definedName name="TITAN" localSheetId="3">#REF!</definedName>
    <definedName name="TITAN" localSheetId="1">#REF!</definedName>
    <definedName name="TITAN">#REF!</definedName>
    <definedName name="tk">#N/A</definedName>
    <definedName name="tke">#N/A</definedName>
    <definedName name="TKNO_NK" localSheetId="3">#REF!</definedName>
    <definedName name="TKNO_NK" localSheetId="1">#REF!</definedName>
    <definedName name="TKNO_NK">#REF!</definedName>
    <definedName name="tkt" localSheetId="0" hidden="1">{"'Sheet1'!$L$16"}</definedName>
    <definedName name="tkt" hidden="1">{"'Sheet1'!$L$16"}</definedName>
    <definedName name="Tle" localSheetId="3">#REF!</definedName>
    <definedName name="Tle" localSheetId="1">#REF!</definedName>
    <definedName name="Tle">#REF!</definedName>
    <definedName name="TN">"$A$1:$I$11"</definedName>
    <definedName name="tnewry" localSheetId="3">#REF!</definedName>
    <definedName name="tnewry" localSheetId="1">#REF!</definedName>
    <definedName name="tnewry">#REF!</definedName>
    <definedName name="ton" localSheetId="3">#REF!</definedName>
    <definedName name="ton" localSheetId="1">#REF!</definedName>
    <definedName name="ton">#REF!</definedName>
    <definedName name="TOT" localSheetId="3">#REF!</definedName>
    <definedName name="TOT" localSheetId="1">#REF!</definedName>
    <definedName name="TOT">#REF!</definedName>
    <definedName name="TPLRP" localSheetId="3">#REF!</definedName>
    <definedName name="TPLRP" localSheetId="1">#REF!</definedName>
    <definedName name="TPLRP">#REF!</definedName>
    <definedName name="Tra_don_gia_KS" localSheetId="3">#REF!</definedName>
    <definedName name="Tra_don_gia_KS" localSheetId="1">#REF!</definedName>
    <definedName name="Tra_don_gia_KS">#REF!</definedName>
    <definedName name="Tra_DTCT" localSheetId="3">#REF!</definedName>
    <definedName name="Tra_DTCT" localSheetId="1">#REF!</definedName>
    <definedName name="Tra_DTCT">#REF!</definedName>
    <definedName name="Tra_tim_hang_mucPT_trung" localSheetId="3">#REF!</definedName>
    <definedName name="Tra_tim_hang_mucPT_trung" localSheetId="1">#REF!</definedName>
    <definedName name="Tra_tim_hang_mucPT_trung">#REF!</definedName>
    <definedName name="Tra_TL" localSheetId="3">#REF!</definedName>
    <definedName name="Tra_TL" localSheetId="1">#REF!</definedName>
    <definedName name="Tra_TL">#REF!</definedName>
    <definedName name="Tra_ty_le2" localSheetId="3">#REF!</definedName>
    <definedName name="Tra_ty_le2" localSheetId="1">#REF!</definedName>
    <definedName name="Tra_ty_le2">#REF!</definedName>
    <definedName name="Tra_ty_le3" localSheetId="3">#REF!</definedName>
    <definedName name="Tra_ty_le3" localSheetId="1">#REF!</definedName>
    <definedName name="Tra_ty_le3">#REF!</definedName>
    <definedName name="Tra_ty_le4" localSheetId="3">#REF!</definedName>
    <definedName name="Tra_ty_le4" localSheetId="1">#REF!</definedName>
    <definedName name="Tra_ty_le4">#REF!</definedName>
    <definedName name="Tra_ty_le5" localSheetId="3">#REF!</definedName>
    <definedName name="Tra_ty_le5" localSheetId="1">#REF!</definedName>
    <definedName name="Tra_ty_le5">#REF!</definedName>
    <definedName name="TRA_VAT_LIEU" localSheetId="3">#REF!</definedName>
    <definedName name="TRA_VAT_LIEU" localSheetId="1">#REF!</definedName>
    <definedName name="TRA_VAT_LIEU">#REF!</definedName>
    <definedName name="TRA_VL" localSheetId="3">#REF!</definedName>
    <definedName name="TRA_VL" localSheetId="1">#REF!</definedName>
    <definedName name="TRA_VL">#REF!</definedName>
    <definedName name="TRADE2" localSheetId="3">#REF!</definedName>
    <definedName name="TRADE2" localSheetId="1">#REF!</definedName>
    <definedName name="TRADE2">#REF!</definedName>
    <definedName name="TRAMTON" localSheetId="0" hidden="1">{"'Sheet1'!$L$16"}</definedName>
    <definedName name="TRAMTON" hidden="1">{"'Sheet1'!$L$16"}</definedName>
    <definedName name="Trang.thai.goi.thau" comment="Trạng thái hiện tại của các gói thầu" localSheetId="3">#REF!</definedName>
    <definedName name="Trang.thai.goi.thau" comment="Trạng thái hiện tại của các gói thầu" localSheetId="1">#REF!</definedName>
    <definedName name="Trang.thai.goi.thau" comment="Trạng thái hiện tại của các gói thầu">#REF!</definedName>
    <definedName name="TRANO" localSheetId="3">#REF!</definedName>
    <definedName name="TRANO" localSheetId="1">#REF!</definedName>
    <definedName name="TRANO">#REF!</definedName>
    <definedName name="TRAVL" localSheetId="3">#REF!</definedName>
    <definedName name="TRAVL" localSheetId="1">#REF!</definedName>
    <definedName name="TRAVL">#REF!</definedName>
    <definedName name="TRUNGHI" localSheetId="3">#REF!</definedName>
    <definedName name="TRUNGHI" localSheetId="1">#REF!</definedName>
    <definedName name="TRUNGHI">#REF!</definedName>
    <definedName name="ttam" localSheetId="3">#REF!</definedName>
    <definedName name="ttam" localSheetId="1">#REF!</definedName>
    <definedName name="ttam">#REF!</definedName>
    <definedName name="ttao" localSheetId="3">#REF!</definedName>
    <definedName name="ttao" localSheetId="1">#REF!</definedName>
    <definedName name="ttao">#REF!</definedName>
    <definedName name="ttbt" localSheetId="3">#REF!</definedName>
    <definedName name="ttbt" localSheetId="1">#REF!</definedName>
    <definedName name="ttbt">#REF!</definedName>
    <definedName name="tthi" localSheetId="3">#REF!</definedName>
    <definedName name="tthi" localSheetId="1">#REF!</definedName>
    <definedName name="tthi">#REF!</definedName>
    <definedName name="ty_le" localSheetId="3">#REF!</definedName>
    <definedName name="ty_le" localSheetId="1">#REF!</definedName>
    <definedName name="ty_le">#REF!</definedName>
    <definedName name="ty_le_BTN" localSheetId="3">#REF!</definedName>
    <definedName name="ty_le_BTN" localSheetId="1">#REF!</definedName>
    <definedName name="ty_le_BTN">#REF!</definedName>
    <definedName name="Ty_le1" localSheetId="3">#REF!</definedName>
    <definedName name="Ty_le1" localSheetId="1">#REF!</definedName>
    <definedName name="Ty_le1">#REF!</definedName>
    <definedName name="u" localSheetId="3">#REF!</definedName>
    <definedName name="u" localSheetId="1">#REF!</definedName>
    <definedName name="u">#REF!</definedName>
    <definedName name="ư34y" localSheetId="3">#REF!</definedName>
    <definedName name="ư34y" localSheetId="1">#REF!</definedName>
    <definedName name="ư34y">#REF!</definedName>
    <definedName name="ưb2u45etm" localSheetId="3">#REF!</definedName>
    <definedName name="ưb2u45etm" localSheetId="1">#REF!</definedName>
    <definedName name="ưb2u45etm">#REF!</definedName>
    <definedName name="ưebty" localSheetId="3">#REF!</definedName>
    <definedName name="ưebty" localSheetId="1">#REF!</definedName>
    <definedName name="ưebty">#REF!</definedName>
    <definedName name="UP" localSheetId="3">#REF!,#REF!,#REF!,#REF!,#REF!,#REF!,#REF!,#REF!,#REF!,#REF!,#REF!</definedName>
    <definedName name="UP" localSheetId="1">#REF!,#REF!,#REF!,#REF!,#REF!,#REF!,#REF!,#REF!,#REF!,#REF!,#REF!</definedName>
    <definedName name="UP">#REF!,#REF!,#REF!,#REF!,#REF!,#REF!,#REF!,#REF!,#REF!,#REF!,#REF!</definedName>
    <definedName name="USD">15820</definedName>
    <definedName name="VARIINST" localSheetId="3">#REF!</definedName>
    <definedName name="VARIINST" localSheetId="1">#REF!</definedName>
    <definedName name="VARIINST">#REF!</definedName>
    <definedName name="VARIPURC" localSheetId="3">#REF!</definedName>
    <definedName name="VARIPURC" localSheetId="1">#REF!</definedName>
    <definedName name="VARIPURC">#REF!</definedName>
    <definedName name="vbnmb" localSheetId="3">#REF!</definedName>
    <definedName name="vbnmb" localSheetId="1">#REF!</definedName>
    <definedName name="vbnmb">#REF!</definedName>
    <definedName name="vc" localSheetId="3">#REF!</definedName>
    <definedName name="vc" localSheetId="1">#REF!</definedName>
    <definedName name="vc">#REF!</definedName>
    <definedName name="vccot" localSheetId="3">#REF!</definedName>
    <definedName name="vccot" localSheetId="1">#REF!</definedName>
    <definedName name="vccot">#REF!</definedName>
    <definedName name="vcdatd" localSheetId="3">#REF!</definedName>
    <definedName name="vcdatd" localSheetId="1">#REF!</definedName>
    <definedName name="vcdatd">#REF!</definedName>
    <definedName name="vcddx" localSheetId="3">#REF!</definedName>
    <definedName name="vcddx" localSheetId="1">#REF!</definedName>
    <definedName name="vcddx">#REF!</definedName>
    <definedName name="vctb" localSheetId="3">#REF!</definedName>
    <definedName name="vctb" localSheetId="1">#REF!</definedName>
    <definedName name="vctb">#REF!</definedName>
    <definedName name="Vf" localSheetId="3">#REF!</definedName>
    <definedName name="Vf" localSheetId="1">#REF!</definedName>
    <definedName name="Vf">#REF!</definedName>
    <definedName name="vital1" localSheetId="3">#REF!</definedName>
    <definedName name="vital1" localSheetId="1">#REF!</definedName>
    <definedName name="vital1">#REF!</definedName>
    <definedName name="vital2" localSheetId="3">#REF!</definedName>
    <definedName name="vital2" localSheetId="1">#REF!</definedName>
    <definedName name="vital2">#REF!</definedName>
    <definedName name="vital4" localSheetId="3">#REF!</definedName>
    <definedName name="vital4" localSheetId="1">#REF!</definedName>
    <definedName name="vital4">#REF!</definedName>
    <definedName name="vital5" localSheetId="3">#REF!</definedName>
    <definedName name="vital5" localSheetId="1">#REF!</definedName>
    <definedName name="vital5">#REF!</definedName>
    <definedName name="vital6" localSheetId="3">#REF!</definedName>
    <definedName name="vital6" localSheetId="1">#REF!</definedName>
    <definedName name="vital6">#REF!</definedName>
    <definedName name="vital8" localSheetId="3">#REF!</definedName>
    <definedName name="vital8" localSheetId="1">#REF!</definedName>
    <definedName name="vital8">#REF!</definedName>
    <definedName name="vital9" localSheetId="3">#REF!</definedName>
    <definedName name="vital9" localSheetId="1">#REF!</definedName>
    <definedName name="vital9">#REF!</definedName>
    <definedName name="Vlcap0.7" localSheetId="3">#REF!</definedName>
    <definedName name="Vlcap0.7" localSheetId="1">#REF!</definedName>
    <definedName name="Vlcap0.7">#REF!</definedName>
    <definedName name="VLcap1" localSheetId="3">#REF!</definedName>
    <definedName name="VLcap1" localSheetId="1">#REF!</definedName>
    <definedName name="VLcap1">#REF!</definedName>
    <definedName name="Vs" localSheetId="3">#REF!</definedName>
    <definedName name="Vs" localSheetId="1">#REF!</definedName>
    <definedName name="Vs">#REF!</definedName>
    <definedName name="vungnhapk" localSheetId="3">#REF!</definedName>
    <definedName name="vungnhapk" localSheetId="1">#REF!</definedName>
    <definedName name="vungnhapk">#REF!</definedName>
    <definedName name="vungnhapl" localSheetId="3">#REF!</definedName>
    <definedName name="vungnhapl" localSheetId="1">#REF!</definedName>
    <definedName name="vungnhapl">#REF!</definedName>
    <definedName name="vungxuatk" localSheetId="3">#REF!</definedName>
    <definedName name="vungxuatk" localSheetId="1">#REF!</definedName>
    <definedName name="vungxuatk">#REF!</definedName>
    <definedName name="vungxuatl" localSheetId="3">#REF!</definedName>
    <definedName name="vungxuatl" localSheetId="1">#REF!</definedName>
    <definedName name="vungxuatl">#REF!</definedName>
    <definedName name="vxgf" localSheetId="3">#REF!</definedName>
    <definedName name="vxgf" localSheetId="1">#REF!</definedName>
    <definedName name="vxgf">#REF!</definedName>
    <definedName name="W" localSheetId="3">#REF!</definedName>
    <definedName name="W" localSheetId="1">#REF!</definedName>
    <definedName name="W">#REF!</definedName>
    <definedName name="wb" localSheetId="3">#REF!</definedName>
    <definedName name="wb" localSheetId="1">#REF!</definedName>
    <definedName name="wb">#REF!</definedName>
    <definedName name="wrn.chi._.tiÆt." localSheetId="0" hidden="1">{#N/A,#N/A,FALSE,"Chi tiÆt"}</definedName>
    <definedName name="wrn.chi._.tiÆt." hidden="1">{#N/A,#N/A,FALSE,"Chi tiÆt"}</definedName>
    <definedName name="wup" localSheetId="3">#REF!</definedName>
    <definedName name="wup" localSheetId="1">#REF!</definedName>
    <definedName name="wup">#REF!</definedName>
    <definedName name="X" localSheetId="3">#REF!</definedName>
    <definedName name="X" localSheetId="1">#REF!</definedName>
    <definedName name="X">#REF!</definedName>
    <definedName name="x_list" localSheetId="3">#REF!</definedName>
    <definedName name="x_list" localSheetId="1">#REF!</definedName>
    <definedName name="x_list">#REF!</definedName>
    <definedName name="x1_" localSheetId="3">#REF!</definedName>
    <definedName name="x1_" localSheetId="1">#REF!</definedName>
    <definedName name="x1_">#REF!</definedName>
    <definedName name="x2_" localSheetId="3">#REF!</definedName>
    <definedName name="x2_" localSheetId="1">#REF!</definedName>
    <definedName name="x2_">#REF!</definedName>
    <definedName name="XA" localSheetId="3">#REF!</definedName>
    <definedName name="XA" localSheetId="1">#REF!</definedName>
    <definedName name="XA">#REF!</definedName>
    <definedName name="xaylap" localSheetId="3">#REF!</definedName>
    <definedName name="xaylap" localSheetId="1">#REF!</definedName>
    <definedName name="xaylap">#REF!</definedName>
    <definedName name="xcp" localSheetId="3">#REF!</definedName>
    <definedName name="xcp" localSheetId="1">#REF!</definedName>
    <definedName name="xcp">#REF!</definedName>
    <definedName name="xe" localSheetId="3">#REF!</definedName>
    <definedName name="xe" localSheetId="1">#REF!</definedName>
    <definedName name="xe">#REF!</definedName>
    <definedName name="xh" localSheetId="3">#REF!</definedName>
    <definedName name="xh" localSheetId="1">#REF!</definedName>
    <definedName name="xh">#REF!</definedName>
    <definedName name="xl" localSheetId="3">#REF!</definedName>
    <definedName name="xl" localSheetId="1">#REF!</definedName>
    <definedName name="xl">#REF!</definedName>
    <definedName name="xlc" localSheetId="3">#REF!</definedName>
    <definedName name="xlc" localSheetId="1">#REF!</definedName>
    <definedName name="xlc">#REF!</definedName>
    <definedName name="xlk" localSheetId="3">#REF!</definedName>
    <definedName name="xlk" localSheetId="1">#REF!</definedName>
    <definedName name="xlk">#REF!</definedName>
    <definedName name="xmp40" localSheetId="3">#REF!</definedName>
    <definedName name="xmp40" localSheetId="1">#REF!</definedName>
    <definedName name="xmp40">#REF!</definedName>
    <definedName name="xn" localSheetId="3">#REF!</definedName>
    <definedName name="xn" localSheetId="1">#REF!</definedName>
    <definedName name="xn">#REF!</definedName>
    <definedName name="xoanhapk" localSheetId="3">#REF!,#REF!</definedName>
    <definedName name="xoanhapk" localSheetId="1">#REF!,#REF!</definedName>
    <definedName name="xoanhapk">#REF!,#REF!</definedName>
    <definedName name="xoanhapl" localSheetId="3">#REF!,#REF!</definedName>
    <definedName name="xoanhapl" localSheetId="1">#REF!,#REF!</definedName>
    <definedName name="xoanhapl">#REF!,#REF!</definedName>
    <definedName name="xoaxuatk" localSheetId="3">#REF!</definedName>
    <definedName name="xoaxuatk" localSheetId="1">#REF!</definedName>
    <definedName name="xoaxuatk">#REF!</definedName>
    <definedName name="xoaxuatl" localSheetId="3">#REF!</definedName>
    <definedName name="xoaxuatl" localSheetId="1">#REF!</definedName>
    <definedName name="xoaxuatl">#REF!</definedName>
    <definedName name="y" localSheetId="0" hidden="1">{"'Sheet1'!$L$16"}</definedName>
    <definedName name="y" hidden="1">{"'Sheet1'!$L$16"}</definedName>
    <definedName name="y_list" localSheetId="3">#REF!</definedName>
    <definedName name="y_list" localSheetId="1">#REF!</definedName>
    <definedName name="y_list">#REF!</definedName>
    <definedName name="ycp" localSheetId="3">#REF!</definedName>
    <definedName name="ycp" localSheetId="1">#REF!</definedName>
    <definedName name="ycp">#REF!</definedName>
    <definedName name="YvNgam" localSheetId="3">#REF!</definedName>
    <definedName name="YvNgam" localSheetId="1">#REF!</definedName>
    <definedName name="YvNgam">#REF!</definedName>
    <definedName name="YvTreo" localSheetId="3">#REF!</definedName>
    <definedName name="YvTreo" localSheetId="1">#REF!</definedName>
    <definedName name="YvTreo">#REF!</definedName>
    <definedName name="ZYX" localSheetId="3">#REF!</definedName>
    <definedName name="ZYX" localSheetId="1">#REF!</definedName>
    <definedName name="ZYX">#REF!</definedName>
    <definedName name="ZZZ" localSheetId="3">#REF!</definedName>
    <definedName name="ZZZ" localSheetId="1">#REF!</definedName>
    <definedName name="ZZZ">#REF!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35" i="18" l="1"/>
  <c r="AH34" i="18"/>
  <c r="AH33" i="18"/>
  <c r="AH32" i="18"/>
  <c r="AH31" i="18"/>
  <c r="AH30" i="18"/>
  <c r="AH29" i="18"/>
  <c r="AH28" i="18"/>
  <c r="AH27" i="18"/>
  <c r="AH26" i="18"/>
  <c r="AH25" i="18"/>
  <c r="AH24" i="18"/>
  <c r="AH23" i="18"/>
  <c r="AH22" i="18"/>
  <c r="AH21" i="18"/>
  <c r="AH20" i="18"/>
  <c r="AH19" i="18"/>
  <c r="AH18" i="18"/>
  <c r="AH17" i="18"/>
  <c r="AH16" i="18"/>
  <c r="AH15" i="18"/>
  <c r="AH14" i="18"/>
  <c r="AH13" i="18"/>
  <c r="AH12" i="18"/>
  <c r="AH11" i="18"/>
  <c r="AH10" i="18"/>
  <c r="AH9" i="18"/>
  <c r="AH8" i="18"/>
  <c r="AH7" i="18"/>
  <c r="AH6" i="18"/>
  <c r="AF5" i="18"/>
  <c r="AE5" i="18"/>
  <c r="AD5" i="18"/>
  <c r="AC5" i="18"/>
  <c r="AB5" i="18"/>
  <c r="AA5" i="18"/>
  <c r="Z5" i="18"/>
  <c r="Y5" i="18"/>
  <c r="AG5" i="18"/>
  <c r="AH4" i="18"/>
  <c r="AG22" i="18"/>
  <c r="AF22" i="18"/>
  <c r="AE22" i="18"/>
  <c r="AD22" i="18"/>
  <c r="AC22" i="18"/>
  <c r="AB22" i="18"/>
  <c r="AA22" i="18"/>
  <c r="Z22" i="18"/>
  <c r="Y22" i="18"/>
  <c r="U22" i="18"/>
  <c r="T22" i="18"/>
  <c r="S22" i="18"/>
  <c r="R22" i="18"/>
  <c r="Q22" i="18"/>
  <c r="P22" i="18"/>
  <c r="O22" i="18"/>
  <c r="N22" i="18"/>
  <c r="K22" i="18"/>
  <c r="J22" i="18"/>
  <c r="I22" i="18"/>
  <c r="H22" i="18"/>
  <c r="G22" i="18"/>
  <c r="F22" i="18"/>
  <c r="E22" i="18"/>
  <c r="D22" i="18"/>
  <c r="L22" i="18"/>
  <c r="AG30" i="18"/>
  <c r="AF30" i="18"/>
  <c r="AE30" i="18"/>
  <c r="AD30" i="18"/>
  <c r="AC30" i="18"/>
  <c r="AB30" i="18"/>
  <c r="AA30" i="18"/>
  <c r="Z30" i="18"/>
  <c r="Z27" i="18" s="1"/>
  <c r="Y30" i="18"/>
  <c r="AF27" i="18"/>
  <c r="AE27" i="18"/>
  <c r="AD27" i="18"/>
  <c r="AC27" i="18"/>
  <c r="AB27" i="18"/>
  <c r="AA27" i="18"/>
  <c r="Y27" i="18"/>
  <c r="AF29" i="18"/>
  <c r="AE29" i="18"/>
  <c r="AD29" i="18"/>
  <c r="AC29" i="18"/>
  <c r="AB29" i="18"/>
  <c r="AA29" i="18"/>
  <c r="Z29" i="18"/>
  <c r="Y29" i="18"/>
  <c r="AG29" i="18" s="1"/>
  <c r="AF28" i="18"/>
  <c r="AE28" i="18"/>
  <c r="AD28" i="18"/>
  <c r="AC28" i="18"/>
  <c r="AB28" i="18"/>
  <c r="AA28" i="18"/>
  <c r="Z28" i="18"/>
  <c r="Y28" i="18"/>
  <c r="AG28" i="18" s="1"/>
  <c r="AG35" i="18"/>
  <c r="AG34" i="18"/>
  <c r="AG33" i="18"/>
  <c r="AG32" i="18"/>
  <c r="AG31" i="18"/>
  <c r="AG25" i="18"/>
  <c r="AG24" i="18"/>
  <c r="AG23" i="18"/>
  <c r="AG21" i="18"/>
  <c r="AG20" i="18"/>
  <c r="AG19" i="18"/>
  <c r="AG18" i="18"/>
  <c r="AG16" i="18"/>
  <c r="AG13" i="18"/>
  <c r="AG10" i="18"/>
  <c r="AG9" i="18"/>
  <c r="AG8" i="18"/>
  <c r="AG7" i="18"/>
  <c r="AG6" i="18"/>
  <c r="AF34" i="18"/>
  <c r="AE34" i="18"/>
  <c r="AD34" i="18"/>
  <c r="AC34" i="18"/>
  <c r="AB34" i="18"/>
  <c r="AA34" i="18"/>
  <c r="Z34" i="18"/>
  <c r="Y34" i="18"/>
  <c r="AF35" i="18"/>
  <c r="AE35" i="18"/>
  <c r="AD35" i="18"/>
  <c r="AC35" i="18"/>
  <c r="AB35" i="18"/>
  <c r="AA35" i="18"/>
  <c r="Z35" i="18"/>
  <c r="Y35" i="18"/>
  <c r="AF33" i="18"/>
  <c r="AE33" i="18"/>
  <c r="AD33" i="18"/>
  <c r="AC33" i="18"/>
  <c r="AB33" i="18"/>
  <c r="AA33" i="18"/>
  <c r="Z33" i="18"/>
  <c r="Y33" i="18"/>
  <c r="AF32" i="18"/>
  <c r="AE32" i="18"/>
  <c r="AD32" i="18"/>
  <c r="AC32" i="18"/>
  <c r="AB32" i="18"/>
  <c r="AA32" i="18"/>
  <c r="Z32" i="18"/>
  <c r="Y32" i="18"/>
  <c r="AF31" i="18"/>
  <c r="AE31" i="18"/>
  <c r="AD31" i="18"/>
  <c r="AC31" i="18"/>
  <c r="AB31" i="18"/>
  <c r="AA31" i="18"/>
  <c r="Z31" i="18"/>
  <c r="Y31" i="18"/>
  <c r="AF25" i="18"/>
  <c r="AE25" i="18"/>
  <c r="AD25" i="18"/>
  <c r="AC25" i="18"/>
  <c r="AB25" i="18"/>
  <c r="AA25" i="18"/>
  <c r="Z25" i="18"/>
  <c r="Y25" i="18"/>
  <c r="AF24" i="18"/>
  <c r="AE24" i="18"/>
  <c r="AD24" i="18"/>
  <c r="AC24" i="18"/>
  <c r="AB24" i="18"/>
  <c r="AA24" i="18"/>
  <c r="Z24" i="18"/>
  <c r="Y24" i="18"/>
  <c r="AF23" i="18"/>
  <c r="AE23" i="18"/>
  <c r="AD23" i="18"/>
  <c r="AC23" i="18"/>
  <c r="AB23" i="18"/>
  <c r="AA23" i="18"/>
  <c r="Z23" i="18"/>
  <c r="Y23" i="18"/>
  <c r="AF21" i="18"/>
  <c r="AE21" i="18"/>
  <c r="AD21" i="18"/>
  <c r="AC21" i="18"/>
  <c r="AB21" i="18"/>
  <c r="AA21" i="18"/>
  <c r="Z21" i="18"/>
  <c r="Y21" i="18"/>
  <c r="AF20" i="18"/>
  <c r="AE20" i="18"/>
  <c r="AD20" i="18"/>
  <c r="AC20" i="18"/>
  <c r="AB20" i="18"/>
  <c r="AA20" i="18"/>
  <c r="Z20" i="18"/>
  <c r="Y20" i="18"/>
  <c r="AF19" i="18"/>
  <c r="AE19" i="18"/>
  <c r="AD19" i="18"/>
  <c r="AC19" i="18"/>
  <c r="AB19" i="18"/>
  <c r="AA19" i="18"/>
  <c r="Z19" i="18"/>
  <c r="Y19" i="18"/>
  <c r="AF18" i="18"/>
  <c r="AE18" i="18"/>
  <c r="AD18" i="18"/>
  <c r="AC18" i="18"/>
  <c r="AB18" i="18"/>
  <c r="AA18" i="18"/>
  <c r="Z18" i="18"/>
  <c r="Y18" i="18"/>
  <c r="AF17" i="18"/>
  <c r="AE17" i="18"/>
  <c r="AB17" i="18"/>
  <c r="AA17" i="18"/>
  <c r="Z17" i="18"/>
  <c r="Y17" i="18"/>
  <c r="AF16" i="18"/>
  <c r="AE16" i="18"/>
  <c r="AD16" i="18"/>
  <c r="AC16" i="18"/>
  <c r="AB16" i="18"/>
  <c r="AA16" i="18"/>
  <c r="Z16" i="18"/>
  <c r="Y16" i="18"/>
  <c r="AF14" i="18"/>
  <c r="AE14" i="18"/>
  <c r="AB14" i="18"/>
  <c r="AA14" i="18"/>
  <c r="Z14" i="18"/>
  <c r="Y14" i="18"/>
  <c r="AF13" i="18"/>
  <c r="AE13" i="18"/>
  <c r="AD13" i="18"/>
  <c r="AC13" i="18"/>
  <c r="AB13" i="18"/>
  <c r="AA13" i="18"/>
  <c r="Z13" i="18"/>
  <c r="Y13" i="18"/>
  <c r="AF10" i="18"/>
  <c r="AE10" i="18"/>
  <c r="AD10" i="18"/>
  <c r="AC10" i="18"/>
  <c r="AB10" i="18"/>
  <c r="AA10" i="18"/>
  <c r="Z10" i="18"/>
  <c r="Y10" i="18"/>
  <c r="AF9" i="18"/>
  <c r="AE9" i="18"/>
  <c r="AD9" i="18"/>
  <c r="AC9" i="18"/>
  <c r="AB9" i="18"/>
  <c r="AA9" i="18"/>
  <c r="Z9" i="18"/>
  <c r="Y9" i="18"/>
  <c r="AF8" i="18"/>
  <c r="AE8" i="18"/>
  <c r="AD8" i="18"/>
  <c r="AC8" i="18"/>
  <c r="AB8" i="18"/>
  <c r="AA8" i="18"/>
  <c r="Z8" i="18"/>
  <c r="Y8" i="18"/>
  <c r="AF7" i="18"/>
  <c r="AE7" i="18"/>
  <c r="AD7" i="18"/>
  <c r="AC7" i="18"/>
  <c r="AB7" i="18"/>
  <c r="AA7" i="18"/>
  <c r="Z7" i="18"/>
  <c r="AF12" i="18"/>
  <c r="AE12" i="18"/>
  <c r="AB12" i="18"/>
  <c r="AA12" i="18"/>
  <c r="Y12" i="18"/>
  <c r="Y7" i="18"/>
  <c r="Z15" i="18"/>
  <c r="AB15" i="18"/>
  <c r="AA15" i="18"/>
  <c r="AF15" i="18"/>
  <c r="AE15" i="18"/>
  <c r="AB6" i="18"/>
  <c r="AC6" i="18"/>
  <c r="AF6" i="18"/>
  <c r="AE6" i="18"/>
  <c r="AD6" i="18"/>
  <c r="Y6" i="18"/>
  <c r="Z12" i="18" l="1"/>
  <c r="Z6" i="18"/>
  <c r="AA6" i="18"/>
  <c r="Y15" i="18"/>
  <c r="P37" i="18" l="1"/>
  <c r="O37" i="18"/>
  <c r="N37" i="18"/>
  <c r="M37" i="18"/>
  <c r="V35" i="18"/>
  <c r="U35" i="18"/>
  <c r="T35" i="18"/>
  <c r="S35" i="18"/>
  <c r="R35" i="18"/>
  <c r="Q35" i="18"/>
  <c r="P35" i="18"/>
  <c r="O35" i="18"/>
  <c r="N35" i="18"/>
  <c r="L35" i="18"/>
  <c r="K35" i="18"/>
  <c r="J35" i="18"/>
  <c r="I35" i="18"/>
  <c r="H35" i="18"/>
  <c r="G35" i="18"/>
  <c r="F35" i="18"/>
  <c r="E35" i="18"/>
  <c r="D35" i="18"/>
  <c r="V34" i="18"/>
  <c r="U34" i="18"/>
  <c r="T34" i="18"/>
  <c r="S34" i="18"/>
  <c r="R34" i="18"/>
  <c r="Q34" i="18"/>
  <c r="P34" i="18"/>
  <c r="O34" i="18"/>
  <c r="N34" i="18"/>
  <c r="L34" i="18"/>
  <c r="K34" i="18"/>
  <c r="J34" i="18"/>
  <c r="I34" i="18"/>
  <c r="H34" i="18"/>
  <c r="G34" i="18"/>
  <c r="F34" i="18"/>
  <c r="E34" i="18"/>
  <c r="D34" i="18"/>
  <c r="V33" i="18"/>
  <c r="U33" i="18"/>
  <c r="T33" i="18"/>
  <c r="S33" i="18"/>
  <c r="R33" i="18"/>
  <c r="Q33" i="18"/>
  <c r="P33" i="18"/>
  <c r="O33" i="18"/>
  <c r="N33" i="18"/>
  <c r="L33" i="18"/>
  <c r="K33" i="18"/>
  <c r="J33" i="18"/>
  <c r="I33" i="18"/>
  <c r="H33" i="18"/>
  <c r="G33" i="18"/>
  <c r="F33" i="18"/>
  <c r="E33" i="18"/>
  <c r="D33" i="18"/>
  <c r="V32" i="18"/>
  <c r="U32" i="18"/>
  <c r="T32" i="18"/>
  <c r="S32" i="18"/>
  <c r="R32" i="18"/>
  <c r="Q32" i="18"/>
  <c r="P32" i="18"/>
  <c r="O32" i="18"/>
  <c r="N32" i="18"/>
  <c r="L32" i="18"/>
  <c r="K32" i="18"/>
  <c r="J32" i="18"/>
  <c r="I32" i="18"/>
  <c r="H32" i="18"/>
  <c r="G32" i="18"/>
  <c r="F32" i="18"/>
  <c r="E32" i="18"/>
  <c r="D32" i="18"/>
  <c r="V31" i="18"/>
  <c r="V30" i="18" s="1"/>
  <c r="U31" i="18"/>
  <c r="T31" i="18"/>
  <c r="S31" i="18"/>
  <c r="R31" i="18"/>
  <c r="Q31" i="18"/>
  <c r="P31" i="18"/>
  <c r="O31" i="18"/>
  <c r="N31" i="18"/>
  <c r="L31" i="18"/>
  <c r="K31" i="18"/>
  <c r="J31" i="18"/>
  <c r="I31" i="18"/>
  <c r="H31" i="18"/>
  <c r="G31" i="18"/>
  <c r="F31" i="18"/>
  <c r="E31" i="18"/>
  <c r="D31" i="18"/>
  <c r="U30" i="18"/>
  <c r="T30" i="18"/>
  <c r="S30" i="18"/>
  <c r="R30" i="18"/>
  <c r="Q30" i="18"/>
  <c r="P30" i="18"/>
  <c r="O30" i="18"/>
  <c r="N30" i="18"/>
  <c r="L30" i="18"/>
  <c r="K30" i="18"/>
  <c r="J30" i="18"/>
  <c r="I30" i="18"/>
  <c r="H30" i="18"/>
  <c r="G30" i="18"/>
  <c r="F30" i="18"/>
  <c r="E30" i="18"/>
  <c r="D30" i="18"/>
  <c r="U29" i="18"/>
  <c r="T29" i="18"/>
  <c r="Q29" i="18"/>
  <c r="P29" i="18"/>
  <c r="O29" i="18"/>
  <c r="N29" i="18"/>
  <c r="V29" i="18" s="1"/>
  <c r="L29" i="18"/>
  <c r="K29" i="18"/>
  <c r="J29" i="18"/>
  <c r="G29" i="18"/>
  <c r="F29" i="18"/>
  <c r="E29" i="18"/>
  <c r="D29" i="18"/>
  <c r="V28" i="18"/>
  <c r="U28" i="18"/>
  <c r="T28" i="18"/>
  <c r="Q28" i="18"/>
  <c r="P28" i="18"/>
  <c r="O28" i="18"/>
  <c r="N28" i="18"/>
  <c r="K28" i="18"/>
  <c r="J28" i="18"/>
  <c r="G28" i="18"/>
  <c r="F28" i="18"/>
  <c r="E28" i="18"/>
  <c r="D28" i="18"/>
  <c r="L28" i="18" s="1"/>
  <c r="U27" i="18"/>
  <c r="T27" i="18"/>
  <c r="S27" i="18"/>
  <c r="Q27" i="18"/>
  <c r="P27" i="18"/>
  <c r="O27" i="18"/>
  <c r="N27" i="18"/>
  <c r="K27" i="18"/>
  <c r="G27" i="18"/>
  <c r="F27" i="18"/>
  <c r="E27" i="18"/>
  <c r="U26" i="18"/>
  <c r="T26" i="18"/>
  <c r="S26" i="18"/>
  <c r="R26" i="18"/>
  <c r="Q26" i="18"/>
  <c r="P26" i="18"/>
  <c r="O26" i="18"/>
  <c r="N26" i="18"/>
  <c r="V26" i="18" s="1"/>
  <c r="K26" i="18"/>
  <c r="J26" i="18"/>
  <c r="AE26" i="18" s="1"/>
  <c r="AE11" i="18" s="1"/>
  <c r="AE4" i="18" s="1"/>
  <c r="I26" i="18"/>
  <c r="AD26" i="18" s="1"/>
  <c r="H26" i="18"/>
  <c r="G26" i="18"/>
  <c r="AB26" i="18" s="1"/>
  <c r="AB11" i="18" s="1"/>
  <c r="AB4" i="18" s="1"/>
  <c r="F26" i="18"/>
  <c r="E26" i="18"/>
  <c r="Z26" i="18" s="1"/>
  <c r="Z11" i="18" s="1"/>
  <c r="Z4" i="18" s="1"/>
  <c r="D26" i="18"/>
  <c r="Y26" i="18" s="1"/>
  <c r="V25" i="18"/>
  <c r="U25" i="18"/>
  <c r="T25" i="18"/>
  <c r="S25" i="18"/>
  <c r="R25" i="18"/>
  <c r="Q25" i="18"/>
  <c r="P25" i="18"/>
  <c r="O25" i="18"/>
  <c r="N25" i="18"/>
  <c r="L25" i="18"/>
  <c r="K25" i="18"/>
  <c r="J25" i="18"/>
  <c r="I25" i="18"/>
  <c r="H25" i="18"/>
  <c r="G25" i="18"/>
  <c r="F25" i="18"/>
  <c r="E25" i="18"/>
  <c r="D25" i="18"/>
  <c r="V24" i="18"/>
  <c r="V22" i="18" s="1"/>
  <c r="U24" i="18"/>
  <c r="T24" i="18"/>
  <c r="S24" i="18"/>
  <c r="R24" i="18"/>
  <c r="Q24" i="18"/>
  <c r="P24" i="18"/>
  <c r="O24" i="18"/>
  <c r="N24" i="18"/>
  <c r="L24" i="18"/>
  <c r="K24" i="18"/>
  <c r="J24" i="18"/>
  <c r="I24" i="18"/>
  <c r="H24" i="18"/>
  <c r="G24" i="18"/>
  <c r="F24" i="18"/>
  <c r="E24" i="18"/>
  <c r="D24" i="18"/>
  <c r="V23" i="18"/>
  <c r="U23" i="18"/>
  <c r="T23" i="18"/>
  <c r="S23" i="18"/>
  <c r="R23" i="18"/>
  <c r="Q23" i="18"/>
  <c r="P23" i="18"/>
  <c r="O23" i="18"/>
  <c r="N23" i="18"/>
  <c r="L23" i="18"/>
  <c r="K23" i="18"/>
  <c r="J23" i="18"/>
  <c r="I23" i="18"/>
  <c r="H23" i="18"/>
  <c r="G23" i="18"/>
  <c r="F23" i="18"/>
  <c r="E23" i="18"/>
  <c r="D23" i="18"/>
  <c r="V21" i="18"/>
  <c r="U21" i="18"/>
  <c r="U11" i="18" s="1"/>
  <c r="U4" i="18" s="1"/>
  <c r="T21" i="18"/>
  <c r="S21" i="18"/>
  <c r="R21" i="18"/>
  <c r="Q21" i="18"/>
  <c r="P21" i="18"/>
  <c r="O21" i="18"/>
  <c r="N21" i="18"/>
  <c r="L21" i="18"/>
  <c r="K21" i="18"/>
  <c r="J21" i="18"/>
  <c r="I21" i="18"/>
  <c r="H21" i="18"/>
  <c r="G21" i="18"/>
  <c r="F21" i="18"/>
  <c r="E21" i="18"/>
  <c r="D21" i="18"/>
  <c r="V20" i="18"/>
  <c r="U20" i="18"/>
  <c r="T20" i="18"/>
  <c r="S20" i="18"/>
  <c r="R20" i="18"/>
  <c r="Q20" i="18"/>
  <c r="P20" i="18"/>
  <c r="O20" i="18"/>
  <c r="N20" i="18"/>
  <c r="L20" i="18"/>
  <c r="K20" i="18"/>
  <c r="J20" i="18"/>
  <c r="I20" i="18"/>
  <c r="H20" i="18"/>
  <c r="G20" i="18"/>
  <c r="F20" i="18"/>
  <c r="E20" i="18"/>
  <c r="D20" i="18"/>
  <c r="V19" i="18"/>
  <c r="U19" i="18"/>
  <c r="T19" i="18"/>
  <c r="S19" i="18"/>
  <c r="R19" i="18"/>
  <c r="Q19" i="18"/>
  <c r="P19" i="18"/>
  <c r="O19" i="18"/>
  <c r="N19" i="18"/>
  <c r="L19" i="18"/>
  <c r="K19" i="18"/>
  <c r="J19" i="18"/>
  <c r="I19" i="18"/>
  <c r="H19" i="18"/>
  <c r="G19" i="18"/>
  <c r="F19" i="18"/>
  <c r="E19" i="18"/>
  <c r="D19" i="18"/>
  <c r="V18" i="18"/>
  <c r="U18" i="18"/>
  <c r="T18" i="18"/>
  <c r="S18" i="18"/>
  <c r="R18" i="18"/>
  <c r="Q18" i="18"/>
  <c r="P18" i="18"/>
  <c r="O18" i="18"/>
  <c r="N18" i="18"/>
  <c r="L18" i="18"/>
  <c r="K18" i="18"/>
  <c r="J18" i="18"/>
  <c r="I18" i="18"/>
  <c r="H18" i="18"/>
  <c r="G18" i="18"/>
  <c r="F18" i="18"/>
  <c r="E18" i="18"/>
  <c r="D18" i="18"/>
  <c r="U17" i="18"/>
  <c r="T17" i="18"/>
  <c r="S17" i="18"/>
  <c r="AD17" i="18" s="1"/>
  <c r="AD15" i="18" s="1"/>
  <c r="R17" i="18"/>
  <c r="R15" i="18" s="1"/>
  <c r="Q17" i="18"/>
  <c r="P17" i="18"/>
  <c r="O17" i="18"/>
  <c r="N17" i="18"/>
  <c r="K17" i="18"/>
  <c r="J17" i="18"/>
  <c r="I17" i="18"/>
  <c r="H17" i="18"/>
  <c r="L17" i="18" s="1"/>
  <c r="L15" i="18" s="1"/>
  <c r="G17" i="18"/>
  <c r="F17" i="18"/>
  <c r="E17" i="18"/>
  <c r="D17" i="18"/>
  <c r="V16" i="18"/>
  <c r="U16" i="18"/>
  <c r="T16" i="18"/>
  <c r="S16" i="18"/>
  <c r="R16" i="18"/>
  <c r="Q16" i="18"/>
  <c r="P16" i="18"/>
  <c r="O16" i="18"/>
  <c r="N16" i="18"/>
  <c r="L16" i="18"/>
  <c r="K16" i="18"/>
  <c r="J16" i="18"/>
  <c r="I16" i="18"/>
  <c r="H16" i="18"/>
  <c r="G16" i="18"/>
  <c r="F16" i="18"/>
  <c r="E16" i="18"/>
  <c r="D16" i="18"/>
  <c r="U15" i="18"/>
  <c r="T15" i="18"/>
  <c r="T11" i="18" s="1"/>
  <c r="Q15" i="18"/>
  <c r="P15" i="18"/>
  <c r="O15" i="18"/>
  <c r="N15" i="18"/>
  <c r="K15" i="18"/>
  <c r="J15" i="18"/>
  <c r="I15" i="18"/>
  <c r="G15" i="18"/>
  <c r="F15" i="18"/>
  <c r="E15" i="18"/>
  <c r="D15" i="18"/>
  <c r="U14" i="18"/>
  <c r="T14" i="18"/>
  <c r="S14" i="18"/>
  <c r="AD14" i="18" s="1"/>
  <c r="AD12" i="18" s="1"/>
  <c r="R14" i="18"/>
  <c r="V14" i="18" s="1"/>
  <c r="V12" i="18" s="1"/>
  <c r="Q14" i="18"/>
  <c r="P14" i="18"/>
  <c r="O14" i="18"/>
  <c r="N14" i="18"/>
  <c r="K14" i="18"/>
  <c r="J14" i="18"/>
  <c r="I14" i="18"/>
  <c r="H14" i="18"/>
  <c r="L14" i="18" s="1"/>
  <c r="G14" i="18"/>
  <c r="F14" i="18"/>
  <c r="E14" i="18"/>
  <c r="D14" i="18"/>
  <c r="V13" i="18"/>
  <c r="U13" i="18"/>
  <c r="T13" i="18"/>
  <c r="S13" i="18"/>
  <c r="R13" i="18"/>
  <c r="Q13" i="18"/>
  <c r="P13" i="18"/>
  <c r="O13" i="18"/>
  <c r="N13" i="18"/>
  <c r="L13" i="18"/>
  <c r="K13" i="18"/>
  <c r="J13" i="18"/>
  <c r="I13" i="18"/>
  <c r="H13" i="18"/>
  <c r="G13" i="18"/>
  <c r="F13" i="18"/>
  <c r="E13" i="18"/>
  <c r="D13" i="18"/>
  <c r="U12" i="18"/>
  <c r="T12" i="18"/>
  <c r="Q12" i="18"/>
  <c r="P12" i="18"/>
  <c r="P11" i="18" s="1"/>
  <c r="O12" i="18"/>
  <c r="N12" i="18"/>
  <c r="N11" i="18" s="1"/>
  <c r="N4" i="18" s="1"/>
  <c r="K12" i="18"/>
  <c r="K11" i="18" s="1"/>
  <c r="J12" i="18"/>
  <c r="I12" i="18"/>
  <c r="G12" i="18"/>
  <c r="F12" i="18"/>
  <c r="F11" i="18" s="1"/>
  <c r="E12" i="18"/>
  <c r="D12" i="18"/>
  <c r="Q11" i="18"/>
  <c r="O11" i="18"/>
  <c r="V10" i="18"/>
  <c r="U10" i="18"/>
  <c r="T10" i="18"/>
  <c r="S10" i="18"/>
  <c r="R10" i="18"/>
  <c r="Q10" i="18"/>
  <c r="P10" i="18"/>
  <c r="O10" i="18"/>
  <c r="N10" i="18"/>
  <c r="L10" i="18"/>
  <c r="K10" i="18"/>
  <c r="J10" i="18"/>
  <c r="I10" i="18"/>
  <c r="H10" i="18"/>
  <c r="G10" i="18"/>
  <c r="F10" i="18"/>
  <c r="E10" i="18"/>
  <c r="D10" i="18"/>
  <c r="V9" i="18"/>
  <c r="U9" i="18"/>
  <c r="T9" i="18"/>
  <c r="S9" i="18"/>
  <c r="R9" i="18"/>
  <c r="Q9" i="18"/>
  <c r="P9" i="18"/>
  <c r="O9" i="18"/>
  <c r="N9" i="18"/>
  <c r="L9" i="18"/>
  <c r="K9" i="18"/>
  <c r="J9" i="18"/>
  <c r="I9" i="18"/>
  <c r="H9" i="18"/>
  <c r="F9" i="18"/>
  <c r="E9" i="18"/>
  <c r="D9" i="18"/>
  <c r="V8" i="18"/>
  <c r="V6" i="18" s="1"/>
  <c r="U8" i="18"/>
  <c r="T8" i="18"/>
  <c r="S8" i="18"/>
  <c r="R8" i="18"/>
  <c r="Q8" i="18"/>
  <c r="P8" i="18"/>
  <c r="O8" i="18"/>
  <c r="N8" i="18"/>
  <c r="L8" i="18"/>
  <c r="K8" i="18"/>
  <c r="J8" i="18"/>
  <c r="I8" i="18"/>
  <c r="H8" i="18"/>
  <c r="G8" i="18"/>
  <c r="F8" i="18"/>
  <c r="E8" i="18"/>
  <c r="D8" i="18"/>
  <c r="V7" i="18"/>
  <c r="U7" i="18"/>
  <c r="T7" i="18"/>
  <c r="S7" i="18"/>
  <c r="R7" i="18"/>
  <c r="Q7" i="18"/>
  <c r="P7" i="18"/>
  <c r="O7" i="18"/>
  <c r="N7" i="18"/>
  <c r="L7" i="18"/>
  <c r="K7" i="18"/>
  <c r="J7" i="18"/>
  <c r="I7" i="18"/>
  <c r="H7" i="18"/>
  <c r="G7" i="18"/>
  <c r="F7" i="18"/>
  <c r="E7" i="18"/>
  <c r="D7" i="18"/>
  <c r="U6" i="18"/>
  <c r="T6" i="18"/>
  <c r="S6" i="18"/>
  <c r="R6" i="18"/>
  <c r="Q6" i="18"/>
  <c r="Q4" i="18" s="1"/>
  <c r="P6" i="18"/>
  <c r="O6" i="18"/>
  <c r="N6" i="18"/>
  <c r="K6" i="18"/>
  <c r="J6" i="18"/>
  <c r="I6" i="18"/>
  <c r="H6" i="18"/>
  <c r="G6" i="18"/>
  <c r="F6" i="18"/>
  <c r="E6" i="18"/>
  <c r="D6" i="18"/>
  <c r="O4" i="18"/>
  <c r="T4" i="18" l="1"/>
  <c r="H12" i="18"/>
  <c r="R12" i="18"/>
  <c r="R11" i="18" s="1"/>
  <c r="R4" i="18" s="1"/>
  <c r="S12" i="18"/>
  <c r="H15" i="18"/>
  <c r="V17" i="18"/>
  <c r="V27" i="18"/>
  <c r="V11" i="18" s="1"/>
  <c r="V4" i="18" s="1"/>
  <c r="L27" i="18"/>
  <c r="D27" i="18"/>
  <c r="D11" i="18" s="1"/>
  <c r="D4" i="18" s="1"/>
  <c r="L12" i="18"/>
  <c r="G11" i="18"/>
  <c r="G4" i="18" s="1"/>
  <c r="P4" i="18"/>
  <c r="AA26" i="18"/>
  <c r="AA11" i="18" s="1"/>
  <c r="AA4" i="18" s="1"/>
  <c r="E11" i="18"/>
  <c r="E4" i="18" s="1"/>
  <c r="V15" i="18"/>
  <c r="Y11" i="18"/>
  <c r="Y4" i="18" s="1"/>
  <c r="L26" i="18"/>
  <c r="L11" i="18" s="1"/>
  <c r="S15" i="18"/>
  <c r="AC17" i="18"/>
  <c r="AC26" i="18"/>
  <c r="AG26" i="18" s="1"/>
  <c r="AC14" i="18"/>
  <c r="AF26" i="18"/>
  <c r="J27" i="18"/>
  <c r="F4" i="18"/>
  <c r="K4" i="18"/>
  <c r="L6" i="18"/>
  <c r="S17" i="17"/>
  <c r="S14" i="17"/>
  <c r="I17" i="14"/>
  <c r="I14" i="14"/>
  <c r="D7" i="17"/>
  <c r="E7" i="17"/>
  <c r="F7" i="17"/>
  <c r="G7" i="17"/>
  <c r="H7" i="17"/>
  <c r="I7" i="17"/>
  <c r="J7" i="17"/>
  <c r="K7" i="17"/>
  <c r="D8" i="17"/>
  <c r="E8" i="17"/>
  <c r="F8" i="17"/>
  <c r="G8" i="17"/>
  <c r="H8" i="17"/>
  <c r="I8" i="17"/>
  <c r="J8" i="17"/>
  <c r="K8" i="17"/>
  <c r="D9" i="17"/>
  <c r="E9" i="17"/>
  <c r="F9" i="17"/>
  <c r="H9" i="17"/>
  <c r="I9" i="17"/>
  <c r="J9" i="17"/>
  <c r="K9" i="17"/>
  <c r="D10" i="17"/>
  <c r="E10" i="17"/>
  <c r="F10" i="17"/>
  <c r="G10" i="17"/>
  <c r="H10" i="17"/>
  <c r="I10" i="17"/>
  <c r="J10" i="17"/>
  <c r="K10" i="17"/>
  <c r="D13" i="17"/>
  <c r="E13" i="17"/>
  <c r="F13" i="17"/>
  <c r="G13" i="17"/>
  <c r="H13" i="17"/>
  <c r="I13" i="17"/>
  <c r="J13" i="17"/>
  <c r="K13" i="17"/>
  <c r="D14" i="17"/>
  <c r="E14" i="17"/>
  <c r="F14" i="17"/>
  <c r="G14" i="17"/>
  <c r="H14" i="17"/>
  <c r="I14" i="17"/>
  <c r="J14" i="17"/>
  <c r="K14" i="17"/>
  <c r="D16" i="17"/>
  <c r="E16" i="17"/>
  <c r="F16" i="17"/>
  <c r="G16" i="17"/>
  <c r="H16" i="17"/>
  <c r="I16" i="17"/>
  <c r="J16" i="17"/>
  <c r="K16" i="17"/>
  <c r="D17" i="17"/>
  <c r="E17" i="17"/>
  <c r="F17" i="17"/>
  <c r="G17" i="17"/>
  <c r="H17" i="17"/>
  <c r="I17" i="17"/>
  <c r="J17" i="17"/>
  <c r="K17" i="17"/>
  <c r="D18" i="17"/>
  <c r="E18" i="17"/>
  <c r="F18" i="17"/>
  <c r="G18" i="17"/>
  <c r="H18" i="17"/>
  <c r="I18" i="17"/>
  <c r="J18" i="17"/>
  <c r="K18" i="17"/>
  <c r="D19" i="17"/>
  <c r="E19" i="17"/>
  <c r="F19" i="17"/>
  <c r="G19" i="17"/>
  <c r="H19" i="17"/>
  <c r="I19" i="17"/>
  <c r="J19" i="17"/>
  <c r="K19" i="17"/>
  <c r="D20" i="17"/>
  <c r="K20" i="17" s="1"/>
  <c r="E20" i="17"/>
  <c r="F20" i="17"/>
  <c r="G20" i="17"/>
  <c r="H20" i="17"/>
  <c r="I20" i="17"/>
  <c r="J20" i="17"/>
  <c r="D21" i="17"/>
  <c r="E21" i="17"/>
  <c r="F21" i="17"/>
  <c r="G21" i="17"/>
  <c r="H21" i="17"/>
  <c r="I21" i="17"/>
  <c r="J21" i="17"/>
  <c r="K21" i="17"/>
  <c r="D23" i="17"/>
  <c r="E23" i="17"/>
  <c r="F23" i="17"/>
  <c r="G23" i="17"/>
  <c r="H23" i="17"/>
  <c r="I23" i="17"/>
  <c r="J23" i="17"/>
  <c r="K23" i="17"/>
  <c r="D24" i="17"/>
  <c r="E24" i="17"/>
  <c r="F24" i="17"/>
  <c r="G24" i="17"/>
  <c r="H24" i="17"/>
  <c r="I24" i="17"/>
  <c r="J24" i="17"/>
  <c r="K24" i="17"/>
  <c r="D25" i="17"/>
  <c r="E25" i="17"/>
  <c r="F25" i="17"/>
  <c r="G25" i="17"/>
  <c r="H25" i="17"/>
  <c r="I25" i="17"/>
  <c r="J25" i="17"/>
  <c r="K25" i="17"/>
  <c r="D26" i="17"/>
  <c r="E26" i="17"/>
  <c r="F26" i="17"/>
  <c r="G26" i="17"/>
  <c r="H26" i="17"/>
  <c r="I26" i="17"/>
  <c r="J26" i="17"/>
  <c r="K26" i="17"/>
  <c r="D28" i="17"/>
  <c r="E28" i="17"/>
  <c r="F28" i="17"/>
  <c r="G28" i="17"/>
  <c r="H28" i="17"/>
  <c r="H27" i="17" s="1"/>
  <c r="I28" i="17"/>
  <c r="J28" i="17"/>
  <c r="K28" i="17"/>
  <c r="D29" i="17"/>
  <c r="E29" i="17"/>
  <c r="F29" i="17"/>
  <c r="G29" i="17"/>
  <c r="I29" i="17"/>
  <c r="J29" i="17"/>
  <c r="K29" i="17"/>
  <c r="D31" i="17"/>
  <c r="E31" i="17"/>
  <c r="F31" i="17"/>
  <c r="G31" i="17"/>
  <c r="H31" i="17"/>
  <c r="I31" i="17"/>
  <c r="J31" i="17"/>
  <c r="K31" i="17"/>
  <c r="D32" i="17"/>
  <c r="E32" i="17"/>
  <c r="F32" i="17"/>
  <c r="G32" i="17"/>
  <c r="H32" i="17"/>
  <c r="I32" i="17"/>
  <c r="J32" i="17"/>
  <c r="K32" i="17"/>
  <c r="D33" i="17"/>
  <c r="E33" i="17"/>
  <c r="F33" i="17"/>
  <c r="G33" i="17"/>
  <c r="H33" i="17"/>
  <c r="I33" i="17"/>
  <c r="J33" i="17"/>
  <c r="K33" i="17"/>
  <c r="D34" i="17"/>
  <c r="E34" i="17"/>
  <c r="F34" i="17"/>
  <c r="G34" i="17"/>
  <c r="H34" i="17"/>
  <c r="I34" i="17"/>
  <c r="J34" i="17"/>
  <c r="K34" i="17"/>
  <c r="D35" i="17"/>
  <c r="E35" i="17"/>
  <c r="F35" i="17"/>
  <c r="G35" i="17"/>
  <c r="H35" i="17"/>
  <c r="I35" i="17"/>
  <c r="J35" i="17"/>
  <c r="K35" i="17"/>
  <c r="M37" i="17"/>
  <c r="P37" i="17"/>
  <c r="O37" i="17"/>
  <c r="N37" i="17"/>
  <c r="U35" i="17"/>
  <c r="T35" i="17"/>
  <c r="S35" i="17"/>
  <c r="R35" i="17"/>
  <c r="Q35" i="17"/>
  <c r="P35" i="17"/>
  <c r="O35" i="17"/>
  <c r="N35" i="17"/>
  <c r="U34" i="17"/>
  <c r="T34" i="17"/>
  <c r="S34" i="17"/>
  <c r="R34" i="17"/>
  <c r="Q34" i="17"/>
  <c r="P34" i="17"/>
  <c r="O34" i="17"/>
  <c r="N34" i="17"/>
  <c r="U33" i="17"/>
  <c r="T33" i="17"/>
  <c r="S33" i="17"/>
  <c r="R33" i="17"/>
  <c r="Q33" i="17"/>
  <c r="P33" i="17"/>
  <c r="O33" i="17"/>
  <c r="N33" i="17"/>
  <c r="U32" i="17"/>
  <c r="T32" i="17"/>
  <c r="S32" i="17"/>
  <c r="R32" i="17"/>
  <c r="Q32" i="17"/>
  <c r="P32" i="17"/>
  <c r="O32" i="17"/>
  <c r="N32" i="17"/>
  <c r="U31" i="17"/>
  <c r="U30" i="17" s="1"/>
  <c r="T31" i="17"/>
  <c r="S31" i="17"/>
  <c r="R31" i="17"/>
  <c r="Q31" i="17"/>
  <c r="P31" i="17"/>
  <c r="P30" i="17" s="1"/>
  <c r="O31" i="17"/>
  <c r="N31" i="17"/>
  <c r="U29" i="17"/>
  <c r="T29" i="17"/>
  <c r="Q29" i="17"/>
  <c r="P29" i="17"/>
  <c r="O29" i="17"/>
  <c r="N29" i="17"/>
  <c r="U28" i="17"/>
  <c r="T28" i="17"/>
  <c r="R28" i="17"/>
  <c r="Q28" i="17"/>
  <c r="P28" i="17"/>
  <c r="O28" i="17"/>
  <c r="N28" i="17"/>
  <c r="U26" i="17"/>
  <c r="T26" i="17"/>
  <c r="S26" i="17"/>
  <c r="R26" i="17"/>
  <c r="Q26" i="17"/>
  <c r="P26" i="17"/>
  <c r="O26" i="17"/>
  <c r="N26" i="17"/>
  <c r="U25" i="17"/>
  <c r="T25" i="17"/>
  <c r="S25" i="17"/>
  <c r="R25" i="17"/>
  <c r="Q25" i="17"/>
  <c r="P25" i="17"/>
  <c r="O25" i="17"/>
  <c r="N25" i="17"/>
  <c r="U24" i="17"/>
  <c r="T24" i="17"/>
  <c r="S24" i="17"/>
  <c r="R24" i="17"/>
  <c r="Q24" i="17"/>
  <c r="P24" i="17"/>
  <c r="O24" i="17"/>
  <c r="N24" i="17"/>
  <c r="U23" i="17"/>
  <c r="U22" i="17" s="1"/>
  <c r="T23" i="17"/>
  <c r="T22" i="17" s="1"/>
  <c r="S23" i="17"/>
  <c r="R23" i="17"/>
  <c r="Q23" i="17"/>
  <c r="P23" i="17"/>
  <c r="O23" i="17"/>
  <c r="N23" i="17"/>
  <c r="T21" i="17"/>
  <c r="S21" i="17"/>
  <c r="R21" i="17"/>
  <c r="Q21" i="17"/>
  <c r="P21" i="17"/>
  <c r="O21" i="17"/>
  <c r="N21" i="17"/>
  <c r="U21" i="17" s="1"/>
  <c r="T20" i="17"/>
  <c r="S20" i="17"/>
  <c r="R20" i="17"/>
  <c r="Q20" i="17"/>
  <c r="P20" i="17"/>
  <c r="O20" i="17"/>
  <c r="N20" i="17"/>
  <c r="U19" i="17"/>
  <c r="T19" i="17"/>
  <c r="S19" i="17"/>
  <c r="R19" i="17"/>
  <c r="Q19" i="17"/>
  <c r="P19" i="17"/>
  <c r="O19" i="17"/>
  <c r="N19" i="17"/>
  <c r="U18" i="17"/>
  <c r="T18" i="17"/>
  <c r="S18" i="17"/>
  <c r="R18" i="17"/>
  <c r="Q18" i="17"/>
  <c r="P18" i="17"/>
  <c r="O18" i="17"/>
  <c r="N18" i="17"/>
  <c r="U17" i="17"/>
  <c r="T17" i="17"/>
  <c r="R17" i="17"/>
  <c r="Q17" i="17"/>
  <c r="P17" i="17"/>
  <c r="O17" i="17"/>
  <c r="N17" i="17"/>
  <c r="U16" i="17"/>
  <c r="T16" i="17"/>
  <c r="S16" i="17"/>
  <c r="R16" i="17"/>
  <c r="Q16" i="17"/>
  <c r="P16" i="17"/>
  <c r="P15" i="17" s="1"/>
  <c r="O16" i="17"/>
  <c r="N16" i="17"/>
  <c r="U14" i="17"/>
  <c r="T14" i="17"/>
  <c r="R14" i="17"/>
  <c r="Q14" i="17"/>
  <c r="P14" i="17"/>
  <c r="O14" i="17"/>
  <c r="N14" i="17"/>
  <c r="U13" i="17"/>
  <c r="U12" i="17" s="1"/>
  <c r="T13" i="17"/>
  <c r="S13" i="17"/>
  <c r="R13" i="17"/>
  <c r="Q13" i="17"/>
  <c r="P13" i="17"/>
  <c r="P12" i="17" s="1"/>
  <c r="O13" i="17"/>
  <c r="O12" i="17" s="1"/>
  <c r="N13" i="17"/>
  <c r="U10" i="17"/>
  <c r="T10" i="17"/>
  <c r="S10" i="17"/>
  <c r="R10" i="17"/>
  <c r="Q10" i="17"/>
  <c r="P10" i="17"/>
  <c r="O10" i="17"/>
  <c r="N10" i="17"/>
  <c r="U9" i="17"/>
  <c r="T9" i="17"/>
  <c r="S9" i="17"/>
  <c r="R9" i="17"/>
  <c r="Q9" i="17"/>
  <c r="P9" i="17"/>
  <c r="O9" i="17"/>
  <c r="N9" i="17"/>
  <c r="U8" i="17"/>
  <c r="T8" i="17"/>
  <c r="S8" i="17"/>
  <c r="R8" i="17"/>
  <c r="Q8" i="17"/>
  <c r="P8" i="17"/>
  <c r="O8" i="17"/>
  <c r="N8" i="17"/>
  <c r="U7" i="17"/>
  <c r="T7" i="17"/>
  <c r="S7" i="17"/>
  <c r="R7" i="17"/>
  <c r="R6" i="17" s="1"/>
  <c r="Q7" i="17"/>
  <c r="P7" i="17"/>
  <c r="O7" i="17"/>
  <c r="O6" i="17" s="1"/>
  <c r="N7" i="17"/>
  <c r="AF11" i="18" l="1"/>
  <c r="AF4" i="18" s="1"/>
  <c r="AC12" i="18"/>
  <c r="AG14" i="18"/>
  <c r="AC15" i="18"/>
  <c r="AG17" i="18"/>
  <c r="AG27" i="18"/>
  <c r="S11" i="18"/>
  <c r="S4" i="18" s="1"/>
  <c r="AD11" i="18"/>
  <c r="AD4" i="18" s="1"/>
  <c r="J11" i="18"/>
  <c r="J4" i="18" s="1"/>
  <c r="I11" i="18"/>
  <c r="I4" i="18" s="1"/>
  <c r="H11" i="18"/>
  <c r="H4" i="18" s="1"/>
  <c r="V38" i="18"/>
  <c r="O5" i="18"/>
  <c r="W35" i="18"/>
  <c r="W33" i="18"/>
  <c r="W31" i="18"/>
  <c r="W6" i="18"/>
  <c r="W34" i="18"/>
  <c r="L4" i="18"/>
  <c r="M11" i="18" s="1"/>
  <c r="Q5" i="18"/>
  <c r="T5" i="18"/>
  <c r="W27" i="18"/>
  <c r="W22" i="18"/>
  <c r="W32" i="18"/>
  <c r="W15" i="18"/>
  <c r="W12" i="18"/>
  <c r="P5" i="18"/>
  <c r="N5" i="18"/>
  <c r="W11" i="18"/>
  <c r="W30" i="18"/>
  <c r="L28" i="17"/>
  <c r="L27" i="17" s="1"/>
  <c r="D12" i="17"/>
  <c r="P27" i="17"/>
  <c r="H15" i="17"/>
  <c r="G6" i="17"/>
  <c r="H22" i="17"/>
  <c r="S15" i="17"/>
  <c r="L24" i="17"/>
  <c r="H30" i="17"/>
  <c r="I22" i="17"/>
  <c r="J15" i="17"/>
  <c r="J12" i="17"/>
  <c r="J6" i="17"/>
  <c r="U15" i="17"/>
  <c r="V31" i="17"/>
  <c r="V34" i="17"/>
  <c r="G30" i="17"/>
  <c r="G27" i="17" s="1"/>
  <c r="G11" i="17" s="1"/>
  <c r="G4" i="17" s="1"/>
  <c r="L29" i="17"/>
  <c r="I15" i="17"/>
  <c r="I12" i="17"/>
  <c r="I6" i="17"/>
  <c r="F30" i="17"/>
  <c r="F27" i="17" s="1"/>
  <c r="G22" i="17"/>
  <c r="H12" i="17"/>
  <c r="H11" i="17" s="1"/>
  <c r="H4" i="17" s="1"/>
  <c r="H6" i="17"/>
  <c r="V7" i="17"/>
  <c r="L35" i="17"/>
  <c r="L34" i="17"/>
  <c r="L32" i="17"/>
  <c r="E30" i="17"/>
  <c r="L26" i="17"/>
  <c r="L25" i="17"/>
  <c r="F22" i="17"/>
  <c r="L19" i="17"/>
  <c r="G15" i="17"/>
  <c r="G12" i="17"/>
  <c r="S6" i="17"/>
  <c r="V20" i="17"/>
  <c r="D30" i="17"/>
  <c r="E22" i="17"/>
  <c r="L21" i="17"/>
  <c r="L18" i="17"/>
  <c r="E15" i="17"/>
  <c r="F12" i="17"/>
  <c r="L8" i="17"/>
  <c r="F6" i="17"/>
  <c r="K30" i="17"/>
  <c r="D22" i="17"/>
  <c r="L20" i="17"/>
  <c r="L14" i="17"/>
  <c r="E12" i="17"/>
  <c r="E6" i="17"/>
  <c r="J30" i="17"/>
  <c r="J27" i="17" s="1"/>
  <c r="K22" i="17"/>
  <c r="L16" i="17"/>
  <c r="D15" i="17"/>
  <c r="L10" i="17"/>
  <c r="L9" i="17"/>
  <c r="D6" i="17"/>
  <c r="R12" i="17"/>
  <c r="S22" i="17"/>
  <c r="S27" i="17"/>
  <c r="I30" i="17"/>
  <c r="I27" i="17"/>
  <c r="J22" i="17"/>
  <c r="K15" i="17"/>
  <c r="K12" i="17"/>
  <c r="K6" i="17"/>
  <c r="E27" i="17"/>
  <c r="E11" i="17" s="1"/>
  <c r="E4" i="17" s="1"/>
  <c r="D27" i="17"/>
  <c r="K27" i="17"/>
  <c r="V10" i="17"/>
  <c r="V18" i="17"/>
  <c r="P22" i="17"/>
  <c r="P11" i="17" s="1"/>
  <c r="V35" i="17"/>
  <c r="L17" i="17"/>
  <c r="L13" i="17"/>
  <c r="O22" i="17"/>
  <c r="V32" i="17"/>
  <c r="L33" i="17"/>
  <c r="R22" i="17"/>
  <c r="F15" i="17"/>
  <c r="P6" i="17"/>
  <c r="V8" i="17"/>
  <c r="V19" i="17"/>
  <c r="L7" i="17"/>
  <c r="L23" i="17"/>
  <c r="S12" i="17"/>
  <c r="V29" i="17"/>
  <c r="Q30" i="17"/>
  <c r="L31" i="17"/>
  <c r="T12" i="17"/>
  <c r="T15" i="17"/>
  <c r="V23" i="17"/>
  <c r="N30" i="17"/>
  <c r="N27" i="17" s="1"/>
  <c r="R30" i="17"/>
  <c r="R15" i="17"/>
  <c r="R11" i="17" s="1"/>
  <c r="R4" i="17" s="1"/>
  <c r="T6" i="17"/>
  <c r="V21" i="17"/>
  <c r="V24" i="17"/>
  <c r="V26" i="17"/>
  <c r="V33" i="17"/>
  <c r="Q6" i="17"/>
  <c r="N22" i="17"/>
  <c r="T30" i="17"/>
  <c r="T27" i="17" s="1"/>
  <c r="Q27" i="17"/>
  <c r="Q22" i="17"/>
  <c r="O15" i="17"/>
  <c r="S30" i="17"/>
  <c r="U6" i="17"/>
  <c r="O30" i="17"/>
  <c r="O27" i="17" s="1"/>
  <c r="U27" i="17"/>
  <c r="Q12" i="17"/>
  <c r="N15" i="17"/>
  <c r="V16" i="17"/>
  <c r="N6" i="17"/>
  <c r="V17" i="17"/>
  <c r="N12" i="17"/>
  <c r="V13" i="17"/>
  <c r="V9" i="17"/>
  <c r="V14" i="17"/>
  <c r="Q15" i="17"/>
  <c r="V30" i="17"/>
  <c r="V28" i="17"/>
  <c r="V25" i="17"/>
  <c r="U20" i="17"/>
  <c r="H516" i="1"/>
  <c r="G516" i="1"/>
  <c r="H515" i="1"/>
  <c r="G515" i="1"/>
  <c r="AG12" i="18" l="1"/>
  <c r="AC11" i="18"/>
  <c r="AC4" i="18" s="1"/>
  <c r="V5" i="18"/>
  <c r="AG15" i="18"/>
  <c r="F5" i="18"/>
  <c r="K5" i="18"/>
  <c r="M21" i="18"/>
  <c r="M28" i="18"/>
  <c r="L5" i="18"/>
  <c r="M35" i="18"/>
  <c r="M33" i="18"/>
  <c r="M31" i="18"/>
  <c r="M17" i="18"/>
  <c r="S5" i="18"/>
  <c r="R5" i="18"/>
  <c r="D5" i="18"/>
  <c r="M9" i="18"/>
  <c r="M29" i="18"/>
  <c r="M8" i="18"/>
  <c r="M10" i="18"/>
  <c r="M19" i="18"/>
  <c r="M16" i="18"/>
  <c r="U5" i="18"/>
  <c r="M18" i="18"/>
  <c r="M24" i="18"/>
  <c r="M20" i="18"/>
  <c r="E5" i="18"/>
  <c r="M26" i="18"/>
  <c r="G5" i="18"/>
  <c r="M22" i="18"/>
  <c r="M25" i="18"/>
  <c r="M23" i="18"/>
  <c r="M7" i="18"/>
  <c r="M34" i="18"/>
  <c r="M15" i="18"/>
  <c r="H5" i="18"/>
  <c r="M27" i="18"/>
  <c r="M12" i="18"/>
  <c r="M14" i="18"/>
  <c r="J5" i="18"/>
  <c r="M30" i="18"/>
  <c r="I5" i="18"/>
  <c r="M32" i="18"/>
  <c r="M13" i="18"/>
  <c r="M6" i="18"/>
  <c r="V27" i="17"/>
  <c r="I11" i="17"/>
  <c r="I4" i="17" s="1"/>
  <c r="D11" i="17"/>
  <c r="D4" i="17" s="1"/>
  <c r="S11" i="17"/>
  <c r="S4" i="17" s="1"/>
  <c r="F11" i="17"/>
  <c r="F4" i="17" s="1"/>
  <c r="J11" i="17"/>
  <c r="J4" i="17" s="1"/>
  <c r="V22" i="17"/>
  <c r="K11" i="17"/>
  <c r="K4" i="17" s="1"/>
  <c r="O11" i="17"/>
  <c r="O4" i="17" s="1"/>
  <c r="V6" i="17"/>
  <c r="N11" i="17"/>
  <c r="N4" i="17" s="1"/>
  <c r="L22" i="17"/>
  <c r="T11" i="17"/>
  <c r="T4" i="17" s="1"/>
  <c r="L15" i="17"/>
  <c r="L30" i="17"/>
  <c r="L6" i="17"/>
  <c r="P4" i="17"/>
  <c r="L12" i="17"/>
  <c r="Q11" i="17"/>
  <c r="Q4" i="17" s="1"/>
  <c r="U11" i="17"/>
  <c r="U4" i="17" s="1"/>
  <c r="V12" i="17"/>
  <c r="V15" i="17"/>
  <c r="V11" i="17" s="1"/>
  <c r="K35" i="14"/>
  <c r="J35" i="14"/>
  <c r="I35" i="14"/>
  <c r="H35" i="14"/>
  <c r="F35" i="14"/>
  <c r="E35" i="14"/>
  <c r="D35" i="14"/>
  <c r="K26" i="14"/>
  <c r="J26" i="14"/>
  <c r="I26" i="14"/>
  <c r="H26" i="14"/>
  <c r="F26" i="14"/>
  <c r="E26" i="14"/>
  <c r="D26" i="14"/>
  <c r="H527" i="1"/>
  <c r="G527" i="1"/>
  <c r="H526" i="1"/>
  <c r="G526" i="1"/>
  <c r="H525" i="1"/>
  <c r="G525" i="1"/>
  <c r="H524" i="1"/>
  <c r="G524" i="1"/>
  <c r="H523" i="1"/>
  <c r="G523" i="1"/>
  <c r="H522" i="1"/>
  <c r="G522" i="1"/>
  <c r="H521" i="1"/>
  <c r="G521" i="1"/>
  <c r="H520" i="1"/>
  <c r="G520" i="1"/>
  <c r="AG11" i="18" l="1"/>
  <c r="L11" i="17"/>
  <c r="L4" i="17" s="1"/>
  <c r="M6" i="17" s="1"/>
  <c r="V4" i="17"/>
  <c r="Q5" i="17" s="1"/>
  <c r="H167" i="1"/>
  <c r="G167" i="1"/>
  <c r="H166" i="1"/>
  <c r="G166" i="1"/>
  <c r="H165" i="1"/>
  <c r="G165" i="1"/>
  <c r="H164" i="1"/>
  <c r="G164" i="1"/>
  <c r="H163" i="1"/>
  <c r="H162" i="1" s="1"/>
  <c r="G163" i="1"/>
  <c r="G162" i="1" s="1"/>
  <c r="AG4" i="18" l="1"/>
  <c r="L5" i="17"/>
  <c r="M35" i="17"/>
  <c r="M21" i="17"/>
  <c r="M9" i="17"/>
  <c r="M32" i="17"/>
  <c r="M18" i="17"/>
  <c r="M29" i="17"/>
  <c r="M34" i="17"/>
  <c r="M28" i="17"/>
  <c r="M26" i="17"/>
  <c r="M8" i="17"/>
  <c r="M25" i="17"/>
  <c r="M24" i="17"/>
  <c r="M20" i="17"/>
  <c r="M19" i="17"/>
  <c r="M14" i="17"/>
  <c r="M16" i="17"/>
  <c r="M10" i="17"/>
  <c r="J5" i="17"/>
  <c r="M17" i="17"/>
  <c r="M31" i="17"/>
  <c r="M13" i="17"/>
  <c r="M33" i="17"/>
  <c r="I5" i="17"/>
  <c r="F5" i="17"/>
  <c r="D5" i="17"/>
  <c r="E5" i="17"/>
  <c r="M23" i="17"/>
  <c r="H5" i="17"/>
  <c r="M27" i="17"/>
  <c r="K5" i="17"/>
  <c r="G5" i="17"/>
  <c r="M7" i="17"/>
  <c r="M11" i="17"/>
  <c r="M12" i="17"/>
  <c r="M15" i="17"/>
  <c r="M22" i="17"/>
  <c r="M30" i="17"/>
  <c r="W15" i="17"/>
  <c r="N5" i="17"/>
  <c r="U5" i="17"/>
  <c r="R5" i="17"/>
  <c r="S5" i="17"/>
  <c r="V38" i="17"/>
  <c r="V5" i="17"/>
  <c r="P5" i="17"/>
  <c r="W34" i="17"/>
  <c r="W32" i="17"/>
  <c r="W31" i="17"/>
  <c r="O5" i="17"/>
  <c r="T5" i="17"/>
  <c r="W35" i="17"/>
  <c r="W33" i="17"/>
  <c r="W22" i="17"/>
  <c r="W27" i="17"/>
  <c r="W6" i="17"/>
  <c r="W30" i="17"/>
  <c r="W12" i="17"/>
  <c r="W11" i="17"/>
  <c r="H371" i="1"/>
  <c r="G371" i="1"/>
  <c r="H147" i="1" l="1"/>
  <c r="G147" i="1"/>
  <c r="H103" i="1"/>
  <c r="G103" i="1"/>
  <c r="H101" i="1"/>
  <c r="G101" i="1"/>
  <c r="H62" i="1" l="1"/>
  <c r="G62" i="1"/>
  <c r="H54" i="1"/>
  <c r="G54" i="1"/>
  <c r="H55" i="1"/>
  <c r="G55" i="1"/>
  <c r="H1701" i="1"/>
  <c r="G1701" i="1"/>
  <c r="H1700" i="1"/>
  <c r="G1700" i="1"/>
  <c r="H1699" i="1"/>
  <c r="G1699" i="1"/>
  <c r="H1698" i="1"/>
  <c r="G1698" i="1"/>
  <c r="H1697" i="1"/>
  <c r="G1697" i="1"/>
  <c r="H1696" i="1"/>
  <c r="G1696" i="1"/>
  <c r="H1695" i="1"/>
  <c r="G1695" i="1"/>
  <c r="H1694" i="1"/>
  <c r="G1694" i="1"/>
  <c r="H1693" i="1"/>
  <c r="G1693" i="1"/>
  <c r="H1692" i="1"/>
  <c r="G1692" i="1"/>
  <c r="H1691" i="1"/>
  <c r="G1691" i="1"/>
  <c r="H1690" i="1"/>
  <c r="G1690" i="1"/>
  <c r="H1688" i="1"/>
  <c r="G1688" i="1"/>
  <c r="H1686" i="1"/>
  <c r="G1686" i="1"/>
  <c r="H1685" i="1"/>
  <c r="G1685" i="1"/>
  <c r="H1684" i="1"/>
  <c r="G1684" i="1"/>
  <c r="H1682" i="1"/>
  <c r="G1682" i="1"/>
  <c r="H1681" i="1"/>
  <c r="G1681" i="1"/>
  <c r="H1679" i="1"/>
  <c r="G1679" i="1"/>
  <c r="H1678" i="1"/>
  <c r="G1678" i="1"/>
  <c r="H1677" i="1"/>
  <c r="G1677" i="1"/>
  <c r="H1675" i="1"/>
  <c r="G1675" i="1"/>
  <c r="H1674" i="1"/>
  <c r="G1674" i="1"/>
  <c r="H1673" i="1"/>
  <c r="G1673" i="1"/>
  <c r="H1670" i="1"/>
  <c r="G1670" i="1"/>
  <c r="H1669" i="1"/>
  <c r="G1669" i="1"/>
  <c r="H1668" i="1"/>
  <c r="G1668" i="1"/>
  <c r="H1666" i="1"/>
  <c r="G1666" i="1"/>
  <c r="H1664" i="1"/>
  <c r="G1664" i="1"/>
  <c r="H1663" i="1"/>
  <c r="G1663" i="1"/>
  <c r="H1662" i="1"/>
  <c r="G1662" i="1"/>
  <c r="H1661" i="1"/>
  <c r="G1661" i="1"/>
  <c r="H1660" i="1"/>
  <c r="G1660" i="1"/>
  <c r="H1658" i="1"/>
  <c r="G1658" i="1"/>
  <c r="H1657" i="1"/>
  <c r="G1657" i="1"/>
  <c r="H1656" i="1"/>
  <c r="G1656" i="1"/>
  <c r="H1653" i="1"/>
  <c r="G1653" i="1"/>
  <c r="H1652" i="1"/>
  <c r="G1652" i="1"/>
  <c r="H1651" i="1"/>
  <c r="G1651" i="1"/>
  <c r="H1650" i="1"/>
  <c r="G1650" i="1"/>
  <c r="H1649" i="1"/>
  <c r="G1649" i="1"/>
  <c r="H1647" i="1"/>
  <c r="G1647" i="1"/>
  <c r="H1646" i="1"/>
  <c r="G1646" i="1"/>
  <c r="H1645" i="1"/>
  <c r="G1645" i="1"/>
  <c r="H1642" i="1"/>
  <c r="G1642" i="1"/>
  <c r="H1641" i="1"/>
  <c r="G1641" i="1"/>
  <c r="H1639" i="1"/>
  <c r="G1639" i="1"/>
  <c r="H1638" i="1"/>
  <c r="G1638" i="1"/>
  <c r="H1637" i="1"/>
  <c r="G1637" i="1"/>
  <c r="H1635" i="1"/>
  <c r="G1635" i="1"/>
  <c r="H1634" i="1"/>
  <c r="G1634" i="1"/>
  <c r="H1631" i="1"/>
  <c r="G1631" i="1"/>
  <c r="H1630" i="1"/>
  <c r="G1630" i="1"/>
  <c r="H1629" i="1"/>
  <c r="G1629" i="1"/>
  <c r="H1627" i="1"/>
  <c r="G1627" i="1"/>
  <c r="H1626" i="1"/>
  <c r="G1626" i="1"/>
  <c r="H1625" i="1"/>
  <c r="G1625" i="1"/>
  <c r="H1623" i="1"/>
  <c r="G1623" i="1"/>
  <c r="H1622" i="1"/>
  <c r="G1622" i="1"/>
  <c r="H1619" i="1"/>
  <c r="G1619" i="1"/>
  <c r="H1618" i="1"/>
  <c r="G1618" i="1"/>
  <c r="H1617" i="1"/>
  <c r="G1617" i="1"/>
  <c r="H1615" i="1"/>
  <c r="G1615" i="1"/>
  <c r="H1613" i="1"/>
  <c r="G1613" i="1"/>
  <c r="H1611" i="1"/>
  <c r="G1611" i="1"/>
  <c r="H1610" i="1"/>
  <c r="G1610" i="1"/>
  <c r="H1609" i="1"/>
  <c r="G1609" i="1"/>
  <c r="H1608" i="1"/>
  <c r="G1608" i="1"/>
  <c r="H1607" i="1"/>
  <c r="G1607" i="1"/>
  <c r="H1605" i="1"/>
  <c r="G1605" i="1"/>
  <c r="H1604" i="1"/>
  <c r="G1604" i="1"/>
  <c r="H1603" i="1"/>
  <c r="G1603" i="1"/>
  <c r="H1602" i="1"/>
  <c r="G1602" i="1"/>
  <c r="H1601" i="1"/>
  <c r="G1601" i="1"/>
  <c r="H1600" i="1"/>
  <c r="G1600" i="1"/>
  <c r="H1598" i="1"/>
  <c r="G1598" i="1"/>
  <c r="H1596" i="1"/>
  <c r="G1596" i="1"/>
  <c r="H1595" i="1"/>
  <c r="G1595" i="1"/>
  <c r="H1594" i="1"/>
  <c r="G1594" i="1"/>
  <c r="H1592" i="1"/>
  <c r="G1592" i="1"/>
  <c r="H1590" i="1"/>
  <c r="G1590" i="1"/>
  <c r="H1588" i="1"/>
  <c r="G1588" i="1"/>
  <c r="H1587" i="1"/>
  <c r="G1587" i="1"/>
  <c r="H1586" i="1"/>
  <c r="G1586" i="1"/>
  <c r="H1585" i="1"/>
  <c r="G1585" i="1"/>
  <c r="H1584" i="1"/>
  <c r="G1584" i="1"/>
  <c r="H1582" i="1"/>
  <c r="G1582" i="1"/>
  <c r="H1581" i="1"/>
  <c r="G1581" i="1"/>
  <c r="H1580" i="1"/>
  <c r="G1580" i="1"/>
  <c r="H1579" i="1"/>
  <c r="G1579" i="1"/>
  <c r="H1578" i="1"/>
  <c r="G1578" i="1"/>
  <c r="H1577" i="1"/>
  <c r="G1577" i="1"/>
  <c r="H1575" i="1"/>
  <c r="G1575" i="1"/>
  <c r="H1573" i="1"/>
  <c r="G1573" i="1"/>
  <c r="H1572" i="1"/>
  <c r="G1572" i="1"/>
  <c r="H1570" i="1"/>
  <c r="G1570" i="1"/>
  <c r="H1569" i="1"/>
  <c r="G1569" i="1"/>
  <c r="H1568" i="1"/>
  <c r="G1568" i="1"/>
  <c r="H1567" i="1"/>
  <c r="G1567" i="1"/>
  <c r="H1566" i="1"/>
  <c r="G1566" i="1"/>
  <c r="H1565" i="1"/>
  <c r="G1565" i="1"/>
  <c r="H1563" i="1"/>
  <c r="G1563" i="1"/>
  <c r="H1561" i="1"/>
  <c r="G1561" i="1"/>
  <c r="H1559" i="1"/>
  <c r="G1559" i="1"/>
  <c r="H1557" i="1"/>
  <c r="G1557" i="1"/>
  <c r="H1556" i="1"/>
  <c r="G1556" i="1"/>
  <c r="H1554" i="1"/>
  <c r="G1554" i="1"/>
  <c r="H1553" i="1"/>
  <c r="G1553" i="1"/>
  <c r="H1552" i="1"/>
  <c r="G1552" i="1"/>
  <c r="H1549" i="1"/>
  <c r="G1549" i="1"/>
  <c r="H1548" i="1"/>
  <c r="G1548" i="1"/>
  <c r="H1547" i="1"/>
  <c r="G1547" i="1"/>
  <c r="H1546" i="1"/>
  <c r="G1546" i="1"/>
  <c r="H1544" i="1"/>
  <c r="G1544" i="1"/>
  <c r="H1543" i="1"/>
  <c r="G1543" i="1"/>
  <c r="H1542" i="1"/>
  <c r="G1542" i="1"/>
  <c r="H1541" i="1"/>
  <c r="G1541" i="1"/>
  <c r="H1540" i="1"/>
  <c r="G1540" i="1"/>
  <c r="H1539" i="1"/>
  <c r="G1539" i="1"/>
  <c r="H1538" i="1"/>
  <c r="G1538" i="1"/>
  <c r="H1536" i="1"/>
  <c r="G1536" i="1"/>
  <c r="H1535" i="1"/>
  <c r="G1535" i="1"/>
  <c r="H1534" i="1"/>
  <c r="G1534" i="1"/>
  <c r="H1531" i="1"/>
  <c r="G1531" i="1"/>
  <c r="H1530" i="1"/>
  <c r="G1530" i="1"/>
  <c r="H1528" i="1"/>
  <c r="G1528" i="1"/>
  <c r="H1527" i="1"/>
  <c r="G1527" i="1"/>
  <c r="H1524" i="1"/>
  <c r="G1524" i="1"/>
  <c r="H1523" i="1"/>
  <c r="G1523" i="1"/>
  <c r="H1522" i="1"/>
  <c r="G1522" i="1"/>
  <c r="H1521" i="1"/>
  <c r="G1521" i="1"/>
  <c r="H1520" i="1"/>
  <c r="G1520" i="1"/>
  <c r="H1518" i="1"/>
  <c r="G1518" i="1"/>
  <c r="H1517" i="1"/>
  <c r="G1517" i="1"/>
  <c r="H1515" i="1"/>
  <c r="G1515" i="1"/>
  <c r="H1513" i="1"/>
  <c r="G1513" i="1"/>
  <c r="H1511" i="1"/>
  <c r="G1511" i="1"/>
  <c r="H1510" i="1"/>
  <c r="G1510" i="1"/>
  <c r="H1506" i="1"/>
  <c r="G1506" i="1"/>
  <c r="H1505" i="1"/>
  <c r="G1505" i="1"/>
  <c r="H1504" i="1"/>
  <c r="G1504" i="1"/>
  <c r="H1503" i="1"/>
  <c r="G1503" i="1"/>
  <c r="H1501" i="1"/>
  <c r="G1501" i="1"/>
  <c r="H1500" i="1"/>
  <c r="G1500" i="1"/>
  <c r="H1499" i="1"/>
  <c r="G1499" i="1"/>
  <c r="H1498" i="1"/>
  <c r="G1498" i="1"/>
  <c r="H1497" i="1"/>
  <c r="G1497" i="1"/>
  <c r="H1496" i="1"/>
  <c r="G1496" i="1"/>
  <c r="H1495" i="1"/>
  <c r="G1495" i="1"/>
  <c r="H1493" i="1"/>
  <c r="G1493" i="1"/>
  <c r="H1492" i="1"/>
  <c r="G1492" i="1"/>
  <c r="H1491" i="1"/>
  <c r="G1491" i="1"/>
  <c r="H1489" i="1"/>
  <c r="G1489" i="1"/>
  <c r="H1488" i="1"/>
  <c r="G1488" i="1"/>
  <c r="H1486" i="1"/>
  <c r="G1486" i="1"/>
  <c r="H1485" i="1"/>
  <c r="G1485" i="1"/>
  <c r="H1482" i="1"/>
  <c r="G1482" i="1"/>
  <c r="H1481" i="1"/>
  <c r="G1481" i="1"/>
  <c r="H1480" i="1"/>
  <c r="G1480" i="1"/>
  <c r="H1479" i="1"/>
  <c r="G1479" i="1"/>
  <c r="H1478" i="1"/>
  <c r="G1478" i="1"/>
  <c r="H1476" i="1"/>
  <c r="G1476" i="1"/>
  <c r="H1475" i="1"/>
  <c r="G1475" i="1"/>
  <c r="H1473" i="1"/>
  <c r="G1473" i="1"/>
  <c r="H1471" i="1"/>
  <c r="G1471" i="1"/>
  <c r="H1470" i="1"/>
  <c r="G1470" i="1"/>
  <c r="H1468" i="1"/>
  <c r="G1468" i="1"/>
  <c r="H1467" i="1"/>
  <c r="G1467" i="1"/>
  <c r="H1462" i="1"/>
  <c r="G1462" i="1"/>
  <c r="H1461" i="1"/>
  <c r="G1461" i="1"/>
  <c r="H1460" i="1"/>
  <c r="G1460" i="1"/>
  <c r="H1459" i="1"/>
  <c r="G1459" i="1"/>
  <c r="H1458" i="1"/>
  <c r="G1458" i="1"/>
  <c r="H1457" i="1"/>
  <c r="G1457" i="1"/>
  <c r="H1455" i="1"/>
  <c r="H1454" i="1" s="1"/>
  <c r="G1455" i="1"/>
  <c r="G1454" i="1" s="1"/>
  <c r="H1453" i="1"/>
  <c r="G1453" i="1"/>
  <c r="H1452" i="1"/>
  <c r="G1452" i="1"/>
  <c r="H1451" i="1"/>
  <c r="G1451" i="1"/>
  <c r="H1450" i="1"/>
  <c r="G1450" i="1"/>
  <c r="H1448" i="1"/>
  <c r="G1448" i="1"/>
  <c r="H1447" i="1"/>
  <c r="G1447" i="1"/>
  <c r="H1446" i="1"/>
  <c r="G1446" i="1"/>
  <c r="H1445" i="1"/>
  <c r="G1445" i="1"/>
  <c r="H1444" i="1"/>
  <c r="G1444" i="1"/>
  <c r="H1443" i="1"/>
  <c r="G1443" i="1"/>
  <c r="H1442" i="1"/>
  <c r="G1442" i="1"/>
  <c r="H1441" i="1"/>
  <c r="G1441" i="1"/>
  <c r="H1440" i="1"/>
  <c r="G1440" i="1"/>
  <c r="H1438" i="1"/>
  <c r="G1438" i="1"/>
  <c r="H1437" i="1"/>
  <c r="G1437" i="1"/>
  <c r="H1436" i="1"/>
  <c r="G1436" i="1"/>
  <c r="H1435" i="1"/>
  <c r="G1435" i="1"/>
  <c r="H1434" i="1"/>
  <c r="G1434" i="1"/>
  <c r="H1433" i="1"/>
  <c r="G1433" i="1"/>
  <c r="H1432" i="1"/>
  <c r="G1432" i="1"/>
  <c r="H1431" i="1"/>
  <c r="G1431" i="1"/>
  <c r="H1430" i="1"/>
  <c r="G1430" i="1"/>
  <c r="H1429" i="1"/>
  <c r="G1429" i="1"/>
  <c r="H1428" i="1"/>
  <c r="G1428" i="1"/>
  <c r="H1427" i="1"/>
  <c r="G1427" i="1"/>
  <c r="H1426" i="1"/>
  <c r="G1426" i="1"/>
  <c r="H1425" i="1"/>
  <c r="G1425" i="1"/>
  <c r="H1424" i="1"/>
  <c r="G1424" i="1"/>
  <c r="H1423" i="1"/>
  <c r="G1423" i="1"/>
  <c r="H1422" i="1"/>
  <c r="G1422" i="1"/>
  <c r="H1421" i="1"/>
  <c r="G1421" i="1"/>
  <c r="H1420" i="1"/>
  <c r="G1420" i="1"/>
  <c r="H1419" i="1"/>
  <c r="G1419" i="1"/>
  <c r="H1418" i="1"/>
  <c r="G1418" i="1"/>
  <c r="H1417" i="1"/>
  <c r="G1417" i="1"/>
  <c r="H1416" i="1"/>
  <c r="G1416" i="1"/>
  <c r="H1415" i="1"/>
  <c r="G1415" i="1"/>
  <c r="H1414" i="1"/>
  <c r="G1414" i="1"/>
  <c r="H1413" i="1"/>
  <c r="G1413" i="1"/>
  <c r="H1412" i="1"/>
  <c r="G1412" i="1"/>
  <c r="H1411" i="1"/>
  <c r="G1411" i="1"/>
  <c r="H1410" i="1"/>
  <c r="G1410" i="1"/>
  <c r="H1409" i="1"/>
  <c r="G1409" i="1"/>
  <c r="H1408" i="1"/>
  <c r="G1408" i="1"/>
  <c r="H1407" i="1"/>
  <c r="G1407" i="1"/>
  <c r="H1406" i="1"/>
  <c r="G1406" i="1"/>
  <c r="H1405" i="1"/>
  <c r="G1405" i="1"/>
  <c r="H1404" i="1"/>
  <c r="G1404" i="1"/>
  <c r="H1403" i="1"/>
  <c r="G1403" i="1"/>
  <c r="H1402" i="1"/>
  <c r="G1402" i="1"/>
  <c r="H1401" i="1"/>
  <c r="G1401" i="1"/>
  <c r="H1400" i="1"/>
  <c r="G1400" i="1"/>
  <c r="H1399" i="1"/>
  <c r="G1399" i="1"/>
  <c r="H1398" i="1"/>
  <c r="G1398" i="1"/>
  <c r="H1397" i="1"/>
  <c r="G1397" i="1"/>
  <c r="H1396" i="1"/>
  <c r="G1396" i="1"/>
  <c r="H1395" i="1"/>
  <c r="G1395" i="1"/>
  <c r="H1394" i="1"/>
  <c r="G1394" i="1"/>
  <c r="H1393" i="1"/>
  <c r="G1393" i="1"/>
  <c r="H1392" i="1"/>
  <c r="G1392" i="1"/>
  <c r="H1391" i="1"/>
  <c r="G1391" i="1"/>
  <c r="H1390" i="1"/>
  <c r="G1390" i="1"/>
  <c r="H1389" i="1"/>
  <c r="G1389" i="1"/>
  <c r="H1388" i="1"/>
  <c r="G1388" i="1"/>
  <c r="H1387" i="1"/>
  <c r="G1387" i="1"/>
  <c r="H1386" i="1"/>
  <c r="G1386" i="1"/>
  <c r="H1385" i="1"/>
  <c r="G1385" i="1"/>
  <c r="H1384" i="1"/>
  <c r="G1384" i="1"/>
  <c r="H1383" i="1"/>
  <c r="G1383" i="1"/>
  <c r="H1382" i="1"/>
  <c r="G1382" i="1"/>
  <c r="H1381" i="1"/>
  <c r="G1381" i="1"/>
  <c r="H1380" i="1"/>
  <c r="G1380" i="1"/>
  <c r="H1379" i="1"/>
  <c r="G1379" i="1"/>
  <c r="H1378" i="1"/>
  <c r="G1378" i="1"/>
  <c r="H1377" i="1"/>
  <c r="G1377" i="1"/>
  <c r="H1376" i="1"/>
  <c r="G1376" i="1"/>
  <c r="H1375" i="1"/>
  <c r="G1375" i="1"/>
  <c r="H1374" i="1"/>
  <c r="G1374" i="1"/>
  <c r="H1373" i="1"/>
  <c r="G1373" i="1"/>
  <c r="H1372" i="1"/>
  <c r="G1372" i="1"/>
  <c r="H1371" i="1"/>
  <c r="G1371" i="1"/>
  <c r="H1370" i="1"/>
  <c r="G1370" i="1"/>
  <c r="H1369" i="1"/>
  <c r="G1369" i="1"/>
  <c r="H1368" i="1"/>
  <c r="G1368" i="1"/>
  <c r="H1367" i="1"/>
  <c r="G1367" i="1"/>
  <c r="H1366" i="1"/>
  <c r="G1366" i="1"/>
  <c r="H1365" i="1"/>
  <c r="G1365" i="1"/>
  <c r="H1364" i="1"/>
  <c r="G1364" i="1"/>
  <c r="H1363" i="1"/>
  <c r="G1363" i="1"/>
  <c r="H1361" i="1"/>
  <c r="H1360" i="1" s="1"/>
  <c r="G1361" i="1"/>
  <c r="G1360" i="1" s="1"/>
  <c r="H1359" i="1"/>
  <c r="G1359" i="1"/>
  <c r="H1358" i="1"/>
  <c r="G1358" i="1"/>
  <c r="H1357" i="1"/>
  <c r="G1357" i="1"/>
  <c r="H1356" i="1"/>
  <c r="G1356" i="1"/>
  <c r="H1355" i="1"/>
  <c r="G1355" i="1"/>
  <c r="Q1353" i="1"/>
  <c r="H1353" i="1"/>
  <c r="G1353" i="1"/>
  <c r="H1352" i="1"/>
  <c r="G1352" i="1"/>
  <c r="Q1351" i="1"/>
  <c r="G1449" i="1" l="1"/>
  <c r="H1362" i="1"/>
  <c r="H1449" i="1"/>
  <c r="H1550" i="1"/>
  <c r="H1654" i="1"/>
  <c r="H1671" i="1"/>
  <c r="H1628" i="1"/>
  <c r="G1508" i="1"/>
  <c r="H1351" i="1"/>
  <c r="G1550" i="1"/>
  <c r="G1654" i="1"/>
  <c r="G1628" i="1"/>
  <c r="G1465" i="1"/>
  <c r="H1465" i="1"/>
  <c r="G1354" i="1"/>
  <c r="G1597" i="1"/>
  <c r="H1525" i="1"/>
  <c r="G1456" i="1"/>
  <c r="G1667" i="1"/>
  <c r="G1362" i="1"/>
  <c r="H1456" i="1"/>
  <c r="G1525" i="1"/>
  <c r="G1671" i="1"/>
  <c r="G1483" i="1"/>
  <c r="H1508" i="1"/>
  <c r="H1507" i="1" s="1"/>
  <c r="G1574" i="1"/>
  <c r="G1636" i="1"/>
  <c r="G1351" i="1"/>
  <c r="H1354" i="1"/>
  <c r="H1483" i="1"/>
  <c r="H1574" i="1"/>
  <c r="H1636" i="1"/>
  <c r="H1667" i="1"/>
  <c r="G1643" i="1"/>
  <c r="H1597" i="1"/>
  <c r="H1643" i="1"/>
  <c r="H1620" i="1" l="1"/>
  <c r="G1507" i="1"/>
  <c r="H1464" i="1"/>
  <c r="H1463" i="1" s="1"/>
  <c r="H1350" i="1"/>
  <c r="H1349" i="1" s="1"/>
  <c r="G1464" i="1"/>
  <c r="G1463" i="1" s="1"/>
  <c r="G1350" i="1"/>
  <c r="G1348" i="1" s="1"/>
  <c r="G1620" i="1"/>
  <c r="G616" i="1"/>
  <c r="G1349" i="1" l="1"/>
  <c r="H1348" i="1"/>
  <c r="H359" i="1"/>
  <c r="G359" i="1"/>
  <c r="H409" i="1"/>
  <c r="G409" i="1"/>
  <c r="H408" i="1"/>
  <c r="G408" i="1"/>
  <c r="H407" i="1"/>
  <c r="G407" i="1"/>
  <c r="H385" i="1"/>
  <c r="G385" i="1"/>
  <c r="H384" i="1"/>
  <c r="G384" i="1"/>
  <c r="H383" i="1"/>
  <c r="G383" i="1"/>
  <c r="H382" i="1"/>
  <c r="G382" i="1"/>
  <c r="H381" i="1"/>
  <c r="G381" i="1"/>
  <c r="H380" i="1"/>
  <c r="G380" i="1"/>
  <c r="H379" i="1"/>
  <c r="G379" i="1"/>
  <c r="H369" i="1"/>
  <c r="G369" i="1"/>
  <c r="H368" i="1"/>
  <c r="G368" i="1"/>
  <c r="H367" i="1"/>
  <c r="G367" i="1"/>
  <c r="H366" i="1"/>
  <c r="G366" i="1"/>
  <c r="H365" i="1"/>
  <c r="G365" i="1"/>
  <c r="H364" i="1"/>
  <c r="G364" i="1"/>
  <c r="H150" i="1"/>
  <c r="G150" i="1"/>
  <c r="H149" i="1"/>
  <c r="G149" i="1"/>
  <c r="H148" i="1"/>
  <c r="G148" i="1"/>
  <c r="H146" i="1"/>
  <c r="G146" i="1"/>
  <c r="H406" i="1" l="1"/>
  <c r="H61" i="1"/>
  <c r="G61" i="1"/>
  <c r="H63" i="1"/>
  <c r="G63" i="1"/>
  <c r="H60" i="1"/>
  <c r="G60" i="1"/>
  <c r="H59" i="1"/>
  <c r="G59" i="1"/>
  <c r="H2112" i="1" l="1"/>
  <c r="G2112" i="1"/>
  <c r="H2111" i="1"/>
  <c r="G2111" i="1"/>
  <c r="H1904" i="1"/>
  <c r="G1904" i="1"/>
  <c r="H1903" i="1"/>
  <c r="G1903" i="1"/>
  <c r="H1902" i="1"/>
  <c r="G1902" i="1"/>
  <c r="H1900" i="1"/>
  <c r="G1900" i="1"/>
  <c r="H1899" i="1"/>
  <c r="G1899" i="1"/>
  <c r="H1898" i="1"/>
  <c r="G1898" i="1"/>
  <c r="H1897" i="1"/>
  <c r="G1897" i="1"/>
  <c r="H1896" i="1"/>
  <c r="G1896" i="1"/>
  <c r="H1894" i="1"/>
  <c r="G1894" i="1"/>
  <c r="H1893" i="1"/>
  <c r="G1893" i="1"/>
  <c r="H1892" i="1"/>
  <c r="G1892" i="1"/>
  <c r="H1889" i="1"/>
  <c r="G1889" i="1"/>
  <c r="H1888" i="1"/>
  <c r="G1888" i="1"/>
  <c r="H1887" i="1"/>
  <c r="G1887" i="1"/>
  <c r="H1886" i="1"/>
  <c r="G1886" i="1"/>
  <c r="H1885" i="1"/>
  <c r="G1885" i="1"/>
  <c r="H1883" i="1"/>
  <c r="G1883" i="1"/>
  <c r="H1882" i="1"/>
  <c r="G1882" i="1"/>
  <c r="H1881" i="1"/>
  <c r="G1881" i="1"/>
  <c r="H1878" i="1"/>
  <c r="G1878" i="1"/>
  <c r="H1877" i="1"/>
  <c r="G1877" i="1"/>
  <c r="H1875" i="1"/>
  <c r="G1875" i="1"/>
  <c r="H1874" i="1"/>
  <c r="G1874" i="1"/>
  <c r="H1873" i="1"/>
  <c r="G1873" i="1"/>
  <c r="H1871" i="1"/>
  <c r="G1871" i="1"/>
  <c r="H1870" i="1"/>
  <c r="G1870" i="1"/>
  <c r="H1867" i="1"/>
  <c r="G1867" i="1"/>
  <c r="H1866" i="1"/>
  <c r="G1866" i="1"/>
  <c r="H1865" i="1"/>
  <c r="G1865" i="1"/>
  <c r="H1863" i="1"/>
  <c r="G1863" i="1"/>
  <c r="H1862" i="1"/>
  <c r="G1862" i="1"/>
  <c r="H1861" i="1"/>
  <c r="G1861" i="1"/>
  <c r="H1859" i="1"/>
  <c r="G1859" i="1"/>
  <c r="H1858" i="1"/>
  <c r="G1858" i="1"/>
  <c r="H1855" i="1"/>
  <c r="G1855" i="1"/>
  <c r="H1854" i="1"/>
  <c r="G1854" i="1"/>
  <c r="H1853" i="1"/>
  <c r="G1853" i="1"/>
  <c r="H1851" i="1"/>
  <c r="G1851" i="1"/>
  <c r="H1849" i="1"/>
  <c r="G1849" i="1"/>
  <c r="H1847" i="1"/>
  <c r="G1847" i="1"/>
  <c r="H1846" i="1"/>
  <c r="G1846" i="1"/>
  <c r="H1845" i="1"/>
  <c r="G1845" i="1"/>
  <c r="H1844" i="1"/>
  <c r="G1844" i="1"/>
  <c r="H1843" i="1"/>
  <c r="G1843" i="1"/>
  <c r="H1841" i="1"/>
  <c r="G1841" i="1"/>
  <c r="H1840" i="1"/>
  <c r="G1840" i="1"/>
  <c r="H1839" i="1"/>
  <c r="G1839" i="1"/>
  <c r="H1838" i="1"/>
  <c r="G1838" i="1"/>
  <c r="H1837" i="1"/>
  <c r="G1837" i="1"/>
  <c r="H1836" i="1"/>
  <c r="G1836" i="1"/>
  <c r="H1834" i="1"/>
  <c r="G1834" i="1"/>
  <c r="H1832" i="1"/>
  <c r="G1832" i="1"/>
  <c r="H1831" i="1"/>
  <c r="G1831" i="1"/>
  <c r="H1830" i="1"/>
  <c r="G1830" i="1"/>
  <c r="H1828" i="1"/>
  <c r="G1828" i="1"/>
  <c r="H1826" i="1"/>
  <c r="G1826" i="1"/>
  <c r="H1824" i="1"/>
  <c r="G1824" i="1"/>
  <c r="H1823" i="1"/>
  <c r="G1823" i="1"/>
  <c r="H1822" i="1"/>
  <c r="G1822" i="1"/>
  <c r="H1821" i="1"/>
  <c r="G1821" i="1"/>
  <c r="H1820" i="1"/>
  <c r="G1820" i="1"/>
  <c r="H1818" i="1"/>
  <c r="G1818" i="1"/>
  <c r="H1817" i="1"/>
  <c r="G1817" i="1"/>
  <c r="H1816" i="1"/>
  <c r="G1816" i="1"/>
  <c r="H1815" i="1"/>
  <c r="G1815" i="1"/>
  <c r="H1814" i="1"/>
  <c r="G1814" i="1"/>
  <c r="H1813" i="1"/>
  <c r="G1813" i="1"/>
  <c r="H1811" i="1"/>
  <c r="G1811" i="1"/>
  <c r="H1809" i="1"/>
  <c r="G1809" i="1"/>
  <c r="H1808" i="1"/>
  <c r="G1808" i="1"/>
  <c r="H1806" i="1"/>
  <c r="G1806" i="1"/>
  <c r="H1805" i="1"/>
  <c r="G1805" i="1"/>
  <c r="H1804" i="1"/>
  <c r="G1804" i="1"/>
  <c r="H1803" i="1"/>
  <c r="G1803" i="1"/>
  <c r="H1802" i="1"/>
  <c r="G1802" i="1"/>
  <c r="H1801" i="1"/>
  <c r="G1801" i="1"/>
  <c r="H1799" i="1"/>
  <c r="G1799" i="1"/>
  <c r="H1797" i="1"/>
  <c r="G1797" i="1"/>
  <c r="H1795" i="1"/>
  <c r="G1795" i="1"/>
  <c r="H1793" i="1"/>
  <c r="G1793" i="1"/>
  <c r="H1792" i="1"/>
  <c r="G1792" i="1"/>
  <c r="H1790" i="1"/>
  <c r="G1790" i="1"/>
  <c r="H1789" i="1"/>
  <c r="G1789" i="1"/>
  <c r="H1788" i="1"/>
  <c r="G1788" i="1"/>
  <c r="H1785" i="1"/>
  <c r="G1785" i="1"/>
  <c r="H1784" i="1"/>
  <c r="G1784" i="1"/>
  <c r="H1783" i="1"/>
  <c r="G1783" i="1"/>
  <c r="H1782" i="1"/>
  <c r="G1782" i="1"/>
  <c r="H1780" i="1"/>
  <c r="G1780" i="1"/>
  <c r="H1779" i="1"/>
  <c r="G1779" i="1"/>
  <c r="H1778" i="1"/>
  <c r="G1778" i="1"/>
  <c r="H1777" i="1"/>
  <c r="G1777" i="1"/>
  <c r="H1776" i="1"/>
  <c r="G1776" i="1"/>
  <c r="H1775" i="1"/>
  <c r="G1775" i="1"/>
  <c r="H1774" i="1"/>
  <c r="G1774" i="1"/>
  <c r="H1772" i="1"/>
  <c r="G1772" i="1"/>
  <c r="H1771" i="1"/>
  <c r="G1771" i="1"/>
  <c r="H1770" i="1"/>
  <c r="G1770" i="1"/>
  <c r="H1767" i="1"/>
  <c r="G1767" i="1"/>
  <c r="H1765" i="1"/>
  <c r="G1765" i="1"/>
  <c r="H1764" i="1"/>
  <c r="G1764" i="1"/>
  <c r="H1761" i="1"/>
  <c r="G1761" i="1"/>
  <c r="H1760" i="1"/>
  <c r="G1760" i="1"/>
  <c r="H1759" i="1"/>
  <c r="G1759" i="1"/>
  <c r="H1758" i="1"/>
  <c r="G1758" i="1"/>
  <c r="H1756" i="1"/>
  <c r="G1756" i="1"/>
  <c r="H1755" i="1"/>
  <c r="G1755" i="1"/>
  <c r="H1753" i="1"/>
  <c r="G1753" i="1"/>
  <c r="H1751" i="1"/>
  <c r="G1751" i="1"/>
  <c r="H1749" i="1"/>
  <c r="G1749" i="1"/>
  <c r="H1748" i="1"/>
  <c r="G1748" i="1"/>
  <c r="H1744" i="1"/>
  <c r="G1744" i="1"/>
  <c r="H1743" i="1"/>
  <c r="G1743" i="1"/>
  <c r="H1742" i="1"/>
  <c r="G1742" i="1"/>
  <c r="H1741" i="1"/>
  <c r="G1741" i="1"/>
  <c r="H1739" i="1"/>
  <c r="G1739" i="1"/>
  <c r="H1738" i="1"/>
  <c r="G1738" i="1"/>
  <c r="H1737" i="1"/>
  <c r="G1737" i="1"/>
  <c r="H1736" i="1"/>
  <c r="G1736" i="1"/>
  <c r="H1735" i="1"/>
  <c r="G1735" i="1"/>
  <c r="H1734" i="1"/>
  <c r="G1734" i="1"/>
  <c r="H1733" i="1"/>
  <c r="G1733" i="1"/>
  <c r="H1731" i="1"/>
  <c r="G1731" i="1"/>
  <c r="H1730" i="1"/>
  <c r="G1730" i="1"/>
  <c r="H1729" i="1"/>
  <c r="G1729" i="1"/>
  <c r="H1727" i="1"/>
  <c r="G1727" i="1"/>
  <c r="H1725" i="1"/>
  <c r="G1725" i="1"/>
  <c r="H1724" i="1"/>
  <c r="G1724" i="1"/>
  <c r="H1721" i="1"/>
  <c r="G1721" i="1"/>
  <c r="H1720" i="1"/>
  <c r="G1720" i="1"/>
  <c r="H1719" i="1"/>
  <c r="G1719" i="1"/>
  <c r="H1718" i="1"/>
  <c r="G1718" i="1"/>
  <c r="H1716" i="1"/>
  <c r="G1716" i="1"/>
  <c r="H1715" i="1"/>
  <c r="G1715" i="1"/>
  <c r="H1713" i="1"/>
  <c r="G1713" i="1"/>
  <c r="H1711" i="1"/>
  <c r="G1711" i="1"/>
  <c r="H1709" i="1"/>
  <c r="G1709" i="1"/>
  <c r="H1708" i="1"/>
  <c r="G1708" i="1"/>
  <c r="H1762" i="1" l="1"/>
  <c r="G1722" i="1"/>
  <c r="G1762" i="1"/>
  <c r="G1746" i="1"/>
  <c r="H1722" i="1"/>
  <c r="H1706" i="1"/>
  <c r="G1706" i="1"/>
  <c r="G1705" i="1" s="1"/>
  <c r="H1746" i="1"/>
  <c r="H1745" i="1" l="1"/>
  <c r="G1745" i="1"/>
  <c r="G1703" i="1" s="1"/>
  <c r="G1702" i="1" s="1"/>
  <c r="G1347" i="1" s="1"/>
  <c r="H1705" i="1"/>
  <c r="H1703" i="1" l="1"/>
  <c r="H1702" i="1" s="1"/>
  <c r="H1347" i="1" s="1"/>
  <c r="H869" i="1"/>
  <c r="G869" i="1"/>
  <c r="H868" i="1"/>
  <c r="G868" i="1"/>
  <c r="H866" i="1"/>
  <c r="G866" i="1"/>
  <c r="H865" i="1"/>
  <c r="G865" i="1"/>
  <c r="H864" i="1"/>
  <c r="G864" i="1"/>
  <c r="H863" i="1"/>
  <c r="G863" i="1"/>
  <c r="H862" i="1"/>
  <c r="G862" i="1"/>
  <c r="H861" i="1"/>
  <c r="G861" i="1"/>
  <c r="H860" i="1"/>
  <c r="G860" i="1"/>
  <c r="H859" i="1"/>
  <c r="G859" i="1"/>
  <c r="H858" i="1"/>
  <c r="G858" i="1"/>
  <c r="H857" i="1"/>
  <c r="G857" i="1"/>
  <c r="H856" i="1"/>
  <c r="G856" i="1"/>
  <c r="H855" i="1"/>
  <c r="G855" i="1"/>
  <c r="H854" i="1"/>
  <c r="G854" i="1"/>
  <c r="H853" i="1"/>
  <c r="G853" i="1"/>
  <c r="H852" i="1"/>
  <c r="G852" i="1"/>
  <c r="H851" i="1"/>
  <c r="G851" i="1"/>
  <c r="H850" i="1"/>
  <c r="G850" i="1"/>
  <c r="H849" i="1"/>
  <c r="G849" i="1"/>
  <c r="H846" i="1"/>
  <c r="H845" i="1" s="1"/>
  <c r="G846" i="1"/>
  <c r="G845" i="1" s="1"/>
  <c r="H844" i="1"/>
  <c r="G844" i="1"/>
  <c r="H843" i="1"/>
  <c r="G843" i="1"/>
  <c r="H842" i="1"/>
  <c r="G842" i="1"/>
  <c r="H841" i="1"/>
  <c r="G841" i="1"/>
  <c r="H840" i="1"/>
  <c r="G840" i="1"/>
  <c r="H839" i="1"/>
  <c r="G839" i="1"/>
  <c r="H838" i="1"/>
  <c r="G838" i="1"/>
  <c r="H837" i="1"/>
  <c r="H836" i="1"/>
  <c r="G836" i="1"/>
  <c r="H835" i="1"/>
  <c r="G835" i="1"/>
  <c r="H834" i="1"/>
  <c r="H546" i="1"/>
  <c r="G546" i="1"/>
  <c r="G833" i="1" l="1"/>
  <c r="H847" i="1"/>
  <c r="H833" i="1" s="1"/>
  <c r="H832" i="1" s="1"/>
  <c r="G847" i="1"/>
  <c r="G832" i="1" s="1"/>
  <c r="H2093" i="1" l="1"/>
  <c r="G2093" i="1"/>
  <c r="H2092" i="1"/>
  <c r="G2092"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G330" i="1" s="1"/>
  <c r="H332" i="1"/>
  <c r="G332" i="1"/>
  <c r="H331" i="1"/>
  <c r="G331" i="1"/>
  <c r="H330" i="1" l="1"/>
  <c r="I32" i="14" l="1"/>
  <c r="I25" i="14"/>
  <c r="I24" i="14"/>
  <c r="I23" i="14"/>
  <c r="I20" i="14"/>
  <c r="I19" i="14"/>
  <c r="I18" i="14"/>
  <c r="I16" i="14"/>
  <c r="I10" i="14"/>
  <c r="I9" i="14"/>
  <c r="I8" i="14"/>
  <c r="H34" i="14"/>
  <c r="H25" i="14"/>
  <c r="H24" i="14"/>
  <c r="H23" i="14"/>
  <c r="H20" i="14"/>
  <c r="H19" i="14"/>
  <c r="H18" i="14"/>
  <c r="H16" i="14"/>
  <c r="H10" i="14"/>
  <c r="H9" i="14"/>
  <c r="H8" i="14"/>
  <c r="H95" i="1"/>
  <c r="G95" i="1"/>
  <c r="H94" i="1"/>
  <c r="G94" i="1"/>
  <c r="H93" i="1"/>
  <c r="G93" i="1"/>
  <c r="H22" i="14" l="1"/>
  <c r="H1253" i="1" l="1"/>
  <c r="G1253" i="1"/>
  <c r="H1252" i="1"/>
  <c r="G1252" i="1"/>
  <c r="H1251" i="1"/>
  <c r="G1251" i="1"/>
  <c r="H1250" i="1"/>
  <c r="G1250" i="1"/>
  <c r="H1249" i="1"/>
  <c r="G1249" i="1"/>
  <c r="H1248" i="1"/>
  <c r="G1248" i="1"/>
  <c r="H1247" i="1"/>
  <c r="G1247" i="1"/>
  <c r="H1246" i="1"/>
  <c r="G1246" i="1"/>
  <c r="H1245" i="1"/>
  <c r="G1245" i="1"/>
  <c r="H1244" i="1"/>
  <c r="G1244" i="1"/>
  <c r="H1281" i="1"/>
  <c r="G1281" i="1"/>
  <c r="H1280" i="1"/>
  <c r="G1280" i="1"/>
  <c r="H1279" i="1"/>
  <c r="G1279" i="1"/>
  <c r="H1278" i="1"/>
  <c r="G1278" i="1"/>
  <c r="H1277" i="1"/>
  <c r="G1277" i="1"/>
  <c r="H1276" i="1"/>
  <c r="G1276" i="1"/>
  <c r="H1275" i="1"/>
  <c r="G1275" i="1"/>
  <c r="H1274" i="1"/>
  <c r="G1274" i="1"/>
  <c r="H1273" i="1"/>
  <c r="G1273" i="1"/>
  <c r="H1272" i="1"/>
  <c r="G1272" i="1"/>
  <c r="H1271" i="1"/>
  <c r="G1271" i="1"/>
  <c r="H1270" i="1"/>
  <c r="G1270" i="1"/>
  <c r="H1269" i="1"/>
  <c r="G1269" i="1"/>
  <c r="H1268" i="1"/>
  <c r="G1268" i="1"/>
  <c r="H1142" i="1"/>
  <c r="G1142" i="1"/>
  <c r="H1141" i="1"/>
  <c r="G1141" i="1"/>
  <c r="H1140" i="1"/>
  <c r="G1140" i="1"/>
  <c r="H1139" i="1"/>
  <c r="G1139" i="1"/>
  <c r="H1138" i="1"/>
  <c r="G1138" i="1"/>
  <c r="H1137" i="1"/>
  <c r="G1137" i="1"/>
  <c r="H1136" i="1"/>
  <c r="G1136" i="1"/>
  <c r="H1135" i="1"/>
  <c r="G1135" i="1"/>
  <c r="H1134" i="1"/>
  <c r="G1134" i="1"/>
  <c r="H1133" i="1"/>
  <c r="G1133" i="1"/>
  <c r="H1132" i="1"/>
  <c r="G1132" i="1"/>
  <c r="H1131" i="1"/>
  <c r="G1131" i="1"/>
  <c r="H1130" i="1"/>
  <c r="G1130" i="1"/>
  <c r="H1129" i="1"/>
  <c r="G1129" i="1"/>
  <c r="H1128" i="1"/>
  <c r="G1128" i="1"/>
  <c r="H1127" i="1"/>
  <c r="G1127" i="1"/>
  <c r="H1125" i="1"/>
  <c r="G1125" i="1"/>
  <c r="H1124" i="1"/>
  <c r="G1124" i="1"/>
  <c r="H1123" i="1"/>
  <c r="G1123" i="1"/>
  <c r="H1122" i="1"/>
  <c r="G1122" i="1"/>
  <c r="H1121" i="1"/>
  <c r="G1121" i="1"/>
  <c r="H1120" i="1"/>
  <c r="G1120" i="1"/>
  <c r="H1119" i="1"/>
  <c r="G1119" i="1"/>
  <c r="H1118" i="1"/>
  <c r="G1118" i="1"/>
  <c r="H1117" i="1"/>
  <c r="G1117" i="1"/>
  <c r="H1116" i="1"/>
  <c r="G1116" i="1"/>
  <c r="H1115" i="1"/>
  <c r="G1115" i="1"/>
  <c r="H1114" i="1"/>
  <c r="G1114" i="1"/>
  <c r="H1113" i="1"/>
  <c r="G1113" i="1"/>
  <c r="H1112" i="1"/>
  <c r="G1112" i="1"/>
  <c r="H33" i="14" s="1"/>
  <c r="H1108" i="1"/>
  <c r="G1108" i="1"/>
  <c r="H1107" i="1"/>
  <c r="G1107" i="1"/>
  <c r="H1106" i="1"/>
  <c r="G1106" i="1"/>
  <c r="H1105" i="1"/>
  <c r="G1105" i="1"/>
  <c r="H1104" i="1"/>
  <c r="G1104" i="1"/>
  <c r="H1103" i="1"/>
  <c r="G1103" i="1"/>
  <c r="H1102" i="1"/>
  <c r="G1102" i="1"/>
  <c r="H1100" i="1"/>
  <c r="G1100" i="1"/>
  <c r="H1099" i="1"/>
  <c r="G1099" i="1"/>
  <c r="H1097" i="1"/>
  <c r="G1097" i="1"/>
  <c r="H1096" i="1"/>
  <c r="G1096" i="1"/>
  <c r="H1095" i="1"/>
  <c r="G1095" i="1"/>
  <c r="H1093" i="1"/>
  <c r="G1093" i="1"/>
  <c r="H1092" i="1"/>
  <c r="G1092" i="1"/>
  <c r="H1091" i="1"/>
  <c r="G1091" i="1"/>
  <c r="H1090" i="1"/>
  <c r="G1090" i="1"/>
  <c r="H1089" i="1"/>
  <c r="G1089" i="1"/>
  <c r="H1088" i="1"/>
  <c r="G1088" i="1"/>
  <c r="H1087" i="1"/>
  <c r="G1087" i="1"/>
  <c r="H1086" i="1"/>
  <c r="G1086" i="1"/>
  <c r="H1085" i="1"/>
  <c r="G1085" i="1"/>
  <c r="H1084" i="1"/>
  <c r="G1084" i="1"/>
  <c r="H1082" i="1"/>
  <c r="G1082" i="1"/>
  <c r="H1081" i="1"/>
  <c r="G1081" i="1"/>
  <c r="H1080" i="1"/>
  <c r="G1080" i="1"/>
  <c r="H1079" i="1"/>
  <c r="G1079" i="1"/>
  <c r="H1078" i="1"/>
  <c r="G1078" i="1"/>
  <c r="H1077" i="1"/>
  <c r="G1077" i="1"/>
  <c r="H1076" i="1"/>
  <c r="G1076" i="1"/>
  <c r="H1075" i="1"/>
  <c r="G1075" i="1"/>
  <c r="H1074" i="1"/>
  <c r="G1074" i="1"/>
  <c r="H1073" i="1"/>
  <c r="G1073" i="1"/>
  <c r="H1072" i="1"/>
  <c r="G1072" i="1"/>
  <c r="H1070" i="1"/>
  <c r="G1070" i="1"/>
  <c r="H1069" i="1"/>
  <c r="G1069" i="1"/>
  <c r="H1068" i="1"/>
  <c r="G1068" i="1"/>
  <c r="H1067" i="1"/>
  <c r="G1067" i="1"/>
  <c r="H1066" i="1"/>
  <c r="G1066" i="1"/>
  <c r="H1065" i="1"/>
  <c r="G1065" i="1"/>
  <c r="H1064" i="1"/>
  <c r="G1064" i="1"/>
  <c r="H1063" i="1"/>
  <c r="G1063" i="1"/>
  <c r="H1061" i="1"/>
  <c r="G1061" i="1"/>
  <c r="H1060" i="1"/>
  <c r="G1060" i="1"/>
  <c r="H1059" i="1"/>
  <c r="G1059" i="1"/>
  <c r="H1058" i="1"/>
  <c r="G1058" i="1"/>
  <c r="H1057" i="1"/>
  <c r="G1057" i="1"/>
  <c r="H1056" i="1"/>
  <c r="G1056" i="1"/>
  <c r="H1055" i="1"/>
  <c r="G1055" i="1"/>
  <c r="H1053" i="1"/>
  <c r="G1053" i="1"/>
  <c r="H1052" i="1"/>
  <c r="G1052" i="1"/>
  <c r="H1051" i="1"/>
  <c r="G1051" i="1"/>
  <c r="H1050" i="1"/>
  <c r="G1050" i="1"/>
  <c r="H1049" i="1"/>
  <c r="G1049" i="1"/>
  <c r="H1048" i="1"/>
  <c r="G1048" i="1"/>
  <c r="H1047" i="1"/>
  <c r="G1047" i="1"/>
  <c r="H1243" i="1" l="1"/>
  <c r="G1126" i="1"/>
  <c r="H1111" i="1"/>
  <c r="H1267" i="1"/>
  <c r="H1126" i="1"/>
  <c r="G1062" i="1"/>
  <c r="H1062" i="1"/>
  <c r="H1071" i="1"/>
  <c r="H1094" i="1"/>
  <c r="G1101" i="1"/>
  <c r="H1054" i="1"/>
  <c r="H1101" i="1"/>
  <c r="G1054" i="1"/>
  <c r="G1046" i="1"/>
  <c r="G1094" i="1"/>
  <c r="G1083" i="1"/>
  <c r="H1046" i="1"/>
  <c r="H1083" i="1"/>
  <c r="G1071" i="1"/>
  <c r="I21" i="14" l="1"/>
  <c r="G1346" i="1"/>
  <c r="G1345" i="1"/>
  <c r="G1343" i="1"/>
  <c r="G1342" i="1"/>
  <c r="G1341" i="1"/>
  <c r="G1340" i="1"/>
  <c r="G1339" i="1"/>
  <c r="G1338" i="1"/>
  <c r="G1337" i="1"/>
  <c r="G1335" i="1"/>
  <c r="G1334" i="1"/>
  <c r="G1333" i="1"/>
  <c r="G1332" i="1"/>
  <c r="G1331" i="1"/>
  <c r="G1330" i="1"/>
  <c r="G1329" i="1"/>
  <c r="G1327" i="1"/>
  <c r="G1326" i="1"/>
  <c r="G1325" i="1"/>
  <c r="G1324" i="1"/>
  <c r="G1323" i="1"/>
  <c r="G1322" i="1"/>
  <c r="G1321" i="1"/>
  <c r="G1320" i="1"/>
  <c r="G1319" i="1"/>
  <c r="G1318" i="1"/>
  <c r="G1317" i="1"/>
  <c r="G1316" i="1"/>
  <c r="G1315" i="1"/>
  <c r="G1313" i="1"/>
  <c r="G1312" i="1"/>
  <c r="G1311" i="1"/>
  <c r="G1310" i="1"/>
  <c r="G1309" i="1"/>
  <c r="G1308" i="1"/>
  <c r="G1307" i="1"/>
  <c r="G1306" i="1"/>
  <c r="G1305" i="1"/>
  <c r="G1304" i="1"/>
  <c r="G1303" i="1"/>
  <c r="G1302" i="1"/>
  <c r="G1300" i="1"/>
  <c r="G1299" i="1"/>
  <c r="G1298" i="1"/>
  <c r="G1297" i="1"/>
  <c r="G1296" i="1"/>
  <c r="G1295" i="1"/>
  <c r="G1294" i="1"/>
  <c r="G1293" i="1"/>
  <c r="G1291" i="1"/>
  <c r="G1290" i="1"/>
  <c r="G1289" i="1"/>
  <c r="G1288" i="1"/>
  <c r="G1287" i="1"/>
  <c r="G1286" i="1"/>
  <c r="G1285" i="1"/>
  <c r="G1284" i="1"/>
  <c r="G1265" i="1"/>
  <c r="G1264" i="1"/>
  <c r="G1263" i="1"/>
  <c r="G1262" i="1"/>
  <c r="G1261" i="1"/>
  <c r="G1260" i="1"/>
  <c r="G1259" i="1"/>
  <c r="G1258" i="1"/>
  <c r="G1257" i="1"/>
  <c r="G1256" i="1"/>
  <c r="G1242" i="1"/>
  <c r="G1241" i="1"/>
  <c r="G1240" i="1"/>
  <c r="G1239" i="1"/>
  <c r="G1238" i="1"/>
  <c r="G1237" i="1"/>
  <c r="G1236" i="1"/>
  <c r="G1235" i="1"/>
  <c r="G1234" i="1"/>
  <c r="G1233" i="1"/>
  <c r="G1228" i="1"/>
  <c r="G1227" i="1"/>
  <c r="G1225" i="1"/>
  <c r="G1224" i="1"/>
  <c r="G1222" i="1"/>
  <c r="G1221" i="1"/>
  <c r="G1220" i="1"/>
  <c r="G1219" i="1"/>
  <c r="G1218" i="1"/>
  <c r="G1217" i="1"/>
  <c r="G1216" i="1"/>
  <c r="G1215" i="1"/>
  <c r="G1214" i="1"/>
  <c r="G1213" i="1"/>
  <c r="G1212" i="1"/>
  <c r="G1211" i="1"/>
  <c r="G1210" i="1"/>
  <c r="G1209" i="1"/>
  <c r="G1208" i="1"/>
  <c r="G1207" i="1"/>
  <c r="G1206" i="1"/>
  <c r="G1205" i="1"/>
  <c r="G1204" i="1"/>
  <c r="G1201" i="1"/>
  <c r="G1200" i="1"/>
  <c r="G1199" i="1"/>
  <c r="G1198" i="1"/>
  <c r="G1197" i="1"/>
  <c r="G1196" i="1"/>
  <c r="G1195" i="1"/>
  <c r="G1193" i="1"/>
  <c r="G1192"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59" i="1"/>
  <c r="G1158" i="1"/>
  <c r="G1157" i="1"/>
  <c r="G1155" i="1"/>
  <c r="G1154" i="1"/>
  <c r="G1153" i="1"/>
  <c r="G1150" i="1"/>
  <c r="G1149" i="1"/>
  <c r="G1147" i="1"/>
  <c r="G1146" i="1"/>
  <c r="G1145" i="1"/>
  <c r="G1144" i="1"/>
  <c r="I34" i="14" s="1"/>
  <c r="G1044" i="1"/>
  <c r="G1043" i="1"/>
  <c r="G1041" i="1"/>
  <c r="G1040" i="1"/>
  <c r="G1039" i="1"/>
  <c r="G1038" i="1"/>
  <c r="G1037" i="1"/>
  <c r="G1036" i="1"/>
  <c r="G1035" i="1"/>
  <c r="G1033" i="1"/>
  <c r="G1032" i="1"/>
  <c r="G1031" i="1"/>
  <c r="G1030" i="1"/>
  <c r="G1029" i="1"/>
  <c r="G1028" i="1"/>
  <c r="G1027" i="1"/>
  <c r="G1025" i="1"/>
  <c r="G1024" i="1"/>
  <c r="G1023" i="1"/>
  <c r="G1022" i="1"/>
  <c r="G1021" i="1"/>
  <c r="G1020" i="1"/>
  <c r="G1019" i="1"/>
  <c r="G1018" i="1"/>
  <c r="G1017" i="1"/>
  <c r="G1016" i="1"/>
  <c r="G1015" i="1"/>
  <c r="G1014" i="1"/>
  <c r="G1013" i="1"/>
  <c r="G1011" i="1"/>
  <c r="G1010" i="1"/>
  <c r="G1009" i="1"/>
  <c r="G1008" i="1"/>
  <c r="G1007" i="1"/>
  <c r="G1006" i="1"/>
  <c r="G1005" i="1"/>
  <c r="G1004" i="1"/>
  <c r="G1003" i="1"/>
  <c r="G1002" i="1"/>
  <c r="G1001" i="1"/>
  <c r="G1000" i="1"/>
  <c r="G998" i="1"/>
  <c r="G997" i="1"/>
  <c r="G996" i="1"/>
  <c r="G995" i="1"/>
  <c r="G994" i="1"/>
  <c r="G993" i="1"/>
  <c r="G992" i="1"/>
  <c r="G991" i="1"/>
  <c r="G989" i="1"/>
  <c r="G988" i="1"/>
  <c r="G987" i="1"/>
  <c r="G986" i="1"/>
  <c r="G985" i="1"/>
  <c r="G984" i="1"/>
  <c r="G983" i="1"/>
  <c r="G982" i="1"/>
  <c r="G980" i="1"/>
  <c r="G979" i="1"/>
  <c r="G978" i="1"/>
  <c r="G977" i="1"/>
  <c r="G976" i="1"/>
  <c r="G975" i="1"/>
  <c r="G974" i="1"/>
  <c r="G973" i="1"/>
  <c r="G972" i="1"/>
  <c r="G971" i="1"/>
  <c r="G970" i="1"/>
  <c r="G967" i="1"/>
  <c r="G966" i="1"/>
  <c r="G965" i="1"/>
  <c r="G964" i="1"/>
  <c r="G963" i="1"/>
  <c r="G962" i="1"/>
  <c r="G961" i="1"/>
  <c r="G960" i="1"/>
  <c r="G959" i="1"/>
  <c r="G958" i="1"/>
  <c r="G957" i="1"/>
  <c r="G956" i="1"/>
  <c r="G955" i="1"/>
  <c r="G954" i="1"/>
  <c r="G951" i="1"/>
  <c r="G950" i="1"/>
  <c r="G949" i="1"/>
  <c r="G948" i="1"/>
  <c r="G947" i="1"/>
  <c r="G946" i="1"/>
  <c r="G945" i="1"/>
  <c r="G944" i="1"/>
  <c r="G943" i="1"/>
  <c r="G942" i="1"/>
  <c r="G940" i="1"/>
  <c r="G939" i="1"/>
  <c r="G938" i="1"/>
  <c r="G937" i="1"/>
  <c r="G936" i="1"/>
  <c r="G935" i="1"/>
  <c r="G934" i="1"/>
  <c r="G933" i="1"/>
  <c r="G932" i="1"/>
  <c r="G931" i="1"/>
  <c r="G930" i="1"/>
  <c r="G929" i="1"/>
  <c r="G928" i="1"/>
  <c r="G927" i="1"/>
  <c r="G926" i="1"/>
  <c r="G925" i="1"/>
  <c r="G922" i="1"/>
  <c r="G921" i="1"/>
  <c r="G920" i="1"/>
  <c r="G919" i="1"/>
  <c r="G918" i="1"/>
  <c r="G917" i="1"/>
  <c r="G916" i="1"/>
  <c r="G915" i="1"/>
  <c r="G914" i="1"/>
  <c r="G913" i="1"/>
  <c r="G910" i="1"/>
  <c r="G909" i="1"/>
  <c r="G908" i="1"/>
  <c r="G907" i="1"/>
  <c r="G906" i="1"/>
  <c r="G905" i="1"/>
  <c r="G904" i="1"/>
  <c r="G903" i="1"/>
  <c r="G902" i="1"/>
  <c r="G901" i="1"/>
  <c r="G900" i="1"/>
  <c r="G899" i="1"/>
  <c r="G898" i="1"/>
  <c r="G897" i="1"/>
  <c r="G896" i="1"/>
  <c r="G895" i="1"/>
  <c r="G893" i="1"/>
  <c r="G892" i="1"/>
  <c r="G891" i="1"/>
  <c r="G890" i="1"/>
  <c r="G889" i="1"/>
  <c r="G887" i="1"/>
  <c r="G886" i="1"/>
  <c r="G885" i="1"/>
  <c r="G884" i="1"/>
  <c r="G883" i="1"/>
  <c r="G882" i="1"/>
  <c r="G881" i="1"/>
  <c r="G880" i="1"/>
  <c r="G879" i="1"/>
  <c r="G878" i="1"/>
  <c r="G877" i="1"/>
  <c r="G876" i="1"/>
  <c r="G875" i="1"/>
  <c r="G831" i="1"/>
  <c r="G830" i="1"/>
  <c r="G829" i="1"/>
  <c r="G828" i="1"/>
  <c r="G827" i="1"/>
  <c r="G826" i="1"/>
  <c r="G825" i="1"/>
  <c r="G824" i="1"/>
  <c r="G823" i="1"/>
  <c r="G822" i="1"/>
  <c r="G821" i="1"/>
  <c r="G820" i="1"/>
  <c r="G819" i="1"/>
  <c r="G818" i="1"/>
  <c r="G817" i="1"/>
  <c r="G813" i="1"/>
  <c r="G812" i="1"/>
  <c r="G810" i="1"/>
  <c r="G809" i="1"/>
  <c r="G807" i="1"/>
  <c r="G806" i="1"/>
  <c r="G805" i="1"/>
  <c r="G804" i="1"/>
  <c r="G803" i="1"/>
  <c r="G802" i="1"/>
  <c r="G800" i="1"/>
  <c r="G799" i="1"/>
  <c r="G798" i="1"/>
  <c r="G797" i="1"/>
  <c r="G795" i="1"/>
  <c r="G794" i="1"/>
  <c r="G793" i="1"/>
  <c r="G792" i="1"/>
  <c r="G791" i="1"/>
  <c r="G790" i="1"/>
  <c r="G789" i="1"/>
  <c r="G786" i="1"/>
  <c r="G785" i="1"/>
  <c r="G783" i="1"/>
  <c r="G782" i="1"/>
  <c r="G781" i="1"/>
  <c r="G780" i="1"/>
  <c r="G779" i="1"/>
  <c r="G778" i="1"/>
  <c r="G777" i="1"/>
  <c r="G776" i="1"/>
  <c r="G775" i="1"/>
  <c r="G774" i="1"/>
  <c r="G773" i="1"/>
  <c r="G772" i="1"/>
  <c r="G771" i="1"/>
  <c r="G770" i="1"/>
  <c r="G769" i="1"/>
  <c r="G768" i="1"/>
  <c r="G767" i="1"/>
  <c r="G766" i="1"/>
  <c r="G763" i="1"/>
  <c r="G762" i="1" s="1"/>
  <c r="G761" i="1"/>
  <c r="G760" i="1"/>
  <c r="G759" i="1"/>
  <c r="G758" i="1"/>
  <c r="G757" i="1"/>
  <c r="G756" i="1"/>
  <c r="G755" i="1"/>
  <c r="G753" i="1"/>
  <c r="G752" i="1"/>
  <c r="G749" i="1"/>
  <c r="G748" i="1"/>
  <c r="G747" i="1"/>
  <c r="G746" i="1"/>
  <c r="G745" i="1"/>
  <c r="G743" i="1"/>
  <c r="G742" i="1"/>
  <c r="G741" i="1"/>
  <c r="G740" i="1"/>
  <c r="G739" i="1"/>
  <c r="G738" i="1"/>
  <c r="G736" i="1"/>
  <c r="G735" i="1"/>
  <c r="G734" i="1"/>
  <c r="G733" i="1"/>
  <c r="G732" i="1"/>
  <c r="G731" i="1"/>
  <c r="G730" i="1"/>
  <c r="G728" i="1"/>
  <c r="G727" i="1"/>
  <c r="G726" i="1"/>
  <c r="G725" i="1"/>
  <c r="G724" i="1"/>
  <c r="G723" i="1"/>
  <c r="G722" i="1"/>
  <c r="G721" i="1"/>
  <c r="G720" i="1"/>
  <c r="G719" i="1"/>
  <c r="G718" i="1"/>
  <c r="G717" i="1"/>
  <c r="G716" i="1"/>
  <c r="G714" i="1"/>
  <c r="G713" i="1"/>
  <c r="G712" i="1"/>
  <c r="G711" i="1"/>
  <c r="G710" i="1"/>
  <c r="G709" i="1"/>
  <c r="G708" i="1"/>
  <c r="G707" i="1"/>
  <c r="G705" i="1"/>
  <c r="G704" i="1"/>
  <c r="G703" i="1"/>
  <c r="G702" i="1"/>
  <c r="G701" i="1"/>
  <c r="G700" i="1"/>
  <c r="G699" i="1"/>
  <c r="G698" i="1"/>
  <c r="G696" i="1"/>
  <c r="G695" i="1"/>
  <c r="G694" i="1"/>
  <c r="G693" i="1"/>
  <c r="G692" i="1"/>
  <c r="G691" i="1"/>
  <c r="G690" i="1"/>
  <c r="G689" i="1"/>
  <c r="G687" i="1"/>
  <c r="G686" i="1"/>
  <c r="G685" i="1"/>
  <c r="G682" i="1"/>
  <c r="G681" i="1"/>
  <c r="G680" i="1"/>
  <c r="G679" i="1"/>
  <c r="G678" i="1"/>
  <c r="G677" i="1"/>
  <c r="G676" i="1"/>
  <c r="G675" i="1"/>
  <c r="G673" i="1"/>
  <c r="G672" i="1"/>
  <c r="G671" i="1"/>
  <c r="G670" i="1"/>
  <c r="G669" i="1"/>
  <c r="G668" i="1"/>
  <c r="G667" i="1"/>
  <c r="H17" i="14" s="1"/>
  <c r="G664" i="1"/>
  <c r="G663" i="1"/>
  <c r="G662" i="1"/>
  <c r="G661" i="1"/>
  <c r="G660" i="1"/>
  <c r="G659" i="1"/>
  <c r="G658" i="1"/>
  <c r="G657" i="1"/>
  <c r="G656" i="1"/>
  <c r="G655" i="1"/>
  <c r="G653" i="1"/>
  <c r="G652" i="1"/>
  <c r="G651" i="1"/>
  <c r="G650" i="1"/>
  <c r="G649" i="1"/>
  <c r="G648" i="1"/>
  <c r="G647" i="1"/>
  <c r="G646" i="1"/>
  <c r="G645" i="1"/>
  <c r="G644" i="1"/>
  <c r="G643" i="1"/>
  <c r="G642" i="1"/>
  <c r="G641" i="1"/>
  <c r="G640" i="1"/>
  <c r="G639" i="1"/>
  <c r="G638" i="1"/>
  <c r="G637" i="1"/>
  <c r="G635" i="1"/>
  <c r="G634" i="1"/>
  <c r="G633" i="1"/>
  <c r="G632" i="1"/>
  <c r="G631" i="1"/>
  <c r="G630" i="1"/>
  <c r="G629" i="1"/>
  <c r="G628" i="1"/>
  <c r="G627" i="1"/>
  <c r="G626" i="1"/>
  <c r="G621" i="1"/>
  <c r="G620" i="1"/>
  <c r="G619" i="1"/>
  <c r="G618" i="1"/>
  <c r="G617" i="1"/>
  <c r="G614" i="1"/>
  <c r="G613" i="1"/>
  <c r="G611" i="1"/>
  <c r="G610" i="1"/>
  <c r="G609" i="1"/>
  <c r="G608" i="1"/>
  <c r="G607" i="1"/>
  <c r="G606" i="1"/>
  <c r="G605" i="1"/>
  <c r="G604" i="1"/>
  <c r="G603" i="1"/>
  <c r="G602" i="1"/>
  <c r="G601" i="1"/>
  <c r="G600" i="1"/>
  <c r="G599" i="1"/>
  <c r="G598" i="1"/>
  <c r="G597" i="1"/>
  <c r="G596" i="1"/>
  <c r="G595" i="1"/>
  <c r="G594" i="1"/>
  <c r="G591" i="1"/>
  <c r="G589" i="1"/>
  <c r="G588" i="1"/>
  <c r="G587" i="1"/>
  <c r="G586" i="1"/>
  <c r="G585" i="1"/>
  <c r="G584" i="1"/>
  <c r="G583" i="1"/>
  <c r="G582" i="1"/>
  <c r="G581" i="1"/>
  <c r="G580" i="1"/>
  <c r="G579" i="1"/>
  <c r="G576" i="1"/>
  <c r="G575" i="1"/>
  <c r="G573" i="1"/>
  <c r="G572" i="1"/>
  <c r="G571" i="1" s="1"/>
  <c r="G569" i="1"/>
  <c r="G568" i="1"/>
  <c r="G566" i="1"/>
  <c r="G565" i="1"/>
  <c r="G564" i="1"/>
  <c r="G563" i="1"/>
  <c r="G562" i="1"/>
  <c r="G561" i="1"/>
  <c r="G560" i="1"/>
  <c r="G559" i="1"/>
  <c r="G558" i="1"/>
  <c r="G557" i="1"/>
  <c r="G556" i="1"/>
  <c r="G555" i="1"/>
  <c r="G554" i="1"/>
  <c r="G553" i="1"/>
  <c r="G552" i="1"/>
  <c r="G551" i="1"/>
  <c r="G550" i="1"/>
  <c r="G549" i="1"/>
  <c r="G545" i="1"/>
  <c r="G544" i="1" s="1"/>
  <c r="G543" i="1"/>
  <c r="G542" i="1"/>
  <c r="G541" i="1"/>
  <c r="G540" i="1"/>
  <c r="G539" i="1"/>
  <c r="G538" i="1"/>
  <c r="G537" i="1"/>
  <c r="G536" i="1"/>
  <c r="G535" i="1"/>
  <c r="G534" i="1"/>
  <c r="G533" i="1"/>
  <c r="G706" i="1" l="1"/>
  <c r="G684" i="1"/>
  <c r="G911" i="1"/>
  <c r="G615" i="1"/>
  <c r="G625" i="1"/>
  <c r="G624" i="1" s="1"/>
  <c r="G674" i="1"/>
  <c r="I7" i="14"/>
  <c r="H7" i="14"/>
  <c r="G1344" i="1"/>
  <c r="H32" i="14"/>
  <c r="I31" i="14"/>
  <c r="H31" i="14"/>
  <c r="I33" i="14"/>
  <c r="I13" i="14"/>
  <c r="H13" i="14"/>
  <c r="H14" i="14" s="1"/>
  <c r="H21" i="14"/>
  <c r="G1255" i="1"/>
  <c r="G1254" i="1" s="1"/>
  <c r="G666" i="1"/>
  <c r="G1156" i="1"/>
  <c r="G1190" i="1"/>
  <c r="G873" i="1"/>
  <c r="G872" i="1" s="1"/>
  <c r="G871" i="1" s="1"/>
  <c r="G1160" i="1"/>
  <c r="G1152" i="1"/>
  <c r="G764" i="1"/>
  <c r="G750" i="1" s="1"/>
  <c r="G574" i="1"/>
  <c r="G570" i="1" s="1"/>
  <c r="G547" i="1"/>
  <c r="G532" i="1"/>
  <c r="G815" i="1" l="1"/>
  <c r="G814" i="1" s="1"/>
  <c r="G665" i="1"/>
  <c r="G623" i="1" s="1"/>
  <c r="G622" i="1" s="1"/>
  <c r="G1151" i="1"/>
  <c r="G1109" i="1" s="1"/>
  <c r="G1098" i="1" s="1"/>
  <c r="G1045" i="1" s="1"/>
  <c r="G531" i="1"/>
  <c r="H443" i="1" l="1"/>
  <c r="H444" i="1"/>
  <c r="G444" i="1"/>
  <c r="G443" i="1"/>
  <c r="H514" i="1" l="1"/>
  <c r="G514" i="1"/>
  <c r="H513" i="1"/>
  <c r="G513" i="1"/>
  <c r="H529" i="1" l="1"/>
  <c r="G529" i="1"/>
  <c r="H528" i="1"/>
  <c r="G528" i="1"/>
  <c r="H518" i="1"/>
  <c r="H512" i="1" s="1"/>
  <c r="G518" i="1"/>
  <c r="H517" i="1"/>
  <c r="G517" i="1"/>
  <c r="G512" i="1" s="1"/>
  <c r="H511" i="1"/>
  <c r="G511" i="1"/>
  <c r="H510" i="1"/>
  <c r="G510" i="1"/>
  <c r="H509" i="1"/>
  <c r="G509" i="1"/>
  <c r="H508" i="1"/>
  <c r="G508" i="1"/>
  <c r="H507" i="1"/>
  <c r="G507" i="1"/>
  <c r="H506" i="1"/>
  <c r="G506" i="1"/>
  <c r="H504" i="1"/>
  <c r="G504" i="1"/>
  <c r="H503" i="1"/>
  <c r="G503" i="1"/>
  <c r="H502" i="1"/>
  <c r="G502" i="1"/>
  <c r="H501" i="1"/>
  <c r="G501" i="1"/>
  <c r="H500" i="1"/>
  <c r="G500" i="1"/>
  <c r="H499" i="1"/>
  <c r="G499" i="1"/>
  <c r="H498" i="1"/>
  <c r="G498" i="1"/>
  <c r="H497" i="1"/>
  <c r="G497" i="1"/>
  <c r="H496" i="1"/>
  <c r="G496" i="1"/>
  <c r="H495" i="1"/>
  <c r="G495" i="1"/>
  <c r="H494" i="1"/>
  <c r="G494" i="1"/>
  <c r="H492" i="1"/>
  <c r="G492" i="1"/>
  <c r="H491" i="1"/>
  <c r="G491" i="1"/>
  <c r="H489" i="1"/>
  <c r="G489" i="1"/>
  <c r="H488" i="1"/>
  <c r="G488" i="1"/>
  <c r="H486" i="1"/>
  <c r="G486" i="1"/>
  <c r="H485" i="1"/>
  <c r="G485" i="1"/>
  <c r="H484" i="1"/>
  <c r="G484" i="1"/>
  <c r="H480" i="1"/>
  <c r="G480" i="1"/>
  <c r="H479" i="1"/>
  <c r="G479" i="1"/>
  <c r="H478" i="1"/>
  <c r="G478" i="1"/>
  <c r="H477" i="1"/>
  <c r="G477" i="1"/>
  <c r="H476" i="1"/>
  <c r="G476" i="1"/>
  <c r="H475" i="1"/>
  <c r="G475" i="1"/>
  <c r="H474" i="1"/>
  <c r="G474" i="1"/>
  <c r="H473" i="1"/>
  <c r="G473" i="1"/>
  <c r="H472" i="1"/>
  <c r="G472" i="1"/>
  <c r="H471" i="1"/>
  <c r="G471" i="1"/>
  <c r="H470" i="1"/>
  <c r="G470" i="1"/>
  <c r="G35" i="14" s="1"/>
  <c r="H468" i="1"/>
  <c r="G468" i="1"/>
  <c r="H467" i="1"/>
  <c r="H465" i="1" s="1"/>
  <c r="G467" i="1"/>
  <c r="H464" i="1"/>
  <c r="H463" i="1" s="1"/>
  <c r="G464" i="1"/>
  <c r="G463" i="1" s="1"/>
  <c r="H462" i="1"/>
  <c r="G462" i="1"/>
  <c r="H461" i="1"/>
  <c r="G461" i="1"/>
  <c r="H460" i="1"/>
  <c r="G460" i="1"/>
  <c r="H459" i="1"/>
  <c r="G459" i="1"/>
  <c r="H457" i="1"/>
  <c r="G457" i="1"/>
  <c r="H456" i="1"/>
  <c r="G456" i="1"/>
  <c r="H454" i="1"/>
  <c r="G454" i="1"/>
  <c r="H453" i="1"/>
  <c r="G453" i="1"/>
  <c r="H452" i="1"/>
  <c r="G452" i="1"/>
  <c r="H449" i="1"/>
  <c r="G449" i="1"/>
  <c r="H448" i="1"/>
  <c r="G448" i="1"/>
  <c r="H440" i="1"/>
  <c r="H439" i="1" s="1"/>
  <c r="H438" i="1" s="1"/>
  <c r="G440" i="1"/>
  <c r="G439" i="1" s="1"/>
  <c r="G438" i="1" s="1"/>
  <c r="G437" i="1"/>
  <c r="H437" i="1" s="1"/>
  <c r="G436" i="1"/>
  <c r="H436" i="1" s="1"/>
  <c r="G435" i="1"/>
  <c r="H435" i="1" s="1"/>
  <c r="G434" i="1"/>
  <c r="H434" i="1" s="1"/>
  <c r="G433" i="1"/>
  <c r="G432" i="1"/>
  <c r="H432" i="1" s="1"/>
  <c r="G431" i="1"/>
  <c r="H431" i="1" s="1"/>
  <c r="H429" i="1"/>
  <c r="G429" i="1"/>
  <c r="H428" i="1"/>
  <c r="G428" i="1"/>
  <c r="H427" i="1"/>
  <c r="G427" i="1"/>
  <c r="H426" i="1"/>
  <c r="G426" i="1"/>
  <c r="H425" i="1"/>
  <c r="G425" i="1"/>
  <c r="H424" i="1"/>
  <c r="G424" i="1"/>
  <c r="H423" i="1"/>
  <c r="G423" i="1"/>
  <c r="H422" i="1"/>
  <c r="G422" i="1"/>
  <c r="H421" i="1"/>
  <c r="G421" i="1"/>
  <c r="H420" i="1"/>
  <c r="G420" i="1"/>
  <c r="H419" i="1"/>
  <c r="G419" i="1"/>
  <c r="H417" i="1"/>
  <c r="H416" i="1" s="1"/>
  <c r="G417" i="1"/>
  <c r="G416" i="1" s="1"/>
  <c r="H415" i="1"/>
  <c r="G415" i="1"/>
  <c r="H414" i="1"/>
  <c r="G414" i="1"/>
  <c r="H412" i="1"/>
  <c r="G412" i="1"/>
  <c r="H411" i="1"/>
  <c r="G411" i="1"/>
  <c r="H405" i="1"/>
  <c r="G405" i="1"/>
  <c r="H404" i="1"/>
  <c r="G404" i="1"/>
  <c r="H403" i="1"/>
  <c r="G403" i="1"/>
  <c r="H400" i="1"/>
  <c r="G400" i="1"/>
  <c r="H399" i="1"/>
  <c r="G399" i="1"/>
  <c r="H398" i="1"/>
  <c r="G398" i="1"/>
  <c r="H395" i="1"/>
  <c r="G395" i="1"/>
  <c r="H394" i="1"/>
  <c r="G394" i="1"/>
  <c r="H392" i="1"/>
  <c r="H391" i="1" s="1"/>
  <c r="G392" i="1"/>
  <c r="G391" i="1" s="1"/>
  <c r="H390" i="1"/>
  <c r="G390" i="1"/>
  <c r="H389" i="1"/>
  <c r="G389" i="1"/>
  <c r="H386" i="1"/>
  <c r="G386" i="1"/>
  <c r="H377" i="1"/>
  <c r="H376" i="1" s="1"/>
  <c r="G377" i="1"/>
  <c r="G376" i="1" s="1"/>
  <c r="H375" i="1"/>
  <c r="G375" i="1"/>
  <c r="H374" i="1"/>
  <c r="G374" i="1"/>
  <c r="H372" i="1"/>
  <c r="G372" i="1"/>
  <c r="H370" i="1"/>
  <c r="G370" i="1"/>
  <c r="H363" i="1"/>
  <c r="G363" i="1"/>
  <c r="H362" i="1"/>
  <c r="G362" i="1"/>
  <c r="H361" i="1"/>
  <c r="G361" i="1"/>
  <c r="H360" i="1"/>
  <c r="G360" i="1"/>
  <c r="H358" i="1"/>
  <c r="G358" i="1"/>
  <c r="H357" i="1"/>
  <c r="G357" i="1"/>
  <c r="H355" i="1"/>
  <c r="G355" i="1"/>
  <c r="H354" i="1"/>
  <c r="G354" i="1"/>
  <c r="H352" i="1"/>
  <c r="G352" i="1"/>
  <c r="H351" i="1"/>
  <c r="G351" i="1"/>
  <c r="G24" i="14" s="1"/>
  <c r="G519" i="1" l="1"/>
  <c r="G26" i="14"/>
  <c r="L35" i="14"/>
  <c r="H519" i="1"/>
  <c r="G402" i="1"/>
  <c r="H483" i="1"/>
  <c r="H490" i="1"/>
  <c r="G388" i="1"/>
  <c r="G465" i="1"/>
  <c r="G373" i="1"/>
  <c r="G446" i="1"/>
  <c r="G393" i="1"/>
  <c r="G413" i="1"/>
  <c r="G455" i="1"/>
  <c r="H487" i="1"/>
  <c r="H505" i="1"/>
  <c r="G490" i="1"/>
  <c r="H455" i="1"/>
  <c r="H458" i="1"/>
  <c r="G483" i="1"/>
  <c r="G505" i="1"/>
  <c r="H402" i="1"/>
  <c r="G458" i="1"/>
  <c r="G418" i="1"/>
  <c r="H353" i="1"/>
  <c r="G410" i="1"/>
  <c r="H446" i="1"/>
  <c r="H493" i="1"/>
  <c r="H356" i="1"/>
  <c r="H388" i="1"/>
  <c r="H387" i="1" s="1"/>
  <c r="H378" i="1" s="1"/>
  <c r="G396" i="1"/>
  <c r="H410" i="1"/>
  <c r="G493" i="1"/>
  <c r="G353" i="1"/>
  <c r="H469" i="1"/>
  <c r="G430" i="1"/>
  <c r="G469" i="1"/>
  <c r="G350" i="1"/>
  <c r="H413" i="1"/>
  <c r="H350" i="1"/>
  <c r="H373" i="1"/>
  <c r="H418" i="1"/>
  <c r="G487" i="1"/>
  <c r="H396" i="1"/>
  <c r="G356" i="1"/>
  <c r="H433" i="1"/>
  <c r="H430" i="1" s="1"/>
  <c r="L26" i="14" l="1"/>
  <c r="H482" i="1"/>
  <c r="H481" i="1" s="1"/>
  <c r="G387" i="1"/>
  <c r="G378" i="1" s="1"/>
  <c r="G349" i="1" s="1"/>
  <c r="G450" i="1"/>
  <c r="G445" i="1" s="1"/>
  <c r="H401" i="1"/>
  <c r="G401" i="1"/>
  <c r="H450" i="1"/>
  <c r="H445" i="1" s="1"/>
  <c r="H442" i="1" s="1"/>
  <c r="G482" i="1"/>
  <c r="G481" i="1" s="1"/>
  <c r="H349" i="1"/>
  <c r="H348" i="1" s="1"/>
  <c r="H441" i="1" l="1"/>
  <c r="G348" i="1"/>
  <c r="G442" i="1"/>
  <c r="G441" i="1" s="1"/>
  <c r="H329" i="1"/>
  <c r="G329" i="1"/>
  <c r="H328" i="1"/>
  <c r="G328" i="1"/>
  <c r="H326" i="1"/>
  <c r="H325" i="1"/>
  <c r="H323" i="1"/>
  <c r="G322" i="1"/>
  <c r="H321" i="1"/>
  <c r="G321" i="1"/>
  <c r="H320" i="1"/>
  <c r="H318" i="1"/>
  <c r="H316" i="1"/>
  <c r="H315" i="1"/>
  <c r="G314" i="1"/>
  <c r="G313" i="1"/>
  <c r="H312" i="1"/>
  <c r="G312" i="1"/>
  <c r="H310" i="1"/>
  <c r="H304" i="1"/>
  <c r="H303" i="1"/>
  <c r="G302" i="1"/>
  <c r="H302" i="1"/>
  <c r="G301" i="1"/>
  <c r="G300" i="1"/>
  <c r="H298" i="1"/>
  <c r="G298" i="1"/>
  <c r="G297" i="1"/>
  <c r="H297" i="1"/>
  <c r="G296" i="1"/>
  <c r="H294" i="1"/>
  <c r="G294" i="1"/>
  <c r="G293" i="1"/>
  <c r="G292" i="1"/>
  <c r="G288" i="1"/>
  <c r="H287" i="1"/>
  <c r="H286" i="1" s="1"/>
  <c r="G287" i="1"/>
  <c r="G285" i="1"/>
  <c r="G284" i="1"/>
  <c r="H284" i="1" s="1"/>
  <c r="H283" i="1" s="1"/>
  <c r="H282" i="1"/>
  <c r="H281" i="1" s="1"/>
  <c r="G278" i="1"/>
  <c r="G277" i="1"/>
  <c r="H275" i="1"/>
  <c r="G274" i="1"/>
  <c r="H273" i="1"/>
  <c r="G273" i="1"/>
  <c r="G271" i="1"/>
  <c r="G270" i="1"/>
  <c r="H269" i="1"/>
  <c r="G269" i="1"/>
  <c r="G266" i="1"/>
  <c r="H266" i="1"/>
  <c r="G265" i="1"/>
  <c r="H264" i="1"/>
  <c r="G263" i="1"/>
  <c r="H347" i="1" l="1"/>
  <c r="G347" i="1"/>
  <c r="G286" i="1"/>
  <c r="H327" i="1"/>
  <c r="G327" i="1"/>
  <c r="G283" i="1"/>
  <c r="H280" i="1"/>
  <c r="H305" i="1"/>
  <c r="G326" i="1"/>
  <c r="H267" i="1"/>
  <c r="H272" i="1"/>
  <c r="H279" i="1"/>
  <c r="G282" i="1"/>
  <c r="G281" i="1" s="1"/>
  <c r="H307" i="1"/>
  <c r="H277" i="1"/>
  <c r="H292" i="1"/>
  <c r="G267" i="1"/>
  <c r="H274" i="1"/>
  <c r="G279" i="1"/>
  <c r="H311" i="1"/>
  <c r="G316" i="1"/>
  <c r="H319" i="1"/>
  <c r="H271" i="1"/>
  <c r="H276" i="1"/>
  <c r="H278" i="1"/>
  <c r="H291" i="1"/>
  <c r="H293" i="1"/>
  <c r="H296" i="1"/>
  <c r="H299" i="1"/>
  <c r="H301" i="1"/>
  <c r="G304" i="1"/>
  <c r="H306" i="1"/>
  <c r="H313" i="1"/>
  <c r="G318" i="1"/>
  <c r="H300" i="1"/>
  <c r="H314" i="1"/>
  <c r="G306" i="1"/>
  <c r="G317" i="1"/>
  <c r="G320" i="1"/>
  <c r="G324" i="1"/>
  <c r="G275" i="1"/>
  <c r="H295" i="1"/>
  <c r="H263" i="1"/>
  <c r="H265" i="1"/>
  <c r="H268" i="1"/>
  <c r="H270" i="1"/>
  <c r="G305" i="1"/>
  <c r="G310" i="1"/>
  <c r="H317" i="1"/>
  <c r="H322" i="1"/>
  <c r="H324" i="1"/>
  <c r="G264" i="1"/>
  <c r="G268" i="1"/>
  <c r="G272" i="1"/>
  <c r="G276" i="1"/>
  <c r="G325" i="1"/>
  <c r="G291" i="1"/>
  <c r="G295" i="1"/>
  <c r="G299" i="1"/>
  <c r="G303" i="1"/>
  <c r="G307" i="1"/>
  <c r="G311" i="1"/>
  <c r="G315" i="1"/>
  <c r="G319" i="1"/>
  <c r="G323" i="1"/>
  <c r="G280" i="1" l="1"/>
  <c r="G309" i="1"/>
  <c r="H309" i="1"/>
  <c r="G262" i="1"/>
  <c r="G261" i="1" s="1"/>
  <c r="H262" i="1"/>
  <c r="H261" i="1" s="1"/>
  <c r="G290" i="1"/>
  <c r="G289" i="1" s="1"/>
  <c r="H290" i="1"/>
  <c r="H289" i="1" s="1"/>
  <c r="H259" i="1" l="1"/>
  <c r="G259" i="1"/>
  <c r="H258" i="1"/>
  <c r="G258" i="1"/>
  <c r="H257" i="1"/>
  <c r="G257" i="1"/>
  <c r="H256" i="1"/>
  <c r="G256" i="1"/>
  <c r="H255" i="1"/>
  <c r="G255" i="1"/>
  <c r="H253" i="1"/>
  <c r="G253" i="1"/>
  <c r="H252" i="1"/>
  <c r="G252" i="1"/>
  <c r="H251" i="1"/>
  <c r="G251" i="1"/>
  <c r="H250" i="1"/>
  <c r="H249" i="1"/>
  <c r="G249" i="1"/>
  <c r="H248" i="1"/>
  <c r="G248" i="1"/>
  <c r="H247" i="1"/>
  <c r="G247" i="1"/>
  <c r="H246" i="1"/>
  <c r="H245" i="1"/>
  <c r="G245" i="1"/>
  <c r="H244" i="1"/>
  <c r="G244" i="1"/>
  <c r="H243" i="1"/>
  <c r="G243" i="1"/>
  <c r="H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H219" i="1"/>
  <c r="G219" i="1"/>
  <c r="H214" i="1"/>
  <c r="G214" i="1"/>
  <c r="H213" i="1"/>
  <c r="H212" i="1"/>
  <c r="G212" i="1"/>
  <c r="H211" i="1"/>
  <c r="G211" i="1"/>
  <c r="H210" i="1"/>
  <c r="G210" i="1"/>
  <c r="H209" i="1"/>
  <c r="G209" i="1"/>
  <c r="H208" i="1"/>
  <c r="G208" i="1"/>
  <c r="H207" i="1"/>
  <c r="G207" i="1"/>
  <c r="H206" i="1"/>
  <c r="G206" i="1"/>
  <c r="H205" i="1"/>
  <c r="H204" i="1"/>
  <c r="G204" i="1"/>
  <c r="H203" i="1"/>
  <c r="G203" i="1"/>
  <c r="H202" i="1"/>
  <c r="H201" i="1"/>
  <c r="H200" i="1"/>
  <c r="G200" i="1"/>
  <c r="H199" i="1"/>
  <c r="G199" i="1"/>
  <c r="H198" i="1"/>
  <c r="G198" i="1"/>
  <c r="H197" i="1"/>
  <c r="G197" i="1"/>
  <c r="H196" i="1"/>
  <c r="G196" i="1"/>
  <c r="H195" i="1"/>
  <c r="G195" i="1"/>
  <c r="H194" i="1"/>
  <c r="H192" i="1"/>
  <c r="G192" i="1"/>
  <c r="H191" i="1"/>
  <c r="G191" i="1"/>
  <c r="H189" i="1"/>
  <c r="G189" i="1"/>
  <c r="H188" i="1"/>
  <c r="G188" i="1"/>
  <c r="H187" i="1"/>
  <c r="G187" i="1"/>
  <c r="H186" i="1"/>
  <c r="G186" i="1"/>
  <c r="H185" i="1"/>
  <c r="H184" i="1"/>
  <c r="G184" i="1"/>
  <c r="H183" i="1"/>
  <c r="G183" i="1"/>
  <c r="H182" i="1"/>
  <c r="H181" i="1"/>
  <c r="G181" i="1"/>
  <c r="H180" i="1"/>
  <c r="G180" i="1"/>
  <c r="H178" i="1"/>
  <c r="G178" i="1"/>
  <c r="H177" i="1"/>
  <c r="G177" i="1"/>
  <c r="H175" i="1"/>
  <c r="H174" i="1"/>
  <c r="H172" i="1"/>
  <c r="G172" i="1"/>
  <c r="H171" i="1"/>
  <c r="G171" i="1"/>
  <c r="H168" i="1"/>
  <c r="G168" i="1"/>
  <c r="G161" i="1" s="1"/>
  <c r="H161" i="1"/>
  <c r="H160" i="1"/>
  <c r="G160" i="1"/>
  <c r="H159" i="1"/>
  <c r="G159" i="1"/>
  <c r="H158" i="1"/>
  <c r="G158" i="1"/>
  <c r="H156" i="1"/>
  <c r="G156" i="1"/>
  <c r="H155" i="1"/>
  <c r="G155" i="1"/>
  <c r="H154" i="1"/>
  <c r="G154" i="1"/>
  <c r="H153" i="1"/>
  <c r="G153" i="1"/>
  <c r="H152" i="1"/>
  <c r="G152" i="1"/>
  <c r="H151"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1" i="1"/>
  <c r="G131" i="1"/>
  <c r="H130" i="1"/>
  <c r="G130" i="1"/>
  <c r="H129" i="1"/>
  <c r="G129" i="1"/>
  <c r="H128" i="1"/>
  <c r="G128"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8" i="1"/>
  <c r="G108" i="1"/>
  <c r="H107" i="1"/>
  <c r="G107" i="1"/>
  <c r="H106" i="1"/>
  <c r="G106" i="1"/>
  <c r="H105" i="1"/>
  <c r="G105" i="1"/>
  <c r="H104" i="1"/>
  <c r="G104" i="1"/>
  <c r="H102" i="1"/>
  <c r="G102" i="1"/>
  <c r="H100" i="1"/>
  <c r="G100" i="1"/>
  <c r="H99" i="1"/>
  <c r="H98" i="1"/>
  <c r="H169" i="1" l="1"/>
  <c r="H109" i="1"/>
  <c r="H127" i="1"/>
  <c r="H132" i="1"/>
  <c r="G109" i="1"/>
  <c r="H157" i="1"/>
  <c r="H193" i="1"/>
  <c r="G170" i="1"/>
  <c r="G242" i="1"/>
  <c r="G190" i="1"/>
  <c r="G246" i="1"/>
  <c r="G250" i="1"/>
  <c r="G220" i="1"/>
  <c r="G254" i="1"/>
  <c r="G185" i="1"/>
  <c r="G182" i="1"/>
  <c r="G157" i="1"/>
  <c r="G176" i="1"/>
  <c r="G175" i="1" s="1"/>
  <c r="G174" i="1" s="1"/>
  <c r="G173" i="1" s="1"/>
  <c r="G132" i="1"/>
  <c r="G179" i="1"/>
  <c r="G205" i="1"/>
  <c r="H190" i="1"/>
  <c r="G194" i="1"/>
  <c r="G127" i="1"/>
  <c r="G99" i="1"/>
  <c r="G98" i="1" s="1"/>
  <c r="G202" i="1"/>
  <c r="G213" i="1"/>
  <c r="H97" i="1" l="1"/>
  <c r="H96" i="1" s="1"/>
  <c r="G97" i="1"/>
  <c r="G169" i="1"/>
  <c r="G201" i="1"/>
  <c r="G193" i="1" l="1"/>
  <c r="G96" i="1" s="1"/>
  <c r="H1242" i="1"/>
  <c r="H1241" i="1"/>
  <c r="H1240" i="1"/>
  <c r="H1239" i="1"/>
  <c r="H1238" i="1"/>
  <c r="H1237" i="1"/>
  <c r="H1236" i="1"/>
  <c r="H1235" i="1"/>
  <c r="H1234" i="1"/>
  <c r="H1233" i="1"/>
  <c r="H922" i="1"/>
  <c r="H921" i="1"/>
  <c r="H920" i="1"/>
  <c r="H919" i="1"/>
  <c r="H918" i="1"/>
  <c r="H917" i="1"/>
  <c r="H916" i="1"/>
  <c r="H915" i="1"/>
  <c r="H914" i="1"/>
  <c r="H913" i="1"/>
  <c r="H831" i="1"/>
  <c r="H830" i="1"/>
  <c r="H664" i="1"/>
  <c r="H663" i="1"/>
  <c r="H662" i="1"/>
  <c r="H661" i="1"/>
  <c r="H660" i="1"/>
  <c r="H659" i="1"/>
  <c r="H658" i="1"/>
  <c r="H657" i="1"/>
  <c r="H656" i="1"/>
  <c r="H655" i="1"/>
  <c r="H653" i="1"/>
  <c r="H652" i="1"/>
  <c r="H651" i="1"/>
  <c r="H650" i="1"/>
  <c r="H649" i="1"/>
  <c r="H648" i="1"/>
  <c r="H647" i="1"/>
  <c r="H646" i="1"/>
  <c r="H645" i="1"/>
  <c r="H644" i="1"/>
  <c r="H643" i="1"/>
  <c r="H642" i="1"/>
  <c r="H641" i="1"/>
  <c r="H640" i="1"/>
  <c r="H639" i="1"/>
  <c r="H638" i="1"/>
  <c r="H637" i="1"/>
  <c r="H573" i="1"/>
  <c r="H636" i="1" l="1"/>
  <c r="H654" i="1"/>
  <c r="H1232" i="1"/>
  <c r="K31" i="14"/>
  <c r="K29" i="14"/>
  <c r="K28" i="14"/>
  <c r="K25" i="14"/>
  <c r="K24" i="14"/>
  <c r="K23" i="14"/>
  <c r="K18" i="14"/>
  <c r="K17" i="14"/>
  <c r="K10" i="14"/>
  <c r="K9" i="14"/>
  <c r="K8" i="14"/>
  <c r="H2087" i="1" l="1"/>
  <c r="G2087" i="1"/>
  <c r="H2086" i="1"/>
  <c r="G2086" i="1"/>
  <c r="H2085" i="1"/>
  <c r="G2085" i="1"/>
  <c r="H2084" i="1"/>
  <c r="G2084" i="1"/>
  <c r="H2083" i="1"/>
  <c r="G2083" i="1"/>
  <c r="H2082" i="1"/>
  <c r="G2082" i="1"/>
  <c r="H2081" i="1"/>
  <c r="G2081" i="1"/>
  <c r="H2080" i="1"/>
  <c r="G2080" i="1"/>
  <c r="H2079" i="1"/>
  <c r="G2079" i="1"/>
  <c r="H2078" i="1"/>
  <c r="G2078" i="1"/>
  <c r="H2077" i="1"/>
  <c r="G2077" i="1"/>
  <c r="H2075" i="1"/>
  <c r="G2075" i="1"/>
  <c r="H2074" i="1"/>
  <c r="G2074" i="1"/>
  <c r="H2073" i="1"/>
  <c r="G2073" i="1"/>
  <c r="H2072" i="1"/>
  <c r="G2072" i="1"/>
  <c r="H2071" i="1"/>
  <c r="G2071" i="1"/>
  <c r="H2069" i="1"/>
  <c r="G2069" i="1"/>
  <c r="H2068" i="1"/>
  <c r="G2068" i="1"/>
  <c r="H2067" i="1"/>
  <c r="G2067" i="1"/>
  <c r="H2066" i="1"/>
  <c r="G2066" i="1"/>
  <c r="H2065" i="1"/>
  <c r="G2065" i="1"/>
  <c r="H2064" i="1"/>
  <c r="G2064" i="1"/>
  <c r="H2063" i="1"/>
  <c r="G2063" i="1"/>
  <c r="H2062" i="1"/>
  <c r="G2062" i="1"/>
  <c r="H2061" i="1"/>
  <c r="G2061" i="1"/>
  <c r="H2060" i="1"/>
  <c r="G2060" i="1"/>
  <c r="H2059" i="1"/>
  <c r="G2059" i="1"/>
  <c r="H2057" i="1"/>
  <c r="G2057" i="1"/>
  <c r="H2056" i="1"/>
  <c r="G2056" i="1"/>
  <c r="H2055" i="1"/>
  <c r="G2055" i="1"/>
  <c r="H2054" i="1"/>
  <c r="G2054" i="1"/>
  <c r="H2053" i="1"/>
  <c r="G2053" i="1"/>
  <c r="H2052" i="1"/>
  <c r="G2052" i="1"/>
  <c r="H2051" i="1"/>
  <c r="G2051" i="1"/>
  <c r="H2050" i="1"/>
  <c r="G2050" i="1"/>
  <c r="H2049" i="1"/>
  <c r="G2049" i="1"/>
  <c r="H2048" i="1"/>
  <c r="G2048" i="1"/>
  <c r="H2046" i="1"/>
  <c r="G2046" i="1"/>
  <c r="H2045" i="1"/>
  <c r="G2045" i="1"/>
  <c r="H2044" i="1"/>
  <c r="G2044" i="1"/>
  <c r="H2043" i="1"/>
  <c r="G2043" i="1"/>
  <c r="H2042" i="1"/>
  <c r="G2042" i="1"/>
  <c r="H2041" i="1"/>
  <c r="G2041" i="1"/>
  <c r="H2039" i="1"/>
  <c r="G2039" i="1"/>
  <c r="H2038" i="1"/>
  <c r="G2038" i="1"/>
  <c r="H2037" i="1"/>
  <c r="G2037" i="1"/>
  <c r="H2036" i="1"/>
  <c r="G2036" i="1"/>
  <c r="H2035" i="1"/>
  <c r="G2035" i="1"/>
  <c r="H2034" i="1"/>
  <c r="G2034" i="1"/>
  <c r="H2032" i="1"/>
  <c r="G2032" i="1"/>
  <c r="H2031" i="1"/>
  <c r="G2031" i="1"/>
  <c r="H2030" i="1"/>
  <c r="G2030" i="1"/>
  <c r="H2029" i="1"/>
  <c r="G2029" i="1"/>
  <c r="H2028" i="1"/>
  <c r="G2028" i="1"/>
  <c r="H2027" i="1"/>
  <c r="G2027" i="1"/>
  <c r="H2026" i="1"/>
  <c r="G2026" i="1"/>
  <c r="H2025" i="1"/>
  <c r="G2025" i="1"/>
  <c r="H2024" i="1"/>
  <c r="G2024" i="1"/>
  <c r="H2023" i="1"/>
  <c r="G2023" i="1"/>
  <c r="H2022" i="1"/>
  <c r="G2022" i="1"/>
  <c r="H2021" i="1"/>
  <c r="G2021" i="1"/>
  <c r="H2020" i="1"/>
  <c r="G2020" i="1"/>
  <c r="H2019" i="1"/>
  <c r="G2019" i="1"/>
  <c r="H2018" i="1"/>
  <c r="G2018" i="1"/>
  <c r="H2017" i="1"/>
  <c r="G2017" i="1"/>
  <c r="H2016" i="1"/>
  <c r="G2016" i="1"/>
  <c r="H2015" i="1"/>
  <c r="G2015" i="1"/>
  <c r="H2014" i="1"/>
  <c r="G2014" i="1"/>
  <c r="H2012" i="1"/>
  <c r="G2012" i="1"/>
  <c r="H2011" i="1"/>
  <c r="G2011" i="1"/>
  <c r="H2010" i="1"/>
  <c r="G2010" i="1"/>
  <c r="H2009" i="1"/>
  <c r="G2009" i="1"/>
  <c r="H2008" i="1"/>
  <c r="G2008" i="1"/>
  <c r="H2007" i="1"/>
  <c r="G2007" i="1"/>
  <c r="H2006" i="1"/>
  <c r="G2006" i="1"/>
  <c r="H2005" i="1"/>
  <c r="G2005" i="1"/>
  <c r="H2004" i="1"/>
  <c r="G2004" i="1"/>
  <c r="H2003" i="1"/>
  <c r="G2003" i="1"/>
  <c r="H2002" i="1"/>
  <c r="G2002" i="1"/>
  <c r="H2001" i="1"/>
  <c r="G2001" i="1"/>
  <c r="H2000" i="1"/>
  <c r="G2000" i="1"/>
  <c r="H1999" i="1"/>
  <c r="G1999" i="1"/>
  <c r="H1998" i="1"/>
  <c r="G1998" i="1"/>
  <c r="H1997" i="1"/>
  <c r="G1997" i="1"/>
  <c r="H1996" i="1"/>
  <c r="G1996" i="1"/>
  <c r="H1995" i="1"/>
  <c r="G1995" i="1"/>
  <c r="H1994" i="1"/>
  <c r="G1994" i="1"/>
  <c r="H1992" i="1"/>
  <c r="G1992" i="1"/>
  <c r="H1991" i="1"/>
  <c r="G1991" i="1"/>
  <c r="H1990" i="1"/>
  <c r="G1990" i="1"/>
  <c r="H1989" i="1"/>
  <c r="G1989" i="1"/>
  <c r="H1988" i="1"/>
  <c r="G1988" i="1"/>
  <c r="H1987" i="1"/>
  <c r="G1987" i="1"/>
  <c r="H1986" i="1"/>
  <c r="G1986" i="1"/>
  <c r="H1985" i="1"/>
  <c r="G1985" i="1"/>
  <c r="H1984" i="1"/>
  <c r="G1984" i="1"/>
  <c r="H1983" i="1"/>
  <c r="G1983" i="1"/>
  <c r="H1982" i="1"/>
  <c r="G1982" i="1"/>
  <c r="H1981" i="1"/>
  <c r="G1981" i="1"/>
  <c r="H1980" i="1"/>
  <c r="G1980" i="1"/>
  <c r="H1979" i="1"/>
  <c r="G1979" i="1"/>
  <c r="H1978" i="1"/>
  <c r="G1978" i="1"/>
  <c r="H1977" i="1"/>
  <c r="G1977" i="1"/>
  <c r="H1976" i="1"/>
  <c r="G1976" i="1"/>
  <c r="H1975" i="1"/>
  <c r="G1975" i="1"/>
  <c r="H1974" i="1"/>
  <c r="G1974" i="1"/>
  <c r="H1973" i="1"/>
  <c r="G1973" i="1"/>
  <c r="H1972" i="1"/>
  <c r="G1972" i="1"/>
  <c r="H1970" i="1"/>
  <c r="G1970" i="1"/>
  <c r="H1969" i="1"/>
  <c r="G1969" i="1"/>
  <c r="H1968" i="1"/>
  <c r="G1968" i="1"/>
  <c r="H1967" i="1"/>
  <c r="G1967" i="1"/>
  <c r="H1966" i="1"/>
  <c r="G1966" i="1"/>
  <c r="H1965" i="1"/>
  <c r="G1965" i="1"/>
  <c r="H1964" i="1"/>
  <c r="G1964" i="1"/>
  <c r="H1963" i="1"/>
  <c r="G1963" i="1"/>
  <c r="H1962" i="1"/>
  <c r="G1962" i="1"/>
  <c r="H1961" i="1"/>
  <c r="G1961" i="1"/>
  <c r="H1960" i="1"/>
  <c r="G1960" i="1"/>
  <c r="H1959" i="1"/>
  <c r="G1959" i="1"/>
  <c r="H1958" i="1"/>
  <c r="G1958" i="1"/>
  <c r="H1957" i="1"/>
  <c r="G1957" i="1"/>
  <c r="H1956" i="1"/>
  <c r="G1956" i="1"/>
  <c r="H1955" i="1"/>
  <c r="G1955" i="1"/>
  <c r="H1954" i="1"/>
  <c r="G1954" i="1"/>
  <c r="H1953" i="1"/>
  <c r="G1953" i="1"/>
  <c r="H1952" i="1"/>
  <c r="G1952" i="1"/>
  <c r="H1951" i="1"/>
  <c r="G1951" i="1"/>
  <c r="H1950" i="1"/>
  <c r="G1950" i="1"/>
  <c r="H1948" i="1"/>
  <c r="G1948" i="1"/>
  <c r="H1947" i="1"/>
  <c r="G1947" i="1"/>
  <c r="H1945" i="1"/>
  <c r="G1945" i="1"/>
  <c r="H1944" i="1"/>
  <c r="G1944" i="1"/>
  <c r="H1943" i="1"/>
  <c r="G1943" i="1"/>
  <c r="H1942" i="1"/>
  <c r="G1942" i="1"/>
  <c r="H1941" i="1"/>
  <c r="G1941" i="1"/>
  <c r="H1940" i="1"/>
  <c r="G1940" i="1"/>
  <c r="H1939" i="1"/>
  <c r="G1939" i="1"/>
  <c r="H1938" i="1"/>
  <c r="G1938" i="1"/>
  <c r="H1937" i="1"/>
  <c r="G1937" i="1"/>
  <c r="H1936" i="1"/>
  <c r="G1936" i="1"/>
  <c r="H1935" i="1"/>
  <c r="G1935" i="1"/>
  <c r="H1934" i="1"/>
  <c r="G1934" i="1"/>
  <c r="H1933" i="1"/>
  <c r="G1933" i="1"/>
  <c r="H1932" i="1"/>
  <c r="G1932" i="1"/>
  <c r="H1931" i="1"/>
  <c r="G1931" i="1"/>
  <c r="H1930" i="1"/>
  <c r="G1930" i="1"/>
  <c r="H1929" i="1"/>
  <c r="G1929" i="1"/>
  <c r="H1928" i="1"/>
  <c r="G1928" i="1"/>
  <c r="H2076" i="1" l="1"/>
  <c r="G2070" i="1"/>
  <c r="G2058" i="1"/>
  <c r="H2058" i="1"/>
  <c r="G2076" i="1"/>
  <c r="G2013" i="1"/>
  <c r="H1949" i="1"/>
  <c r="H2070" i="1"/>
  <c r="H2013" i="1"/>
  <c r="G2047" i="1"/>
  <c r="H2047" i="1"/>
  <c r="G1949" i="1"/>
  <c r="G1971" i="1"/>
  <c r="H1971" i="1"/>
  <c r="G1993" i="1"/>
  <c r="H1993" i="1"/>
  <c r="G1946" i="1"/>
  <c r="G1927" i="1"/>
  <c r="H1927" i="1"/>
  <c r="H1946" i="1"/>
  <c r="H2033" i="1"/>
  <c r="G2033" i="1"/>
  <c r="G2040" i="1"/>
  <c r="H2040" i="1"/>
  <c r="H1916" i="1"/>
  <c r="G1916" i="1"/>
  <c r="H1915" i="1"/>
  <c r="G1915" i="1"/>
  <c r="H1914" i="1"/>
  <c r="G1914" i="1"/>
  <c r="H1913" i="1"/>
  <c r="G1913" i="1"/>
  <c r="H1912" i="1"/>
  <c r="G1912" i="1"/>
  <c r="H1911" i="1"/>
  <c r="G1911" i="1"/>
  <c r="H1910" i="1"/>
  <c r="G1910" i="1"/>
  <c r="H1909" i="1"/>
  <c r="G1909" i="1"/>
  <c r="H1908" i="1"/>
  <c r="G1908" i="1"/>
  <c r="H1925" i="1"/>
  <c r="G1925" i="1"/>
  <c r="H1924" i="1"/>
  <c r="G1924" i="1"/>
  <c r="H1923" i="1"/>
  <c r="G1923" i="1"/>
  <c r="H1922" i="1"/>
  <c r="G1922" i="1"/>
  <c r="H1921" i="1"/>
  <c r="G1921" i="1"/>
  <c r="H1920" i="1"/>
  <c r="G1920" i="1"/>
  <c r="H1919" i="1"/>
  <c r="G1919" i="1"/>
  <c r="H1918" i="1"/>
  <c r="G1918" i="1"/>
  <c r="H1917" i="1"/>
  <c r="G1917" i="1"/>
  <c r="H73" i="1" l="1"/>
  <c r="G73" i="1"/>
  <c r="H1346" i="1" l="1"/>
  <c r="H1345" i="1"/>
  <c r="H1044" i="1"/>
  <c r="H1043" i="1"/>
  <c r="H576" i="1"/>
  <c r="H575" i="1"/>
  <c r="H614" i="1"/>
  <c r="H613" i="1"/>
  <c r="H611" i="1"/>
  <c r="H610" i="1"/>
  <c r="H609" i="1"/>
  <c r="H608" i="1"/>
  <c r="H607" i="1"/>
  <c r="H606" i="1"/>
  <c r="H605" i="1"/>
  <c r="H604" i="1"/>
  <c r="H603" i="1"/>
  <c r="H602" i="1"/>
  <c r="H601" i="1"/>
  <c r="H600" i="1"/>
  <c r="H599" i="1"/>
  <c r="H598" i="1"/>
  <c r="H597" i="1"/>
  <c r="H596" i="1"/>
  <c r="H595" i="1"/>
  <c r="H594" i="1"/>
  <c r="H591" i="1"/>
  <c r="H590" i="1" s="1"/>
  <c r="H589" i="1"/>
  <c r="H588" i="1"/>
  <c r="H587" i="1"/>
  <c r="H586" i="1"/>
  <c r="H585" i="1"/>
  <c r="H584" i="1"/>
  <c r="H583" i="1"/>
  <c r="H582" i="1"/>
  <c r="H581" i="1"/>
  <c r="H580" i="1"/>
  <c r="H579" i="1"/>
  <c r="H1284" i="1"/>
  <c r="H1285" i="1"/>
  <c r="H1286" i="1"/>
  <c r="H1287" i="1"/>
  <c r="H1288" i="1"/>
  <c r="H1289" i="1"/>
  <c r="H1290" i="1"/>
  <c r="H1291" i="1"/>
  <c r="H1343" i="1"/>
  <c r="H1342" i="1"/>
  <c r="H1341" i="1"/>
  <c r="H1340" i="1"/>
  <c r="H1339" i="1"/>
  <c r="H1338" i="1"/>
  <c r="H1337" i="1"/>
  <c r="H1335" i="1"/>
  <c r="H1334" i="1"/>
  <c r="H1333" i="1"/>
  <c r="H1332" i="1"/>
  <c r="H1331" i="1"/>
  <c r="H1330" i="1"/>
  <c r="H1329" i="1"/>
  <c r="H1327" i="1"/>
  <c r="H1326" i="1"/>
  <c r="H1325" i="1"/>
  <c r="H1324" i="1"/>
  <c r="H1323" i="1"/>
  <c r="H1322" i="1"/>
  <c r="H1321" i="1"/>
  <c r="H1320" i="1"/>
  <c r="H1319" i="1"/>
  <c r="H1318" i="1"/>
  <c r="H1317" i="1"/>
  <c r="H1316" i="1"/>
  <c r="H1315" i="1"/>
  <c r="H1313" i="1"/>
  <c r="H1312" i="1"/>
  <c r="H1311" i="1"/>
  <c r="H1310" i="1"/>
  <c r="H1309" i="1"/>
  <c r="H1308" i="1"/>
  <c r="H1307" i="1"/>
  <c r="H1306" i="1"/>
  <c r="H1305" i="1"/>
  <c r="H1304" i="1"/>
  <c r="H1303" i="1"/>
  <c r="H1302" i="1"/>
  <c r="H1300" i="1"/>
  <c r="H1299" i="1"/>
  <c r="H1298" i="1"/>
  <c r="H1297" i="1"/>
  <c r="H1296" i="1"/>
  <c r="H1295" i="1"/>
  <c r="H1294" i="1"/>
  <c r="H1293" i="1"/>
  <c r="H1265" i="1"/>
  <c r="H1264" i="1"/>
  <c r="H1263" i="1"/>
  <c r="H1262" i="1"/>
  <c r="H1261" i="1"/>
  <c r="H1260" i="1"/>
  <c r="H1259" i="1"/>
  <c r="H1258" i="1"/>
  <c r="H1257" i="1"/>
  <c r="H1256" i="1"/>
  <c r="H621" i="1"/>
  <c r="H620" i="1"/>
  <c r="H619" i="1"/>
  <c r="H618" i="1"/>
  <c r="H617" i="1"/>
  <c r="H616" i="1"/>
  <c r="H572" i="1"/>
  <c r="H967" i="1"/>
  <c r="H966" i="1"/>
  <c r="H965" i="1"/>
  <c r="H964" i="1"/>
  <c r="H963" i="1"/>
  <c r="H962" i="1"/>
  <c r="H961" i="1"/>
  <c r="H960" i="1"/>
  <c r="H959" i="1"/>
  <c r="H958" i="1"/>
  <c r="H957" i="1"/>
  <c r="H956" i="1"/>
  <c r="H955" i="1"/>
  <c r="H954" i="1"/>
  <c r="H951" i="1"/>
  <c r="H950" i="1"/>
  <c r="H949" i="1"/>
  <c r="H948" i="1"/>
  <c r="H947" i="1"/>
  <c r="H946" i="1"/>
  <c r="H945" i="1"/>
  <c r="H944" i="1"/>
  <c r="H943" i="1"/>
  <c r="H942" i="1"/>
  <c r="H940" i="1"/>
  <c r="H939" i="1"/>
  <c r="H938" i="1"/>
  <c r="H937" i="1"/>
  <c r="H936" i="1"/>
  <c r="H935" i="1"/>
  <c r="H934" i="1"/>
  <c r="H933" i="1"/>
  <c r="H932" i="1"/>
  <c r="H931" i="1"/>
  <c r="H930" i="1"/>
  <c r="H929" i="1"/>
  <c r="H928" i="1"/>
  <c r="H927" i="1"/>
  <c r="H926" i="1"/>
  <c r="H925" i="1"/>
  <c r="H1041" i="1"/>
  <c r="H1040" i="1"/>
  <c r="H1039" i="1"/>
  <c r="H1038" i="1"/>
  <c r="H1037" i="1"/>
  <c r="H1036" i="1"/>
  <c r="H1035" i="1"/>
  <c r="H1033" i="1"/>
  <c r="H1032" i="1"/>
  <c r="H1031" i="1"/>
  <c r="H1030" i="1"/>
  <c r="H1029" i="1"/>
  <c r="H1028" i="1"/>
  <c r="H1027" i="1"/>
  <c r="H1025" i="1"/>
  <c r="H1024" i="1"/>
  <c r="H1023" i="1"/>
  <c r="H1022" i="1"/>
  <c r="H1021" i="1"/>
  <c r="H1020" i="1"/>
  <c r="H1019" i="1"/>
  <c r="H1018" i="1"/>
  <c r="H1017" i="1"/>
  <c r="H1016" i="1"/>
  <c r="H1015" i="1"/>
  <c r="H1014" i="1"/>
  <c r="H1013" i="1"/>
  <c r="H1011" i="1"/>
  <c r="H1010" i="1"/>
  <c r="H1009" i="1"/>
  <c r="H1008" i="1"/>
  <c r="H1007" i="1"/>
  <c r="H1006" i="1"/>
  <c r="H1005" i="1"/>
  <c r="H1004" i="1"/>
  <c r="H1003" i="1"/>
  <c r="H1002" i="1"/>
  <c r="H1001" i="1"/>
  <c r="H1000" i="1"/>
  <c r="H998" i="1"/>
  <c r="H997" i="1"/>
  <c r="H996" i="1"/>
  <c r="H995" i="1"/>
  <c r="H994" i="1"/>
  <c r="H993" i="1"/>
  <c r="H992" i="1"/>
  <c r="H991" i="1"/>
  <c r="H989" i="1"/>
  <c r="H988" i="1"/>
  <c r="H987" i="1"/>
  <c r="H986" i="1"/>
  <c r="H985" i="1"/>
  <c r="H984" i="1"/>
  <c r="H983" i="1"/>
  <c r="H982" i="1"/>
  <c r="H980" i="1"/>
  <c r="H979" i="1"/>
  <c r="H978" i="1"/>
  <c r="H977" i="1"/>
  <c r="H976" i="1"/>
  <c r="H975" i="1"/>
  <c r="H974" i="1"/>
  <c r="H973" i="1"/>
  <c r="H972" i="1"/>
  <c r="H971" i="1"/>
  <c r="H970" i="1"/>
  <c r="H749" i="1"/>
  <c r="H748" i="1"/>
  <c r="H747" i="1"/>
  <c r="H746" i="1"/>
  <c r="H745" i="1"/>
  <c r="H743" i="1"/>
  <c r="H742" i="1"/>
  <c r="H741" i="1"/>
  <c r="H740" i="1"/>
  <c r="H739" i="1"/>
  <c r="H738" i="1"/>
  <c r="H736" i="1"/>
  <c r="H735" i="1"/>
  <c r="H734" i="1"/>
  <c r="H733" i="1"/>
  <c r="H732" i="1"/>
  <c r="H731" i="1"/>
  <c r="H730" i="1"/>
  <c r="H716" i="1"/>
  <c r="H728" i="1"/>
  <c r="H727" i="1"/>
  <c r="H726" i="1"/>
  <c r="H725" i="1"/>
  <c r="H724" i="1"/>
  <c r="H723" i="1"/>
  <c r="H722" i="1"/>
  <c r="H721" i="1"/>
  <c r="H720" i="1"/>
  <c r="H719" i="1"/>
  <c r="H718" i="1"/>
  <c r="H717" i="1"/>
  <c r="H710" i="1"/>
  <c r="H709" i="1"/>
  <c r="H708" i="1"/>
  <c r="H707" i="1"/>
  <c r="H714" i="1"/>
  <c r="H713" i="1"/>
  <c r="H712" i="1"/>
  <c r="H711" i="1"/>
  <c r="H705" i="1"/>
  <c r="H704" i="1"/>
  <c r="H703" i="1"/>
  <c r="H702" i="1"/>
  <c r="H701" i="1"/>
  <c r="H700" i="1"/>
  <c r="H699" i="1"/>
  <c r="H698" i="1"/>
  <c r="H696" i="1"/>
  <c r="H695" i="1"/>
  <c r="H694" i="1"/>
  <c r="H693" i="1"/>
  <c r="H692" i="1"/>
  <c r="H691" i="1"/>
  <c r="H690" i="1"/>
  <c r="H689" i="1"/>
  <c r="H687" i="1"/>
  <c r="H686" i="1"/>
  <c r="H685" i="1"/>
  <c r="H676" i="1"/>
  <c r="H675" i="1"/>
  <c r="H682" i="1"/>
  <c r="H681" i="1"/>
  <c r="H680" i="1"/>
  <c r="H679" i="1"/>
  <c r="H678" i="1"/>
  <c r="H677" i="1"/>
  <c r="H673" i="1"/>
  <c r="H672" i="1"/>
  <c r="H671" i="1"/>
  <c r="H670" i="1"/>
  <c r="H669" i="1"/>
  <c r="H668" i="1"/>
  <c r="H667" i="1"/>
  <c r="H629" i="1"/>
  <c r="H628" i="1"/>
  <c r="H627" i="1"/>
  <c r="H626" i="1"/>
  <c r="H684" i="1" l="1"/>
  <c r="H706" i="1"/>
  <c r="H737" i="1"/>
  <c r="H674" i="1"/>
  <c r="H1344" i="1"/>
  <c r="H571" i="1"/>
  <c r="H1042" i="1"/>
  <c r="H574" i="1"/>
  <c r="H688" i="1"/>
  <c r="H612" i="1"/>
  <c r="H697" i="1"/>
  <c r="H1255" i="1"/>
  <c r="H1254" i="1" s="1"/>
  <c r="H729" i="1"/>
  <c r="H615" i="1"/>
  <c r="H953" i="1"/>
  <c r="H952" i="1" s="1"/>
  <c r="H715" i="1"/>
  <c r="H1230" i="1"/>
  <c r="H1283" i="1"/>
  <c r="H744" i="1"/>
  <c r="H981" i="1"/>
  <c r="H990" i="1"/>
  <c r="H999" i="1"/>
  <c r="H1012" i="1"/>
  <c r="H1034" i="1"/>
  <c r="H1301" i="1"/>
  <c r="H1314" i="1"/>
  <c r="H969" i="1"/>
  <c r="H924" i="1"/>
  <c r="H941" i="1"/>
  <c r="H1292" i="1"/>
  <c r="H1328" i="1"/>
  <c r="H1336" i="1"/>
  <c r="H1026" i="1"/>
  <c r="H593" i="1"/>
  <c r="H578" i="1"/>
  <c r="H968" i="1" l="1"/>
  <c r="H570" i="1"/>
  <c r="H592" i="1"/>
  <c r="H577" i="1" s="1"/>
  <c r="H923" i="1"/>
  <c r="H1282" i="1"/>
  <c r="H911" i="1" l="1"/>
  <c r="J29" i="14" l="1"/>
  <c r="G29" i="14"/>
  <c r="F29" i="14"/>
  <c r="E29" i="14"/>
  <c r="D29" i="14"/>
  <c r="J28" i="14"/>
  <c r="G28" i="14"/>
  <c r="F28" i="14"/>
  <c r="E28" i="14"/>
  <c r="D28" i="14"/>
  <c r="I27" i="14" s="1"/>
  <c r="H766" i="1"/>
  <c r="H908" i="1"/>
  <c r="H1165" i="1"/>
  <c r="H1164" i="1"/>
  <c r="H1163" i="1"/>
  <c r="H1162" i="1"/>
  <c r="H1161" i="1"/>
  <c r="H1177" i="1"/>
  <c r="H1176" i="1"/>
  <c r="H1175" i="1"/>
  <c r="H1174" i="1"/>
  <c r="H1173" i="1"/>
  <c r="H1172" i="1"/>
  <c r="H1171" i="1"/>
  <c r="H1170" i="1"/>
  <c r="H1169" i="1"/>
  <c r="H1168" i="1"/>
  <c r="H1167" i="1"/>
  <c r="H1166" i="1"/>
  <c r="H1183" i="1"/>
  <c r="H1182" i="1"/>
  <c r="H1181" i="1"/>
  <c r="H1180" i="1"/>
  <c r="H1179" i="1"/>
  <c r="H1178" i="1"/>
  <c r="H1186" i="1"/>
  <c r="H1185" i="1"/>
  <c r="H1184" i="1"/>
  <c r="H1189" i="1"/>
  <c r="H1188" i="1"/>
  <c r="H1187" i="1"/>
  <c r="H1159" i="1"/>
  <c r="H1158" i="1"/>
  <c r="H1157" i="1"/>
  <c r="H1153" i="1"/>
  <c r="H1155" i="1"/>
  <c r="H1154"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1" i="1"/>
  <c r="H1200" i="1"/>
  <c r="H1199" i="1"/>
  <c r="H1198" i="1"/>
  <c r="H1197" i="1"/>
  <c r="H1196" i="1"/>
  <c r="H1195" i="1"/>
  <c r="H1193" i="1"/>
  <c r="H1192" i="1"/>
  <c r="H910" i="1"/>
  <c r="H909" i="1"/>
  <c r="H907" i="1"/>
  <c r="H906" i="1"/>
  <c r="H905" i="1"/>
  <c r="H904" i="1"/>
  <c r="H903" i="1"/>
  <c r="H902" i="1"/>
  <c r="H901" i="1"/>
  <c r="H900" i="1"/>
  <c r="H899" i="1"/>
  <c r="H898" i="1"/>
  <c r="H897" i="1"/>
  <c r="H896" i="1"/>
  <c r="H895" i="1"/>
  <c r="H893" i="1"/>
  <c r="H892" i="1"/>
  <c r="H891" i="1"/>
  <c r="H890" i="1"/>
  <c r="H889" i="1"/>
  <c r="H881" i="1"/>
  <c r="H880" i="1"/>
  <c r="H879" i="1"/>
  <c r="H878" i="1"/>
  <c r="H877" i="1"/>
  <c r="H876" i="1"/>
  <c r="H875" i="1"/>
  <c r="H885" i="1"/>
  <c r="H884" i="1"/>
  <c r="H883" i="1"/>
  <c r="H882" i="1"/>
  <c r="H804" i="1"/>
  <c r="O803" i="1"/>
  <c r="H803" i="1"/>
  <c r="H802" i="1"/>
  <c r="O806" i="1"/>
  <c r="H806" i="1"/>
  <c r="H805" i="1"/>
  <c r="H798" i="1"/>
  <c r="O797" i="1"/>
  <c r="H797" i="1"/>
  <c r="O789" i="1"/>
  <c r="H789" i="1"/>
  <c r="H792" i="1"/>
  <c r="O791" i="1"/>
  <c r="H791" i="1"/>
  <c r="O790" i="1"/>
  <c r="H790" i="1"/>
  <c r="O793" i="1"/>
  <c r="H793" i="1"/>
  <c r="H786" i="1"/>
  <c r="H785" i="1"/>
  <c r="H783" i="1"/>
  <c r="H782" i="1"/>
  <c r="H781" i="1"/>
  <c r="H780" i="1"/>
  <c r="H779" i="1"/>
  <c r="H778" i="1"/>
  <c r="H777" i="1"/>
  <c r="H776" i="1"/>
  <c r="H775" i="1"/>
  <c r="H774" i="1"/>
  <c r="H773" i="1"/>
  <c r="H772" i="1"/>
  <c r="H771" i="1"/>
  <c r="H770" i="1"/>
  <c r="H769" i="1"/>
  <c r="H768" i="1"/>
  <c r="H767" i="1"/>
  <c r="H763" i="1"/>
  <c r="H762" i="1" s="1"/>
  <c r="H761" i="1"/>
  <c r="H760" i="1"/>
  <c r="H759" i="1"/>
  <c r="H758" i="1"/>
  <c r="H757" i="1"/>
  <c r="H756" i="1"/>
  <c r="H755" i="1"/>
  <c r="H754" i="1"/>
  <c r="H753" i="1"/>
  <c r="H752" i="1"/>
  <c r="H751" i="1"/>
  <c r="H556" i="1"/>
  <c r="H545" i="1"/>
  <c r="H544" i="1" s="1"/>
  <c r="H1190" i="1" l="1"/>
  <c r="H1152" i="1"/>
  <c r="H1156" i="1"/>
  <c r="H1160" i="1"/>
  <c r="H764" i="1"/>
  <c r="H750" i="1" s="1"/>
  <c r="H1151" i="1" l="1"/>
  <c r="G34" i="14"/>
  <c r="G33" i="14"/>
  <c r="H53" i="1" l="1"/>
  <c r="G53" i="1"/>
  <c r="H52" i="1"/>
  <c r="G52" i="1"/>
  <c r="H51" i="1"/>
  <c r="G51" i="1"/>
  <c r="H44" i="1"/>
  <c r="G44" i="1"/>
  <c r="H43" i="1"/>
  <c r="G43" i="1"/>
  <c r="H42" i="1"/>
  <c r="G42" i="1"/>
  <c r="H41" i="1"/>
  <c r="G41" i="1"/>
  <c r="H40" i="1"/>
  <c r="G40" i="1"/>
  <c r="H38" i="1"/>
  <c r="G38" i="1"/>
  <c r="H37" i="1"/>
  <c r="G37" i="1"/>
  <c r="H36" i="1"/>
  <c r="G36" i="1"/>
  <c r="H35" i="1"/>
  <c r="G35" i="1"/>
  <c r="H34" i="1"/>
  <c r="G34" i="1"/>
  <c r="H33" i="1"/>
  <c r="G33" i="1"/>
  <c r="H77" i="1"/>
  <c r="G77" i="1"/>
  <c r="H76" i="1"/>
  <c r="G76" i="1"/>
  <c r="H75" i="1"/>
  <c r="G75" i="1"/>
  <c r="H74" i="1"/>
  <c r="G74" i="1"/>
  <c r="H72" i="1"/>
  <c r="G72" i="1"/>
  <c r="H70" i="1"/>
  <c r="G70" i="1"/>
  <c r="H69" i="1"/>
  <c r="G69" i="1"/>
  <c r="H68" i="1"/>
  <c r="G68" i="1"/>
  <c r="H67" i="1"/>
  <c r="G67" i="1"/>
  <c r="H66" i="1"/>
  <c r="G66" i="1"/>
  <c r="H65" i="1"/>
  <c r="G65" i="1"/>
  <c r="H58" i="1"/>
  <c r="G58" i="1"/>
  <c r="H57" i="1"/>
  <c r="G57" i="1"/>
  <c r="H56" i="1"/>
  <c r="G56" i="1"/>
  <c r="H50" i="1"/>
  <c r="G50" i="1"/>
  <c r="H49" i="1"/>
  <c r="G49" i="1"/>
  <c r="H48" i="1"/>
  <c r="G48" i="1"/>
  <c r="H47" i="1"/>
  <c r="G47" i="1"/>
  <c r="G46" i="1" l="1"/>
  <c r="H46" i="1"/>
  <c r="H71" i="1"/>
  <c r="G71" i="1"/>
  <c r="G64" i="1"/>
  <c r="H64" i="1"/>
  <c r="G45" i="1" l="1"/>
  <c r="G39" i="1" s="1"/>
  <c r="G32" i="1" s="1"/>
  <c r="H45" i="1"/>
  <c r="H39" i="1" s="1"/>
  <c r="H32" i="1" s="1"/>
  <c r="G20" i="14" l="1"/>
  <c r="G32" i="14" l="1"/>
  <c r="G31" i="14"/>
  <c r="G30" i="14" l="1"/>
  <c r="G27" i="14" s="1"/>
  <c r="G7" i="14" l="1"/>
  <c r="H887" i="1" l="1"/>
  <c r="H886" i="1"/>
  <c r="H92" i="1"/>
  <c r="G92" i="1"/>
  <c r="H91" i="1"/>
  <c r="G91" i="1"/>
  <c r="H90" i="1"/>
  <c r="G90" i="1"/>
  <c r="H89" i="1"/>
  <c r="G89" i="1"/>
  <c r="J7" i="14"/>
  <c r="J13" i="14"/>
  <c r="H2183" i="1"/>
  <c r="G2183" i="1"/>
  <c r="H2182" i="1"/>
  <c r="G2182" i="1"/>
  <c r="H2181" i="1"/>
  <c r="G2181" i="1"/>
  <c r="H2180" i="1"/>
  <c r="G2180" i="1"/>
  <c r="H2179" i="1"/>
  <c r="G2179" i="1"/>
  <c r="H2178" i="1"/>
  <c r="G2178" i="1"/>
  <c r="H2177" i="1"/>
  <c r="G2177" i="1"/>
  <c r="H2174" i="1"/>
  <c r="G2174" i="1"/>
  <c r="H2173" i="1"/>
  <c r="G2173" i="1"/>
  <c r="H2171" i="1"/>
  <c r="G2171" i="1"/>
  <c r="H2170" i="1"/>
  <c r="G2170" i="1"/>
  <c r="H2169" i="1"/>
  <c r="G2169" i="1"/>
  <c r="H2168" i="1"/>
  <c r="G2168" i="1"/>
  <c r="H2167" i="1"/>
  <c r="G2167" i="1"/>
  <c r="H2166" i="1"/>
  <c r="G2166" i="1"/>
  <c r="H2165" i="1"/>
  <c r="G2165" i="1"/>
  <c r="H2164" i="1"/>
  <c r="G2164" i="1"/>
  <c r="H2163" i="1"/>
  <c r="G2163" i="1"/>
  <c r="H2161" i="1"/>
  <c r="G2161" i="1"/>
  <c r="H2159" i="1"/>
  <c r="G2159" i="1"/>
  <c r="H2158" i="1"/>
  <c r="G2158" i="1"/>
  <c r="H2157" i="1"/>
  <c r="G2157" i="1"/>
  <c r="H2156" i="1"/>
  <c r="G2156" i="1"/>
  <c r="H2155" i="1"/>
  <c r="G2155" i="1"/>
  <c r="H2151" i="1"/>
  <c r="G2151" i="1"/>
  <c r="H2150" i="1"/>
  <c r="G2150" i="1"/>
  <c r="H2148" i="1"/>
  <c r="G2148" i="1"/>
  <c r="H2147" i="1"/>
  <c r="G2147" i="1"/>
  <c r="H2146" i="1"/>
  <c r="G2146" i="1"/>
  <c r="H2145" i="1"/>
  <c r="G2145" i="1"/>
  <c r="H2144" i="1"/>
  <c r="G2144" i="1"/>
  <c r="H2143" i="1"/>
  <c r="G2143" i="1"/>
  <c r="H2142" i="1"/>
  <c r="G2142" i="1"/>
  <c r="H2140" i="1"/>
  <c r="G2140" i="1"/>
  <c r="H2138" i="1"/>
  <c r="G2138" i="1"/>
  <c r="H2137" i="1"/>
  <c r="G2137" i="1"/>
  <c r="K21" i="14" s="1"/>
  <c r="H2134" i="1"/>
  <c r="G2134" i="1"/>
  <c r="H2133" i="1"/>
  <c r="G2133" i="1"/>
  <c r="H2131" i="1"/>
  <c r="G2131" i="1"/>
  <c r="H2130" i="1"/>
  <c r="G2130" i="1"/>
  <c r="H2129" i="1"/>
  <c r="G2129" i="1"/>
  <c r="H2128" i="1"/>
  <c r="G2128" i="1"/>
  <c r="H2127" i="1"/>
  <c r="G2127" i="1"/>
  <c r="H2126" i="1"/>
  <c r="G2126" i="1"/>
  <c r="H2125" i="1"/>
  <c r="G2125" i="1"/>
  <c r="H2123" i="1"/>
  <c r="G2123" i="1"/>
  <c r="H2121" i="1"/>
  <c r="G2121" i="1"/>
  <c r="H2120" i="1"/>
  <c r="G2120" i="1"/>
  <c r="H2119" i="1"/>
  <c r="G2119" i="1"/>
  <c r="H2115" i="1"/>
  <c r="G2115" i="1"/>
  <c r="H2114" i="1"/>
  <c r="G2114" i="1"/>
  <c r="H2110" i="1"/>
  <c r="G2110" i="1"/>
  <c r="H2109" i="1"/>
  <c r="G2109" i="1"/>
  <c r="H2108" i="1"/>
  <c r="G2108" i="1"/>
  <c r="H2107" i="1"/>
  <c r="G2107" i="1"/>
  <c r="H2106" i="1"/>
  <c r="G2106" i="1"/>
  <c r="H2105" i="1"/>
  <c r="G2105" i="1"/>
  <c r="H2102" i="1"/>
  <c r="G2102" i="1"/>
  <c r="H2100" i="1"/>
  <c r="G2100" i="1"/>
  <c r="H2099" i="1"/>
  <c r="G2099" i="1"/>
  <c r="H2095" i="1"/>
  <c r="G2095" i="1"/>
  <c r="H2091" i="1"/>
  <c r="G2091" i="1"/>
  <c r="H2090" i="1"/>
  <c r="G2090" i="1"/>
  <c r="G2089" i="1" s="1"/>
  <c r="H1926" i="1"/>
  <c r="G1926" i="1"/>
  <c r="H1150" i="1"/>
  <c r="H1149" i="1"/>
  <c r="H1147" i="1"/>
  <c r="H1146" i="1"/>
  <c r="H1145" i="1"/>
  <c r="H1144" i="1"/>
  <c r="H829" i="1"/>
  <c r="H828" i="1"/>
  <c r="H827" i="1"/>
  <c r="H826" i="1"/>
  <c r="H825" i="1"/>
  <c r="H824" i="1"/>
  <c r="H823" i="1"/>
  <c r="H822" i="1"/>
  <c r="H821" i="1"/>
  <c r="H820" i="1"/>
  <c r="H819" i="1"/>
  <c r="H818" i="1"/>
  <c r="H817" i="1"/>
  <c r="H813" i="1"/>
  <c r="H812" i="1"/>
  <c r="H810" i="1"/>
  <c r="H809" i="1"/>
  <c r="H807" i="1"/>
  <c r="H800" i="1"/>
  <c r="H799" i="1"/>
  <c r="H795" i="1"/>
  <c r="H794" i="1"/>
  <c r="H635" i="1"/>
  <c r="H634" i="1"/>
  <c r="H633" i="1"/>
  <c r="H632" i="1"/>
  <c r="H631" i="1"/>
  <c r="H630" i="1"/>
  <c r="H569" i="1"/>
  <c r="H568" i="1"/>
  <c r="H566" i="1"/>
  <c r="H565" i="1"/>
  <c r="H564" i="1"/>
  <c r="H563" i="1"/>
  <c r="H562" i="1"/>
  <c r="H561" i="1"/>
  <c r="H560" i="1"/>
  <c r="H559" i="1"/>
  <c r="H558" i="1"/>
  <c r="H557" i="1"/>
  <c r="H555" i="1"/>
  <c r="H554" i="1"/>
  <c r="H553" i="1"/>
  <c r="H552" i="1"/>
  <c r="H551" i="1"/>
  <c r="H550" i="1"/>
  <c r="H549" i="1"/>
  <c r="H543" i="1"/>
  <c r="H542" i="1"/>
  <c r="H541" i="1"/>
  <c r="H540" i="1"/>
  <c r="H539" i="1"/>
  <c r="H538" i="1"/>
  <c r="H537" i="1"/>
  <c r="H536" i="1"/>
  <c r="H535" i="1"/>
  <c r="H534" i="1"/>
  <c r="H533" i="1"/>
  <c r="H87" i="1"/>
  <c r="G87" i="1"/>
  <c r="H86" i="1"/>
  <c r="G86" i="1"/>
  <c r="H84" i="1"/>
  <c r="G84" i="1"/>
  <c r="H83" i="1"/>
  <c r="G83" i="1"/>
  <c r="H80" i="1"/>
  <c r="G80" i="1"/>
  <c r="H79" i="1"/>
  <c r="G79" i="1"/>
  <c r="H31" i="1"/>
  <c r="G31" i="1"/>
  <c r="H30" i="1"/>
  <c r="G30" i="1"/>
  <c r="H29" i="1"/>
  <c r="G29" i="1"/>
  <c r="H28" i="1"/>
  <c r="G28" i="1"/>
  <c r="H27" i="1"/>
  <c r="G27" i="1"/>
  <c r="H26" i="1"/>
  <c r="G26" i="1"/>
  <c r="H25" i="1"/>
  <c r="G25" i="1"/>
  <c r="H20" i="1"/>
  <c r="G20" i="1"/>
  <c r="H18" i="1"/>
  <c r="G18" i="1"/>
  <c r="H16" i="1"/>
  <c r="G16" i="1"/>
  <c r="H14" i="1"/>
  <c r="G14" i="1"/>
  <c r="H13" i="1"/>
  <c r="G13" i="1"/>
  <c r="E33" i="14"/>
  <c r="E34" i="14"/>
  <c r="F34" i="14"/>
  <c r="G88" i="1" l="1"/>
  <c r="G78" i="1"/>
  <c r="G24" i="1"/>
  <c r="G23" i="1" s="1"/>
  <c r="G22" i="1" s="1"/>
  <c r="H2089" i="1"/>
  <c r="K14" i="14"/>
  <c r="K19" i="14"/>
  <c r="H625" i="1"/>
  <c r="H624" i="1" s="1"/>
  <c r="K32" i="14"/>
  <c r="K34" i="14"/>
  <c r="K16" i="14"/>
  <c r="K33" i="14"/>
  <c r="K7" i="14"/>
  <c r="G1907" i="1"/>
  <c r="K13" i="14"/>
  <c r="H1907" i="1"/>
  <c r="H532" i="1"/>
  <c r="H547" i="1"/>
  <c r="H666" i="1"/>
  <c r="H665" i="1" s="1"/>
  <c r="L28" i="14"/>
  <c r="H873" i="1"/>
  <c r="H872" i="1" s="1"/>
  <c r="H871" i="1" s="1"/>
  <c r="H870" i="1" s="1"/>
  <c r="L29" i="14"/>
  <c r="G23" i="14"/>
  <c r="D32" i="14"/>
  <c r="H24" i="1"/>
  <c r="H23" i="1" s="1"/>
  <c r="H22" i="1" s="1"/>
  <c r="J31" i="14"/>
  <c r="D31" i="14"/>
  <c r="F31" i="14"/>
  <c r="H88" i="1"/>
  <c r="G11" i="1"/>
  <c r="H11" i="1"/>
  <c r="F32" i="14"/>
  <c r="E31" i="14"/>
  <c r="L31" i="14" l="1"/>
  <c r="H531" i="1"/>
  <c r="K12" i="14"/>
  <c r="L27" i="14"/>
  <c r="H27" i="14"/>
  <c r="D33" i="14" l="1"/>
  <c r="J34" i="14" l="1"/>
  <c r="J33" i="14"/>
  <c r="H2113" i="1" l="1"/>
  <c r="G2113" i="1"/>
  <c r="H2104" i="1"/>
  <c r="G2104" i="1"/>
  <c r="H2103" i="1"/>
  <c r="G2103" i="1"/>
  <c r="H2101" i="1"/>
  <c r="H2098" i="1"/>
  <c r="G2098" i="1"/>
  <c r="O801" i="1"/>
  <c r="O796" i="1"/>
  <c r="G2175" i="1" l="1"/>
  <c r="H811" i="1"/>
  <c r="H808" i="1"/>
  <c r="O810" i="1"/>
  <c r="H2116" i="1"/>
  <c r="G2152" i="1"/>
  <c r="H2135" i="1"/>
  <c r="G2116" i="1"/>
  <c r="H2175" i="1"/>
  <c r="H2097" i="1"/>
  <c r="G2097" i="1"/>
  <c r="H1109" i="1"/>
  <c r="H1098" i="1" s="1"/>
  <c r="H1045" i="1" s="1"/>
  <c r="G2135" i="1"/>
  <c r="H2152" i="1"/>
  <c r="H815" i="1"/>
  <c r="H814" i="1" s="1"/>
  <c r="H787" i="1" l="1"/>
  <c r="H30" i="14"/>
  <c r="O799" i="1"/>
  <c r="O794" i="1"/>
  <c r="O813" i="1"/>
  <c r="H623" i="1" l="1"/>
  <c r="H622" i="1" s="1"/>
  <c r="G25" i="14" l="1"/>
  <c r="E8" i="14" l="1"/>
  <c r="G21" i="14" l="1"/>
  <c r="F21" i="14"/>
  <c r="E21" i="14"/>
  <c r="D21" i="14"/>
  <c r="J20" i="14"/>
  <c r="F20" i="14"/>
  <c r="E20" i="14"/>
  <c r="D20" i="14"/>
  <c r="K20" i="14" l="1"/>
  <c r="L20" i="14" l="1"/>
  <c r="D34" i="14" l="1"/>
  <c r="L34" i="14" s="1"/>
  <c r="K30" i="14" l="1"/>
  <c r="K27" i="14" s="1"/>
  <c r="I30" i="14"/>
  <c r="D30" i="14"/>
  <c r="D27" i="14" s="1"/>
  <c r="G85" i="1"/>
  <c r="D13" i="14"/>
  <c r="G82" i="1"/>
  <c r="G81" i="1" l="1"/>
  <c r="G10" i="1" s="1"/>
  <c r="H81" i="1"/>
  <c r="H78" i="1"/>
  <c r="G22" i="14" l="1"/>
  <c r="F33" i="14" l="1"/>
  <c r="L33" i="14" s="1"/>
  <c r="F30" i="14" l="1"/>
  <c r="F27" i="14" s="1"/>
  <c r="F16" i="14"/>
  <c r="F8" i="14"/>
  <c r="G2094" i="1"/>
  <c r="H2094" i="1"/>
  <c r="F18" i="14" l="1"/>
  <c r="F17" i="14" l="1"/>
  <c r="H6" i="14" l="1"/>
  <c r="E14" i="14" l="1"/>
  <c r="E7" i="14"/>
  <c r="M37" i="14" l="1"/>
  <c r="E19" i="14" l="1"/>
  <c r="J19" i="14"/>
  <c r="G19" i="14"/>
  <c r="F19" i="14"/>
  <c r="D19" i="14"/>
  <c r="J10" i="14"/>
  <c r="G10" i="14"/>
  <c r="F10" i="14"/>
  <c r="E10" i="14"/>
  <c r="D10" i="14"/>
  <c r="D9" i="14"/>
  <c r="L19" i="14" l="1"/>
  <c r="L10" i="14"/>
  <c r="J32" i="14" l="1"/>
  <c r="J30" i="14" s="1"/>
  <c r="J27" i="14" s="1"/>
  <c r="J21" i="14" l="1"/>
  <c r="L21" i="14" s="1"/>
  <c r="J14" i="14"/>
  <c r="D7" i="14" l="1"/>
  <c r="J25" i="14" l="1"/>
  <c r="F25" i="14"/>
  <c r="E25" i="14"/>
  <c r="D25" i="14"/>
  <c r="J24" i="14"/>
  <c r="F24" i="14"/>
  <c r="E24" i="14"/>
  <c r="D24" i="14"/>
  <c r="J23" i="14"/>
  <c r="F23" i="14"/>
  <c r="E23" i="14"/>
  <c r="D23" i="14"/>
  <c r="J18" i="14"/>
  <c r="G18" i="14"/>
  <c r="E18" i="14"/>
  <c r="D18" i="14"/>
  <c r="J17" i="14"/>
  <c r="G17" i="14"/>
  <c r="E17" i="14"/>
  <c r="D17" i="14"/>
  <c r="J16" i="14"/>
  <c r="G16" i="14"/>
  <c r="E16" i="14"/>
  <c r="D16" i="14"/>
  <c r="G14" i="14"/>
  <c r="F14" i="14"/>
  <c r="G13" i="14"/>
  <c r="F13" i="14"/>
  <c r="E13" i="14"/>
  <c r="J9" i="14"/>
  <c r="F9" i="14"/>
  <c r="E9" i="14"/>
  <c r="J8" i="14"/>
  <c r="D8" i="14"/>
  <c r="I6" i="14" s="1"/>
  <c r="F7" i="14"/>
  <c r="L7" i="14" s="1"/>
  <c r="L24" i="14" l="1"/>
  <c r="I15" i="14"/>
  <c r="L16" i="14"/>
  <c r="L18" i="14"/>
  <c r="L17" i="14"/>
  <c r="L25" i="14"/>
  <c r="I22" i="14"/>
  <c r="K6" i="14"/>
  <c r="E12" i="14"/>
  <c r="L13" i="14"/>
  <c r="L9" i="14"/>
  <c r="L23" i="14"/>
  <c r="K15" i="14"/>
  <c r="K22" i="14"/>
  <c r="E6" i="14"/>
  <c r="F6" i="14"/>
  <c r="H15" i="14"/>
  <c r="G15" i="14"/>
  <c r="J15" i="14"/>
  <c r="D15" i="14"/>
  <c r="E15" i="14"/>
  <c r="F12" i="14"/>
  <c r="D22" i="14"/>
  <c r="G12" i="14"/>
  <c r="F22" i="14"/>
  <c r="J22" i="14"/>
  <c r="G2096" i="1"/>
  <c r="J6" i="14"/>
  <c r="G8" i="14"/>
  <c r="G6" i="14" s="1"/>
  <c r="E22" i="14"/>
  <c r="G11" i="14" l="1"/>
  <c r="G4" i="14" s="1"/>
  <c r="K11" i="14"/>
  <c r="K4" i="14" s="1"/>
  <c r="L8" i="14"/>
  <c r="F15" i="14"/>
  <c r="F11" i="14" s="1"/>
  <c r="F4" i="14" s="1"/>
  <c r="H1229" i="1"/>
  <c r="H530" i="1" s="1"/>
  <c r="H2088" i="1"/>
  <c r="G2088" i="1"/>
  <c r="D14" i="14"/>
  <c r="I12" i="14" s="1"/>
  <c r="I11" i="14" s="1"/>
  <c r="I4" i="14" s="1"/>
  <c r="H2096" i="1"/>
  <c r="J12" i="14"/>
  <c r="G1906" i="1" l="1"/>
  <c r="G1905" i="1" s="1"/>
  <c r="L14" i="14"/>
  <c r="J11" i="14"/>
  <c r="J4" i="14" s="1"/>
  <c r="H1906" i="1"/>
  <c r="H1905" i="1" s="1"/>
  <c r="D6" i="14"/>
  <c r="L6" i="14" l="1"/>
  <c r="L22" i="14"/>
  <c r="H12" i="14" l="1"/>
  <c r="H11" i="14" s="1"/>
  <c r="H4" i="14" s="1"/>
  <c r="L15" i="14" l="1"/>
  <c r="L11" i="14" s="1"/>
  <c r="D12" i="14" l="1"/>
  <c r="D11" i="14" s="1"/>
  <c r="D4" i="14" s="1"/>
  <c r="L12" i="14" l="1"/>
  <c r="E32" i="14" l="1"/>
  <c r="L32" i="14" s="1"/>
  <c r="L30" i="14" l="1"/>
  <c r="L4" i="14" s="1"/>
  <c r="E30" i="14"/>
  <c r="E27" i="14" s="1"/>
  <c r="E11" i="14" s="1"/>
  <c r="E4" i="14" s="1"/>
  <c r="M35" i="14" l="1"/>
  <c r="M26" i="14" l="1"/>
  <c r="K5" i="14"/>
  <c r="I5" i="14"/>
  <c r="L5" i="14"/>
  <c r="G5" i="14"/>
  <c r="J5" i="14"/>
  <c r="F5" i="14"/>
  <c r="H5" i="14"/>
  <c r="D5" i="14"/>
  <c r="E5" i="14"/>
  <c r="M29" i="14"/>
  <c r="M28" i="14"/>
  <c r="M27" i="14"/>
  <c r="M8" i="14"/>
  <c r="M6" i="14"/>
  <c r="M17" i="14"/>
  <c r="M9" i="14"/>
  <c r="M30" i="14"/>
  <c r="M19" i="14"/>
  <c r="M16" i="14"/>
  <c r="M32" i="14"/>
  <c r="M23" i="14"/>
  <c r="M7" i="14"/>
  <c r="M21" i="14"/>
  <c r="M24" i="14"/>
  <c r="M11" i="14"/>
  <c r="M22" i="14"/>
  <c r="M10" i="14"/>
  <c r="M12" i="14"/>
  <c r="M14" i="14"/>
  <c r="M20" i="14"/>
  <c r="M34" i="14"/>
  <c r="M13" i="14"/>
  <c r="M25" i="14"/>
  <c r="M33" i="14"/>
  <c r="M15" i="14"/>
  <c r="M18" i="14"/>
  <c r="M31" i="14"/>
  <c r="H10" i="1" l="1"/>
  <c r="G530" i="1" l="1"/>
  <c r="G308" i="1" l="1"/>
  <c r="H308" i="1"/>
  <c r="H260" i="1" s="1"/>
  <c r="H9" i="1"/>
  <c r="H8" i="1" s="1"/>
  <c r="H7" i="1" s="1"/>
  <c r="G260" i="1" l="1"/>
  <c r="G9" i="1" s="1"/>
  <c r="G8" i="1" s="1"/>
  <c r="G7" i="1" s="1"/>
</calcChain>
</file>

<file path=xl/comments1.xml><?xml version="1.0" encoding="utf-8"?>
<comments xmlns="http://schemas.openxmlformats.org/spreadsheetml/2006/main">
  <authors>
    <author>viettq9-lap</author>
    <author>tc={6B49CE1E-8C1C-46DD-912B-235B42E96750}</author>
    <author>tc={5AE1E225-612B-44D3-BAC3-0AE1F4F1DF19}</author>
    <author>tc={74C9C5A4-FB2F-4C9A-8049-D3B067967A6A}</author>
    <author>tc={4543ED8C-D47A-4FCA-B3B0-DBC8200361E4}</author>
    <author>tc={9E5EA178-3EA9-4B99-A336-25D4CDECD39F}</author>
    <author>halv8</author>
    <author>Toannd13</author>
    <author>tc={F2AFED03-BED1-4913-893B-8739E4635059}</author>
    <author>tc={0F061CBB-E52D-46F4-8B0A-058C613F96CE}</author>
  </authors>
  <commentList>
    <comment ref="B100" authorId="0" shapeId="0">
      <text>
        <r>
          <rPr>
            <b/>
            <sz val="9"/>
            <color indexed="81"/>
            <rFont val="Tahoma"/>
            <family val="2"/>
          </rPr>
          <t>viettq9-lap:</t>
        </r>
        <r>
          <rPr>
            <sz val="9"/>
            <color indexed="81"/>
            <rFont val="Tahoma"/>
            <family val="2"/>
          </rPr>
          <t xml:space="preserve">
Bao gồm cả MSC+MGW với Erl của MGW theo profile 40mErl/sub att</t>
        </r>
      </text>
    </comment>
    <comment ref="B101" authorId="0" shapeId="0">
      <text>
        <r>
          <rPr>
            <b/>
            <sz val="9"/>
            <color indexed="81"/>
            <rFont val="Tahoma"/>
            <family val="2"/>
          </rPr>
          <t>viettq9-lap:</t>
        </r>
        <r>
          <rPr>
            <sz val="9"/>
            <color indexed="81"/>
            <rFont val="Tahoma"/>
            <family val="2"/>
          </rPr>
          <t xml:space="preserve">
Bao gồm cả MSC+MGW với Erl của MGW theo profile 40mErl/sub att</t>
        </r>
      </text>
    </comment>
    <comment ref="B160" authorId="0" shapeId="0">
      <text>
        <r>
          <rPr>
            <b/>
            <sz val="9"/>
            <color indexed="81"/>
            <rFont val="Tahoma"/>
            <family val="2"/>
          </rPr>
          <t>viettq9-lap:</t>
        </r>
        <r>
          <rPr>
            <sz val="9"/>
            <color indexed="81"/>
            <rFont val="Tahoma"/>
            <family val="2"/>
          </rPr>
          <t xml:space="preserve">
Remote</t>
        </r>
      </text>
    </comment>
    <comment ref="B165" authorId="0" shapeId="0">
      <text>
        <r>
          <rPr>
            <b/>
            <sz val="9"/>
            <color indexed="81"/>
            <rFont val="Tahoma"/>
            <family val="2"/>
          </rPr>
          <t>viettq9-lap:</t>
        </r>
        <r>
          <rPr>
            <sz val="9"/>
            <color indexed="81"/>
            <rFont val="Tahoma"/>
            <family val="2"/>
          </rPr>
          <t xml:space="preserve">
Remote</t>
        </r>
      </text>
    </comment>
    <comment ref="B166" authorId="0" shapeId="0">
      <text>
        <r>
          <rPr>
            <b/>
            <sz val="9"/>
            <color indexed="81"/>
            <rFont val="Tahoma"/>
            <family val="2"/>
          </rPr>
          <t>viettq9-lap:</t>
        </r>
        <r>
          <rPr>
            <sz val="9"/>
            <color indexed="81"/>
            <rFont val="Tahoma"/>
            <family val="2"/>
          </rPr>
          <t xml:space="preserve">
Remote</t>
        </r>
      </text>
    </comment>
    <comment ref="B167" authorId="0" shapeId="0">
      <text>
        <r>
          <rPr>
            <b/>
            <sz val="9"/>
            <color indexed="81"/>
            <rFont val="Tahoma"/>
            <family val="2"/>
          </rPr>
          <t>viettq9-lap:</t>
        </r>
        <r>
          <rPr>
            <sz val="9"/>
            <color indexed="81"/>
            <rFont val="Tahoma"/>
            <family val="2"/>
          </rPr>
          <t xml:space="preserve">
Remote</t>
        </r>
      </text>
    </comment>
    <comment ref="B186" authorId="0" shapeId="0">
      <text>
        <r>
          <rPr>
            <b/>
            <sz val="9"/>
            <color indexed="81"/>
            <rFont val="Tahoma"/>
            <family val="2"/>
          </rPr>
          <t>viettq9-lap:</t>
        </r>
        <r>
          <rPr>
            <sz val="9"/>
            <color indexed="81"/>
            <rFont val="Tahoma"/>
            <family val="2"/>
          </rPr>
          <t xml:space="preserve">
Remote</t>
        </r>
      </text>
    </comment>
    <comment ref="B253" authorId="0" shapeId="0">
      <text>
        <r>
          <rPr>
            <b/>
            <sz val="9"/>
            <color indexed="81"/>
            <rFont val="Tahoma"/>
            <family val="2"/>
          </rPr>
          <t>viettq9-lap:</t>
        </r>
        <r>
          <rPr>
            <sz val="9"/>
            <color indexed="81"/>
            <rFont val="Tahoma"/>
            <family val="2"/>
          </rPr>
          <t xml:space="preserve">
Remote</t>
        </r>
      </text>
    </comment>
    <comment ref="F393" authorId="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Thay đổi đơn giá ngày 12/Sept</t>
        </r>
      </text>
    </comment>
    <comment ref="F395" authorId="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Thay đổi đơn giá ngày 12/Sept</t>
        </r>
      </text>
    </comment>
    <comment ref="F467" authorId="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Thay đổi đơn giá ngày 12/Sept</t>
        </r>
      </text>
    </comment>
    <comment ref="F509"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Update lại giá tăng 200k , ngày 12/Sept</t>
        </r>
      </text>
    </comment>
    <comment ref="F511" authorId="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Update lại giá tăng 200k , ngày 12/Sept</t>
        </r>
      </text>
    </comment>
    <comment ref="F516"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Update lại giá tăng 200k , ngày 12/Sept</t>
        </r>
      </text>
    </comment>
    <comment ref="F518"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Update lại giá tăng 200k , ngày 12/Sept</t>
        </r>
      </text>
    </comment>
    <comment ref="F523"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Update lại giá tăng 200k , ngày 12/Sept</t>
        </r>
      </text>
    </comment>
    <comment ref="F527"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Update lại giá tăng 200k , ngày 12/Sept</t>
        </r>
      </text>
    </comment>
    <comment ref="F529" authorId="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Update lại giá tăng 200k , ngày 12/Sept</t>
        </r>
      </text>
    </comment>
    <comment ref="B1223" authorId="6" shapeId="0">
      <text>
        <r>
          <rPr>
            <b/>
            <sz val="9"/>
            <color indexed="81"/>
            <rFont val="Tahoma"/>
            <family val="2"/>
          </rPr>
          <t>halv8:</t>
        </r>
        <r>
          <rPr>
            <sz val="9"/>
            <color indexed="81"/>
            <rFont val="Tahoma"/>
            <family val="2"/>
          </rPr>
          <t xml:space="preserve">
Ống nhựa B cấp
</t>
        </r>
      </text>
    </comment>
    <comment ref="F1482" authorId="7" shapeId="0">
      <text>
        <r>
          <rPr>
            <b/>
            <sz val="9"/>
            <color indexed="81"/>
            <rFont val="Tahoma"/>
            <family val="2"/>
          </rPr>
          <t>Toannd13:</t>
        </r>
        <r>
          <rPr>
            <sz val="9"/>
            <color indexed="81"/>
            <rFont val="Tahoma"/>
            <family val="2"/>
          </rPr>
          <t xml:space="preserve">
Khoang cach keo dien trung binh 200m</t>
        </r>
      </text>
    </comment>
    <comment ref="F1524" authorId="7" shapeId="0">
      <text>
        <r>
          <rPr>
            <b/>
            <sz val="9"/>
            <color indexed="81"/>
            <rFont val="Tahoma"/>
            <family val="2"/>
          </rPr>
          <t>Toannd13:</t>
        </r>
        <r>
          <rPr>
            <sz val="9"/>
            <color indexed="81"/>
            <rFont val="Tahoma"/>
            <family val="2"/>
          </rPr>
          <t xml:space="preserve">
Khoang cach keo dien trung binh 200m</t>
        </r>
      </text>
    </comment>
    <comment ref="D1600" authorId="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Cần 157 nhưng tồn kho 196 cái và đang mua 50 cái nên chỉ mua 100 cái</t>
        </r>
      </text>
    </comment>
    <comment ref="D1602" authorId="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Cần 27 rectifier nhưng mua full để đảm bảo dự phòng, số lượng ít</t>
        </r>
      </text>
    </comment>
  </commentList>
</comments>
</file>

<file path=xl/sharedStrings.xml><?xml version="1.0" encoding="utf-8"?>
<sst xmlns="http://schemas.openxmlformats.org/spreadsheetml/2006/main" count="13163" uniqueCount="1543">
  <si>
    <t>TT</t>
  </si>
  <si>
    <t>Nội dung/ hạng mục đầu tư, mua sắm</t>
  </si>
  <si>
    <t>Đơn vị tính</t>
  </si>
  <si>
    <t>USD</t>
  </si>
  <si>
    <t>I</t>
  </si>
  <si>
    <t>CƠ ĐIỆN</t>
  </si>
  <si>
    <t>CĐ</t>
  </si>
  <si>
    <t>VT</t>
  </si>
  <si>
    <t>-</t>
  </si>
  <si>
    <t>Gói</t>
  </si>
  <si>
    <t>HT</t>
  </si>
  <si>
    <t>M</t>
  </si>
  <si>
    <t>II</t>
  </si>
  <si>
    <t>A</t>
  </si>
  <si>
    <t>VÔ TUYẾN</t>
  </si>
  <si>
    <t>Cái</t>
  </si>
  <si>
    <t>Vùng phủ</t>
  </si>
  <si>
    <t>MẠNG LÕI</t>
  </si>
  <si>
    <t>ML</t>
  </si>
  <si>
    <t>III</t>
  </si>
  <si>
    <t>TRUYỀN DẪN</t>
  </si>
  <si>
    <t>TD</t>
  </si>
  <si>
    <t>Dung lượng</t>
  </si>
  <si>
    <t>Card</t>
  </si>
  <si>
    <t>Bộ</t>
  </si>
  <si>
    <t>Km</t>
  </si>
  <si>
    <t>IV</t>
  </si>
  <si>
    <t>Tổ</t>
  </si>
  <si>
    <t>Trạm BTS</t>
  </si>
  <si>
    <t>CĐBR</t>
  </si>
  <si>
    <t>km</t>
  </si>
  <si>
    <t>Tủ</t>
  </si>
  <si>
    <t>IP</t>
  </si>
  <si>
    <t>License</t>
  </si>
  <si>
    <t>Chiếc</t>
  </si>
  <si>
    <t>Hạ tầng mạng</t>
  </si>
  <si>
    <t>cái</t>
  </si>
  <si>
    <t>V</t>
  </si>
  <si>
    <t>CNTT</t>
  </si>
  <si>
    <t>Củng cố, kiên cố, bền vững</t>
  </si>
  <si>
    <t>B</t>
  </si>
  <si>
    <t>I.1</t>
  </si>
  <si>
    <t>Mbps</t>
  </si>
  <si>
    <t>I.2</t>
  </si>
  <si>
    <t>Sub</t>
  </si>
  <si>
    <t>C</t>
  </si>
  <si>
    <t>Cáp treo</t>
  </si>
  <si>
    <t>PHỤ KIỆN</t>
  </si>
  <si>
    <t>Cột</t>
  </si>
  <si>
    <t>Cột 8m</t>
  </si>
  <si>
    <t>Cột 10m</t>
  </si>
  <si>
    <t>Cáp ngầm</t>
  </si>
  <si>
    <t>D</t>
  </si>
  <si>
    <t>Tổng trạm Khu vực</t>
  </si>
  <si>
    <t>Trạm BTS -TT tỉnh</t>
  </si>
  <si>
    <t>Storage</t>
  </si>
  <si>
    <t>F</t>
  </si>
  <si>
    <t xml:space="preserve">TRIỂN KHAI HẠ TẦNG </t>
  </si>
  <si>
    <t>TK</t>
  </si>
  <si>
    <t>Chi phí triển khai truyền dẫn</t>
  </si>
  <si>
    <t>Thi công cống bể</t>
  </si>
  <si>
    <t>Thi công cáp ngầm</t>
  </si>
  <si>
    <t>Cáp quang Cống bể</t>
  </si>
  <si>
    <t>Cáp quang CTT</t>
  </si>
  <si>
    <t>Thi công cáp treo</t>
  </si>
  <si>
    <t>Thi công trồng cột</t>
  </si>
  <si>
    <t>Chi phí triển khai Cơ điện</t>
  </si>
  <si>
    <t>Chi phí triển khai cơ điện BTS</t>
  </si>
  <si>
    <t>Chi phí triển khai CĐBR</t>
  </si>
  <si>
    <t>Truyền dẫn</t>
  </si>
  <si>
    <t>Mạng 4G</t>
  </si>
  <si>
    <t>Nội dung</t>
  </si>
  <si>
    <t>Tổng</t>
  </si>
  <si>
    <t>Tỷ trọng (%)</t>
  </si>
  <si>
    <t>Mã mảng</t>
  </si>
  <si>
    <t>Mã DV</t>
  </si>
  <si>
    <t>Mã loại</t>
  </si>
  <si>
    <t>Mảng</t>
  </si>
  <si>
    <t>5G</t>
  </si>
  <si>
    <t>STT</t>
  </si>
  <si>
    <t>*</t>
  </si>
  <si>
    <t>Anten đa băng</t>
  </si>
  <si>
    <t>Card baseband</t>
  </si>
  <si>
    <t>VII</t>
  </si>
  <si>
    <t>ATTT</t>
  </si>
  <si>
    <t>Phụ kiện treo</t>
  </si>
  <si>
    <t>Phụ kiện ngầm</t>
  </si>
  <si>
    <t>Ống F110x5</t>
  </si>
  <si>
    <t>Ống F110x7</t>
  </si>
  <si>
    <t>Core tỉnh Juniper</t>
  </si>
  <si>
    <t>BRAS</t>
  </si>
  <si>
    <t>Kiên cố, củng cố</t>
  </si>
  <si>
    <t>P1</t>
  </si>
  <si>
    <t>P2</t>
  </si>
  <si>
    <t>VTTB</t>
  </si>
  <si>
    <t>Mạng 5G</t>
  </si>
  <si>
    <t>Datacenter</t>
  </si>
  <si>
    <t xml:space="preserve">   Vùng phủ GPON</t>
  </si>
  <si>
    <t xml:space="preserve">   ERP</t>
  </si>
  <si>
    <t>Phục vụ kinh doanh Cloud</t>
  </si>
  <si>
    <t>Data Center</t>
  </si>
  <si>
    <t>Vùng phủ GPON</t>
  </si>
  <si>
    <t>Đơn giá dự kiến</t>
  </si>
  <si>
    <t>Cloud_KD</t>
  </si>
  <si>
    <t>DC</t>
  </si>
  <si>
    <t>TH</t>
  </si>
  <si>
    <t>Không xóa</t>
  </si>
  <si>
    <t>VPDĐ</t>
  </si>
  <si>
    <t>DLDĐ</t>
  </si>
  <si>
    <t>VPGPON</t>
  </si>
  <si>
    <t>DLGPON</t>
  </si>
  <si>
    <t>KHÔNG XÓA</t>
  </si>
  <si>
    <t>CCKC</t>
  </si>
  <si>
    <t>Đảm bảo VHKT và chất lượng mạng</t>
  </si>
  <si>
    <t>3.1</t>
  </si>
  <si>
    <t>3.2</t>
  </si>
  <si>
    <t>Dung lượng Internet</t>
  </si>
  <si>
    <t>Dung lượng Truyền hình</t>
  </si>
  <si>
    <t>Cáp quang treo hình số 8-12 sợi</t>
  </si>
  <si>
    <t>I.3</t>
  </si>
  <si>
    <t>Thiết bị chuyển mạch quản trị</t>
  </si>
  <si>
    <t>Cloud</t>
  </si>
  <si>
    <t>VHKT</t>
  </si>
  <si>
    <t>Xây dựng cống bế 2 ống</t>
  </si>
  <si>
    <t>Cáp quang treo hình số 8-12Fo</t>
  </si>
  <si>
    <t>+</t>
  </si>
  <si>
    <t>Bình</t>
  </si>
  <si>
    <t>DLMETRO</t>
  </si>
  <si>
    <t>DLIPBN</t>
  </si>
  <si>
    <t>DC_X</t>
  </si>
  <si>
    <t>Thay thế thiết bị cũ hết niên hạn</t>
  </si>
  <si>
    <t>Ko xóa</t>
  </si>
  <si>
    <t>IoT</t>
  </si>
  <si>
    <t xml:space="preserve">   Dung lượng Internet</t>
  </si>
  <si>
    <t xml:space="preserve">   Dung lượng Truyền hình</t>
  </si>
  <si>
    <t xml:space="preserve">   VAS</t>
  </si>
  <si>
    <t xml:space="preserve">   Fintech</t>
  </si>
  <si>
    <t>Thiết bị lưu trữ SAN loại 1</t>
  </si>
  <si>
    <t>Mạng cáp</t>
  </si>
  <si>
    <t>Module</t>
  </si>
  <si>
    <t>VIBA</t>
  </si>
  <si>
    <t>Giải pháp nâng cấp dung lượng cho các tuyến vi ba</t>
  </si>
  <si>
    <t>Dịch vụ cho gói giải pháp nâng cấp dung lượng cho các tuyến vi ba</t>
  </si>
  <si>
    <t>Cáp quang treo hình số 8-12FO</t>
  </si>
  <si>
    <t>Cảnh báo khói</t>
  </si>
  <si>
    <t>Cảnh báo mở cửa</t>
  </si>
  <si>
    <t>Tỷ trọng theo mảng</t>
  </si>
  <si>
    <t>Kênh truyền</t>
  </si>
  <si>
    <t xml:space="preserve">   Kênh truyền</t>
  </si>
  <si>
    <t>Cáp quang luồn cống 24 sợi (Sợi thường)</t>
  </si>
  <si>
    <t>Cáp quang chôn 24 sợi (Sợi thường)</t>
  </si>
  <si>
    <t>Cáp quang treo 24 sợi (Cáp hình số 8)</t>
  </si>
  <si>
    <t>Cáp quang treo ADSS 24 sợi - KV200m</t>
  </si>
  <si>
    <t>Cáp quang treo ADSS 24 sợi - KV500m</t>
  </si>
  <si>
    <t>Cáp quang treo ADSS 24 sợi - KV100 (chống gặm nhấm)</t>
  </si>
  <si>
    <t>Cáp quang treo 24 sợi (cáp hình số 8-chống gặm nhấm)</t>
  </si>
  <si>
    <t>VSAT</t>
  </si>
  <si>
    <t>Giải pháp nâng cấp dung lượng cho các tuyến visat</t>
  </si>
  <si>
    <t>Dịch vụ cho gói giải pháp nâng cấp dung lượng cho các tuyến vsat</t>
  </si>
  <si>
    <t>Tổng trạm mới</t>
  </si>
  <si>
    <t>Cáp quang cống bể 96 sợi</t>
  </si>
  <si>
    <t>Cáp quang treo ADSS 96 sợi - KV100 (G652D)</t>
  </si>
  <si>
    <t>DV5G</t>
  </si>
  <si>
    <t>KT</t>
  </si>
  <si>
    <t>Máy chủ GPU loại 1</t>
  </si>
  <si>
    <t>Thiết bị chuyển mạch SAN loại 1</t>
  </si>
  <si>
    <t>Thiết bị chuyển mạch Access Leaf loại 1</t>
  </si>
  <si>
    <t>Thiết bị chuyển mạch Access Leaf loại 2</t>
  </si>
  <si>
    <t>BigData</t>
  </si>
  <si>
    <t>Thiết bị 4G</t>
  </si>
  <si>
    <t>Hệ thống</t>
  </si>
  <si>
    <t>Thành tiền dự kiến (VNĐ)</t>
  </si>
  <si>
    <t>Dự kiến đơn vị đầu tư, mua sắm</t>
  </si>
  <si>
    <t>Bền vững mạng lưới trong thiên tai</t>
  </si>
  <si>
    <t>PCTT</t>
  </si>
  <si>
    <t xml:space="preserve">Đảm bảo VHKT </t>
  </si>
  <si>
    <t>4G vùng phủ</t>
  </si>
  <si>
    <t>4G dung lượng</t>
  </si>
  <si>
    <t>Mạng BRCĐ&amp;TH</t>
  </si>
  <si>
    <t>Kiên cố thường trình</t>
  </si>
  <si>
    <t>Private Mobile Network</t>
  </si>
  <si>
    <t>Triển khai hạ tầng CNTT</t>
  </si>
  <si>
    <t>bộ</t>
  </si>
  <si>
    <t>Thiết bị lưu trữ SAN loại 2</t>
  </si>
  <si>
    <t>Tách cáp chung lộ, ngầm hóa</t>
  </si>
  <si>
    <t>Công nghệ mới triển khai diện rộng cho kinh doanh</t>
  </si>
  <si>
    <t>XGSPON</t>
  </si>
  <si>
    <t>AI/GPU</t>
  </si>
  <si>
    <t>PMN</t>
  </si>
  <si>
    <t>Mở rộng mạng lưới hiện tại cho kinh doanh</t>
  </si>
  <si>
    <t xml:space="preserve">Công nghệ mới triển khai diện rộng cho kinh doanh </t>
  </si>
  <si>
    <t>Trực tiếp kinh doanh</t>
  </si>
  <si>
    <t>Hỗ trợ kinh doanh và quản trị</t>
  </si>
  <si>
    <t>Đảm bảo VHKT, kiên cố, bền vững trong thiên tai</t>
  </si>
  <si>
    <t>TTKD</t>
  </si>
  <si>
    <t>HTKD</t>
  </si>
  <si>
    <t>KCTT</t>
  </si>
  <si>
    <t>Đầu tư 5GC Mini cho khách hàng PMN</t>
  </si>
  <si>
    <t>Session</t>
  </si>
  <si>
    <t>Node</t>
  </si>
  <si>
    <t>Máy chủ GPU loại 2</t>
  </si>
  <si>
    <t>Giải pháp lưu trữ Object loại 1</t>
  </si>
  <si>
    <t>Thiết bị tường lửa nội bộ loại 1</t>
  </si>
  <si>
    <t>Thiết bị cân bằng tải nội bộ loại 1</t>
  </si>
  <si>
    <t xml:space="preserve">Cáp quang Cống bể 24Fo </t>
  </si>
  <si>
    <t>Cáp quang ngầm chôn trực tiếp 24Fo</t>
  </si>
  <si>
    <t>Cáp quang treo hình số 8-24 sợi</t>
  </si>
  <si>
    <t>Cáp quang treo ADSS24 KV200</t>
  </si>
  <si>
    <t>Cáp quang treo ADSS24 KV500</t>
  </si>
  <si>
    <t>Cáp gặm nhấm loại ADSS24</t>
  </si>
  <si>
    <t>Cáp bọc kim loại F8-24Fo</t>
  </si>
  <si>
    <t>Bộ treo cáp ADSS khoảng vượt 100 m</t>
  </si>
  <si>
    <t>Bộ treo cáp ADSS khoảng vượt 200 m</t>
  </si>
  <si>
    <t>Bộ néo 2 hướng cáp ADSS khoảng vượt 100 m</t>
  </si>
  <si>
    <t>Bộ néo 2 hướng cáp ADSS khoảng vượt 200 m</t>
  </si>
  <si>
    <t>Bộ néo 2 hướng cáp ADSS khoảng vượt 500 m</t>
  </si>
  <si>
    <t xml:space="preserve">Kẹp 2 rãnh 3 lỗ </t>
  </si>
  <si>
    <t>ODF 24Fo Indoor</t>
  </si>
  <si>
    <t>ODF 24Fo Outdoor</t>
  </si>
  <si>
    <t>Tấm ốp D12</t>
  </si>
  <si>
    <t>Tấm ốp D14</t>
  </si>
  <si>
    <t>Đế chữ U</t>
  </si>
  <si>
    <t>Chống rung</t>
  </si>
  <si>
    <t>Dây đai</t>
  </si>
  <si>
    <t>Khóa đai</t>
  </si>
  <si>
    <t>Biển báo cáp quang</t>
  </si>
  <si>
    <t>Biển báo độ cao</t>
  </si>
  <si>
    <t>DWDM/VIBA/VSAT</t>
  </si>
  <si>
    <t>Thiết bị SRT</t>
  </si>
  <si>
    <t>Thiết bị AGG</t>
  </si>
  <si>
    <t>AGG Juniper</t>
  </si>
  <si>
    <t>AGG Huawei</t>
  </si>
  <si>
    <t>Thiết bị Core tỉnh</t>
  </si>
  <si>
    <t>I.4</t>
  </si>
  <si>
    <t>Thiết bị IPBN</t>
  </si>
  <si>
    <t>E4</t>
  </si>
  <si>
    <t>E5</t>
  </si>
  <si>
    <t xml:space="preserve">Cáp quang Cống bể 48Fo </t>
  </si>
  <si>
    <t>Cáp quang ngầm chôn trực tiếp 48Fo</t>
  </si>
  <si>
    <t>Cáp quang treo ADSS48 KV200</t>
  </si>
  <si>
    <t>Măng xông 48Fo</t>
  </si>
  <si>
    <t>ODF 48Fo Indoor</t>
  </si>
  <si>
    <t>E6</t>
  </si>
  <si>
    <t>Kiên cố bền vững trong thiên tai</t>
  </si>
  <si>
    <t>Cáp quang kiên cố, bền vững trong PCTT</t>
  </si>
  <si>
    <t xml:space="preserve">Cáp quang Cống bể 96Fo </t>
  </si>
  <si>
    <t>Cáp quang chôn Trực tiếp 24Fo</t>
  </si>
  <si>
    <t>Triển khai cáp kiên cố bền vững</t>
  </si>
  <si>
    <t>Ngầm CBXM hóa liên tỉnh</t>
  </si>
  <si>
    <t>Ngầm CBXM hóa liên huyện</t>
  </si>
  <si>
    <t>Ngầm CBXM trạm UT</t>
  </si>
  <si>
    <t>Cáp quang treo ADSS24 KV200 chống gặm nhấm</t>
  </si>
  <si>
    <t>Cáp quang treo ADSS48 KV200 chống gặm nhấm</t>
  </si>
  <si>
    <t>Thi công cáp ngầm XHH</t>
  </si>
  <si>
    <t>Xây dựng cống bế 1 ống</t>
  </si>
  <si>
    <t>Xây dựng cống bế 3 ống</t>
  </si>
  <si>
    <t>Xây dựng cống bế 4 ống</t>
  </si>
  <si>
    <t>E3</t>
  </si>
  <si>
    <t>Thiết bị macro 5G</t>
  </si>
  <si>
    <t>Thiết bị RRU 5G</t>
  </si>
  <si>
    <t>RRU 5G triển khai IBD</t>
  </si>
  <si>
    <t>Thiết bị smallcell 5G</t>
  </si>
  <si>
    <t>Thiết bị vô tuyến 5G 4T4R</t>
  </si>
  <si>
    <t>Card Baseband</t>
  </si>
  <si>
    <t>Card Baseband cho 5G</t>
  </si>
  <si>
    <t>Nâng cấp hệ thống Inbuilding lên 5G</t>
  </si>
  <si>
    <t>A2</t>
  </si>
  <si>
    <t>Hiện đại hóa mạng lưới</t>
  </si>
  <si>
    <t>Nâng cao chất lượng mạng</t>
  </si>
  <si>
    <t>Phần mềm, công cụ</t>
  </si>
  <si>
    <t>Nâng cấp, mở rộng phầm mềm GEO cho 5G</t>
  </si>
  <si>
    <t>Xe cơ động phục vụ LHSK</t>
  </si>
  <si>
    <t>Xe phát sóng chỉ huy, dã chiến đảm bảo hoạt động liên tục trong thiên tai, địch họa</t>
  </si>
  <si>
    <t>A1</t>
  </si>
  <si>
    <t>Xe phát sóng cơ động</t>
  </si>
  <si>
    <t>8Ghz, 2+0, 0.6m, 1Gbps</t>
  </si>
  <si>
    <t>8Ghz, 2+0, 0.9m, 1Gbps</t>
  </si>
  <si>
    <t>8Ghz, 2+0, 1.2m, 1Gbps</t>
  </si>
  <si>
    <t>Vsat cho huyện đảo, huyện miền núi</t>
  </si>
  <si>
    <t>Viba, VSAT cho kiên cố, bền vững trong PCTT</t>
  </si>
  <si>
    <t>hop</t>
  </si>
  <si>
    <t>WDM cho kiên cố, bền vững trong PCTT</t>
  </si>
  <si>
    <t>Giải pháp nâng cấp thiết bị mở rộng mạng DWDM cho các tỉnh kiên cố</t>
  </si>
  <si>
    <t xml:space="preserve">Dịch vụ cho giải pháp nâng cấp thiết bị mở rộng mạng DWDM cho các tỉnh kiển cố (thiết kế, triển khai mẫu, hỗ trợ triển khai) </t>
  </si>
  <si>
    <t>2027 (triệu USD)</t>
  </si>
  <si>
    <t>2028 (triệu USD)</t>
  </si>
  <si>
    <t>Đảm bảo VHKT và nâng cao chất lượng mạng</t>
  </si>
  <si>
    <t>Đảm bảo dự phòng ƯCTT</t>
  </si>
  <si>
    <t>ƯCTT</t>
  </si>
  <si>
    <t>Củng cố kiên cố thường trình</t>
  </si>
  <si>
    <t>TỔNG ĐẦU TƯ VTTB VÀ XÂY LẮP 2027-2028</t>
  </si>
  <si>
    <t>TỔNG ĐẦU TƯ VTTB 2027-2028</t>
  </si>
  <si>
    <r>
      <t xml:space="preserve">PHỤ LỤC 1.1: BẢNG TỔNG HỢP CHI TIẾT NHU CẦU ĐẦU TƯ, MUA SẮM THEO QHĐC NĂM 2027-2028
</t>
    </r>
    <r>
      <rPr>
        <i/>
        <sz val="14"/>
        <rFont val="Times New Roman"/>
        <family val="1"/>
      </rPr>
      <t>(Ban hành kèm theo Tờ trình số                      của Tập đoàn CNVTQĐ)</t>
    </r>
  </si>
  <si>
    <t>Khối lượng</t>
  </si>
  <si>
    <t>A3</t>
  </si>
  <si>
    <t>VI</t>
  </si>
  <si>
    <t>E7</t>
  </si>
  <si>
    <t>MSC</t>
  </si>
  <si>
    <t>Feature - IMS service</t>
  </si>
  <si>
    <t>IMS</t>
  </si>
  <si>
    <t>IMS SW</t>
  </si>
  <si>
    <t>IMS HW</t>
  </si>
  <si>
    <t>IMS expansion service</t>
  </si>
  <si>
    <t>IMS new build service</t>
  </si>
  <si>
    <t>PS Core</t>
  </si>
  <si>
    <t>SMSC</t>
  </si>
  <si>
    <t>Spare part</t>
  </si>
  <si>
    <t>MOTM/s</t>
  </si>
  <si>
    <t>MSC upgrade service</t>
  </si>
  <si>
    <t>MSC upgrade software</t>
  </si>
  <si>
    <t>Swap: PS Hardware SAU</t>
  </si>
  <si>
    <t>Swap: PS Software extra Mbps</t>
  </si>
  <si>
    <t>Swap: PS Hardware extra Mbps</t>
  </si>
  <si>
    <t>USC - STP Software license (1 pair)</t>
  </si>
  <si>
    <t>USC - STP Hardware (1 pair)</t>
  </si>
  <si>
    <t>USC - DRA/DEA Software license (1 pair)</t>
  </si>
  <si>
    <t>USC - DRA/DEA Hardware (1 pair)</t>
  </si>
  <si>
    <t>New build USC Deploy Package</t>
  </si>
  <si>
    <t>MSU</t>
  </si>
  <si>
    <t>TPS</t>
  </si>
  <si>
    <t>Đầu tư mới USC cho báo hiệu</t>
  </si>
  <si>
    <t>SBC International (Hardware and Software license)</t>
  </si>
  <si>
    <t>SBC Domestic (Hardware and Software license)</t>
  </si>
  <si>
    <t>Swap: PS 2G/3G/4G Software SAU</t>
  </si>
  <si>
    <t>F1</t>
  </si>
  <si>
    <t>Máy chủ loại 1</t>
  </si>
  <si>
    <t>Máy chủ loại 2</t>
  </si>
  <si>
    <t>Máy chủ loại 3</t>
  </si>
  <si>
    <t>Máy chủ cho các hệ thống phục vụ KH doanh nghiệp</t>
  </si>
  <si>
    <t>Máy chủ GPU cho hệ thống AI</t>
  </si>
  <si>
    <t>Chi phí phần mềm</t>
  </si>
  <si>
    <t>SLA phần mềm mSuite</t>
  </si>
  <si>
    <t>SLA ứng dụng IPCC</t>
  </si>
  <si>
    <t>SLA ứng dụng RPA</t>
  </si>
  <si>
    <t xml:space="preserve">gói </t>
  </si>
  <si>
    <t>Thiết bị lưu trữ</t>
  </si>
  <si>
    <t>Tủ rack, phụ kiện và dịch vụ triển khai</t>
  </si>
  <si>
    <t>Tủ rack 42U 19"</t>
  </si>
  <si>
    <t>Cáp điện</t>
  </si>
  <si>
    <t>m</t>
  </si>
  <si>
    <t>Cáp tiếp địa</t>
  </si>
  <si>
    <t>CAT 6 (305M)</t>
  </si>
  <si>
    <t>Thùng</t>
  </si>
  <si>
    <t>RJ 45 (100pcs)</t>
  </si>
  <si>
    <t>Hộp</t>
  </si>
  <si>
    <t>Industrial plug 32A + 3P (pcs)</t>
  </si>
  <si>
    <t>chiếc</t>
  </si>
  <si>
    <t>Cord tie 20cm (bag)</t>
  </si>
  <si>
    <t>Cord tie 30cm (bag)</t>
  </si>
  <si>
    <t>COS head for AC power cable (pcs)</t>
  </si>
  <si>
    <t>COS head for Earthing wire (pcs)</t>
  </si>
  <si>
    <t>Dịch vụ triển khai (lắp đặt, tích hợp, đào tạo)</t>
  </si>
  <si>
    <t>Tài nguyên cho hệ thống dư phòng, DR cho ứng dụng ĐBQT</t>
  </si>
  <si>
    <t>Erl</t>
  </si>
  <si>
    <t>Chi phí license</t>
  </si>
  <si>
    <t>Chi phí phần cứng</t>
  </si>
  <si>
    <t>MSC ATT SW</t>
  </si>
  <si>
    <t>MSC CSFB SW</t>
  </si>
  <si>
    <t>MSC ATT HW</t>
  </si>
  <si>
    <t>MSC newbuid service</t>
  </si>
  <si>
    <t>CS Core swap MSC ATT SW</t>
  </si>
  <si>
    <t>CS Core swap MSC ATT HW</t>
  </si>
  <si>
    <t>SBC newbuid service</t>
  </si>
  <si>
    <t>PS Core expansion service</t>
  </si>
  <si>
    <t>PS Core newbuid service</t>
  </si>
  <si>
    <t>SMSC SW</t>
  </si>
  <si>
    <t>SMSC HW</t>
  </si>
  <si>
    <t>SMSC newbuid service</t>
  </si>
  <si>
    <t>SMSC SW upgrade</t>
  </si>
  <si>
    <t>SMSC upgrade service</t>
  </si>
  <si>
    <t>Swap: PS Deploy Package</t>
  </si>
  <si>
    <t>Máy chủ</t>
  </si>
  <si>
    <t>Hệ thống Ví điện tử 3.0</t>
  </si>
  <si>
    <t>MGW newbuid service</t>
  </si>
  <si>
    <t>Mạng 2/3/4G</t>
  </si>
  <si>
    <t>2/3/4G vùng phủ</t>
  </si>
  <si>
    <t>2/3/4G dung lượng</t>
  </si>
  <si>
    <t>CS Core swap MGW Erl SW</t>
  </si>
  <si>
    <t>CS Core swap MGW Erl HW</t>
  </si>
  <si>
    <t>set</t>
  </si>
  <si>
    <t>Vật tư dự phòng và ƯCTT</t>
  </si>
  <si>
    <t>License phần mềm eKYC/OCR</t>
  </si>
  <si>
    <t>SLA phần mềm SuperApp</t>
  </si>
  <si>
    <t>Triển khai phần mềm kinh doanh, kỹ thuật: VAS, OSS</t>
  </si>
  <si>
    <t xml:space="preserve">Triển khai giải pháp ATTT </t>
  </si>
  <si>
    <t>Triển khai ứng dụng mới</t>
  </si>
  <si>
    <t>Tài nguyên cho nâng cấp mở rộng</t>
  </si>
  <si>
    <t>Mở rộng ứng dụng cho các hệ thống BCCS, OSS, VAS</t>
  </si>
  <si>
    <t>Mở rộng hệ thống Datalake</t>
  </si>
  <si>
    <t>UCTT (HDD, RAM, Nguồn, …)</t>
  </si>
  <si>
    <t>Nhu cầu phát triển mới</t>
  </si>
  <si>
    <t xml:space="preserve">Tài nguyên cho mở rộng </t>
  </si>
  <si>
    <t>2.1.1</t>
  </si>
  <si>
    <t>2.1.2</t>
  </si>
  <si>
    <t>2.1.3</t>
  </si>
  <si>
    <t>2.2.1</t>
  </si>
  <si>
    <t>2.2.2</t>
  </si>
  <si>
    <t>2.2.3</t>
  </si>
  <si>
    <t>VIII</t>
  </si>
  <si>
    <t>IX</t>
  </si>
  <si>
    <t>VÍ ĐIỆN TỬ</t>
  </si>
  <si>
    <t>3.1.1</t>
  </si>
  <si>
    <t>3.1.2</t>
  </si>
  <si>
    <t>3.1.3</t>
  </si>
  <si>
    <t>Triển khai ISO 27001</t>
  </si>
  <si>
    <t>Triển khai PCI-DSS</t>
  </si>
  <si>
    <t xml:space="preserve">License core </t>
  </si>
  <si>
    <t>License hệ thống AML</t>
  </si>
  <si>
    <t>Jumper</t>
  </si>
  <si>
    <t>Bộ Gá đa năng (gồm 3 gá đơn lẻ và các phụ kiện)</t>
  </si>
  <si>
    <t>Thiết bị 3G</t>
  </si>
  <si>
    <t>Thiết bị 2G</t>
  </si>
  <si>
    <t>BTS 2G dualband_Cosite</t>
  </si>
  <si>
    <t>BTS 2G dualband_New site 2G</t>
  </si>
  <si>
    <t>NodeB 3G dualband_Cosite</t>
  </si>
  <si>
    <t>NodeB 3G dualband_New site</t>
  </si>
  <si>
    <t>NodeB Massive MIMO 2.6GHz+3.5GHz</t>
  </si>
  <si>
    <t>Công cụ tối ưu CEM 4G/5G</t>
  </si>
  <si>
    <t>1.1</t>
  </si>
  <si>
    <t>Thay thế ắc quy</t>
  </si>
  <si>
    <t>Ắc quy 12V cho UPS</t>
  </si>
  <si>
    <t>Ắc quy 2V 2000Ah</t>
  </si>
  <si>
    <t>1.2</t>
  </si>
  <si>
    <t>Thay thế thiết bị hết niên hạn sử dụng</t>
  </si>
  <si>
    <t>Hệ thống nguồn DC 2000A</t>
  </si>
  <si>
    <t>Thay thế Hệ thống UPS</t>
  </si>
  <si>
    <t>1.3</t>
  </si>
  <si>
    <t>Gói phần mền giám sát DCIM (phần mềm, cài đặt, tích hợp....)</t>
  </si>
  <si>
    <t>2</t>
  </si>
  <si>
    <t>Gói vật tư dự phòng UCTT</t>
  </si>
  <si>
    <t>Đảm bảo phát triển mới</t>
  </si>
  <si>
    <t>Gói bảo dưỡng</t>
  </si>
  <si>
    <t>Bảo dưỡng chuyên sâu máy phát điện sửa chữa các hỏng hóc</t>
  </si>
  <si>
    <t>Bảo dưỡng chuyên sâu hệ thống AC, mua bổ sung một số vật tư thay thế</t>
  </si>
  <si>
    <t>3</t>
  </si>
  <si>
    <t>Trạm mới VP</t>
  </si>
  <si>
    <t>Trạm mới VP có điện</t>
  </si>
  <si>
    <t>1.1.1</t>
  </si>
  <si>
    <t>Battery</t>
  </si>
  <si>
    <t>LIB 48V-100Ah</t>
  </si>
  <si>
    <t>Battery Lithium minishelter</t>
  </si>
  <si>
    <t>1.1.2</t>
  </si>
  <si>
    <t>Genset</t>
  </si>
  <si>
    <t>Diesel  Genset 1P-220V 12kVA  (+ Fuel tank 500L/600L)</t>
  </si>
  <si>
    <t>1.1.3</t>
  </si>
  <si>
    <t>ATS/Timer</t>
  </si>
  <si>
    <t>ATS outdoor</t>
  </si>
  <si>
    <t>1.1.4</t>
  </si>
  <si>
    <t>DC  Power System</t>
  </si>
  <si>
    <t>IPS with solar</t>
  </si>
  <si>
    <t>IPS minishelter (include controler, subrack,…)</t>
  </si>
  <si>
    <t>Rectifier 3000W</t>
  </si>
  <si>
    <t>1.1.5</t>
  </si>
  <si>
    <t>Solar system</t>
  </si>
  <si>
    <t>1.1.6</t>
  </si>
  <si>
    <t>Mornitoring</t>
  </si>
  <si>
    <t>AC-V1 Alarm</t>
  </si>
  <si>
    <t>DAQ-V2</t>
  </si>
  <si>
    <t>Converter quang 4FE</t>
  </si>
  <si>
    <t>Module SFP</t>
  </si>
  <si>
    <t>Trạm mới VP không điện</t>
  </si>
  <si>
    <t>1.2.1</t>
  </si>
  <si>
    <t>1.2.2</t>
  </si>
  <si>
    <t>1.2.3</t>
  </si>
  <si>
    <t>1.2.4</t>
  </si>
  <si>
    <t>1.2.5</t>
  </si>
  <si>
    <t>Trạm mới DL</t>
  </si>
  <si>
    <t>Trạm mới DL có điện</t>
  </si>
  <si>
    <t>2.1.4</t>
  </si>
  <si>
    <t>2.1.5</t>
  </si>
  <si>
    <t>2.1.6</t>
  </si>
  <si>
    <t>2.2</t>
  </si>
  <si>
    <t>Trạm mới DL không điện</t>
  </si>
  <si>
    <t>2.2.3.1</t>
  </si>
  <si>
    <t>2.2.4</t>
  </si>
  <si>
    <t>2.2.5</t>
  </si>
  <si>
    <t>Trạm main node mới</t>
  </si>
  <si>
    <t>Solar DC System (Indoor)</t>
  </si>
  <si>
    <t>Solar Power System (Include Cabinet, Controller)</t>
  </si>
  <si>
    <t>Solar Converter 3000W</t>
  </si>
  <si>
    <t>Diesel  Genset 3P-380V 30kVA  (+ Fuel tank 500L/600L)</t>
  </si>
  <si>
    <t>3.3</t>
  </si>
  <si>
    <t>3.4</t>
  </si>
  <si>
    <t>ATS-3P</t>
  </si>
  <si>
    <t>3.5</t>
  </si>
  <si>
    <t>Tủ nguồn AC</t>
  </si>
  <si>
    <t>Tủ AC - V5-3P</t>
  </si>
  <si>
    <t>3.6</t>
  </si>
  <si>
    <t>Cảnh báo Khói</t>
  </si>
  <si>
    <t>Cảnh báo mởi cửa</t>
  </si>
  <si>
    <t>3.7</t>
  </si>
  <si>
    <t>4</t>
  </si>
  <si>
    <t>4.1</t>
  </si>
  <si>
    <t>4.2</t>
  </si>
  <si>
    <t>DC system</t>
  </si>
  <si>
    <t>Rectifier 3000W-Vendor Vertiv/Emerson</t>
  </si>
  <si>
    <t>4.3</t>
  </si>
  <si>
    <t>4.4</t>
  </si>
  <si>
    <t>4.5</t>
  </si>
  <si>
    <t>ATS-3P (outdoor/indoor)</t>
  </si>
  <si>
    <t>4.6</t>
  </si>
  <si>
    <t>4.7</t>
  </si>
  <si>
    <t>CB 125A</t>
  </si>
  <si>
    <t>5</t>
  </si>
  <si>
    <t>5.1</t>
  </si>
  <si>
    <t>5.2</t>
  </si>
  <si>
    <t>5.3</t>
  </si>
  <si>
    <t>5.4</t>
  </si>
  <si>
    <t>5.5</t>
  </si>
  <si>
    <t>5.6</t>
  </si>
  <si>
    <t>5.7</t>
  </si>
  <si>
    <t>6</t>
  </si>
  <si>
    <t>6.1</t>
  </si>
  <si>
    <t>Normal DC System (Indoor)</t>
  </si>
  <si>
    <t>DC Power System (Include Cabinet, Controller)</t>
  </si>
  <si>
    <t>Pin mặt trời</t>
  </si>
  <si>
    <t>Khác</t>
  </si>
  <si>
    <t>6.2</t>
  </si>
  <si>
    <t>Portable battery</t>
  </si>
  <si>
    <t>Gasoline 1P-220V 10.6kVA</t>
  </si>
  <si>
    <t>6.3</t>
  </si>
  <si>
    <t>ATS-1P</t>
  </si>
  <si>
    <t>ATS-3P indoor</t>
  </si>
  <si>
    <t>ATS-3P outdoor</t>
  </si>
  <si>
    <t>6.4</t>
  </si>
  <si>
    <t>6.4.1</t>
  </si>
  <si>
    <t>6.4.2</t>
  </si>
  <si>
    <t>6.5</t>
  </si>
  <si>
    <t>Tủ AC - V5-1P</t>
  </si>
  <si>
    <t>6.6</t>
  </si>
  <si>
    <t>6.6.1</t>
  </si>
  <si>
    <t>6.6.2</t>
  </si>
  <si>
    <t>Hệ thống dàn PMT</t>
  </si>
  <si>
    <t>6.7</t>
  </si>
  <si>
    <t>Nâng cấp PMT trạm không điện</t>
  </si>
  <si>
    <t>6.7.1</t>
  </si>
  <si>
    <t>6.7.2</t>
  </si>
  <si>
    <t>6.8</t>
  </si>
  <si>
    <t>Vật tư khác</t>
  </si>
  <si>
    <t>Smart DCDU</t>
  </si>
  <si>
    <t>Bộ xạc bù acquy 12V</t>
  </si>
  <si>
    <t>Cắt lọc sét MOV, SPD SC(R)100/385 | MOV surge protector</t>
  </si>
  <si>
    <t>Cắt lọc sét sơ cấp GZ</t>
  </si>
  <si>
    <t>Gói vật tư sửa chữa máy phát điện</t>
  </si>
  <si>
    <t>Máy</t>
  </si>
  <si>
    <t>7</t>
  </si>
  <si>
    <t>Vật tự dự phòng UCTT</t>
  </si>
  <si>
    <t>7.1</t>
  </si>
  <si>
    <t>7.2</t>
  </si>
  <si>
    <t>Rectifier 3000W (theo Vendor)</t>
  </si>
  <si>
    <t>7.3</t>
  </si>
  <si>
    <t>Solar converter 3000W (theo vendor)</t>
  </si>
  <si>
    <t>7.4</t>
  </si>
  <si>
    <t>Controller</t>
  </si>
  <si>
    <t>7.5</t>
  </si>
  <si>
    <t>7.6</t>
  </si>
  <si>
    <t>Mini OLT 8 cổng (phần cứng + license)</t>
  </si>
  <si>
    <t>Tủ thuê bao 8 cổng ngoài trời (hỗ trợ lên 16 cổng)</t>
  </si>
  <si>
    <t>Tủ ODF indoor 12Fo LC/APC</t>
  </si>
  <si>
    <t>Bộ chia 1:8 có connector chuẩn SC/UPC ở đầu ra</t>
  </si>
  <si>
    <t>Bộ chia 1:8 (2 đầu không connector)</t>
  </si>
  <si>
    <t>Cáp quang ADSS 12Fo, 2 sợi/1 lỏng, KV100m</t>
  </si>
  <si>
    <t>Cáp quang ADSS 24Fo khoảng vượt 100m</t>
  </si>
  <si>
    <t>Bộ treo cáp quang ADSS KV100</t>
  </si>
  <si>
    <t xml:space="preserve">Bộ néo 2 hướng cáp quang ADSS KV100 </t>
  </si>
  <si>
    <t>Đế ốp D12</t>
  </si>
  <si>
    <t>Dây đai inox</t>
  </si>
  <si>
    <t>Khoá đai inox</t>
  </si>
  <si>
    <t>Ống nhựa bảo vệ cáp PVC fi 56</t>
  </si>
  <si>
    <t>Tủ nhánh (lắp đặt tối đa được 20 bộ chia quang PLC và 5 khay hàn )</t>
  </si>
  <si>
    <t>Cột gỗ 9m</t>
  </si>
  <si>
    <t>Gông G7</t>
  </si>
  <si>
    <t>Măng xông 24 Fo</t>
  </si>
  <si>
    <t>Thiết bị BRAS (NetEngine 8000 X8 (V800R024)) bao gồm: phần cứng, phần mềm và phụ kiện đi kèm</t>
  </si>
  <si>
    <t>AAA</t>
  </si>
  <si>
    <t>DNS</t>
  </si>
  <si>
    <t>Server</t>
  </si>
  <si>
    <t>GPON</t>
  </si>
  <si>
    <t>Cho vủng phủ 2/3/4G</t>
  </si>
  <si>
    <t>Cáp quang ADSS 12Fo KV100m</t>
  </si>
  <si>
    <t>Cáp quang mới cho trạm 4G</t>
  </si>
  <si>
    <t>Viba IP/E-Band</t>
  </si>
  <si>
    <t>Tuyến</t>
  </si>
  <si>
    <t xml:space="preserve">Cột </t>
  </si>
  <si>
    <t>Măng xông 12Fo</t>
  </si>
  <si>
    <t>Gông treo Măng xông G7</t>
  </si>
  <si>
    <t>Cho 5G</t>
  </si>
  <si>
    <t>Cáp quang mới cho trạm 5G</t>
  </si>
  <si>
    <t>Node ROADM mới</t>
  </si>
  <si>
    <t>Bổ sung OLP</t>
  </si>
  <si>
    <t>Nâng cấp OLA lên OADM</t>
  </si>
  <si>
    <t>Bước sóng 100G 10x10 có lặp cho KNQT</t>
  </si>
  <si>
    <t>Bước sóng 100G không lặp</t>
  </si>
  <si>
    <t>Bước sóng 100G có lặp</t>
  </si>
  <si>
    <t>Link</t>
  </si>
  <si>
    <t>Bước sóng</t>
  </si>
  <si>
    <t>Bước sóng 400G không lặp</t>
  </si>
  <si>
    <t>Bước sóng 100G Không lặp</t>
  </si>
  <si>
    <t>Bước sóng 400G có lặp ( 2 lặp)</t>
  </si>
  <si>
    <t>Node OLA mới</t>
  </si>
  <si>
    <t>Bước sóng 100G 10x10</t>
  </si>
  <si>
    <t>Vu hồi quang hóa</t>
  </si>
  <si>
    <t>Cáp quang treo ADSS12 KV100</t>
  </si>
  <si>
    <t>ODF 12Fo Outdoor</t>
  </si>
  <si>
    <t>Công cụ dụng cụ</t>
  </si>
  <si>
    <t>Dao cắt sợi quang chính xác Fiber cleaver</t>
  </si>
  <si>
    <t>Dao tuốt sợi quang Ripley Miller fiber optic stripper</t>
  </si>
  <si>
    <t>Dao mở cáp Cable shield cutter (Densan)</t>
  </si>
  <si>
    <t>Electrode for machine/Điện cực 70S</t>
  </si>
  <si>
    <t>Electrode for machine/Điện cực 90S</t>
  </si>
  <si>
    <t>Pin máy đo quang AQ7275</t>
  </si>
  <si>
    <t>Pin máy đo quang AQ7280</t>
  </si>
  <si>
    <t>Adapter AQ7275</t>
  </si>
  <si>
    <t>Adapter AQ7280</t>
  </si>
  <si>
    <t>Pin máy hàn quang Fuji 90S+</t>
  </si>
  <si>
    <t>Adapter máy hàn quang Fuji 70S/70S+</t>
  </si>
  <si>
    <t>Adapter máy hàn quang Fuji 90S+</t>
  </si>
  <si>
    <t>Cáp quang phụ kiện</t>
  </si>
  <si>
    <t>Cáp quang treo ADSS 12 sợi - KV100m</t>
  </si>
  <si>
    <t>Cáp quang treo ADSS 24 sợi - KV100m 18G652+6G655</t>
  </si>
  <si>
    <t>Cáp ngầm 24F0</t>
  </si>
  <si>
    <t>Măng xông quang 12 Sợi</t>
  </si>
  <si>
    <t>Măng xông quang 24 sợi</t>
  </si>
  <si>
    <t>Card KĐ thu DWDM ZTE</t>
  </si>
  <si>
    <t>Card KĐ phát DWDM ZTE</t>
  </si>
  <si>
    <t>Subrack NXG1</t>
  </si>
  <si>
    <t>Card WSS DWDM</t>
  </si>
  <si>
    <t>Smart Node Processor Board(SNPG)</t>
  </si>
  <si>
    <t>Card bảo vệ đường quang SOP</t>
  </si>
  <si>
    <t>Card xử lý truyền thông CCPG</t>
  </si>
  <si>
    <t>Card nguồn subrack NXG1 PWE</t>
  </si>
  <si>
    <t>Card hạ kênh 400GG MQ4HB</t>
  </si>
  <si>
    <t>Card lặp kênh 400G TDB4H</t>
  </si>
  <si>
    <t>Module 100G QSFP28</t>
  </si>
  <si>
    <t>Module lineside 400G</t>
  </si>
  <si>
    <t>MW RFU Huawei XMC-3 8GHz</t>
  </si>
  <si>
    <t>MW RFU Huawei XMC-3 15GHz</t>
  </si>
  <si>
    <t>Antenna Huawei 0.6m</t>
  </si>
  <si>
    <t>MW IDU Huawei RTN 905 2F</t>
  </si>
  <si>
    <t>Cặp</t>
  </si>
  <si>
    <t>Viba vu hồi ven biển và trạm thủ phủ</t>
  </si>
  <si>
    <t>tuyến</t>
  </si>
  <si>
    <t>Ngầm hóa 1B,1C</t>
  </si>
  <si>
    <t>Băng báo hiệu cáp ngầm</t>
  </si>
  <si>
    <t>Ống nhựa Ø40 cho cáp ngầm</t>
  </si>
  <si>
    <t>Củng cố hạ tầng cột,cáp</t>
  </si>
  <si>
    <t>Cáp quang treo ADSS 24 sợi - KV200m 18G652+6G655</t>
  </si>
  <si>
    <t>Bộ treo cáp ADSS 12 sợi / Hanging kit for ADSS optical cable 12 Fo - KV100m</t>
  </si>
  <si>
    <t>Bộ néo 2 hướng cho cáp ADSS KV100m / Double tension for ADSS cable with 100m span</t>
  </si>
  <si>
    <t>Bộ néo 2 hướng cho cáp ADSS KV500m / Double tension for ADSS cable with 500m span</t>
  </si>
  <si>
    <t>Dây đai Inox 0.7 x 20 mm | Inox belts 0.7 x 20mm</t>
  </si>
  <si>
    <t>Đế ốp D12 | D12 Steel Shape</t>
  </si>
  <si>
    <t>Bulong M14 xuyên tâm</t>
  </si>
  <si>
    <t>Gông treo MX G7</t>
  </si>
  <si>
    <t>ODF 12 FO (SC)</t>
  </si>
  <si>
    <t>Măng xông quang 24 Sợi</t>
  </si>
  <si>
    <t>Măng xông quang 24 Sợi, tròn cho cáp ngầm</t>
  </si>
  <si>
    <t>ODF 24 FO (SC)</t>
  </si>
  <si>
    <t>Kit bảo dưỡng viba</t>
  </si>
  <si>
    <t>Path cord SC/LC</t>
  </si>
  <si>
    <t xml:space="preserve">Path cord LC/LC </t>
  </si>
  <si>
    <t>Ống nung</t>
  </si>
  <si>
    <t>Máy hàn quang</t>
  </si>
  <si>
    <t>Máy đo quang OTDR</t>
  </si>
  <si>
    <t>Kìm siết đai Inox</t>
  </si>
  <si>
    <t>Bộ tăng cáp loại 1 tấn</t>
  </si>
  <si>
    <t>Hộp đựng máy đo quang</t>
  </si>
  <si>
    <t>Bộ vệ sinh sợi quang</t>
  </si>
  <si>
    <t>Bộ vệ sinh port quang</t>
  </si>
  <si>
    <t>Sợi</t>
  </si>
  <si>
    <t>Dung lượng Metro</t>
  </si>
  <si>
    <t>Dung lượng IPBN</t>
  </si>
  <si>
    <t>Mạng truyền dẫn</t>
  </si>
  <si>
    <t>SRT phát triển mới</t>
  </si>
  <si>
    <t>Module Newsite đấu trạm 1GE 10Km - 2G 900</t>
  </si>
  <si>
    <t>Module Newsite đấu trạm 1GE 10Km - 4G 800</t>
  </si>
  <si>
    <t>Module Newsite đấu trạm 1GE 10Km - 4G 1800</t>
  </si>
  <si>
    <t>Thiết bị SRT vendor Juniper</t>
  </si>
  <si>
    <t>Site router (loại 100G)</t>
  </si>
  <si>
    <t xml:space="preserve">Module SFP+ 10GE, SM, 10km </t>
  </si>
  <si>
    <t xml:space="preserve">Module SFP+ 10GE, SM, 40km </t>
  </si>
  <si>
    <t>Module SFP+ 10GE, SM, 80km</t>
  </si>
  <si>
    <t>Line card 130G (MPC3E-NG)</t>
  </si>
  <si>
    <t>MIC 4 port 10G XFP</t>
  </si>
  <si>
    <t>Module XFP 10G-10km</t>
  </si>
  <si>
    <t>Module XFP 10G-40km</t>
  </si>
  <si>
    <t>Module XFP 10G-80km</t>
  </si>
  <si>
    <t>Patch cord sợi đôi</t>
  </si>
  <si>
    <t>Module electrical 10/100/1000 RJ45</t>
  </si>
  <si>
    <t>Module 1GE, SM, 40km</t>
  </si>
  <si>
    <t>Module 1GE, SM, 80km</t>
  </si>
  <si>
    <t>Module 10GE, SM, 10km</t>
  </si>
  <si>
    <t>Module 10GE, SM, 40km</t>
  </si>
  <si>
    <t>Module 10GE, SM, 80km</t>
  </si>
  <si>
    <t>Chasiss MX960</t>
  </si>
  <si>
    <t>SCBE3-MX-BB</t>
  </si>
  <si>
    <t>RE-S-X6-128G</t>
  </si>
  <si>
    <t>Card 4x100GE</t>
  </si>
  <si>
    <t>Module 100GE, SM, 10km</t>
  </si>
  <si>
    <t>Module 100GE, SM, 40km</t>
  </si>
  <si>
    <t>Module 100GE, SM, 80km</t>
  </si>
  <si>
    <t>NetEngine 8000 (include rack, CB, cable,…)</t>
  </si>
  <si>
    <t>2-Port 100G</t>
  </si>
  <si>
    <t>10-Port 10GE</t>
  </si>
  <si>
    <t>Module 100G 10km</t>
  </si>
  <si>
    <t>Module 100G 40km</t>
  </si>
  <si>
    <t>Module 100G 80km</t>
  </si>
  <si>
    <t>Chasiss (Full box)</t>
  </si>
  <si>
    <t>Card 40x10GE</t>
  </si>
  <si>
    <t>Card 8x100GE (2x400GE)</t>
  </si>
  <si>
    <t>Module 400GE, SM, 10km</t>
  </si>
  <si>
    <t>Core vùng Juniper</t>
  </si>
  <si>
    <t>Card 40x10GE SFP+</t>
  </si>
  <si>
    <t>Module 10GE, SM, 10km (SFP)</t>
  </si>
  <si>
    <t>Chassis</t>
  </si>
  <si>
    <t>patchcord</t>
  </si>
  <si>
    <t>IGW</t>
  </si>
  <si>
    <t>Chasiss mới</t>
  </si>
  <si>
    <t>48*10GE line card for NE40E-X8A</t>
  </si>
  <si>
    <t>Card 4x100GE for NE40E-X8A</t>
  </si>
  <si>
    <t>Card 36x10GE SFP+</t>
  </si>
  <si>
    <t>Card 5x100GE</t>
  </si>
  <si>
    <t>P router</t>
  </si>
  <si>
    <t>Chasiss</t>
  </si>
  <si>
    <t>Card 2x400GE</t>
  </si>
  <si>
    <t>PE PS</t>
  </si>
  <si>
    <t>Chasiss new (Full box)</t>
  </si>
  <si>
    <t>4*100GE line card for NE40E-X8A (bao gồm card và MIC)</t>
  </si>
  <si>
    <t>Module 1000BASE-TX, RJ45</t>
  </si>
  <si>
    <t>Module 1000BASE-X, SM, LX 10km</t>
  </si>
  <si>
    <t>PE CĐ</t>
  </si>
  <si>
    <t>Card 36x10GE SFP+ cho NE8000-X8</t>
  </si>
  <si>
    <t>Card 5x100GE (bao gồm card và MIC) cho NE8000-X8</t>
  </si>
  <si>
    <t>8*100GE line card for NE40E-X8</t>
  </si>
  <si>
    <t>2*100GE line card for NE40E-X8A (bao gồm card và MIC)</t>
  </si>
  <si>
    <t>DCN/Intranet Network</t>
  </si>
  <si>
    <t>DCN  access switch L3</t>
  </si>
  <si>
    <t>Patch cord</t>
  </si>
  <si>
    <t>MPBN Network</t>
  </si>
  <si>
    <t>Chassis PE-MPBN new</t>
  </si>
  <si>
    <t>Card 24x10GE SFP+ for NE40E-X8A</t>
  </si>
  <si>
    <t>Tủ rack, phụ kiện triển khai cache</t>
  </si>
  <si>
    <t>Module cosite - 1GE-10km - Cosite 800</t>
  </si>
  <si>
    <t>Module cosite - 1GE-10km - Cosite 1800</t>
  </si>
  <si>
    <t>Module cosite - 1GE-10km - Cosite 700</t>
  </si>
  <si>
    <t>Module cosite - 1GE-10km - Cosite 2600 (cắm vào 150 SRT hiện hữu)</t>
  </si>
  <si>
    <t xml:space="preserve">Module new site - 10GE-10km - </t>
  </si>
  <si>
    <t>Module uplink newsite 10GE, SM, 10km (chèn ring)</t>
  </si>
  <si>
    <t>Module uplink newsite 10GE, SM, 40km (chèn ring)</t>
  </si>
  <si>
    <t>Module uplink newsite 10GE, SM, 80km (chèn ring)</t>
  </si>
  <si>
    <t>Module uplink newsite 1GE, SM, 10km (đấu nối đuôi acx2100/viba)</t>
  </si>
  <si>
    <t>Module uplink newsite 1GE, SM, 40km (đấu nối đuôi acx2100/viba)</t>
  </si>
  <si>
    <t>Module uplink newsite 1GE, SM, 80km (đấu nối đuôi acx2100/viba)</t>
  </si>
  <si>
    <t>Module điện 10/100/1000 RJ45 cho giám sát tủ nguồn, viba</t>
  </si>
  <si>
    <t>SRT</t>
  </si>
  <si>
    <t>E8</t>
  </si>
  <si>
    <t>F2</t>
  </si>
  <si>
    <t>License NCE</t>
  </si>
  <si>
    <t>License Node AGG</t>
  </si>
  <si>
    <t>License Node SRT</t>
  </si>
  <si>
    <t>License NCE (đơn giá node)</t>
  </si>
  <si>
    <t>Ghi chú</t>
  </si>
  <si>
    <t>Cosite trên 802 vị trí triển khai 4G DL</t>
  </si>
  <si>
    <t>Triển khai 208 vị trí triển khai vùng phủ mới cho 4G kết hợp cosite 2G, tổng chi phí dự kiến 3.5M USD</t>
  </si>
  <si>
    <t>- 2G: 
+) Bổ sung thêm 101 vị trí mới cho lưu lượng nhằm đáp ứng nhu cầu KD và giảm TU mạng 2G
+) Bổ sung thêm 48 trạm cosite 900MHz 
- 4/5G: +) 802 tủ MM 2.6+3.5GHz, 157 card BB, 83 sector 800, 293 sector 700, 197 sector 1800.</t>
  </si>
  <si>
    <t>+) Swap anten đa băng 200tram/năm: 360K USD</t>
  </si>
  <si>
    <t>+) Gói công cụ tối ưu mạng thử nghiệm (CEM): dự kiến 200K USD</t>
  </si>
  <si>
    <t>+) Gói UCTT: dự kiến 2.5M USD</t>
  </si>
  <si>
    <t>Năm 2027: nâng cấp software cho 3 CloudSE2980 MGW từ 1 V5R23, 2 V5R24 lên V5R25.</t>
  </si>
  <si>
    <t>Dịch vụ lắp đặt trạm mới VP</t>
  </si>
  <si>
    <t>Dịch vụ lắp đặt trạm mới VP có điện</t>
  </si>
  <si>
    <t>Dịch vụ lắp đặt hạng mục Battery</t>
  </si>
  <si>
    <t>Dịch vụ lắp đặt LIB 48V-100Ah</t>
  </si>
  <si>
    <t>Dịch vụ lắp đặt Battery Lithium minishelter</t>
  </si>
  <si>
    <t>Dịch vụ lắp đặt Genset</t>
  </si>
  <si>
    <t>Dịch vụ lắp đặt Diesel  Genset 1P-220V 12kVA  (+ Fuel tank 500L/600L)</t>
  </si>
  <si>
    <t>Dịch vụ lắp đặt ATS/Timer</t>
  </si>
  <si>
    <t>Dịch vụ lắp đặt ATS outdoor</t>
  </si>
  <si>
    <t>Dịch vụ lắp đặt DC  Power System</t>
  </si>
  <si>
    <t>Dịch vụ lắp đặt IPS with solar</t>
  </si>
  <si>
    <t>Dịch vụ lắp đặt IPS minishelter (include controler, subrack,…)</t>
  </si>
  <si>
    <t>Dịch vụ lắp đặt Rectifier 3000W</t>
  </si>
  <si>
    <t>Dịch vụ lắp đặt Solar converter 3000W</t>
  </si>
  <si>
    <t>Dịch vụ lắp đặt Solar system</t>
  </si>
  <si>
    <t>Dịch vụ lắp đặt Mornitoring</t>
  </si>
  <si>
    <t>Dịch vụ lắp đặt AC-V1 Alarm</t>
  </si>
  <si>
    <t>Dịch vụ lắp đặt DAQ-V2</t>
  </si>
  <si>
    <t>Dịch vụ lắp đặt Converter quang 4FE</t>
  </si>
  <si>
    <t>Dịch vụ lắp đặt Module SFP</t>
  </si>
  <si>
    <t>Dịch vụ lắp đặt Trạm mới VP không điện</t>
  </si>
  <si>
    <t>Dịch vụ lắp đặt Battery</t>
  </si>
  <si>
    <t>Dịch vụ lắp đặt Trạm mới DL</t>
  </si>
  <si>
    <t>Dịch vụ lắp đặt Trạm mới DL có điện</t>
  </si>
  <si>
    <t>Dịch vụ lắp đặt Trạm mới DL không điện</t>
  </si>
  <si>
    <t>Dịch vụ lắp đặt Trạm main node mới</t>
  </si>
  <si>
    <t>Dịch vụ lắp đặt Solar DC System (Indoor)</t>
  </si>
  <si>
    <t>Dịch vụ lắp đặt Solar Power System (Include Cabinet, Controller)</t>
  </si>
  <si>
    <t>Dịch vụ lắp đặt Solar Converter 3000W</t>
  </si>
  <si>
    <t>Dịch vụ lắp đặt Diesel  Genset 3P-380V 30kVA  (+ Fuel tank 500L/600L)</t>
  </si>
  <si>
    <t>Dịch vụ lắp đặt ATS-3P</t>
  </si>
  <si>
    <t>Dịch vụ lắp đặt Tủ nguồn AC</t>
  </si>
  <si>
    <t>Dịch vụ lắp đặt Tủ AC - V5-3P</t>
  </si>
  <si>
    <t>Dịch vụ lắp đặt Cảnh báo Khói</t>
  </si>
  <si>
    <t>Dịch vụ lắp đặt Cảnh báo mở cửa</t>
  </si>
  <si>
    <t>Dịch vụ lắp đặt Cosite vùng phủ</t>
  </si>
  <si>
    <t>Dịch vụ lắp đặt DC system</t>
  </si>
  <si>
    <t>Dịch vụ lắp đặt Rectifier 3000W-Vendor Vertiv/Emerson</t>
  </si>
  <si>
    <t>Dịch vụ lắp đặt ATS-3P (outdoor/indoor)</t>
  </si>
  <si>
    <t>Dịch vụ lắp đặt CB 125A</t>
  </si>
  <si>
    <t>Dịch vụ lắp đặt Cosite dung lượng</t>
  </si>
  <si>
    <t>Dịch vụ lắp đặt Kiên cố, củng cố</t>
  </si>
  <si>
    <t>Dịch vụ lắp đặt Normal DC System (Indoor)</t>
  </si>
  <si>
    <t>Dịch vụ lắp đặt DC Power System (Include Cabinet, Controller)</t>
  </si>
  <si>
    <t>Dịch vụ lắp đặt Portable battery</t>
  </si>
  <si>
    <t>Dịch vụ lắp đặt Gasoline 1P-220V 10.6kVA</t>
  </si>
  <si>
    <t>Dịch vụ lắp đặt ATS-1P</t>
  </si>
  <si>
    <t>Dịch vụ lắp đặt ATS-3P indoor</t>
  </si>
  <si>
    <t>Dịch vụ lắp đặt ATS-3P outdoor</t>
  </si>
  <si>
    <t>Dịch vụ lắp đặt Tủ AC - V5-1P</t>
  </si>
  <si>
    <t>Dịch vụ lắp đặt Triển khai PMT cho trạm điện giá cao</t>
  </si>
  <si>
    <t>Dịch vụ lắp đặt Hệ thống dàn PMT</t>
  </si>
  <si>
    <t>Dịch vụ lắp đặt Nâng cấp PMT trạm không điện</t>
  </si>
  <si>
    <t>Dịch vụ lắp đặt Vật tư khác</t>
  </si>
  <si>
    <t>Dịch vụ lắp đặt Smart DCDU</t>
  </si>
  <si>
    <t>SBC</t>
  </si>
  <si>
    <t>Hệ thống giám sát chất lượng Roaming</t>
  </si>
  <si>
    <t>Phần mềm giám sát chất lượng dịch vụ Roaming</t>
  </si>
  <si>
    <t>Phần cứng hệ thống giám sát Roaming</t>
  </si>
  <si>
    <t>Dịch vụ triển khai cho hệ thống giám sát Roaming</t>
  </si>
  <si>
    <t>PS Cloud DNS Software 
(external, internal DNS)</t>
  </si>
  <si>
    <t>Swap: PS FW Hardware</t>
  </si>
  <si>
    <t>Swap: PS FW Software</t>
  </si>
  <si>
    <t>Swap: PS Cloud DNS Hardware 
(external, internal DNS)</t>
  </si>
  <si>
    <t>Swap: PS Cloud DNS Software 
(external, internal DNS)</t>
  </si>
  <si>
    <t>PDP</t>
  </si>
  <si>
    <t>PS upgrade software</t>
  </si>
  <si>
    <t>PS upgrade service</t>
  </si>
  <si>
    <t>IMS upgrade software</t>
  </si>
  <si>
    <t>IMS upgrade service</t>
  </si>
  <si>
    <t>UDM upgrade software</t>
  </si>
  <si>
    <t>UDM upgrade service</t>
  </si>
  <si>
    <t>IMS swap SW</t>
  </si>
  <si>
    <t>IMS swap HW</t>
  </si>
  <si>
    <t>IMS deployment service</t>
  </si>
  <si>
    <t>Swap: PS 2G/3G/4G Software PDP</t>
  </si>
  <si>
    <t>Swap: PS 2G/3G/4G Software Mbps</t>
  </si>
  <si>
    <t>Swap: PS Hardware PDP</t>
  </si>
  <si>
    <t>Swap: PS Hardware Mbps</t>
  </si>
  <si>
    <t>Swap: PS Software extra PDP</t>
  </si>
  <si>
    <t>Swap: PS Hardware extra PDP</t>
  </si>
  <si>
    <t>PS 5G SA Software and Hardware Mbps</t>
  </si>
  <si>
    <t>PS 5G SA Software and Hardware SAU</t>
  </si>
  <si>
    <t>PS 5G SA Software and Hardware PDP</t>
  </si>
  <si>
    <t>Deploy trial 5G SA Package</t>
  </si>
  <si>
    <t>Hapulico 28m</t>
  </si>
  <si>
    <t>Nhà C05</t>
  </si>
  <si>
    <t>Hàng rào</t>
  </si>
  <si>
    <t>Nhà</t>
  </si>
  <si>
    <t>trạm</t>
  </si>
  <si>
    <t>Vật tư thiết bị  HTML vùng phủ</t>
  </si>
  <si>
    <t>Vật tư thiết bị  HTML dung lượng</t>
  </si>
  <si>
    <t>Vật tư thiết bị củng cố kiên cố</t>
  </si>
  <si>
    <t>Cột bao</t>
  </si>
  <si>
    <t>Thay thế cột co hỏng hóc</t>
  </si>
  <si>
    <t>Xây dựng móng trạm vùng phủ</t>
  </si>
  <si>
    <t>Minishelter</t>
  </si>
  <si>
    <t>vị trí</t>
  </si>
  <si>
    <t>Xây dựng móng trạm dung lượng</t>
  </si>
  <si>
    <t>Lắp dựng trạm vùng phủ</t>
  </si>
  <si>
    <t>Lắp dựng trạm dung lượng</t>
  </si>
  <si>
    <t>Lắp thiết bị BTS mới trạm vùng phủ</t>
  </si>
  <si>
    <t>Lắp thiết bị BTS mới trạm vùng dung lượng</t>
  </si>
  <si>
    <t>5m &lt; H ≤ 24m</t>
  </si>
  <si>
    <t>27.5m &lt; H ≤ 33m</t>
  </si>
  <si>
    <t>33m &lt; H ≤ 38.5m</t>
  </si>
  <si>
    <t>38.5m &lt; H ≤ 44m</t>
  </si>
  <si>
    <t>44m &lt; H ≤ 49.5m</t>
  </si>
  <si>
    <t>49.5m &lt; H ≤ 55m</t>
  </si>
  <si>
    <t>55m &lt; H ≤ 60m</t>
  </si>
  <si>
    <t>60m &lt; H ≤ 66m</t>
  </si>
  <si>
    <t>66m &lt; H ≤ 72m</t>
  </si>
  <si>
    <t>72m &lt; H ≤78m</t>
  </si>
  <si>
    <t>Sector 4G twinbeam trạm  dung lượng</t>
  </si>
  <si>
    <t>5m &lt; H ≤ 9m</t>
  </si>
  <si>
    <t>9m &lt; H ≤ 18m</t>
  </si>
  <si>
    <t>21m &lt; H ≤27.5m</t>
  </si>
  <si>
    <t>RRU 2G cosite trạm  dung lượng</t>
  </si>
  <si>
    <t>RRU 4G cosite trạm  dung lượng</t>
  </si>
  <si>
    <t>RRU 5G cosite trạm  dung lượng</t>
  </si>
  <si>
    <t xml:space="preserve">SRT - Newsite </t>
  </si>
  <si>
    <t>Thiết bị SRT vendor Juniper phát triển mới</t>
  </si>
  <si>
    <t>Nâng cấp ring SRT do lưu lượng tăng vendor Huawei</t>
  </si>
  <si>
    <t>Thiết bị mới</t>
  </si>
  <si>
    <t>MBPN Network</t>
  </si>
  <si>
    <t>Firewall DCN, server</t>
  </si>
  <si>
    <t>Firewall DCN</t>
  </si>
  <si>
    <t>DWDM Nâng cấp dung lượng trục 1A, 1B, 1C,KNQT</t>
  </si>
  <si>
    <t>Bước sóng 400G cho trục 1C mới</t>
  </si>
  <si>
    <t>DWDM AGG-AGG</t>
  </si>
  <si>
    <t>Bước sóng 100G có lặp ( 1 lặp)</t>
  </si>
  <si>
    <t>Công cụ, dụng cụ</t>
  </si>
  <si>
    <t>Fast connector Tool</t>
  </si>
  <si>
    <t>UDM</t>
  </si>
  <si>
    <t>UDM 2G/3G FE SW</t>
  </si>
  <si>
    <t>UDM 2G/3G BE SW</t>
  </si>
  <si>
    <t>UDM 4G FE SW</t>
  </si>
  <si>
    <t>UDM 4G BE SW</t>
  </si>
  <si>
    <t>UDM IMS FE SW</t>
  </si>
  <si>
    <t>UDM IMS BE SW</t>
  </si>
  <si>
    <t>UDM 5G FE SW</t>
  </si>
  <si>
    <t>UDM 5G BE SW</t>
  </si>
  <si>
    <t>UDM 2G/3G FE HW</t>
  </si>
  <si>
    <t>UDM 2G/3G BE HW</t>
  </si>
  <si>
    <t>UDM 4G FE HW</t>
  </si>
  <si>
    <t>UDM 4G BE HW</t>
  </si>
  <si>
    <t>UDM IMS FE HW</t>
  </si>
  <si>
    <t>UDM IMS BE HW</t>
  </si>
  <si>
    <t>UDM 5G FE HW</t>
  </si>
  <si>
    <t>UDM 5G BE HW</t>
  </si>
  <si>
    <t>UDM newbuid service</t>
  </si>
  <si>
    <t>Đầu tư IMS cho đáp ưng tăng trưởng VoLTE chuyển dịch công nghệ:
Năm 2026: Đầu tư 1 IMS phần cứng 2M VoLTE/VoNR mới ở tổng trạm Maputo và phần mềm 1M VoLTE/VoNR. Dịch vụ triển khai.
 (Theo QHĐC 2026 đã kí thì mua 1 IMS 2M đặt ở tổng trạm Maputo (những năm sau mua tiếp gối đầu để đảm bảo dự phòng N+1). Tuy nhiên, thị trường MVT đã tự điều chỉnh thành mua 2 IMS 1M đặt ở 2 tổng trạm, lí do MVT muốn đưa đảm bảo dự phòng luôn ngay khi có thuê bao VoLTE vào để đáp ứng KD nhưng đến T9/2026 vẫn chưa kí HĐ, dự kiến Q3/2027 mới đưa vào dịch vụ).</t>
  </si>
  <si>
    <t>SAU</t>
  </si>
  <si>
    <t>Nâng cấp software cho MSC</t>
  </si>
  <si>
    <t>Nâng cấp software cho PS Core</t>
  </si>
  <si>
    <t>Nâng cấp software cho IMS</t>
  </si>
  <si>
    <t>Nâng cấp software cho UDM</t>
  </si>
  <si>
    <t>Tính năng Bypass tự động Rx, Ro cho IMS</t>
  </si>
  <si>
    <t>MSC/GMSC</t>
  </si>
  <si>
    <t>Swap: PS 5G NSA Software SAU</t>
  </si>
  <si>
    <t>Swap: PS 5G NSA Software PDP</t>
  </si>
  <si>
    <t>Swap: PS 5G NSA Software Mbps</t>
  </si>
  <si>
    <t>UDM swap 2G/3G FE SW</t>
  </si>
  <si>
    <t>UDM swap 2G/3G BE SW</t>
  </si>
  <si>
    <t>UDM swap 4G FE SW</t>
  </si>
  <si>
    <t>UDM swap 4G BE SW</t>
  </si>
  <si>
    <t>UDM swap IMS FE SW</t>
  </si>
  <si>
    <t>UDM swap IMS BE SW</t>
  </si>
  <si>
    <t>UDM swap 5G FE SW</t>
  </si>
  <si>
    <t>UDM swap 5G BE SW</t>
  </si>
  <si>
    <t>UDM swap 2G/3G FE HW</t>
  </si>
  <si>
    <t>UDM swap 2G/3G BE HW</t>
  </si>
  <si>
    <t>UDM swap 4G FE HW</t>
  </si>
  <si>
    <t>UDM swap 4G BE HW</t>
  </si>
  <si>
    <t>UDM swap IMS FE HW</t>
  </si>
  <si>
    <t>UDM swap IMS BE HW</t>
  </si>
  <si>
    <t>UDM swap 5G FE HW</t>
  </si>
  <si>
    <t>UDM swap 5G BE HW</t>
  </si>
  <si>
    <t>UDM expansion service</t>
  </si>
  <si>
    <t>UDM movement service</t>
  </si>
  <si>
    <t>UDM SW upgrade</t>
  </si>
  <si>
    <t>Cáp quang mới cho trạm dung lượng</t>
  </si>
  <si>
    <t>Vật tư dự phòng UCTT</t>
  </si>
  <si>
    <t>2.1</t>
  </si>
  <si>
    <t>Server AAA</t>
  </si>
  <si>
    <t>Switch L3</t>
  </si>
  <si>
    <t>Server DNS</t>
  </si>
  <si>
    <t>UCTT</t>
  </si>
  <si>
    <t>Củng cố bền vững</t>
  </si>
  <si>
    <t>BTS 2G 1800_Cosite (exclued BB)</t>
  </si>
  <si>
    <t>BTS 2G 900_Cosite (exclued BB)</t>
  </si>
  <si>
    <t>D1</t>
  </si>
  <si>
    <t>Thiết bị máy chủ cho hệ thống VAS, Đâu tư, Tài chính, CSKH</t>
  </si>
  <si>
    <t>Máy chủ app</t>
  </si>
  <si>
    <t>Máy chủ database</t>
  </si>
  <si>
    <t>Firewall</t>
  </si>
  <si>
    <t>LoadBalancer</t>
  </si>
  <si>
    <t>Switch</t>
  </si>
  <si>
    <t>Leaf loại 1</t>
  </si>
  <si>
    <t>NMS</t>
  </si>
  <si>
    <t>Triển khai</t>
  </si>
  <si>
    <t>Software</t>
  </si>
  <si>
    <t>Hardware</t>
  </si>
  <si>
    <t>Máy chủ datalake</t>
  </si>
  <si>
    <t>Hệ thống ATTT</t>
  </si>
  <si>
    <t>Tài nguyên lưu trữ cho triển khai mới và mở rộng</t>
  </si>
  <si>
    <t>Sanswitch</t>
  </si>
  <si>
    <t>PhuKien</t>
  </si>
  <si>
    <t>Giải pháp FW analyzer</t>
  </si>
  <si>
    <t>Giải pháp PAM</t>
  </si>
  <si>
    <t>Vulnerability Assessment</t>
  </si>
  <si>
    <t>Data Center Inventory Management</t>
  </si>
  <si>
    <t>Truyền dẫn quang</t>
  </si>
  <si>
    <t>DWDM SWAP IP</t>
  </si>
  <si>
    <t>Viba 5+0 2.5Gbps</t>
  </si>
  <si>
    <t>Viba 2+0 1Gbps</t>
  </si>
  <si>
    <t>Viba 1+0 500bps</t>
  </si>
  <si>
    <t>SRT swap (include CB, cable,…) 100G</t>
  </si>
  <si>
    <t>Module 10GE, SM, 10km swap 5G sang 10G</t>
  </si>
  <si>
    <t>Module 1GE, SM, 10km</t>
  </si>
  <si>
    <t>SRT rộng rãi</t>
  </si>
  <si>
    <t>SRT RỘNG RÃI- SWAP  NÂNG DUNG LƯỢNG</t>
  </si>
  <si>
    <t xml:space="preserve">Card 4x100GE </t>
  </si>
  <si>
    <t>Module 10GE, SM, 10km (SFP) (kèm Patch cord sợi đôi)</t>
  </si>
  <si>
    <t>Module 100GE, SM, 10km (kèm Patch cord sợi đôi)</t>
  </si>
  <si>
    <t xml:space="preserve">4*100GE line card </t>
  </si>
  <si>
    <t>Module 1000BASE-X, SM, LX 10km (kèm Patch cord sợi đôi)</t>
  </si>
  <si>
    <t xml:space="preserve">Card 36x10GE SFP+ </t>
  </si>
  <si>
    <t>Core vùng Tổng trạm mới</t>
  </si>
  <si>
    <t>Module 400GE, SM, 10km (kèm Patch cord sợi đôi)</t>
  </si>
  <si>
    <t>Hiện đại hóa, Thay thế thiết bị hết niên hạn sử dụng</t>
  </si>
  <si>
    <t>Đảm bảo vận hành khai thác/Đầu tư bắt buộc khác</t>
  </si>
  <si>
    <t>BTS 2G 900MHz 4T4R 4*40W (3 RRU 4T4R, S4/4/4) _ ZTE</t>
  </si>
  <si>
    <t>Diplexer 800-900</t>
  </si>
  <si>
    <t>Dualband 2G-4G 800 + 900MHz 4T4R 4*60W hardware only</t>
  </si>
  <si>
    <t>gNodeB 32T32R 2600MHz 4G+5G 320W (3 AAU, GPS, BBU, BB)</t>
  </si>
  <si>
    <t>BTS 2G 900MHz ZTE 4T4R 4*40W_Hardware only</t>
  </si>
  <si>
    <t>Optical cable 02FO</t>
  </si>
  <si>
    <t>Optical cable 04FO</t>
  </si>
  <si>
    <t>Converter_AC_10/100M</t>
  </si>
  <si>
    <t>power adapter 200avc/5vdc</t>
  </si>
  <si>
    <t>power adapter 200avc/9vdc</t>
  </si>
  <si>
    <t>ODF_02FO Loại SC</t>
  </si>
  <si>
    <t>Modem_TOTOLINK</t>
  </si>
  <si>
    <t>Optical cable 12FO</t>
  </si>
  <si>
    <t>Tension</t>
  </si>
  <si>
    <t>pc</t>
  </si>
  <si>
    <t>Suspension</t>
  </si>
  <si>
    <t>Vaneer of muster (đế ốp)</t>
  </si>
  <si>
    <t>Steel lock</t>
  </si>
  <si>
    <t>Steel belt</t>
  </si>
  <si>
    <t>Mang xong 12FO</t>
  </si>
  <si>
    <t>Wooden poles</t>
  </si>
  <si>
    <t>Gông C1</t>
  </si>
  <si>
    <t>License nâng cấp Viba 400Mbps</t>
  </si>
  <si>
    <t>Măng xông 24Fo</t>
  </si>
  <si>
    <t>Gông quấn cáp</t>
  </si>
  <si>
    <t xml:space="preserve">Tấm ốp </t>
  </si>
  <si>
    <t>Module quang 1GE-10km</t>
  </si>
  <si>
    <t>Module new site - 10GE-10km</t>
  </si>
  <si>
    <t>Module new site - 1GE-10km</t>
  </si>
  <si>
    <t xml:space="preserve">Cáp quang </t>
  </si>
  <si>
    <t>Máy hàn</t>
  </si>
  <si>
    <t>Tổng trạm BUJ</t>
  </si>
  <si>
    <t>Thay thế ĐHCX 250kBTU</t>
  </si>
  <si>
    <t>Thay thế ĐH 48kBTU</t>
  </si>
  <si>
    <t>Thay thế ĐH 9kBTU</t>
  </si>
  <si>
    <t>Nâng cấp giám sát DCIM</t>
  </si>
  <si>
    <t>Nâng cấp DCIM, báo giá TT CĐS</t>
  </si>
  <si>
    <t>Gói các vật tư phục vụ UCTT tổng trạm</t>
  </si>
  <si>
    <t>Vật tư cho dự phòng máy phát điện</t>
  </si>
  <si>
    <t>Phụ tùng bảo dưỡng định kỳ 3000 hrs:</t>
  </si>
  <si>
    <t>Engine coolant</t>
  </si>
  <si>
    <t>Liter</t>
  </si>
  <si>
    <t>Vật tư DPUCTT</t>
  </si>
  <si>
    <t>Oil filter spin-on</t>
  </si>
  <si>
    <t>Fuel filter spin-on</t>
  </si>
  <si>
    <t>Fuel prefilter</t>
  </si>
  <si>
    <t xml:space="preserve">Cleaner air w/adap f </t>
  </si>
  <si>
    <t>Diaphragm foil separator</t>
  </si>
  <si>
    <t>Oil separator filter insert</t>
  </si>
  <si>
    <t>Gasket</t>
  </si>
  <si>
    <t>Rubber sleeve</t>
  </si>
  <si>
    <t>O-ring</t>
  </si>
  <si>
    <t>Phụ tùng dự phòng:</t>
  </si>
  <si>
    <t>Sealing ring for injector</t>
  </si>
  <si>
    <t>O-ring for injector</t>
  </si>
  <si>
    <t>O-ring for tube injector</t>
  </si>
  <si>
    <t xml:space="preserve">Sealing sleeve </t>
  </si>
  <si>
    <t>Level monitor</t>
  </si>
  <si>
    <t>Speed sensor</t>
  </si>
  <si>
    <t>Pressure sensor</t>
  </si>
  <si>
    <t>Temperature sensor</t>
  </si>
  <si>
    <t>Comap 24v-10a</t>
  </si>
  <si>
    <t>Intelilite 4 amf 9</t>
  </si>
  <si>
    <t>Ắc quy</t>
  </si>
  <si>
    <t>Vật tư thay gioăng quy lát</t>
  </si>
  <si>
    <t>Sealing ring size 0</t>
  </si>
  <si>
    <t>Gasket for cylinder head</t>
  </si>
  <si>
    <t>Tube injector</t>
  </si>
  <si>
    <t>Ring exh manif</t>
  </si>
  <si>
    <t>Hệ thống làm mát- bơm nước</t>
  </si>
  <si>
    <t>Rotary seal</t>
  </si>
  <si>
    <t>Earing angular cont act roller</t>
  </si>
  <si>
    <t>Bearing cylindrical roller</t>
  </si>
  <si>
    <t>Oil seal</t>
  </si>
  <si>
    <t>Ring snap</t>
  </si>
  <si>
    <t>Ống nước và van hằng nhiệt</t>
  </si>
  <si>
    <t>Sealing ring</t>
  </si>
  <si>
    <t>Thermal actuator</t>
  </si>
  <si>
    <t>Bearing angular cont act roller</t>
  </si>
  <si>
    <t>Snap ring</t>
  </si>
  <si>
    <t>Seal oil</t>
  </si>
  <si>
    <t>Ống nước và ban hằng nhiệt</t>
  </si>
  <si>
    <t>Vật tư dự phòng cho điều hòa chính xác</t>
  </si>
  <si>
    <t>Máy nén 407C</t>
  </si>
  <si>
    <t>Phin lọc gas</t>
  </si>
  <si>
    <t>Board mạch</t>
  </si>
  <si>
    <t>Van tiết lưu</t>
  </si>
  <si>
    <t>2.3</t>
  </si>
  <si>
    <t>Vật tư dự phòng cho UPS mới</t>
  </si>
  <si>
    <t>Ắc quy Lib (HPL100)</t>
  </si>
  <si>
    <t>Module rectifier 50KVA</t>
  </si>
  <si>
    <t>2.4</t>
  </si>
  <si>
    <t>Vật tư dự phòng cho Hệ thống điện AC</t>
  </si>
  <si>
    <t>Relay cao áp/thấp áp</t>
  </si>
  <si>
    <t>Chi phí bảo dưỡng máy phát điện</t>
  </si>
  <si>
    <t>Chi phí bảo dưỡng hệ thống điện AC</t>
  </si>
  <si>
    <t>Bảo dưỡng chuyên sâu hệ thống UPS, sửa chữa các hỏng hỏng, calib hệ thống</t>
  </si>
  <si>
    <t>Chi phí bảo dưỡng hệ thống UPS</t>
  </si>
  <si>
    <t>Bảo dưỡng chuyên sâu hệ thống điều hòa chính xác, sửa chữa các hỏng hỏng</t>
  </si>
  <si>
    <t>Chi phí bảo dưỡng hệ thống điều hòa chính xác</t>
  </si>
  <si>
    <t>DHCX 150kBTU/h</t>
  </si>
  <si>
    <t>Đảm bảo lắp đặt thiết bị và dự phòng làm mát cho phòng máy extend.</t>
  </si>
  <si>
    <t>Trạm biến áp 1500kVA và tủ trung thế</t>
  </si>
  <si>
    <t>Trạm biến áp cho tổng trạm mới</t>
  </si>
  <si>
    <t>Đường dây trung thế 22kV/33kV</t>
  </si>
  <si>
    <t>Đường dây trung thế cho tổng trạm mới</t>
  </si>
  <si>
    <t>UPS 400kW+battery</t>
  </si>
  <si>
    <t>UPS đầu tư bổ sung cho tổng trạm mới</t>
  </si>
  <si>
    <t>ĐH 120000 BTU/h inrow</t>
  </si>
  <si>
    <t>ĐHCX đầu tư bổ sung cho tổng trạm mới</t>
  </si>
  <si>
    <t>Chứng chỉ TCCF cho tổng trạm mới tại</t>
  </si>
  <si>
    <t>Chi phí lấy chứng chỉ TCCF cho tổng trạm mới</t>
  </si>
  <si>
    <t>Gói phần mền giám sát vDCIM (phần mềm, cài đặt, tích hợp....)</t>
  </si>
  <si>
    <t>Diesel  Genset 3P-380V 30kVA  (+ Fuel tank)</t>
  </si>
  <si>
    <t>IPS  minishelter with solar</t>
  </si>
  <si>
    <t>Kéo điện trạm BTS</t>
  </si>
  <si>
    <t>Trạm</t>
  </si>
  <si>
    <t>Solar converter 4000W</t>
  </si>
  <si>
    <t>Hệ thống ≥6000W (gồm tấm pin + khung giá + lắp đặt)</t>
  </si>
  <si>
    <t>Hệ thống ≥9000W (gồm tấm pin + khung giá + lắp đặt)</t>
  </si>
  <si>
    <t>Hệ thống ≥12000W (gồm tấm pin + khung giá + lắp đặt)</t>
  </si>
  <si>
    <t>Hệ thống ≥15000W (gồm tấm pin + khung giá + lắp đặt)</t>
  </si>
  <si>
    <t>Hệ thống ≥18000W (gồm tấm pin + khung giá + lắp đặt)</t>
  </si>
  <si>
    <t>Hệ thống ≥20000W (gồm tấm pin + khung giá + lắp đặt)</t>
  </si>
  <si>
    <t>Hệ thống ≥24000W (gồm tấm pin + khung giá + lắp đặt)</t>
  </si>
  <si>
    <t>Làm mát</t>
  </si>
  <si>
    <t>Thông gió lọc bụi FAC</t>
  </si>
  <si>
    <t xml:space="preserve">Thông gió trực tiếp cho AGG </t>
  </si>
  <si>
    <t>Cosite vùng phủ</t>
  </si>
  <si>
    <t>Rectifier 3000W - Vendor ZTE</t>
  </si>
  <si>
    <t>Rectifier - Vendor Delta</t>
  </si>
  <si>
    <t>Bộ sạc PMT  S48-3000 tích hợp</t>
  </si>
  <si>
    <t>PU-ZTE</t>
  </si>
  <si>
    <t>Bộ sạc solar charger rời</t>
  </si>
  <si>
    <t>Cosite dung lượng</t>
  </si>
  <si>
    <t>Đảm bảo lắp thêm cosite và ắc quy cho 4 trạm main node lắp thêm tủ nguồn DC để tách core-access tại BME</t>
  </si>
  <si>
    <t>Đảm bảo lắp thêm cosite</t>
  </si>
  <si>
    <t>Nâng cấp điện lưới 3 pha cho trạm cao tải</t>
  </si>
  <si>
    <t>Năm 2027: 59 trạm tăng từ 2 AAU trở lên cho loại triple band 700-800-900 và dual band 2600-3500, năm 2028: 63 trạm tăng từ 2 AAU trở lên cho loại triple band 700-800-900 và dual band 2600-3500</t>
  </si>
  <si>
    <t>Bù suy hao, thay thế ắc quy Coslight đầu tư từ năm 2016 bị hỏng</t>
  </si>
  <si>
    <t>Thay thế MPĐ Lister Peter sử dụng từ 2014 bị hỏng, đã bị suy giảm công suất và chi phí sửa chữa lớn</t>
  </si>
  <si>
    <t>Kéo điện cho 15 trạm PMT dự kiến kéo được điện lưới</t>
  </si>
  <si>
    <t>Triển khai PMT cho trạm có điện lưới</t>
  </si>
  <si>
    <t>Mua tủ tích hợp PMT cho trạm nâng cấp solar</t>
  </si>
  <si>
    <t>Nâng cấp PMT cho trạm bị thiếu công suất</t>
  </si>
  <si>
    <t>6.7.3</t>
  </si>
  <si>
    <t>Đầu tư TGLB FAC thay thế quạt DC nhà container cũ</t>
  </si>
  <si>
    <t>Solar charger rời</t>
  </si>
  <si>
    <t>Tồn kho bằng 0 bộ. Hỏng 42 bộ năm 2026</t>
  </si>
  <si>
    <t>Tồn kho còn 30 bộ. Hỏng 52 bộ năm 2026</t>
  </si>
  <si>
    <t>Tồn kho còn 9 bộ. Tỷ lệ hỏng 5%. Tổng 150 trạm đang sử dụng ATS outdoor, mua dự phòng theo tỷ lệ</t>
  </si>
  <si>
    <t>Rectifier 3000W - Vendor Emerson</t>
  </si>
  <si>
    <t>Tồn kho còn 196 cái R48-2900. Hỏng 86 cái, đang mua 50 cái hàng chưa về</t>
  </si>
  <si>
    <t>Tồn kho còn 62 cái ZXEPS R4850F1</t>
  </si>
  <si>
    <t>Rectifier 3000W - Vendor Delta</t>
  </si>
  <si>
    <t>Tồn kho bằng 0 cái. Hỏng 3 cái năm 2026</t>
  </si>
  <si>
    <t>Tồn kho còn 54 bộ. Đang mua 50 cái, hỏng 2026: 9 cái không mua thêm</t>
  </si>
  <si>
    <t>M221S/Monitoring and control the Emerson Dc Power</t>
  </si>
  <si>
    <t>Tồn kho còn 37 cái. Hỏng 11 cái, đang mua 50 cái</t>
  </si>
  <si>
    <t>Delta controller</t>
  </si>
  <si>
    <t>CSU ZTE</t>
  </si>
  <si>
    <t>Hàng mua mới ZTE chưa có phát sinh, mua dự phòng cho 02 năm 2027-2028</t>
  </si>
  <si>
    <t>Hỏng 1 năm 4 bộ, đang mua 50 bộ 3 pha, 40 bộ 1 pha nên không mua thêm</t>
  </si>
  <si>
    <t>Tồn kho còn 0 bộ</t>
  </si>
  <si>
    <t>Tồn kho còn 0 cái. Đang mua 100 cái, hỏng 1 năm là 50 cái nên 2027 không mua, 2028 sẽ mua 100 cái</t>
  </si>
  <si>
    <t>Tồn kho còn 37 cái</t>
  </si>
  <si>
    <t>Tồn kho còn 81 cái. Đang mua 100 không mua thêm</t>
  </si>
  <si>
    <t>Tồn kho còn 236 bộ không mua thêm</t>
  </si>
  <si>
    <t>Ắc quy đề MPĐ</t>
  </si>
  <si>
    <t>Tồn kho còn 51 bộ không mua thêm</t>
  </si>
  <si>
    <t>Tồn kho còn 9 bộ. Đang mua 200 bộ, hỏng năm 2026: 52 bộ, không mua thêm</t>
  </si>
  <si>
    <t xml:space="preserve">Cầu dao đảo chiều 2P2N60A cực đúc - Vinakip </t>
  </si>
  <si>
    <t>Tồn kho còn 0 cái. Đang mua 50 cái</t>
  </si>
  <si>
    <t>Rơle 220VAC IDEC RU4S-A220</t>
  </si>
  <si>
    <t>Tồn kho còn 0 cái. Đang mua 300 cái, không mua thêm</t>
  </si>
  <si>
    <t>Tồn kho còn 0 cái. Mua 100 cái cho 2 năm</t>
  </si>
  <si>
    <t>Phục vụ sửa chữa MPĐ</t>
  </si>
  <si>
    <t>Dịch vụ lắp đặt IPS  minishelter with solar</t>
  </si>
  <si>
    <t>Dịch vụ lắp đặt Hệ thống ≥6000W (gồm tấm pin + khung giá+lắp đặt)</t>
  </si>
  <si>
    <t>Dịch vụ lắp đặt Hệ thống ≥9000W (gồm tấm pin + khung giá + lắp đặt)</t>
  </si>
  <si>
    <t>Dịch vụ lắp đặt hệ thống ≥12000W (gồm tấm pin + khung giá + lắp đặt)</t>
  </si>
  <si>
    <t>Dịch vụ lắp đặt hệ thống ≥15000W (gồm tấm pin + khung giá + lắp đặt)</t>
  </si>
  <si>
    <t>Dịch vụ lắp đặt hệ thống ≥18000W (gồm tấm pin + khung giá + lắp đặt)</t>
  </si>
  <si>
    <t>Dịch vụ lắp đặt hệ thống ≥21000W (gồm tấm pin + khung giá + lắp đặt)</t>
  </si>
  <si>
    <t>Dịch vụ lắp đặt hệ thống ≥24000W (gồm tấm pin + khung giá + lắp đặt)</t>
  </si>
  <si>
    <t>Dịch vụ lắp đặt thiết bị làm mát</t>
  </si>
  <si>
    <t>Dịch vụ lắp đặt Thông gió lọc bụi</t>
  </si>
  <si>
    <t>Dịch vụ lắp đặt Thông gió trực tiếp cho AGG</t>
  </si>
  <si>
    <t>Dịch vụ lắp đặt Rectifier 3000W - Vendor ZTE</t>
  </si>
  <si>
    <t>Dịch vụ lắp đặt Rectifier- Vendor Delta</t>
  </si>
  <si>
    <t>Dịch vụ lắp đặt Bộ sạc PMT  S48-3000 tích hợp</t>
  </si>
  <si>
    <t>Dịch vụ lắp đặt PU-ZTE</t>
  </si>
  <si>
    <t>Dịch vụ lắp đặt Bộ sạc solar charger rời</t>
  </si>
  <si>
    <t>Dịch vụ lắp đặt Rectifier - Vendor Delta</t>
  </si>
  <si>
    <t>Dịch vụ lắp đặt Thông gió lọc bụi FAC</t>
  </si>
  <si>
    <t>Dịch vụ lắp đặt Solar charger rời</t>
  </si>
  <si>
    <t>F.2</t>
  </si>
  <si>
    <t>Cột dây co 5.5M</t>
  </si>
  <si>
    <t>Cột dây co 11M</t>
  </si>
  <si>
    <t>Cột dây co 16.5M</t>
  </si>
  <si>
    <t>Cột dây co 22M</t>
  </si>
  <si>
    <t>Cột dây co 33M</t>
  </si>
  <si>
    <t>Cột dây co 38.5M</t>
  </si>
  <si>
    <t>Cột dây co 44M</t>
  </si>
  <si>
    <t>Cột dây co 49.5M</t>
  </si>
  <si>
    <t>Cột dây co 55M</t>
  </si>
  <si>
    <t>Cột dây co 60.5M</t>
  </si>
  <si>
    <t>Cột dây co 66M</t>
  </si>
  <si>
    <t>Cột dây co 71.5M</t>
  </si>
  <si>
    <t xml:space="preserve">Cột tự đứng 18m </t>
  </si>
  <si>
    <t xml:space="preserve">Cột tự đứng 30m </t>
  </si>
  <si>
    <t xml:space="preserve">Cột tự đứng 35m </t>
  </si>
  <si>
    <t xml:space="preserve">Cột tự đứng 42m </t>
  </si>
  <si>
    <t>Móng nhà Cont</t>
  </si>
  <si>
    <t>Bệ minishelter (3 tủ-1 IPS-2 battery minishelter)</t>
  </si>
  <si>
    <t>Bệ nhà máy nổ 12kVA</t>
  </si>
  <si>
    <t>Hàng rào xây gạch 8,0x7,7mx0,1m</t>
  </si>
  <si>
    <t>Móng</t>
  </si>
  <si>
    <t>Nhà Cont CO4</t>
  </si>
  <si>
    <t>H = 5M</t>
  </si>
  <si>
    <t>9m &lt; H &lt; 15m</t>
  </si>
  <si>
    <t>24 &lt; H ≤ 30m</t>
  </si>
  <si>
    <t>30 &lt; H ≤ 42m</t>
  </si>
  <si>
    <t>42 &lt; H ≤ 60m</t>
  </si>
  <si>
    <t>60 &lt; H ≤ 72m</t>
  </si>
  <si>
    <t>6&lt;=H&lt;=24m</t>
  </si>
  <si>
    <t>24&lt;H&lt;=30m</t>
  </si>
  <si>
    <t>30&lt;H&lt;= 42m</t>
  </si>
  <si>
    <t>42&lt;H&lt;= 60m</t>
  </si>
  <si>
    <t>60 &lt;H&lt;=72m</t>
  </si>
  <si>
    <t>Cho Vùng phủ</t>
  </si>
  <si>
    <t>Viba</t>
  </si>
  <si>
    <t>Lắp đặt viba</t>
  </si>
  <si>
    <t>Triển khai cáp cho dung lượng</t>
  </si>
  <si>
    <t>Triển khai cáp cho tổng trạm mới</t>
  </si>
  <si>
    <t>Huawei_SRAN Tripband eNodeB 700+800+900MHz (3 RRU 4x120w)(L111@15MHz+L111@10MHz ) 12Trx. Exclude BBU + BB card</t>
  </si>
  <si>
    <t>Huawei_SRAN Tripband eNodeB 700+800+900MHz (3 RRU 4x120w)(L111@15MHz+L111@10MHz , 12TRx, BB card UBBPg2a) + 3 AISG</t>
  </si>
  <si>
    <t>ZTE_SRAN Tripband eNodeB 700+800+900MHz (3 RRU 4x120w)(L111@15MHz+L111@10MHz , 12TRx, BB VBPe3p)</t>
  </si>
  <si>
    <t>Anten 4G 8 port 4 port 700-900 + 4P 1800-2600 MHz</t>
  </si>
  <si>
    <t xml:space="preserve"> Huawei_SRAN Tripband eNodeB 700+800+900MHz (3 RRU 4x120w)(L111@15MHz+L111@10MHz , 12TRx, BB card UBBPg2a) + 3 AISG</t>
  </si>
  <si>
    <t>Huawei_SRAN dual band 1800-2100Mhz (3RRU 4T4R - 120W, L111@20MHz+L111@10MHz, 12TRx, BBU + BB UBBPh3a)</t>
  </si>
  <si>
    <t>Huawei_SRAN dual band 1800-2100Mhz (3RRU 4T4R - 120W, L111@20MHz+L111@10MHz, 12TRx, Excluse Baseband and BB card)</t>
  </si>
  <si>
    <t>Huawei_eNodeB 8T8R 2600MHz (3 RRU 9 cell @20+20+20MHz) Excluse BBU and BB card</t>
  </si>
  <si>
    <t>Huawei_eNodeB 32T32R Dualband 2600-3500MHz (3AAU 3 sector, 3 cell LTE TDD @20+20+20MHz per 1 sector  band 2600MHz and 1 cell NR @100MHz per 1 sector band C), Excluse BBU box.</t>
  </si>
  <si>
    <t>Huawei_Card Baseband UBBPg3b</t>
  </si>
  <si>
    <t xml:space="preserve">ZTE_SRAN Tripband eNodeB 700+800+900MHz (3 RRU 4x120w)(L111@15MHz+L111@10MHz , 12TRx, excluse BBU + BB card </t>
  </si>
  <si>
    <t>ZTE_SRAN dual band 1800-2100Mhz (3RRU 4T4R - 120W, L111@20MHz+L222@10MHz, U333, 12TRx + BB VBPe3p, Excluse BBU box)</t>
  </si>
  <si>
    <t>ZTE_SRAN dual band 1800-2100Mhz (3RRU 4T4R - 120W, L111@20MHz+L222@10MHz, U333, 12TRx) Excluse BBU box and BB card</t>
  </si>
  <si>
    <t>ZTE_eNodeB 8T8R 2600MHz (3 RRU 9 cell @20+20+20MHz) Excluse BBU and BB card</t>
  </si>
  <si>
    <t>ZTE_eNodeB 32T32R Dualband 2600-3500MHz (3AAU 3 sector, 3 cell LTE TDD @20+20+20MHz per 1 sector  band 2600MHz and 1 cell NR @100MHz per 1 sector band C), Excluse BBU box.</t>
  </si>
  <si>
    <t>Anten 4G 8 port 8P 1800-2600 MHz</t>
  </si>
  <si>
    <t>Nâng cấp softwrae 2G</t>
  </si>
  <si>
    <t>Nâng cấp softwrae 4G</t>
  </si>
  <si>
    <t>Package</t>
  </si>
  <si>
    <t>Huawei_RRU Tripband 700-800-900MHz 120W 4T4R</t>
  </si>
  <si>
    <t>Huawei_RRU dualband 1800-2100MHz 120W 4T4R</t>
  </si>
  <si>
    <t>ZTE_RRU Tripband 700-800-900MHz 120W 4T4R</t>
  </si>
  <si>
    <t>ZTE_RRU dualband 1800-2100MHz 120W 4T4R</t>
  </si>
  <si>
    <t>PS Core SAU 2G+3G+4G Add SW</t>
  </si>
  <si>
    <t>PS Core SAU 5G NSA Add SW</t>
  </si>
  <si>
    <t>PS Core PDP 5G NSA Add SW</t>
  </si>
  <si>
    <t>Máy chủ vật lý loại 3</t>
  </si>
  <si>
    <t xml:space="preserve">Storage SAN All flash: 300 TB </t>
  </si>
  <si>
    <t>Thiết bị tường lửa Private</t>
  </si>
  <si>
    <t>Thiết bị tường lửa Public</t>
  </si>
  <si>
    <t>Phần mềm quản trị thiết bị tường lửa</t>
  </si>
  <si>
    <t>Thiết bị cân bằng tải nội bộ</t>
  </si>
  <si>
    <t>Thiết bị cân bằng tải public</t>
  </si>
  <si>
    <t>Thiết bị switch border gateway</t>
  </si>
  <si>
    <t>Thiết bị switch leaf loại 1</t>
  </si>
  <si>
    <t>Thiết bị switch leaf loại 2</t>
  </si>
  <si>
    <t>Thiết bị switch leaf loại 4</t>
  </si>
  <si>
    <t>Thiết bị switch quản trị</t>
  </si>
  <si>
    <t>Thiết bị switch gom quản trị</t>
  </si>
  <si>
    <t>Datalake</t>
  </si>
  <si>
    <t>Máy chủ vật lý loại 12</t>
  </si>
  <si>
    <t>Máy chủ vật lý loại 1/2</t>
  </si>
  <si>
    <t>Triển khai hệ thống vOCS4.0 (PR)</t>
  </si>
  <si>
    <t>Máy chủ OCS loại 1</t>
  </si>
  <si>
    <t>Máy chủ OCS loại 2</t>
  </si>
  <si>
    <t>Máy chủ OCS loại 4</t>
  </si>
  <si>
    <t>Thiết bị switch border gateway OCS</t>
  </si>
  <si>
    <t>Thiết bị switch leaf cho hệ thống OCS</t>
  </si>
  <si>
    <t>Thiết bị switch quản trị OCS</t>
  </si>
  <si>
    <t>Thiết bị switch gom quản trị OCS</t>
  </si>
  <si>
    <t>Máy chủ hệ thống BCCS, OSS, VAS</t>
  </si>
  <si>
    <t>Máy chủ QNH</t>
  </si>
  <si>
    <t>Máy chủ Cloud loại 1</t>
  </si>
  <si>
    <t>Máy chủ cho hệ thông Ví điện tử</t>
  </si>
  <si>
    <t>PRIMARY SITE</t>
  </si>
  <si>
    <t>DR SITE</t>
  </si>
  <si>
    <t>Thiết bị SAN Switch</t>
  </si>
  <si>
    <t>Card 2x100G CX600</t>
  </si>
  <si>
    <t>Bộ thiết bị Swap AGG loại 1:
Cấu hình:
- Chasis tối thiểu 8 slot
- Số port 100G kích hoạt: 04
- Số module 100G 10km: 04
- Số module 10G 10km: 16 
- Số module 10G 40km: 12
- Số module 10G 80km: 12 
- Port 100G, 10G phân bổ trên tối thiểu 02 card cùng loại
- Gói dịch vụ thiết kế LLD, tài liệu hướng dẫn; tích hợp thiết bị vào mạng lưới</t>
  </si>
  <si>
    <t>Bộ thiết bị Swap AGG loại 2:
Cấu hình:
- Chasis tối thiểu 8 slot
- Số port 100G kích hoạt: 04
- Số module 100G 10km: 02
- Số module 100G 80km: 02
- Số module 10G 10km: 16 
- Số module 10G 40km: 12
- Số module 10G 80km: 12 
- Port 100G, 10G phân bổ trên tối thiểu 02 card cùng loại
- Gói dịch vụ thiết kế LLD, tài liệu hướng dẫn; tích hợp thiết bị vào mạng lưới</t>
  </si>
  <si>
    <t>License 3x100G cho card 5x100G hiện tại</t>
  </si>
  <si>
    <t>CF card nâng cấp AGG CX600</t>
  </si>
  <si>
    <t>AGG</t>
  </si>
  <si>
    <t>Card 4x100G NE8K tổng trạm cũ</t>
  </si>
  <si>
    <t>Core vùng</t>
  </si>
  <si>
    <t>Card 40x10G/1G PEPS MX2020</t>
  </si>
  <si>
    <t>Module quang 10G 10km</t>
  </si>
  <si>
    <t>Dây nhảy quang</t>
  </si>
  <si>
    <t>Card 4x100G PEPS MX2020</t>
  </si>
  <si>
    <t>Module 100G 40km cho PE Juniper</t>
  </si>
  <si>
    <t>Module 100G 10km cho PE Juniper</t>
  </si>
  <si>
    <t>Card NAT MS-MPC-128G</t>
  </si>
  <si>
    <t>Bộ nâng cấp chassis PE MPBN MX2020 bao gồm gói hỗ trợ thiết kế, cắt chuyển dịch vụ</t>
  </si>
  <si>
    <t>Card 40x10G/1G PE MPBN MX2020</t>
  </si>
  <si>
    <t>Module điện 1G</t>
  </si>
  <si>
    <t>Module quang 1G 10km</t>
  </si>
  <si>
    <t>Bộ thiết bị PEPS tổng trạm mới:
Cấu hình:
- Chasis tối thiểu 16 slot
- Số port 100G kích hoạt: 08
- Số module 100G 40km: 02
- Số module 100G 10km: 06
- Số port 10G được kích hoạt: 40
- Số module 10G 10km kèm dây nhảy quang: 40
- Port 10G và 100G phân bổ trên tối thiểu 02 card cùng loại
- Gói dịch vụ thiết kế LLD, tài liệu hướng dẫn; tích hợp thiết bị vào mạng lưới</t>
  </si>
  <si>
    <t>Card 4x100GE PEPS</t>
  </si>
  <si>
    <t>Module 100G 10km PEPS</t>
  </si>
  <si>
    <t>Bộ thiết bị IGW tổng trạm mới:
Cấu hình:
- Chasis tối thiểu 16 slot
- Số port 100G kích hoạt: 04
- Số module 100G 10km: 04
- Số port 10G được kích hoạt: 40
- Số module 10G 10km kèm dây nhảy quang: 40
- Port 10G và 100G phân bổ trên tối thiểu 02 card cùng loại
- Gói dịch vụ thiết kế LLD, tài liệu hướng dẫn; tích hợp thiết bị vào mạng lưới</t>
  </si>
  <si>
    <t>Bộ thiết bị PE MPBN tổng trạm mới:
Cấu hình:
- Chasis tối thiểu 16 slot
- Số port 10G được kích hoạt: 40
- Số module 10G 10km kèm dây nhảy quang: 36
- Số module 10G 40km kèm dây nhảy quang: 04
- Port 10G phân bổ trên tối thiểu 02 card cùng loại
- Gói dịch vụ thiết kế LLD, tài liệu hướng dẫn; tích hợp thiết bị vào mạng lưới</t>
  </si>
  <si>
    <t>Thiết bị SW CORE DCN 48x10G/1GE</t>
  </si>
  <si>
    <t>Module quang 10G 40km switch DCN</t>
  </si>
  <si>
    <t>Module quang 10G 10km switch DCN</t>
  </si>
  <si>
    <t>Thiết bị ACC DCN 48x10G/1GE</t>
  </si>
  <si>
    <t>Module quang 10G 10km switch ACC DCN</t>
  </si>
  <si>
    <t>Bộ thiết bị CV tổng trạm mới:
Cấu hình:
- Chasis tối thiểu 16 slot
- Số port 100G kích hoạt: 08
- Số module 100G 10km: 04
- Số module 100G 80km: 04
- Port 100G phân bổ trên tối thiểu 02 card cùng loại
- Gói dịch vụ thiết kế LLD, tài liệu hướng dẫn; tích hợp thiết bị vào mạng lưới</t>
  </si>
  <si>
    <t>Bộ thiết bị FW DCN cho tổng trạm mới (bao gồm module quang 10G và vật tư phụ kiện đi kèm)</t>
  </si>
  <si>
    <t>Bộ thiết bị gồm 01 chassis, 01 linecard 4x100G, 01 linecard 20x10G</t>
  </si>
  <si>
    <t xml:space="preserve">Nâng cấp ring SRT do lưu lượng tăng </t>
  </si>
  <si>
    <t>Site router chassis</t>
  </si>
  <si>
    <t>Triển khai cáp + phụ kiện cáp</t>
  </si>
  <si>
    <t>Trồng cột</t>
  </si>
  <si>
    <t>Hàn nối măng xông</t>
  </si>
  <si>
    <t>Hàn nối ODF</t>
  </si>
  <si>
    <t>Tủ solar tích hợp cho trạm điện lưới hóa (15 trạm)</t>
  </si>
  <si>
    <t>Ắc quy cho trạm nâng cấp PMT</t>
  </si>
  <si>
    <t>Cell</t>
  </si>
  <si>
    <t>Huawei_License upgrade from 10MHz to 20MHz (FDD)</t>
  </si>
  <si>
    <t>Huawei_License New cell twinbeam TDD 20MHz (4T4R)</t>
  </si>
  <si>
    <t>ZTE_New cell twinbeam FDD 20MHz 4T4R</t>
  </si>
  <si>
    <t>MSC REG SW</t>
  </si>
  <si>
    <t>MSC REG HW</t>
  </si>
  <si>
    <t xml:space="preserve">01 vMSC dung lượng: HW:1072K sub ATT, 1.5M sub Reg, 45K Erl; SW: 572K sub ATT, 800K sub Reg, 23K Erl); License vMSC (SW: CSFB: 1M sub); </t>
  </si>
  <si>
    <t>Feature GMSC</t>
  </si>
  <si>
    <t>Swap legacy MSC BUMS03 bằng cloud MSC dung lượng: HW:1072K ATT, 1.5M Reg, 45K Erl; SW: 835K ATT, 1.15M Reg, 34.5K Erl.</t>
  </si>
  <si>
    <t xml:space="preserve"> License UDM (SW: 500K FE 2G/3G, 900K BE 2G/3G, 700K FE 4G, 4.8M BE 4G) và mở rộng phần cứng UDM (5G&amp;IMS) khi hiện đại hóa HSS.</t>
  </si>
  <si>
    <t>PS Core SAU 2G+3G+4G SW</t>
  </si>
  <si>
    <t>PS Core PDP 2G+3G+4G SW</t>
  </si>
  <si>
    <t>PS Core Bandwidth (profile) SW</t>
  </si>
  <si>
    <t>PS Core SAU 5G NSA SW</t>
  </si>
  <si>
    <t>PS Core PDP 5G NSA SW</t>
  </si>
  <si>
    <t>PS Core SAU 2G+3G+4G HW</t>
  </si>
  <si>
    <t>PS Core PDP 2G+3G+4G HW</t>
  </si>
  <si>
    <t>PS Core Bandwidth (profile) HW</t>
  </si>
  <si>
    <t>PS Core PDP 2G+3G+4G Add SW</t>
  </si>
  <si>
    <t>PS Core SAU 2G+3G+4G Add HW</t>
  </si>
  <si>
    <t>PS Core PDP 2G+3G+4G Add HW</t>
  </si>
  <si>
    <t>PS Core Bandwidth Add SW</t>
  </si>
  <si>
    <t>PS Core Bandwidth Add HW</t>
  </si>
  <si>
    <t>Năm 2027:  1 vEPC dung lượng: HW: 1M SAU, 1.5M PDP, 100 Gbps; SW: 1M SAU, 1.5M PDP, 60 Gbps); License vEPC4 (SW: 650K SAU, 975K PDP, 49.4 Gbps); 
Năm 2028:License vEPC (SW: 110 Gbps).</t>
  </si>
  <si>
    <t>License SMSC (SW: 1400 MOMT).</t>
  </si>
  <si>
    <t>Phân bổ mỗi năm 100K cho vật tư dự phòng</t>
  </si>
  <si>
    <t>Chuyển 01 UDM từ tổng trạng cũ sang tổng trạm mới và hiện đại hóa HSS cũ thông qua mở rộng UDM thêm dung lượng của HSS cũ.</t>
  </si>
  <si>
    <t>Dịch vụ triển khai cloud (cài đặt, đào tạo )</t>
  </si>
  <si>
    <t>License phần mềm Hê thống vOCS 4.0</t>
  </si>
  <si>
    <t>CNTT+VÍ+ATTT</t>
  </si>
  <si>
    <t>Signaling STP/DRA</t>
  </si>
  <si>
    <t>STP SW</t>
  </si>
  <si>
    <t>STP HW</t>
  </si>
  <si>
    <t>DRA/DEA SW</t>
  </si>
  <si>
    <t>DRA/DEA HW</t>
  </si>
  <si>
    <t>Signaling newbuild service</t>
  </si>
  <si>
    <t>PM</t>
  </si>
  <si>
    <t>X</t>
  </si>
  <si>
    <t>Phần mềm</t>
  </si>
  <si>
    <t>vDCIM</t>
  </si>
  <si>
    <t>DCIM CNTT</t>
  </si>
  <si>
    <t>XO</t>
  </si>
  <si>
    <t>NetMind</t>
  </si>
  <si>
    <t>AOM</t>
  </si>
  <si>
    <t>iMES (Son M&amp;E)</t>
  </si>
  <si>
    <t>ICMS</t>
  </si>
  <si>
    <t>VFCR</t>
  </si>
  <si>
    <t>SAP</t>
  </si>
  <si>
    <t>Chiến lược 5 năm</t>
  </si>
  <si>
    <t>Bổ sung thêm</t>
  </si>
  <si>
    <t>Ví điện tử</t>
  </si>
  <si>
    <t>Ví</t>
  </si>
  <si>
    <t>Triển khai Private Cloud</t>
  </si>
  <si>
    <t>Network Security Policy Management - ITBrain</t>
  </si>
  <si>
    <t>Priviledge Account/ Access Manageemnt  - PAM</t>
  </si>
  <si>
    <t>Web Application Firewall</t>
  </si>
  <si>
    <t>Tổng gói sản phẩm/dịch vụ của VCS</t>
  </si>
  <si>
    <t>Phụ lục: PHÂN TÁCH ĐẦU TƯ THEO TỪNG MẢNG MẢNG</t>
  </si>
  <si>
    <t>I. Vô tuyến</t>
  </si>
  <si>
    <t xml:space="preserve">TT </t>
  </si>
  <si>
    <t xml:space="preserve"> Mảng </t>
  </si>
  <si>
    <t>Năm 2027</t>
  </si>
  <si>
    <t>Năm 2028</t>
  </si>
  <si>
    <t>Dự phòng ƯCTT</t>
  </si>
  <si>
    <r>
      <t xml:space="preserve">Triển khai 57 trạm newsite 4G, 25 vị trí 5G cosite 4G 2600 tại các vị trí lưu lượng cao: </t>
    </r>
    <r>
      <rPr>
        <b/>
        <sz val="10"/>
        <color rgb="FF000000"/>
        <rFont val="Times New Roman"/>
        <family val="1"/>
      </rPr>
      <t>1.21 triệu USD</t>
    </r>
  </si>
  <si>
    <r>
      <t xml:space="preserve">Triển khai 33 trạm newsite 4G, 22 vị trí 4G cosite 4G tại vị trí lưu lượng cao: </t>
    </r>
    <r>
      <rPr>
        <b/>
        <sz val="10"/>
        <color rgb="FF000000"/>
        <rFont val="Times New Roman"/>
        <family val="1"/>
      </rPr>
      <t>730K USD</t>
    </r>
  </si>
  <si>
    <r>
      <t xml:space="preserve">Nâng cấp software eNodeB HW từ R.20 --&gt; R.22 để phát được 15 cell/trạm: </t>
    </r>
    <r>
      <rPr>
        <b/>
        <sz val="10"/>
        <color rgb="FF000000"/>
        <rFont val="Times New Roman"/>
        <family val="1"/>
      </rPr>
      <t>360K USD</t>
    </r>
  </si>
  <si>
    <r>
      <t xml:space="preserve">Gói UCTT: </t>
    </r>
    <r>
      <rPr>
        <b/>
        <sz val="10"/>
        <color rgb="FF000000"/>
        <rFont val="Times New Roman"/>
        <family val="1"/>
      </rPr>
      <t>dự kiến 250K USD</t>
    </r>
  </si>
  <si>
    <t>Bổ sung thêm 8 vị trí mới cho lưu lượng và nâng cấp cho 366 sector nhằm đáp ứng nhu cầu KD. Thiết bị cần mua như sau:
+) Huawei: Bổ sung thêm 38 tủ tripband 700/800/900,  86 tủ dualband 1800/2100 và 20 tủ eNodeB 2600 8T, 22 tủ gNodeB dualband 2600-3500 massive 32T cho vùng thủ đô BME và BRL
+) ZTE: 61 tủ dualband 1800/2100, 32 tủ 2600 8T và 18 tủ gnodeB dualband 2300-3500 massive 32T32R: 6.4M USD</t>
  </si>
  <si>
    <t>Bổ sung thêm 57 vị trí mới cho lưu lượng ngoài ra cần nâng cấp cho 150 sector nhằm đáp ứng nhu cầu KD 2G và 4G. Thiết bị cần mua như sau:
+) Huawei: Bổ sung thêm 35 tủ tripband 700/800/900,  88 tủ dualband 1800/2100 và 36 tủ gNodeB dualband 2600-3500 massive 32T cho vùng thủ đô BME và BRL
+) ZTE: 5 tủ eNodeB tripband 700/800/900, 149 tủ dualband 1800/2100: 6.4M USD</t>
  </si>
  <si>
    <t>II. Mạng lõi</t>
  </si>
  <si>
    <t>Phần đầu tư tăng trong QHĐC 2027-2028 so với chiến lược 5 năm do cần mua thêm băng thông PS Core do hành DoU của VTB tăng hơn so với dự báo trong chiến lược 5 năm; Và hiện đại hóa hệ thống HSS trước 1 năm so với chiến lược do hệ thống HSS sẽ EoS vào 31/12/2027.</t>
  </si>
  <si>
    <t>Phần đầu tư giảm so với chiến lược 5 năm do hiện đại hóa hệ thống HSS trước 1 năm so với chiến lược do hệ thống HSS sẽ EoS vào 31/12/2027.</t>
  </si>
  <si>
    <t>Tăng trưởng dung lượng 5G</t>
  </si>
  <si>
    <t xml:space="preserve">-   </t>
  </si>
  <si>
    <t>Đã đảm bảo dung lượng đến hết năm 2028</t>
  </si>
  <si>
    <t>Tăng trưởng dung lượng 2G/4G</t>
  </si>
  <si>
    <t>License BW cho vEPC:110 Gbps: 445,500 $</t>
  </si>
  <si>
    <t>Dự phòng UCTT</t>
  </si>
  <si>
    <t>Đầu tư bổ sung
+01 vMSC (HW:1072K ATT, 1.5M Reg, 45K Erl, SW: 572K ATT, 800K Reg, 23K Erl): 898,743 $
+ License MSC: 1M sub CSFB: 50,000 $
+ License UDM: 500K FE 2G/3G, 900K BE 2G/3G, 700K FE 4G, 4.8M BE 4G): 126,000 $
+01 vEPC (HW: 1M SAU, 1.5M PDP, 100 Gbps, SW: 1M SAU, 1.5M PDP, 60 Gbps): 1,108,000 $
+License cho vEPC4 (SW: 650K SAU, 975K PDP, 49.4 Gbps): 412,425 $. 
+01 SMSC (SW: 1400 MOMT): 75,600 $
+ Mở rộng thêm phần cứng UDM cho 5G&amp;IMS khi hiện đại hóa HSS: 188,800 $ khi hiện đại hóa HSS.
+ Đầu tư  02 node USC, mỗi node dung lượng: STP HW: 10K STP SW: 3K TPS, DRA/DEA HW:10K TPS, DRA/DEA SW: 2K TPS: 476,000 $</t>
  </si>
  <si>
    <t>+Swap legacy MSC BUMS03 bằng 1 cloud MSC (HW:1072K ATT, 1.5M Reg, 45K Erl, SW: 835K ATT, 1.15M Reg, 34.5K Erl): 741,962 $
+Chuyển 01 UDM từ tổng trạng cũ sang tổng trạm mới và hiện đại hóa HSS cũ thông qua mở rộng UDM thêm dung lượng của HSS cũ: 664.640 $</t>
  </si>
  <si>
    <t>III. CĐBR</t>
  </si>
  <si>
    <t>Danh mục</t>
  </si>
  <si>
    <t>Tóm tắt đầu tư</t>
  </si>
  <si>
    <t>Tổng đầu tư</t>
  </si>
  <si>
    <t>Đầu tư 202 modem, 188 converter, 514 km cáp quang (2/4/12FO) và các vật tư thiết bị khác như adapter, măng xông, ODF,…</t>
  </si>
  <si>
    <t>Đầu tư 151 modem, 192 converter, 453 km cáp quang (2/4/12FO) và các vật tư thiết bị khác như adapter, măng xông, ODF,…</t>
  </si>
  <si>
    <t>Chi phí triển khai</t>
  </si>
  <si>
    <t>Chi phí triển khai phần lastmile</t>
  </si>
  <si>
    <t>IV. CÔNG NGHỆ THÔNG TIN</t>
  </si>
  <si>
    <t xml:space="preserve">13,6 </t>
  </si>
  <si>
    <t xml:space="preserve">4,43 </t>
  </si>
  <si>
    <t>9,17</t>
  </si>
  <si>
    <t>Chi phí cho phần CNTT</t>
  </si>
  <si>
    <t>11,22</t>
  </si>
  <si>
    <t>4,43</t>
  </si>
  <si>
    <t>6,79</t>
  </si>
  <si>
    <t>Tài nguyên cho đầu tư phát triển</t>
  </si>
  <si>
    <t>9,12</t>
  </si>
  <si>
    <t>3,16</t>
  </si>
  <si>
    <t>5,96</t>
  </si>
  <si>
    <t>Tài nguyên cho hiện đại hoá</t>
  </si>
  <si>
    <t>1,95</t>
  </si>
  <si>
    <t>1,2</t>
  </si>
  <si>
    <t xml:space="preserve">0,75 </t>
  </si>
  <si>
    <t>0,15</t>
  </si>
  <si>
    <t>0,07</t>
  </si>
  <si>
    <t>0,08</t>
  </si>
  <si>
    <t>Chi phí cho hệ thống Ví điện tử</t>
  </si>
  <si>
    <t>2,38</t>
  </si>
  <si>
    <r>
      <t xml:space="preserve">+ Đầu tư phục vụ triển khai hệ thống vOCS4.0 (PR) tại Tổng trạm mới và </t>
    </r>
    <r>
      <rPr>
        <sz val="10"/>
        <color rgb="FF000000"/>
        <rFont val="Times New Roman"/>
        <family val="1"/>
      </rPr>
      <t>license cho 6 triệu subs</t>
    </r>
    <r>
      <rPr>
        <b/>
        <sz val="10"/>
        <color rgb="FF262626"/>
        <rFont val="Times New Roman"/>
        <family val="1"/>
      </rPr>
      <t>~5,96Tr$</t>
    </r>
  </si>
  <si>
    <r>
      <t xml:space="preserve">Đầu tư tài nguyên phục vụ thay thế thiết bị quá niên hạn và tăng trưởng, backup dữ liệu </t>
    </r>
    <r>
      <rPr>
        <b/>
        <sz val="10"/>
        <color rgb="FF262626"/>
        <rFont val="Times New Roman"/>
        <family val="1"/>
      </rPr>
      <t>~1,2Tr$</t>
    </r>
  </si>
  <si>
    <r>
      <t xml:space="preserve">Đầu tư tài nguyên phục vụ thay thế thiết bị quá niên hạn </t>
    </r>
    <r>
      <rPr>
        <b/>
        <sz val="10"/>
        <color rgb="FF262626"/>
        <rFont val="Times New Roman"/>
        <family val="1"/>
      </rPr>
      <t>~0,75Tr$</t>
    </r>
  </si>
  <si>
    <r>
      <t xml:space="preserve">Đầu tư tủ rack, cáp điện, dịch vụ triển khai (lắp đặt, tích hợp, đào tạo) </t>
    </r>
    <r>
      <rPr>
        <b/>
        <sz val="10"/>
        <color rgb="FF262626"/>
        <rFont val="Times New Roman"/>
        <family val="1"/>
      </rPr>
      <t>~0,07Tr$</t>
    </r>
  </si>
  <si>
    <r>
      <t xml:space="preserve">Đầu tư tủ rack, cáp điện, dịch vụ triển khai (lắp đặt, tích hợp, đào tạo) </t>
    </r>
    <r>
      <rPr>
        <b/>
        <sz val="10"/>
        <color rgb="FF262626"/>
        <rFont val="Times New Roman"/>
        <family val="1"/>
      </rPr>
      <t>~0,08Tr$</t>
    </r>
  </si>
  <si>
    <t>Tổng đầu tư trong năm 2027-2028:
+ Chi phí cho phần CNTT ~13,6Tr$, chi phí cho phần Ví điện tử 3.0 (PR-DR) ~2,38Tr$.
+ Lũy kế đầu tư 741 bộ máy chủ vật lý, 2 bộ máy chủ GPU, 3,48 PB dung lượng lưu trữ, đảm bảo các nhu cầu triển khai hạ tầng CNTT, Ví điện tử phục vụ triển khai mới và mở rộng cho các hệ thống ứng dụng của Lumitel</t>
  </si>
  <si>
    <t>+ Đầu tư phục vụ triển khai cho hệ thống (BCCS, VAS, OSS, AI..) ~0,76Tr$
+ Đầu tư phục vụ KH doanh nghiệp ~0,09Tr$
+ Đầu tư phục vụ triển khai hệ thống Datalake, GEO, BillingGateway ~ 0,89Tr$
+ Đầu tư phục vụ triển khai cụm Cloud mới ~ 1,42Tr$</t>
  </si>
  <si>
    <r>
      <t xml:space="preserve">+ Chi phí </t>
    </r>
    <r>
      <rPr>
        <b/>
        <sz val="10"/>
        <color rgb="FF262626"/>
        <rFont val="Times New Roman"/>
        <family val="1"/>
      </rPr>
      <t xml:space="preserve">1,19Tr$ </t>
    </r>
    <r>
      <rPr>
        <sz val="10"/>
        <color rgb="FF262626"/>
        <rFont val="Times New Roman"/>
        <family val="1"/>
      </rPr>
      <t>cho Hệ thống Ví điện tử 3.0
+ Chi phí 1,19Tr$ xây dựng DR site cho Ví điện tử 3.0</t>
    </r>
  </si>
  <si>
    <t>3,26</t>
  </si>
  <si>
    <t>1,5</t>
  </si>
  <si>
    <t>1,76</t>
  </si>
  <si>
    <t>Truyền dẫn quang cho phát triển trạm mới</t>
  </si>
  <si>
    <t xml:space="preserve">   2,04</t>
  </si>
  <si>
    <t>0,87</t>
  </si>
  <si>
    <t>1,17</t>
  </si>
  <si>
    <t>Đảm bảo truyền dẫn cho 90 vị trí (65 trạm mới, 25 cosite): 90 thiết bị SRT,  260km cáp, cột treo cáp, phụ kiện</t>
  </si>
  <si>
    <t>Năm 2028: Đảm bảo truyền dẫn cho 112 trạm  (90 trạm mới, 22 cosite): 112 thiết bị SRT, 360km cáp, cột treo cáp, phụ kiện</t>
  </si>
  <si>
    <t xml:space="preserve">   0,46</t>
  </si>
  <si>
    <t xml:space="preserve">        0,23</t>
  </si>
  <si>
    <t>0,23</t>
  </si>
  <si>
    <t>Đầu tư 200km cáp quang, 600 cột gỗ thay thế, củng cố ML</t>
  </si>
  <si>
    <t>Đầu tư 200km cáp quang, 600 cột gỗ thay thế, củng cố ML.</t>
  </si>
  <si>
    <t xml:space="preserve">  0,26</t>
  </si>
  <si>
    <t>0,26</t>
  </si>
  <si>
    <t>Cáp kiên cố liên tổng trạm (39km cáp treo, 39 km cáp chôn, cột treo cáp)</t>
  </si>
  <si>
    <t xml:space="preserve"> 0,02</t>
  </si>
  <si>
    <t>0,01</t>
  </si>
  <si>
    <t>Thiết bị SRT, module</t>
  </si>
  <si>
    <t>V. TRUYỀN DẪN QUANG</t>
  </si>
  <si>
    <t>VI. TRUYỀN DẪN IP</t>
  </si>
  <si>
    <t xml:space="preserve">    4,45 </t>
  </si>
  <si>
    <t xml:space="preserve">3,76 </t>
  </si>
  <si>
    <t xml:space="preserve">0,69 </t>
  </si>
  <si>
    <t>Nâng cấp dung lượng Metro</t>
  </si>
  <si>
    <t xml:space="preserve">    2,76 </t>
  </si>
  <si>
    <t xml:space="preserve">2,38 </t>
  </si>
  <si>
    <t xml:space="preserve">0,38 </t>
  </si>
  <si>
    <t>14 card CV/CT/AGG 10G/100G và module nâng cấp dung lượng ring CV/CT/AGG/SRT</t>
  </si>
  <si>
    <t>Nâng cấp dung lượng IP Core</t>
  </si>
  <si>
    <t xml:space="preserve">    0,48 </t>
  </si>
  <si>
    <t xml:space="preserve">0,23 </t>
  </si>
  <si>
    <t xml:space="preserve">0,25 </t>
  </si>
  <si>
    <t>02 bộ thiết bị Swap PE MPBN HĐH và mở rộng giao diện đấu nối dịch vụ.</t>
  </si>
  <si>
    <t>Triển khai tổng trạm mới</t>
  </si>
  <si>
    <t xml:space="preserve">    1,21 </t>
  </si>
  <si>
    <t xml:space="preserve">1,15 </t>
  </si>
  <si>
    <t xml:space="preserve">0,06 </t>
  </si>
  <si>
    <t>04 card 10G/100G mở rộng giao diện PEPS đấu nối dịch vụ</t>
  </si>
  <si>
    <r>
      <t>-</t>
    </r>
    <r>
      <rPr>
        <sz val="10"/>
        <color rgb="FF000000"/>
        <rFont val="Times New Roman"/>
        <family val="1"/>
      </rPr>
      <t>48 card CV/CT/AGG 10G/100G và module nâng cấp dung lượng ring CV/CT/AGG/SRT
-10 bộ thiết bị Swap AGG HĐH và nâng cấp dung lượng ring AGG/SRT</t>
    </r>
  </si>
  <si>
    <r>
      <t>-</t>
    </r>
    <r>
      <rPr>
        <sz val="10"/>
        <color rgb="FF000000"/>
        <rFont val="Times New Roman"/>
        <family val="1"/>
      </rPr>
      <t>04 card 100G/10G và module quang mở rộng giao diện IP Core.
-01 card NAT dự phòng ƯCTT.</t>
    </r>
  </si>
  <si>
    <t>Thiết bị triển khai tổng trạm mới
-08 router Core (02 PEPS, 02 IGW, 02 PE MPBN, 02 CV)
-02 FW, 02 SW Core, 04 SW ACC DCN
-Dự phòng ƯCTT: 01 router, 01 FW, 01 SW DCN.</t>
  </si>
  <si>
    <t>VII. CƠ ĐIỆN TỔNG TRẠM</t>
  </si>
  <si>
    <t>TTr BUJ</t>
  </si>
  <si>
    <t>TTr Mới</t>
  </si>
  <si>
    <t>- Củng cố, nâng cấp, đảm bảo VHKT (252k$):
+ Thay thế EOL 04 tổ 2V-2000Ah (60k$); nâng cấp phần mềm iBMS lên vDCIM (50k$). Tổng kinh phí: 110k$.
+ Bổ sung 01 ĐHCX 150kBTU/h đảm bảo làm mát cho phòng máy mở rộng (45k$).
+ Bảo dưỡng hệ thống MPĐ, hệ thống điện AC, UPS, ĐHCX (97k$).
- Vật tư dự phòng UCTT (82k$).</t>
  </si>
  <si>
    <t xml:space="preserve">- Củng cố, nâng cấp, đảm bảo VHKT (52.5k$):
+ Bảo dưỡng hệ thống MPĐ, hệ thống điện AC (52.5k$).
- Vật tư dự phòng UCTT (82k$).
</t>
  </si>
  <si>
    <t>- Đảm bảo vật tư cơ điện cho tổng trạm mới:
+ 02 trạm biến áp 1500kVA và tủ trung thế: 375k$
+ 02 lộ đường dây trung thế 22kV/33kV: 488k$
+ Chứng chỉ TCCF: 400k$ (theo CL 2026-2030)
+ Gói phần mền giám sát vDCIM: 50k$ (theo CL 2026-2030)</t>
  </si>
  <si>
    <t xml:space="preserve">- Bổ sung UPS, ĐHCX cho tổng trạm mới đảm bảo công suất hệ thống UPS và làm mát cho 113/113 rack (theo CL 2026-2030):
+ 02 hệ thống UPS 400kW+battery: 242k$
+ 18 ĐH inrow 120000 BTU/h: 594k$
</t>
  </si>
  <si>
    <t>VIII. CƠ ĐIỆN BTS</t>
  </si>
  <si>
    <t>Phát triển mới</t>
  </si>
  <si>
    <t>- Phát triển 57 trạm mới (6 trạm có điện (0.08 tr$), 51 trạm không điện - PMT (1.39 tr$))</t>
  </si>
  <si>
    <t>- Phát triển 33 trạm mới (1 trạm có điện (0.02 tr$), 32 trạm không điện - PMT (0.95 tr$)</t>
  </si>
  <si>
    <t xml:space="preserve"> Kiên cố, bền vững</t>
  </si>
  <si>
    <t>- Đầu tư 578 bình LIB 48V-100Ah thay thế ắc quy Coslight đầu tư từ năm 2015-2016 bị hỏng. Thị trường có 2274 bình LIB 50Ah sử dụng từ năm 2015-2016. Thực hiện thay dần trong 2 năm 2027 và 2028</t>
  </si>
  <si>
    <t>MPĐ</t>
  </si>
  <si>
    <t>- Thay thế 50 MPĐ Lister Peter sử dụng từ 2014 bị hỏng, đã bị suy giảm công suất và chi phí sửa chữa lớn</t>
  </si>
  <si>
    <t>- Thay thế 50 MPĐ Lister Peter sử dụng từ 2014 bị hỏng, đã bị suy giảm công suất và chi phí sửa chữa lớn. Đảm bảo duy trì tỷ lệ MPĐ của thị trường 99%</t>
  </si>
  <si>
    <t>- Đầu tư nâng cấp PMT cho 67 trạm không đủ công suất (bao gồm dàn PMT, tủ nguồn DC kèm solar converter, ắc quy LIB 48V-100Ah)</t>
  </si>
  <si>
    <t>Các vật tư khác</t>
  </si>
  <si>
    <t>- 300 bộ TGLB FAC thay cho quạt DC cũ của 291/591 nhà container (bao gồm dự phòng). Lũy kế hoàn thành nâng cấp TGLB FAC cho 100% trạm nhà container</t>
  </si>
  <si>
    <t>- Vật tư phục vụ UCTT như 149 bộ ATS, 10 rectifier các loại, 20 bộ điều khiển tủ nguồn DC, 200 bộ solar charger, 200 bộ sạc ắc quy đề, 100 bộ cảnh báo mở cửa, vật tư sửa chữa bảo dưỡng MPĐ.</t>
  </si>
  <si>
    <t>- Vật tư phục vụ UCTT như 149 bộ ATS, 10 rectifier các loại, 100 bộ solar charger, vật tư sửa chữa bảo dưỡng MPĐ.</t>
  </si>
  <si>
    <t>- Phát triển 8 trạm mới có điện (0.1 tr$);
- Đảm bảo lắp đặt cosite 4G (0.34 tr$).</t>
  </si>
  <si>
    <t>- Phát triển 57 trạm mới có điện (0.69 tr$);  
- Tài nguyên đảm bảo lắp đặt cosite 4G (0.17 tr$).</t>
  </si>
  <si>
    <t>- Vật tư đảm bảo triển khai điện lưới cho 15 trạm.
- 309 bộ TGLB FAC thay cho quạt DC cũ của 300/591 nhà container (bao gồm dự phòng)</t>
  </si>
  <si>
    <t>IX. HẠ TẦNG</t>
  </si>
  <si>
    <t>Vật tư cột</t>
  </si>
  <si>
    <t>Xây dựng và lắp đặt hạ tầng cột và nhà trạm</t>
  </si>
  <si>
    <t>Lắp đặt thiết bị BTS</t>
  </si>
  <si>
    <t>Triển khai truyền dẫn mới</t>
  </si>
  <si>
    <t>Triển khai truyền dẫn Tổng trạm mới</t>
  </si>
  <si>
    <t>Trạm vùng phủ: 393K USD
Trạm dung lượng: 61K USD</t>
  </si>
  <si>
    <t>Trạm vùng phủ: 254K USD
Trạm dung lượng: 254K USD</t>
  </si>
  <si>
    <t>Trạm vùng phủ: 1.57M USD
Trạm dung lượng: 246K USD</t>
  </si>
  <si>
    <t>Trạm vùng phủ: 1.0M USD
Trạm dung lượng: 1.75M USD</t>
  </si>
  <si>
    <t>Trạm vùng phủ: 53K USD
Trạm dung lượng: 32K USD</t>
  </si>
  <si>
    <t>Trạm vùng phủ: 35K USD
Trạm dung lượng: 87K USD</t>
  </si>
  <si>
    <t>X. ATTT</t>
  </si>
  <si>
    <t>Hạng mục giải pháp</t>
  </si>
  <si>
    <t>Diễn giải khối lượng đầu tư</t>
  </si>
  <si>
    <t>Hệ thống quản lý tài sản tập trung</t>
  </si>
  <si>
    <t>Hệ thống quản lý, audit Policy FW</t>
  </si>
  <si>
    <t>Hệ thống quản lý truy cập đặc quyền</t>
  </si>
  <si>
    <t>Bảo vệ tấn công dịch vụ WEB Public</t>
  </si>
  <si>
    <t>- 01 License cho hệ thống rà quét lỗ hổng từ mạng PUBLIC
- 01 License cho hệ thống rà quét lỗ hổng từ mạng nội bộ</t>
  </si>
  <si>
    <t>X. PHẦN M ỀM</t>
  </si>
  <si>
    <t xml:space="preserve">- </t>
  </si>
  <si>
    <t>Chi phí triển khai 5G tính trong dung lượng 4G. Do triển khai cosite 4G+5G</t>
  </si>
  <si>
    <t>Chi phí triển khai AI/GPU tính trong HT CNTT do phục vụ các bài toán nội bộ</t>
  </si>
  <si>
    <t>2027-2028 (triệu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</si>
</sst>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_(* \(#,##0.00\);_(* &quot;-&quot;??_);_(@_)"/>
    <numFmt numFmtId="164" formatCode="_-* #,##0.00\ _₫_-;\-* #,##0.00\ _₫_-;_-* &quot;-&quot;??\ _₫_-;_-@_-"/>
    <numFmt numFmtId="165" formatCode="_-* #,##0\ _€_-;\-* #,##0\ _€_-;_-* &quot;-&quot;??\ _€_-;_-@_-"/>
    <numFmt numFmtId="166" formatCode="_(* #,##0_);_(* \(#,##0\);_(* &quot;-&quot;??_);_(@_)"/>
    <numFmt numFmtId="167" formatCode="_(* #,##0.0_);_(* \(#,##0.0\);_(* &quot;-&quot;??_);_(@_)"/>
    <numFmt numFmtId="168" formatCode="0.0%"/>
    <numFmt numFmtId="169" formatCode="_-* #,##0.00\ _€_-;\-* #,##0.00\ _€_-;_-* &quot;-&quot;??\ _€_-;_-@_-"/>
    <numFmt numFmtId="170" formatCode="_(* #,##0.000_);_(* \(#,##0.000\);_(* &quot;-&quot;??_);_(@_)"/>
    <numFmt numFmtId="171" formatCode="_-* #,##0.0\ _₫_-;\-* #,##0.0\ _₫_-;_-* &quot;-&quot;??\ _₫_-;_-@_-"/>
    <numFmt numFmtId="172" formatCode="[$-409]dd\-mmm\-yy;@"/>
    <numFmt numFmtId="173" formatCode="_([$€-2]* #,##0.00_);_([$€-2]* \(#,##0.00\);_([$€-2]* &quot;-&quot;??_)"/>
    <numFmt numFmtId="174" formatCode="_-* #,##0.00_-;\-* #,##0.00_-;_-* &quot;-&quot;??_-;_-@_-"/>
    <numFmt numFmtId="175" formatCode="_(* #.##0.00_);_(* \(#.##0.00\);_(* &quot;-&quot;??_);_(@_)"/>
    <numFmt numFmtId="176" formatCode="_(* #,##0.0000_);_(* \(#,##0.0000\);_(* &quot;-&quot;??_);_(@_)"/>
    <numFmt numFmtId="177" formatCode="_-* #,##0_-;\-* #,##0_-;_-* &quot;-&quot;_-;_-@_-"/>
    <numFmt numFmtId="178" formatCode="_([$€-2]* #.##0.00_);_([$€-2]* \(#.##0.00\);_([$€-2]* &quot;-&quot;??_)"/>
    <numFmt numFmtId="179" formatCode="#,##0.0"/>
    <numFmt numFmtId="180" formatCode="_(* #,##0.00000_);_(* \(#,##0.00000\);_(* &quot;-&quot;??_);_(@_)"/>
  </numFmts>
  <fonts count="59">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0"/>
      <name val="Times New Roman"/>
      <family val="1"/>
    </font>
    <font>
      <b/>
      <sz val="10"/>
      <name val="Times New Roman"/>
      <family val="1"/>
    </font>
    <font>
      <b/>
      <sz val="14"/>
      <name val="Times New Roman"/>
      <family val="1"/>
    </font>
    <font>
      <i/>
      <sz val="10"/>
      <name val="Times New Roman"/>
      <family val="1"/>
    </font>
    <font>
      <sz val="10"/>
      <name val="Arial"/>
      <family val="2"/>
    </font>
    <font>
      <b/>
      <i/>
      <sz val="10"/>
      <name val="Times New Roman"/>
      <family val="1"/>
    </font>
    <font>
      <b/>
      <sz val="10"/>
      <color rgb="FFFF0000"/>
      <name val="Times New Roman"/>
      <family val="1"/>
    </font>
    <font>
      <sz val="11"/>
      <color theme="1"/>
      <name val="Calibri"/>
      <family val="2"/>
      <charset val="163"/>
      <scheme val="minor"/>
    </font>
    <font>
      <sz val="11"/>
      <name val="Times New Roman"/>
      <family val="1"/>
    </font>
    <font>
      <b/>
      <sz val="9"/>
      <color indexed="81"/>
      <name val="Tahoma"/>
      <family val="2"/>
    </font>
    <font>
      <sz val="9"/>
      <color indexed="81"/>
      <name val="Tahoma"/>
      <family val="2"/>
    </font>
    <font>
      <sz val="10"/>
      <color rgb="FFFF0000"/>
      <name val="Times New Roman"/>
      <family val="1"/>
    </font>
    <font>
      <i/>
      <sz val="10"/>
      <color rgb="FFFF0000"/>
      <name val="Times New Roman"/>
      <family val="1"/>
    </font>
    <font>
      <sz val="10"/>
      <color theme="1"/>
      <name val="Times New Roman"/>
      <family val="1"/>
    </font>
    <font>
      <b/>
      <sz val="10"/>
      <color theme="1"/>
      <name val="Times New Roman"/>
      <family val="1"/>
    </font>
    <font>
      <sz val="8.25"/>
      <name val="Microsoft Sans Serif"/>
      <family val="2"/>
    </font>
    <font>
      <sz val="10"/>
      <color theme="1"/>
      <name val="Arial"/>
      <family val="2"/>
    </font>
    <font>
      <sz val="8.25"/>
      <name val="Microsoft Sans Serif"/>
      <family val="2"/>
      <charset val="163"/>
    </font>
    <font>
      <sz val="10"/>
      <name val=".VnArial"/>
      <family val="2"/>
    </font>
    <font>
      <sz val="12"/>
      <color theme="1"/>
      <name val="Times New Roman"/>
      <family val="2"/>
    </font>
    <font>
      <sz val="10"/>
      <name val="Arial"/>
      <family val="2"/>
      <charset val="163"/>
    </font>
    <font>
      <b/>
      <sz val="10"/>
      <color theme="0"/>
      <name val="Times New Roman"/>
      <family val="1"/>
    </font>
    <font>
      <sz val="8"/>
      <color rgb="FFFF0000"/>
      <name val="Times New Roman"/>
      <family val="1"/>
    </font>
    <font>
      <sz val="10"/>
      <color rgb="FF0000FF"/>
      <name val="Times New Roman"/>
      <family val="1"/>
    </font>
    <font>
      <b/>
      <sz val="10"/>
      <color rgb="FF0000FF"/>
      <name val="Times New Roman"/>
      <family val="1"/>
    </font>
    <font>
      <sz val="10"/>
      <color theme="0"/>
      <name val="Times New Roman"/>
      <family val="1"/>
    </font>
    <font>
      <i/>
      <sz val="14"/>
      <name val="Times New Roman"/>
      <family val="1"/>
    </font>
    <font>
      <sz val="11"/>
      <color theme="1"/>
      <name val="Times New Roman"/>
      <family val="1"/>
    </font>
    <font>
      <sz val="12"/>
      <color theme="1"/>
      <name val="Calibri"/>
      <family val="2"/>
      <scheme val="minor"/>
    </font>
    <font>
      <sz val="10"/>
      <name val="Arial"/>
      <family val="2"/>
    </font>
    <font>
      <sz val="11"/>
      <color indexed="8"/>
      <name val="Calibri"/>
      <family val="2"/>
      <charset val="163"/>
    </font>
    <font>
      <b/>
      <sz val="11"/>
      <color theme="1"/>
      <name val="Times New Roman"/>
      <family val="1"/>
    </font>
    <font>
      <sz val="11"/>
      <color rgb="FFFF0000"/>
      <name val="Times New Roman"/>
      <family val="1"/>
    </font>
    <font>
      <b/>
      <sz val="11"/>
      <name val="Times New Roman"/>
      <family val="1"/>
    </font>
    <font>
      <i/>
      <sz val="11"/>
      <name val="Times New Roman"/>
      <family val="1"/>
    </font>
    <font>
      <sz val="11"/>
      <color rgb="FFEE0033"/>
      <name val="Times New Roman"/>
      <family val="1"/>
    </font>
    <font>
      <sz val="11"/>
      <color rgb="FF0000FF"/>
      <name val="Times New Roman"/>
      <family val="1"/>
    </font>
    <font>
      <b/>
      <sz val="11"/>
      <color rgb="FF0000FF"/>
      <name val="Times New Roman"/>
      <family val="1"/>
    </font>
    <font>
      <b/>
      <i/>
      <sz val="11"/>
      <name val="Times New Roman"/>
      <family val="1"/>
    </font>
    <font>
      <sz val="12"/>
      <color theme="1"/>
      <name val="Times New Roman"/>
      <family val="1"/>
    </font>
    <font>
      <sz val="12"/>
      <name val="Times New Roman"/>
      <family val="1"/>
    </font>
    <font>
      <b/>
      <sz val="12"/>
      <color theme="1"/>
      <name val="Times New Roman"/>
      <family val="1"/>
    </font>
    <font>
      <b/>
      <sz val="12"/>
      <name val="Times New Roman"/>
      <family val="1"/>
    </font>
    <font>
      <sz val="10"/>
      <color theme="1"/>
      <name val="Calibri"/>
      <family val="2"/>
      <scheme val="minor"/>
    </font>
    <font>
      <b/>
      <sz val="11"/>
      <color rgb="FFFF0000"/>
      <name val="Times New Roman"/>
      <family val="1"/>
    </font>
    <font>
      <b/>
      <u/>
      <sz val="11"/>
      <name val="Times New Roman"/>
      <family val="1"/>
    </font>
    <font>
      <sz val="12"/>
      <color rgb="FF000000"/>
      <name val="Times New Roman"/>
      <family val="1"/>
    </font>
    <font>
      <sz val="11"/>
      <color theme="2" tint="-0.89999084444715716"/>
      <name val="Times New Roman"/>
      <family val="1"/>
    </font>
    <font>
      <sz val="10"/>
      <color rgb="FF000000"/>
      <name val="Times New Roman"/>
      <family val="1"/>
    </font>
    <font>
      <b/>
      <sz val="10"/>
      <color rgb="FFFFFFFF"/>
      <name val="Times New Roman"/>
      <family val="1"/>
    </font>
    <font>
      <b/>
      <sz val="10"/>
      <color rgb="FF000000"/>
      <name val="Times New Roman"/>
      <family val="1"/>
    </font>
    <font>
      <sz val="10"/>
      <color rgb="FF000000"/>
      <name val="Times New Roman"/>
      <family val="1"/>
    </font>
    <font>
      <sz val="10"/>
      <color rgb="FF262626"/>
      <name val="Times New Roman"/>
      <family val="1"/>
    </font>
    <font>
      <b/>
      <sz val="10"/>
      <color rgb="FF262626"/>
      <name val="Times New Roman"/>
      <family val="1"/>
    </font>
  </fonts>
  <fills count="2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EE0033"/>
        <bgColor indexed="64"/>
      </patternFill>
    </fill>
    <fill>
      <patternFill patternType="solid">
        <fgColor rgb="FF0000FF"/>
        <bgColor indexed="64"/>
      </patternFill>
    </fill>
    <fill>
      <patternFill patternType="solid">
        <fgColor rgb="FF00B050"/>
        <bgColor indexed="64"/>
      </patternFill>
    </fill>
    <fill>
      <patternFill patternType="solid">
        <fgColor rgb="FFFFC000"/>
        <bgColor indexed="64"/>
      </patternFill>
    </fill>
    <fill>
      <patternFill patternType="solid">
        <fgColor rgb="FFFFFFFF"/>
        <bgColor rgb="FFFFFFFF"/>
      </patternFill>
    </fill>
    <fill>
      <patternFill patternType="solid">
        <fgColor theme="0"/>
        <bgColor theme="0"/>
      </patternFill>
    </fill>
    <fill>
      <patternFill patternType="solid">
        <fgColor theme="0" tint="-0.14999847407452621"/>
        <bgColor indexed="64"/>
      </patternFill>
    </fill>
    <fill>
      <patternFill patternType="solid">
        <fgColor rgb="FF92D050"/>
        <bgColor indexed="64"/>
      </patternFill>
    </fill>
    <fill>
      <patternFill patternType="solid">
        <fgColor theme="8" tint="0.39997558519241921"/>
        <bgColor indexed="64"/>
      </patternFill>
    </fill>
    <fill>
      <patternFill patternType="solid">
        <fgColor theme="3" tint="0.59999389629810485"/>
        <bgColor theme="4"/>
      </patternFill>
    </fill>
    <fill>
      <patternFill patternType="solid">
        <fgColor rgb="FFFFFF00"/>
        <bgColor rgb="FFFFFFFF"/>
      </patternFill>
    </fill>
    <fill>
      <patternFill patternType="solid">
        <fgColor rgb="FFED1B2F"/>
        <bgColor indexed="64"/>
      </patternFill>
    </fill>
  </fills>
  <borders count="25">
    <border>
      <left/>
      <right/>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88">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9" fillId="0" borderId="0">
      <alignment vertical="top"/>
    </xf>
    <xf numFmtId="43" fontId="9" fillId="0" borderId="0" applyFont="0" applyFill="0" applyBorder="0" applyAlignment="0" applyProtection="0"/>
    <xf numFmtId="169" fontId="4" fillId="0" borderId="0" applyFont="0" applyFill="0" applyBorder="0" applyAlignment="0" applyProtection="0"/>
    <xf numFmtId="0" fontId="9" fillId="0" borderId="0">
      <alignment vertical="top"/>
    </xf>
    <xf numFmtId="0" fontId="12"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9" fillId="0" borderId="0"/>
    <xf numFmtId="172" fontId="4" fillId="0" borderId="0"/>
    <xf numFmtId="164" fontId="9"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0" fontId="12" fillId="0" borderId="0"/>
    <xf numFmtId="0" fontId="12" fillId="0" borderId="0"/>
    <xf numFmtId="173" fontId="4" fillId="0" borderId="0"/>
    <xf numFmtId="0" fontId="12" fillId="0" borderId="0"/>
    <xf numFmtId="0" fontId="4" fillId="0" borderId="0"/>
    <xf numFmtId="0" fontId="20" fillId="0" borderId="0">
      <protection locked="0"/>
    </xf>
    <xf numFmtId="0" fontId="4" fillId="0" borderId="0"/>
    <xf numFmtId="0" fontId="4" fillId="0" borderId="0"/>
    <xf numFmtId="0" fontId="4" fillId="0" borderId="0"/>
    <xf numFmtId="0" fontId="4" fillId="0" borderId="0"/>
    <xf numFmtId="0" fontId="4" fillId="0" borderId="0"/>
    <xf numFmtId="174" fontId="4" fillId="0" borderId="0" applyFont="0" applyFill="0" applyBorder="0" applyAlignment="0" applyProtection="0"/>
    <xf numFmtId="0" fontId="9" fillId="0" borderId="0">
      <alignment vertical="top"/>
    </xf>
    <xf numFmtId="43" fontId="9"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0" fontId="20" fillId="0" borderId="0">
      <protection locked="0"/>
    </xf>
    <xf numFmtId="0" fontId="20" fillId="0" borderId="0">
      <protection locked="0"/>
    </xf>
    <xf numFmtId="0" fontId="4" fillId="0" borderId="0"/>
    <xf numFmtId="0" fontId="21" fillId="0" borderId="0"/>
    <xf numFmtId="173" fontId="9" fillId="0" borderId="0">
      <alignment vertical="top"/>
    </xf>
    <xf numFmtId="43"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3" fontId="22" fillId="0" borderId="0">
      <protection locked="0"/>
    </xf>
    <xf numFmtId="0" fontId="9" fillId="0" borderId="0">
      <alignment vertical="top"/>
    </xf>
    <xf numFmtId="43" fontId="23" fillId="0" borderId="0" applyFont="0" applyFill="0" applyBorder="0" applyAlignment="0" applyProtection="0"/>
    <xf numFmtId="0" fontId="9" fillId="0" borderId="0">
      <alignment vertical="top"/>
    </xf>
    <xf numFmtId="0" fontId="23" fillId="0" borderId="0">
      <alignment vertical="top"/>
    </xf>
    <xf numFmtId="9" fontId="23" fillId="0" borderId="0" applyFont="0" applyFill="0" applyBorder="0" applyAlignment="0" applyProtection="0"/>
    <xf numFmtId="0" fontId="23" fillId="0" borderId="0">
      <alignment vertical="top"/>
    </xf>
    <xf numFmtId="43" fontId="4" fillId="0" borderId="0" applyFont="0" applyFill="0" applyBorder="0" applyAlignment="0" applyProtection="0"/>
    <xf numFmtId="174" fontId="4" fillId="0" borderId="0" applyFont="0" applyFill="0" applyBorder="0" applyAlignment="0" applyProtection="0"/>
    <xf numFmtId="0" fontId="12" fillId="0" borderId="0"/>
    <xf numFmtId="164" fontId="12" fillId="0" borderId="0" applyFont="0" applyFill="0" applyBorder="0" applyAlignment="0" applyProtection="0"/>
    <xf numFmtId="0" fontId="24" fillId="0" borderId="0"/>
    <xf numFmtId="0" fontId="9" fillId="0" borderId="0"/>
    <xf numFmtId="0" fontId="12" fillId="0" borderId="0"/>
    <xf numFmtId="164" fontId="12" fillId="0" borderId="0" applyFont="0" applyFill="0" applyBorder="0" applyAlignment="0" applyProtection="0"/>
    <xf numFmtId="0" fontId="25" fillId="0" borderId="0"/>
    <xf numFmtId="164" fontId="12" fillId="0" borderId="0" applyFont="0" applyFill="0" applyBorder="0" applyAlignment="0" applyProtection="0"/>
    <xf numFmtId="164" fontId="12" fillId="0" borderId="0" applyFont="0" applyFill="0" applyBorder="0" applyAlignment="0" applyProtection="0"/>
    <xf numFmtId="0" fontId="24" fillId="0" borderId="0"/>
    <xf numFmtId="0" fontId="20" fillId="0" borderId="0">
      <protection locked="0"/>
    </xf>
    <xf numFmtId="0" fontId="12" fillId="0" borderId="0"/>
    <xf numFmtId="0" fontId="4" fillId="0" borderId="0"/>
    <xf numFmtId="0" fontId="12" fillId="0" borderId="0"/>
    <xf numFmtId="164" fontId="12"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20" fillId="0" borderId="0">
      <protection locked="0"/>
    </xf>
    <xf numFmtId="0" fontId="9" fillId="0" borderId="0"/>
    <xf numFmtId="175" fontId="9" fillId="0" borderId="0" applyFont="0" applyFill="0" applyBorder="0" applyAlignment="0" applyProtection="0"/>
    <xf numFmtId="173" fontId="4" fillId="0" borderId="0"/>
    <xf numFmtId="173" fontId="9" fillId="0" borderId="0"/>
    <xf numFmtId="43" fontId="4" fillId="0" borderId="0" applyFont="0" applyFill="0" applyBorder="0" applyAlignment="0" applyProtection="0"/>
    <xf numFmtId="0" fontId="1" fillId="0" borderId="0"/>
    <xf numFmtId="0" fontId="9" fillId="0" borderId="0"/>
    <xf numFmtId="177" fontId="4" fillId="0" borderId="0" applyFont="0" applyFill="0" applyBorder="0" applyAlignment="0" applyProtection="0"/>
    <xf numFmtId="0" fontId="33" fillId="0" borderId="0"/>
    <xf numFmtId="173" fontId="4" fillId="0" borderId="0"/>
    <xf numFmtId="173" fontId="4" fillId="0" borderId="0"/>
    <xf numFmtId="0" fontId="4" fillId="0" borderId="0"/>
    <xf numFmtId="173" fontId="4" fillId="0" borderId="0"/>
    <xf numFmtId="43" fontId="4" fillId="0" borderId="0" applyFont="0" applyFill="0" applyBorder="0" applyAlignment="0" applyProtection="0"/>
    <xf numFmtId="0" fontId="4" fillId="0" borderId="0"/>
    <xf numFmtId="173" fontId="4" fillId="0" borderId="0"/>
    <xf numFmtId="0" fontId="9" fillId="0" borderId="0"/>
    <xf numFmtId="0" fontId="9" fillId="0" borderId="0"/>
    <xf numFmtId="178" fontId="4" fillId="0" borderId="0"/>
    <xf numFmtId="0" fontId="9" fillId="0" borderId="0"/>
    <xf numFmtId="0" fontId="9" fillId="0" borderId="0"/>
    <xf numFmtId="0" fontId="33" fillId="0" borderId="0"/>
    <xf numFmtId="0" fontId="4" fillId="0" borderId="0"/>
    <xf numFmtId="0" fontId="34" fillId="0" borderId="0"/>
    <xf numFmtId="43" fontId="35" fillId="0" borderId="0" applyFont="0" applyFill="0" applyBorder="0" applyAlignment="0" applyProtection="0"/>
    <xf numFmtId="0" fontId="4" fillId="0" borderId="0"/>
    <xf numFmtId="43" fontId="4" fillId="0" borderId="0" applyFont="0" applyFill="0" applyBorder="0" applyAlignment="0" applyProtection="0"/>
    <xf numFmtId="0" fontId="4" fillId="0" borderId="0"/>
  </cellStyleXfs>
  <cellXfs count="806">
    <xf numFmtId="0" fontId="0" fillId="0" borderId="0" xfId="0"/>
    <xf numFmtId="0" fontId="5" fillId="2" borderId="3" xfId="0" applyFont="1" applyFill="1" applyBorder="1" applyAlignment="1">
      <alignment horizontal="center" vertical="center"/>
    </xf>
    <xf numFmtId="166" fontId="6" fillId="2" borderId="3" xfId="1"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0" xfId="0" applyFont="1" applyAlignment="1">
      <alignment horizontal="center" vertical="center"/>
    </xf>
    <xf numFmtId="0" fontId="18" fillId="0" borderId="0" xfId="0" applyFont="1" applyAlignment="1">
      <alignment vertical="center"/>
    </xf>
    <xf numFmtId="166" fontId="5" fillId="2" borderId="3" xfId="1" applyNumberFormat="1" applyFont="1" applyFill="1" applyBorder="1" applyAlignment="1">
      <alignment vertical="center"/>
    </xf>
    <xf numFmtId="166" fontId="5" fillId="2" borderId="3" xfId="1" applyNumberFormat="1" applyFont="1" applyFill="1" applyBorder="1" applyAlignment="1">
      <alignment horizontal="right" vertical="center"/>
    </xf>
    <xf numFmtId="0" fontId="6" fillId="0" borderId="3" xfId="0" applyFont="1" applyBorder="1" applyAlignment="1">
      <alignment horizontal="center" vertical="center" wrapText="1" readingOrder="1"/>
    </xf>
    <xf numFmtId="9" fontId="6" fillId="0" borderId="3" xfId="2" applyFont="1" applyFill="1" applyBorder="1" applyAlignment="1">
      <alignment horizontal="center" vertical="center" wrapText="1" readingOrder="1"/>
    </xf>
    <xf numFmtId="166" fontId="5" fillId="0" borderId="0" xfId="1" applyNumberFormat="1" applyFont="1" applyAlignment="1">
      <alignment vertical="center"/>
    </xf>
    <xf numFmtId="0" fontId="19" fillId="0" borderId="3" xfId="0" applyFont="1" applyBorder="1" applyAlignment="1">
      <alignment horizontal="center" vertical="center"/>
    </xf>
    <xf numFmtId="0" fontId="5" fillId="0" borderId="3" xfId="0" applyFont="1" applyBorder="1" applyAlignment="1">
      <alignment horizontal="center" vertical="center"/>
    </xf>
    <xf numFmtId="0" fontId="5" fillId="2" borderId="3" xfId="0" applyFont="1" applyFill="1" applyBorder="1" applyAlignment="1">
      <alignment horizontal="center" vertical="center" wrapText="1" readingOrder="1"/>
    </xf>
    <xf numFmtId="0" fontId="19" fillId="3" borderId="3" xfId="0" applyFont="1" applyFill="1" applyBorder="1" applyAlignment="1">
      <alignment horizontal="center" vertical="center"/>
    </xf>
    <xf numFmtId="0" fontId="18" fillId="0" borderId="3" xfId="0" applyFont="1" applyBorder="1" applyAlignment="1">
      <alignment horizontal="center" vertical="center"/>
    </xf>
    <xf numFmtId="166" fontId="5" fillId="2" borderId="3" xfId="1" applyNumberFormat="1" applyFont="1" applyFill="1" applyBorder="1" applyAlignment="1">
      <alignment horizontal="center" vertical="center" readingOrder="1"/>
    </xf>
    <xf numFmtId="166" fontId="5" fillId="2" borderId="3" xfId="1" applyNumberFormat="1" applyFont="1" applyFill="1" applyBorder="1" applyAlignment="1">
      <alignment horizontal="center" vertical="center" wrapText="1" readingOrder="1"/>
    </xf>
    <xf numFmtId="166" fontId="5" fillId="2" borderId="3" xfId="1" applyNumberFormat="1" applyFont="1" applyFill="1" applyBorder="1" applyAlignment="1">
      <alignment horizontal="center" vertical="center" wrapText="1"/>
    </xf>
    <xf numFmtId="0" fontId="5" fillId="2" borderId="0" xfId="0" applyFont="1" applyFill="1" applyAlignment="1">
      <alignment vertical="center"/>
    </xf>
    <xf numFmtId="0" fontId="6" fillId="2" borderId="3" xfId="0" applyFont="1" applyFill="1" applyBorder="1" applyAlignment="1">
      <alignment horizontal="center" vertical="center"/>
    </xf>
    <xf numFmtId="0" fontId="6" fillId="2" borderId="0" xfId="0" applyFont="1" applyFill="1" applyAlignment="1">
      <alignment horizontal="center" vertical="center"/>
    </xf>
    <xf numFmtId="0" fontId="16" fillId="0" borderId="3" xfId="0" applyFont="1" applyBorder="1" applyAlignment="1">
      <alignment horizontal="center" vertical="center" wrapText="1" readingOrder="1"/>
    </xf>
    <xf numFmtId="1" fontId="27" fillId="0" borderId="0" xfId="0" applyNumberFormat="1" applyFont="1" applyAlignment="1">
      <alignment horizontal="right" vertical="center"/>
    </xf>
    <xf numFmtId="0" fontId="11" fillId="0" borderId="6"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166" fontId="5" fillId="0" borderId="3" xfId="1" applyNumberFormat="1" applyFont="1" applyFill="1" applyBorder="1" applyAlignment="1">
      <alignment horizontal="right" vertical="center"/>
    </xf>
    <xf numFmtId="166" fontId="5" fillId="0" borderId="0" xfId="0" applyNumberFormat="1" applyFont="1" applyAlignment="1">
      <alignment vertical="center"/>
    </xf>
    <xf numFmtId="0" fontId="8" fillId="0" borderId="0" xfId="0" applyFont="1" applyAlignment="1">
      <alignment vertical="center"/>
    </xf>
    <xf numFmtId="0" fontId="5" fillId="2" borderId="3" xfId="0" applyFont="1" applyFill="1" applyBorder="1" applyAlignment="1">
      <alignment horizontal="center" vertical="center" readingOrder="1"/>
    </xf>
    <xf numFmtId="0" fontId="6" fillId="2" borderId="0" xfId="0" applyFont="1" applyFill="1" applyAlignment="1">
      <alignment vertical="center"/>
    </xf>
    <xf numFmtId="0" fontId="5" fillId="2" borderId="0" xfId="0" applyFont="1" applyFill="1" applyAlignment="1">
      <alignment horizontal="center" vertical="center"/>
    </xf>
    <xf numFmtId="0" fontId="5" fillId="2" borderId="3" xfId="0" applyFont="1" applyFill="1" applyBorder="1" applyAlignment="1" applyProtection="1">
      <alignment horizontal="center" vertical="center"/>
      <protection locked="0"/>
    </xf>
    <xf numFmtId="0" fontId="5" fillId="9" borderId="0" xfId="0" applyFont="1" applyFill="1" applyAlignment="1">
      <alignment horizontal="center" vertical="center"/>
    </xf>
    <xf numFmtId="166" fontId="5" fillId="2" borderId="0" xfId="1" applyNumberFormat="1" applyFont="1" applyFill="1" applyAlignment="1">
      <alignment horizontal="right" vertical="center"/>
    </xf>
    <xf numFmtId="0" fontId="8" fillId="2" borderId="0" xfId="0" applyFont="1" applyFill="1" applyAlignment="1">
      <alignment horizontal="center" vertical="center"/>
    </xf>
    <xf numFmtId="0" fontId="8" fillId="2" borderId="0" xfId="0" applyFont="1" applyFill="1" applyAlignment="1">
      <alignment vertical="center"/>
    </xf>
    <xf numFmtId="0" fontId="5" fillId="2" borderId="3" xfId="0" applyFont="1" applyFill="1" applyBorder="1" applyAlignment="1" applyProtection="1">
      <alignment horizontal="center" vertical="center" wrapText="1"/>
      <protection locked="0"/>
    </xf>
    <xf numFmtId="166" fontId="6" fillId="2" borderId="3" xfId="3" applyNumberFormat="1" applyFont="1" applyFill="1" applyBorder="1" applyAlignment="1">
      <alignment horizontal="right" vertical="center"/>
    </xf>
    <xf numFmtId="166" fontId="5" fillId="2" borderId="0" xfId="0" applyNumberFormat="1" applyFont="1" applyFill="1" applyAlignment="1">
      <alignment vertical="center"/>
    </xf>
    <xf numFmtId="166" fontId="5" fillId="2" borderId="0" xfId="0" applyNumberFormat="1" applyFont="1" applyFill="1" applyAlignment="1">
      <alignment horizontal="center" vertical="center"/>
    </xf>
    <xf numFmtId="170" fontId="5" fillId="2" borderId="0" xfId="1" applyNumberFormat="1" applyFont="1" applyFill="1" applyAlignment="1">
      <alignment vertical="center"/>
    </xf>
    <xf numFmtId="0" fontId="5" fillId="2" borderId="3" xfId="0" applyFont="1" applyFill="1" applyBorder="1" applyAlignment="1">
      <alignment horizontal="left" vertical="center"/>
    </xf>
    <xf numFmtId="0" fontId="5" fillId="2" borderId="3" xfId="0" applyFont="1" applyFill="1" applyBorder="1" applyAlignment="1" applyProtection="1">
      <alignment horizontal="left" vertical="center"/>
      <protection locked="0"/>
    </xf>
    <xf numFmtId="0" fontId="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5" fillId="0" borderId="0" xfId="0" applyFont="1" applyAlignment="1">
      <alignment horizontal="center" vertical="center" wrapText="1"/>
    </xf>
    <xf numFmtId="166" fontId="5" fillId="0" borderId="0" xfId="1" applyNumberFormat="1" applyFont="1" applyFill="1" applyAlignment="1">
      <alignment horizontal="right" vertical="center"/>
    </xf>
    <xf numFmtId="14" fontId="5" fillId="0" borderId="0" xfId="0" applyNumberFormat="1" applyFont="1" applyAlignment="1">
      <alignment horizontal="center" vertical="center"/>
    </xf>
    <xf numFmtId="166" fontId="5" fillId="14" borderId="0" xfId="1" applyNumberFormat="1" applyFont="1" applyFill="1" applyAlignment="1">
      <alignment horizontal="right" vertical="center"/>
    </xf>
    <xf numFmtId="166" fontId="5" fillId="2" borderId="0" xfId="1" applyNumberFormat="1" applyFont="1" applyFill="1" applyAlignment="1">
      <alignment vertical="center"/>
    </xf>
    <xf numFmtId="166" fontId="5" fillId="0" borderId="0" xfId="1" applyNumberFormat="1" applyFont="1" applyAlignment="1">
      <alignment horizontal="right" vertical="center"/>
    </xf>
    <xf numFmtId="0" fontId="26" fillId="17" borderId="3" xfId="0" applyFont="1" applyFill="1" applyBorder="1" applyAlignment="1">
      <alignment horizontal="center" vertical="center" wrapText="1" readingOrder="1"/>
    </xf>
    <xf numFmtId="166" fontId="26" fillId="17" borderId="3" xfId="1" applyNumberFormat="1"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166" fontId="6" fillId="3" borderId="3" xfId="1" applyNumberFormat="1" applyFont="1" applyFill="1" applyBorder="1" applyAlignment="1">
      <alignment horizontal="center" vertical="center" wrapText="1" readingOrder="1"/>
    </xf>
    <xf numFmtId="0" fontId="17" fillId="0" borderId="0" xfId="0" applyFont="1" applyAlignment="1">
      <alignment vertical="center"/>
    </xf>
    <xf numFmtId="166" fontId="5" fillId="0" borderId="3" xfId="1" quotePrefix="1" applyNumberFormat="1" applyFont="1" applyFill="1" applyBorder="1" applyAlignment="1">
      <alignment horizontal="center" vertical="center" readingOrder="1"/>
    </xf>
    <xf numFmtId="168" fontId="5" fillId="0" borderId="3" xfId="2" applyNumberFormat="1" applyFont="1" applyFill="1" applyBorder="1" applyAlignment="1">
      <alignment horizontal="center" vertical="center" wrapText="1" readingOrder="1"/>
    </xf>
    <xf numFmtId="0" fontId="5" fillId="0" borderId="3" xfId="0" applyFont="1" applyBorder="1" applyAlignment="1">
      <alignment horizontal="left" vertical="center" wrapText="1" indent="1" readingOrder="1"/>
    </xf>
    <xf numFmtId="0" fontId="6" fillId="0" borderId="3" xfId="0" applyFont="1" applyBorder="1" applyAlignment="1">
      <alignment vertical="center" wrapText="1" readingOrder="1"/>
    </xf>
    <xf numFmtId="166" fontId="5" fillId="0" borderId="3" xfId="1" applyNumberFormat="1" applyFont="1" applyFill="1" applyBorder="1" applyAlignment="1">
      <alignment vertical="center"/>
    </xf>
    <xf numFmtId="166" fontId="5" fillId="0" borderId="3" xfId="1" applyNumberFormat="1" applyFont="1" applyFill="1" applyBorder="1" applyAlignment="1">
      <alignment horizontal="center" vertical="center" wrapText="1" readingOrder="1"/>
    </xf>
    <xf numFmtId="0" fontId="5" fillId="0" borderId="3" xfId="0" applyFont="1" applyBorder="1" applyAlignment="1">
      <alignment horizontal="center" vertical="center" readingOrder="1"/>
    </xf>
    <xf numFmtId="0" fontId="5" fillId="3" borderId="3" xfId="0" applyFont="1" applyFill="1" applyBorder="1" applyAlignment="1">
      <alignment horizontal="center" vertical="center"/>
    </xf>
    <xf numFmtId="0" fontId="5" fillId="0" borderId="3" xfId="0" applyFont="1" applyBorder="1" applyAlignment="1">
      <alignment horizontal="left" vertical="center" wrapText="1" readingOrder="1"/>
    </xf>
    <xf numFmtId="0" fontId="30" fillId="2" borderId="0" xfId="0" applyFont="1" applyFill="1" applyAlignment="1">
      <alignment horizontal="center" vertical="center" wrapText="1"/>
    </xf>
    <xf numFmtId="166" fontId="30" fillId="2" borderId="0" xfId="1" applyNumberFormat="1" applyFont="1" applyFill="1" applyAlignment="1">
      <alignment horizontal="right" vertical="center"/>
    </xf>
    <xf numFmtId="166" fontId="30" fillId="2" borderId="0" xfId="1" applyNumberFormat="1" applyFont="1" applyFill="1" applyAlignment="1">
      <alignment horizontal="right" vertical="center" wrapText="1"/>
    </xf>
    <xf numFmtId="14" fontId="30" fillId="2" borderId="0" xfId="0" applyNumberFormat="1" applyFont="1" applyFill="1" applyAlignment="1">
      <alignment horizontal="center" vertical="center"/>
    </xf>
    <xf numFmtId="0" fontId="26" fillId="2" borderId="1" xfId="0" applyFont="1" applyFill="1" applyBorder="1" applyAlignment="1">
      <alignment horizontal="center" vertical="center" wrapText="1"/>
    </xf>
    <xf numFmtId="166" fontId="26" fillId="2" borderId="0" xfId="1" applyNumberFormat="1" applyFont="1" applyFill="1" applyAlignment="1">
      <alignment horizontal="right" vertical="center" wrapText="1"/>
    </xf>
    <xf numFmtId="0" fontId="26" fillId="2" borderId="0" xfId="0" applyFont="1" applyFill="1" applyAlignment="1">
      <alignment horizontal="center" vertical="center"/>
    </xf>
    <xf numFmtId="0" fontId="5" fillId="2" borderId="3" xfId="0" applyFont="1" applyFill="1" applyBorder="1" applyAlignment="1">
      <alignment horizontal="left" vertical="center" wrapText="1" indent="1" readingOrder="1"/>
    </xf>
    <xf numFmtId="0" fontId="6" fillId="2" borderId="3" xfId="0" applyFont="1" applyFill="1" applyBorder="1" applyAlignment="1">
      <alignment horizontal="center" vertical="center" wrapText="1" readingOrder="1"/>
    </xf>
    <xf numFmtId="0" fontId="10" fillId="2" borderId="3" xfId="0" applyFont="1" applyFill="1" applyBorder="1" applyAlignment="1">
      <alignment horizontal="center" vertical="center" wrapText="1" readingOrder="1"/>
    </xf>
    <xf numFmtId="0" fontId="8" fillId="2" borderId="3" xfId="0" applyFont="1" applyFill="1" applyBorder="1" applyAlignment="1">
      <alignment horizontal="center" vertical="center" wrapText="1" readingOrder="1"/>
    </xf>
    <xf numFmtId="9" fontId="10" fillId="2" borderId="3" xfId="2" applyFont="1" applyFill="1" applyBorder="1" applyAlignment="1">
      <alignment horizontal="center" vertical="center" wrapText="1" readingOrder="1"/>
    </xf>
    <xf numFmtId="0" fontId="6" fillId="2" borderId="3" xfId="0" applyFont="1" applyFill="1" applyBorder="1" applyAlignment="1">
      <alignment horizontal="left" vertical="center" wrapText="1" readingOrder="1"/>
    </xf>
    <xf numFmtId="166" fontId="5" fillId="2" borderId="3" xfId="1" quotePrefix="1" applyNumberFormat="1" applyFont="1" applyFill="1" applyBorder="1" applyAlignment="1">
      <alignment horizontal="center" vertical="center" readingOrder="1"/>
    </xf>
    <xf numFmtId="0" fontId="5" fillId="2" borderId="3" xfId="0" applyFont="1" applyFill="1" applyBorder="1" applyAlignment="1">
      <alignment horizontal="left" vertical="center" wrapText="1" readingOrder="1"/>
    </xf>
    <xf numFmtId="0" fontId="5" fillId="3" borderId="3" xfId="0" applyFont="1" applyFill="1" applyBorder="1" applyAlignment="1">
      <alignment horizontal="center" vertical="center" wrapText="1" readingOrder="1"/>
    </xf>
    <xf numFmtId="166" fontId="5" fillId="3" borderId="3" xfId="1" applyNumberFormat="1" applyFont="1" applyFill="1" applyBorder="1" applyAlignment="1">
      <alignment horizontal="center" vertical="center" wrapText="1" readingOrder="1"/>
    </xf>
    <xf numFmtId="9" fontId="6" fillId="3" borderId="3" xfId="2" applyFont="1" applyFill="1" applyBorder="1" applyAlignment="1">
      <alignment horizontal="center" vertical="center" wrapText="1" readingOrder="1"/>
    </xf>
    <xf numFmtId="9" fontId="6" fillId="2" borderId="3" xfId="2" applyFont="1" applyFill="1" applyBorder="1" applyAlignment="1">
      <alignment horizontal="center" vertical="center" wrapText="1" readingOrder="1"/>
    </xf>
    <xf numFmtId="0" fontId="18" fillId="0" borderId="3" xfId="0" applyFont="1" applyBorder="1" applyAlignment="1">
      <alignment vertical="center"/>
    </xf>
    <xf numFmtId="9" fontId="5" fillId="2" borderId="0" xfId="2" applyFont="1" applyFill="1" applyAlignment="1">
      <alignment horizontal="center" vertical="center"/>
    </xf>
    <xf numFmtId="166" fontId="8" fillId="0" borderId="0" xfId="1" applyNumberFormat="1" applyFont="1" applyAlignment="1">
      <alignment vertical="center"/>
    </xf>
    <xf numFmtId="0" fontId="18" fillId="0" borderId="0" xfId="0" applyFont="1" applyAlignment="1">
      <alignment horizontal="left" vertical="center"/>
    </xf>
    <xf numFmtId="0" fontId="19" fillId="0" borderId="3" xfId="0" applyFont="1" applyBorder="1" applyAlignment="1">
      <alignment horizontal="left" vertical="center"/>
    </xf>
    <xf numFmtId="0" fontId="18" fillId="0" borderId="3" xfId="0" applyFont="1" applyBorder="1" applyAlignment="1">
      <alignment horizontal="left" vertical="center"/>
    </xf>
    <xf numFmtId="0" fontId="18" fillId="0" borderId="3" xfId="0" applyFont="1" applyBorder="1" applyAlignment="1">
      <alignment horizontal="left" vertical="center" indent="1"/>
    </xf>
    <xf numFmtId="0" fontId="5" fillId="2" borderId="0" xfId="0" applyFont="1" applyFill="1" applyAlignment="1">
      <alignment horizontal="center" vertical="center" wrapText="1" readingOrder="1"/>
    </xf>
    <xf numFmtId="0" fontId="5" fillId="2" borderId="0" xfId="0" applyFont="1" applyFill="1" applyAlignment="1">
      <alignment horizontal="left" vertical="center" wrapText="1" readingOrder="1"/>
    </xf>
    <xf numFmtId="0" fontId="16" fillId="2" borderId="0" xfId="0" applyFont="1" applyFill="1" applyAlignment="1">
      <alignment horizontal="center" vertical="center" wrapText="1" readingOrder="1"/>
    </xf>
    <xf numFmtId="166" fontId="6" fillId="2" borderId="0" xfId="1" quotePrefix="1" applyNumberFormat="1" applyFont="1" applyFill="1" applyBorder="1" applyAlignment="1">
      <alignment horizontal="center" vertical="center" readingOrder="1"/>
    </xf>
    <xf numFmtId="166" fontId="29" fillId="2" borderId="0" xfId="1" quotePrefix="1" applyNumberFormat="1" applyFont="1" applyFill="1" applyBorder="1" applyAlignment="1">
      <alignment horizontal="center" vertical="center" readingOrder="1"/>
    </xf>
    <xf numFmtId="166" fontId="6" fillId="2" borderId="0" xfId="1" applyNumberFormat="1" applyFont="1" applyFill="1" applyBorder="1" applyAlignment="1">
      <alignment horizontal="left" vertical="center" wrapText="1" readingOrder="1"/>
    </xf>
    <xf numFmtId="9" fontId="6" fillId="2" borderId="0" xfId="2" applyFont="1" applyFill="1" applyBorder="1" applyAlignment="1">
      <alignment horizontal="center" vertical="center" wrapText="1" readingOrder="1"/>
    </xf>
    <xf numFmtId="166" fontId="5" fillId="0" borderId="3" xfId="1" applyNumberFormat="1" applyFont="1" applyFill="1" applyBorder="1" applyAlignment="1">
      <alignment horizontal="center" vertical="center" readingOrder="1"/>
    </xf>
    <xf numFmtId="9" fontId="5" fillId="2" borderId="3" xfId="2" applyFont="1" applyFill="1" applyBorder="1" applyAlignment="1">
      <alignment horizontal="center" vertical="center" wrapText="1" readingOrder="1"/>
    </xf>
    <xf numFmtId="168" fontId="5" fillId="2" borderId="3" xfId="2" applyNumberFormat="1" applyFont="1" applyFill="1" applyBorder="1" applyAlignment="1">
      <alignment horizontal="center" vertical="center" wrapText="1" readingOrder="1"/>
    </xf>
    <xf numFmtId="0" fontId="6" fillId="3" borderId="3" xfId="0" applyFont="1" applyFill="1" applyBorder="1" applyAlignment="1">
      <alignment horizontal="left" vertical="center" wrapText="1" readingOrder="1"/>
    </xf>
    <xf numFmtId="9" fontId="6" fillId="2" borderId="3" xfId="2" applyFont="1" applyFill="1" applyBorder="1" applyAlignment="1">
      <alignment horizontal="left" vertical="center" wrapText="1" readingOrder="1"/>
    </xf>
    <xf numFmtId="9" fontId="10" fillId="2" borderId="3" xfId="2" applyFont="1" applyFill="1" applyBorder="1" applyAlignment="1">
      <alignment horizontal="left" vertical="center" wrapText="1" readingOrder="1"/>
    </xf>
    <xf numFmtId="168" fontId="6" fillId="3" borderId="3" xfId="2" applyNumberFormat="1" applyFont="1" applyFill="1" applyBorder="1" applyAlignment="1">
      <alignment horizontal="center" vertical="center" wrapText="1" readingOrder="1"/>
    </xf>
    <xf numFmtId="0" fontId="8" fillId="0" borderId="0" xfId="0" applyFont="1" applyAlignment="1">
      <alignment horizontal="center" vertical="center"/>
    </xf>
    <xf numFmtId="1" fontId="5" fillId="0" borderId="0" xfId="2" applyNumberFormat="1" applyFont="1" applyAlignment="1">
      <alignment horizontal="center" vertical="center"/>
    </xf>
    <xf numFmtId="1" fontId="5" fillId="0" borderId="0" xfId="0" applyNumberFormat="1" applyFont="1" applyAlignment="1">
      <alignment horizontal="center" vertical="center"/>
    </xf>
    <xf numFmtId="0" fontId="30" fillId="2" borderId="0" xfId="0" applyFont="1" applyFill="1" applyAlignment="1">
      <alignment vertical="center"/>
    </xf>
    <xf numFmtId="0" fontId="30" fillId="9" borderId="0" xfId="0" applyFont="1" applyFill="1" applyAlignment="1">
      <alignment horizontal="center" vertical="center"/>
    </xf>
    <xf numFmtId="0" fontId="30" fillId="9" borderId="0" xfId="0" applyFont="1" applyFill="1" applyAlignment="1">
      <alignment vertical="center"/>
    </xf>
    <xf numFmtId="0" fontId="30" fillId="0" borderId="0" xfId="0" applyFont="1" applyAlignment="1">
      <alignment vertical="center"/>
    </xf>
    <xf numFmtId="0" fontId="26" fillId="2" borderId="0" xfId="0" applyFont="1" applyFill="1" applyAlignment="1">
      <alignment vertical="center"/>
    </xf>
    <xf numFmtId="0" fontId="26" fillId="9" borderId="0" xfId="0" applyFont="1" applyFill="1" applyAlignment="1">
      <alignment vertical="center"/>
    </xf>
    <xf numFmtId="0" fontId="26" fillId="0" borderId="0" xfId="0" applyFont="1" applyAlignment="1">
      <alignment vertical="center"/>
    </xf>
    <xf numFmtId="0" fontId="5" fillId="0" borderId="3" xfId="0" applyFont="1" applyBorder="1" applyAlignment="1">
      <alignment horizontal="left" vertical="center" wrapText="1"/>
    </xf>
    <xf numFmtId="166" fontId="5" fillId="3" borderId="3" xfId="1" applyNumberFormat="1" applyFont="1" applyFill="1" applyBorder="1" applyAlignment="1">
      <alignment vertical="center"/>
    </xf>
    <xf numFmtId="170" fontId="5" fillId="2" borderId="3" xfId="1" applyNumberFormat="1" applyFont="1" applyFill="1" applyBorder="1" applyAlignment="1">
      <alignment vertical="center"/>
    </xf>
    <xf numFmtId="43" fontId="5" fillId="2" borderId="3" xfId="1" quotePrefix="1" applyNumberFormat="1" applyFont="1" applyFill="1" applyBorder="1" applyAlignment="1">
      <alignment horizontal="center" vertical="center" readingOrder="1"/>
    </xf>
    <xf numFmtId="49" fontId="36" fillId="2" borderId="3" xfId="1" applyNumberFormat="1" applyFont="1" applyFill="1" applyBorder="1" applyAlignment="1">
      <alignment horizontal="center" vertical="center"/>
    </xf>
    <xf numFmtId="166" fontId="36" fillId="2" borderId="3" xfId="1" applyNumberFormat="1" applyFont="1" applyFill="1" applyBorder="1" applyAlignment="1">
      <alignment vertical="center"/>
    </xf>
    <xf numFmtId="166" fontId="36" fillId="2" borderId="3" xfId="1" applyNumberFormat="1" applyFont="1" applyFill="1" applyBorder="1" applyAlignment="1">
      <alignment horizontal="center" vertical="center"/>
    </xf>
    <xf numFmtId="49" fontId="32" fillId="2" borderId="3" xfId="1" applyNumberFormat="1" applyFont="1" applyFill="1" applyBorder="1" applyAlignment="1">
      <alignment horizontal="center" vertical="center"/>
    </xf>
    <xf numFmtId="166" fontId="32" fillId="2" borderId="3" xfId="1" applyNumberFormat="1" applyFont="1" applyFill="1" applyBorder="1" applyAlignment="1">
      <alignment vertical="center"/>
    </xf>
    <xf numFmtId="166" fontId="32" fillId="2" borderId="3" xfId="1" applyNumberFormat="1" applyFont="1" applyFill="1" applyBorder="1" applyAlignment="1">
      <alignment horizontal="center" vertical="center"/>
    </xf>
    <xf numFmtId="0" fontId="32" fillId="0" borderId="3" xfId="0" applyFont="1" applyBorder="1" applyAlignment="1">
      <alignment horizontal="left" vertical="center" wrapText="1"/>
    </xf>
    <xf numFmtId="1" fontId="32" fillId="0" borderId="14" xfId="0" applyNumberFormat="1" applyFont="1" applyBorder="1" applyAlignment="1">
      <alignment horizontal="center" vertical="center"/>
    </xf>
    <xf numFmtId="0" fontId="32" fillId="0" borderId="3" xfId="0" applyFont="1" applyBorder="1" applyAlignment="1">
      <alignment horizontal="center" vertical="center" wrapText="1"/>
    </xf>
    <xf numFmtId="1" fontId="36" fillId="0" borderId="8" xfId="0" quotePrefix="1" applyNumberFormat="1" applyFont="1" applyBorder="1" applyAlignment="1">
      <alignment horizontal="center" vertical="center"/>
    </xf>
    <xf numFmtId="166" fontId="32" fillId="0" borderId="3" xfId="1" applyNumberFormat="1" applyFont="1" applyFill="1" applyBorder="1" applyAlignment="1">
      <alignment vertical="center"/>
    </xf>
    <xf numFmtId="0" fontId="36" fillId="0" borderId="3" xfId="0" applyFont="1" applyBorder="1" applyAlignment="1">
      <alignment horizontal="left" vertical="center" wrapText="1"/>
    </xf>
    <xf numFmtId="49" fontId="36" fillId="0" borderId="3" xfId="1" applyNumberFormat="1" applyFont="1" applyFill="1" applyBorder="1" applyAlignment="1">
      <alignment horizontal="center" vertical="center"/>
    </xf>
    <xf numFmtId="166" fontId="36" fillId="0" borderId="3" xfId="1" applyNumberFormat="1" applyFont="1" applyFill="1" applyBorder="1" applyAlignment="1">
      <alignment vertical="center"/>
    </xf>
    <xf numFmtId="166" fontId="36" fillId="0" borderId="3" xfId="1" applyNumberFormat="1" applyFont="1" applyFill="1" applyBorder="1" applyAlignment="1">
      <alignment horizontal="center" vertical="center"/>
    </xf>
    <xf numFmtId="49" fontId="32" fillId="0" borderId="3" xfId="1" applyNumberFormat="1" applyFont="1" applyFill="1" applyBorder="1" applyAlignment="1">
      <alignment horizontal="center" vertical="center"/>
    </xf>
    <xf numFmtId="166" fontId="32" fillId="0" borderId="3" xfId="1" applyNumberFormat="1" applyFont="1" applyFill="1" applyBorder="1" applyAlignment="1">
      <alignment horizontal="center" vertical="center"/>
    </xf>
    <xf numFmtId="49" fontId="36" fillId="23" borderId="3" xfId="1" applyNumberFormat="1" applyFont="1" applyFill="1" applyBorder="1" applyAlignment="1">
      <alignment horizontal="center" vertical="center"/>
    </xf>
    <xf numFmtId="166" fontId="36" fillId="23" borderId="3" xfId="1" applyNumberFormat="1" applyFont="1" applyFill="1" applyBorder="1" applyAlignment="1">
      <alignment vertical="center"/>
    </xf>
    <xf numFmtId="166" fontId="36" fillId="23" borderId="3" xfId="1" applyNumberFormat="1" applyFont="1" applyFill="1" applyBorder="1" applyAlignment="1">
      <alignment horizontal="center" vertical="center"/>
    </xf>
    <xf numFmtId="166" fontId="32" fillId="23" borderId="3" xfId="1" applyNumberFormat="1" applyFont="1" applyFill="1" applyBorder="1" applyAlignment="1">
      <alignment horizontal="center" vertical="center"/>
    </xf>
    <xf numFmtId="173" fontId="32" fillId="0" borderId="3" xfId="275" applyFont="1" applyBorder="1" applyAlignment="1">
      <alignment horizontal="left"/>
    </xf>
    <xf numFmtId="43" fontId="5" fillId="0" borderId="3" xfId="1" quotePrefix="1" applyNumberFormat="1" applyFont="1" applyFill="1" applyBorder="1" applyAlignment="1">
      <alignment horizontal="center" vertical="center" readingOrder="1"/>
    </xf>
    <xf numFmtId="179" fontId="32" fillId="2" borderId="3" xfId="10" applyNumberFormat="1" applyFont="1" applyFill="1" applyBorder="1" applyAlignment="1">
      <alignment vertical="center" wrapText="1"/>
    </xf>
    <xf numFmtId="179" fontId="32" fillId="2" borderId="3" xfId="1" applyNumberFormat="1" applyFont="1" applyFill="1" applyBorder="1" applyAlignment="1">
      <alignment vertical="center" wrapText="1"/>
    </xf>
    <xf numFmtId="166" fontId="32" fillId="2" borderId="3" xfId="1" applyNumberFormat="1" applyFont="1" applyFill="1" applyBorder="1" applyAlignment="1">
      <alignment horizontal="left" vertical="center" wrapText="1"/>
    </xf>
    <xf numFmtId="0" fontId="5" fillId="24" borderId="0" xfId="0" applyFont="1" applyFill="1" applyAlignment="1">
      <alignment vertical="center"/>
    </xf>
    <xf numFmtId="0" fontId="32" fillId="24" borderId="3" xfId="0" applyFont="1" applyFill="1" applyBorder="1" applyAlignment="1">
      <alignment horizontal="left"/>
    </xf>
    <xf numFmtId="166" fontId="36" fillId="0" borderId="3" xfId="1" applyNumberFormat="1" applyFont="1" applyFill="1" applyBorder="1" applyAlignment="1">
      <alignment horizontal="left" vertical="center"/>
    </xf>
    <xf numFmtId="166" fontId="13" fillId="0" borderId="3" xfId="1" applyNumberFormat="1" applyFont="1" applyBorder="1" applyAlignment="1">
      <alignment vertical="center"/>
    </xf>
    <xf numFmtId="0" fontId="32" fillId="0" borderId="3" xfId="0" applyFont="1" applyBorder="1" applyAlignment="1">
      <alignment vertical="center" wrapText="1"/>
    </xf>
    <xf numFmtId="0" fontId="13" fillId="0" borderId="3" xfId="0" applyFont="1" applyBorder="1" applyAlignment="1">
      <alignment vertical="center" wrapText="1"/>
    </xf>
    <xf numFmtId="0" fontId="38" fillId="2" borderId="3" xfId="0" applyFont="1" applyFill="1" applyBorder="1" applyAlignment="1" applyProtection="1">
      <alignment vertical="center" wrapText="1"/>
      <protection locked="0"/>
    </xf>
    <xf numFmtId="0" fontId="13" fillId="9" borderId="0" xfId="0" applyFont="1" applyFill="1" applyAlignment="1">
      <alignment horizontal="center" vertical="center" wrapText="1"/>
    </xf>
    <xf numFmtId="0" fontId="13" fillId="9" borderId="0" xfId="0" applyFont="1" applyFill="1" applyAlignment="1">
      <alignment horizontal="center" vertical="center"/>
    </xf>
    <xf numFmtId="0" fontId="38" fillId="2" borderId="0" xfId="0" applyFont="1" applyFill="1" applyAlignment="1">
      <alignment horizontal="center" vertical="center" wrapText="1"/>
    </xf>
    <xf numFmtId="0" fontId="38" fillId="0" borderId="0" xfId="0" applyFont="1" applyAlignment="1">
      <alignment horizontal="center" vertical="center" wrapText="1"/>
    </xf>
    <xf numFmtId="0" fontId="38" fillId="3" borderId="3" xfId="1" applyNumberFormat="1" applyFont="1" applyFill="1" applyBorder="1" applyAlignment="1">
      <alignment horizontal="center" vertical="center" wrapText="1"/>
    </xf>
    <xf numFmtId="166" fontId="38" fillId="3" borderId="3" xfId="1" applyNumberFormat="1" applyFont="1" applyFill="1" applyBorder="1" applyAlignment="1">
      <alignment horizontal="center" vertical="center" wrapText="1"/>
    </xf>
    <xf numFmtId="0" fontId="13" fillId="3" borderId="3" xfId="0" applyFont="1" applyFill="1" applyBorder="1" applyAlignment="1">
      <alignment horizontal="center" vertical="center"/>
    </xf>
    <xf numFmtId="0" fontId="13" fillId="3" borderId="3" xfId="0" applyFont="1" applyFill="1" applyBorder="1" applyAlignment="1">
      <alignment horizontal="center" vertical="center" wrapText="1"/>
    </xf>
    <xf numFmtId="166" fontId="13" fillId="3" borderId="3" xfId="1" applyNumberFormat="1" applyFont="1" applyFill="1" applyBorder="1" applyAlignment="1" applyProtection="1">
      <alignment horizontal="center" vertical="center" wrapText="1"/>
    </xf>
    <xf numFmtId="166" fontId="13" fillId="3" borderId="3" xfId="1" applyNumberFormat="1" applyFont="1" applyFill="1" applyBorder="1" applyAlignment="1">
      <alignment horizontal="center" vertical="center"/>
    </xf>
    <xf numFmtId="166" fontId="39" fillId="3" borderId="3" xfId="1" applyNumberFormat="1" applyFont="1" applyFill="1" applyBorder="1" applyAlignment="1" applyProtection="1">
      <alignment horizontal="center" vertical="center" wrapText="1"/>
    </xf>
    <xf numFmtId="0" fontId="13" fillId="2" borderId="0" xfId="0" applyFont="1" applyFill="1" applyAlignment="1">
      <alignment horizontal="center" vertical="center"/>
    </xf>
    <xf numFmtId="0" fontId="13" fillId="0" borderId="0" xfId="0" applyFont="1" applyAlignment="1">
      <alignment horizontal="center" vertical="center"/>
    </xf>
    <xf numFmtId="0" fontId="38" fillId="4" borderId="3" xfId="0" applyFont="1" applyFill="1" applyBorder="1" applyAlignment="1">
      <alignment horizontal="center" vertical="center" wrapText="1"/>
    </xf>
    <xf numFmtId="0" fontId="38" fillId="4" borderId="3" xfId="0" applyFont="1" applyFill="1" applyBorder="1" applyAlignment="1">
      <alignment horizontal="left" vertical="center"/>
    </xf>
    <xf numFmtId="166" fontId="38" fillId="4" borderId="3" xfId="1" applyNumberFormat="1" applyFont="1" applyFill="1" applyBorder="1" applyAlignment="1">
      <alignment horizontal="center" vertical="center" wrapText="1"/>
    </xf>
    <xf numFmtId="166" fontId="38" fillId="4" borderId="3" xfId="1" applyNumberFormat="1" applyFont="1" applyFill="1" applyBorder="1" applyAlignment="1">
      <alignment vertical="center"/>
    </xf>
    <xf numFmtId="166" fontId="38" fillId="4" borderId="3" xfId="1" applyNumberFormat="1" applyFont="1" applyFill="1" applyBorder="1" applyAlignment="1">
      <alignment horizontal="center" vertical="center"/>
    </xf>
    <xf numFmtId="0" fontId="13" fillId="9" borderId="0" xfId="0" applyFont="1" applyFill="1" applyAlignment="1">
      <alignment horizontal="left" vertical="center"/>
    </xf>
    <xf numFmtId="0" fontId="13" fillId="9" borderId="0" xfId="0" applyFont="1" applyFill="1" applyAlignment="1">
      <alignment vertical="center"/>
    </xf>
    <xf numFmtId="0" fontId="13" fillId="24" borderId="0" xfId="0" applyFont="1" applyFill="1" applyAlignment="1">
      <alignment vertical="center"/>
    </xf>
    <xf numFmtId="0" fontId="13" fillId="2" borderId="0" xfId="0" applyFont="1" applyFill="1" applyAlignment="1">
      <alignment vertical="center"/>
    </xf>
    <xf numFmtId="0" fontId="13" fillId="0" borderId="0" xfId="0" applyFont="1" applyAlignment="1">
      <alignment vertical="center"/>
    </xf>
    <xf numFmtId="0" fontId="38" fillId="8" borderId="3" xfId="0" applyFont="1" applyFill="1" applyBorder="1" applyAlignment="1">
      <alignment horizontal="center" vertical="center"/>
    </xf>
    <xf numFmtId="0" fontId="38" fillId="8" borderId="3" xfId="0" applyFont="1" applyFill="1" applyBorder="1" applyAlignment="1">
      <alignment horizontal="left" vertical="center" wrapText="1"/>
    </xf>
    <xf numFmtId="0" fontId="38" fillId="8" borderId="3" xfId="0" applyFont="1" applyFill="1" applyBorder="1" applyAlignment="1">
      <alignment horizontal="center" vertical="center" wrapText="1"/>
    </xf>
    <xf numFmtId="166" fontId="38" fillId="8" borderId="3" xfId="1" applyNumberFormat="1" applyFont="1" applyFill="1" applyBorder="1" applyAlignment="1">
      <alignment horizontal="center" vertical="center" wrapText="1"/>
    </xf>
    <xf numFmtId="166" fontId="38" fillId="8" borderId="3" xfId="1" applyNumberFormat="1" applyFont="1" applyFill="1" applyBorder="1" applyAlignment="1">
      <alignment vertical="center"/>
    </xf>
    <xf numFmtId="0" fontId="38" fillId="7" borderId="3" xfId="0" applyFont="1" applyFill="1" applyBorder="1" applyAlignment="1">
      <alignment horizontal="center" vertical="center"/>
    </xf>
    <xf numFmtId="0" fontId="38" fillId="7" borderId="3" xfId="0" applyFont="1" applyFill="1" applyBorder="1" applyAlignment="1">
      <alignment vertical="center" wrapText="1"/>
    </xf>
    <xf numFmtId="0" fontId="38" fillId="7" borderId="3" xfId="0" applyFont="1" applyFill="1" applyBorder="1" applyAlignment="1">
      <alignment horizontal="center" vertical="center" wrapText="1"/>
    </xf>
    <xf numFmtId="166" fontId="38" fillId="7" borderId="3" xfId="1" applyNumberFormat="1" applyFont="1" applyFill="1" applyBorder="1" applyAlignment="1">
      <alignment vertical="center"/>
    </xf>
    <xf numFmtId="0" fontId="38" fillId="2" borderId="0" xfId="0" applyFont="1" applyFill="1" applyAlignment="1">
      <alignment horizontal="center" vertical="center"/>
    </xf>
    <xf numFmtId="0" fontId="38" fillId="0" borderId="0" xfId="0" applyFont="1" applyAlignment="1">
      <alignment horizontal="center" vertical="center"/>
    </xf>
    <xf numFmtId="0" fontId="38" fillId="2" borderId="0" xfId="0" applyFont="1" applyFill="1" applyAlignment="1">
      <alignment vertical="center"/>
    </xf>
    <xf numFmtId="0" fontId="38" fillId="24" borderId="0" xfId="0" applyFont="1" applyFill="1" applyAlignment="1">
      <alignment vertical="center"/>
    </xf>
    <xf numFmtId="0" fontId="38" fillId="0" borderId="0" xfId="0" applyFont="1" applyAlignment="1">
      <alignment vertical="center"/>
    </xf>
    <xf numFmtId="0" fontId="38" fillId="2" borderId="3" xfId="0" applyFont="1" applyFill="1" applyBorder="1" applyAlignment="1" applyProtection="1">
      <alignment horizontal="center" vertical="center"/>
      <protection locked="0"/>
    </xf>
    <xf numFmtId="0" fontId="38" fillId="2" borderId="3" xfId="0" applyFont="1" applyFill="1" applyBorder="1" applyAlignment="1">
      <alignment vertical="center" wrapText="1"/>
    </xf>
    <xf numFmtId="166" fontId="38" fillId="2" borderId="3" xfId="1" applyNumberFormat="1" applyFont="1" applyFill="1" applyBorder="1" applyAlignment="1">
      <alignment horizontal="center" vertical="center"/>
    </xf>
    <xf numFmtId="166" fontId="38" fillId="2" borderId="3" xfId="1" applyNumberFormat="1" applyFont="1" applyFill="1" applyBorder="1" applyAlignment="1">
      <alignment vertical="center"/>
    </xf>
    <xf numFmtId="0" fontId="38" fillId="2" borderId="3" xfId="0" applyFont="1" applyFill="1" applyBorder="1" applyAlignment="1">
      <alignment horizontal="center" vertical="center"/>
    </xf>
    <xf numFmtId="0" fontId="40" fillId="2" borderId="0" xfId="0" applyFont="1" applyFill="1" applyAlignment="1">
      <alignment horizontal="center" vertical="center"/>
    </xf>
    <xf numFmtId="0" fontId="40" fillId="2" borderId="0" xfId="0" applyFont="1" applyFill="1" applyAlignment="1">
      <alignment vertical="center"/>
    </xf>
    <xf numFmtId="0" fontId="40" fillId="24" borderId="0" xfId="0" applyFont="1" applyFill="1" applyAlignment="1">
      <alignment vertical="center"/>
    </xf>
    <xf numFmtId="0" fontId="13" fillId="2" borderId="3" xfId="0" applyFont="1" applyFill="1" applyBorder="1" applyAlignment="1">
      <alignment vertical="center" wrapText="1"/>
    </xf>
    <xf numFmtId="166" fontId="13" fillId="2" borderId="3" xfId="1" applyNumberFormat="1" applyFont="1" applyFill="1" applyBorder="1" applyAlignment="1">
      <alignment horizontal="center" vertical="center"/>
    </xf>
    <xf numFmtId="166" fontId="13" fillId="2" borderId="3" xfId="1" applyNumberFormat="1" applyFont="1" applyFill="1" applyBorder="1" applyAlignment="1">
      <alignment vertical="center"/>
    </xf>
    <xf numFmtId="0" fontId="13" fillId="2" borderId="3" xfId="0" applyFont="1" applyFill="1" applyBorder="1" applyAlignment="1">
      <alignment horizontal="center" vertical="center"/>
    </xf>
    <xf numFmtId="0" fontId="13" fillId="2" borderId="3" xfId="0" applyFont="1" applyFill="1" applyBorder="1" applyAlignment="1" applyProtection="1">
      <alignment horizontal="center" vertical="center" wrapText="1"/>
      <protection locked="0"/>
    </xf>
    <xf numFmtId="43" fontId="32" fillId="0" borderId="3" xfId="0" applyNumberFormat="1" applyFont="1" applyBorder="1" applyAlignment="1">
      <alignment horizontal="center" vertical="center" wrapText="1"/>
    </xf>
    <xf numFmtId="166" fontId="13" fillId="0" borderId="3" xfId="1" applyNumberFormat="1" applyFont="1" applyFill="1" applyBorder="1" applyAlignment="1">
      <alignment vertical="center"/>
    </xf>
    <xf numFmtId="0" fontId="38" fillId="2" borderId="3" xfId="0" applyFont="1" applyFill="1" applyBorder="1" applyAlignment="1">
      <alignment horizontal="center" vertical="center" wrapText="1"/>
    </xf>
    <xf numFmtId="166" fontId="32" fillId="0" borderId="3" xfId="1" applyNumberFormat="1" applyFont="1" applyFill="1" applyBorder="1" applyAlignment="1">
      <alignment horizontal="center" vertical="center" wrapText="1"/>
    </xf>
    <xf numFmtId="0" fontId="13" fillId="2" borderId="3" xfId="0" applyFont="1" applyFill="1" applyBorder="1" applyAlignment="1" applyProtection="1">
      <alignment horizontal="center" vertical="center"/>
      <protection locked="0"/>
    </xf>
    <xf numFmtId="166" fontId="32" fillId="3" borderId="3" xfId="1" applyNumberFormat="1" applyFont="1" applyFill="1" applyBorder="1" applyAlignment="1">
      <alignment horizontal="center" vertical="center" wrapText="1"/>
    </xf>
    <xf numFmtId="0" fontId="38" fillId="24" borderId="0" xfId="0" quotePrefix="1" applyFont="1" applyFill="1" applyAlignment="1">
      <alignment vertical="center"/>
    </xf>
    <xf numFmtId="0" fontId="38" fillId="2" borderId="3" xfId="0" applyFont="1" applyFill="1" applyBorder="1" applyAlignment="1" applyProtection="1">
      <alignment vertical="center"/>
      <protection locked="0"/>
    </xf>
    <xf numFmtId="166" fontId="38" fillId="2" borderId="3" xfId="1" applyNumberFormat="1" applyFont="1" applyFill="1" applyBorder="1" applyAlignment="1">
      <alignment horizontal="right" vertical="center"/>
    </xf>
    <xf numFmtId="0" fontId="41" fillId="0" borderId="0" xfId="0" applyFont="1" applyAlignment="1">
      <alignment horizontal="center" vertical="center"/>
    </xf>
    <xf numFmtId="0" fontId="41" fillId="2" borderId="0" xfId="0" applyFont="1" applyFill="1" applyAlignment="1">
      <alignment horizontal="center" vertical="center"/>
    </xf>
    <xf numFmtId="0" fontId="42" fillId="2" borderId="0" xfId="0" applyFont="1" applyFill="1" applyAlignment="1">
      <alignment horizontal="center" vertical="center"/>
    </xf>
    <xf numFmtId="0" fontId="42" fillId="2" borderId="0" xfId="0" applyFont="1" applyFill="1" applyAlignment="1">
      <alignment vertical="center"/>
    </xf>
    <xf numFmtId="0" fontId="42" fillId="24" borderId="0" xfId="0" applyFont="1" applyFill="1" applyAlignment="1">
      <alignment vertical="center"/>
    </xf>
    <xf numFmtId="0" fontId="13" fillId="2" borderId="3" xfId="0" applyFont="1" applyFill="1" applyBorder="1" applyAlignment="1" applyProtection="1">
      <alignment vertical="center" wrapText="1"/>
      <protection locked="0"/>
    </xf>
    <xf numFmtId="0" fontId="41" fillId="2" borderId="0" xfId="0" applyFont="1" applyFill="1" applyAlignment="1">
      <alignment vertical="center"/>
    </xf>
    <xf numFmtId="0" fontId="41" fillId="24" borderId="0" xfId="0" applyFont="1" applyFill="1" applyAlignment="1">
      <alignment vertical="center"/>
    </xf>
    <xf numFmtId="43" fontId="32" fillId="0" borderId="3" xfId="0" applyNumberFormat="1" applyFont="1" applyBorder="1" applyAlignment="1">
      <alignment vertical="center" wrapText="1"/>
    </xf>
    <xf numFmtId="0" fontId="42" fillId="0" borderId="0" xfId="0" applyFont="1" applyAlignment="1">
      <alignment horizontal="center" vertical="center"/>
    </xf>
    <xf numFmtId="0" fontId="42" fillId="0" borderId="0" xfId="0" applyFont="1" applyAlignment="1">
      <alignment vertical="center"/>
    </xf>
    <xf numFmtId="2" fontId="13" fillId="0" borderId="3" xfId="0" applyNumberFormat="1" applyFont="1" applyBorder="1" applyAlignment="1">
      <alignment vertical="center" wrapText="1"/>
    </xf>
    <xf numFmtId="167" fontId="13" fillId="2" borderId="3" xfId="1" applyNumberFormat="1" applyFont="1" applyFill="1" applyBorder="1" applyAlignment="1">
      <alignment vertical="center"/>
    </xf>
    <xf numFmtId="167" fontId="13" fillId="0" borderId="3" xfId="1" applyNumberFormat="1" applyFont="1" applyFill="1" applyBorder="1" applyAlignment="1">
      <alignment vertical="center"/>
    </xf>
    <xf numFmtId="0" fontId="41" fillId="3" borderId="0" xfId="0" applyFont="1" applyFill="1" applyAlignment="1">
      <alignment horizontal="center" vertical="center"/>
    </xf>
    <xf numFmtId="0" fontId="38" fillId="6" borderId="3" xfId="0" applyFont="1" applyFill="1" applyBorder="1" applyAlignment="1" applyProtection="1">
      <alignment horizontal="center" vertical="center"/>
      <protection locked="0"/>
    </xf>
    <xf numFmtId="0" fontId="38" fillId="6" borderId="3" xfId="0" applyFont="1" applyFill="1" applyBorder="1" applyAlignment="1" applyProtection="1">
      <alignment vertical="center" wrapText="1"/>
      <protection locked="0"/>
    </xf>
    <xf numFmtId="0" fontId="38" fillId="6" borderId="3" xfId="0" applyFont="1" applyFill="1" applyBorder="1" applyAlignment="1">
      <alignment horizontal="center" vertical="center" wrapText="1"/>
    </xf>
    <xf numFmtId="166" fontId="38" fillId="6" borderId="3" xfId="1" applyNumberFormat="1" applyFont="1" applyFill="1" applyBorder="1" applyAlignment="1">
      <alignment vertical="center"/>
    </xf>
    <xf numFmtId="166" fontId="38" fillId="6" borderId="3" xfId="1" applyNumberFormat="1" applyFont="1" applyFill="1" applyBorder="1" applyAlignment="1">
      <alignment horizontal="right" vertical="center"/>
    </xf>
    <xf numFmtId="166" fontId="38" fillId="6" borderId="3" xfId="0" applyNumberFormat="1" applyFont="1" applyFill="1" applyBorder="1" applyAlignment="1">
      <alignment vertical="center"/>
    </xf>
    <xf numFmtId="166" fontId="42" fillId="0" borderId="0" xfId="0" applyNumberFormat="1" applyFont="1" applyAlignment="1">
      <alignment horizontal="center" vertical="center"/>
    </xf>
    <xf numFmtId="170" fontId="42" fillId="24" borderId="0" xfId="1" applyNumberFormat="1" applyFont="1" applyFill="1" applyAlignment="1">
      <alignment vertical="center"/>
    </xf>
    <xf numFmtId="166" fontId="41" fillId="2" borderId="0" xfId="0" applyNumberFormat="1" applyFont="1" applyFill="1" applyAlignment="1">
      <alignment horizontal="center" vertical="center"/>
    </xf>
    <xf numFmtId="166" fontId="41" fillId="2" borderId="0" xfId="0" applyNumberFormat="1" applyFont="1" applyFill="1" applyAlignment="1">
      <alignment vertical="center"/>
    </xf>
    <xf numFmtId="170" fontId="41" fillId="24" borderId="0" xfId="1" applyNumberFormat="1" applyFont="1" applyFill="1" applyAlignment="1">
      <alignment vertical="center"/>
    </xf>
    <xf numFmtId="0" fontId="38" fillId="2" borderId="3" xfId="0" applyFont="1" applyFill="1" applyBorder="1" applyAlignment="1" applyProtection="1">
      <alignment horizontal="center" vertical="center" wrapText="1"/>
      <protection locked="0"/>
    </xf>
    <xf numFmtId="166" fontId="42" fillId="2" borderId="0" xfId="0" applyNumberFormat="1" applyFont="1" applyFill="1" applyAlignment="1">
      <alignment vertical="center"/>
    </xf>
    <xf numFmtId="170" fontId="41" fillId="2" borderId="0" xfId="1" applyNumberFormat="1" applyFont="1" applyFill="1" applyAlignment="1">
      <alignment vertical="center"/>
    </xf>
    <xf numFmtId="166" fontId="38" fillId="2" borderId="3" xfId="3" applyNumberFormat="1" applyFont="1" applyFill="1" applyBorder="1" applyAlignment="1">
      <alignment horizontal="right" vertical="center"/>
    </xf>
    <xf numFmtId="0" fontId="38" fillId="9" borderId="3" xfId="0" applyFont="1" applyFill="1" applyBorder="1" applyAlignment="1" applyProtection="1">
      <alignment horizontal="center" vertical="center"/>
      <protection locked="0"/>
    </xf>
    <xf numFmtId="0" fontId="38" fillId="9" borderId="3" xfId="0" applyFont="1" applyFill="1" applyBorder="1" applyAlignment="1" applyProtection="1">
      <alignment vertical="center" wrapText="1"/>
      <protection locked="0"/>
    </xf>
    <xf numFmtId="0" fontId="38" fillId="9" borderId="3" xfId="0" applyFont="1" applyFill="1" applyBorder="1" applyAlignment="1">
      <alignment horizontal="center" vertical="center" wrapText="1"/>
    </xf>
    <xf numFmtId="166" fontId="38" fillId="9" borderId="3" xfId="1" applyNumberFormat="1" applyFont="1" applyFill="1" applyBorder="1" applyAlignment="1">
      <alignment vertical="center"/>
    </xf>
    <xf numFmtId="166" fontId="38" fillId="9" borderId="3" xfId="1" applyNumberFormat="1" applyFont="1" applyFill="1" applyBorder="1" applyAlignment="1">
      <alignment horizontal="right" vertical="center"/>
    </xf>
    <xf numFmtId="166" fontId="38" fillId="9" borderId="3" xfId="0" applyNumberFormat="1" applyFont="1" applyFill="1" applyBorder="1" applyAlignment="1">
      <alignment vertical="center"/>
    </xf>
    <xf numFmtId="166" fontId="13" fillId="0" borderId="3" xfId="1" applyNumberFormat="1" applyFont="1" applyFill="1" applyBorder="1" applyAlignment="1">
      <alignment horizontal="center" vertical="center"/>
    </xf>
    <xf numFmtId="0" fontId="38" fillId="2" borderId="3" xfId="0" applyFont="1" applyFill="1" applyBorder="1" applyAlignment="1">
      <alignment vertical="center"/>
    </xf>
    <xf numFmtId="0" fontId="13" fillId="2" borderId="3" xfId="0" applyFont="1" applyFill="1" applyBorder="1" applyAlignment="1">
      <alignment vertical="center"/>
    </xf>
    <xf numFmtId="166" fontId="38" fillId="2" borderId="3" xfId="3" applyNumberFormat="1" applyFont="1" applyFill="1" applyBorder="1" applyAlignment="1">
      <alignment horizontal="center" vertical="center"/>
    </xf>
    <xf numFmtId="0" fontId="38" fillId="12" borderId="3" xfId="0" applyFont="1" applyFill="1" applyBorder="1" applyAlignment="1" applyProtection="1">
      <alignment horizontal="center" vertical="center"/>
      <protection locked="0"/>
    </xf>
    <xf numFmtId="0" fontId="38" fillId="12" borderId="3" xfId="0" applyFont="1" applyFill="1" applyBorder="1" applyAlignment="1" applyProtection="1">
      <alignment vertical="center" wrapText="1"/>
      <protection locked="0"/>
    </xf>
    <xf numFmtId="0" fontId="38" fillId="12" borderId="3" xfId="0" applyFont="1" applyFill="1" applyBorder="1" applyAlignment="1">
      <alignment horizontal="center" vertical="center" wrapText="1"/>
    </xf>
    <xf numFmtId="166" fontId="38" fillId="12" borderId="3" xfId="1" applyNumberFormat="1" applyFont="1" applyFill="1" applyBorder="1" applyAlignment="1">
      <alignment vertical="center"/>
    </xf>
    <xf numFmtId="166" fontId="38" fillId="12" borderId="3" xfId="1" applyNumberFormat="1" applyFont="1" applyFill="1" applyBorder="1" applyAlignment="1">
      <alignment horizontal="right" vertical="center"/>
    </xf>
    <xf numFmtId="166" fontId="38" fillId="12" borderId="3" xfId="0" applyNumberFormat="1" applyFont="1" applyFill="1" applyBorder="1" applyAlignment="1">
      <alignment vertical="center"/>
    </xf>
    <xf numFmtId="0" fontId="41" fillId="2" borderId="3" xfId="0" applyFont="1" applyFill="1" applyBorder="1" applyAlignment="1">
      <alignment vertical="center"/>
    </xf>
    <xf numFmtId="0" fontId="13" fillId="0" borderId="3" xfId="0" applyFont="1" applyBorder="1" applyAlignment="1">
      <alignment vertical="center"/>
    </xf>
    <xf numFmtId="173" fontId="32" fillId="2" borderId="3" xfId="269" applyFont="1" applyFill="1" applyBorder="1"/>
    <xf numFmtId="173" fontId="32" fillId="2" borderId="3" xfId="269" applyFont="1" applyFill="1" applyBorder="1" applyAlignment="1">
      <alignment horizontal="left" vertical="center"/>
    </xf>
    <xf numFmtId="0" fontId="43" fillId="2" borderId="3" xfId="0" applyFont="1" applyFill="1" applyBorder="1" applyAlignment="1">
      <alignment horizontal="center" vertical="center"/>
    </xf>
    <xf numFmtId="166" fontId="38" fillId="2" borderId="3" xfId="1" applyNumberFormat="1" applyFont="1" applyFill="1" applyBorder="1" applyAlignment="1">
      <alignment horizontal="right" vertical="center" wrapText="1"/>
    </xf>
    <xf numFmtId="166" fontId="32" fillId="2" borderId="3" xfId="1" applyNumberFormat="1"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3" xfId="0" applyFont="1" applyFill="1" applyBorder="1" applyAlignment="1" applyProtection="1">
      <alignment vertical="center"/>
      <protection locked="0"/>
    </xf>
    <xf numFmtId="43" fontId="36" fillId="2" borderId="3" xfId="0" applyNumberFormat="1" applyFont="1" applyFill="1" applyBorder="1" applyAlignment="1">
      <alignment horizontal="left" vertical="center" wrapText="1"/>
    </xf>
    <xf numFmtId="0" fontId="13" fillId="2" borderId="3" xfId="0" applyFont="1" applyFill="1" applyBorder="1" applyAlignment="1">
      <alignment horizontal="center" vertical="center" wrapText="1"/>
    </xf>
    <xf numFmtId="166" fontId="13" fillId="2" borderId="3" xfId="14" applyNumberFormat="1" applyFont="1" applyFill="1" applyBorder="1" applyAlignment="1">
      <alignment vertical="center"/>
    </xf>
    <xf numFmtId="166" fontId="13" fillId="2" borderId="3" xfId="3" applyNumberFormat="1" applyFont="1" applyFill="1" applyBorder="1" applyAlignment="1">
      <alignment horizontal="right" vertical="center"/>
    </xf>
    <xf numFmtId="0" fontId="13" fillId="2" borderId="6" xfId="34" applyFont="1" applyFill="1" applyBorder="1" applyAlignment="1" applyProtection="1">
      <alignment vertical="center" wrapText="1"/>
    </xf>
    <xf numFmtId="0" fontId="38" fillId="2" borderId="6" xfId="0" applyFont="1" applyFill="1" applyBorder="1" applyAlignment="1">
      <alignment vertical="center" wrapText="1"/>
    </xf>
    <xf numFmtId="0" fontId="13" fillId="2" borderId="4" xfId="0" applyFont="1" applyFill="1" applyBorder="1" applyAlignment="1">
      <alignment vertical="center" wrapText="1"/>
    </xf>
    <xf numFmtId="0" fontId="13" fillId="2" borderId="3" xfId="242" applyFont="1" applyFill="1" applyBorder="1" applyAlignment="1">
      <alignment vertical="center" wrapText="1"/>
    </xf>
    <xf numFmtId="0" fontId="38" fillId="2" borderId="3" xfId="34" applyFont="1" applyFill="1" applyBorder="1" applyAlignment="1" applyProtection="1">
      <alignment horizontal="left" vertical="center" wrapText="1"/>
    </xf>
    <xf numFmtId="0" fontId="41" fillId="2" borderId="0" xfId="0" applyFont="1" applyFill="1" applyAlignment="1">
      <alignment horizontal="center" vertical="center" readingOrder="1"/>
    </xf>
    <xf numFmtId="0" fontId="32" fillId="2" borderId="3" xfId="0" applyFont="1" applyFill="1" applyBorder="1" applyAlignment="1">
      <alignment horizontal="left" vertical="center"/>
    </xf>
    <xf numFmtId="166" fontId="13" fillId="2" borderId="0" xfId="0" applyNumberFormat="1" applyFont="1" applyFill="1" applyAlignment="1">
      <alignment horizontal="center" vertical="center"/>
    </xf>
    <xf numFmtId="1" fontId="13" fillId="2" borderId="3" xfId="0" applyNumberFormat="1" applyFont="1" applyFill="1" applyBorder="1" applyAlignment="1">
      <alignment vertical="center" wrapText="1"/>
    </xf>
    <xf numFmtId="166" fontId="13" fillId="2" borderId="3" xfId="1" applyNumberFormat="1" applyFont="1" applyFill="1" applyBorder="1" applyAlignment="1">
      <alignment vertical="center" wrapText="1"/>
    </xf>
    <xf numFmtId="166" fontId="13" fillId="2" borderId="3" xfId="1" applyNumberFormat="1" applyFont="1" applyFill="1" applyBorder="1" applyAlignment="1" applyProtection="1">
      <alignment horizontal="justify" vertical="center" wrapText="1"/>
      <protection locked="0"/>
    </xf>
    <xf numFmtId="166" fontId="38" fillId="2" borderId="3" xfId="1" applyNumberFormat="1" applyFont="1" applyFill="1" applyBorder="1" applyAlignment="1" applyProtection="1">
      <alignment horizontal="justify" vertical="center" wrapText="1"/>
      <protection locked="0"/>
    </xf>
    <xf numFmtId="166" fontId="38" fillId="0" borderId="3" xfId="1" applyNumberFormat="1" applyFont="1" applyFill="1" applyBorder="1" applyAlignment="1">
      <alignment vertical="center"/>
    </xf>
    <xf numFmtId="166" fontId="38" fillId="0" borderId="3" xfId="1" applyNumberFormat="1" applyFont="1" applyFill="1" applyBorder="1" applyAlignment="1">
      <alignment horizontal="right" vertical="center"/>
    </xf>
    <xf numFmtId="0" fontId="38" fillId="5" borderId="3" xfId="0" applyFont="1" applyFill="1" applyBorder="1" applyAlignment="1" applyProtection="1">
      <alignment horizontal="center" vertical="center"/>
      <protection locked="0"/>
    </xf>
    <xf numFmtId="0" fontId="38" fillId="5" borderId="3" xfId="0" applyFont="1" applyFill="1" applyBorder="1" applyAlignment="1" applyProtection="1">
      <alignment vertical="center" wrapText="1"/>
      <protection locked="0"/>
    </xf>
    <xf numFmtId="0" fontId="38" fillId="5" borderId="3" xfId="0" applyFont="1" applyFill="1" applyBorder="1" applyAlignment="1">
      <alignment horizontal="center" vertical="center" wrapText="1"/>
    </xf>
    <xf numFmtId="166" fontId="38" fillId="5" borderId="3" xfId="1" applyNumberFormat="1" applyFont="1" applyFill="1" applyBorder="1" applyAlignment="1">
      <alignment vertical="center"/>
    </xf>
    <xf numFmtId="166" fontId="38" fillId="5" borderId="3" xfId="1" applyNumberFormat="1" applyFont="1" applyFill="1" applyBorder="1" applyAlignment="1">
      <alignment horizontal="right" vertical="center"/>
    </xf>
    <xf numFmtId="166" fontId="38" fillId="5" borderId="3" xfId="0" applyNumberFormat="1" applyFont="1" applyFill="1" applyBorder="1" applyAlignment="1">
      <alignment vertical="center"/>
    </xf>
    <xf numFmtId="166" fontId="13" fillId="0" borderId="0" xfId="0" applyNumberFormat="1" applyFont="1" applyAlignment="1">
      <alignment horizontal="center" vertical="center"/>
    </xf>
    <xf numFmtId="166" fontId="13" fillId="2" borderId="0" xfId="0" applyNumberFormat="1" applyFont="1" applyFill="1" applyAlignment="1">
      <alignment vertical="center"/>
    </xf>
    <xf numFmtId="170" fontId="13" fillId="24" borderId="0" xfId="1" applyNumberFormat="1" applyFont="1" applyFill="1" applyAlignment="1">
      <alignment vertical="center"/>
    </xf>
    <xf numFmtId="0" fontId="38" fillId="7" borderId="3" xfId="0" applyFont="1" applyFill="1" applyBorder="1" applyAlignment="1" applyProtection="1">
      <alignment horizontal="center" vertical="center"/>
      <protection locked="0"/>
    </xf>
    <xf numFmtId="0" fontId="38" fillId="7" borderId="3" xfId="0" applyFont="1" applyFill="1" applyBorder="1" applyAlignment="1" applyProtection="1">
      <alignment vertical="center" wrapText="1"/>
      <protection locked="0"/>
    </xf>
    <xf numFmtId="166" fontId="38" fillId="7" borderId="3" xfId="1" applyNumberFormat="1" applyFont="1" applyFill="1" applyBorder="1" applyAlignment="1">
      <alignment horizontal="right" vertical="center"/>
    </xf>
    <xf numFmtId="166" fontId="38" fillId="7" borderId="3" xfId="3" applyNumberFormat="1" applyFont="1" applyFill="1" applyBorder="1" applyAlignment="1">
      <alignment horizontal="right" vertical="center"/>
    </xf>
    <xf numFmtId="166" fontId="13" fillId="7" borderId="3" xfId="1" applyNumberFormat="1" applyFont="1" applyFill="1" applyBorder="1" applyAlignment="1">
      <alignment vertical="center"/>
    </xf>
    <xf numFmtId="166" fontId="38" fillId="6" borderId="3" xfId="3" applyNumberFormat="1" applyFont="1" applyFill="1" applyBorder="1" applyAlignment="1">
      <alignment horizontal="right" vertical="center"/>
    </xf>
    <xf numFmtId="166" fontId="41" fillId="0" borderId="0" xfId="0" applyNumberFormat="1" applyFont="1" applyAlignment="1">
      <alignment horizontal="center" vertical="center"/>
    </xf>
    <xf numFmtId="0" fontId="38" fillId="2" borderId="3" xfId="0" applyFont="1" applyFill="1" applyBorder="1" applyAlignment="1" applyProtection="1">
      <alignment horizontal="left" vertical="center"/>
      <protection locked="0"/>
    </xf>
    <xf numFmtId="165" fontId="38" fillId="2" borderId="3" xfId="6" applyNumberFormat="1" applyFont="1" applyFill="1" applyBorder="1" applyAlignment="1">
      <alignment horizontal="right" vertical="center" wrapText="1"/>
    </xf>
    <xf numFmtId="0" fontId="13" fillId="2" borderId="3" xfId="0" applyFont="1" applyFill="1" applyBorder="1" applyAlignment="1" applyProtection="1">
      <alignment horizontal="left" vertical="center"/>
      <protection locked="0"/>
    </xf>
    <xf numFmtId="166" fontId="38" fillId="12" borderId="3" xfId="3" applyNumberFormat="1" applyFont="1" applyFill="1" applyBorder="1" applyAlignment="1">
      <alignment horizontal="right" vertical="center"/>
    </xf>
    <xf numFmtId="171" fontId="41" fillId="0" borderId="0" xfId="0" applyNumberFormat="1" applyFont="1" applyAlignment="1">
      <alignment horizontal="center" vertical="center"/>
    </xf>
    <xf numFmtId="166" fontId="41" fillId="0" borderId="0" xfId="1" applyNumberFormat="1" applyFont="1" applyFill="1" applyBorder="1" applyAlignment="1">
      <alignment horizontal="center" vertical="center" wrapText="1" readingOrder="1"/>
    </xf>
    <xf numFmtId="0" fontId="43" fillId="2" borderId="3" xfId="0" applyFont="1" applyFill="1" applyBorder="1" applyAlignment="1" applyProtection="1">
      <alignment vertical="center" wrapText="1"/>
      <protection locked="0"/>
    </xf>
    <xf numFmtId="0" fontId="13" fillId="12" borderId="3" xfId="0" applyFont="1" applyFill="1" applyBorder="1" applyAlignment="1" applyProtection="1">
      <alignment vertical="center" wrapText="1"/>
      <protection locked="0"/>
    </xf>
    <xf numFmtId="0" fontId="13" fillId="12" borderId="3" xfId="0" applyFont="1" applyFill="1" applyBorder="1" applyAlignment="1">
      <alignment horizontal="center" vertical="center"/>
    </xf>
    <xf numFmtId="166" fontId="13" fillId="12" borderId="3" xfId="1" applyNumberFormat="1" applyFont="1" applyFill="1" applyBorder="1" applyAlignment="1">
      <alignment vertical="center"/>
    </xf>
    <xf numFmtId="166" fontId="37" fillId="12" borderId="3" xfId="1" applyNumberFormat="1" applyFont="1" applyFill="1" applyBorder="1" applyAlignment="1">
      <alignment horizontal="center" vertical="center"/>
    </xf>
    <xf numFmtId="0" fontId="41" fillId="12" borderId="0" xfId="0" applyFont="1" applyFill="1" applyAlignment="1">
      <alignment horizontal="center" vertical="center"/>
    </xf>
    <xf numFmtId="166" fontId="41" fillId="12" borderId="0" xfId="0" applyNumberFormat="1" applyFont="1" applyFill="1" applyAlignment="1">
      <alignment horizontal="center" vertical="center"/>
    </xf>
    <xf numFmtId="0" fontId="41" fillId="12" borderId="0" xfId="0" applyFont="1" applyFill="1" applyAlignment="1">
      <alignment vertical="center"/>
    </xf>
    <xf numFmtId="0" fontId="41" fillId="12" borderId="3" xfId="0" applyFont="1" applyFill="1" applyBorder="1" applyAlignment="1">
      <alignment vertical="center"/>
    </xf>
    <xf numFmtId="166" fontId="37" fillId="12" borderId="3" xfId="1" applyNumberFormat="1" applyFont="1" applyFill="1" applyBorder="1" applyAlignment="1">
      <alignment vertical="center"/>
    </xf>
    <xf numFmtId="0" fontId="41" fillId="0" borderId="0" xfId="0" applyFont="1" applyAlignment="1">
      <alignment horizontal="center" vertical="center" wrapText="1" readingOrder="1"/>
    </xf>
    <xf numFmtId="166" fontId="6" fillId="25" borderId="3" xfId="1" applyNumberFormat="1" applyFont="1" applyFill="1" applyBorder="1" applyAlignment="1">
      <alignment horizontal="left" vertical="center"/>
    </xf>
    <xf numFmtId="167" fontId="6" fillId="2" borderId="3" xfId="1" applyNumberFormat="1" applyFont="1" applyFill="1" applyBorder="1" applyAlignment="1">
      <alignment horizontal="left" vertical="center" wrapText="1" readingOrder="1"/>
    </xf>
    <xf numFmtId="167" fontId="6" fillId="3" borderId="3" xfId="1" applyNumberFormat="1" applyFont="1" applyFill="1" applyBorder="1" applyAlignment="1">
      <alignment horizontal="left" vertical="center" wrapText="1" readingOrder="1"/>
    </xf>
    <xf numFmtId="167" fontId="5" fillId="0" borderId="3" xfId="1" quotePrefix="1" applyNumberFormat="1" applyFont="1" applyFill="1" applyBorder="1" applyAlignment="1">
      <alignment horizontal="center" vertical="center" readingOrder="1"/>
    </xf>
    <xf numFmtId="167" fontId="5" fillId="0" borderId="3" xfId="1" applyNumberFormat="1" applyFont="1" applyFill="1" applyBorder="1" applyAlignment="1">
      <alignment horizontal="left" vertical="center" wrapText="1" readingOrder="1"/>
    </xf>
    <xf numFmtId="167" fontId="6" fillId="3" borderId="3" xfId="1" quotePrefix="1" applyNumberFormat="1" applyFont="1" applyFill="1" applyBorder="1" applyAlignment="1">
      <alignment horizontal="center" vertical="center" readingOrder="1"/>
    </xf>
    <xf numFmtId="167" fontId="5" fillId="2" borderId="3" xfId="1" applyNumberFormat="1" applyFont="1" applyFill="1" applyBorder="1" applyAlignment="1">
      <alignment horizontal="left" vertical="center" wrapText="1" readingOrder="1"/>
    </xf>
    <xf numFmtId="167" fontId="5" fillId="2" borderId="3" xfId="1" quotePrefix="1" applyNumberFormat="1" applyFont="1" applyFill="1" applyBorder="1" applyAlignment="1">
      <alignment horizontal="center" vertical="center" readingOrder="1"/>
    </xf>
    <xf numFmtId="168" fontId="6" fillId="2" borderId="3" xfId="2" applyNumberFormat="1" applyFont="1" applyFill="1" applyBorder="1" applyAlignment="1">
      <alignment horizontal="left" vertical="center" wrapText="1" readingOrder="1"/>
    </xf>
    <xf numFmtId="168" fontId="10" fillId="2" borderId="3" xfId="2" applyNumberFormat="1" applyFont="1" applyFill="1" applyBorder="1" applyAlignment="1">
      <alignment horizontal="left" vertical="center" wrapText="1" readingOrder="1"/>
    </xf>
    <xf numFmtId="168" fontId="5" fillId="0" borderId="3" xfId="2" applyNumberFormat="1" applyFont="1" applyFill="1" applyBorder="1" applyAlignment="1">
      <alignment horizontal="left" vertical="center" wrapText="1" readingOrder="1"/>
    </xf>
    <xf numFmtId="168" fontId="6" fillId="2" borderId="3" xfId="2" applyNumberFormat="1" applyFont="1" applyFill="1" applyBorder="1" applyAlignment="1">
      <alignment horizontal="center" vertical="center" wrapText="1" readingOrder="1"/>
    </xf>
    <xf numFmtId="168" fontId="5" fillId="2" borderId="3" xfId="2" applyNumberFormat="1" applyFont="1" applyFill="1" applyBorder="1" applyAlignment="1">
      <alignment horizontal="left" vertical="center" wrapText="1" readingOrder="1"/>
    </xf>
    <xf numFmtId="168" fontId="6" fillId="0" borderId="3" xfId="2" applyNumberFormat="1" applyFont="1" applyFill="1" applyBorder="1" applyAlignment="1">
      <alignment horizontal="center" vertical="center" wrapText="1" readingOrder="1"/>
    </xf>
    <xf numFmtId="9" fontId="10" fillId="2" borderId="3" xfId="1" applyNumberFormat="1" applyFont="1" applyFill="1" applyBorder="1" applyAlignment="1">
      <alignment horizontal="left" vertical="center" wrapText="1" readingOrder="1"/>
    </xf>
    <xf numFmtId="3" fontId="18" fillId="0" borderId="3" xfId="0" applyNumberFormat="1" applyFont="1" applyBorder="1" applyAlignment="1">
      <alignment vertical="center"/>
    </xf>
    <xf numFmtId="166" fontId="18" fillId="0" borderId="3" xfId="264" applyNumberFormat="1" applyFont="1" applyFill="1" applyBorder="1" applyAlignment="1">
      <alignment vertical="center" wrapText="1"/>
    </xf>
    <xf numFmtId="166" fontId="5" fillId="0" borderId="3" xfId="1" applyNumberFormat="1" applyFont="1" applyFill="1" applyBorder="1" applyAlignment="1">
      <alignment horizontal="center" vertical="center"/>
    </xf>
    <xf numFmtId="3" fontId="18" fillId="0" borderId="3" xfId="0" applyNumberFormat="1" applyFont="1" applyBorder="1" applyAlignment="1">
      <alignment vertical="center" wrapText="1"/>
    </xf>
    <xf numFmtId="166" fontId="5" fillId="2" borderId="3" xfId="1" applyNumberFormat="1" applyFont="1" applyFill="1" applyBorder="1" applyAlignment="1">
      <alignment horizontal="center" vertical="center"/>
    </xf>
    <xf numFmtId="43" fontId="5" fillId="0" borderId="3" xfId="1" applyFont="1" applyBorder="1" applyAlignment="1">
      <alignment horizontal="center" vertical="center" wrapText="1"/>
    </xf>
    <xf numFmtId="166" fontId="5" fillId="0" borderId="3" xfId="1" applyNumberFormat="1" applyFont="1" applyBorder="1" applyAlignment="1">
      <alignment horizontal="center" vertical="center" wrapText="1"/>
    </xf>
    <xf numFmtId="3" fontId="16" fillId="0" borderId="0" xfId="0" applyNumberFormat="1" applyFont="1" applyAlignment="1">
      <alignment vertical="center"/>
    </xf>
    <xf numFmtId="3" fontId="16" fillId="0" borderId="3" xfId="0" applyNumberFormat="1" applyFont="1" applyBorder="1" applyAlignment="1">
      <alignment vertical="center"/>
    </xf>
    <xf numFmtId="166" fontId="16" fillId="0" borderId="3" xfId="264" applyNumberFormat="1" applyFont="1" applyBorder="1" applyAlignment="1">
      <alignment vertical="center" wrapText="1"/>
    </xf>
    <xf numFmtId="3" fontId="18" fillId="0" borderId="13" xfId="0" applyNumberFormat="1" applyFont="1" applyBorder="1" applyAlignment="1">
      <alignment horizontal="right" vertical="center" wrapText="1"/>
    </xf>
    <xf numFmtId="166" fontId="18" fillId="2" borderId="3" xfId="1" applyNumberFormat="1" applyFont="1" applyFill="1" applyBorder="1" applyAlignment="1">
      <alignment vertical="center"/>
    </xf>
    <xf numFmtId="3" fontId="5" fillId="0" borderId="0" xfId="0" applyNumberFormat="1" applyFont="1" applyAlignment="1">
      <alignment vertical="center"/>
    </xf>
    <xf numFmtId="3" fontId="5" fillId="0" borderId="3" xfId="0" applyNumberFormat="1" applyFont="1" applyBorder="1" applyAlignment="1">
      <alignment vertical="center"/>
    </xf>
    <xf numFmtId="3" fontId="0" fillId="0" borderId="3" xfId="0" applyNumberFormat="1" applyBorder="1"/>
    <xf numFmtId="3" fontId="16" fillId="0" borderId="3" xfId="0" applyNumberFormat="1" applyFont="1" applyBorder="1" applyAlignment="1">
      <alignment vertical="center" wrapText="1"/>
    </xf>
    <xf numFmtId="3" fontId="18" fillId="21" borderId="13" xfId="0" applyNumberFormat="1" applyFont="1" applyFill="1" applyBorder="1" applyAlignment="1">
      <alignment horizontal="right" vertical="center" wrapText="1"/>
    </xf>
    <xf numFmtId="166" fontId="18" fillId="22" borderId="13" xfId="0" applyNumberFormat="1" applyFont="1" applyFill="1" applyBorder="1" applyAlignment="1">
      <alignment horizontal="center" vertical="center" wrapText="1"/>
    </xf>
    <xf numFmtId="166" fontId="18" fillId="22" borderId="13" xfId="0" applyNumberFormat="1" applyFont="1" applyFill="1" applyBorder="1" applyAlignment="1">
      <alignment horizontal="center" vertical="center"/>
    </xf>
    <xf numFmtId="43" fontId="18" fillId="0" borderId="13" xfId="0" applyNumberFormat="1" applyFont="1" applyBorder="1" applyAlignment="1">
      <alignment horizontal="center" vertical="center" wrapText="1"/>
    </xf>
    <xf numFmtId="0" fontId="38" fillId="0" borderId="3" xfId="0" applyFont="1" applyFill="1" applyBorder="1" applyAlignment="1" applyProtection="1">
      <alignment horizontal="center" vertical="center"/>
      <protection locked="0"/>
    </xf>
    <xf numFmtId="0" fontId="38" fillId="0" borderId="3" xfId="0" applyFont="1" applyFill="1" applyBorder="1" applyAlignment="1" applyProtection="1">
      <alignment vertical="center" wrapText="1"/>
      <protection locked="0"/>
    </xf>
    <xf numFmtId="166" fontId="38" fillId="0" borderId="3" xfId="3" applyNumberFormat="1" applyFont="1" applyFill="1" applyBorder="1" applyAlignment="1">
      <alignment horizontal="center" vertical="center"/>
    </xf>
    <xf numFmtId="166" fontId="38" fillId="0" borderId="3" xfId="3" applyNumberFormat="1" applyFont="1" applyFill="1" applyBorder="1" applyAlignment="1">
      <alignment horizontal="right" vertical="center"/>
    </xf>
    <xf numFmtId="0" fontId="38" fillId="0" borderId="3" xfId="0" applyFont="1" applyFill="1" applyBorder="1" applyAlignment="1">
      <alignment horizontal="center" vertical="center"/>
    </xf>
    <xf numFmtId="0" fontId="41" fillId="0" borderId="0" xfId="0" applyFont="1" applyFill="1" applyAlignment="1">
      <alignment horizontal="center" vertical="center"/>
    </xf>
    <xf numFmtId="0" fontId="42" fillId="0" borderId="0" xfId="0" applyFont="1" applyFill="1" applyAlignment="1">
      <alignment horizontal="center" vertical="center"/>
    </xf>
    <xf numFmtId="0" fontId="42" fillId="0" borderId="0" xfId="0" applyFont="1" applyFill="1" applyAlignment="1">
      <alignment vertical="center"/>
    </xf>
    <xf numFmtId="0" fontId="38" fillId="0" borderId="3" xfId="0" applyFont="1" applyFill="1" applyBorder="1" applyAlignment="1">
      <alignment vertical="center" wrapText="1"/>
    </xf>
    <xf numFmtId="0" fontId="38" fillId="0" borderId="3" xfId="0" applyFont="1" applyFill="1" applyBorder="1" applyAlignment="1">
      <alignment vertical="center"/>
    </xf>
    <xf numFmtId="166" fontId="38" fillId="0" borderId="3" xfId="1" applyNumberFormat="1" applyFont="1" applyFill="1" applyBorder="1" applyAlignment="1">
      <alignment horizontal="right" vertical="center" wrapText="1"/>
    </xf>
    <xf numFmtId="43" fontId="36" fillId="0" borderId="3" xfId="0" applyNumberFormat="1" applyFont="1" applyFill="1" applyBorder="1" applyAlignment="1">
      <alignment horizontal="left" vertical="center" wrapText="1"/>
    </xf>
    <xf numFmtId="166" fontId="38" fillId="0" borderId="3" xfId="1" applyNumberFormat="1" applyFont="1" applyFill="1" applyBorder="1" applyAlignment="1">
      <alignment horizontal="center" vertical="center"/>
    </xf>
    <xf numFmtId="0" fontId="13" fillId="0" borderId="3" xfId="0" applyFont="1" applyFill="1" applyBorder="1" applyAlignment="1" applyProtection="1">
      <alignment horizontal="center" vertical="center"/>
      <protection locked="0"/>
    </xf>
    <xf numFmtId="0" fontId="13" fillId="0" borderId="3" xfId="0" applyFont="1" applyFill="1" applyBorder="1" applyAlignment="1" applyProtection="1">
      <alignment vertical="center"/>
      <protection locked="0"/>
    </xf>
    <xf numFmtId="0" fontId="13" fillId="0" borderId="3" xfId="0" applyFont="1" applyFill="1" applyBorder="1" applyAlignment="1">
      <alignment horizontal="center" vertical="center"/>
    </xf>
    <xf numFmtId="166" fontId="41" fillId="0" borderId="0" xfId="0" applyNumberFormat="1" applyFont="1" applyFill="1" applyAlignment="1">
      <alignment horizontal="center" vertical="center"/>
    </xf>
    <xf numFmtId="0" fontId="41" fillId="0" borderId="0" xfId="0" applyFont="1" applyFill="1" applyAlignment="1">
      <alignment vertical="center"/>
    </xf>
    <xf numFmtId="0" fontId="13" fillId="0" borderId="3" xfId="0" applyFont="1" applyFill="1" applyBorder="1" applyAlignment="1" applyProtection="1">
      <alignment horizontal="center" vertical="center" wrapText="1"/>
      <protection locked="0"/>
    </xf>
    <xf numFmtId="0" fontId="13" fillId="0" borderId="3" xfId="0" applyFont="1" applyFill="1" applyBorder="1" applyAlignment="1">
      <alignment horizontal="left" vertical="center" wrapText="1"/>
    </xf>
    <xf numFmtId="166" fontId="38" fillId="0" borderId="3" xfId="0" applyNumberFormat="1" applyFont="1" applyFill="1" applyBorder="1" applyAlignment="1">
      <alignment vertical="center"/>
    </xf>
    <xf numFmtId="43" fontId="42" fillId="0" borderId="0" xfId="0" applyNumberFormat="1" applyFont="1" applyFill="1" applyAlignment="1">
      <alignment horizontal="center" vertical="center"/>
    </xf>
    <xf numFmtId="43" fontId="42" fillId="0" borderId="0" xfId="0" applyNumberFormat="1" applyFont="1" applyFill="1" applyAlignment="1">
      <alignment vertical="center"/>
    </xf>
    <xf numFmtId="0" fontId="13" fillId="0" borderId="3" xfId="0" applyFont="1" applyFill="1" applyBorder="1" applyAlignment="1" applyProtection="1">
      <alignment vertical="center" wrapText="1"/>
      <protection locked="0"/>
    </xf>
    <xf numFmtId="0" fontId="38" fillId="0" borderId="3" xfId="0" applyFont="1" applyFill="1" applyBorder="1" applyAlignment="1" applyProtection="1">
      <alignment vertical="center"/>
      <protection locked="0"/>
    </xf>
    <xf numFmtId="0" fontId="38" fillId="0" borderId="3" xfId="0" applyNumberFormat="1" applyFont="1" applyFill="1" applyBorder="1" applyAlignment="1" applyProtection="1">
      <alignment horizontal="center" vertical="center"/>
      <protection locked="0"/>
    </xf>
    <xf numFmtId="0" fontId="28" fillId="0" borderId="3" xfId="0" applyFont="1" applyFill="1" applyBorder="1" applyAlignment="1">
      <alignment horizontal="left" vertical="center" wrapText="1"/>
    </xf>
    <xf numFmtId="166" fontId="28" fillId="0" borderId="3" xfId="1" applyNumberFormat="1" applyFont="1" applyFill="1" applyBorder="1" applyAlignment="1">
      <alignment horizontal="center" vertical="center" wrapText="1"/>
    </xf>
    <xf numFmtId="0" fontId="13" fillId="0" borderId="3" xfId="242" applyFont="1" applyFill="1" applyBorder="1" applyAlignment="1">
      <alignment vertical="center" wrapText="1"/>
    </xf>
    <xf numFmtId="166" fontId="41" fillId="0" borderId="0" xfId="0" applyNumberFormat="1" applyFont="1" applyFill="1" applyAlignment="1">
      <alignment vertical="center"/>
    </xf>
    <xf numFmtId="0" fontId="38" fillId="0" borderId="3" xfId="0" applyFont="1" applyFill="1" applyBorder="1" applyAlignment="1" applyProtection="1">
      <alignment horizontal="center" vertical="center" wrapText="1"/>
      <protection locked="0"/>
    </xf>
    <xf numFmtId="0" fontId="38" fillId="0" borderId="3" xfId="34" applyFont="1" applyFill="1" applyBorder="1" applyAlignment="1" applyProtection="1">
      <alignment horizontal="left" vertical="center" wrapText="1"/>
    </xf>
    <xf numFmtId="0" fontId="38" fillId="18" borderId="3" xfId="0" applyFont="1" applyFill="1" applyBorder="1" applyAlignment="1" applyProtection="1">
      <alignment horizontal="center" vertical="center"/>
      <protection locked="0"/>
    </xf>
    <xf numFmtId="0" fontId="38" fillId="18" borderId="3" xfId="0" applyFont="1" applyFill="1" applyBorder="1" applyAlignment="1" applyProtection="1">
      <alignment vertical="center" wrapText="1"/>
      <protection locked="0"/>
    </xf>
    <xf numFmtId="0" fontId="6" fillId="16" borderId="3" xfId="0" applyFont="1" applyFill="1" applyBorder="1" applyAlignment="1" applyProtection="1">
      <alignment horizontal="center" vertical="center"/>
      <protection locked="0"/>
    </xf>
    <xf numFmtId="0" fontId="6" fillId="16" borderId="3" xfId="0" applyFont="1" applyFill="1" applyBorder="1" applyAlignment="1" applyProtection="1">
      <alignment vertical="center" wrapText="1"/>
      <protection locked="0"/>
    </xf>
    <xf numFmtId="0" fontId="6" fillId="16" borderId="3" xfId="0" applyFont="1" applyFill="1" applyBorder="1" applyAlignment="1">
      <alignment horizontal="center" vertical="center" wrapText="1"/>
    </xf>
    <xf numFmtId="166" fontId="6" fillId="16" borderId="3" xfId="1" applyNumberFormat="1" applyFont="1" applyFill="1" applyBorder="1" applyAlignment="1">
      <alignment vertical="center"/>
    </xf>
    <xf numFmtId="166" fontId="6" fillId="16" borderId="3" xfId="1" applyNumberFormat="1" applyFont="1" applyFill="1" applyBorder="1" applyAlignment="1">
      <alignment horizontal="right" vertical="center"/>
    </xf>
    <xf numFmtId="166" fontId="6" fillId="16" borderId="3" xfId="0" applyNumberFormat="1" applyFont="1" applyFill="1" applyBorder="1" applyAlignment="1">
      <alignment vertical="center"/>
    </xf>
    <xf numFmtId="0" fontId="28" fillId="0" borderId="0" xfId="0" applyFont="1" applyAlignment="1">
      <alignment horizontal="center" vertical="center"/>
    </xf>
    <xf numFmtId="0" fontId="29" fillId="0" borderId="0" xfId="0" applyFont="1" applyAlignment="1">
      <alignment horizontal="center" vertical="center"/>
    </xf>
    <xf numFmtId="0" fontId="29" fillId="2" borderId="0" xfId="0" applyFont="1" applyFill="1" applyAlignment="1">
      <alignment vertical="center"/>
    </xf>
    <xf numFmtId="0" fontId="29" fillId="24" borderId="0" xfId="0" applyFont="1" applyFill="1" applyAlignment="1">
      <alignment vertical="center"/>
    </xf>
    <xf numFmtId="0" fontId="29" fillId="0" borderId="0" xfId="0" applyFont="1" applyAlignment="1">
      <alignment vertical="center"/>
    </xf>
    <xf numFmtId="0" fontId="6" fillId="0" borderId="3" xfId="0" applyFont="1" applyBorder="1" applyAlignment="1" applyProtection="1">
      <alignment horizontal="center" vertical="center"/>
      <protection locked="0"/>
    </xf>
    <xf numFmtId="0" fontId="6" fillId="0" borderId="3" xfId="0" applyFont="1" applyBorder="1" applyAlignment="1" applyProtection="1">
      <alignment vertical="center" wrapText="1"/>
      <protection locked="0"/>
    </xf>
    <xf numFmtId="166" fontId="6" fillId="2" borderId="3" xfId="1" applyNumberFormat="1" applyFont="1" applyFill="1" applyBorder="1" applyAlignment="1">
      <alignment horizontal="center" vertical="center"/>
    </xf>
    <xf numFmtId="0" fontId="6" fillId="0" borderId="3" xfId="0" applyFont="1" applyBorder="1" applyAlignment="1">
      <alignment horizontal="center" vertical="center"/>
    </xf>
    <xf numFmtId="0" fontId="6" fillId="2" borderId="3" xfId="0" applyFont="1" applyFill="1" applyBorder="1" applyAlignment="1" applyProtection="1">
      <alignment horizontal="center" vertical="center"/>
      <protection locked="0"/>
    </xf>
    <xf numFmtId="0" fontId="6" fillId="2" borderId="3" xfId="0" applyFont="1" applyFill="1" applyBorder="1" applyAlignment="1">
      <alignment vertical="center" wrapText="1"/>
    </xf>
    <xf numFmtId="0" fontId="28" fillId="2" borderId="0" xfId="0" applyFont="1" applyFill="1" applyAlignment="1">
      <alignment horizontal="center" vertical="center"/>
    </xf>
    <xf numFmtId="0" fontId="28" fillId="2" borderId="0" xfId="0" applyFont="1" applyFill="1" applyAlignment="1">
      <alignment vertical="center"/>
    </xf>
    <xf numFmtId="0" fontId="28" fillId="24" borderId="0" xfId="0" applyFont="1" applyFill="1" applyAlignment="1">
      <alignment vertical="center"/>
    </xf>
    <xf numFmtId="0" fontId="6" fillId="2" borderId="10" xfId="0" applyFont="1" applyFill="1" applyBorder="1" applyAlignment="1">
      <alignment horizontal="left" vertical="center" wrapText="1"/>
    </xf>
    <xf numFmtId="0" fontId="5" fillId="2" borderId="10" xfId="0" applyFont="1" applyFill="1" applyBorder="1" applyAlignment="1">
      <alignment horizontal="left" vertical="center" wrapText="1"/>
    </xf>
    <xf numFmtId="166" fontId="5" fillId="0" borderId="3" xfId="261" applyNumberFormat="1" applyFont="1" applyFill="1" applyBorder="1" applyAlignment="1">
      <alignment vertical="center" wrapText="1"/>
    </xf>
    <xf numFmtId="43" fontId="5" fillId="2" borderId="3" xfId="1" applyFont="1" applyFill="1" applyBorder="1" applyAlignment="1">
      <alignment vertical="center"/>
    </xf>
    <xf numFmtId="0" fontId="5" fillId="0" borderId="3" xfId="260" applyFont="1" applyBorder="1"/>
    <xf numFmtId="166" fontId="5" fillId="0" borderId="3" xfId="1" applyNumberFormat="1" applyFont="1" applyBorder="1" applyAlignment="1">
      <alignment vertical="center"/>
    </xf>
    <xf numFmtId="166" fontId="5" fillId="2" borderId="3" xfId="261" applyNumberFormat="1" applyFont="1" applyFill="1" applyBorder="1" applyAlignment="1">
      <alignment vertical="center" wrapText="1"/>
    </xf>
    <xf numFmtId="176" fontId="37" fillId="3" borderId="3" xfId="1" applyNumberFormat="1" applyFont="1" applyFill="1" applyBorder="1" applyAlignment="1">
      <alignment vertical="center"/>
    </xf>
    <xf numFmtId="166" fontId="37" fillId="3" borderId="3" xfId="1" applyNumberFormat="1" applyFont="1" applyFill="1" applyBorder="1" applyAlignment="1">
      <alignment vertical="center"/>
    </xf>
    <xf numFmtId="2" fontId="5" fillId="0" borderId="3" xfId="0" applyNumberFormat="1" applyFont="1" applyBorder="1" applyAlignment="1">
      <alignment vertical="center" wrapText="1"/>
    </xf>
    <xf numFmtId="167" fontId="5" fillId="2" borderId="3" xfId="1" applyNumberFormat="1" applyFont="1" applyFill="1" applyBorder="1" applyAlignment="1">
      <alignment vertical="center"/>
    </xf>
    <xf numFmtId="176" fontId="5" fillId="2" borderId="3" xfId="1" applyNumberFormat="1" applyFont="1" applyFill="1" applyBorder="1" applyAlignment="1">
      <alignment vertical="center"/>
    </xf>
    <xf numFmtId="167" fontId="5" fillId="0" borderId="3" xfId="1" applyNumberFormat="1" applyFont="1" applyFill="1" applyBorder="1" applyAlignment="1">
      <alignment vertical="center"/>
    </xf>
    <xf numFmtId="43" fontId="5" fillId="0" borderId="3" xfId="5" applyFont="1" applyFill="1" applyBorder="1" applyAlignment="1">
      <alignment vertical="center" wrapText="1"/>
    </xf>
    <xf numFmtId="166" fontId="5" fillId="0" borderId="3" xfId="5" applyNumberFormat="1" applyFont="1" applyBorder="1" applyAlignment="1">
      <alignment vertical="center"/>
    </xf>
    <xf numFmtId="0" fontId="6" fillId="2" borderId="3" xfId="0" applyFont="1" applyFill="1" applyBorder="1" applyAlignment="1" applyProtection="1">
      <alignment vertical="center" wrapText="1"/>
      <protection locked="0"/>
    </xf>
    <xf numFmtId="0" fontId="29" fillId="2" borderId="0" xfId="0" applyFont="1" applyFill="1" applyAlignment="1">
      <alignment horizontal="center" vertical="center"/>
    </xf>
    <xf numFmtId="0" fontId="6" fillId="2" borderId="10" xfId="0" applyFont="1" applyFill="1" applyBorder="1" applyAlignment="1" applyProtection="1">
      <alignment vertical="center" wrapText="1"/>
      <protection locked="0"/>
    </xf>
    <xf numFmtId="0" fontId="28" fillId="24" borderId="0" xfId="0" applyFont="1" applyFill="1" applyAlignment="1">
      <alignment horizontal="center" vertical="center"/>
    </xf>
    <xf numFmtId="0" fontId="5" fillId="2" borderId="3" xfId="0" applyFont="1" applyFill="1" applyBorder="1" applyAlignment="1" applyProtection="1">
      <alignment vertical="center" wrapText="1"/>
      <protection locked="0"/>
    </xf>
    <xf numFmtId="170" fontId="5" fillId="3" borderId="3" xfId="1" applyNumberFormat="1" applyFont="1" applyFill="1" applyBorder="1" applyAlignment="1">
      <alignment vertical="center"/>
    </xf>
    <xf numFmtId="2" fontId="5" fillId="0" borderId="3" xfId="260" applyNumberFormat="1" applyFont="1" applyBorder="1" applyAlignment="1">
      <alignment vertical="center" wrapText="1"/>
    </xf>
    <xf numFmtId="43" fontId="5" fillId="3" borderId="3" xfId="1" applyFont="1" applyFill="1" applyBorder="1" applyAlignment="1">
      <alignment vertical="center"/>
    </xf>
    <xf numFmtId="180" fontId="5" fillId="3" borderId="3" xfId="1" applyNumberFormat="1" applyFont="1" applyFill="1" applyBorder="1" applyAlignment="1">
      <alignment vertical="center"/>
    </xf>
    <xf numFmtId="167" fontId="5" fillId="3" borderId="3" xfId="1" applyNumberFormat="1" applyFont="1" applyFill="1" applyBorder="1" applyAlignment="1">
      <alignment vertical="center"/>
    </xf>
    <xf numFmtId="170" fontId="5" fillId="2" borderId="3" xfId="261" applyNumberFormat="1" applyFont="1" applyFill="1" applyBorder="1" applyAlignment="1">
      <alignment vertical="center" wrapText="1"/>
    </xf>
    <xf numFmtId="170" fontId="5" fillId="0" borderId="3" xfId="261" applyNumberFormat="1" applyFont="1" applyFill="1" applyBorder="1" applyAlignment="1">
      <alignment vertical="center" wrapText="1"/>
    </xf>
    <xf numFmtId="166" fontId="5" fillId="3" borderId="3" xfId="1" applyNumberFormat="1" applyFont="1" applyFill="1" applyBorder="1" applyAlignment="1">
      <alignment horizontal="center" vertical="center"/>
    </xf>
    <xf numFmtId="0" fontId="28" fillId="3" borderId="0" xfId="0" applyFont="1" applyFill="1" applyAlignment="1">
      <alignment horizontal="center" vertical="center"/>
    </xf>
    <xf numFmtId="0" fontId="28" fillId="3" borderId="0" xfId="0" applyFont="1" applyFill="1" applyAlignment="1">
      <alignment vertical="center"/>
    </xf>
    <xf numFmtId="2" fontId="18" fillId="0" borderId="3" xfId="282" applyNumberFormat="1" applyFont="1" applyBorder="1" applyAlignment="1">
      <alignment horizontal="left" vertical="center" wrapText="1"/>
    </xf>
    <xf numFmtId="0" fontId="6" fillId="2" borderId="3" xfId="0" applyFont="1" applyFill="1" applyBorder="1" applyAlignment="1">
      <alignment horizontal="center" vertical="center" wrapText="1"/>
    </xf>
    <xf numFmtId="0" fontId="28" fillId="2" borderId="3" xfId="0" applyFont="1" applyFill="1" applyBorder="1" applyAlignment="1">
      <alignment horizontal="center" vertical="center"/>
    </xf>
    <xf numFmtId="0" fontId="29" fillId="2" borderId="3" xfId="0" applyFont="1" applyFill="1" applyBorder="1" applyAlignment="1">
      <alignment horizontal="center" vertical="center"/>
    </xf>
    <xf numFmtId="43" fontId="29" fillId="2" borderId="0" xfId="0" applyNumberFormat="1" applyFont="1" applyFill="1" applyAlignment="1">
      <alignment horizontal="center" vertical="center"/>
    </xf>
    <xf numFmtId="0" fontId="5" fillId="2" borderId="3" xfId="0" applyFont="1" applyFill="1" applyBorder="1" applyAlignment="1">
      <alignment horizontal="center" vertical="center" wrapText="1"/>
    </xf>
    <xf numFmtId="0" fontId="6" fillId="23" borderId="3" xfId="0" applyFont="1" applyFill="1" applyBorder="1" applyAlignment="1" applyProtection="1">
      <alignment horizontal="center" vertical="center"/>
      <protection locked="0"/>
    </xf>
    <xf numFmtId="0" fontId="6" fillId="23" borderId="3" xfId="0" applyFont="1" applyFill="1" applyBorder="1" applyAlignment="1" applyProtection="1">
      <alignment vertical="center" wrapText="1"/>
      <protection locked="0"/>
    </xf>
    <xf numFmtId="0" fontId="6" fillId="23" borderId="3" xfId="0" applyFont="1" applyFill="1" applyBorder="1" applyAlignment="1">
      <alignment horizontal="center" vertical="center" wrapText="1"/>
    </xf>
    <xf numFmtId="166" fontId="6" fillId="23" borderId="3" xfId="1" applyNumberFormat="1" applyFont="1" applyFill="1" applyBorder="1" applyAlignment="1">
      <alignment vertical="center"/>
    </xf>
    <xf numFmtId="0" fontId="6" fillId="23" borderId="3" xfId="0" applyFont="1" applyFill="1" applyBorder="1" applyAlignment="1">
      <alignment horizontal="center" vertical="center"/>
    </xf>
    <xf numFmtId="0" fontId="28" fillId="23" borderId="3" xfId="0" applyFont="1" applyFill="1" applyBorder="1" applyAlignment="1">
      <alignment horizontal="center" vertical="center"/>
    </xf>
    <xf numFmtId="0" fontId="29" fillId="23" borderId="3" xfId="0" applyFont="1" applyFill="1" applyBorder="1" applyAlignment="1">
      <alignment horizontal="center" vertical="center"/>
    </xf>
    <xf numFmtId="0" fontId="29" fillId="23" borderId="0" xfId="0" applyFont="1" applyFill="1" applyAlignment="1">
      <alignment horizontal="center" vertical="center"/>
    </xf>
    <xf numFmtId="0" fontId="29" fillId="23" borderId="0" xfId="0" applyFont="1" applyFill="1" applyAlignment="1">
      <alignment vertical="center"/>
    </xf>
    <xf numFmtId="166" fontId="6" fillId="0" borderId="3" xfId="1" applyNumberFormat="1" applyFont="1" applyFill="1" applyBorder="1" applyAlignment="1">
      <alignment vertical="center"/>
    </xf>
    <xf numFmtId="0" fontId="28" fillId="0" borderId="3" xfId="0" applyFont="1" applyBorder="1" applyAlignment="1">
      <alignment horizontal="center" vertical="center"/>
    </xf>
    <xf numFmtId="0" fontId="29" fillId="0" borderId="3" xfId="0" applyFont="1" applyBorder="1" applyAlignment="1">
      <alignment horizontal="center" vertical="center"/>
    </xf>
    <xf numFmtId="0" fontId="28" fillId="0" borderId="3" xfId="0" applyFont="1" applyBorder="1" applyAlignment="1">
      <alignment horizontal="left" vertical="center"/>
    </xf>
    <xf numFmtId="166" fontId="5" fillId="23" borderId="3" xfId="1" applyNumberFormat="1" applyFont="1" applyFill="1" applyBorder="1" applyAlignment="1">
      <alignment vertical="center"/>
    </xf>
    <xf numFmtId="0" fontId="28" fillId="0" borderId="0" xfId="0" applyFont="1" applyAlignment="1">
      <alignment vertical="center"/>
    </xf>
    <xf numFmtId="0" fontId="5" fillId="23" borderId="3" xfId="0" applyFont="1" applyFill="1" applyBorder="1" applyAlignment="1">
      <alignment horizontal="center" vertical="center"/>
    </xf>
    <xf numFmtId="0" fontId="28" fillId="23" borderId="0" xfId="0" applyFont="1" applyFill="1" applyAlignment="1">
      <alignment horizontal="center" vertical="center"/>
    </xf>
    <xf numFmtId="0" fontId="28" fillId="23" borderId="0" xfId="0" applyFont="1" applyFill="1" applyAlignment="1">
      <alignment vertical="center"/>
    </xf>
    <xf numFmtId="0" fontId="28" fillId="24" borderId="0" xfId="0" applyFont="1" applyFill="1" applyAlignment="1">
      <alignment horizontal="left" vertical="center"/>
    </xf>
    <xf numFmtId="166" fontId="28" fillId="2" borderId="0" xfId="0" applyNumberFormat="1" applyFont="1" applyFill="1" applyAlignment="1">
      <alignment horizontal="center" vertical="center"/>
    </xf>
    <xf numFmtId="166" fontId="29" fillId="2" borderId="0" xfId="0" applyNumberFormat="1" applyFont="1" applyFill="1" applyAlignment="1">
      <alignment horizontal="center" vertical="center"/>
    </xf>
    <xf numFmtId="170" fontId="29" fillId="2" borderId="0" xfId="1" applyNumberFormat="1" applyFont="1" applyFill="1" applyAlignment="1">
      <alignment vertical="center"/>
    </xf>
    <xf numFmtId="43" fontId="46" fillId="11" borderId="3" xfId="0" applyNumberFormat="1" applyFont="1" applyFill="1" applyBorder="1" applyAlignment="1">
      <alignment horizontal="left" vertical="center" wrapText="1"/>
    </xf>
    <xf numFmtId="166" fontId="28" fillId="2" borderId="0" xfId="0" applyNumberFormat="1" applyFont="1" applyFill="1" applyAlignment="1">
      <alignment vertical="center"/>
    </xf>
    <xf numFmtId="170" fontId="28" fillId="2" borderId="0" xfId="1" applyNumberFormat="1" applyFont="1" applyFill="1" applyAlignment="1">
      <alignment vertical="center"/>
    </xf>
    <xf numFmtId="0" fontId="44" fillId="0" borderId="3" xfId="0" applyFont="1" applyBorder="1" applyAlignment="1">
      <alignment horizontal="left" vertical="center"/>
    </xf>
    <xf numFmtId="43" fontId="5" fillId="2" borderId="3" xfId="1" applyFont="1" applyFill="1" applyBorder="1" applyAlignment="1" applyProtection="1">
      <alignment horizontal="center" vertical="center" wrapText="1"/>
      <protection locked="0"/>
    </xf>
    <xf numFmtId="0" fontId="6" fillId="2" borderId="3" xfId="0" applyFont="1" applyFill="1" applyBorder="1" applyAlignment="1" applyProtection="1">
      <alignment horizontal="center" vertical="center" wrapText="1"/>
      <protection locked="0"/>
    </xf>
    <xf numFmtId="0" fontId="46" fillId="0" borderId="3" xfId="0" applyFont="1" applyBorder="1" applyAlignment="1">
      <alignment horizontal="left" vertical="center"/>
    </xf>
    <xf numFmtId="0" fontId="44" fillId="0" borderId="3" xfId="271" applyFont="1" applyBorder="1" applyAlignment="1">
      <alignment horizontal="left" wrapText="1"/>
    </xf>
    <xf numFmtId="0" fontId="46" fillId="0" borderId="3" xfId="271" applyFont="1" applyBorder="1" applyAlignment="1">
      <alignment horizontal="left" wrapText="1"/>
    </xf>
    <xf numFmtId="0" fontId="47" fillId="0" borderId="3" xfId="0" applyFont="1" applyBorder="1" applyAlignment="1" applyProtection="1">
      <alignment horizontal="center" vertical="center"/>
      <protection locked="0"/>
    </xf>
    <xf numFmtId="0" fontId="47" fillId="0" borderId="3" xfId="0" applyFont="1" applyBorder="1" applyAlignment="1" applyProtection="1">
      <alignment vertical="center" wrapText="1"/>
      <protection locked="0"/>
    </xf>
    <xf numFmtId="0" fontId="45" fillId="0" borderId="3" xfId="0" applyFont="1" applyBorder="1" applyAlignment="1">
      <alignment horizontal="center" vertical="center" wrapText="1"/>
    </xf>
    <xf numFmtId="166" fontId="5" fillId="0" borderId="3" xfId="1" applyNumberFormat="1" applyFont="1" applyBorder="1" applyAlignment="1">
      <alignment horizontal="right" vertical="center"/>
    </xf>
    <xf numFmtId="14" fontId="5" fillId="0" borderId="3" xfId="0" applyNumberFormat="1" applyFont="1" applyBorder="1" applyAlignment="1">
      <alignment horizontal="center" vertical="center"/>
    </xf>
    <xf numFmtId="0" fontId="45" fillId="0" borderId="3" xfId="271" applyFont="1" applyBorder="1" applyAlignment="1">
      <alignment horizontal="center" vertical="center"/>
    </xf>
    <xf numFmtId="0" fontId="44" fillId="0" borderId="3" xfId="0" applyFont="1" applyBorder="1" applyAlignment="1">
      <alignment vertical="center"/>
    </xf>
    <xf numFmtId="2" fontId="45" fillId="0" borderId="3" xfId="272" applyNumberFormat="1" applyFont="1" applyBorder="1" applyAlignment="1">
      <alignment horizontal="center" vertical="center" wrapText="1"/>
    </xf>
    <xf numFmtId="0" fontId="6" fillId="19" borderId="3" xfId="0" applyFont="1" applyFill="1" applyBorder="1" applyAlignment="1" applyProtection="1">
      <alignment horizontal="center" vertical="center"/>
      <protection locked="0"/>
    </xf>
    <xf numFmtId="0" fontId="6" fillId="19" borderId="3" xfId="0" applyFont="1" applyFill="1" applyBorder="1" applyAlignment="1" applyProtection="1">
      <alignment vertical="center" wrapText="1"/>
      <protection locked="0"/>
    </xf>
    <xf numFmtId="0" fontId="6" fillId="19" borderId="3" xfId="0" applyFont="1" applyFill="1" applyBorder="1" applyAlignment="1">
      <alignment horizontal="center" vertical="center" wrapText="1"/>
    </xf>
    <xf numFmtId="166" fontId="6" fillId="19" borderId="3" xfId="1" applyNumberFormat="1" applyFont="1" applyFill="1" applyBorder="1" applyAlignment="1">
      <alignment vertical="center"/>
    </xf>
    <xf numFmtId="166" fontId="6" fillId="19" borderId="3" xfId="1" applyNumberFormat="1" applyFont="1" applyFill="1" applyBorder="1" applyAlignment="1">
      <alignment horizontal="right" vertical="center"/>
    </xf>
    <xf numFmtId="166" fontId="6" fillId="19" borderId="3" xfId="0" applyNumberFormat="1" applyFont="1" applyFill="1" applyBorder="1" applyAlignment="1">
      <alignment vertical="center"/>
    </xf>
    <xf numFmtId="0" fontId="29" fillId="19" borderId="0" xfId="0" applyFont="1" applyFill="1" applyAlignment="1">
      <alignment horizontal="center" vertical="center"/>
    </xf>
    <xf numFmtId="0" fontId="29" fillId="19" borderId="0" xfId="0" applyFont="1" applyFill="1" applyAlignment="1">
      <alignment vertical="center"/>
    </xf>
    <xf numFmtId="0" fontId="29" fillId="19" borderId="0" xfId="0" applyFont="1" applyFill="1" applyAlignment="1">
      <alignment horizontal="left" vertical="center"/>
    </xf>
    <xf numFmtId="0" fontId="6" fillId="5" borderId="3" xfId="0" applyFont="1" applyFill="1" applyBorder="1" applyAlignment="1" applyProtection="1">
      <alignment horizontal="center" vertical="center"/>
      <protection locked="0"/>
    </xf>
    <xf numFmtId="0" fontId="6" fillId="5" borderId="3" xfId="22" applyFont="1" applyFill="1" applyBorder="1" applyAlignment="1">
      <alignment vertical="center" wrapText="1"/>
    </xf>
    <xf numFmtId="166" fontId="6" fillId="5" borderId="3" xfId="1" applyNumberFormat="1" applyFont="1" applyFill="1" applyBorder="1" applyAlignment="1">
      <alignment horizontal="center" vertical="center"/>
    </xf>
    <xf numFmtId="166" fontId="6" fillId="5" borderId="3" xfId="1" applyNumberFormat="1" applyFont="1" applyFill="1" applyBorder="1" applyAlignment="1">
      <alignment vertical="center"/>
    </xf>
    <xf numFmtId="0" fontId="5" fillId="5" borderId="0" xfId="0" applyFont="1" applyFill="1" applyAlignment="1">
      <alignment horizontal="center" vertical="center"/>
    </xf>
    <xf numFmtId="0" fontId="5" fillId="5" borderId="0" xfId="0" applyFont="1" applyFill="1" applyAlignment="1">
      <alignment vertical="center"/>
    </xf>
    <xf numFmtId="0" fontId="5" fillId="5" borderId="0" xfId="0" applyFont="1" applyFill="1" applyAlignment="1">
      <alignment horizontal="left" vertical="center"/>
    </xf>
    <xf numFmtId="0" fontId="6" fillId="5" borderId="3" xfId="244" applyFont="1" applyFill="1" applyBorder="1" applyAlignment="1">
      <alignment horizontal="left" vertical="center" wrapText="1"/>
    </xf>
    <xf numFmtId="166" fontId="5" fillId="5" borderId="3" xfId="1" applyNumberFormat="1" applyFont="1" applyFill="1" applyBorder="1" applyAlignment="1">
      <alignment vertical="center"/>
    </xf>
    <xf numFmtId="0" fontId="6" fillId="5" borderId="0" xfId="0" applyFont="1" applyFill="1" applyAlignment="1">
      <alignment horizontal="center" vertical="center"/>
    </xf>
    <xf numFmtId="0" fontId="6" fillId="5" borderId="0" xfId="0" applyFont="1" applyFill="1" applyAlignment="1">
      <alignment vertical="center"/>
    </xf>
    <xf numFmtId="0" fontId="6" fillId="5" borderId="0" xfId="0" applyFont="1" applyFill="1" applyAlignment="1">
      <alignment horizontal="left" vertical="center"/>
    </xf>
    <xf numFmtId="0" fontId="5" fillId="2" borderId="3" xfId="244" applyFont="1" applyFill="1" applyBorder="1" applyAlignment="1">
      <alignment horizontal="left" vertical="center" wrapText="1"/>
    </xf>
    <xf numFmtId="173" fontId="5" fillId="0" borderId="2" xfId="263" applyFont="1" applyBorder="1" applyAlignment="1">
      <alignment horizontal="left" vertical="center" wrapText="1"/>
    </xf>
    <xf numFmtId="0" fontId="5" fillId="2" borderId="3" xfId="0" applyFont="1" applyFill="1" applyBorder="1" applyAlignment="1">
      <alignment vertical="center"/>
    </xf>
    <xf numFmtId="0" fontId="5" fillId="5" borderId="3" xfId="0" applyFont="1" applyFill="1" applyBorder="1" applyAlignment="1" applyProtection="1">
      <alignment horizontal="center" vertical="center"/>
      <protection locked="0"/>
    </xf>
    <xf numFmtId="166" fontId="5" fillId="5" borderId="3" xfId="1" applyNumberFormat="1" applyFont="1" applyFill="1" applyBorder="1" applyAlignment="1">
      <alignment horizontal="center" vertical="center"/>
    </xf>
    <xf numFmtId="3" fontId="16" fillId="5" borderId="3" xfId="0" applyNumberFormat="1" applyFont="1" applyFill="1" applyBorder="1" applyAlignment="1">
      <alignment vertical="center"/>
    </xf>
    <xf numFmtId="0" fontId="5" fillId="5" borderId="3" xfId="0" applyFont="1" applyFill="1" applyBorder="1" applyAlignment="1">
      <alignment horizontal="center" vertical="center"/>
    </xf>
    <xf numFmtId="173" fontId="6" fillId="5" borderId="3" xfId="263" applyFont="1" applyFill="1" applyBorder="1" applyAlignment="1">
      <alignment horizontal="left" vertical="center" wrapText="1"/>
    </xf>
    <xf numFmtId="0" fontId="5" fillId="2" borderId="3" xfId="0" applyFont="1" applyFill="1" applyBorder="1" applyAlignment="1">
      <alignment vertical="center" wrapText="1"/>
    </xf>
    <xf numFmtId="0" fontId="18" fillId="0" borderId="3" xfId="244" applyFont="1" applyBorder="1" applyAlignment="1">
      <alignment vertical="center" wrapText="1"/>
    </xf>
    <xf numFmtId="166" fontId="5" fillId="0" borderId="3" xfId="264" applyNumberFormat="1" applyFont="1" applyFill="1" applyBorder="1" applyAlignment="1">
      <alignment vertical="center" wrapText="1"/>
    </xf>
    <xf numFmtId="173" fontId="5" fillId="0" borderId="3" xfId="263" applyFont="1" applyBorder="1" applyAlignment="1">
      <alignment horizontal="left" vertical="center"/>
    </xf>
    <xf numFmtId="0" fontId="5" fillId="24" borderId="0" xfId="0" applyFont="1" applyFill="1" applyAlignment="1">
      <alignment horizontal="left" vertical="center"/>
    </xf>
    <xf numFmtId="0" fontId="5" fillId="0" borderId="3" xfId="287" applyFont="1" applyBorder="1" applyAlignment="1">
      <alignment horizontal="left" vertical="center"/>
    </xf>
    <xf numFmtId="166" fontId="5" fillId="20" borderId="3" xfId="264" applyNumberFormat="1" applyFont="1" applyFill="1" applyBorder="1" applyAlignment="1">
      <alignment vertical="center" wrapText="1"/>
    </xf>
    <xf numFmtId="0" fontId="5" fillId="0" borderId="3" xfId="287" applyFont="1" applyBorder="1" applyAlignment="1">
      <alignment vertical="center"/>
    </xf>
    <xf numFmtId="0" fontId="5" fillId="2" borderId="3" xfId="34" applyFont="1" applyFill="1" applyBorder="1" applyAlignment="1" applyProtection="1">
      <alignment horizontal="left" vertical="center" wrapText="1"/>
    </xf>
    <xf numFmtId="0" fontId="5" fillId="2" borderId="3" xfId="34" applyFont="1" applyFill="1" applyBorder="1" applyAlignment="1" applyProtection="1">
      <alignment horizontal="left" vertical="center"/>
    </xf>
    <xf numFmtId="166" fontId="5" fillId="20" borderId="3" xfId="286" applyNumberFormat="1" applyFont="1" applyFill="1" applyBorder="1" applyAlignment="1">
      <alignment horizontal="center" vertical="center" wrapText="1"/>
    </xf>
    <xf numFmtId="3" fontId="4" fillId="0" borderId="3" xfId="287" applyNumberFormat="1" applyBorder="1"/>
    <xf numFmtId="0" fontId="5" fillId="0" borderId="0" xfId="287" applyFont="1" applyAlignment="1">
      <alignment vertical="center"/>
    </xf>
    <xf numFmtId="0" fontId="6" fillId="5" borderId="3" xfId="265" applyFont="1" applyFill="1" applyBorder="1" applyAlignment="1">
      <alignment horizontal="left" vertical="center" wrapText="1"/>
    </xf>
    <xf numFmtId="3" fontId="16" fillId="5" borderId="0" xfId="0" applyNumberFormat="1" applyFont="1" applyFill="1" applyAlignment="1">
      <alignment vertical="center"/>
    </xf>
    <xf numFmtId="166" fontId="10" fillId="5" borderId="3" xfId="1" applyNumberFormat="1" applyFont="1" applyFill="1" applyBorder="1" applyAlignment="1">
      <alignment vertical="center"/>
    </xf>
    <xf numFmtId="166" fontId="5" fillId="0" borderId="3" xfId="1" applyNumberFormat="1" applyFont="1" applyFill="1" applyBorder="1" applyAlignment="1">
      <alignment vertical="center" wrapText="1"/>
    </xf>
    <xf numFmtId="173" fontId="5" fillId="0" borderId="3" xfId="263" applyFont="1" applyBorder="1" applyAlignment="1">
      <alignment horizontal="left" vertical="center" wrapText="1"/>
    </xf>
    <xf numFmtId="166" fontId="48" fillId="0" borderId="3" xfId="1" applyNumberFormat="1" applyFont="1" applyBorder="1"/>
    <xf numFmtId="43" fontId="5" fillId="0" borderId="3" xfId="1" applyFont="1" applyFill="1" applyBorder="1" applyAlignment="1">
      <alignment horizontal="right" vertical="center"/>
    </xf>
    <xf numFmtId="0" fontId="5" fillId="2" borderId="0" xfId="0" applyFont="1" applyFill="1" applyAlignment="1">
      <alignment horizontal="left" vertical="center"/>
    </xf>
    <xf numFmtId="0" fontId="6" fillId="5" borderId="3" xfId="0" applyFont="1" applyFill="1" applyBorder="1" applyAlignment="1">
      <alignment horizontal="left" vertical="center" wrapText="1"/>
    </xf>
    <xf numFmtId="0" fontId="6" fillId="5" borderId="3" xfId="0" applyFont="1" applyFill="1" applyBorder="1" applyAlignment="1">
      <alignment vertical="center"/>
    </xf>
    <xf numFmtId="0" fontId="5" fillId="2" borderId="3" xfId="287" applyFont="1" applyFill="1" applyBorder="1" applyAlignment="1">
      <alignment vertical="center"/>
    </xf>
    <xf numFmtId="0" fontId="6" fillId="0" borderId="3" xfId="266" applyFont="1" applyBorder="1" applyAlignment="1">
      <alignment vertical="center" wrapText="1"/>
    </xf>
    <xf numFmtId="166" fontId="5" fillId="20" borderId="3" xfId="1" applyNumberFormat="1" applyFont="1" applyFill="1" applyBorder="1" applyAlignment="1">
      <alignment vertical="center"/>
    </xf>
    <xf numFmtId="173" fontId="5" fillId="0" borderId="0" xfId="263" applyFont="1" applyAlignment="1">
      <alignment horizontal="left" vertical="center" wrapText="1"/>
    </xf>
    <xf numFmtId="166" fontId="5" fillId="5" borderId="3" xfId="1" applyNumberFormat="1" applyFont="1" applyFill="1" applyBorder="1" applyAlignment="1">
      <alignment vertical="center" wrapText="1"/>
    </xf>
    <xf numFmtId="0" fontId="5" fillId="0" borderId="3" xfId="0" quotePrefix="1" applyFont="1" applyBorder="1" applyAlignment="1">
      <alignment horizontal="left" vertical="center"/>
    </xf>
    <xf numFmtId="0" fontId="6" fillId="5" borderId="3" xfId="22" applyFont="1" applyFill="1" applyBorder="1" applyAlignment="1">
      <alignment horizontal="center" vertical="center"/>
    </xf>
    <xf numFmtId="0" fontId="6" fillId="5" borderId="2" xfId="0" applyFont="1" applyFill="1" applyBorder="1" applyAlignment="1">
      <alignment horizontal="left" vertical="center" wrapText="1"/>
    </xf>
    <xf numFmtId="0" fontId="6" fillId="5" borderId="3" xfId="0" applyFont="1" applyFill="1" applyBorder="1" applyAlignment="1">
      <alignment horizontal="center" vertical="center"/>
    </xf>
    <xf numFmtId="0" fontId="6" fillId="5" borderId="2" xfId="0" applyFont="1" applyFill="1" applyBorder="1" applyAlignment="1" applyProtection="1">
      <alignment horizontal="center" vertical="center"/>
      <protection locked="0"/>
    </xf>
    <xf numFmtId="166" fontId="6" fillId="5" borderId="2" xfId="1" applyNumberFormat="1" applyFont="1" applyFill="1" applyBorder="1" applyAlignment="1">
      <alignment horizontal="center" vertical="center"/>
    </xf>
    <xf numFmtId="166" fontId="6" fillId="5" borderId="2" xfId="1" applyNumberFormat="1" applyFont="1" applyFill="1" applyBorder="1" applyAlignment="1">
      <alignment vertical="center"/>
    </xf>
    <xf numFmtId="3" fontId="5" fillId="0" borderId="3" xfId="0" applyNumberFormat="1" applyFont="1" applyBorder="1" applyAlignment="1">
      <alignment horizontal="center" vertical="top" wrapText="1"/>
    </xf>
    <xf numFmtId="0" fontId="6" fillId="19" borderId="3" xfId="0" applyFont="1" applyFill="1" applyBorder="1" applyAlignment="1" applyProtection="1">
      <alignment horizontal="center" vertical="center" wrapText="1"/>
      <protection locked="0"/>
    </xf>
    <xf numFmtId="0" fontId="6" fillId="19" borderId="2" xfId="0" applyFont="1" applyFill="1" applyBorder="1" applyAlignment="1">
      <alignment horizontal="left" vertical="center" wrapText="1"/>
    </xf>
    <xf numFmtId="166" fontId="6" fillId="19" borderId="3" xfId="1" applyNumberFormat="1" applyFont="1" applyFill="1" applyBorder="1" applyAlignment="1">
      <alignment horizontal="center" vertical="center"/>
    </xf>
    <xf numFmtId="0" fontId="6" fillId="19" borderId="3" xfId="0" applyFont="1" applyFill="1" applyBorder="1" applyAlignment="1">
      <alignment horizontal="center" vertical="center"/>
    </xf>
    <xf numFmtId="0" fontId="6" fillId="19" borderId="0" xfId="0" applyFont="1" applyFill="1" applyAlignment="1">
      <alignment horizontal="center" vertical="center"/>
    </xf>
    <xf numFmtId="0" fontId="6" fillId="19" borderId="0" xfId="0" applyFont="1" applyFill="1" applyAlignment="1">
      <alignment vertical="center"/>
    </xf>
    <xf numFmtId="0" fontId="6" fillId="19" borderId="0" xfId="0" applyFont="1" applyFill="1" applyAlignment="1">
      <alignment horizontal="left" vertical="center"/>
    </xf>
    <xf numFmtId="0" fontId="6" fillId="5" borderId="3" xfId="0" applyFont="1" applyFill="1" applyBorder="1" applyAlignment="1" applyProtection="1">
      <alignment horizontal="center" vertical="center" wrapText="1"/>
      <protection locked="0"/>
    </xf>
    <xf numFmtId="166" fontId="18" fillId="5" borderId="3" xfId="1" applyNumberFormat="1" applyFont="1" applyFill="1" applyBorder="1" applyAlignment="1">
      <alignment vertical="center"/>
    </xf>
    <xf numFmtId="0" fontId="5" fillId="0" borderId="3" xfId="266" applyFont="1" applyBorder="1" applyAlignment="1">
      <alignment vertical="center" wrapText="1"/>
    </xf>
    <xf numFmtId="0" fontId="19" fillId="26" borderId="13" xfId="0" applyFont="1" applyFill="1" applyBorder="1" applyAlignment="1">
      <alignment horizontal="left" vertical="center" wrapText="1"/>
    </xf>
    <xf numFmtId="166" fontId="19" fillId="5" borderId="3" xfId="1" applyNumberFormat="1" applyFont="1" applyFill="1" applyBorder="1" applyAlignment="1">
      <alignment vertical="center"/>
    </xf>
    <xf numFmtId="0" fontId="19" fillId="26" borderId="0" xfId="0" applyFont="1" applyFill="1" applyAlignment="1">
      <alignment horizontal="left" vertical="center" wrapText="1"/>
    </xf>
    <xf numFmtId="166" fontId="19" fillId="26" borderId="13" xfId="0" applyNumberFormat="1" applyFont="1" applyFill="1" applyBorder="1" applyAlignment="1">
      <alignment vertical="center"/>
    </xf>
    <xf numFmtId="166" fontId="6" fillId="5" borderId="0" xfId="1" applyNumberFormat="1" applyFont="1" applyFill="1" applyBorder="1" applyAlignment="1">
      <alignment vertical="center"/>
    </xf>
    <xf numFmtId="0" fontId="5" fillId="0" borderId="3" xfId="73" applyFont="1" applyBorder="1" applyAlignment="1">
      <alignment vertical="center"/>
    </xf>
    <xf numFmtId="0" fontId="5" fillId="0" borderId="3" xfId="0" applyFont="1" applyBorder="1" applyAlignment="1" applyProtection="1">
      <alignment horizontal="center" vertical="center"/>
      <protection locked="0"/>
    </xf>
    <xf numFmtId="0" fontId="28" fillId="0" borderId="0" xfId="0" applyFont="1" applyAlignment="1">
      <alignment horizontal="left" vertical="center"/>
    </xf>
    <xf numFmtId="166" fontId="6" fillId="5" borderId="3" xfId="1" applyNumberFormat="1" applyFont="1" applyFill="1" applyBorder="1" applyAlignment="1">
      <alignment vertical="center" wrapText="1"/>
    </xf>
    <xf numFmtId="3" fontId="11" fillId="5" borderId="0" xfId="0" applyNumberFormat="1" applyFont="1" applyFill="1" applyAlignment="1">
      <alignment vertical="center"/>
    </xf>
    <xf numFmtId="0" fontId="19" fillId="26" borderId="13" xfId="0" applyFont="1" applyFill="1" applyBorder="1" applyAlignment="1">
      <alignment horizontal="left" vertical="center"/>
    </xf>
    <xf numFmtId="0" fontId="32" fillId="0" borderId="13" xfId="0" applyFont="1" applyBorder="1" applyAlignment="1">
      <alignment horizontal="left" vertical="center"/>
    </xf>
    <xf numFmtId="0" fontId="5" fillId="2" borderId="6" xfId="0" applyFont="1" applyFill="1" applyBorder="1" applyAlignment="1" applyProtection="1">
      <alignment horizontal="center" vertical="center"/>
      <protection locked="0"/>
    </xf>
    <xf numFmtId="0" fontId="18" fillId="0" borderId="3" xfId="0" applyFont="1" applyBorder="1" applyAlignment="1">
      <alignment vertical="center" wrapText="1"/>
    </xf>
    <xf numFmtId="166" fontId="5" fillId="2" borderId="8" xfId="1" applyNumberFormat="1" applyFont="1" applyFill="1" applyBorder="1" applyAlignment="1">
      <alignment horizontal="center" vertical="center"/>
    </xf>
    <xf numFmtId="0" fontId="32" fillId="3" borderId="13" xfId="0" quotePrefix="1" applyFont="1" applyFill="1" applyBorder="1" applyAlignment="1">
      <alignment horizontal="left" vertical="center"/>
    </xf>
    <xf numFmtId="0" fontId="32" fillId="27" borderId="13" xfId="0" quotePrefix="1" applyFont="1" applyFill="1" applyBorder="1" applyAlignment="1">
      <alignment horizontal="left" vertical="center"/>
    </xf>
    <xf numFmtId="0" fontId="32" fillId="3" borderId="13" xfId="0" applyFont="1" applyFill="1" applyBorder="1" applyAlignment="1">
      <alignment horizontal="left" vertical="center"/>
    </xf>
    <xf numFmtId="0" fontId="5" fillId="3" borderId="3" xfId="0" quotePrefix="1" applyFont="1" applyFill="1" applyBorder="1" applyAlignment="1">
      <alignment horizontal="left" vertical="center"/>
    </xf>
    <xf numFmtId="0" fontId="18" fillId="2" borderId="3" xfId="0" applyFont="1" applyFill="1" applyBorder="1" applyAlignment="1">
      <alignment vertical="center"/>
    </xf>
    <xf numFmtId="0" fontId="18" fillId="2" borderId="0" xfId="0" applyFont="1" applyFill="1" applyAlignment="1">
      <alignment vertical="center"/>
    </xf>
    <xf numFmtId="0" fontId="5" fillId="3" borderId="0" xfId="0" quotePrefix="1" applyFont="1" applyFill="1" applyAlignment="1">
      <alignment horizontal="left" vertical="center"/>
    </xf>
    <xf numFmtId="0" fontId="5" fillId="3" borderId="3" xfId="0" applyFont="1" applyFill="1" applyBorder="1" applyAlignment="1">
      <alignment horizontal="left" vertical="center"/>
    </xf>
    <xf numFmtId="0" fontId="5" fillId="0" borderId="3" xfId="0" applyFont="1" applyBorder="1" applyAlignment="1">
      <alignment horizontal="left" vertical="center"/>
    </xf>
    <xf numFmtId="0" fontId="32" fillId="3" borderId="15" xfId="0" quotePrefix="1" applyFont="1" applyFill="1" applyBorder="1" applyAlignment="1">
      <alignment horizontal="left" vertical="center"/>
    </xf>
    <xf numFmtId="0" fontId="32" fillId="21" borderId="13" xfId="0" applyFont="1" applyFill="1" applyBorder="1" applyAlignment="1">
      <alignment horizontal="left" vertical="center"/>
    </xf>
    <xf numFmtId="0" fontId="38" fillId="18" borderId="3" xfId="0" applyFont="1" applyFill="1" applyBorder="1" applyAlignment="1">
      <alignment horizontal="center" vertical="center" wrapText="1"/>
    </xf>
    <xf numFmtId="49" fontId="36" fillId="2" borderId="3" xfId="268" quotePrefix="1" applyNumberFormat="1" applyFont="1" applyFill="1" applyBorder="1" applyAlignment="1" applyProtection="1">
      <alignment horizontal="center" vertical="center" wrapText="1"/>
      <protection locked="0"/>
    </xf>
    <xf numFmtId="0" fontId="46" fillId="2" borderId="3" xfId="0" applyFont="1" applyFill="1" applyBorder="1" applyAlignment="1">
      <alignment horizontal="left" vertical="center"/>
    </xf>
    <xf numFmtId="166" fontId="13" fillId="2" borderId="3" xfId="1" applyNumberFormat="1" applyFont="1" applyFill="1" applyBorder="1" applyAlignment="1">
      <alignment horizontal="left" vertical="center" wrapText="1"/>
    </xf>
    <xf numFmtId="43" fontId="13" fillId="2" borderId="3" xfId="1" applyFont="1" applyFill="1" applyBorder="1" applyAlignment="1">
      <alignment vertical="center"/>
    </xf>
    <xf numFmtId="0" fontId="37" fillId="2" borderId="3" xfId="0" applyFont="1" applyFill="1" applyBorder="1" applyAlignment="1">
      <alignment horizontal="center" vertical="center"/>
    </xf>
    <xf numFmtId="166" fontId="49" fillId="2" borderId="0" xfId="0" applyNumberFormat="1" applyFont="1" applyFill="1" applyAlignment="1">
      <alignment horizontal="center" vertical="center"/>
    </xf>
    <xf numFmtId="166" fontId="37" fillId="2" borderId="0" xfId="0" applyNumberFormat="1" applyFont="1" applyFill="1" applyAlignment="1">
      <alignment horizontal="center" vertical="center"/>
    </xf>
    <xf numFmtId="166" fontId="37" fillId="2" borderId="0" xfId="0" applyNumberFormat="1" applyFont="1" applyFill="1" applyAlignment="1">
      <alignment vertical="center"/>
    </xf>
    <xf numFmtId="170" fontId="37" fillId="24" borderId="0" xfId="1" applyNumberFormat="1" applyFont="1" applyFill="1" applyAlignment="1">
      <alignment vertical="center"/>
    </xf>
    <xf numFmtId="0" fontId="37" fillId="2" borderId="0" xfId="0" applyFont="1" applyFill="1" applyAlignment="1">
      <alignment vertical="center"/>
    </xf>
    <xf numFmtId="43" fontId="13" fillId="2" borderId="3" xfId="1" applyFont="1" applyFill="1" applyBorder="1" applyAlignment="1">
      <alignment horizontal="right" vertical="center"/>
    </xf>
    <xf numFmtId="43" fontId="6" fillId="23" borderId="3" xfId="1" applyFont="1" applyFill="1" applyBorder="1" applyAlignment="1">
      <alignment horizontal="right" vertical="center"/>
    </xf>
    <xf numFmtId="43" fontId="29" fillId="23" borderId="0" xfId="0" applyNumberFormat="1" applyFont="1" applyFill="1" applyAlignment="1">
      <alignment horizontal="center" vertical="center"/>
    </xf>
    <xf numFmtId="43" fontId="6" fillId="2" borderId="3" xfId="1" applyFont="1" applyFill="1" applyBorder="1" applyAlignment="1">
      <alignment horizontal="right" vertical="center"/>
    </xf>
    <xf numFmtId="43" fontId="29" fillId="2" borderId="0" xfId="1" applyFont="1" applyFill="1" applyAlignment="1">
      <alignment vertical="center"/>
    </xf>
    <xf numFmtId="43" fontId="32" fillId="0" borderId="3" xfId="1" applyFont="1" applyFill="1" applyBorder="1" applyAlignment="1">
      <alignment vertical="center" wrapText="1"/>
    </xf>
    <xf numFmtId="43" fontId="6" fillId="0" borderId="3" xfId="1" applyFont="1" applyFill="1" applyBorder="1" applyAlignment="1">
      <alignment horizontal="right" vertical="center"/>
    </xf>
    <xf numFmtId="43" fontId="32" fillId="3" borderId="3" xfId="1" applyFont="1" applyFill="1" applyBorder="1" applyAlignment="1">
      <alignment vertical="center" wrapText="1"/>
    </xf>
    <xf numFmtId="0" fontId="28" fillId="2" borderId="3" xfId="0" applyFont="1" applyFill="1" applyBorder="1" applyAlignment="1">
      <alignment horizontal="left" vertical="center"/>
    </xf>
    <xf numFmtId="49" fontId="36" fillId="2" borderId="3" xfId="1" quotePrefix="1" applyNumberFormat="1" applyFont="1" applyFill="1" applyBorder="1" applyAlignment="1">
      <alignment horizontal="center" vertical="center"/>
    </xf>
    <xf numFmtId="0" fontId="36" fillId="0" borderId="6" xfId="0" applyFont="1" applyBorder="1" applyAlignment="1">
      <alignment vertical="center"/>
    </xf>
    <xf numFmtId="1" fontId="32" fillId="2" borderId="14" xfId="0" applyNumberFormat="1" applyFont="1" applyFill="1" applyBorder="1" applyAlignment="1">
      <alignment horizontal="center" vertical="center"/>
    </xf>
    <xf numFmtId="0" fontId="32" fillId="2" borderId="6" xfId="0" applyFont="1" applyFill="1" applyBorder="1" applyAlignment="1">
      <alignment vertical="center"/>
    </xf>
    <xf numFmtId="49" fontId="13" fillId="2" borderId="3" xfId="0" applyNumberFormat="1" applyFont="1" applyFill="1" applyBorder="1" applyAlignment="1">
      <alignment horizontal="center" vertical="center"/>
    </xf>
    <xf numFmtId="2" fontId="13" fillId="2" borderId="3" xfId="0" applyNumberFormat="1" applyFont="1" applyFill="1" applyBorder="1" applyAlignment="1">
      <alignment horizontal="right" vertical="center"/>
    </xf>
    <xf numFmtId="0" fontId="32" fillId="0" borderId="6" xfId="0" applyFont="1" applyBorder="1" applyAlignment="1">
      <alignment vertical="center"/>
    </xf>
    <xf numFmtId="49" fontId="13" fillId="0" borderId="3" xfId="0" applyNumberFormat="1" applyFont="1" applyBorder="1" applyAlignment="1">
      <alignment horizontal="center" vertical="center"/>
    </xf>
    <xf numFmtId="0" fontId="13" fillId="0" borderId="3" xfId="0" applyFont="1" applyBorder="1" applyAlignment="1">
      <alignment horizontal="center" vertical="center"/>
    </xf>
    <xf numFmtId="2" fontId="13" fillId="0" borderId="3" xfId="0" applyNumberFormat="1" applyFont="1" applyBorder="1" applyAlignment="1">
      <alignment horizontal="right" vertical="center"/>
    </xf>
    <xf numFmtId="0" fontId="13" fillId="2" borderId="3" xfId="0" applyFont="1" applyFill="1" applyBorder="1" applyAlignment="1">
      <alignment horizontal="left" vertical="center"/>
    </xf>
    <xf numFmtId="0" fontId="13" fillId="0" borderId="3" xfId="0" applyFont="1" applyBorder="1" applyAlignment="1">
      <alignment horizontal="left" vertical="center"/>
    </xf>
    <xf numFmtId="0" fontId="38" fillId="0" borderId="6" xfId="0" applyFont="1" applyBorder="1" applyAlignment="1">
      <alignment vertical="center"/>
    </xf>
    <xf numFmtId="0" fontId="50" fillId="0" borderId="7" xfId="0" applyFont="1" applyBorder="1" applyAlignment="1">
      <alignment vertical="center"/>
    </xf>
    <xf numFmtId="2" fontId="50" fillId="0" borderId="7" xfId="0" applyNumberFormat="1" applyFont="1" applyBorder="1" applyAlignment="1">
      <alignment horizontal="right" vertical="center"/>
    </xf>
    <xf numFmtId="0" fontId="13" fillId="0" borderId="3" xfId="0" applyFont="1" applyBorder="1" applyAlignment="1">
      <alignment horizontal="left" vertical="center" wrapText="1"/>
    </xf>
    <xf numFmtId="0" fontId="51" fillId="13" borderId="3" xfId="0" applyFont="1" applyFill="1" applyBorder="1" applyAlignment="1">
      <alignment vertical="center" wrapText="1"/>
    </xf>
    <xf numFmtId="0" fontId="38" fillId="0" borderId="7" xfId="0" applyFont="1" applyBorder="1" applyAlignment="1">
      <alignment vertical="center"/>
    </xf>
    <xf numFmtId="0" fontId="38" fillId="0" borderId="7" xfId="0" applyFont="1" applyBorder="1" applyAlignment="1">
      <alignment horizontal="center" vertical="center"/>
    </xf>
    <xf numFmtId="0" fontId="38" fillId="0" borderId="6" xfId="0" applyFont="1" applyBorder="1" applyAlignment="1">
      <alignment horizontal="left" vertical="center"/>
    </xf>
    <xf numFmtId="0" fontId="38" fillId="0" borderId="7" xfId="0" applyFont="1" applyBorder="1" applyAlignment="1">
      <alignment horizontal="left" vertical="center"/>
    </xf>
    <xf numFmtId="49" fontId="38" fillId="0" borderId="6" xfId="0" applyNumberFormat="1" applyFont="1" applyBorder="1" applyAlignment="1">
      <alignment vertical="center"/>
    </xf>
    <xf numFmtId="49" fontId="38" fillId="0" borderId="7" xfId="0" applyNumberFormat="1" applyFont="1" applyBorder="1" applyAlignment="1">
      <alignment vertical="center"/>
    </xf>
    <xf numFmtId="0" fontId="0" fillId="0" borderId="3" xfId="0" applyBorder="1"/>
    <xf numFmtId="1" fontId="36" fillId="0" borderId="8" xfId="0" applyNumberFormat="1" applyFont="1" applyBorder="1" applyAlignment="1">
      <alignment horizontal="center" vertical="center"/>
    </xf>
    <xf numFmtId="43" fontId="5" fillId="3" borderId="3" xfId="1" applyFont="1" applyFill="1" applyBorder="1" applyAlignment="1">
      <alignment horizontal="right" vertical="center"/>
    </xf>
    <xf numFmtId="166" fontId="32" fillId="0" borderId="3" xfId="1" applyNumberFormat="1" applyFont="1" applyFill="1" applyBorder="1" applyAlignment="1">
      <alignment horizontal="left" vertical="center"/>
    </xf>
    <xf numFmtId="166" fontId="6" fillId="23" borderId="3" xfId="3" applyNumberFormat="1" applyFont="1" applyFill="1" applyBorder="1" applyAlignment="1">
      <alignment horizontal="center" vertical="center"/>
    </xf>
    <xf numFmtId="166" fontId="6" fillId="23" borderId="3" xfId="3" applyNumberFormat="1" applyFont="1" applyFill="1" applyBorder="1" applyAlignment="1">
      <alignment horizontal="right" vertical="center"/>
    </xf>
    <xf numFmtId="2" fontId="32" fillId="0" borderId="3" xfId="0" applyNumberFormat="1" applyFont="1" applyBorder="1" applyAlignment="1">
      <alignment vertical="center" wrapText="1"/>
    </xf>
    <xf numFmtId="43" fontId="32" fillId="0" borderId="3" xfId="1" applyFont="1" applyFill="1" applyBorder="1" applyAlignment="1">
      <alignment horizontal="right" wrapText="1"/>
    </xf>
    <xf numFmtId="173" fontId="36" fillId="0" borderId="3" xfId="31" applyFont="1" applyBorder="1" applyAlignment="1">
      <alignment horizontal="left" vertical="center" wrapText="1"/>
    </xf>
    <xf numFmtId="43" fontId="32" fillId="0" borderId="3" xfId="1" applyFont="1" applyFill="1" applyBorder="1" applyAlignment="1">
      <alignment vertical="center"/>
    </xf>
    <xf numFmtId="0" fontId="32" fillId="0" borderId="3" xfId="5" applyNumberFormat="1" applyFont="1" applyFill="1" applyBorder="1" applyAlignment="1">
      <alignment horizontal="left" vertical="center" wrapText="1"/>
    </xf>
    <xf numFmtId="1" fontId="32" fillId="0" borderId="3" xfId="0" applyNumberFormat="1" applyFont="1" applyBorder="1" applyAlignment="1">
      <alignment horizontal="center"/>
    </xf>
    <xf numFmtId="43" fontId="6" fillId="0" borderId="3" xfId="1" applyFont="1" applyFill="1" applyBorder="1" applyAlignment="1">
      <alignment vertical="center"/>
    </xf>
    <xf numFmtId="43" fontId="44" fillId="0" borderId="8" xfId="1" applyFont="1" applyFill="1" applyBorder="1" applyAlignment="1">
      <alignment vertical="center"/>
    </xf>
    <xf numFmtId="43" fontId="44" fillId="0" borderId="3" xfId="1" applyFont="1" applyFill="1" applyBorder="1" applyAlignment="1">
      <alignment horizontal="center" vertical="center" wrapText="1"/>
    </xf>
    <xf numFmtId="0" fontId="29" fillId="2" borderId="3" xfId="0" applyFont="1" applyFill="1" applyBorder="1" applyAlignment="1">
      <alignment horizontal="left" vertical="center"/>
    </xf>
    <xf numFmtId="166" fontId="32" fillId="0" borderId="3" xfId="1" applyNumberFormat="1" applyFont="1" applyFill="1" applyBorder="1" applyAlignment="1">
      <alignment horizontal="left" vertical="center" wrapText="1"/>
    </xf>
    <xf numFmtId="43" fontId="5" fillId="0" borderId="3" xfId="1" applyFont="1" applyFill="1" applyBorder="1" applyAlignment="1">
      <alignment vertical="center"/>
    </xf>
    <xf numFmtId="43" fontId="32" fillId="0" borderId="3" xfId="1" applyFont="1" applyFill="1" applyBorder="1" applyAlignment="1">
      <alignment horizontal="center" vertical="center" wrapText="1"/>
    </xf>
    <xf numFmtId="2" fontId="52" fillId="0" borderId="3" xfId="0" applyNumberFormat="1" applyFont="1" applyBorder="1" applyAlignment="1">
      <alignment vertical="center" wrapText="1"/>
    </xf>
    <xf numFmtId="43" fontId="52" fillId="0" borderId="3" xfId="1" applyFont="1" applyFill="1" applyBorder="1" applyAlignment="1">
      <alignment horizontal="center" vertical="center" wrapText="1"/>
    </xf>
    <xf numFmtId="0" fontId="6" fillId="5" borderId="3" xfId="0" applyFont="1" applyFill="1" applyBorder="1" applyAlignment="1" applyProtection="1">
      <alignment vertical="center" wrapText="1"/>
      <protection locked="0"/>
    </xf>
    <xf numFmtId="0" fontId="6" fillId="5" borderId="3" xfId="0" applyFont="1" applyFill="1" applyBorder="1" applyAlignment="1">
      <alignment horizontal="center" vertical="center" wrapText="1"/>
    </xf>
    <xf numFmtId="166" fontId="6" fillId="5" borderId="3" xfId="0" applyNumberFormat="1" applyFont="1" applyFill="1" applyBorder="1" applyAlignment="1">
      <alignment vertical="center"/>
    </xf>
    <xf numFmtId="166" fontId="5" fillId="0" borderId="0" xfId="0" applyNumberFormat="1" applyFont="1" applyAlignment="1">
      <alignment horizontal="center" vertical="center"/>
    </xf>
    <xf numFmtId="0" fontId="6" fillId="8" borderId="3" xfId="0" applyFont="1" applyFill="1" applyBorder="1" applyAlignment="1" applyProtection="1">
      <alignment horizontal="center" vertical="center"/>
      <protection locked="0"/>
    </xf>
    <xf numFmtId="0" fontId="6" fillId="8" borderId="3" xfId="0" applyFont="1" applyFill="1" applyBorder="1" applyAlignment="1" applyProtection="1">
      <alignment vertical="center" wrapText="1"/>
      <protection locked="0"/>
    </xf>
    <xf numFmtId="0" fontId="6" fillId="8" borderId="3" xfId="0" applyFont="1" applyFill="1" applyBorder="1" applyAlignment="1">
      <alignment horizontal="center" vertical="center" wrapText="1"/>
    </xf>
    <xf numFmtId="166" fontId="6" fillId="8" borderId="3" xfId="1" applyNumberFormat="1" applyFont="1" applyFill="1" applyBorder="1" applyAlignment="1">
      <alignment vertical="center"/>
    </xf>
    <xf numFmtId="166" fontId="6" fillId="8" borderId="3" xfId="3" applyNumberFormat="1" applyFont="1" applyFill="1" applyBorder="1" applyAlignment="1">
      <alignment horizontal="right" vertical="center"/>
    </xf>
    <xf numFmtId="166" fontId="29" fillId="0" borderId="0" xfId="0" applyNumberFormat="1" applyFont="1" applyAlignment="1">
      <alignment horizontal="center" vertical="center"/>
    </xf>
    <xf numFmtId="0" fontId="5" fillId="0" borderId="3" xfId="0" applyFont="1" applyBorder="1" applyAlignment="1">
      <alignment horizontal="center" vertical="center" wrapText="1"/>
    </xf>
    <xf numFmtId="166" fontId="5" fillId="0" borderId="3" xfId="3" applyNumberFormat="1" applyFont="1" applyFill="1" applyBorder="1" applyAlignment="1">
      <alignment horizontal="right" vertical="center"/>
    </xf>
    <xf numFmtId="171" fontId="28" fillId="0" borderId="3"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0" xfId="0" applyNumberFormat="1" applyFont="1" applyAlignment="1">
      <alignment vertical="center"/>
    </xf>
    <xf numFmtId="170" fontId="28" fillId="0" borderId="0" xfId="1" applyNumberFormat="1" applyFont="1" applyFill="1" applyAlignment="1">
      <alignment vertical="center"/>
    </xf>
    <xf numFmtId="43" fontId="6" fillId="0" borderId="3" xfId="1" applyFont="1" applyFill="1" applyBorder="1" applyAlignment="1">
      <alignment horizontal="center" vertical="center" wrapText="1"/>
    </xf>
    <xf numFmtId="43" fontId="6" fillId="23" borderId="3" xfId="1" applyFont="1" applyFill="1" applyBorder="1" applyAlignment="1">
      <alignment horizontal="center" vertical="center" wrapText="1"/>
    </xf>
    <xf numFmtId="43" fontId="36" fillId="0" borderId="3" xfId="1" applyFont="1" applyFill="1" applyBorder="1" applyAlignment="1">
      <alignment horizontal="center" vertical="center"/>
    </xf>
    <xf numFmtId="43" fontId="18" fillId="0" borderId="3" xfId="1" applyFont="1" applyFill="1" applyBorder="1" applyAlignment="1">
      <alignment vertical="center"/>
    </xf>
    <xf numFmtId="43" fontId="32" fillId="0" borderId="3" xfId="1" applyFont="1" applyFill="1" applyBorder="1" applyAlignment="1">
      <alignment horizontal="center" vertical="center"/>
    </xf>
    <xf numFmtId="0" fontId="28" fillId="24" borderId="0" xfId="0" applyFont="1" applyFill="1" applyAlignment="1">
      <alignment horizontal="left" vertical="center"/>
    </xf>
    <xf numFmtId="0" fontId="53" fillId="0" borderId="13" xfId="0" applyFont="1" applyBorder="1" applyAlignment="1">
      <alignment horizontal="left" vertical="top" wrapText="1" readingOrder="1"/>
    </xf>
    <xf numFmtId="167" fontId="5" fillId="3" borderId="3" xfId="1" quotePrefix="1" applyNumberFormat="1" applyFont="1" applyFill="1" applyBorder="1" applyAlignment="1">
      <alignment horizontal="center" vertical="center" readingOrder="1"/>
    </xf>
    <xf numFmtId="167" fontId="5" fillId="3" borderId="3" xfId="1" applyNumberFormat="1" applyFont="1" applyFill="1" applyBorder="1" applyAlignment="1">
      <alignment horizontal="left" vertical="center" wrapText="1" readingOrder="1"/>
    </xf>
    <xf numFmtId="166" fontId="5" fillId="3" borderId="3" xfId="1" quotePrefix="1" applyNumberFormat="1" applyFont="1" applyFill="1" applyBorder="1" applyAlignment="1">
      <alignment horizontal="center" vertical="center" readingOrder="1"/>
    </xf>
    <xf numFmtId="43" fontId="5" fillId="0" borderId="0" xfId="0" applyNumberFormat="1" applyFont="1" applyAlignment="1">
      <alignment vertical="center"/>
    </xf>
    <xf numFmtId="0" fontId="36" fillId="0" borderId="0" xfId="0" applyFont="1" applyAlignment="1">
      <alignment horizontal="center"/>
    </xf>
    <xf numFmtId="0" fontId="36" fillId="0" borderId="0" xfId="0" applyFont="1"/>
    <xf numFmtId="0" fontId="54" fillId="28" borderId="18" xfId="0" applyFont="1" applyFill="1" applyBorder="1" applyAlignment="1">
      <alignment horizontal="center" vertical="center" wrapText="1" readingOrder="1"/>
    </xf>
    <xf numFmtId="0" fontId="55" fillId="13" borderId="18" xfId="0" applyFont="1" applyFill="1" applyBorder="1" applyAlignment="1">
      <alignment horizontal="center" vertical="center" wrapText="1" readingOrder="1"/>
    </xf>
    <xf numFmtId="0" fontId="5" fillId="13" borderId="18" xfId="0" applyFont="1" applyFill="1" applyBorder="1" applyAlignment="1">
      <alignment horizontal="center" vertical="center" wrapText="1"/>
    </xf>
    <xf numFmtId="0" fontId="56" fillId="0" borderId="18" xfId="0" applyFont="1" applyBorder="1" applyAlignment="1">
      <alignment horizontal="center" vertical="center" wrapText="1" readingOrder="1"/>
    </xf>
    <xf numFmtId="0" fontId="55" fillId="0" borderId="18" xfId="0" applyFont="1" applyBorder="1" applyAlignment="1">
      <alignment horizontal="center" vertical="center" wrapText="1" readingOrder="1"/>
    </xf>
    <xf numFmtId="0" fontId="56" fillId="0" borderId="18" xfId="0" applyFont="1" applyBorder="1" applyAlignment="1">
      <alignment horizontal="left" vertical="center" wrapText="1" readingOrder="1"/>
    </xf>
    <xf numFmtId="0" fontId="56" fillId="0" borderId="19" xfId="0" applyFont="1" applyBorder="1" applyAlignment="1">
      <alignment horizontal="left" vertical="center" wrapText="1" readingOrder="1"/>
    </xf>
    <xf numFmtId="0" fontId="5" fillId="0" borderId="18" xfId="0" applyFont="1" applyBorder="1" applyAlignment="1">
      <alignment horizontal="center" vertical="center" wrapText="1"/>
    </xf>
    <xf numFmtId="0" fontId="5" fillId="0" borderId="18" xfId="0" applyFont="1" applyBorder="1" applyAlignment="1">
      <alignment vertical="center" wrapText="1"/>
    </xf>
    <xf numFmtId="0" fontId="56" fillId="0" borderId="19" xfId="0" quotePrefix="1" applyFont="1" applyBorder="1" applyAlignment="1">
      <alignment horizontal="left" vertical="center" wrapText="1" readingOrder="1"/>
    </xf>
    <xf numFmtId="0" fontId="56" fillId="0" borderId="19" xfId="0" applyFont="1" applyBorder="1" applyAlignment="1">
      <alignment horizontal="center" vertical="center" wrapText="1" readingOrder="1"/>
    </xf>
    <xf numFmtId="0" fontId="55" fillId="0" borderId="19" xfId="0" applyFont="1" applyBorder="1" applyAlignment="1">
      <alignment horizontal="center" vertical="center" wrapText="1" readingOrder="1"/>
    </xf>
    <xf numFmtId="0" fontId="54" fillId="17" borderId="13" xfId="0" applyFont="1" applyFill="1" applyBorder="1" applyAlignment="1">
      <alignment horizontal="center" vertical="center" wrapText="1" readingOrder="1"/>
    </xf>
    <xf numFmtId="0" fontId="56" fillId="0" borderId="13" xfId="0" applyFont="1" applyBorder="1" applyAlignment="1">
      <alignment horizontal="left" vertical="center" wrapText="1" readingOrder="1"/>
    </xf>
    <xf numFmtId="0" fontId="55" fillId="0" borderId="13" xfId="0" applyFont="1" applyBorder="1" applyAlignment="1">
      <alignment horizontal="center" vertical="center" wrapText="1" readingOrder="1"/>
    </xf>
    <xf numFmtId="0" fontId="56" fillId="0" borderId="13" xfId="0" applyFont="1" applyBorder="1" applyAlignment="1">
      <alignment horizontal="left" wrapText="1" readingOrder="1"/>
    </xf>
    <xf numFmtId="0" fontId="56" fillId="0" borderId="13" xfId="0" applyFont="1" applyBorder="1" applyAlignment="1">
      <alignment horizontal="center" vertical="center" wrapText="1" readingOrder="1"/>
    </xf>
    <xf numFmtId="0" fontId="56" fillId="0" borderId="15" xfId="0" applyFont="1" applyBorder="1" applyAlignment="1">
      <alignment horizontal="left" wrapText="1" readingOrder="1"/>
    </xf>
    <xf numFmtId="0" fontId="56" fillId="0" borderId="15" xfId="0" applyFont="1" applyBorder="1" applyAlignment="1">
      <alignment horizontal="center" vertical="center" wrapText="1" readingOrder="1"/>
    </xf>
    <xf numFmtId="0" fontId="56" fillId="0" borderId="15" xfId="0" applyFont="1" applyBorder="1" applyAlignment="1">
      <alignment horizontal="left" vertical="center" wrapText="1" readingOrder="1"/>
    </xf>
    <xf numFmtId="0" fontId="56" fillId="0" borderId="15" xfId="0" quotePrefix="1" applyFont="1" applyBorder="1" applyAlignment="1">
      <alignment horizontal="left" wrapText="1" readingOrder="1"/>
    </xf>
    <xf numFmtId="0" fontId="54" fillId="17" borderId="18" xfId="0" applyFont="1" applyFill="1" applyBorder="1" applyAlignment="1">
      <alignment horizontal="center" vertical="center" wrapText="1" readingOrder="1"/>
    </xf>
    <xf numFmtId="0" fontId="54" fillId="28" borderId="3" xfId="0" applyFont="1" applyFill="1" applyBorder="1" applyAlignment="1">
      <alignment horizontal="center" vertical="center" wrapText="1" readingOrder="1"/>
    </xf>
    <xf numFmtId="0" fontId="55" fillId="0" borderId="3" xfId="0" applyFont="1" applyBorder="1" applyAlignment="1">
      <alignment horizontal="center" vertical="center" wrapText="1" readingOrder="1"/>
    </xf>
    <xf numFmtId="0" fontId="55" fillId="0" borderId="3" xfId="0" applyFont="1" applyBorder="1" applyAlignment="1">
      <alignment horizontal="left" vertical="center" wrapText="1" readingOrder="1"/>
    </xf>
    <xf numFmtId="0" fontId="56" fillId="0" borderId="3" xfId="0" applyFont="1" applyBorder="1" applyAlignment="1">
      <alignment horizontal="center" vertical="center" wrapText="1" readingOrder="1"/>
    </xf>
    <xf numFmtId="0" fontId="56" fillId="0" borderId="3" xfId="0" applyFont="1" applyBorder="1" applyAlignment="1">
      <alignment horizontal="left" vertical="center" wrapText="1" readingOrder="1"/>
    </xf>
    <xf numFmtId="0" fontId="57" fillId="0" borderId="3" xfId="0" applyFont="1" applyBorder="1" applyAlignment="1">
      <alignment horizontal="left" vertical="center" wrapText="1" readingOrder="1"/>
    </xf>
    <xf numFmtId="0" fontId="5" fillId="0" borderId="3" xfId="0" applyFont="1" applyBorder="1" applyAlignment="1">
      <alignment vertical="center" wrapText="1"/>
    </xf>
    <xf numFmtId="0" fontId="57" fillId="0" borderId="3" xfId="0" quotePrefix="1" applyFont="1" applyBorder="1" applyAlignment="1">
      <alignment horizontal="left" vertical="center" wrapText="1" readingOrder="1"/>
    </xf>
    <xf numFmtId="0" fontId="54" fillId="17" borderId="3" xfId="0" applyFont="1" applyFill="1" applyBorder="1" applyAlignment="1">
      <alignment horizontal="center" vertical="center" wrapText="1" readingOrder="1"/>
    </xf>
    <xf numFmtId="0" fontId="46" fillId="0" borderId="0" xfId="0" applyFont="1"/>
    <xf numFmtId="0" fontId="5" fillId="0" borderId="3" xfId="0" quotePrefix="1" applyFont="1" applyBorder="1" applyAlignment="1">
      <alignment horizontal="left" vertical="center" wrapText="1" indent="1" readingOrder="1"/>
    </xf>
    <xf numFmtId="0" fontId="5" fillId="0" borderId="13" xfId="0" applyFont="1" applyBorder="1" applyAlignment="1">
      <alignment horizontal="center" vertical="center" wrapText="1"/>
    </xf>
    <xf numFmtId="0" fontId="55" fillId="0" borderId="13" xfId="0" applyFont="1" applyBorder="1" applyAlignment="1">
      <alignment horizontal="right" vertical="center" wrapText="1" readingOrder="1"/>
    </xf>
    <xf numFmtId="0" fontId="55" fillId="0" borderId="13" xfId="0" applyFont="1" applyBorder="1" applyAlignment="1">
      <alignment horizontal="left" vertical="center" wrapText="1" readingOrder="1"/>
    </xf>
    <xf numFmtId="0" fontId="56" fillId="0" borderId="15" xfId="0" applyFont="1" applyBorder="1" applyAlignment="1">
      <alignment horizontal="right" vertical="center" wrapText="1" readingOrder="1"/>
    </xf>
    <xf numFmtId="0" fontId="55" fillId="0" borderId="3" xfId="0" applyFont="1" applyBorder="1" applyAlignment="1">
      <alignment horizontal="right" vertical="center" wrapText="1" readingOrder="1"/>
    </xf>
    <xf numFmtId="0" fontId="56" fillId="0" borderId="3" xfId="0" applyFont="1" applyBorder="1" applyAlignment="1">
      <alignment horizontal="left" wrapText="1" readingOrder="1"/>
    </xf>
    <xf numFmtId="0" fontId="56" fillId="0" borderId="3" xfId="0" applyFont="1" applyBorder="1" applyAlignment="1">
      <alignment horizontal="right" vertical="center" wrapText="1" readingOrder="1"/>
    </xf>
    <xf numFmtId="0" fontId="56" fillId="0" borderId="13" xfId="0" applyFont="1" applyBorder="1" applyAlignment="1">
      <alignment horizontal="justify" vertical="center" wrapText="1" readingOrder="1"/>
    </xf>
    <xf numFmtId="0" fontId="55" fillId="0" borderId="13" xfId="0" applyFont="1" applyBorder="1" applyAlignment="1">
      <alignment horizontal="justify" vertical="center" wrapText="1" readingOrder="1"/>
    </xf>
    <xf numFmtId="0" fontId="56" fillId="0" borderId="13" xfId="0" applyFont="1" applyBorder="1" applyAlignment="1">
      <alignment horizontal="right" vertical="center" wrapText="1" readingOrder="1"/>
    </xf>
    <xf numFmtId="0" fontId="56" fillId="0" borderId="15" xfId="0" quotePrefix="1" applyFont="1" applyBorder="1" applyAlignment="1">
      <alignment horizontal="left" vertical="center" wrapText="1" readingOrder="1"/>
    </xf>
    <xf numFmtId="0" fontId="56" fillId="0" borderId="15" xfId="0" applyFont="1" applyBorder="1" applyAlignment="1">
      <alignment horizontal="justify" vertical="center" wrapText="1" readingOrder="1"/>
    </xf>
    <xf numFmtId="0" fontId="54" fillId="28" borderId="13" xfId="0" applyFont="1" applyFill="1" applyBorder="1" applyAlignment="1">
      <alignment horizontal="center" vertical="center" wrapText="1" readingOrder="1"/>
    </xf>
    <xf numFmtId="0" fontId="5" fillId="0" borderId="13" xfId="0" applyFont="1" applyBorder="1" applyAlignment="1">
      <alignment vertical="center" wrapText="1"/>
    </xf>
    <xf numFmtId="0" fontId="55" fillId="0" borderId="15" xfId="0" applyFont="1" applyBorder="1" applyAlignment="1">
      <alignment horizontal="left" vertical="center" wrapText="1" readingOrder="1"/>
    </xf>
    <xf numFmtId="0" fontId="55" fillId="0" borderId="15" xfId="0" applyFont="1" applyBorder="1" applyAlignment="1">
      <alignment horizontal="center" vertical="center" wrapText="1" readingOrder="1"/>
    </xf>
    <xf numFmtId="0" fontId="54" fillId="10" borderId="18" xfId="0" applyFont="1" applyFill="1" applyBorder="1" applyAlignment="1">
      <alignment horizontal="center" vertical="center" wrapText="1" readingOrder="1"/>
    </xf>
    <xf numFmtId="3" fontId="55" fillId="0" borderId="18" xfId="0" applyNumberFormat="1" applyFont="1" applyBorder="1" applyAlignment="1">
      <alignment horizontal="center" wrapText="1" readingOrder="1"/>
    </xf>
    <xf numFmtId="3" fontId="55" fillId="0" borderId="18" xfId="0" applyNumberFormat="1" applyFont="1" applyBorder="1" applyAlignment="1">
      <alignment horizontal="center" vertical="center" wrapText="1" readingOrder="1"/>
    </xf>
    <xf numFmtId="3" fontId="56" fillId="0" borderId="18" xfId="0" applyNumberFormat="1" applyFont="1" applyBorder="1" applyAlignment="1">
      <alignment horizontal="center" vertical="center" wrapText="1" readingOrder="1"/>
    </xf>
    <xf numFmtId="0" fontId="56" fillId="0" borderId="18" xfId="0" applyFont="1" applyBorder="1" applyAlignment="1">
      <alignment horizontal="left" vertical="top" wrapText="1" readingOrder="1"/>
    </xf>
    <xf numFmtId="3" fontId="56" fillId="0" borderId="19" xfId="0" applyNumberFormat="1" applyFont="1" applyBorder="1" applyAlignment="1">
      <alignment horizontal="center" vertical="center" wrapText="1" readingOrder="1"/>
    </xf>
    <xf numFmtId="3" fontId="56" fillId="0" borderId="18" xfId="0" applyNumberFormat="1" applyFont="1" applyBorder="1" applyAlignment="1">
      <alignment horizontal="center" wrapText="1" readingOrder="1"/>
    </xf>
    <xf numFmtId="9" fontId="5" fillId="0" borderId="3" xfId="2" applyFont="1" applyFill="1" applyBorder="1" applyAlignment="1">
      <alignment horizontal="center" vertical="center" wrapText="1" readingOrder="1"/>
    </xf>
    <xf numFmtId="0" fontId="5" fillId="3" borderId="3" xfId="0" quotePrefix="1" applyFont="1" applyFill="1" applyBorder="1" applyAlignment="1">
      <alignment horizontal="left" vertical="center"/>
    </xf>
    <xf numFmtId="0" fontId="32" fillId="3" borderId="16" xfId="0" quotePrefix="1" applyFont="1" applyFill="1" applyBorder="1" applyAlignment="1">
      <alignment horizontal="left" vertical="center"/>
    </xf>
    <xf numFmtId="0" fontId="32" fillId="3" borderId="17" xfId="0" quotePrefix="1" applyFont="1" applyFill="1" applyBorder="1" applyAlignment="1">
      <alignment horizontal="left" vertical="center"/>
    </xf>
    <xf numFmtId="0" fontId="28" fillId="24" borderId="0" xfId="0" applyFont="1" applyFill="1" applyAlignment="1">
      <alignment horizontal="left" vertical="center"/>
    </xf>
    <xf numFmtId="0" fontId="13" fillId="24" borderId="0" xfId="0" quotePrefix="1" applyFont="1" applyFill="1" applyAlignment="1">
      <alignment horizontal="left" vertical="center"/>
    </xf>
    <xf numFmtId="0" fontId="13" fillId="24" borderId="1" xfId="0" quotePrefix="1" applyFont="1" applyFill="1" applyBorder="1" applyAlignment="1">
      <alignment horizontal="left" vertical="center"/>
    </xf>
    <xf numFmtId="0" fontId="28" fillId="24" borderId="0" xfId="0" quotePrefix="1" applyFont="1" applyFill="1" applyAlignment="1">
      <alignment horizontal="left" vertical="center"/>
    </xf>
    <xf numFmtId="0" fontId="8" fillId="0" borderId="0" xfId="0" applyFont="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26" fillId="10" borderId="0" xfId="0" applyFont="1" applyFill="1" applyAlignment="1">
      <alignment horizontal="center" vertical="center"/>
    </xf>
    <xf numFmtId="0" fontId="38" fillId="15" borderId="2" xfId="0" applyFont="1" applyFill="1" applyBorder="1" applyAlignment="1">
      <alignment horizontal="center" vertical="center" wrapText="1"/>
    </xf>
    <xf numFmtId="0" fontId="38" fillId="15" borderId="9" xfId="0" applyFont="1" applyFill="1" applyBorder="1" applyAlignment="1">
      <alignment horizontal="center" vertical="center" wrapText="1"/>
    </xf>
    <xf numFmtId="0" fontId="38" fillId="15" borderId="10" xfId="0" applyFont="1" applyFill="1" applyBorder="1" applyAlignment="1">
      <alignment horizontal="center" vertical="center" wrapText="1"/>
    </xf>
    <xf numFmtId="0" fontId="6" fillId="24" borderId="2" xfId="0" applyFont="1" applyFill="1" applyBorder="1" applyAlignment="1" applyProtection="1">
      <alignment horizontal="center" vertical="center"/>
      <protection locked="0"/>
    </xf>
    <xf numFmtId="0" fontId="6" fillId="24" borderId="9" xfId="0" applyFont="1" applyFill="1" applyBorder="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38" fillId="3" borderId="2" xfId="0" applyFont="1" applyFill="1" applyBorder="1" applyAlignment="1" applyProtection="1">
      <alignment horizontal="center" vertical="center" wrapText="1"/>
      <protection locked="0"/>
    </xf>
    <xf numFmtId="0" fontId="38" fillId="3" borderId="9" xfId="0" applyFont="1" applyFill="1" applyBorder="1" applyAlignment="1" applyProtection="1">
      <alignment horizontal="center" vertical="center" wrapText="1"/>
      <protection locked="0"/>
    </xf>
    <xf numFmtId="0" fontId="38" fillId="3" borderId="10" xfId="0" applyFont="1" applyFill="1" applyBorder="1" applyAlignment="1" applyProtection="1">
      <alignment horizontal="center" vertical="center" wrapText="1"/>
      <protection locked="0"/>
    </xf>
    <xf numFmtId="0" fontId="38" fillId="3" borderId="2" xfId="0" applyFont="1" applyFill="1" applyBorder="1" applyAlignment="1">
      <alignment horizontal="center" vertical="center" wrapText="1"/>
    </xf>
    <xf numFmtId="0" fontId="38" fillId="3" borderId="9" xfId="0" applyFont="1" applyFill="1" applyBorder="1" applyAlignment="1">
      <alignment horizontal="center" vertical="center" wrapText="1"/>
    </xf>
    <xf numFmtId="0" fontId="38" fillId="3" borderId="10" xfId="0" applyFont="1" applyFill="1" applyBorder="1" applyAlignment="1">
      <alignment horizontal="center" vertical="center" wrapText="1"/>
    </xf>
    <xf numFmtId="166" fontId="26" fillId="2" borderId="1" xfId="1" applyNumberFormat="1" applyFont="1" applyFill="1" applyBorder="1" applyAlignment="1">
      <alignment horizontal="center" vertical="center" wrapText="1"/>
    </xf>
    <xf numFmtId="166" fontId="38" fillId="3" borderId="4" xfId="1" applyNumberFormat="1" applyFont="1" applyFill="1" applyBorder="1" applyAlignment="1">
      <alignment horizontal="center" vertical="center" wrapText="1"/>
    </xf>
    <xf numFmtId="166" fontId="38" fillId="3" borderId="5" xfId="1" applyNumberFormat="1" applyFont="1" applyFill="1" applyBorder="1" applyAlignment="1">
      <alignment horizontal="center" vertical="center" wrapText="1"/>
    </xf>
    <xf numFmtId="166" fontId="38" fillId="3" borderId="11" xfId="1" applyNumberFormat="1" applyFont="1" applyFill="1" applyBorder="1" applyAlignment="1">
      <alignment horizontal="center" vertical="center" wrapText="1"/>
    </xf>
    <xf numFmtId="166" fontId="38" fillId="3" borderId="12" xfId="1" applyNumberFormat="1" applyFont="1" applyFill="1" applyBorder="1" applyAlignment="1">
      <alignment horizontal="center" vertical="center" wrapText="1"/>
    </xf>
    <xf numFmtId="0" fontId="38" fillId="3" borderId="4" xfId="0" applyFont="1" applyFill="1" applyBorder="1" applyAlignment="1">
      <alignment horizontal="center" vertical="center" wrapText="1"/>
    </xf>
    <xf numFmtId="0" fontId="38" fillId="3" borderId="11" xfId="0" applyFont="1" applyFill="1" applyBorder="1" applyAlignment="1">
      <alignment horizontal="center" vertical="center" wrapText="1"/>
    </xf>
    <xf numFmtId="166" fontId="38" fillId="3" borderId="3" xfId="1" applyNumberFormat="1" applyFont="1" applyFill="1" applyBorder="1" applyAlignment="1">
      <alignment horizontal="center" vertical="center" wrapText="1"/>
    </xf>
    <xf numFmtId="0" fontId="28" fillId="24" borderId="0" xfId="0" applyFont="1" applyFill="1" applyAlignment="1">
      <alignment horizontal="left" vertical="center" wrapText="1"/>
    </xf>
    <xf numFmtId="0" fontId="26" fillId="17" borderId="6" xfId="0" applyFont="1" applyFill="1" applyBorder="1" applyAlignment="1">
      <alignment horizontal="center" vertical="center" wrapText="1" readingOrder="1"/>
    </xf>
    <xf numFmtId="0" fontId="26" fillId="17" borderId="7" xfId="0" applyFont="1" applyFill="1" applyBorder="1" applyAlignment="1">
      <alignment horizontal="center" vertical="center" wrapText="1" readingOrder="1"/>
    </xf>
    <xf numFmtId="0" fontId="26" fillId="17" borderId="8" xfId="0" applyFont="1" applyFill="1" applyBorder="1" applyAlignment="1">
      <alignment horizontal="center" vertical="center" wrapText="1" readingOrder="1"/>
    </xf>
    <xf numFmtId="0" fontId="26" fillId="17" borderId="9" xfId="0" applyFont="1" applyFill="1" applyBorder="1" applyAlignment="1">
      <alignment horizontal="center" vertical="center" wrapText="1" readingOrder="1"/>
    </xf>
    <xf numFmtId="0" fontId="26" fillId="17" borderId="10" xfId="0" applyFont="1" applyFill="1" applyBorder="1" applyAlignment="1">
      <alignment horizontal="center" vertical="center" wrapText="1" readingOrder="1"/>
    </xf>
    <xf numFmtId="0" fontId="6" fillId="3" borderId="6" xfId="0" applyFont="1" applyFill="1" applyBorder="1" applyAlignment="1">
      <alignment horizontal="center" vertical="center" wrapText="1" readingOrder="1"/>
    </xf>
    <xf numFmtId="0" fontId="6" fillId="3" borderId="7" xfId="0" applyFont="1" applyFill="1" applyBorder="1" applyAlignment="1">
      <alignment horizontal="center" vertical="center" wrapText="1" readingOrder="1"/>
    </xf>
    <xf numFmtId="0" fontId="6" fillId="3" borderId="8" xfId="0" applyFont="1" applyFill="1" applyBorder="1" applyAlignment="1">
      <alignment horizontal="center" vertical="center" wrapText="1" readingOrder="1"/>
    </xf>
    <xf numFmtId="0" fontId="55" fillId="0" borderId="21" xfId="0" applyFont="1" applyBorder="1" applyAlignment="1">
      <alignment horizontal="center" vertical="center" wrapText="1" readingOrder="1"/>
    </xf>
    <xf numFmtId="0" fontId="55" fillId="0" borderId="22" xfId="0" applyFont="1" applyBorder="1" applyAlignment="1">
      <alignment horizontal="center" vertical="center" wrapText="1" readingOrder="1"/>
    </xf>
    <xf numFmtId="0" fontId="55" fillId="0" borderId="23" xfId="0" applyFont="1" applyBorder="1" applyAlignment="1">
      <alignment horizontal="center" vertical="center" wrapText="1" readingOrder="1"/>
    </xf>
    <xf numFmtId="0" fontId="55" fillId="0" borderId="24" xfId="0" applyFont="1" applyBorder="1" applyAlignment="1">
      <alignment horizontal="center" vertical="center" wrapText="1" readingOrder="1"/>
    </xf>
    <xf numFmtId="0" fontId="54" fillId="28" borderId="15" xfId="0" applyFont="1" applyFill="1" applyBorder="1" applyAlignment="1">
      <alignment horizontal="center" vertical="center" wrapText="1" readingOrder="1"/>
    </xf>
    <xf numFmtId="0" fontId="54" fillId="28" borderId="17" xfId="0" applyFont="1" applyFill="1" applyBorder="1" applyAlignment="1">
      <alignment horizontal="center" vertical="center" wrapText="1" readingOrder="1"/>
    </xf>
    <xf numFmtId="0" fontId="54" fillId="28" borderId="23" xfId="0" applyFont="1" applyFill="1" applyBorder="1" applyAlignment="1">
      <alignment horizontal="center" vertical="center" wrapText="1" readingOrder="1"/>
    </xf>
    <xf numFmtId="0" fontId="54" fillId="28" borderId="24" xfId="0" applyFont="1" applyFill="1" applyBorder="1" applyAlignment="1">
      <alignment horizontal="center" vertical="center" wrapText="1" readingOrder="1"/>
    </xf>
    <xf numFmtId="0" fontId="5" fillId="17" borderId="23" xfId="0" applyFont="1" applyFill="1" applyBorder="1" applyAlignment="1">
      <alignment vertical="center" wrapText="1"/>
    </xf>
    <xf numFmtId="0" fontId="5" fillId="17" borderId="24" xfId="0" applyFont="1" applyFill="1" applyBorder="1" applyAlignment="1">
      <alignment vertical="center" wrapText="1"/>
    </xf>
    <xf numFmtId="0" fontId="54" fillId="17" borderId="15" xfId="0" applyFont="1" applyFill="1" applyBorder="1" applyAlignment="1">
      <alignment horizontal="center" vertical="center" wrapText="1" readingOrder="1"/>
    </xf>
    <xf numFmtId="0" fontId="54" fillId="17" borderId="17" xfId="0" applyFont="1" applyFill="1" applyBorder="1" applyAlignment="1">
      <alignment horizontal="center" vertical="center" wrapText="1" readingOrder="1"/>
    </xf>
    <xf numFmtId="0" fontId="54" fillId="17" borderId="3" xfId="0" applyFont="1" applyFill="1" applyBorder="1" applyAlignment="1">
      <alignment horizontal="center" vertical="center" wrapText="1" readingOrder="1"/>
    </xf>
    <xf numFmtId="0" fontId="5" fillId="17" borderId="3" xfId="0" applyFont="1" applyFill="1" applyBorder="1" applyAlignment="1">
      <alignment vertical="center" wrapText="1"/>
    </xf>
    <xf numFmtId="0" fontId="55" fillId="0" borderId="3" xfId="0" applyFont="1" applyBorder="1" applyAlignment="1">
      <alignment horizontal="center" vertical="center" wrapText="1" readingOrder="1"/>
    </xf>
    <xf numFmtId="0" fontId="56" fillId="0" borderId="3" xfId="0" applyFont="1" applyBorder="1" applyAlignment="1">
      <alignment horizontal="justify" vertical="center" wrapText="1" readingOrder="1"/>
    </xf>
    <xf numFmtId="0" fontId="54" fillId="28" borderId="3" xfId="0" applyFont="1" applyFill="1" applyBorder="1" applyAlignment="1">
      <alignment horizontal="center" vertical="center" wrapText="1" readingOrder="1"/>
    </xf>
    <xf numFmtId="0" fontId="57" fillId="0" borderId="3" xfId="0" quotePrefix="1" applyFont="1" applyBorder="1" applyAlignment="1">
      <alignment horizontal="left" vertical="center" wrapText="1" readingOrder="1"/>
    </xf>
    <xf numFmtId="0" fontId="57" fillId="0" borderId="3" xfId="0" applyFont="1" applyBorder="1" applyAlignment="1">
      <alignment horizontal="left" vertical="center" wrapText="1" readingOrder="1"/>
    </xf>
    <xf numFmtId="0" fontId="55" fillId="0" borderId="21" xfId="0" applyFont="1" applyBorder="1" applyAlignment="1">
      <alignment horizontal="center" wrapText="1" readingOrder="1"/>
    </xf>
    <xf numFmtId="0" fontId="55" fillId="0" borderId="22" xfId="0" applyFont="1" applyBorder="1" applyAlignment="1">
      <alignment horizontal="center" wrapText="1" readingOrder="1"/>
    </xf>
    <xf numFmtId="0" fontId="54" fillId="17" borderId="21" xfId="0" applyFont="1" applyFill="1" applyBorder="1" applyAlignment="1">
      <alignment horizontal="center" vertical="center" wrapText="1" readingOrder="1"/>
    </xf>
    <xf numFmtId="0" fontId="54" fillId="17" borderId="22" xfId="0" applyFont="1" applyFill="1" applyBorder="1" applyAlignment="1">
      <alignment horizontal="center" vertical="center" wrapText="1" readingOrder="1"/>
    </xf>
    <xf numFmtId="0" fontId="54" fillId="17" borderId="19" xfId="0" applyFont="1" applyFill="1" applyBorder="1" applyAlignment="1">
      <alignment horizontal="center" vertical="center" wrapText="1" readingOrder="1"/>
    </xf>
    <xf numFmtId="0" fontId="54" fillId="17" borderId="20" xfId="0" applyFont="1" applyFill="1" applyBorder="1" applyAlignment="1">
      <alignment horizontal="center" vertical="center" wrapText="1" readingOrder="1"/>
    </xf>
    <xf numFmtId="0" fontId="54" fillId="28" borderId="19" xfId="0" applyFont="1" applyFill="1" applyBorder="1" applyAlignment="1">
      <alignment horizontal="center" vertical="center" wrapText="1" readingOrder="1"/>
    </xf>
    <xf numFmtId="0" fontId="54" fillId="28" borderId="20" xfId="0" applyFont="1" applyFill="1" applyBorder="1" applyAlignment="1">
      <alignment horizontal="center" vertical="center" wrapText="1" readingOrder="1"/>
    </xf>
    <xf numFmtId="0" fontId="5" fillId="28" borderId="21" xfId="0" applyFont="1" applyFill="1" applyBorder="1" applyAlignment="1">
      <alignment vertical="center" wrapText="1"/>
    </xf>
    <xf numFmtId="0" fontId="5" fillId="28" borderId="22" xfId="0" applyFont="1" applyFill="1" applyBorder="1" applyAlignment="1">
      <alignment vertical="center" wrapText="1"/>
    </xf>
    <xf numFmtId="0" fontId="55" fillId="13" borderId="21" xfId="0" applyFont="1" applyFill="1" applyBorder="1" applyAlignment="1">
      <alignment horizontal="center" vertical="center" wrapText="1" readingOrder="1"/>
    </xf>
    <xf numFmtId="0" fontId="55" fillId="13" borderId="22" xfId="0" applyFont="1" applyFill="1" applyBorder="1" applyAlignment="1">
      <alignment horizontal="center" vertical="center" wrapText="1" readingOrder="1"/>
    </xf>
    <xf numFmtId="0" fontId="11" fillId="0" borderId="1" xfId="0" applyFont="1" applyBorder="1" applyAlignment="1">
      <alignment horizontal="center" vertical="center"/>
    </xf>
    <xf numFmtId="166" fontId="6" fillId="3" borderId="3" xfId="1" applyNumberFormat="1" applyFont="1" applyFill="1" applyBorder="1" applyAlignment="1">
      <alignment horizontal="left" vertical="center" wrapText="1" readingOrder="1"/>
    </xf>
  </cellXfs>
  <cellStyles count="288">
    <cellStyle name="Comma" xfId="1" builtinId="3"/>
    <cellStyle name="Comma [0] 2" xfId="267"/>
    <cellStyle name="Comma 10" xfId="5"/>
    <cellStyle name="Comma 10 10" xfId="286"/>
    <cellStyle name="Comma 10 2" xfId="13"/>
    <cellStyle name="Comma 10 2 2" xfId="28"/>
    <cellStyle name="Comma 10 4" xfId="14"/>
    <cellStyle name="Comma 101 8" xfId="72"/>
    <cellStyle name="Comma 101 8 2" xfId="82"/>
    <cellStyle name="Comma 101 8 2 2" xfId="107"/>
    <cellStyle name="Comma 101 8 2 2 2" xfId="157"/>
    <cellStyle name="Comma 101 8 2 2 2 2" xfId="257"/>
    <cellStyle name="Comma 101 8 2 2 3" xfId="207"/>
    <cellStyle name="Comma 101 8 2 3" xfId="132"/>
    <cellStyle name="Comma 101 8 2 3 2" xfId="232"/>
    <cellStyle name="Comma 101 8 2 4" xfId="182"/>
    <cellStyle name="Comma 101 8 3" xfId="100"/>
    <cellStyle name="Comma 101 8 3 2" xfId="150"/>
    <cellStyle name="Comma 101 8 3 2 2" xfId="250"/>
    <cellStyle name="Comma 101 8 3 3" xfId="200"/>
    <cellStyle name="Comma 101 8 4" xfId="125"/>
    <cellStyle name="Comma 101 8 4 2" xfId="225"/>
    <cellStyle name="Comma 101 8 5" xfId="175"/>
    <cellStyle name="Comma 11 10 15" xfId="69"/>
    <cellStyle name="Comma 11 10 15 2" xfId="80"/>
    <cellStyle name="Comma 11 10 15 2 2" xfId="105"/>
    <cellStyle name="Comma 11 10 15 2 2 2" xfId="155"/>
    <cellStyle name="Comma 11 10 15 2 2 2 2" xfId="255"/>
    <cellStyle name="Comma 11 10 15 2 2 3" xfId="205"/>
    <cellStyle name="Comma 11 10 15 2 3" xfId="130"/>
    <cellStyle name="Comma 11 10 15 2 3 2" xfId="230"/>
    <cellStyle name="Comma 11 10 15 2 4" xfId="180"/>
    <cellStyle name="Comma 11 10 15 3" xfId="98"/>
    <cellStyle name="Comma 11 10 15 3 2" xfId="148"/>
    <cellStyle name="Comma 11 10 15 3 2 2" xfId="248"/>
    <cellStyle name="Comma 11 10 15 3 3" xfId="198"/>
    <cellStyle name="Comma 11 10 15 4" xfId="123"/>
    <cellStyle name="Comma 11 10 15 4 2" xfId="223"/>
    <cellStyle name="Comma 11 10 15 5" xfId="173"/>
    <cellStyle name="Comma 11 2 2" xfId="62"/>
    <cellStyle name="Comma 13" xfId="3"/>
    <cellStyle name="Comma 2" xfId="46"/>
    <cellStyle name="Comma 2 10 3 2" xfId="261"/>
    <cellStyle name="Comma 2 2" xfId="10"/>
    <cellStyle name="Comma 2 2 2" xfId="12"/>
    <cellStyle name="Comma 2 2 2 2" xfId="42"/>
    <cellStyle name="Comma 2 25" xfId="57"/>
    <cellStyle name="Comma 2 26 3" xfId="264"/>
    <cellStyle name="Comma 2 3" xfId="52"/>
    <cellStyle name="Comma 2 3 2" xfId="71"/>
    <cellStyle name="Comma 2 3 2 2" xfId="81"/>
    <cellStyle name="Comma 2 3 2 2 2" xfId="106"/>
    <cellStyle name="Comma 2 3 2 2 2 2" xfId="156"/>
    <cellStyle name="Comma 2 3 2 2 2 2 2" xfId="256"/>
    <cellStyle name="Comma 2 3 2 2 2 3" xfId="206"/>
    <cellStyle name="Comma 2 3 2 2 3" xfId="131"/>
    <cellStyle name="Comma 2 3 2 2 3 2" xfId="231"/>
    <cellStyle name="Comma 2 3 2 2 4" xfId="181"/>
    <cellStyle name="Comma 2 3 2 3" xfId="99"/>
    <cellStyle name="Comma 2 3 2 3 2" xfId="149"/>
    <cellStyle name="Comma 2 3 2 3 2 2" xfId="249"/>
    <cellStyle name="Comma 2 3 2 3 3" xfId="199"/>
    <cellStyle name="Comma 2 3 2 4" xfId="124"/>
    <cellStyle name="Comma 2 3 2 4 2" xfId="224"/>
    <cellStyle name="Comma 2 3 2 5" xfId="174"/>
    <cellStyle name="Comma 2 4" xfId="63"/>
    <cellStyle name="Comma 2 5" xfId="284"/>
    <cellStyle name="Comma 3" xfId="6"/>
    <cellStyle name="Comma 3 2" xfId="53"/>
    <cellStyle name="Comma 3 2 2" xfId="9"/>
    <cellStyle name="Comma 3 3" xfId="65"/>
    <cellStyle name="Comma 3 3 2" xfId="54"/>
    <cellStyle name="Comma 3 3 2 2" xfId="78"/>
    <cellStyle name="Comma 3 3 2 2 2" xfId="103"/>
    <cellStyle name="Comma 3 3 2 2 2 2" xfId="153"/>
    <cellStyle name="Comma 3 3 2 2 2 2 2" xfId="253"/>
    <cellStyle name="Comma 3 3 2 2 2 3" xfId="203"/>
    <cellStyle name="Comma 3 3 2 2 3" xfId="128"/>
    <cellStyle name="Comma 3 3 2 2 3 2" xfId="228"/>
    <cellStyle name="Comma 3 3 2 2 4" xfId="178"/>
    <cellStyle name="Comma 3 3 3" xfId="96"/>
    <cellStyle name="Comma 3 3 3 2" xfId="146"/>
    <cellStyle name="Comma 3 3 3 2 2" xfId="246"/>
    <cellStyle name="Comma 3 3 3 3" xfId="196"/>
    <cellStyle name="Comma 3 3 4" xfId="121"/>
    <cellStyle name="Comma 3 3 4 2" xfId="221"/>
    <cellStyle name="Comma 3 3 5" xfId="171"/>
    <cellStyle name="Comma 3 4" xfId="273"/>
    <cellStyle name="Comma 37" xfId="26"/>
    <cellStyle name="Comma 4" xfId="45"/>
    <cellStyle name="Comma 5" xfId="40"/>
    <cellStyle name="Ledger 17 x 11 in" xfId="276"/>
    <cellStyle name="Normal" xfId="0" builtinId="0"/>
    <cellStyle name="Normal 10" xfId="271"/>
    <cellStyle name="Normal 10 3" xfId="274"/>
    <cellStyle name="Normal 11 2" xfId="7"/>
    <cellStyle name="Normal 11 2 2" xfId="51"/>
    <cellStyle name="Normal 161" xfId="260"/>
    <cellStyle name="Normal 2" xfId="11"/>
    <cellStyle name="Normal 2 10" xfId="24"/>
    <cellStyle name="Normal 2 11" xfId="266"/>
    <cellStyle name="Normal 2 15" xfId="272"/>
    <cellStyle name="Normal 2 19" xfId="75"/>
    <cellStyle name="Normal 2 19 2" xfId="41"/>
    <cellStyle name="Normal 2 19 2 2" xfId="83"/>
    <cellStyle name="Normal 2 19 2 2 2" xfId="108"/>
    <cellStyle name="Normal 2 19 2 2 2 2" xfId="158"/>
    <cellStyle name="Normal 2 19 2 2 2 2 2" xfId="258"/>
    <cellStyle name="Normal 2 19 2 2 2 3" xfId="208"/>
    <cellStyle name="Normal 2 19 2 2 3" xfId="133"/>
    <cellStyle name="Normal 2 19 2 2 3 2" xfId="233"/>
    <cellStyle name="Normal 2 19 2 2 4" xfId="183"/>
    <cellStyle name="Normal 2 19 3" xfId="101"/>
    <cellStyle name="Normal 2 19 3 2" xfId="151"/>
    <cellStyle name="Normal 2 19 3 2 2" xfId="251"/>
    <cellStyle name="Normal 2 19 3 3" xfId="201"/>
    <cellStyle name="Normal 2 19 4" xfId="126"/>
    <cellStyle name="Normal 2 19 4 2" xfId="226"/>
    <cellStyle name="Normal 2 19 5" xfId="176"/>
    <cellStyle name="Normal 2 2" xfId="25"/>
    <cellStyle name="Normal 2 2 10" xfId="34"/>
    <cellStyle name="Normal 2 2 10 2 2" xfId="43"/>
    <cellStyle name="Normal 2 2 10 3" xfId="259"/>
    <cellStyle name="Normal 2 2 13" xfId="22"/>
    <cellStyle name="Normal 2 2 13 2" xfId="35"/>
    <cellStyle name="Normal 2 2 13 2 2 2 2 2" xfId="287"/>
    <cellStyle name="Normal 2 2 14" xfId="32"/>
    <cellStyle name="Normal 2 2 14 2" xfId="94"/>
    <cellStyle name="Normal 2 2 14 2 2" xfId="144"/>
    <cellStyle name="Normal 2 2 14 2 2 2" xfId="244"/>
    <cellStyle name="Normal 2 2 14 2 3" xfId="194"/>
    <cellStyle name="Normal 2 2 14 3" xfId="119"/>
    <cellStyle name="Normal 2 2 14 3 2" xfId="219"/>
    <cellStyle name="Normal 2 2 14 4" xfId="169"/>
    <cellStyle name="Normal 2 2 16" xfId="279"/>
    <cellStyle name="Normal 2 2 2" xfId="263"/>
    <cellStyle name="Normal 2 2 2 19" xfId="269"/>
    <cellStyle name="Normal 2 2 2 19 2" xfId="278"/>
    <cellStyle name="Normal 2 2 2 3" xfId="64"/>
    <cellStyle name="Normal 2 2 2 3 2" xfId="77"/>
    <cellStyle name="Normal 2 2 2 3 2 2" xfId="102"/>
    <cellStyle name="Normal 2 2 2 3 2 2 2" xfId="152"/>
    <cellStyle name="Normal 2 2 2 3 2 2 2 2" xfId="252"/>
    <cellStyle name="Normal 2 2 2 3 2 2 3" xfId="202"/>
    <cellStyle name="Normal 2 2 2 3 2 3" xfId="127"/>
    <cellStyle name="Normal 2 2 2 3 2 3 2" xfId="227"/>
    <cellStyle name="Normal 2 2 2 3 2 4" xfId="177"/>
    <cellStyle name="Normal 2 2 2 3 3" xfId="95"/>
    <cellStyle name="Normal 2 2 2 3 3 2" xfId="145"/>
    <cellStyle name="Normal 2 2 2 3 3 2 2" xfId="245"/>
    <cellStyle name="Normal 2 2 2 3 3 3" xfId="195"/>
    <cellStyle name="Normal 2 2 2 3 4" xfId="120"/>
    <cellStyle name="Normal 2 2 2 3 4 2" xfId="220"/>
    <cellStyle name="Normal 2 2 2 3 5" xfId="170"/>
    <cellStyle name="Normal 2 2 26" xfId="55"/>
    <cellStyle name="Normal 2 2 33" xfId="277"/>
    <cellStyle name="Normal 2 2 6" xfId="47"/>
    <cellStyle name="Normal 2 2 8" xfId="48"/>
    <cellStyle name="Normal 2 3" xfId="39"/>
    <cellStyle name="Normal 2 3 2 2 2" xfId="4"/>
    <cellStyle name="Normal 2 4" xfId="262"/>
    <cellStyle name="Normal 2 5" xfId="281"/>
    <cellStyle name="Normal 2 6 2" xfId="265"/>
    <cellStyle name="Normal 21" xfId="20"/>
    <cellStyle name="Normal 21 2" xfId="29"/>
    <cellStyle name="Normal 21 2 2" xfId="92"/>
    <cellStyle name="Normal 21 2 2 2" xfId="142"/>
    <cellStyle name="Normal 21 2 2 2 2" xfId="242"/>
    <cellStyle name="Normal 21 2 2 3" xfId="192"/>
    <cellStyle name="Normal 21 2 3" xfId="117"/>
    <cellStyle name="Normal 21 2 3 2" xfId="217"/>
    <cellStyle name="Normal 21 2 4" xfId="167"/>
    <cellStyle name="Normal 21 3" xfId="68"/>
    <cellStyle name="Normal 21 3 2" xfId="79"/>
    <cellStyle name="Normal 21 3 2 2" xfId="104"/>
    <cellStyle name="Normal 21 3 2 2 2" xfId="154"/>
    <cellStyle name="Normal 21 3 2 2 2 2" xfId="254"/>
    <cellStyle name="Normal 21 3 2 2 3" xfId="204"/>
    <cellStyle name="Normal 21 3 2 3" xfId="129"/>
    <cellStyle name="Normal 21 3 2 3 2" xfId="229"/>
    <cellStyle name="Normal 21 3 2 4" xfId="179"/>
    <cellStyle name="Normal 21 3 3" xfId="97"/>
    <cellStyle name="Normal 21 3 3 2" xfId="147"/>
    <cellStyle name="Normal 21 3 3 2 2" xfId="247"/>
    <cellStyle name="Normal 21 3 3 3" xfId="197"/>
    <cellStyle name="Normal 21 3 4" xfId="122"/>
    <cellStyle name="Normal 21 3 4 2" xfId="222"/>
    <cellStyle name="Normal 21 3 5" xfId="172"/>
    <cellStyle name="Normal 21 4" xfId="90"/>
    <cellStyle name="Normal 21 4 2" xfId="140"/>
    <cellStyle name="Normal 21 4 2 2" xfId="240"/>
    <cellStyle name="Normal 21 4 3" xfId="190"/>
    <cellStyle name="Normal 21 5" xfId="115"/>
    <cellStyle name="Normal 21 5 2" xfId="215"/>
    <cellStyle name="Normal 21 6" xfId="165"/>
    <cellStyle name="Normal 278" xfId="282"/>
    <cellStyle name="Normal 3" xfId="8"/>
    <cellStyle name="Normal 3 19" xfId="21"/>
    <cellStyle name="Normal 3 2" xfId="30"/>
    <cellStyle name="Normal 3 2 2" xfId="66"/>
    <cellStyle name="Normal 3 2 2 2" xfId="268"/>
    <cellStyle name="Normal 3 2 3" xfId="93"/>
    <cellStyle name="Normal 3 2 3 2" xfId="143"/>
    <cellStyle name="Normal 3 2 3 2 2" xfId="243"/>
    <cellStyle name="Normal 3 2 3 3" xfId="193"/>
    <cellStyle name="Normal 3 2 4" xfId="118"/>
    <cellStyle name="Normal 3 2 4 2" xfId="218"/>
    <cellStyle name="Normal 3 2 5" xfId="168"/>
    <cellStyle name="Normal 3 3" xfId="50"/>
    <cellStyle name="Normal 3 3 2" xfId="270"/>
    <cellStyle name="Normal 3 4" xfId="84"/>
    <cellStyle name="Normal 3 4 2" xfId="134"/>
    <cellStyle name="Normal 3 4 2 2" xfId="234"/>
    <cellStyle name="Normal 3 4 3" xfId="184"/>
    <cellStyle name="Normal 3 5" xfId="109"/>
    <cellStyle name="Normal 3 5 2" xfId="209"/>
    <cellStyle name="Normal 3 6" xfId="159"/>
    <cellStyle name="Normal 38" xfId="59"/>
    <cellStyle name="Normal 38 2" xfId="61"/>
    <cellStyle name="Normal 39" xfId="76"/>
    <cellStyle name="Normal 4" xfId="23"/>
    <cellStyle name="Normal 4 2" xfId="70"/>
    <cellStyle name="Normal 4 3" xfId="91"/>
    <cellStyle name="Normal 4 3 2" xfId="141"/>
    <cellStyle name="Normal 4 3 2 2" xfId="241"/>
    <cellStyle name="Normal 4 3 3" xfId="191"/>
    <cellStyle name="Normal 4 4" xfId="116"/>
    <cellStyle name="Normal 4 4 2" xfId="216"/>
    <cellStyle name="Normal 4 5" xfId="166"/>
    <cellStyle name="Normal 408" xfId="15"/>
    <cellStyle name="Normal 408 2" xfId="85"/>
    <cellStyle name="Normal 408 2 2" xfId="135"/>
    <cellStyle name="Normal 408 2 2 2" xfId="235"/>
    <cellStyle name="Normal 408 2 3" xfId="185"/>
    <cellStyle name="Normal 408 3" xfId="110"/>
    <cellStyle name="Normal 408 3 2" xfId="210"/>
    <cellStyle name="Normal 408 4" xfId="160"/>
    <cellStyle name="Normal 409 2 3" xfId="38"/>
    <cellStyle name="Normal 41" xfId="31"/>
    <cellStyle name="Normal 41 2" xfId="280"/>
    <cellStyle name="Normal 410" xfId="16"/>
    <cellStyle name="Normal 410 2" xfId="86"/>
    <cellStyle name="Normal 410 2 2" xfId="136"/>
    <cellStyle name="Normal 410 2 2 2" xfId="236"/>
    <cellStyle name="Normal 410 2 3" xfId="186"/>
    <cellStyle name="Normal 410 3" xfId="111"/>
    <cellStyle name="Normal 410 3 2" xfId="211"/>
    <cellStyle name="Normal 410 4" xfId="161"/>
    <cellStyle name="Normal 411" xfId="17"/>
    <cellStyle name="Normal 411 2" xfId="87"/>
    <cellStyle name="Normal 411 2 2" xfId="137"/>
    <cellStyle name="Normal 411 2 2 2" xfId="237"/>
    <cellStyle name="Normal 411 2 3" xfId="187"/>
    <cellStyle name="Normal 411 3" xfId="112"/>
    <cellStyle name="Normal 411 3 2" xfId="212"/>
    <cellStyle name="Normal 411 4" xfId="162"/>
    <cellStyle name="Normal 412" xfId="18"/>
    <cellStyle name="Normal 412 2" xfId="88"/>
    <cellStyle name="Normal 412 2 2" xfId="138"/>
    <cellStyle name="Normal 412 2 2 2" xfId="238"/>
    <cellStyle name="Normal 412 2 3" xfId="188"/>
    <cellStyle name="Normal 412 3" xfId="113"/>
    <cellStyle name="Normal 412 3 2" xfId="213"/>
    <cellStyle name="Normal 412 4" xfId="163"/>
    <cellStyle name="Normal 413" xfId="19"/>
    <cellStyle name="Normal 413 2" xfId="89"/>
    <cellStyle name="Normal 413 2 2" xfId="139"/>
    <cellStyle name="Normal 413 2 2 2" xfId="239"/>
    <cellStyle name="Normal 413 2 3" xfId="189"/>
    <cellStyle name="Normal 413 3" xfId="114"/>
    <cellStyle name="Normal 413 3 2" xfId="214"/>
    <cellStyle name="Normal 413 4" xfId="164"/>
    <cellStyle name="Normal 415" xfId="36"/>
    <cellStyle name="Normal 415 3" xfId="37"/>
    <cellStyle name="Normal 42 2" xfId="56"/>
    <cellStyle name="Normal 42 2 2" xfId="58"/>
    <cellStyle name="Normal 428" xfId="49"/>
    <cellStyle name="Normal 44" xfId="285"/>
    <cellStyle name="Normal 5" xfId="73"/>
    <cellStyle name="Normal 6" xfId="283"/>
    <cellStyle name="Normal 65" xfId="44"/>
    <cellStyle name="Normal 7 3" xfId="74"/>
    <cellStyle name="Normal 8" xfId="33"/>
    <cellStyle name="Normal 9" xfId="275"/>
    <cellStyle name="Normal 96 2" xfId="67"/>
    <cellStyle name="Percent" xfId="2" builtinId="5"/>
    <cellStyle name="Percent 10" xfId="27"/>
    <cellStyle name="Percent 2 4" xfId="60"/>
  </cellStyles>
  <dxfs count="0"/>
  <tableStyles count="0" defaultTableStyle="TableStyleMedium2" defaultPivotStyle="PivotStyleLight16"/>
  <colors>
    <mruColors>
      <color rgb="FF0000FF"/>
      <color rgb="FFEE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6.%20QHDC%20TT%20VIET%20NAM\TT%20KTTC\2024\Ket%20qua\Cac%20mang\Masterlist%202024-2025%20co%20Thue%20-%20Phi%20Gui%20cac%20ma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TD\14122024\IP_WDM_Copy%20of%20Masterlist%202025-2026%20co%20Thue%20-%20Phi%20(theo%20PA2)_Cap%20quang_14_Dec_2024%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6.%20QHDC%20TT%20VIET%20NAM\TT%20KTTC\2024\Ket%20qua\Tong%20hop\PDF\Masterlist%202024-2025%20co%20Thue%20-%20Phi%20(2012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VT\QHTKVT_Masterlist%202025-2026%20co%20Thue%20-%20Phi%20(theo%20PA2)%20gui%20cac%20man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ork/2026/QHDC%20thi%20truong/MVT/Ket%20qua/masterlist/Master%20list%20QHDC%202027_2028_ML_080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0ef064afb5ff4b56/VT/1.Quy%20Hoach%20ML/QH&#272;C%20Mozambique/QHDC%20MOV%202027%202028/Master%20list%20QHDC%202027_2028_ML_080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2026/QHDC%20thi%20truong/MVT/Ket%20qua/masterlist/Master%20list%202027_2028_CDBR_120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2026/QHDC%20thi%20truong/MVT/Ket%20qua/masterlist/Masterlist%202027-2028_CNTT_120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sterlist%202027-2028%20(Gui%20cac%20mang)_BRCD_17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sterlist%202027-2028%20(Gui%20cac%20mang)_CD_17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C&#272;\16122024\Masterlist%202025-2026%20co%20Thue%20-%20Phi%20(theo%20PA2)%20gui%20cac%20mang_16Dec.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sterlist%202027-2028%20(Gui%20cac%20mang)_CD_19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4-2025"/>
      <sheetName val="PL1.2 TH theo mục đích"/>
      <sheetName val="PL1.3 Buc tranh sau QH"/>
      <sheetName val="Mã"/>
      <sheetName val="BC 6239"/>
      <sheetName val="DTDV"/>
      <sheetName val="So sanh theo mang"/>
      <sheetName val="So sanh theo DV"/>
      <sheetName val="PL1.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4-2025"/>
      <sheetName val="PL1.2 TH theo mục đích"/>
      <sheetName val="PL1.3 Buc tranh sau QH"/>
      <sheetName val="Mã"/>
      <sheetName val="BC 6239"/>
      <sheetName val="DTDV"/>
      <sheetName val="So sanh theo mang"/>
      <sheetName val="So sanh theo DV"/>
      <sheetName val="PL1.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TH theo DV"/>
      <sheetName val="PL1.2 TH theo mục đích"/>
      <sheetName val="PL1.3 Buc tranh sau QH"/>
      <sheetName val="Mã"/>
    </sheetNames>
    <sheetDataSet>
      <sheetData sheetId="0" refreshError="1"/>
      <sheetData sheetId="1" refreshError="1"/>
      <sheetData sheetId="2" refreshError="1"/>
      <sheetData sheetId="3" refreshError="1"/>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ã"/>
      <sheetName val="PL1.1 ML2027-2028"/>
      <sheetName val="TH theo DV"/>
      <sheetName val="PL1.2 TH theo mục đích"/>
      <sheetName val="PL1.3 Buc tranh sau QH"/>
    </sheetNames>
    <sheetDataSet>
      <sheetData sheetId="0" refreshError="1"/>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Tong tien theo danh muc"/>
      <sheetName val="Thị phần"/>
      <sheetName val="Tinh mat do cong tren ho"/>
      <sheetName val="PL1.2 TH theo mục đích"/>
      <sheetName val="PL1.3 Buc tranh sau QH"/>
      <sheetName val="TH theo DV"/>
      <sheetName val="Mã"/>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TH theo DV"/>
      <sheetName val="PL1.2 TH theo mục đích"/>
      <sheetName val="PL1.3 Buc tranh sau QH"/>
      <sheetName val="Mã"/>
      <sheetName val="Dien giai"/>
      <sheetName val="Sheet1"/>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TH theo DV"/>
      <sheetName val="PL1.2 TH theo mục đích"/>
      <sheetName val="PL1.3 Buc tranh sau QH"/>
      <sheetName val="Mã"/>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CD-Slide 1"/>
      <sheetName val="CD-Slide 3"/>
      <sheetName val="CD-Slide 2"/>
      <sheetName val="PL1.2 TH theo mục đích"/>
      <sheetName val="TH theo DV"/>
      <sheetName val="PL1.3 Buc tranh sau QH"/>
      <sheetName val="Slide-giai phap ky thuat"/>
      <sheetName val="Thay the theo nien han_TTr"/>
      <sheetName val="Input TTr"/>
      <sheetName val="Summary BTS"/>
      <sheetName val="ML QHDC 2026"/>
      <sheetName val="ML QHDC 2025"/>
      <sheetName val="ML QHDC 2024"/>
      <sheetName val="Note"/>
      <sheetName val="List vật tư UCTT TT"/>
      <sheetName val="List vật tư UCTT AC"/>
      <sheetName val="M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CD-Slide 1"/>
      <sheetName val="CD-Slide 3"/>
      <sheetName val="CD-Slide 2"/>
      <sheetName val="PL1.2 TH theo mục đích"/>
      <sheetName val="TH theo DV"/>
      <sheetName val="PL1.3 Buc tranh sau QH"/>
      <sheetName val="Slide-giai phap ky thuat"/>
      <sheetName val="Thay the theo nien han_TTr"/>
      <sheetName val="Input TTr"/>
      <sheetName val="Summary BTS"/>
      <sheetName val="ML QHDC 2026"/>
      <sheetName val="ML QHDC 2025"/>
      <sheetName val="ML QHDC 2024"/>
      <sheetName val="Note"/>
      <sheetName val="List vật tư UCTT TT"/>
      <sheetName val="List vật tư UCTT AC"/>
      <sheetName val="M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EE0033"/>
    <outlinePr summaryBelow="0" summaryRight="0"/>
    <pageSetUpPr fitToPage="1"/>
  </sheetPr>
  <dimension ref="A1:R2529"/>
  <sheetViews>
    <sheetView tabSelected="1" zoomScale="86" zoomScaleNormal="86" workbookViewId="0">
      <pane xSplit="3" ySplit="7" topLeftCell="D456" activePane="bottomRight" state="frozen"/>
      <selection activeCell="AD1" sqref="AD1:AI1048576"/>
      <selection pane="topRight" activeCell="AD1" sqref="AD1:AI1048576"/>
      <selection pane="bottomLeft" activeCell="AD1" sqref="AD1:AI1048576"/>
      <selection pane="bottomRight" activeCell="K618" sqref="K618:K619"/>
    </sheetView>
  </sheetViews>
  <sheetFormatPr defaultColWidth="9.26953125" defaultRowHeight="13" outlineLevelRow="5" outlineLevelCol="1"/>
  <cols>
    <col min="1" max="1" width="6.1796875" style="45" customWidth="1"/>
    <col min="2" max="2" width="62" style="46" customWidth="1"/>
    <col min="3" max="3" width="6.7265625" style="47" customWidth="1"/>
    <col min="4" max="5" width="16.7265625" style="48" customWidth="1" outlineLevel="1"/>
    <col min="6" max="6" width="14.6328125" style="52" bestFit="1" customWidth="1" outlineLevel="1" collapsed="1"/>
    <col min="7" max="8" width="16.7265625" style="50" customWidth="1" outlineLevel="1"/>
    <col min="9" max="9" width="13.1796875" style="49" customWidth="1"/>
    <col min="10" max="10" width="6.7265625" style="5" customWidth="1"/>
    <col min="11" max="11" width="7.7265625" style="5" customWidth="1" outlineLevel="1"/>
    <col min="12" max="12" width="4.54296875" style="5" customWidth="1" outlineLevel="1"/>
    <col min="13" max="13" width="12.54296875" style="5" customWidth="1" outlineLevel="1"/>
    <col min="14" max="14" width="10.1796875" style="5" customWidth="1" outlineLevel="1"/>
    <col min="15" max="15" width="9.1796875" style="20" customWidth="1" outlineLevel="1"/>
    <col min="16" max="16" width="57.08984375" style="147" customWidth="1"/>
    <col min="17" max="17" width="16.453125" style="20" customWidth="1"/>
    <col min="18" max="25" width="9.26953125" style="3" customWidth="1"/>
    <col min="26" max="16384" width="9.26953125" style="3"/>
  </cols>
  <sheetData>
    <row r="1" spans="1:17" ht="40" customHeight="1">
      <c r="A1" s="749" t="s">
        <v>292</v>
      </c>
      <c r="B1" s="749"/>
      <c r="C1" s="749"/>
      <c r="D1" s="749"/>
      <c r="E1" s="749"/>
      <c r="F1" s="749"/>
      <c r="G1" s="749"/>
      <c r="H1" s="749"/>
      <c r="I1" s="749"/>
      <c r="J1" s="34"/>
      <c r="K1" s="34"/>
      <c r="L1" s="34"/>
      <c r="M1" s="34"/>
      <c r="N1" s="34"/>
      <c r="O1" s="34"/>
      <c r="P1" s="747" t="s">
        <v>761</v>
      </c>
    </row>
    <row r="2" spans="1:17" s="113" customFormat="1" ht="6.65" customHeight="1">
      <c r="A2" s="741"/>
      <c r="B2" s="741"/>
      <c r="C2" s="67"/>
      <c r="D2" s="68"/>
      <c r="E2" s="68"/>
      <c r="F2" s="68"/>
      <c r="G2" s="68"/>
      <c r="H2" s="68"/>
      <c r="I2" s="70"/>
      <c r="J2" s="111"/>
      <c r="K2" s="111"/>
      <c r="L2" s="111"/>
      <c r="M2" s="111"/>
      <c r="N2" s="111"/>
      <c r="O2" s="112"/>
      <c r="P2" s="748"/>
      <c r="Q2" s="110"/>
    </row>
    <row r="3" spans="1:17" s="116" customFormat="1">
      <c r="A3" s="742"/>
      <c r="B3" s="742"/>
      <c r="C3" s="71"/>
      <c r="D3" s="72"/>
      <c r="E3" s="72"/>
      <c r="F3" s="69"/>
      <c r="G3" s="756" t="s">
        <v>111</v>
      </c>
      <c r="H3" s="756"/>
      <c r="I3" s="73"/>
      <c r="J3" s="743" t="s">
        <v>111</v>
      </c>
      <c r="K3" s="743"/>
      <c r="L3" s="743"/>
      <c r="M3" s="111"/>
      <c r="N3" s="111"/>
      <c r="O3" s="115"/>
      <c r="P3" s="748"/>
      <c r="Q3" s="114"/>
    </row>
    <row r="4" spans="1:17" s="157" customFormat="1" ht="26.25" customHeight="1">
      <c r="A4" s="750" t="s">
        <v>0</v>
      </c>
      <c r="B4" s="750" t="s">
        <v>1</v>
      </c>
      <c r="C4" s="753" t="s">
        <v>2</v>
      </c>
      <c r="D4" s="757" t="s">
        <v>293</v>
      </c>
      <c r="E4" s="758"/>
      <c r="F4" s="761" t="s">
        <v>102</v>
      </c>
      <c r="G4" s="763" t="s">
        <v>171</v>
      </c>
      <c r="H4" s="763"/>
      <c r="I4" s="744" t="s">
        <v>172</v>
      </c>
      <c r="J4" s="154" t="s">
        <v>74</v>
      </c>
      <c r="K4" s="154" t="s">
        <v>75</v>
      </c>
      <c r="L4" s="154" t="s">
        <v>76</v>
      </c>
      <c r="M4" s="155"/>
      <c r="N4" s="155"/>
      <c r="O4" s="155"/>
      <c r="P4" s="748"/>
      <c r="Q4" s="156"/>
    </row>
    <row r="5" spans="1:17" s="157" customFormat="1" ht="13.15" customHeight="1">
      <c r="A5" s="751"/>
      <c r="B5" s="751"/>
      <c r="C5" s="754"/>
      <c r="D5" s="759"/>
      <c r="E5" s="760"/>
      <c r="F5" s="762"/>
      <c r="G5" s="763"/>
      <c r="H5" s="763"/>
      <c r="I5" s="745"/>
      <c r="J5" s="154"/>
      <c r="K5" s="154"/>
      <c r="L5" s="154"/>
      <c r="M5" s="155"/>
      <c r="N5" s="155"/>
      <c r="O5" s="155"/>
      <c r="P5" s="748"/>
      <c r="Q5" s="156"/>
    </row>
    <row r="6" spans="1:17" s="157" customFormat="1" ht="14">
      <c r="A6" s="752"/>
      <c r="B6" s="752"/>
      <c r="C6" s="755"/>
      <c r="D6" s="158">
        <v>2027</v>
      </c>
      <c r="E6" s="158">
        <v>2028</v>
      </c>
      <c r="F6" s="159" t="s">
        <v>3</v>
      </c>
      <c r="G6" s="158">
        <v>2027</v>
      </c>
      <c r="H6" s="158">
        <v>2028</v>
      </c>
      <c r="I6" s="745"/>
      <c r="J6" s="154"/>
      <c r="K6" s="154"/>
      <c r="L6" s="154"/>
      <c r="M6" s="155"/>
      <c r="N6" s="155"/>
      <c r="O6" s="155"/>
      <c r="P6" s="748"/>
      <c r="Q6" s="156"/>
    </row>
    <row r="7" spans="1:17" s="166" customFormat="1" ht="14" outlineLevel="1">
      <c r="A7" s="160"/>
      <c r="B7" s="161"/>
      <c r="C7" s="161">
        <v>6</v>
      </c>
      <c r="D7" s="162"/>
      <c r="E7" s="162"/>
      <c r="F7" s="163">
        <v>7</v>
      </c>
      <c r="G7" s="164">
        <f>SUBTOTAL(9,G8:G2183)</f>
        <v>32216366.675987642</v>
      </c>
      <c r="H7" s="164">
        <f>SUBTOTAL(9,H8:H2183)</f>
        <v>28083743.895409346</v>
      </c>
      <c r="I7" s="746"/>
      <c r="J7" s="155"/>
      <c r="K7" s="155"/>
      <c r="L7" s="155"/>
      <c r="M7" s="155"/>
      <c r="N7" s="155"/>
      <c r="O7" s="155"/>
      <c r="P7" s="748"/>
      <c r="Q7" s="165"/>
    </row>
    <row r="8" spans="1:17" s="176" customFormat="1" ht="14">
      <c r="A8" s="167"/>
      <c r="B8" s="168" t="s">
        <v>290</v>
      </c>
      <c r="C8" s="167"/>
      <c r="D8" s="169"/>
      <c r="E8" s="169"/>
      <c r="F8" s="169"/>
      <c r="G8" s="170">
        <f>SUBTOTAL(9,G9:G2183)</f>
        <v>32216366.675987642</v>
      </c>
      <c r="H8" s="170">
        <f>SUBTOTAL(9,H9:H2183)</f>
        <v>28083743.895409346</v>
      </c>
      <c r="I8" s="171"/>
      <c r="J8" s="172"/>
      <c r="K8" s="155"/>
      <c r="L8" s="155"/>
      <c r="M8" s="155"/>
      <c r="N8" s="155"/>
      <c r="O8" s="173"/>
      <c r="P8" s="174"/>
      <c r="Q8" s="175"/>
    </row>
    <row r="9" spans="1:17" s="176" customFormat="1" ht="14">
      <c r="A9" s="177" t="s">
        <v>92</v>
      </c>
      <c r="B9" s="178" t="s">
        <v>291</v>
      </c>
      <c r="C9" s="179"/>
      <c r="D9" s="180"/>
      <c r="E9" s="180"/>
      <c r="F9" s="180"/>
      <c r="G9" s="181">
        <f>SUBTOTAL(9,G10:G1904)</f>
        <v>29205894.62332144</v>
      </c>
      <c r="H9" s="181">
        <f>SUBTOTAL(9,H10:H1904)</f>
        <v>24197060.581116781</v>
      </c>
      <c r="I9" s="181"/>
      <c r="J9" s="155"/>
      <c r="K9" s="155"/>
      <c r="L9" s="155"/>
      <c r="M9" s="155"/>
      <c r="N9" s="155"/>
      <c r="O9" s="173"/>
      <c r="P9" s="174"/>
      <c r="Q9" s="175"/>
    </row>
    <row r="10" spans="1:17" s="190" customFormat="1" ht="14">
      <c r="A10" s="182" t="s">
        <v>13</v>
      </c>
      <c r="B10" s="183" t="s">
        <v>14</v>
      </c>
      <c r="C10" s="184"/>
      <c r="D10" s="185"/>
      <c r="E10" s="185"/>
      <c r="F10" s="185"/>
      <c r="G10" s="185">
        <f>SUBTOTAL(9,G11:G92)</f>
        <v>8220468.374607157</v>
      </c>
      <c r="H10" s="185">
        <f>SUBTOTAL(9,H11:H92)</f>
        <v>7412191.5014244653</v>
      </c>
      <c r="I10" s="185"/>
      <c r="J10" s="186"/>
      <c r="K10" s="187"/>
      <c r="L10" s="187"/>
      <c r="M10" s="187"/>
      <c r="N10" s="187"/>
      <c r="O10" s="188"/>
      <c r="P10" s="189"/>
      <c r="Q10" s="188"/>
    </row>
    <row r="11" spans="1:17" s="188" customFormat="1" ht="14" outlineLevel="1">
      <c r="A11" s="191" t="s">
        <v>273</v>
      </c>
      <c r="B11" s="192" t="s">
        <v>95</v>
      </c>
      <c r="C11" s="193"/>
      <c r="D11" s="194"/>
      <c r="E11" s="194"/>
      <c r="F11" s="194"/>
      <c r="G11" s="194">
        <f>SUBTOTAL(9,G12:G21)</f>
        <v>0</v>
      </c>
      <c r="H11" s="194">
        <f>SUBTOTAL(9,H12:H21)</f>
        <v>0</v>
      </c>
      <c r="I11" s="195"/>
      <c r="J11" s="165"/>
      <c r="K11" s="165"/>
      <c r="L11" s="165"/>
      <c r="M11" s="186"/>
      <c r="N11" s="186"/>
      <c r="P11" s="148" t="s">
        <v>762</v>
      </c>
    </row>
    <row r="12" spans="1:17" s="197" customFormat="1" ht="14" outlineLevel="2">
      <c r="A12" s="191">
        <v>1</v>
      </c>
      <c r="B12" s="153" t="s">
        <v>258</v>
      </c>
      <c r="C12" s="193"/>
      <c r="D12" s="194"/>
      <c r="E12" s="194"/>
      <c r="F12" s="194"/>
      <c r="G12" s="194"/>
      <c r="H12" s="194"/>
      <c r="I12" s="195"/>
      <c r="J12" s="196"/>
      <c r="K12" s="196"/>
      <c r="L12" s="196"/>
      <c r="N12" s="196"/>
      <c r="P12" s="198"/>
    </row>
    <row r="13" spans="1:17" s="197" customFormat="1" ht="14" outlineLevel="3">
      <c r="A13" s="191" t="s">
        <v>8</v>
      </c>
      <c r="B13" s="151" t="s">
        <v>409</v>
      </c>
      <c r="C13" s="200" t="s">
        <v>24</v>
      </c>
      <c r="D13" s="201"/>
      <c r="E13" s="201"/>
      <c r="F13" s="201"/>
      <c r="G13" s="201">
        <f>F13*D13</f>
        <v>0</v>
      </c>
      <c r="H13" s="201">
        <f>F13*E13</f>
        <v>0</v>
      </c>
      <c r="I13" s="202"/>
      <c r="J13" s="196" t="s">
        <v>7</v>
      </c>
      <c r="K13" s="196" t="s">
        <v>78</v>
      </c>
      <c r="L13" s="196" t="s">
        <v>94</v>
      </c>
      <c r="N13" s="196"/>
      <c r="P13" s="198"/>
    </row>
    <row r="14" spans="1:17" s="197" customFormat="1" ht="14" outlineLevel="3">
      <c r="A14" s="203" t="s">
        <v>8</v>
      </c>
      <c r="B14" s="151" t="s">
        <v>416</v>
      </c>
      <c r="C14" s="204" t="s">
        <v>31</v>
      </c>
      <c r="D14" s="201"/>
      <c r="E14" s="201"/>
      <c r="F14" s="201"/>
      <c r="G14" s="201">
        <f>F14*D14</f>
        <v>0</v>
      </c>
      <c r="H14" s="201">
        <f>F14*E14</f>
        <v>0</v>
      </c>
      <c r="I14" s="202"/>
      <c r="J14" s="196" t="s">
        <v>7</v>
      </c>
      <c r="K14" s="196" t="s">
        <v>78</v>
      </c>
      <c r="L14" s="196" t="s">
        <v>94</v>
      </c>
      <c r="N14" s="196"/>
      <c r="P14" s="198"/>
    </row>
    <row r="15" spans="1:17" s="197" customFormat="1" ht="14" outlineLevel="3">
      <c r="A15" s="191">
        <v>2</v>
      </c>
      <c r="B15" s="153" t="s">
        <v>259</v>
      </c>
      <c r="C15" s="200"/>
      <c r="D15" s="201"/>
      <c r="E15" s="201"/>
      <c r="F15" s="201"/>
      <c r="G15" s="201"/>
      <c r="H15" s="201"/>
      <c r="I15" s="202"/>
      <c r="J15" s="196"/>
      <c r="K15" s="196"/>
      <c r="L15" s="196"/>
      <c r="N15" s="196"/>
      <c r="P15" s="198"/>
    </row>
    <row r="16" spans="1:17" s="197" customFormat="1" ht="14" outlineLevel="3">
      <c r="A16" s="191" t="s">
        <v>8</v>
      </c>
      <c r="B16" s="199" t="s">
        <v>260</v>
      </c>
      <c r="C16" s="200" t="s">
        <v>34</v>
      </c>
      <c r="D16" s="201"/>
      <c r="E16" s="201"/>
      <c r="F16" s="201"/>
      <c r="G16" s="201">
        <f>F16*D16</f>
        <v>0</v>
      </c>
      <c r="H16" s="201">
        <f>F16*E16</f>
        <v>0</v>
      </c>
      <c r="I16" s="202"/>
      <c r="J16" s="196" t="s">
        <v>7</v>
      </c>
      <c r="K16" s="196" t="s">
        <v>78</v>
      </c>
      <c r="L16" s="196" t="s">
        <v>94</v>
      </c>
      <c r="N16" s="196"/>
      <c r="P16" s="198"/>
    </row>
    <row r="17" spans="1:16" s="197" customFormat="1" ht="14" outlineLevel="2">
      <c r="A17" s="191">
        <v>3</v>
      </c>
      <c r="B17" s="153" t="s">
        <v>261</v>
      </c>
      <c r="C17" s="193"/>
      <c r="D17" s="194"/>
      <c r="E17" s="194"/>
      <c r="F17" s="194"/>
      <c r="G17" s="194"/>
      <c r="H17" s="194"/>
      <c r="I17" s="195"/>
      <c r="J17" s="196"/>
      <c r="K17" s="196"/>
      <c r="L17" s="196"/>
      <c r="N17" s="196"/>
      <c r="P17" s="198"/>
    </row>
    <row r="18" spans="1:16" s="197" customFormat="1" ht="14" outlineLevel="3">
      <c r="A18" s="191" t="s">
        <v>8</v>
      </c>
      <c r="B18" s="199" t="s">
        <v>262</v>
      </c>
      <c r="C18" s="200" t="s">
        <v>34</v>
      </c>
      <c r="D18" s="201"/>
      <c r="E18" s="205"/>
      <c r="F18" s="201"/>
      <c r="G18" s="201">
        <f>F18*D18</f>
        <v>0</v>
      </c>
      <c r="H18" s="201">
        <f>F18*E18</f>
        <v>0</v>
      </c>
      <c r="I18" s="202"/>
      <c r="J18" s="196" t="s">
        <v>7</v>
      </c>
      <c r="K18" s="196" t="s">
        <v>78</v>
      </c>
      <c r="L18" s="196" t="s">
        <v>94</v>
      </c>
      <c r="N18" s="196"/>
      <c r="P18" s="198"/>
    </row>
    <row r="19" spans="1:16" s="197" customFormat="1" ht="14" outlineLevel="3">
      <c r="A19" s="191">
        <v>4</v>
      </c>
      <c r="B19" s="192" t="s">
        <v>263</v>
      </c>
      <c r="C19" s="200"/>
      <c r="D19" s="201"/>
      <c r="E19" s="205"/>
      <c r="F19" s="201"/>
      <c r="G19" s="201"/>
      <c r="H19" s="201"/>
      <c r="I19" s="202"/>
      <c r="J19" s="196"/>
      <c r="K19" s="196"/>
      <c r="L19" s="196"/>
      <c r="N19" s="196"/>
      <c r="P19" s="198"/>
    </row>
    <row r="20" spans="1:16" s="197" customFormat="1" ht="14" outlineLevel="3">
      <c r="A20" s="191" t="s">
        <v>8</v>
      </c>
      <c r="B20" s="199" t="s">
        <v>264</v>
      </c>
      <c r="C20" s="200" t="s">
        <v>34</v>
      </c>
      <c r="D20" s="201"/>
      <c r="E20" s="201"/>
      <c r="F20" s="201"/>
      <c r="G20" s="201">
        <f>F20*D20</f>
        <v>0</v>
      </c>
      <c r="H20" s="201">
        <f>F20*E20</f>
        <v>0</v>
      </c>
      <c r="I20" s="202"/>
      <c r="J20" s="196" t="s">
        <v>7</v>
      </c>
      <c r="K20" s="196" t="s">
        <v>78</v>
      </c>
      <c r="L20" s="196" t="s">
        <v>94</v>
      </c>
      <c r="N20" s="196"/>
      <c r="P20" s="198"/>
    </row>
    <row r="21" spans="1:16" s="197" customFormat="1" ht="14" outlineLevel="3">
      <c r="A21" s="191">
        <v>5</v>
      </c>
      <c r="B21" s="192" t="s">
        <v>265</v>
      </c>
      <c r="C21" s="200"/>
      <c r="D21" s="201"/>
      <c r="E21" s="201"/>
      <c r="F21" s="201"/>
      <c r="G21" s="201"/>
      <c r="H21" s="201"/>
      <c r="I21" s="202"/>
      <c r="J21" s="196"/>
      <c r="K21" s="196"/>
      <c r="L21" s="196"/>
      <c r="N21" s="196"/>
      <c r="P21" s="198"/>
    </row>
    <row r="22" spans="1:16" s="188" customFormat="1" ht="14" outlineLevel="1">
      <c r="A22" s="195" t="s">
        <v>266</v>
      </c>
      <c r="B22" s="192" t="s">
        <v>374</v>
      </c>
      <c r="C22" s="206"/>
      <c r="D22" s="194"/>
      <c r="E22" s="194"/>
      <c r="F22" s="194"/>
      <c r="G22" s="194">
        <f>SUBTOTAL(9,G23:G44)</f>
        <v>1212469.1419450201</v>
      </c>
      <c r="H22" s="194">
        <f>SUBTOTAL(9,H23:H44)</f>
        <v>729620.6360511001</v>
      </c>
      <c r="I22" s="194"/>
      <c r="J22" s="186"/>
      <c r="K22" s="186"/>
      <c r="L22" s="186"/>
      <c r="M22" s="186"/>
      <c r="N22" s="186"/>
      <c r="P22" s="189"/>
    </row>
    <row r="23" spans="1:16" s="188" customFormat="1" ht="14" outlineLevel="2">
      <c r="A23" s="195" t="s">
        <v>4</v>
      </c>
      <c r="B23" s="192" t="s">
        <v>16</v>
      </c>
      <c r="C23" s="193"/>
      <c r="D23" s="194"/>
      <c r="E23" s="194"/>
      <c r="F23" s="194"/>
      <c r="G23" s="194">
        <f>SUBTOTAL(9,G24:G44)</f>
        <v>1212469.1419450201</v>
      </c>
      <c r="H23" s="194">
        <f>SUBTOTAL(9,H24:H44)</f>
        <v>729620.6360511001</v>
      </c>
      <c r="I23" s="194"/>
      <c r="J23" s="186"/>
      <c r="K23" s="186"/>
      <c r="L23" s="186"/>
      <c r="M23" s="186"/>
      <c r="N23" s="186"/>
      <c r="P23" s="189" t="s">
        <v>763</v>
      </c>
    </row>
    <row r="24" spans="1:16" s="188" customFormat="1" ht="14" outlineLevel="3">
      <c r="A24" s="191">
        <v>1</v>
      </c>
      <c r="B24" s="153" t="s">
        <v>169</v>
      </c>
      <c r="C24" s="206"/>
      <c r="D24" s="194"/>
      <c r="E24" s="194"/>
      <c r="F24" s="194"/>
      <c r="G24" s="194">
        <f>SUBTOTAL(9,G25:G31)</f>
        <v>1212469.1419450201</v>
      </c>
      <c r="H24" s="194">
        <f>SUBTOTAL(9,H25:H31)</f>
        <v>729620.6360511001</v>
      </c>
      <c r="I24" s="194"/>
      <c r="J24" s="186"/>
      <c r="K24" s="186"/>
      <c r="L24" s="186"/>
      <c r="M24" s="186"/>
      <c r="N24" s="186"/>
      <c r="P24" s="189"/>
    </row>
    <row r="25" spans="1:16" s="175" customFormat="1" ht="28" outlineLevel="4">
      <c r="A25" s="203" t="s">
        <v>8</v>
      </c>
      <c r="B25" s="151" t="s">
        <v>1236</v>
      </c>
      <c r="C25" s="200" t="s">
        <v>31</v>
      </c>
      <c r="D25" s="207">
        <v>11</v>
      </c>
      <c r="E25" s="207"/>
      <c r="F25" s="201">
        <v>16430.5</v>
      </c>
      <c r="G25" s="201">
        <f t="shared" ref="G25:G28" si="0">F25*D25</f>
        <v>180735.5</v>
      </c>
      <c r="H25" s="201">
        <f t="shared" ref="H25:H28" si="1">F25*E25</f>
        <v>0</v>
      </c>
      <c r="I25" s="202"/>
      <c r="J25" s="165" t="s">
        <v>7</v>
      </c>
      <c r="K25" s="165" t="s">
        <v>107</v>
      </c>
      <c r="L25" s="165" t="s">
        <v>94</v>
      </c>
      <c r="M25" s="165"/>
      <c r="P25" s="174"/>
    </row>
    <row r="26" spans="1:16" s="175" customFormat="1" ht="42" outlineLevel="4">
      <c r="A26" s="203" t="s">
        <v>8</v>
      </c>
      <c r="B26" s="151" t="s">
        <v>1237</v>
      </c>
      <c r="C26" s="200" t="s">
        <v>31</v>
      </c>
      <c r="D26" s="201"/>
      <c r="E26" s="201">
        <v>3</v>
      </c>
      <c r="F26" s="201">
        <v>20190</v>
      </c>
      <c r="G26" s="201">
        <f t="shared" si="0"/>
        <v>0</v>
      </c>
      <c r="H26" s="201">
        <f t="shared" si="1"/>
        <v>60570</v>
      </c>
      <c r="I26" s="202"/>
      <c r="J26" s="165" t="s">
        <v>7</v>
      </c>
      <c r="K26" s="165" t="s">
        <v>107</v>
      </c>
      <c r="L26" s="165" t="s">
        <v>94</v>
      </c>
      <c r="M26" s="165"/>
      <c r="N26" s="165"/>
      <c r="P26" s="174"/>
    </row>
    <row r="27" spans="1:16" s="175" customFormat="1" ht="28" outlineLevel="4">
      <c r="A27" s="203" t="s">
        <v>8</v>
      </c>
      <c r="B27" s="199" t="s">
        <v>1238</v>
      </c>
      <c r="C27" s="200" t="s">
        <v>31</v>
      </c>
      <c r="D27" s="201">
        <v>46</v>
      </c>
      <c r="E27" s="201">
        <v>30</v>
      </c>
      <c r="F27" s="201">
        <v>21295.187868370002</v>
      </c>
      <c r="G27" s="201">
        <f t="shared" si="0"/>
        <v>979578.64194502006</v>
      </c>
      <c r="H27" s="201">
        <f t="shared" si="1"/>
        <v>638855.6360511001</v>
      </c>
      <c r="I27" s="202"/>
      <c r="J27" s="165" t="s">
        <v>7</v>
      </c>
      <c r="K27" s="165" t="s">
        <v>107</v>
      </c>
      <c r="L27" s="165" t="s">
        <v>94</v>
      </c>
      <c r="M27" s="165"/>
      <c r="N27" s="165"/>
      <c r="P27" s="174"/>
    </row>
    <row r="28" spans="1:16" s="175" customFormat="1" ht="14" outlineLevel="4">
      <c r="A28" s="203" t="s">
        <v>8</v>
      </c>
      <c r="B28" s="199" t="s">
        <v>1002</v>
      </c>
      <c r="C28" s="200" t="s">
        <v>34</v>
      </c>
      <c r="D28" s="201"/>
      <c r="E28" s="201"/>
      <c r="F28" s="201"/>
      <c r="G28" s="201">
        <f t="shared" si="0"/>
        <v>0</v>
      </c>
      <c r="H28" s="201">
        <f t="shared" si="1"/>
        <v>0</v>
      </c>
      <c r="I28" s="202"/>
      <c r="J28" s="165" t="s">
        <v>7</v>
      </c>
      <c r="K28" s="165" t="s">
        <v>107</v>
      </c>
      <c r="L28" s="165" t="s">
        <v>94</v>
      </c>
      <c r="M28" s="165"/>
      <c r="N28" s="165"/>
      <c r="P28" s="174"/>
    </row>
    <row r="29" spans="1:16" s="175" customFormat="1" ht="14" outlineLevel="4">
      <c r="A29" s="208" t="s">
        <v>8</v>
      </c>
      <c r="B29" s="151" t="s">
        <v>1239</v>
      </c>
      <c r="C29" s="200" t="s">
        <v>34</v>
      </c>
      <c r="D29" s="201">
        <v>171</v>
      </c>
      <c r="E29" s="201">
        <v>99</v>
      </c>
      <c r="F29" s="209">
        <v>305</v>
      </c>
      <c r="G29" s="201">
        <f t="shared" ref="G29:G31" si="2">F29*D29</f>
        <v>52155</v>
      </c>
      <c r="H29" s="201">
        <f t="shared" ref="H29:H31" si="3">F29*E29</f>
        <v>30195</v>
      </c>
      <c r="I29" s="202"/>
      <c r="J29" s="165" t="s">
        <v>7</v>
      </c>
      <c r="K29" s="165" t="s">
        <v>107</v>
      </c>
      <c r="L29" s="165" t="s">
        <v>94</v>
      </c>
      <c r="M29" s="165"/>
      <c r="N29" s="165"/>
      <c r="P29" s="174"/>
    </row>
    <row r="30" spans="1:16" s="175" customFormat="1" ht="14" outlineLevel="4">
      <c r="A30" s="208" t="s">
        <v>8</v>
      </c>
      <c r="B30" s="151" t="s">
        <v>408</v>
      </c>
      <c r="C30" s="200" t="s">
        <v>34</v>
      </c>
      <c r="D30" s="201"/>
      <c r="E30" s="201"/>
      <c r="F30" s="209"/>
      <c r="G30" s="201">
        <f t="shared" si="2"/>
        <v>0</v>
      </c>
      <c r="H30" s="201">
        <f t="shared" si="3"/>
        <v>0</v>
      </c>
      <c r="I30" s="202"/>
      <c r="J30" s="165" t="s">
        <v>7</v>
      </c>
      <c r="K30" s="165" t="s">
        <v>107</v>
      </c>
      <c r="L30" s="165" t="s">
        <v>94</v>
      </c>
      <c r="M30" s="165"/>
      <c r="N30" s="165"/>
      <c r="P30" s="174"/>
    </row>
    <row r="31" spans="1:16" s="175" customFormat="1" ht="14" outlineLevel="4">
      <c r="A31" s="208" t="s">
        <v>8</v>
      </c>
      <c r="B31" s="151" t="s">
        <v>409</v>
      </c>
      <c r="C31" s="200" t="s">
        <v>34</v>
      </c>
      <c r="D31" s="201"/>
      <c r="E31" s="201"/>
      <c r="F31" s="209"/>
      <c r="G31" s="201">
        <f t="shared" si="2"/>
        <v>0</v>
      </c>
      <c r="H31" s="201">
        <f t="shared" si="3"/>
        <v>0</v>
      </c>
      <c r="I31" s="202"/>
      <c r="J31" s="165" t="s">
        <v>7</v>
      </c>
      <c r="K31" s="165" t="s">
        <v>107</v>
      </c>
      <c r="L31" s="165" t="s">
        <v>94</v>
      </c>
      <c r="M31" s="165"/>
      <c r="N31" s="165"/>
      <c r="P31" s="174"/>
    </row>
    <row r="32" spans="1:16" s="188" customFormat="1" ht="14" outlineLevel="3">
      <c r="A32" s="191">
        <v>2</v>
      </c>
      <c r="B32" s="153" t="s">
        <v>410</v>
      </c>
      <c r="C32" s="206"/>
      <c r="D32" s="194"/>
      <c r="E32" s="194"/>
      <c r="F32" s="194"/>
      <c r="G32" s="194">
        <f>SUBTOTAL(9,G33:G39)</f>
        <v>0</v>
      </c>
      <c r="H32" s="194">
        <f>SUBTOTAL(9,H33:H39)</f>
        <v>0</v>
      </c>
      <c r="I32" s="194"/>
      <c r="J32" s="186"/>
      <c r="K32" s="186"/>
      <c r="L32" s="186"/>
      <c r="M32" s="186"/>
      <c r="N32" s="186"/>
      <c r="P32" s="189"/>
    </row>
    <row r="33" spans="1:16" s="175" customFormat="1" ht="14" outlineLevel="4">
      <c r="A33" s="203" t="s">
        <v>8</v>
      </c>
      <c r="B33" s="151" t="s">
        <v>414</v>
      </c>
      <c r="C33" s="200" t="s">
        <v>31</v>
      </c>
      <c r="D33" s="207"/>
      <c r="E33" s="207"/>
      <c r="F33" s="201"/>
      <c r="G33" s="201">
        <f t="shared" ref="G33:G38" si="4">F33*D33</f>
        <v>0</v>
      </c>
      <c r="H33" s="201">
        <f t="shared" ref="H33:H38" si="5">F33*E33</f>
        <v>0</v>
      </c>
      <c r="I33" s="202"/>
      <c r="J33" s="165" t="s">
        <v>7</v>
      </c>
      <c r="K33" s="165" t="s">
        <v>107</v>
      </c>
      <c r="L33" s="165" t="s">
        <v>94</v>
      </c>
      <c r="M33" s="165"/>
      <c r="P33" s="174"/>
    </row>
    <row r="34" spans="1:16" s="175" customFormat="1" ht="14" outlineLevel="4">
      <c r="A34" s="203" t="s">
        <v>8</v>
      </c>
      <c r="B34" s="151" t="s">
        <v>415</v>
      </c>
      <c r="C34" s="200" t="s">
        <v>31</v>
      </c>
      <c r="D34" s="201"/>
      <c r="E34" s="201"/>
      <c r="F34" s="201"/>
      <c r="G34" s="201">
        <f t="shared" si="4"/>
        <v>0</v>
      </c>
      <c r="H34" s="201">
        <f t="shared" si="5"/>
        <v>0</v>
      </c>
      <c r="I34" s="202"/>
      <c r="J34" s="165" t="s">
        <v>7</v>
      </c>
      <c r="K34" s="165" t="s">
        <v>107</v>
      </c>
      <c r="L34" s="165" t="s">
        <v>94</v>
      </c>
      <c r="M34" s="165"/>
      <c r="N34" s="165"/>
      <c r="P34" s="174"/>
    </row>
    <row r="35" spans="1:16" s="175" customFormat="1" ht="14" outlineLevel="4">
      <c r="A35" s="203" t="s">
        <v>8</v>
      </c>
      <c r="B35" s="199" t="s">
        <v>82</v>
      </c>
      <c r="C35" s="200" t="s">
        <v>34</v>
      </c>
      <c r="D35" s="201"/>
      <c r="E35" s="201"/>
      <c r="F35" s="201"/>
      <c r="G35" s="201">
        <f t="shared" si="4"/>
        <v>0</v>
      </c>
      <c r="H35" s="201">
        <f t="shared" si="5"/>
        <v>0</v>
      </c>
      <c r="I35" s="202"/>
      <c r="J35" s="165" t="s">
        <v>7</v>
      </c>
      <c r="K35" s="165" t="s">
        <v>107</v>
      </c>
      <c r="L35" s="165" t="s">
        <v>94</v>
      </c>
      <c r="M35" s="165"/>
      <c r="N35" s="165"/>
      <c r="P35" s="174"/>
    </row>
    <row r="36" spans="1:16" s="175" customFormat="1" ht="14" outlineLevel="4">
      <c r="A36" s="208" t="s">
        <v>8</v>
      </c>
      <c r="B36" s="151" t="s">
        <v>81</v>
      </c>
      <c r="C36" s="200" t="s">
        <v>34</v>
      </c>
      <c r="D36" s="201"/>
      <c r="E36" s="201"/>
      <c r="F36" s="209"/>
      <c r="G36" s="201">
        <f t="shared" si="4"/>
        <v>0</v>
      </c>
      <c r="H36" s="201">
        <f t="shared" si="5"/>
        <v>0</v>
      </c>
      <c r="I36" s="202"/>
      <c r="J36" s="165" t="s">
        <v>7</v>
      </c>
      <c r="K36" s="165" t="s">
        <v>107</v>
      </c>
      <c r="L36" s="165" t="s">
        <v>94</v>
      </c>
      <c r="M36" s="165"/>
      <c r="N36" s="165"/>
      <c r="P36" s="174"/>
    </row>
    <row r="37" spans="1:16" s="175" customFormat="1" ht="14" outlineLevel="4">
      <c r="A37" s="208" t="s">
        <v>8</v>
      </c>
      <c r="B37" s="151" t="s">
        <v>408</v>
      </c>
      <c r="C37" s="200" t="s">
        <v>34</v>
      </c>
      <c r="D37" s="201"/>
      <c r="E37" s="201"/>
      <c r="F37" s="209"/>
      <c r="G37" s="201">
        <f t="shared" si="4"/>
        <v>0</v>
      </c>
      <c r="H37" s="201">
        <f t="shared" si="5"/>
        <v>0</v>
      </c>
      <c r="I37" s="202"/>
      <c r="J37" s="165" t="s">
        <v>7</v>
      </c>
      <c r="K37" s="165" t="s">
        <v>107</v>
      </c>
      <c r="L37" s="165" t="s">
        <v>94</v>
      </c>
      <c r="M37" s="165"/>
      <c r="N37" s="165"/>
      <c r="P37" s="174"/>
    </row>
    <row r="38" spans="1:16" s="175" customFormat="1" ht="14" outlineLevel="4">
      <c r="A38" s="208" t="s">
        <v>8</v>
      </c>
      <c r="B38" s="151" t="s">
        <v>409</v>
      </c>
      <c r="C38" s="200" t="s">
        <v>34</v>
      </c>
      <c r="D38" s="201"/>
      <c r="E38" s="201"/>
      <c r="F38" s="209"/>
      <c r="G38" s="201">
        <f t="shared" si="4"/>
        <v>0</v>
      </c>
      <c r="H38" s="201">
        <f t="shared" si="5"/>
        <v>0</v>
      </c>
      <c r="I38" s="202"/>
      <c r="J38" s="165" t="s">
        <v>7</v>
      </c>
      <c r="K38" s="165" t="s">
        <v>107</v>
      </c>
      <c r="L38" s="165" t="s">
        <v>94</v>
      </c>
      <c r="M38" s="165"/>
      <c r="N38" s="165"/>
      <c r="P38" s="174"/>
    </row>
    <row r="39" spans="1:16" s="188" customFormat="1" ht="14" outlineLevel="3">
      <c r="A39" s="191">
        <v>3</v>
      </c>
      <c r="B39" s="153" t="s">
        <v>411</v>
      </c>
      <c r="C39" s="206"/>
      <c r="D39" s="194"/>
      <c r="E39" s="194"/>
      <c r="F39" s="194"/>
      <c r="G39" s="194">
        <f>SUBTOTAL(9,G40:G46)</f>
        <v>0</v>
      </c>
      <c r="H39" s="194">
        <f>SUBTOTAL(9,H40:H46)</f>
        <v>0</v>
      </c>
      <c r="I39" s="194"/>
      <c r="J39" s="186"/>
      <c r="K39" s="186"/>
      <c r="L39" s="186"/>
      <c r="M39" s="186"/>
      <c r="N39" s="186"/>
      <c r="P39" s="189"/>
    </row>
    <row r="40" spans="1:16" s="175" customFormat="1" ht="14" outlineLevel="4">
      <c r="A40" s="203" t="s">
        <v>8</v>
      </c>
      <c r="B40" s="151" t="s">
        <v>412</v>
      </c>
      <c r="C40" s="200" t="s">
        <v>31</v>
      </c>
      <c r="D40" s="207"/>
      <c r="E40" s="207"/>
      <c r="F40" s="201"/>
      <c r="G40" s="201">
        <f t="shared" ref="G40:G44" si="6">F40*D40</f>
        <v>0</v>
      </c>
      <c r="H40" s="201">
        <f t="shared" ref="H40:H44" si="7">F40*E40</f>
        <v>0</v>
      </c>
      <c r="I40" s="202"/>
      <c r="J40" s="165" t="s">
        <v>7</v>
      </c>
      <c r="K40" s="165" t="s">
        <v>107</v>
      </c>
      <c r="L40" s="165" t="s">
        <v>94</v>
      </c>
      <c r="M40" s="165"/>
      <c r="P40" s="174"/>
    </row>
    <row r="41" spans="1:16" s="175" customFormat="1" ht="14" outlineLevel="4">
      <c r="A41" s="203" t="s">
        <v>8</v>
      </c>
      <c r="B41" s="151" t="s">
        <v>413</v>
      </c>
      <c r="C41" s="200" t="s">
        <v>31</v>
      </c>
      <c r="D41" s="201"/>
      <c r="E41" s="201"/>
      <c r="F41" s="201"/>
      <c r="G41" s="201">
        <f t="shared" si="6"/>
        <v>0</v>
      </c>
      <c r="H41" s="201">
        <f t="shared" si="7"/>
        <v>0</v>
      </c>
      <c r="I41" s="202"/>
      <c r="J41" s="165" t="s">
        <v>7</v>
      </c>
      <c r="K41" s="165" t="s">
        <v>107</v>
      </c>
      <c r="L41" s="165" t="s">
        <v>94</v>
      </c>
      <c r="M41" s="165"/>
      <c r="N41" s="165"/>
      <c r="P41" s="174"/>
    </row>
    <row r="42" spans="1:16" s="175" customFormat="1" ht="14" outlineLevel="4">
      <c r="A42" s="208" t="s">
        <v>8</v>
      </c>
      <c r="B42" s="151" t="s">
        <v>81</v>
      </c>
      <c r="C42" s="200" t="s">
        <v>34</v>
      </c>
      <c r="D42" s="201"/>
      <c r="E42" s="201"/>
      <c r="F42" s="209"/>
      <c r="G42" s="201">
        <f t="shared" si="6"/>
        <v>0</v>
      </c>
      <c r="H42" s="201">
        <f t="shared" si="7"/>
        <v>0</v>
      </c>
      <c r="I42" s="202"/>
      <c r="J42" s="165" t="s">
        <v>7</v>
      </c>
      <c r="K42" s="165" t="s">
        <v>107</v>
      </c>
      <c r="L42" s="165" t="s">
        <v>94</v>
      </c>
      <c r="M42" s="165"/>
      <c r="N42" s="165"/>
      <c r="P42" s="174"/>
    </row>
    <row r="43" spans="1:16" s="175" customFormat="1" ht="14" outlineLevel="4">
      <c r="A43" s="208" t="s">
        <v>8</v>
      </c>
      <c r="B43" s="151" t="s">
        <v>408</v>
      </c>
      <c r="C43" s="200" t="s">
        <v>34</v>
      </c>
      <c r="D43" s="201"/>
      <c r="E43" s="201"/>
      <c r="F43" s="209"/>
      <c r="G43" s="201">
        <f t="shared" si="6"/>
        <v>0</v>
      </c>
      <c r="H43" s="201">
        <f t="shared" si="7"/>
        <v>0</v>
      </c>
      <c r="I43" s="202"/>
      <c r="J43" s="165" t="s">
        <v>7</v>
      </c>
      <c r="K43" s="165" t="s">
        <v>107</v>
      </c>
      <c r="L43" s="165" t="s">
        <v>94</v>
      </c>
      <c r="M43" s="165"/>
      <c r="N43" s="165"/>
      <c r="P43" s="174"/>
    </row>
    <row r="44" spans="1:16" s="175" customFormat="1" ht="14" outlineLevel="4">
      <c r="A44" s="208" t="s">
        <v>8</v>
      </c>
      <c r="B44" s="151" t="s">
        <v>409</v>
      </c>
      <c r="C44" s="200" t="s">
        <v>34</v>
      </c>
      <c r="D44" s="201"/>
      <c r="E44" s="201"/>
      <c r="F44" s="209"/>
      <c r="G44" s="201">
        <f t="shared" si="6"/>
        <v>0</v>
      </c>
      <c r="H44" s="201">
        <f t="shared" si="7"/>
        <v>0</v>
      </c>
      <c r="I44" s="202"/>
      <c r="J44" s="165" t="s">
        <v>7</v>
      </c>
      <c r="K44" s="165" t="s">
        <v>107</v>
      </c>
      <c r="L44" s="165" t="s">
        <v>94</v>
      </c>
      <c r="M44" s="165"/>
      <c r="N44" s="165"/>
      <c r="P44" s="174"/>
    </row>
    <row r="45" spans="1:16" s="188" customFormat="1" ht="14" outlineLevel="2">
      <c r="A45" s="195" t="s">
        <v>12</v>
      </c>
      <c r="B45" s="192" t="s">
        <v>22</v>
      </c>
      <c r="C45" s="193"/>
      <c r="D45" s="194"/>
      <c r="E45" s="194"/>
      <c r="F45" s="194"/>
      <c r="G45" s="194">
        <f>SUBTOTAL(9,G46:G77)</f>
        <v>6398912.6751965126</v>
      </c>
      <c r="H45" s="194">
        <f>SUBTOTAL(9,H46:H77)</f>
        <v>6433484.3079077415</v>
      </c>
      <c r="I45" s="194"/>
      <c r="J45" s="186"/>
      <c r="K45" s="186"/>
      <c r="L45" s="186"/>
      <c r="M45" s="186"/>
      <c r="N45" s="186"/>
      <c r="P45" s="210" t="s">
        <v>764</v>
      </c>
    </row>
    <row r="46" spans="1:16" s="188" customFormat="1" ht="14" outlineLevel="3">
      <c r="A46" s="191">
        <v>1</v>
      </c>
      <c r="B46" s="153" t="s">
        <v>169</v>
      </c>
      <c r="C46" s="206"/>
      <c r="D46" s="194"/>
      <c r="E46" s="194"/>
      <c r="F46" s="194"/>
      <c r="G46" s="194">
        <f>SUBTOTAL(9,G47:G63)</f>
        <v>6398912.6751965126</v>
      </c>
      <c r="H46" s="194">
        <f>SUBTOTAL(9,H47:H63)</f>
        <v>6433484.3079077415</v>
      </c>
      <c r="I46" s="194"/>
      <c r="J46" s="186"/>
      <c r="K46" s="186"/>
      <c r="L46" s="186"/>
      <c r="M46" s="186"/>
      <c r="N46" s="186"/>
      <c r="P46" s="189"/>
    </row>
    <row r="47" spans="1:16" s="175" customFormat="1" ht="28" outlineLevel="4">
      <c r="A47" s="203" t="s">
        <v>8</v>
      </c>
      <c r="B47" s="151" t="s">
        <v>1236</v>
      </c>
      <c r="C47" s="204" t="s">
        <v>31</v>
      </c>
      <c r="D47" s="207">
        <v>38</v>
      </c>
      <c r="E47" s="207"/>
      <c r="F47" s="201">
        <v>16430.5</v>
      </c>
      <c r="G47" s="201">
        <f t="shared" ref="G47:G53" si="8">F47*D47</f>
        <v>624359</v>
      </c>
      <c r="H47" s="201">
        <f t="shared" ref="H47:H53" si="9">F47*E47</f>
        <v>0</v>
      </c>
      <c r="I47" s="202"/>
      <c r="J47" s="165" t="s">
        <v>7</v>
      </c>
      <c r="K47" s="165" t="s">
        <v>108</v>
      </c>
      <c r="L47" s="165" t="s">
        <v>94</v>
      </c>
      <c r="M47" s="165"/>
      <c r="P47" s="174"/>
    </row>
    <row r="48" spans="1:16" s="175" customFormat="1" ht="42" outlineLevel="4">
      <c r="A48" s="203" t="s">
        <v>8</v>
      </c>
      <c r="B48" s="151" t="s">
        <v>1240</v>
      </c>
      <c r="C48" s="204" t="s">
        <v>31</v>
      </c>
      <c r="D48" s="201"/>
      <c r="E48" s="201">
        <v>35</v>
      </c>
      <c r="F48" s="201">
        <v>20190</v>
      </c>
      <c r="G48" s="201">
        <f t="shared" si="8"/>
        <v>0</v>
      </c>
      <c r="H48" s="201">
        <f t="shared" si="9"/>
        <v>706650</v>
      </c>
      <c r="I48" s="202"/>
      <c r="J48" s="165" t="s">
        <v>7</v>
      </c>
      <c r="K48" s="165" t="s">
        <v>108</v>
      </c>
      <c r="L48" s="165" t="s">
        <v>94</v>
      </c>
      <c r="M48" s="165"/>
      <c r="N48" s="165"/>
      <c r="P48" s="174"/>
    </row>
    <row r="49" spans="1:16" s="175" customFormat="1" ht="28" outlineLevel="4">
      <c r="A49" s="203" t="s">
        <v>8</v>
      </c>
      <c r="B49" s="151" t="s">
        <v>1241</v>
      </c>
      <c r="C49" s="204" t="s">
        <v>31</v>
      </c>
      <c r="D49" s="201">
        <v>6</v>
      </c>
      <c r="E49" s="201">
        <v>12</v>
      </c>
      <c r="F49" s="201">
        <v>16874</v>
      </c>
      <c r="G49" s="201">
        <f t="shared" si="8"/>
        <v>101244</v>
      </c>
      <c r="H49" s="201">
        <f t="shared" si="9"/>
        <v>202488</v>
      </c>
      <c r="I49" s="202"/>
      <c r="J49" s="165" t="s">
        <v>7</v>
      </c>
      <c r="K49" s="165" t="s">
        <v>108</v>
      </c>
      <c r="L49" s="165" t="s">
        <v>94</v>
      </c>
      <c r="M49" s="165"/>
      <c r="N49" s="165"/>
      <c r="P49" s="174"/>
    </row>
    <row r="50" spans="1:16" s="175" customFormat="1" ht="28" outlineLevel="4">
      <c r="A50" s="203" t="s">
        <v>8</v>
      </c>
      <c r="B50" s="151" t="s">
        <v>1242</v>
      </c>
      <c r="C50" s="204" t="s">
        <v>31</v>
      </c>
      <c r="D50" s="201">
        <v>80</v>
      </c>
      <c r="E50" s="201">
        <v>76</v>
      </c>
      <c r="F50" s="201">
        <v>13114.5</v>
      </c>
      <c r="G50" s="201">
        <f t="shared" si="8"/>
        <v>1049160</v>
      </c>
      <c r="H50" s="201">
        <f t="shared" si="9"/>
        <v>996702</v>
      </c>
      <c r="I50" s="202"/>
      <c r="J50" s="165" t="s">
        <v>7</v>
      </c>
      <c r="K50" s="165" t="s">
        <v>108</v>
      </c>
      <c r="L50" s="165" t="s">
        <v>94</v>
      </c>
      <c r="M50" s="165"/>
      <c r="N50" s="165"/>
      <c r="P50" s="174"/>
    </row>
    <row r="51" spans="1:16" s="175" customFormat="1" ht="28" outlineLevel="4">
      <c r="A51" s="208" t="s">
        <v>8</v>
      </c>
      <c r="B51" s="151" t="s">
        <v>1243</v>
      </c>
      <c r="C51" s="204" t="s">
        <v>31</v>
      </c>
      <c r="D51" s="201">
        <v>20</v>
      </c>
      <c r="E51" s="201">
        <v>0</v>
      </c>
      <c r="F51" s="209">
        <v>13633.5</v>
      </c>
      <c r="G51" s="201">
        <f t="shared" si="8"/>
        <v>272670</v>
      </c>
      <c r="H51" s="201">
        <f t="shared" si="9"/>
        <v>0</v>
      </c>
      <c r="I51" s="202"/>
      <c r="J51" s="165" t="s">
        <v>7</v>
      </c>
      <c r="K51" s="165" t="s">
        <v>108</v>
      </c>
      <c r="L51" s="165" t="s">
        <v>94</v>
      </c>
      <c r="M51" s="165"/>
      <c r="N51" s="165"/>
      <c r="P51" s="174"/>
    </row>
    <row r="52" spans="1:16" s="175" customFormat="1" ht="42" outlineLevel="4">
      <c r="A52" s="208" t="s">
        <v>8</v>
      </c>
      <c r="B52" s="151" t="s">
        <v>1244</v>
      </c>
      <c r="C52" s="204" t="s">
        <v>31</v>
      </c>
      <c r="D52" s="201">
        <v>22</v>
      </c>
      <c r="E52" s="201">
        <v>36</v>
      </c>
      <c r="F52" s="209">
        <v>49200</v>
      </c>
      <c r="G52" s="201">
        <f t="shared" si="8"/>
        <v>1082400</v>
      </c>
      <c r="H52" s="201">
        <f t="shared" si="9"/>
        <v>1771200</v>
      </c>
      <c r="I52" s="202"/>
      <c r="J52" s="165" t="s">
        <v>7</v>
      </c>
      <c r="K52" s="165" t="s">
        <v>108</v>
      </c>
      <c r="L52" s="165" t="s">
        <v>94</v>
      </c>
      <c r="M52" s="165"/>
      <c r="N52" s="165"/>
      <c r="P52" s="174"/>
    </row>
    <row r="53" spans="1:16" s="175" customFormat="1" ht="14" outlineLevel="4">
      <c r="A53" s="208" t="s">
        <v>8</v>
      </c>
      <c r="B53" s="151" t="s">
        <v>1334</v>
      </c>
      <c r="C53" s="204" t="s">
        <v>1333</v>
      </c>
      <c r="D53" s="201">
        <v>603</v>
      </c>
      <c r="E53" s="201">
        <v>36</v>
      </c>
      <c r="F53" s="209">
        <v>192</v>
      </c>
      <c r="G53" s="201">
        <f t="shared" si="8"/>
        <v>115776</v>
      </c>
      <c r="H53" s="201">
        <f t="shared" si="9"/>
        <v>6912</v>
      </c>
      <c r="I53" s="202"/>
      <c r="J53" s="165" t="s">
        <v>7</v>
      </c>
      <c r="K53" s="165" t="s">
        <v>108</v>
      </c>
      <c r="L53" s="165" t="s">
        <v>94</v>
      </c>
      <c r="M53" s="165"/>
      <c r="N53" s="165"/>
      <c r="P53" s="174"/>
    </row>
    <row r="54" spans="1:16" s="175" customFormat="1" ht="14" outlineLevel="4">
      <c r="A54" s="208" t="s">
        <v>8</v>
      </c>
      <c r="B54" s="151" t="s">
        <v>1335</v>
      </c>
      <c r="C54" s="204" t="s">
        <v>1333</v>
      </c>
      <c r="D54" s="201">
        <v>600</v>
      </c>
      <c r="E54" s="201">
        <v>36</v>
      </c>
      <c r="F54" s="209">
        <v>710</v>
      </c>
      <c r="G54" s="201">
        <f t="shared" ref="G54" si="10">F54*D54</f>
        <v>426000</v>
      </c>
      <c r="H54" s="201">
        <f t="shared" ref="H54" si="11">F54*E54</f>
        <v>25560</v>
      </c>
      <c r="I54" s="202"/>
      <c r="J54" s="165" t="s">
        <v>7</v>
      </c>
      <c r="K54" s="165" t="s">
        <v>108</v>
      </c>
      <c r="L54" s="165" t="s">
        <v>94</v>
      </c>
      <c r="M54" s="165"/>
      <c r="N54" s="165"/>
      <c r="P54" s="174"/>
    </row>
    <row r="55" spans="1:16" s="175" customFormat="1" ht="14" outlineLevel="4">
      <c r="A55" s="208" t="s">
        <v>8</v>
      </c>
      <c r="B55" s="151" t="s">
        <v>1245</v>
      </c>
      <c r="C55" s="204" t="s">
        <v>23</v>
      </c>
      <c r="D55" s="201">
        <v>50</v>
      </c>
      <c r="E55" s="201"/>
      <c r="F55" s="209">
        <v>5000</v>
      </c>
      <c r="G55" s="201">
        <f t="shared" ref="G55" si="12">F55*D55</f>
        <v>250000</v>
      </c>
      <c r="H55" s="201">
        <f t="shared" ref="H55" si="13">F55*E55</f>
        <v>0</v>
      </c>
      <c r="I55" s="202"/>
      <c r="J55" s="165" t="s">
        <v>7</v>
      </c>
      <c r="K55" s="165" t="s">
        <v>108</v>
      </c>
      <c r="L55" s="165" t="s">
        <v>94</v>
      </c>
      <c r="M55" s="165"/>
      <c r="N55" s="165"/>
      <c r="P55" s="174"/>
    </row>
    <row r="56" spans="1:16" s="175" customFormat="1" ht="28" outlineLevel="4">
      <c r="A56" s="208" t="s">
        <v>8</v>
      </c>
      <c r="B56" s="587" t="s">
        <v>1246</v>
      </c>
      <c r="C56" s="204" t="s">
        <v>31</v>
      </c>
      <c r="D56" s="201">
        <v>3</v>
      </c>
      <c r="E56" s="201">
        <v>5</v>
      </c>
      <c r="F56" s="209">
        <v>16230.187868370002</v>
      </c>
      <c r="G56" s="201">
        <f t="shared" ref="G56:G58" si="14">F56*D56</f>
        <v>48690.563605110001</v>
      </c>
      <c r="H56" s="201">
        <f t="shared" ref="H56:H58" si="15">F56*E56</f>
        <v>81150.939341850011</v>
      </c>
      <c r="I56" s="202"/>
      <c r="J56" s="165" t="s">
        <v>7</v>
      </c>
      <c r="K56" s="165" t="s">
        <v>108</v>
      </c>
      <c r="L56" s="165" t="s">
        <v>94</v>
      </c>
      <c r="M56" s="165"/>
      <c r="N56" s="165"/>
      <c r="P56" s="174"/>
    </row>
    <row r="57" spans="1:16" s="175" customFormat="1" ht="28" outlineLevel="4">
      <c r="A57" s="208" t="s">
        <v>8</v>
      </c>
      <c r="B57" s="151" t="s">
        <v>1238</v>
      </c>
      <c r="C57" s="204" t="s">
        <v>31</v>
      </c>
      <c r="D57" s="201"/>
      <c r="E57" s="201"/>
      <c r="F57" s="209">
        <v>21295.187868370002</v>
      </c>
      <c r="G57" s="201">
        <f t="shared" si="14"/>
        <v>0</v>
      </c>
      <c r="H57" s="201">
        <f t="shared" si="15"/>
        <v>0</v>
      </c>
      <c r="I57" s="202"/>
      <c r="J57" s="165" t="s">
        <v>7</v>
      </c>
      <c r="K57" s="165" t="s">
        <v>108</v>
      </c>
      <c r="L57" s="165" t="s">
        <v>94</v>
      </c>
      <c r="M57" s="165"/>
      <c r="N57" s="165"/>
      <c r="P57" s="174"/>
    </row>
    <row r="58" spans="1:16" s="175" customFormat="1" ht="42" outlineLevel="4">
      <c r="A58" s="208" t="s">
        <v>8</v>
      </c>
      <c r="B58" s="151" t="s">
        <v>1247</v>
      </c>
      <c r="C58" s="204" t="s">
        <v>31</v>
      </c>
      <c r="D58" s="201"/>
      <c r="E58" s="201">
        <v>10</v>
      </c>
      <c r="F58" s="209">
        <v>17890.311198428804</v>
      </c>
      <c r="G58" s="201">
        <f t="shared" si="14"/>
        <v>0</v>
      </c>
      <c r="H58" s="201">
        <f t="shared" si="15"/>
        <v>178903.11198428803</v>
      </c>
      <c r="I58" s="202"/>
      <c r="J58" s="165" t="s">
        <v>7</v>
      </c>
      <c r="K58" s="165" t="s">
        <v>108</v>
      </c>
      <c r="L58" s="165" t="s">
        <v>94</v>
      </c>
      <c r="M58" s="165"/>
      <c r="N58" s="165"/>
      <c r="P58" s="174"/>
    </row>
    <row r="59" spans="1:16" s="175" customFormat="1" ht="42" outlineLevel="4">
      <c r="A59" s="208" t="s">
        <v>8</v>
      </c>
      <c r="B59" s="151" t="s">
        <v>1248</v>
      </c>
      <c r="C59" s="204" t="s">
        <v>31</v>
      </c>
      <c r="D59" s="201">
        <v>61</v>
      </c>
      <c r="E59" s="201">
        <v>139</v>
      </c>
      <c r="F59" s="209">
        <v>12825.311198428803</v>
      </c>
      <c r="G59" s="201">
        <f t="shared" ref="G59:G63" si="16">F59*D59</f>
        <v>782343.98310415691</v>
      </c>
      <c r="H59" s="201">
        <f t="shared" ref="H59:H63" si="17">F59*E59</f>
        <v>1782718.2565816035</v>
      </c>
      <c r="I59" s="202"/>
      <c r="J59" s="165" t="s">
        <v>7</v>
      </c>
      <c r="K59" s="165" t="s">
        <v>108</v>
      </c>
      <c r="L59" s="165" t="s">
        <v>94</v>
      </c>
      <c r="M59" s="165"/>
      <c r="N59" s="165"/>
      <c r="P59" s="174"/>
    </row>
    <row r="60" spans="1:16" s="175" customFormat="1" ht="28" outlineLevel="4">
      <c r="A60" s="208" t="s">
        <v>8</v>
      </c>
      <c r="B60" s="151" t="s">
        <v>1249</v>
      </c>
      <c r="C60" s="204" t="s">
        <v>31</v>
      </c>
      <c r="D60" s="201">
        <v>32</v>
      </c>
      <c r="E60" s="201"/>
      <c r="F60" s="209">
        <v>14021.535265226399</v>
      </c>
      <c r="G60" s="201">
        <f t="shared" si="16"/>
        <v>448689.12848724477</v>
      </c>
      <c r="H60" s="201">
        <f t="shared" si="17"/>
        <v>0</v>
      </c>
      <c r="I60" s="202"/>
      <c r="J60" s="165" t="s">
        <v>7</v>
      </c>
      <c r="K60" s="165" t="s">
        <v>108</v>
      </c>
      <c r="L60" s="165" t="s">
        <v>94</v>
      </c>
      <c r="M60" s="165"/>
      <c r="N60" s="165"/>
      <c r="P60" s="174"/>
    </row>
    <row r="61" spans="1:16" s="175" customFormat="1" ht="42" outlineLevel="4">
      <c r="A61" s="208" t="s">
        <v>8</v>
      </c>
      <c r="B61" s="151" t="s">
        <v>1250</v>
      </c>
      <c r="C61" s="204" t="s">
        <v>31</v>
      </c>
      <c r="D61" s="201">
        <v>18</v>
      </c>
      <c r="E61" s="201">
        <v>20</v>
      </c>
      <c r="F61" s="209">
        <v>33350</v>
      </c>
      <c r="G61" s="201">
        <f t="shared" ref="G61" si="18">F61*D61</f>
        <v>600300</v>
      </c>
      <c r="H61" s="201">
        <f t="shared" ref="H61" si="19">F61*E61</f>
        <v>667000</v>
      </c>
      <c r="I61" s="202"/>
      <c r="J61" s="165" t="s">
        <v>7</v>
      </c>
      <c r="K61" s="165" t="s">
        <v>108</v>
      </c>
      <c r="L61" s="165" t="s">
        <v>94</v>
      </c>
      <c r="M61" s="165"/>
      <c r="N61" s="165"/>
      <c r="P61" s="174"/>
    </row>
    <row r="62" spans="1:16" s="175" customFormat="1" ht="14" outlineLevel="4">
      <c r="A62" s="208" t="s">
        <v>8</v>
      </c>
      <c r="B62" s="151" t="s">
        <v>1336</v>
      </c>
      <c r="C62" s="204" t="s">
        <v>1333</v>
      </c>
      <c r="D62" s="201">
        <v>800</v>
      </c>
      <c r="E62" s="201">
        <v>20</v>
      </c>
      <c r="F62" s="209">
        <v>710</v>
      </c>
      <c r="G62" s="201">
        <f t="shared" ref="G62" si="20">F62*D62</f>
        <v>568000</v>
      </c>
      <c r="H62" s="201">
        <f t="shared" ref="H62" si="21">F62*E62</f>
        <v>14200</v>
      </c>
      <c r="I62" s="202"/>
      <c r="J62" s="165" t="s">
        <v>7</v>
      </c>
      <c r="K62" s="165" t="s">
        <v>108</v>
      </c>
      <c r="L62" s="165" t="s">
        <v>94</v>
      </c>
      <c r="M62" s="165"/>
      <c r="N62" s="165"/>
      <c r="P62" s="174"/>
    </row>
    <row r="63" spans="1:16" s="175" customFormat="1" ht="14" outlineLevel="4">
      <c r="A63" s="208" t="s">
        <v>8</v>
      </c>
      <c r="B63" s="151" t="s">
        <v>1251</v>
      </c>
      <c r="C63" s="204" t="s">
        <v>34</v>
      </c>
      <c r="D63" s="201">
        <v>96</v>
      </c>
      <c r="E63" s="201"/>
      <c r="F63" s="209">
        <v>305</v>
      </c>
      <c r="G63" s="201">
        <f t="shared" si="16"/>
        <v>29280</v>
      </c>
      <c r="H63" s="201">
        <f t="shared" si="17"/>
        <v>0</v>
      </c>
      <c r="I63" s="202"/>
      <c r="J63" s="165" t="s">
        <v>7</v>
      </c>
      <c r="K63" s="165" t="s">
        <v>108</v>
      </c>
      <c r="L63" s="165" t="s">
        <v>94</v>
      </c>
      <c r="M63" s="165"/>
      <c r="N63" s="165"/>
      <c r="P63" s="174"/>
    </row>
    <row r="64" spans="1:16" s="188" customFormat="1" ht="14" outlineLevel="3">
      <c r="A64" s="191">
        <v>1</v>
      </c>
      <c r="B64" s="153" t="s">
        <v>410</v>
      </c>
      <c r="C64" s="206"/>
      <c r="D64" s="194"/>
      <c r="E64" s="194"/>
      <c r="F64" s="194"/>
      <c r="G64" s="194">
        <f>SUBTOTAL(9,G65:G70)</f>
        <v>0</v>
      </c>
      <c r="H64" s="194">
        <f>SUBTOTAL(9,H65:H70)</f>
        <v>0</v>
      </c>
      <c r="I64" s="194"/>
      <c r="J64" s="186"/>
      <c r="K64" s="186"/>
      <c r="L64" s="186"/>
      <c r="M64" s="186"/>
      <c r="N64" s="186"/>
      <c r="P64" s="189"/>
    </row>
    <row r="65" spans="1:16" s="175" customFormat="1" ht="14" outlineLevel="4">
      <c r="A65" s="203" t="s">
        <v>8</v>
      </c>
      <c r="B65" s="151" t="s">
        <v>414</v>
      </c>
      <c r="C65" s="200" t="s">
        <v>31</v>
      </c>
      <c r="D65" s="207"/>
      <c r="E65" s="207"/>
      <c r="F65" s="201"/>
      <c r="G65" s="201">
        <f t="shared" ref="G65:G68" si="22">F65*D65</f>
        <v>0</v>
      </c>
      <c r="H65" s="201">
        <f t="shared" ref="H65:H68" si="23">F65*E65</f>
        <v>0</v>
      </c>
      <c r="I65" s="202"/>
      <c r="J65" s="165" t="s">
        <v>7</v>
      </c>
      <c r="K65" s="165" t="s">
        <v>108</v>
      </c>
      <c r="L65" s="165" t="s">
        <v>94</v>
      </c>
      <c r="M65" s="165"/>
      <c r="P65" s="174"/>
    </row>
    <row r="66" spans="1:16" s="175" customFormat="1" ht="14" outlineLevel="4">
      <c r="A66" s="203" t="s">
        <v>8</v>
      </c>
      <c r="B66" s="151" t="s">
        <v>415</v>
      </c>
      <c r="C66" s="200" t="s">
        <v>31</v>
      </c>
      <c r="D66" s="201"/>
      <c r="E66" s="201"/>
      <c r="F66" s="201"/>
      <c r="G66" s="201">
        <f t="shared" si="22"/>
        <v>0</v>
      </c>
      <c r="H66" s="201">
        <f t="shared" si="23"/>
        <v>0</v>
      </c>
      <c r="I66" s="202"/>
      <c r="J66" s="165" t="s">
        <v>7</v>
      </c>
      <c r="K66" s="165" t="s">
        <v>108</v>
      </c>
      <c r="L66" s="165" t="s">
        <v>94</v>
      </c>
      <c r="M66" s="165"/>
      <c r="N66" s="165"/>
      <c r="P66" s="174"/>
    </row>
    <row r="67" spans="1:16" s="175" customFormat="1" ht="14" outlineLevel="4">
      <c r="A67" s="203" t="s">
        <v>8</v>
      </c>
      <c r="B67" s="199" t="s">
        <v>82</v>
      </c>
      <c r="C67" s="200" t="s">
        <v>34</v>
      </c>
      <c r="D67" s="201"/>
      <c r="E67" s="201"/>
      <c r="F67" s="201"/>
      <c r="G67" s="201">
        <f t="shared" si="22"/>
        <v>0</v>
      </c>
      <c r="H67" s="201">
        <f t="shared" si="23"/>
        <v>0</v>
      </c>
      <c r="I67" s="202"/>
      <c r="J67" s="165" t="s">
        <v>7</v>
      </c>
      <c r="K67" s="165" t="s">
        <v>108</v>
      </c>
      <c r="L67" s="165" t="s">
        <v>94</v>
      </c>
      <c r="M67" s="165"/>
      <c r="N67" s="165"/>
      <c r="P67" s="174"/>
    </row>
    <row r="68" spans="1:16" s="175" customFormat="1" ht="14" outlineLevel="4">
      <c r="A68" s="203" t="s">
        <v>8</v>
      </c>
      <c r="B68" s="151" t="s">
        <v>81</v>
      </c>
      <c r="C68" s="200" t="s">
        <v>34</v>
      </c>
      <c r="D68" s="201"/>
      <c r="E68" s="201"/>
      <c r="F68" s="201"/>
      <c r="G68" s="201">
        <f t="shared" si="22"/>
        <v>0</v>
      </c>
      <c r="H68" s="201">
        <f t="shared" si="23"/>
        <v>0</v>
      </c>
      <c r="I68" s="202"/>
      <c r="J68" s="165" t="s">
        <v>7</v>
      </c>
      <c r="K68" s="165" t="s">
        <v>108</v>
      </c>
      <c r="L68" s="165" t="s">
        <v>94</v>
      </c>
      <c r="M68" s="165"/>
      <c r="N68" s="165"/>
      <c r="P68" s="174"/>
    </row>
    <row r="69" spans="1:16" s="175" customFormat="1" ht="14" outlineLevel="4">
      <c r="A69" s="208" t="s">
        <v>8</v>
      </c>
      <c r="B69" s="151" t="s">
        <v>408</v>
      </c>
      <c r="C69" s="200" t="s">
        <v>34</v>
      </c>
      <c r="D69" s="201"/>
      <c r="E69" s="201"/>
      <c r="F69" s="209"/>
      <c r="G69" s="201">
        <f t="shared" ref="G69:G70" si="24">F69*D69</f>
        <v>0</v>
      </c>
      <c r="H69" s="201">
        <f t="shared" ref="H69:H70" si="25">F69*E69</f>
        <v>0</v>
      </c>
      <c r="I69" s="202"/>
      <c r="J69" s="165" t="s">
        <v>7</v>
      </c>
      <c r="K69" s="165" t="s">
        <v>108</v>
      </c>
      <c r="L69" s="165" t="s">
        <v>94</v>
      </c>
      <c r="M69" s="165"/>
      <c r="N69" s="165"/>
      <c r="P69" s="174"/>
    </row>
    <row r="70" spans="1:16" s="175" customFormat="1" ht="14" outlineLevel="4">
      <c r="A70" s="208" t="s">
        <v>8</v>
      </c>
      <c r="B70" s="151" t="s">
        <v>409</v>
      </c>
      <c r="C70" s="200" t="s">
        <v>34</v>
      </c>
      <c r="D70" s="201"/>
      <c r="E70" s="201"/>
      <c r="F70" s="209"/>
      <c r="G70" s="201">
        <f t="shared" si="24"/>
        <v>0</v>
      </c>
      <c r="H70" s="201">
        <f t="shared" si="25"/>
        <v>0</v>
      </c>
      <c r="I70" s="202"/>
      <c r="J70" s="165" t="s">
        <v>7</v>
      </c>
      <c r="K70" s="165" t="s">
        <v>108</v>
      </c>
      <c r="L70" s="165" t="s">
        <v>94</v>
      </c>
      <c r="M70" s="165"/>
      <c r="N70" s="165"/>
      <c r="P70" s="174"/>
    </row>
    <row r="71" spans="1:16" s="188" customFormat="1" ht="14" outlineLevel="3">
      <c r="A71" s="191">
        <v>3</v>
      </c>
      <c r="B71" s="153" t="s">
        <v>411</v>
      </c>
      <c r="C71" s="206"/>
      <c r="D71" s="194"/>
      <c r="E71" s="194"/>
      <c r="F71" s="194"/>
      <c r="G71" s="194">
        <f>SUBTOTAL(9,G72:G77)</f>
        <v>0</v>
      </c>
      <c r="H71" s="194">
        <f>SUBTOTAL(9,H72:H77)</f>
        <v>0</v>
      </c>
      <c r="I71" s="194"/>
      <c r="J71" s="186"/>
      <c r="K71" s="186"/>
      <c r="L71" s="186"/>
      <c r="M71" s="186"/>
      <c r="N71" s="186"/>
      <c r="P71" s="189"/>
    </row>
    <row r="72" spans="1:16" s="175" customFormat="1" ht="14" outlineLevel="4">
      <c r="A72" s="203" t="s">
        <v>8</v>
      </c>
      <c r="B72" s="151" t="s">
        <v>958</v>
      </c>
      <c r="C72" s="200" t="s">
        <v>31</v>
      </c>
      <c r="D72" s="207"/>
      <c r="E72" s="207"/>
      <c r="F72" s="209"/>
      <c r="G72" s="201">
        <f t="shared" ref="G72:G76" si="26">F72*D72</f>
        <v>0</v>
      </c>
      <c r="H72" s="201">
        <f t="shared" ref="H72:H76" si="27">F72*E72</f>
        <v>0</v>
      </c>
      <c r="I72" s="202"/>
      <c r="J72" s="165" t="s">
        <v>7</v>
      </c>
      <c r="K72" s="165" t="s">
        <v>108</v>
      </c>
      <c r="L72" s="165" t="s">
        <v>94</v>
      </c>
      <c r="M72" s="165"/>
      <c r="P72" s="174"/>
    </row>
    <row r="73" spans="1:16" s="175" customFormat="1" ht="14" outlineLevel="4">
      <c r="A73" s="203" t="s">
        <v>8</v>
      </c>
      <c r="B73" s="151" t="s">
        <v>959</v>
      </c>
      <c r="C73" s="200" t="s">
        <v>31</v>
      </c>
      <c r="D73" s="207"/>
      <c r="E73" s="207"/>
      <c r="F73" s="209"/>
      <c r="G73" s="201">
        <f t="shared" ref="G73" si="28">F73*D73</f>
        <v>0</v>
      </c>
      <c r="H73" s="201">
        <f t="shared" ref="H73" si="29">F73*E73</f>
        <v>0</v>
      </c>
      <c r="I73" s="202"/>
      <c r="J73" s="165" t="s">
        <v>7</v>
      </c>
      <c r="K73" s="165" t="s">
        <v>108</v>
      </c>
      <c r="L73" s="165" t="s">
        <v>94</v>
      </c>
      <c r="M73" s="165"/>
      <c r="P73" s="174"/>
    </row>
    <row r="74" spans="1:16" s="175" customFormat="1" ht="14" outlineLevel="4">
      <c r="A74" s="203" t="s">
        <v>8</v>
      </c>
      <c r="B74" s="151" t="s">
        <v>1001</v>
      </c>
      <c r="C74" s="200" t="s">
        <v>31</v>
      </c>
      <c r="D74" s="201"/>
      <c r="E74" s="201"/>
      <c r="F74" s="209"/>
      <c r="G74" s="201">
        <f t="shared" si="26"/>
        <v>0</v>
      </c>
      <c r="H74" s="201">
        <f t="shared" si="27"/>
        <v>0</v>
      </c>
      <c r="I74" s="202"/>
      <c r="J74" s="165" t="s">
        <v>7</v>
      </c>
      <c r="K74" s="165" t="s">
        <v>108</v>
      </c>
      <c r="L74" s="165" t="s">
        <v>94</v>
      </c>
      <c r="M74" s="165"/>
      <c r="N74" s="165"/>
      <c r="P74" s="174"/>
    </row>
    <row r="75" spans="1:16" s="175" customFormat="1" ht="14" outlineLevel="4">
      <c r="A75" s="203" t="s">
        <v>8</v>
      </c>
      <c r="B75" s="151" t="s">
        <v>81</v>
      </c>
      <c r="C75" s="200" t="s">
        <v>34</v>
      </c>
      <c r="D75" s="201"/>
      <c r="E75" s="201"/>
      <c r="F75" s="209"/>
      <c r="G75" s="201">
        <f t="shared" si="26"/>
        <v>0</v>
      </c>
      <c r="H75" s="201">
        <f t="shared" si="27"/>
        <v>0</v>
      </c>
      <c r="I75" s="202"/>
      <c r="J75" s="165" t="s">
        <v>7</v>
      </c>
      <c r="K75" s="165" t="s">
        <v>108</v>
      </c>
      <c r="L75" s="165" t="s">
        <v>94</v>
      </c>
      <c r="M75" s="165"/>
      <c r="N75" s="165"/>
      <c r="P75" s="174"/>
    </row>
    <row r="76" spans="1:16" s="175" customFormat="1" ht="14" outlineLevel="4">
      <c r="A76" s="203" t="s">
        <v>8</v>
      </c>
      <c r="B76" s="151" t="s">
        <v>408</v>
      </c>
      <c r="C76" s="200" t="s">
        <v>34</v>
      </c>
      <c r="D76" s="201"/>
      <c r="E76" s="201"/>
      <c r="F76" s="209"/>
      <c r="G76" s="201">
        <f t="shared" si="26"/>
        <v>0</v>
      </c>
      <c r="H76" s="201">
        <f t="shared" si="27"/>
        <v>0</v>
      </c>
      <c r="I76" s="202"/>
      <c r="J76" s="165" t="s">
        <v>7</v>
      </c>
      <c r="K76" s="165" t="s">
        <v>108</v>
      </c>
      <c r="L76" s="165" t="s">
        <v>94</v>
      </c>
      <c r="M76" s="165"/>
      <c r="N76" s="165"/>
      <c r="P76" s="174"/>
    </row>
    <row r="77" spans="1:16" s="175" customFormat="1" ht="14" outlineLevel="4">
      <c r="A77" s="208" t="s">
        <v>8</v>
      </c>
      <c r="B77" s="151" t="s">
        <v>409</v>
      </c>
      <c r="C77" s="200" t="s">
        <v>34</v>
      </c>
      <c r="D77" s="201"/>
      <c r="E77" s="201"/>
      <c r="F77" s="209"/>
      <c r="G77" s="201">
        <f t="shared" ref="G77" si="30">F77*D77</f>
        <v>0</v>
      </c>
      <c r="H77" s="201">
        <f t="shared" ref="H77" si="31">F77*E77</f>
        <v>0</v>
      </c>
      <c r="I77" s="202"/>
      <c r="J77" s="165" t="s">
        <v>7</v>
      </c>
      <c r="K77" s="165" t="s">
        <v>108</v>
      </c>
      <c r="L77" s="165" t="s">
        <v>94</v>
      </c>
      <c r="M77" s="165"/>
      <c r="N77" s="165"/>
      <c r="P77" s="174"/>
    </row>
    <row r="78" spans="1:16" s="188" customFormat="1" ht="14" outlineLevel="2">
      <c r="A78" s="191" t="s">
        <v>12</v>
      </c>
      <c r="B78" s="192" t="s">
        <v>267</v>
      </c>
      <c r="C78" s="193"/>
      <c r="D78" s="194"/>
      <c r="E78" s="194"/>
      <c r="F78" s="194"/>
      <c r="G78" s="194">
        <f>SUBTOTAL(9,G79:G80)</f>
        <v>360000</v>
      </c>
      <c r="H78" s="194">
        <f>SUBTOTAL(9,H79:H80)</f>
        <v>0</v>
      </c>
      <c r="I78" s="195"/>
      <c r="J78" s="165"/>
      <c r="K78" s="165"/>
      <c r="L78" s="165"/>
      <c r="M78" s="186"/>
      <c r="N78" s="186"/>
      <c r="P78" s="189" t="s">
        <v>765</v>
      </c>
    </row>
    <row r="79" spans="1:16" s="175" customFormat="1" ht="14" outlineLevel="4">
      <c r="A79" s="203" t="s">
        <v>8</v>
      </c>
      <c r="B79" s="151" t="s">
        <v>1252</v>
      </c>
      <c r="C79" s="200" t="s">
        <v>1254</v>
      </c>
      <c r="D79" s="201">
        <v>1</v>
      </c>
      <c r="E79" s="201"/>
      <c r="F79" s="205">
        <v>60000</v>
      </c>
      <c r="G79" s="201">
        <f t="shared" ref="G79:G80" si="32">F79*D79</f>
        <v>60000</v>
      </c>
      <c r="H79" s="201">
        <f t="shared" ref="H79:H80" si="33">F79*E79</f>
        <v>0</v>
      </c>
      <c r="I79" s="202"/>
      <c r="J79" s="165" t="s">
        <v>7</v>
      </c>
      <c r="K79" s="165" t="s">
        <v>122</v>
      </c>
      <c r="L79" s="165" t="s">
        <v>94</v>
      </c>
      <c r="M79" s="165"/>
      <c r="N79" s="165"/>
      <c r="P79" s="174"/>
    </row>
    <row r="80" spans="1:16" s="175" customFormat="1" ht="14" outlineLevel="4">
      <c r="A80" s="203" t="s">
        <v>8</v>
      </c>
      <c r="B80" s="151" t="s">
        <v>1253</v>
      </c>
      <c r="C80" s="200" t="s">
        <v>1254</v>
      </c>
      <c r="D80" s="201">
        <v>1</v>
      </c>
      <c r="E80" s="201"/>
      <c r="F80" s="205">
        <v>300000</v>
      </c>
      <c r="G80" s="201">
        <f t="shared" si="32"/>
        <v>300000</v>
      </c>
      <c r="H80" s="201">
        <f t="shared" si="33"/>
        <v>0</v>
      </c>
      <c r="I80" s="202"/>
      <c r="J80" s="165" t="s">
        <v>7</v>
      </c>
      <c r="K80" s="165" t="s">
        <v>122</v>
      </c>
      <c r="L80" s="165" t="s">
        <v>94</v>
      </c>
      <c r="M80" s="165"/>
      <c r="N80" s="165"/>
      <c r="P80" s="174"/>
    </row>
    <row r="81" spans="1:17" s="188" customFormat="1" ht="14" outlineLevel="2">
      <c r="A81" s="191" t="s">
        <v>19</v>
      </c>
      <c r="B81" s="211" t="s">
        <v>268</v>
      </c>
      <c r="C81" s="193"/>
      <c r="D81" s="194"/>
      <c r="E81" s="194"/>
      <c r="F81" s="194"/>
      <c r="G81" s="194">
        <f>SUBTOTAL(9,G82:G87)</f>
        <v>0</v>
      </c>
      <c r="H81" s="194">
        <f>SUBTOTAL(9,H82:H87)</f>
        <v>0</v>
      </c>
      <c r="I81" s="202"/>
      <c r="J81" s="165"/>
      <c r="K81" s="165"/>
      <c r="L81" s="165"/>
      <c r="M81" s="186"/>
      <c r="N81" s="186"/>
      <c r="P81" s="189" t="s">
        <v>766</v>
      </c>
    </row>
    <row r="82" spans="1:17" s="188" customFormat="1" ht="14" outlineLevel="3">
      <c r="A82" s="191">
        <v>1</v>
      </c>
      <c r="B82" s="192" t="s">
        <v>269</v>
      </c>
      <c r="C82" s="193"/>
      <c r="D82" s="194"/>
      <c r="E82" s="194"/>
      <c r="F82" s="194"/>
      <c r="G82" s="194">
        <f>SUBTOTAL(9,G83:G84)</f>
        <v>0</v>
      </c>
      <c r="H82" s="194"/>
      <c r="I82" s="195"/>
      <c r="J82" s="186"/>
      <c r="K82" s="186"/>
      <c r="L82" s="186"/>
      <c r="M82" s="186"/>
      <c r="N82" s="186"/>
      <c r="P82" s="189"/>
    </row>
    <row r="83" spans="1:17" s="175" customFormat="1" ht="14" outlineLevel="4">
      <c r="A83" s="191" t="s">
        <v>8</v>
      </c>
      <c r="B83" s="199" t="s">
        <v>417</v>
      </c>
      <c r="C83" s="200" t="s">
        <v>9</v>
      </c>
      <c r="D83" s="201"/>
      <c r="E83" s="201"/>
      <c r="F83" s="201"/>
      <c r="G83" s="201">
        <f t="shared" ref="G83:G84" si="34">F83*D83</f>
        <v>0</v>
      </c>
      <c r="H83" s="201">
        <f t="shared" ref="H83:H84" si="35">F83*E83</f>
        <v>0</v>
      </c>
      <c r="I83" s="202"/>
      <c r="J83" s="165" t="s">
        <v>7</v>
      </c>
      <c r="K83" s="165" t="s">
        <v>122</v>
      </c>
      <c r="L83" s="165" t="s">
        <v>94</v>
      </c>
      <c r="M83" s="165"/>
      <c r="N83" s="165"/>
      <c r="P83" s="174"/>
    </row>
    <row r="84" spans="1:17" s="175" customFormat="1" ht="14" outlineLevel="4">
      <c r="A84" s="191" t="s">
        <v>8</v>
      </c>
      <c r="B84" s="199" t="s">
        <v>270</v>
      </c>
      <c r="C84" s="200" t="s">
        <v>170</v>
      </c>
      <c r="D84" s="201"/>
      <c r="E84" s="201"/>
      <c r="F84" s="201"/>
      <c r="G84" s="201">
        <f t="shared" si="34"/>
        <v>0</v>
      </c>
      <c r="H84" s="201">
        <f t="shared" si="35"/>
        <v>0</v>
      </c>
      <c r="I84" s="202"/>
      <c r="J84" s="165" t="s">
        <v>7</v>
      </c>
      <c r="K84" s="165" t="s">
        <v>122</v>
      </c>
      <c r="L84" s="165" t="s">
        <v>94</v>
      </c>
      <c r="M84" s="165"/>
      <c r="N84" s="165"/>
      <c r="P84" s="174"/>
    </row>
    <row r="85" spans="1:17" s="188" customFormat="1" ht="14" outlineLevel="3">
      <c r="A85" s="191">
        <v>2</v>
      </c>
      <c r="B85" s="192" t="s">
        <v>271</v>
      </c>
      <c r="C85" s="206"/>
      <c r="D85" s="194"/>
      <c r="E85" s="194"/>
      <c r="F85" s="212"/>
      <c r="G85" s="194">
        <f>SUBTOTAL(9,G86:G87)</f>
        <v>0</v>
      </c>
      <c r="H85" s="194"/>
      <c r="I85" s="195"/>
      <c r="J85" s="186"/>
      <c r="K85" s="186"/>
      <c r="L85" s="186"/>
      <c r="M85" s="186"/>
      <c r="N85" s="186"/>
      <c r="P85" s="189"/>
    </row>
    <row r="86" spans="1:17" s="175" customFormat="1" ht="14" outlineLevel="4">
      <c r="A86" s="191" t="s">
        <v>8</v>
      </c>
      <c r="B86" s="199" t="s">
        <v>274</v>
      </c>
      <c r="C86" s="200" t="s">
        <v>34</v>
      </c>
      <c r="D86" s="201"/>
      <c r="E86" s="201"/>
      <c r="F86" s="201"/>
      <c r="G86" s="201">
        <f t="shared" ref="G86:G87" si="36">F86*D86</f>
        <v>0</v>
      </c>
      <c r="H86" s="201">
        <f t="shared" ref="H86:H87" si="37">F86*E86</f>
        <v>0</v>
      </c>
      <c r="I86" s="202"/>
      <c r="J86" s="165" t="s">
        <v>7</v>
      </c>
      <c r="K86" s="165" t="s">
        <v>107</v>
      </c>
      <c r="L86" s="165" t="s">
        <v>94</v>
      </c>
      <c r="M86" s="165"/>
      <c r="N86" s="165"/>
      <c r="P86" s="174"/>
    </row>
    <row r="87" spans="1:17" s="175" customFormat="1" ht="28" outlineLevel="4">
      <c r="A87" s="191" t="s">
        <v>8</v>
      </c>
      <c r="B87" s="199" t="s">
        <v>272</v>
      </c>
      <c r="C87" s="200" t="s">
        <v>34</v>
      </c>
      <c r="D87" s="201"/>
      <c r="E87" s="201"/>
      <c r="F87" s="201"/>
      <c r="G87" s="201">
        <f t="shared" si="36"/>
        <v>0</v>
      </c>
      <c r="H87" s="201">
        <f t="shared" si="37"/>
        <v>0</v>
      </c>
      <c r="I87" s="202"/>
      <c r="J87" s="165" t="s">
        <v>7</v>
      </c>
      <c r="K87" s="165" t="s">
        <v>174</v>
      </c>
      <c r="L87" s="165" t="s">
        <v>94</v>
      </c>
      <c r="M87" s="165"/>
      <c r="N87" s="165"/>
      <c r="P87" s="174"/>
    </row>
    <row r="88" spans="1:17" s="216" customFormat="1" ht="14" outlineLevel="1">
      <c r="A88" s="195" t="s">
        <v>294</v>
      </c>
      <c r="B88" s="153" t="s">
        <v>287</v>
      </c>
      <c r="C88" s="193"/>
      <c r="D88" s="194"/>
      <c r="E88" s="194"/>
      <c r="F88" s="194"/>
      <c r="G88" s="194">
        <f>SUBTOTAL(9,G89:G92)</f>
        <v>249086.55746562404</v>
      </c>
      <c r="H88" s="194">
        <f>SUBTOTAL(9,H89:H92)</f>
        <v>249086.55746562404</v>
      </c>
      <c r="I88" s="194"/>
      <c r="J88" s="213"/>
      <c r="K88" s="214"/>
      <c r="L88" s="214"/>
      <c r="M88" s="215"/>
      <c r="N88" s="215"/>
      <c r="P88" s="217" t="s">
        <v>767</v>
      </c>
    </row>
    <row r="89" spans="1:17" s="219" customFormat="1" ht="14" outlineLevel="2">
      <c r="A89" s="208" t="s">
        <v>8</v>
      </c>
      <c r="B89" s="218" t="s">
        <v>1255</v>
      </c>
      <c r="C89" s="200" t="s">
        <v>34</v>
      </c>
      <c r="D89" s="201">
        <v>12</v>
      </c>
      <c r="E89" s="201">
        <v>12</v>
      </c>
      <c r="F89" s="201">
        <v>5380.833333333333</v>
      </c>
      <c r="G89" s="201">
        <f t="shared" ref="G89:G92" si="38">F89*D89</f>
        <v>64570</v>
      </c>
      <c r="H89" s="201">
        <f t="shared" ref="H89:H92" si="39">F89*E89</f>
        <v>64570</v>
      </c>
      <c r="I89" s="202"/>
      <c r="J89" s="165" t="s">
        <v>7</v>
      </c>
      <c r="K89" s="214" t="s">
        <v>288</v>
      </c>
      <c r="L89" s="214" t="s">
        <v>94</v>
      </c>
      <c r="M89" s="214"/>
      <c r="N89" s="214"/>
      <c r="P89" s="220"/>
    </row>
    <row r="90" spans="1:17" s="219" customFormat="1" ht="14" outlineLevel="2">
      <c r="A90" s="208" t="s">
        <v>8</v>
      </c>
      <c r="B90" s="218" t="s">
        <v>1256</v>
      </c>
      <c r="C90" s="200" t="s">
        <v>34</v>
      </c>
      <c r="D90" s="201">
        <v>15</v>
      </c>
      <c r="E90" s="201">
        <v>15</v>
      </c>
      <c r="F90" s="201">
        <v>3913.95</v>
      </c>
      <c r="G90" s="201">
        <f t="shared" si="38"/>
        <v>58709.25</v>
      </c>
      <c r="H90" s="201">
        <f t="shared" si="39"/>
        <v>58709.25</v>
      </c>
      <c r="I90" s="202"/>
      <c r="J90" s="165" t="s">
        <v>7</v>
      </c>
      <c r="K90" s="214" t="s">
        <v>288</v>
      </c>
      <c r="L90" s="214" t="s">
        <v>94</v>
      </c>
      <c r="M90" s="214"/>
      <c r="N90" s="214"/>
      <c r="P90" s="220"/>
    </row>
    <row r="91" spans="1:17" s="219" customFormat="1" ht="14" outlineLevel="2">
      <c r="A91" s="208" t="s">
        <v>8</v>
      </c>
      <c r="B91" s="221" t="s">
        <v>1257</v>
      </c>
      <c r="C91" s="200" t="s">
        <v>34</v>
      </c>
      <c r="D91" s="201">
        <v>12</v>
      </c>
      <c r="E91" s="201">
        <v>12</v>
      </c>
      <c r="F91" s="201">
        <v>5290.0626227900002</v>
      </c>
      <c r="G91" s="201">
        <f t="shared" si="38"/>
        <v>63480.751473480006</v>
      </c>
      <c r="H91" s="201">
        <f t="shared" si="39"/>
        <v>63480.751473480006</v>
      </c>
      <c r="I91" s="202"/>
      <c r="J91" s="165" t="s">
        <v>7</v>
      </c>
      <c r="K91" s="214" t="s">
        <v>288</v>
      </c>
      <c r="L91" s="214" t="s">
        <v>94</v>
      </c>
      <c r="M91" s="214"/>
      <c r="N91" s="214"/>
      <c r="P91" s="220"/>
    </row>
    <row r="92" spans="1:17" s="219" customFormat="1" ht="14" outlineLevel="2">
      <c r="A92" s="208" t="s">
        <v>8</v>
      </c>
      <c r="B92" s="218" t="s">
        <v>1258</v>
      </c>
      <c r="C92" s="200" t="s">
        <v>34</v>
      </c>
      <c r="D92" s="201">
        <v>15</v>
      </c>
      <c r="E92" s="201">
        <v>15</v>
      </c>
      <c r="F92" s="201">
        <v>4155.1037328096008</v>
      </c>
      <c r="G92" s="201">
        <f t="shared" si="38"/>
        <v>62326.555992144014</v>
      </c>
      <c r="H92" s="201">
        <f t="shared" si="39"/>
        <v>62326.555992144014</v>
      </c>
      <c r="I92" s="202"/>
      <c r="J92" s="165" t="s">
        <v>7</v>
      </c>
      <c r="K92" s="214" t="s">
        <v>288</v>
      </c>
      <c r="L92" s="214" t="s">
        <v>94</v>
      </c>
      <c r="M92" s="214"/>
      <c r="N92" s="214"/>
      <c r="P92" s="220"/>
    </row>
    <row r="93" spans="1:17" s="219" customFormat="1" ht="14" outlineLevel="2">
      <c r="A93" s="208" t="s">
        <v>8</v>
      </c>
      <c r="B93" s="218" t="s">
        <v>1003</v>
      </c>
      <c r="C93" s="200" t="s">
        <v>31</v>
      </c>
      <c r="D93" s="201"/>
      <c r="E93" s="201"/>
      <c r="F93" s="201"/>
      <c r="G93" s="201">
        <f t="shared" ref="G93:G95" si="40">F93*D93</f>
        <v>0</v>
      </c>
      <c r="H93" s="201">
        <f t="shared" ref="H93:H95" si="41">F93*E93</f>
        <v>0</v>
      </c>
      <c r="I93" s="202"/>
      <c r="J93" s="165" t="s">
        <v>7</v>
      </c>
      <c r="K93" s="214" t="s">
        <v>288</v>
      </c>
      <c r="L93" s="214" t="s">
        <v>94</v>
      </c>
      <c r="M93" s="214"/>
      <c r="N93" s="214"/>
      <c r="P93" s="220"/>
    </row>
    <row r="94" spans="1:17" s="219" customFormat="1" ht="14" outlineLevel="2">
      <c r="A94" s="208" t="s">
        <v>8</v>
      </c>
      <c r="B94" s="221" t="s">
        <v>1004</v>
      </c>
      <c r="C94" s="200" t="s">
        <v>31</v>
      </c>
      <c r="D94" s="201"/>
      <c r="E94" s="201"/>
      <c r="F94" s="201"/>
      <c r="G94" s="201">
        <f t="shared" si="40"/>
        <v>0</v>
      </c>
      <c r="H94" s="201">
        <f t="shared" si="41"/>
        <v>0</v>
      </c>
      <c r="I94" s="202"/>
      <c r="J94" s="165" t="s">
        <v>7</v>
      </c>
      <c r="K94" s="214" t="s">
        <v>288</v>
      </c>
      <c r="L94" s="214" t="s">
        <v>94</v>
      </c>
      <c r="M94" s="214"/>
      <c r="N94" s="214"/>
      <c r="P94" s="220"/>
    </row>
    <row r="95" spans="1:17" s="219" customFormat="1" ht="14" outlineLevel="2">
      <c r="A95" s="208" t="s">
        <v>8</v>
      </c>
      <c r="B95" s="218" t="s">
        <v>1005</v>
      </c>
      <c r="C95" s="200" t="s">
        <v>31</v>
      </c>
      <c r="D95" s="201"/>
      <c r="E95" s="201"/>
      <c r="F95" s="201"/>
      <c r="G95" s="201">
        <f t="shared" si="40"/>
        <v>0</v>
      </c>
      <c r="H95" s="201">
        <f t="shared" si="41"/>
        <v>0</v>
      </c>
      <c r="I95" s="202"/>
      <c r="J95" s="165" t="s">
        <v>7</v>
      </c>
      <c r="K95" s="214" t="s">
        <v>288</v>
      </c>
      <c r="L95" s="214" t="s">
        <v>94</v>
      </c>
      <c r="M95" s="214"/>
      <c r="N95" s="214"/>
      <c r="P95" s="220"/>
    </row>
    <row r="96" spans="1:17" s="398" customFormat="1">
      <c r="A96" s="388" t="s">
        <v>40</v>
      </c>
      <c r="B96" s="389" t="s">
        <v>17</v>
      </c>
      <c r="C96" s="390"/>
      <c r="D96" s="391"/>
      <c r="E96" s="391"/>
      <c r="F96" s="392"/>
      <c r="G96" s="391">
        <f>SUBTOTAL(9,G97:G259)</f>
        <v>4971970.7771428572</v>
      </c>
      <c r="H96" s="391">
        <f>SUBTOTAL(9,H97:H259)</f>
        <v>545500</v>
      </c>
      <c r="I96" s="393"/>
      <c r="J96" s="394"/>
      <c r="K96" s="395"/>
      <c r="L96" s="395"/>
      <c r="M96" s="395"/>
      <c r="N96" s="395"/>
      <c r="O96" s="396"/>
      <c r="P96" s="397"/>
      <c r="Q96" s="396"/>
    </row>
    <row r="97" spans="1:17" s="398" customFormat="1" outlineLevel="1">
      <c r="A97" s="399" t="s">
        <v>4</v>
      </c>
      <c r="B97" s="400" t="s">
        <v>22</v>
      </c>
      <c r="C97" s="401"/>
      <c r="D97" s="2"/>
      <c r="E97" s="2"/>
      <c r="F97" s="2"/>
      <c r="G97" s="2">
        <f>SUBTOTAL(9,G98:G168)</f>
        <v>3485368.8571428573</v>
      </c>
      <c r="H97" s="2">
        <f>SUBTOTAL(9,H98:H168)</f>
        <v>445500</v>
      </c>
      <c r="I97" s="402"/>
      <c r="J97" s="394"/>
      <c r="K97" s="394"/>
      <c r="L97" s="394"/>
      <c r="M97" s="395"/>
      <c r="N97" s="395"/>
      <c r="O97" s="396"/>
      <c r="P97" s="397"/>
      <c r="Q97" s="396"/>
    </row>
    <row r="98" spans="1:17" s="406" customFormat="1" outlineLevel="2">
      <c r="A98" s="403">
        <v>1</v>
      </c>
      <c r="B98" s="404" t="s">
        <v>197</v>
      </c>
      <c r="C98" s="401" t="s">
        <v>24</v>
      </c>
      <c r="D98" s="2"/>
      <c r="E98" s="2"/>
      <c r="F98" s="2"/>
      <c r="G98" s="2">
        <f>SUBTOTAL(9,G99)</f>
        <v>0</v>
      </c>
      <c r="H98" s="2">
        <f t="shared" ref="H98:H168" si="42">F98*E98</f>
        <v>0</v>
      </c>
      <c r="I98" s="21"/>
      <c r="J98" s="394" t="s">
        <v>18</v>
      </c>
      <c r="K98" s="394" t="s">
        <v>188</v>
      </c>
      <c r="L98" s="405" t="s">
        <v>94</v>
      </c>
      <c r="M98" s="405"/>
      <c r="N98" s="405"/>
      <c r="P98" s="407"/>
    </row>
    <row r="99" spans="1:17" s="406" customFormat="1" outlineLevel="2">
      <c r="A99" s="403">
        <v>2</v>
      </c>
      <c r="B99" s="408" t="s">
        <v>297</v>
      </c>
      <c r="C99" s="401" t="s">
        <v>198</v>
      </c>
      <c r="D99" s="2"/>
      <c r="E99" s="2"/>
      <c r="F99" s="2"/>
      <c r="G99" s="2">
        <f>SUBTOTAL(9,G100:G108)</f>
        <v>948742.85714285716</v>
      </c>
      <c r="H99" s="2">
        <f t="shared" si="42"/>
        <v>0</v>
      </c>
      <c r="I99" s="21"/>
      <c r="J99" s="394" t="s">
        <v>18</v>
      </c>
      <c r="K99" s="394"/>
      <c r="L99" s="405" t="s">
        <v>94</v>
      </c>
      <c r="M99" s="405"/>
      <c r="N99" s="405"/>
      <c r="P99" s="407" t="s">
        <v>1339</v>
      </c>
    </row>
    <row r="100" spans="1:17" s="406" customFormat="1" outlineLevel="2">
      <c r="A100" s="33" t="s">
        <v>8</v>
      </c>
      <c r="B100" s="409" t="s">
        <v>356</v>
      </c>
      <c r="C100" s="338" t="s">
        <v>44</v>
      </c>
      <c r="D100" s="410">
        <v>571428.57142857148</v>
      </c>
      <c r="E100" s="7"/>
      <c r="F100" s="411">
        <v>0.45</v>
      </c>
      <c r="G100" s="7">
        <f t="shared" ref="G100:G126" si="43">F100*D100</f>
        <v>257142.85714285716</v>
      </c>
      <c r="H100" s="7">
        <f t="shared" si="42"/>
        <v>0</v>
      </c>
      <c r="I100" s="1"/>
      <c r="J100" s="394" t="s">
        <v>18</v>
      </c>
      <c r="K100" s="394" t="s">
        <v>108</v>
      </c>
      <c r="L100" s="405" t="s">
        <v>94</v>
      </c>
      <c r="M100" s="405"/>
      <c r="N100" s="405"/>
      <c r="P100" s="407"/>
    </row>
    <row r="101" spans="1:17" s="406" customFormat="1" outlineLevel="2">
      <c r="A101" s="33" t="s">
        <v>8</v>
      </c>
      <c r="B101" s="409" t="s">
        <v>1337</v>
      </c>
      <c r="C101" s="338" t="s">
        <v>44</v>
      </c>
      <c r="D101" s="410">
        <v>800000</v>
      </c>
      <c r="E101" s="7"/>
      <c r="F101" s="411"/>
      <c r="G101" s="7">
        <f t="shared" ref="G101" si="44">F101*D101</f>
        <v>0</v>
      </c>
      <c r="H101" s="7">
        <f t="shared" ref="H101" si="45">F101*E101</f>
        <v>0</v>
      </c>
      <c r="I101" s="1"/>
      <c r="J101" s="394" t="s">
        <v>18</v>
      </c>
      <c r="K101" s="394" t="s">
        <v>108</v>
      </c>
      <c r="L101" s="405" t="s">
        <v>94</v>
      </c>
      <c r="M101" s="405"/>
      <c r="N101" s="405"/>
      <c r="P101" s="407"/>
    </row>
    <row r="102" spans="1:17" s="406" customFormat="1" outlineLevel="2">
      <c r="A102" s="33" t="s">
        <v>8</v>
      </c>
      <c r="B102" s="409" t="s">
        <v>358</v>
      </c>
      <c r="C102" s="338" t="s">
        <v>44</v>
      </c>
      <c r="D102" s="410">
        <v>1072000</v>
      </c>
      <c r="E102" s="7"/>
      <c r="F102" s="411">
        <v>0.3</v>
      </c>
      <c r="G102" s="7">
        <f t="shared" si="43"/>
        <v>321600</v>
      </c>
      <c r="H102" s="7">
        <f t="shared" si="42"/>
        <v>0</v>
      </c>
      <c r="I102" s="1"/>
      <c r="J102" s="394" t="s">
        <v>18</v>
      </c>
      <c r="K102" s="394" t="s">
        <v>108</v>
      </c>
      <c r="L102" s="405" t="s">
        <v>94</v>
      </c>
      <c r="M102" s="405"/>
      <c r="N102" s="405"/>
      <c r="P102" s="407"/>
    </row>
    <row r="103" spans="1:17" s="406" customFormat="1" outlineLevel="2">
      <c r="A103" s="33" t="s">
        <v>8</v>
      </c>
      <c r="B103" s="409" t="s">
        <v>1338</v>
      </c>
      <c r="C103" s="338" t="s">
        <v>44</v>
      </c>
      <c r="D103" s="410">
        <v>1500000</v>
      </c>
      <c r="E103" s="7"/>
      <c r="F103" s="411"/>
      <c r="G103" s="7">
        <f t="shared" ref="G103" si="46">F103*D103</f>
        <v>0</v>
      </c>
      <c r="H103" s="7">
        <f t="shared" ref="H103" si="47">F103*E103</f>
        <v>0</v>
      </c>
      <c r="I103" s="1"/>
      <c r="J103" s="394" t="s">
        <v>18</v>
      </c>
      <c r="K103" s="394" t="s">
        <v>108</v>
      </c>
      <c r="L103" s="405" t="s">
        <v>94</v>
      </c>
      <c r="M103" s="405"/>
      <c r="N103" s="405"/>
      <c r="P103" s="407"/>
    </row>
    <row r="104" spans="1:17" s="406" customFormat="1" outlineLevel="2">
      <c r="A104" s="33" t="s">
        <v>8</v>
      </c>
      <c r="B104" s="409" t="s">
        <v>357</v>
      </c>
      <c r="C104" s="338" t="s">
        <v>44</v>
      </c>
      <c r="D104" s="410">
        <v>1000000</v>
      </c>
      <c r="E104" s="7"/>
      <c r="F104" s="411">
        <v>0.05</v>
      </c>
      <c r="G104" s="7">
        <f t="shared" si="43"/>
        <v>50000</v>
      </c>
      <c r="H104" s="7">
        <f t="shared" si="42"/>
        <v>0</v>
      </c>
      <c r="I104" s="1"/>
      <c r="J104" s="394" t="s">
        <v>18</v>
      </c>
      <c r="K104" s="394" t="s">
        <v>108</v>
      </c>
      <c r="L104" s="405" t="s">
        <v>94</v>
      </c>
      <c r="M104" s="405"/>
      <c r="N104" s="405"/>
      <c r="P104" s="407"/>
    </row>
    <row r="105" spans="1:17" s="406" customFormat="1" outlineLevel="2">
      <c r="A105" s="33" t="s">
        <v>8</v>
      </c>
      <c r="B105" s="409" t="s">
        <v>359</v>
      </c>
      <c r="C105" s="338" t="s">
        <v>9</v>
      </c>
      <c r="D105" s="7">
        <v>1</v>
      </c>
      <c r="E105" s="7"/>
      <c r="F105" s="7">
        <v>160000</v>
      </c>
      <c r="G105" s="7">
        <f t="shared" si="43"/>
        <v>160000</v>
      </c>
      <c r="H105" s="7">
        <f t="shared" si="42"/>
        <v>0</v>
      </c>
      <c r="I105" s="1"/>
      <c r="J105" s="394" t="s">
        <v>18</v>
      </c>
      <c r="K105" s="394" t="s">
        <v>108</v>
      </c>
      <c r="L105" s="405" t="s">
        <v>94</v>
      </c>
      <c r="M105" s="405"/>
      <c r="N105" s="405"/>
      <c r="P105" s="407"/>
    </row>
    <row r="106" spans="1:17" s="406" customFormat="1" outlineLevel="2">
      <c r="A106" s="33" t="s">
        <v>8</v>
      </c>
      <c r="B106" s="409" t="s">
        <v>373</v>
      </c>
      <c r="C106" s="338" t="s">
        <v>9</v>
      </c>
      <c r="D106" s="7">
        <v>1</v>
      </c>
      <c r="E106" s="7"/>
      <c r="F106" s="7">
        <v>110000</v>
      </c>
      <c r="G106" s="7">
        <f t="shared" si="43"/>
        <v>110000</v>
      </c>
      <c r="H106" s="7">
        <f t="shared" si="42"/>
        <v>0</v>
      </c>
      <c r="I106" s="1"/>
      <c r="J106" s="394" t="s">
        <v>18</v>
      </c>
      <c r="K106" s="394" t="s">
        <v>108</v>
      </c>
      <c r="L106" s="405" t="s">
        <v>94</v>
      </c>
      <c r="M106" s="405"/>
      <c r="N106" s="405"/>
      <c r="P106" s="407"/>
    </row>
    <row r="107" spans="1:17" s="406" customFormat="1" outlineLevel="2">
      <c r="A107" s="33" t="s">
        <v>8</v>
      </c>
      <c r="B107" s="409" t="s">
        <v>1340</v>
      </c>
      <c r="C107" s="338" t="s">
        <v>9</v>
      </c>
      <c r="D107" s="7">
        <v>1</v>
      </c>
      <c r="E107" s="7"/>
      <c r="F107" s="7">
        <v>50000</v>
      </c>
      <c r="G107" s="7">
        <f t="shared" si="43"/>
        <v>50000</v>
      </c>
      <c r="H107" s="7">
        <f t="shared" si="42"/>
        <v>0</v>
      </c>
      <c r="I107" s="1"/>
      <c r="J107" s="394" t="s">
        <v>18</v>
      </c>
      <c r="K107" s="394" t="s">
        <v>108</v>
      </c>
      <c r="L107" s="405" t="s">
        <v>94</v>
      </c>
      <c r="M107" s="405"/>
      <c r="N107" s="405"/>
      <c r="P107" s="407"/>
    </row>
    <row r="108" spans="1:17" s="406" customFormat="1" outlineLevel="2">
      <c r="A108" s="33" t="s">
        <v>8</v>
      </c>
      <c r="B108" s="409" t="s">
        <v>298</v>
      </c>
      <c r="C108" s="338" t="s">
        <v>9</v>
      </c>
      <c r="D108" s="7"/>
      <c r="E108" s="7"/>
      <c r="F108" s="7"/>
      <c r="G108" s="7">
        <f t="shared" si="43"/>
        <v>0</v>
      </c>
      <c r="H108" s="7">
        <f t="shared" si="42"/>
        <v>0</v>
      </c>
      <c r="I108" s="1"/>
      <c r="J108" s="394" t="s">
        <v>18</v>
      </c>
      <c r="K108" s="394" t="s">
        <v>108</v>
      </c>
      <c r="L108" s="405" t="s">
        <v>94</v>
      </c>
      <c r="M108" s="405"/>
      <c r="N108" s="405"/>
      <c r="P108" s="407"/>
    </row>
    <row r="109" spans="1:17" s="406" customFormat="1" outlineLevel="2">
      <c r="A109" s="403">
        <v>3</v>
      </c>
      <c r="B109" s="408" t="s">
        <v>902</v>
      </c>
      <c r="C109" s="338" t="s">
        <v>198</v>
      </c>
      <c r="D109" s="7"/>
      <c r="E109" s="7"/>
      <c r="F109" s="7"/>
      <c r="G109" s="2">
        <f>SUBTOTAL(9,G110:G126)</f>
        <v>314800</v>
      </c>
      <c r="H109" s="2">
        <f>SUBTOTAL(9,H110:H126)</f>
        <v>0</v>
      </c>
      <c r="I109" s="1"/>
      <c r="J109" s="394"/>
      <c r="K109" s="394"/>
      <c r="L109" s="405"/>
      <c r="N109" s="405"/>
      <c r="P109" s="737" t="s">
        <v>1342</v>
      </c>
    </row>
    <row r="110" spans="1:17" s="406" customFormat="1" outlineLevel="2">
      <c r="A110" s="33" t="s">
        <v>8</v>
      </c>
      <c r="B110" s="412" t="s">
        <v>903</v>
      </c>
      <c r="C110" s="338" t="s">
        <v>44</v>
      </c>
      <c r="D110" s="413">
        <v>500000</v>
      </c>
      <c r="E110" s="410"/>
      <c r="F110" s="119">
        <v>4.8000000000000001E-2</v>
      </c>
      <c r="G110" s="7">
        <f t="shared" si="43"/>
        <v>24000</v>
      </c>
      <c r="H110" s="7">
        <f t="shared" si="42"/>
        <v>0</v>
      </c>
      <c r="I110" s="1"/>
      <c r="J110" s="394" t="s">
        <v>18</v>
      </c>
      <c r="K110" s="394" t="s">
        <v>108</v>
      </c>
      <c r="L110" s="405" t="s">
        <v>94</v>
      </c>
      <c r="M110" s="405"/>
      <c r="N110" s="405"/>
      <c r="P110" s="737"/>
    </row>
    <row r="111" spans="1:17" s="406" customFormat="1" outlineLevel="2">
      <c r="A111" s="33" t="s">
        <v>8</v>
      </c>
      <c r="B111" s="412" t="s">
        <v>904</v>
      </c>
      <c r="C111" s="338" t="s">
        <v>44</v>
      </c>
      <c r="D111" s="413">
        <v>900000</v>
      </c>
      <c r="E111" s="7"/>
      <c r="F111" s="119">
        <v>1.2E-2</v>
      </c>
      <c r="G111" s="7">
        <f t="shared" si="43"/>
        <v>10800</v>
      </c>
      <c r="H111" s="7">
        <f t="shared" si="42"/>
        <v>0</v>
      </c>
      <c r="I111" s="1"/>
      <c r="J111" s="394" t="s">
        <v>18</v>
      </c>
      <c r="K111" s="394" t="s">
        <v>108</v>
      </c>
      <c r="L111" s="405" t="s">
        <v>94</v>
      </c>
      <c r="M111" s="405"/>
      <c r="N111" s="405"/>
      <c r="P111" s="737"/>
    </row>
    <row r="112" spans="1:17" s="406" customFormat="1" outlineLevel="2">
      <c r="A112" s="33" t="s">
        <v>8</v>
      </c>
      <c r="B112" s="412" t="s">
        <v>905</v>
      </c>
      <c r="C112" s="338" t="s">
        <v>44</v>
      </c>
      <c r="D112" s="413">
        <v>700000</v>
      </c>
      <c r="E112" s="7"/>
      <c r="F112" s="119">
        <v>4.8000000000000001E-2</v>
      </c>
      <c r="G112" s="7">
        <f t="shared" si="43"/>
        <v>33600</v>
      </c>
      <c r="H112" s="7">
        <f t="shared" si="42"/>
        <v>0</v>
      </c>
      <c r="I112" s="1"/>
      <c r="J112" s="394" t="s">
        <v>18</v>
      </c>
      <c r="K112" s="394" t="s">
        <v>108</v>
      </c>
      <c r="L112" s="405" t="s">
        <v>94</v>
      </c>
      <c r="M112" s="405"/>
      <c r="N112" s="405"/>
      <c r="P112" s="737"/>
    </row>
    <row r="113" spans="1:16" s="406" customFormat="1" outlineLevel="2">
      <c r="A113" s="33" t="s">
        <v>8</v>
      </c>
      <c r="B113" s="412" t="s">
        <v>906</v>
      </c>
      <c r="C113" s="338" t="s">
        <v>44</v>
      </c>
      <c r="D113" s="413">
        <v>4800000</v>
      </c>
      <c r="E113" s="7"/>
      <c r="F113" s="119">
        <v>1.2E-2</v>
      </c>
      <c r="G113" s="7">
        <f t="shared" si="43"/>
        <v>57600</v>
      </c>
      <c r="H113" s="7">
        <f t="shared" si="42"/>
        <v>0</v>
      </c>
      <c r="I113" s="1"/>
      <c r="J113" s="394" t="s">
        <v>18</v>
      </c>
      <c r="K113" s="394" t="s">
        <v>108</v>
      </c>
      <c r="L113" s="405" t="s">
        <v>94</v>
      </c>
      <c r="M113" s="405"/>
      <c r="N113" s="405"/>
      <c r="P113" s="737"/>
    </row>
    <row r="114" spans="1:16" s="406" customFormat="1" outlineLevel="2">
      <c r="A114" s="33" t="s">
        <v>8</v>
      </c>
      <c r="B114" s="412" t="s">
        <v>907</v>
      </c>
      <c r="C114" s="338" t="s">
        <v>44</v>
      </c>
      <c r="D114" s="413"/>
      <c r="E114" s="7"/>
      <c r="F114" s="119"/>
      <c r="G114" s="7">
        <f t="shared" si="43"/>
        <v>0</v>
      </c>
      <c r="H114" s="7">
        <f t="shared" si="42"/>
        <v>0</v>
      </c>
      <c r="I114" s="1"/>
      <c r="J114" s="394" t="s">
        <v>18</v>
      </c>
      <c r="K114" s="394" t="s">
        <v>108</v>
      </c>
      <c r="L114" s="405" t="s">
        <v>94</v>
      </c>
      <c r="M114" s="405"/>
      <c r="N114" s="405"/>
      <c r="P114" s="737"/>
    </row>
    <row r="115" spans="1:16" s="406" customFormat="1" outlineLevel="2">
      <c r="A115" s="33" t="s">
        <v>8</v>
      </c>
      <c r="B115" s="412" t="s">
        <v>908</v>
      </c>
      <c r="C115" s="338" t="s">
        <v>44</v>
      </c>
      <c r="D115" s="413"/>
      <c r="E115" s="7"/>
      <c r="F115" s="119"/>
      <c r="G115" s="7">
        <f t="shared" si="43"/>
        <v>0</v>
      </c>
      <c r="H115" s="7">
        <f t="shared" si="42"/>
        <v>0</v>
      </c>
      <c r="I115" s="1"/>
      <c r="J115" s="394" t="s">
        <v>18</v>
      </c>
      <c r="K115" s="394" t="s">
        <v>108</v>
      </c>
      <c r="L115" s="405" t="s">
        <v>94</v>
      </c>
      <c r="M115" s="405"/>
      <c r="N115" s="405"/>
      <c r="P115" s="737"/>
    </row>
    <row r="116" spans="1:16" s="406" customFormat="1" outlineLevel="2">
      <c r="A116" s="33" t="s">
        <v>8</v>
      </c>
      <c r="B116" s="412" t="s">
        <v>909</v>
      </c>
      <c r="C116" s="338" t="s">
        <v>44</v>
      </c>
      <c r="D116" s="413"/>
      <c r="E116" s="7"/>
      <c r="F116" s="119"/>
      <c r="G116" s="7">
        <f t="shared" si="43"/>
        <v>0</v>
      </c>
      <c r="H116" s="7">
        <f t="shared" si="42"/>
        <v>0</v>
      </c>
      <c r="I116" s="1"/>
      <c r="J116" s="394" t="s">
        <v>18</v>
      </c>
      <c r="K116" s="394" t="s">
        <v>78</v>
      </c>
      <c r="L116" s="405" t="s">
        <v>94</v>
      </c>
      <c r="M116" s="405"/>
      <c r="N116" s="405"/>
      <c r="P116" s="737"/>
    </row>
    <row r="117" spans="1:16" s="406" customFormat="1" outlineLevel="2">
      <c r="A117" s="33" t="s">
        <v>8</v>
      </c>
      <c r="B117" s="412" t="s">
        <v>910</v>
      </c>
      <c r="C117" s="338" t="s">
        <v>44</v>
      </c>
      <c r="D117" s="413"/>
      <c r="E117" s="7"/>
      <c r="F117" s="119"/>
      <c r="G117" s="7">
        <f t="shared" si="43"/>
        <v>0</v>
      </c>
      <c r="H117" s="7">
        <f t="shared" si="42"/>
        <v>0</v>
      </c>
      <c r="I117" s="1"/>
      <c r="J117" s="394" t="s">
        <v>18</v>
      </c>
      <c r="K117" s="394" t="s">
        <v>78</v>
      </c>
      <c r="L117" s="405" t="s">
        <v>94</v>
      </c>
      <c r="M117" s="405"/>
      <c r="N117" s="405"/>
      <c r="P117" s="737"/>
    </row>
    <row r="118" spans="1:16" s="406" customFormat="1" ht="14" outlineLevel="2">
      <c r="A118" s="33" t="s">
        <v>8</v>
      </c>
      <c r="B118" s="412" t="s">
        <v>911</v>
      </c>
      <c r="C118" s="338" t="s">
        <v>44</v>
      </c>
      <c r="D118" s="414"/>
      <c r="E118" s="410"/>
      <c r="F118" s="415"/>
      <c r="G118" s="7">
        <f t="shared" si="43"/>
        <v>0</v>
      </c>
      <c r="H118" s="7">
        <f t="shared" si="42"/>
        <v>0</v>
      </c>
      <c r="I118" s="1"/>
      <c r="J118" s="394" t="s">
        <v>18</v>
      </c>
      <c r="K118" s="394" t="s">
        <v>108</v>
      </c>
      <c r="L118" s="405" t="s">
        <v>94</v>
      </c>
      <c r="M118" s="405"/>
      <c r="N118" s="405"/>
      <c r="P118" s="737"/>
    </row>
    <row r="119" spans="1:16" s="406" customFormat="1" ht="14" outlineLevel="2">
      <c r="A119" s="33" t="s">
        <v>8</v>
      </c>
      <c r="B119" s="412" t="s">
        <v>912</v>
      </c>
      <c r="C119" s="338" t="s">
        <v>44</v>
      </c>
      <c r="D119" s="7"/>
      <c r="E119" s="7"/>
      <c r="F119" s="415"/>
      <c r="G119" s="7">
        <f t="shared" si="43"/>
        <v>0</v>
      </c>
      <c r="H119" s="7">
        <f t="shared" si="42"/>
        <v>0</v>
      </c>
      <c r="I119" s="1"/>
      <c r="J119" s="394" t="s">
        <v>18</v>
      </c>
      <c r="K119" s="394" t="s">
        <v>108</v>
      </c>
      <c r="L119" s="405" t="s">
        <v>94</v>
      </c>
      <c r="M119" s="405"/>
      <c r="N119" s="405"/>
      <c r="P119" s="737"/>
    </row>
    <row r="120" spans="1:16" s="406" customFormat="1" ht="14" outlineLevel="2">
      <c r="A120" s="33" t="s">
        <v>8</v>
      </c>
      <c r="B120" s="412" t="s">
        <v>913</v>
      </c>
      <c r="C120" s="338" t="s">
        <v>44</v>
      </c>
      <c r="D120" s="7"/>
      <c r="E120" s="7"/>
      <c r="F120" s="415"/>
      <c r="G120" s="7">
        <f t="shared" si="43"/>
        <v>0</v>
      </c>
      <c r="H120" s="7">
        <f t="shared" si="42"/>
        <v>0</v>
      </c>
      <c r="I120" s="1"/>
      <c r="J120" s="394" t="s">
        <v>18</v>
      </c>
      <c r="K120" s="394" t="s">
        <v>108</v>
      </c>
      <c r="L120" s="405" t="s">
        <v>94</v>
      </c>
      <c r="M120" s="405"/>
      <c r="N120" s="405"/>
      <c r="P120" s="737"/>
    </row>
    <row r="121" spans="1:16" s="406" customFormat="1" ht="14" outlineLevel="2">
      <c r="A121" s="33" t="s">
        <v>8</v>
      </c>
      <c r="B121" s="412" t="s">
        <v>914</v>
      </c>
      <c r="C121" s="338" t="s">
        <v>44</v>
      </c>
      <c r="D121" s="7"/>
      <c r="E121" s="7"/>
      <c r="F121" s="415"/>
      <c r="G121" s="7">
        <f t="shared" si="43"/>
        <v>0</v>
      </c>
      <c r="H121" s="7">
        <f t="shared" si="42"/>
        <v>0</v>
      </c>
      <c r="I121" s="1"/>
      <c r="J121" s="394" t="s">
        <v>18</v>
      </c>
      <c r="K121" s="394" t="s">
        <v>108</v>
      </c>
      <c r="L121" s="405" t="s">
        <v>94</v>
      </c>
      <c r="M121" s="405"/>
      <c r="N121" s="405"/>
      <c r="P121" s="737"/>
    </row>
    <row r="122" spans="1:16" s="406" customFormat="1" ht="14" outlineLevel="2">
      <c r="A122" s="33" t="s">
        <v>8</v>
      </c>
      <c r="B122" s="412" t="s">
        <v>915</v>
      </c>
      <c r="C122" s="338" t="s">
        <v>44</v>
      </c>
      <c r="D122" s="7">
        <v>1700000</v>
      </c>
      <c r="E122" s="7"/>
      <c r="F122" s="415">
        <v>3.2000000000000001E-2</v>
      </c>
      <c r="G122" s="7">
        <f t="shared" si="43"/>
        <v>54400</v>
      </c>
      <c r="H122" s="7">
        <f t="shared" si="42"/>
        <v>0</v>
      </c>
      <c r="I122" s="1"/>
      <c r="J122" s="394" t="s">
        <v>18</v>
      </c>
      <c r="K122" s="394" t="s">
        <v>108</v>
      </c>
      <c r="L122" s="405" t="s">
        <v>94</v>
      </c>
      <c r="M122" s="405"/>
      <c r="N122" s="405"/>
      <c r="P122" s="737"/>
    </row>
    <row r="123" spans="1:16" s="406" customFormat="1" ht="14" outlineLevel="2">
      <c r="A123" s="33" t="s">
        <v>8</v>
      </c>
      <c r="B123" s="412" t="s">
        <v>916</v>
      </c>
      <c r="C123" s="338" t="s">
        <v>44</v>
      </c>
      <c r="D123" s="7">
        <v>6800000</v>
      </c>
      <c r="E123" s="7"/>
      <c r="F123" s="415">
        <v>8.0000000000000002E-3</v>
      </c>
      <c r="G123" s="7">
        <f t="shared" si="43"/>
        <v>54400</v>
      </c>
      <c r="H123" s="7">
        <f t="shared" si="42"/>
        <v>0</v>
      </c>
      <c r="I123" s="1"/>
      <c r="J123" s="394" t="s">
        <v>18</v>
      </c>
      <c r="K123" s="394" t="s">
        <v>108</v>
      </c>
      <c r="L123" s="405" t="s">
        <v>94</v>
      </c>
      <c r="M123" s="405"/>
      <c r="N123" s="405"/>
      <c r="P123" s="737"/>
    </row>
    <row r="124" spans="1:16" s="406" customFormat="1" ht="14" outlineLevel="2">
      <c r="A124" s="33" t="s">
        <v>8</v>
      </c>
      <c r="B124" s="412" t="s">
        <v>917</v>
      </c>
      <c r="C124" s="338" t="s">
        <v>44</v>
      </c>
      <c r="D124" s="7">
        <v>1000000</v>
      </c>
      <c r="E124" s="7"/>
      <c r="F124" s="415">
        <v>3.2000000000000001E-2</v>
      </c>
      <c r="G124" s="7">
        <f t="shared" si="43"/>
        <v>32000</v>
      </c>
      <c r="H124" s="7">
        <f t="shared" si="42"/>
        <v>0</v>
      </c>
      <c r="I124" s="1"/>
      <c r="J124" s="394" t="s">
        <v>18</v>
      </c>
      <c r="K124" s="394" t="s">
        <v>108</v>
      </c>
      <c r="L124" s="405" t="s">
        <v>94</v>
      </c>
      <c r="M124" s="405"/>
      <c r="N124" s="405"/>
      <c r="P124" s="737"/>
    </row>
    <row r="125" spans="1:16" s="406" customFormat="1" ht="14" outlineLevel="2">
      <c r="A125" s="33" t="s">
        <v>8</v>
      </c>
      <c r="B125" s="412" t="s">
        <v>918</v>
      </c>
      <c r="C125" s="338" t="s">
        <v>44</v>
      </c>
      <c r="D125" s="7">
        <v>6000000</v>
      </c>
      <c r="E125" s="7"/>
      <c r="F125" s="415">
        <v>8.0000000000000002E-3</v>
      </c>
      <c r="G125" s="7">
        <f t="shared" si="43"/>
        <v>48000</v>
      </c>
      <c r="H125" s="7">
        <f t="shared" si="42"/>
        <v>0</v>
      </c>
      <c r="I125" s="1"/>
      <c r="J125" s="394" t="s">
        <v>18</v>
      </c>
      <c r="K125" s="394" t="s">
        <v>108</v>
      </c>
      <c r="L125" s="405" t="s">
        <v>94</v>
      </c>
      <c r="M125" s="405"/>
      <c r="N125" s="405"/>
      <c r="P125" s="737"/>
    </row>
    <row r="126" spans="1:16" s="406" customFormat="1" ht="14" outlineLevel="2">
      <c r="A126" s="33" t="s">
        <v>8</v>
      </c>
      <c r="B126" s="412" t="s">
        <v>919</v>
      </c>
      <c r="C126" s="338" t="s">
        <v>9</v>
      </c>
      <c r="D126" s="7"/>
      <c r="E126" s="7"/>
      <c r="F126" s="416"/>
      <c r="G126" s="7">
        <f t="shared" si="43"/>
        <v>0</v>
      </c>
      <c r="H126" s="7">
        <f t="shared" si="42"/>
        <v>0</v>
      </c>
      <c r="I126" s="1"/>
      <c r="J126" s="394" t="s">
        <v>18</v>
      </c>
      <c r="K126" s="394" t="s">
        <v>108</v>
      </c>
      <c r="L126" s="405" t="s">
        <v>94</v>
      </c>
      <c r="M126" s="405"/>
      <c r="N126" s="405"/>
      <c r="P126" s="462"/>
    </row>
    <row r="127" spans="1:16" s="406" customFormat="1" ht="25.25" customHeight="1" outlineLevel="2">
      <c r="A127" s="403">
        <v>4</v>
      </c>
      <c r="B127" s="408" t="s">
        <v>299</v>
      </c>
      <c r="C127" s="338" t="s">
        <v>44</v>
      </c>
      <c r="D127" s="7"/>
      <c r="E127" s="7"/>
      <c r="F127" s="7"/>
      <c r="G127" s="2">
        <f>SUBTOTAL(9,G128:G131)</f>
        <v>0</v>
      </c>
      <c r="H127" s="2">
        <f>SUBTOTAL(9,H128:H131)</f>
        <v>0</v>
      </c>
      <c r="I127" s="1"/>
      <c r="J127" s="394" t="s">
        <v>18</v>
      </c>
      <c r="K127" s="394"/>
      <c r="L127" s="405" t="s">
        <v>94</v>
      </c>
      <c r="N127" s="405"/>
      <c r="P127" s="737" t="s">
        <v>920</v>
      </c>
    </row>
    <row r="128" spans="1:16" s="406" customFormat="1" ht="25.25" customHeight="1" outlineLevel="2">
      <c r="A128" s="33" t="s">
        <v>8</v>
      </c>
      <c r="B128" s="412" t="s">
        <v>300</v>
      </c>
      <c r="C128" s="338" t="s">
        <v>44</v>
      </c>
      <c r="D128" s="414"/>
      <c r="E128" s="7"/>
      <c r="F128" s="411"/>
      <c r="G128" s="7">
        <f t="shared" ref="G128:G168" si="48">F128*D128</f>
        <v>0</v>
      </c>
      <c r="H128" s="7">
        <f t="shared" si="42"/>
        <v>0</v>
      </c>
      <c r="I128" s="1"/>
      <c r="J128" s="394" t="s">
        <v>18</v>
      </c>
      <c r="K128" s="394" t="s">
        <v>108</v>
      </c>
      <c r="L128" s="405" t="s">
        <v>94</v>
      </c>
      <c r="M128" s="405"/>
      <c r="N128" s="405"/>
      <c r="P128" s="737"/>
    </row>
    <row r="129" spans="1:16" s="406" customFormat="1" ht="25.25" customHeight="1" outlineLevel="2">
      <c r="A129" s="33" t="s">
        <v>8</v>
      </c>
      <c r="B129" s="412" t="s">
        <v>301</v>
      </c>
      <c r="C129" s="338" t="s">
        <v>44</v>
      </c>
      <c r="D129" s="414"/>
      <c r="E129" s="7"/>
      <c r="F129" s="411"/>
      <c r="G129" s="7">
        <f t="shared" si="48"/>
        <v>0</v>
      </c>
      <c r="H129" s="7">
        <f t="shared" si="42"/>
        <v>0</v>
      </c>
      <c r="I129" s="1"/>
      <c r="J129" s="394" t="s">
        <v>18</v>
      </c>
      <c r="K129" s="394" t="s">
        <v>108</v>
      </c>
      <c r="L129" s="405" t="s">
        <v>94</v>
      </c>
      <c r="M129" s="405"/>
      <c r="N129" s="405"/>
      <c r="P129" s="737"/>
    </row>
    <row r="130" spans="1:16" s="406" customFormat="1" ht="25.25" customHeight="1" outlineLevel="2">
      <c r="A130" s="33" t="s">
        <v>8</v>
      </c>
      <c r="B130" s="412" t="s">
        <v>302</v>
      </c>
      <c r="C130" s="338" t="s">
        <v>9</v>
      </c>
      <c r="D130" s="7"/>
      <c r="E130" s="7"/>
      <c r="F130" s="7"/>
      <c r="G130" s="7">
        <f t="shared" si="48"/>
        <v>0</v>
      </c>
      <c r="H130" s="7">
        <f t="shared" si="42"/>
        <v>0</v>
      </c>
      <c r="I130" s="1"/>
      <c r="J130" s="394" t="s">
        <v>18</v>
      </c>
      <c r="K130" s="394" t="s">
        <v>108</v>
      </c>
      <c r="L130" s="405" t="s">
        <v>94</v>
      </c>
      <c r="M130" s="405"/>
      <c r="N130" s="405"/>
      <c r="P130" s="737"/>
    </row>
    <row r="131" spans="1:16" s="406" customFormat="1" ht="25.25" customHeight="1" outlineLevel="2">
      <c r="A131" s="33" t="s">
        <v>8</v>
      </c>
      <c r="B131" s="412" t="s">
        <v>303</v>
      </c>
      <c r="C131" s="338" t="s">
        <v>9</v>
      </c>
      <c r="D131" s="7"/>
      <c r="E131" s="7"/>
      <c r="F131" s="7"/>
      <c r="G131" s="7">
        <f t="shared" si="48"/>
        <v>0</v>
      </c>
      <c r="H131" s="7">
        <f t="shared" si="42"/>
        <v>0</v>
      </c>
      <c r="I131" s="1"/>
      <c r="J131" s="394" t="s">
        <v>18</v>
      </c>
      <c r="K131" s="394" t="s">
        <v>108</v>
      </c>
      <c r="L131" s="405" t="s">
        <v>94</v>
      </c>
      <c r="M131" s="405"/>
      <c r="N131" s="405"/>
      <c r="P131" s="737"/>
    </row>
    <row r="132" spans="1:16" s="406" customFormat="1" outlineLevel="2">
      <c r="A132" s="403">
        <v>5</v>
      </c>
      <c r="B132" s="408" t="s">
        <v>304</v>
      </c>
      <c r="C132" s="401" t="s">
        <v>42</v>
      </c>
      <c r="D132" s="2"/>
      <c r="E132" s="2"/>
      <c r="F132" s="2"/>
      <c r="G132" s="2">
        <f>SUBTOTAL(9,G133:G156)</f>
        <v>1670226</v>
      </c>
      <c r="H132" s="2">
        <f>SUBTOTAL(9,H133:H156)</f>
        <v>445500</v>
      </c>
      <c r="I132" s="21"/>
      <c r="J132" s="394"/>
      <c r="K132" s="394"/>
      <c r="L132" s="405"/>
      <c r="N132" s="405"/>
      <c r="P132" s="764" t="s">
        <v>1356</v>
      </c>
    </row>
    <row r="133" spans="1:16" s="406" customFormat="1" outlineLevel="2">
      <c r="A133" s="33" t="s">
        <v>8</v>
      </c>
      <c r="B133" s="417" t="s">
        <v>1343</v>
      </c>
      <c r="C133" s="338" t="s">
        <v>921</v>
      </c>
      <c r="D133" s="413">
        <v>1000000</v>
      </c>
      <c r="E133" s="7"/>
      <c r="F133" s="418">
        <v>0.6</v>
      </c>
      <c r="G133" s="7">
        <f t="shared" si="48"/>
        <v>600000</v>
      </c>
      <c r="H133" s="7">
        <f t="shared" si="42"/>
        <v>0</v>
      </c>
      <c r="I133" s="1"/>
      <c r="J133" s="394" t="s">
        <v>18</v>
      </c>
      <c r="K133" s="394" t="s">
        <v>108</v>
      </c>
      <c r="L133" s="405" t="s">
        <v>94</v>
      </c>
      <c r="M133" s="405"/>
      <c r="N133" s="405"/>
      <c r="P133" s="737"/>
    </row>
    <row r="134" spans="1:16" s="406" customFormat="1" outlineLevel="2">
      <c r="A134" s="33" t="s">
        <v>8</v>
      </c>
      <c r="B134" s="417" t="s">
        <v>1344</v>
      </c>
      <c r="C134" s="338" t="s">
        <v>834</v>
      </c>
      <c r="D134" s="413">
        <v>1500000</v>
      </c>
      <c r="E134" s="7"/>
      <c r="F134" s="418"/>
      <c r="G134" s="7">
        <f t="shared" si="48"/>
        <v>0</v>
      </c>
      <c r="H134" s="7">
        <f t="shared" si="42"/>
        <v>0</v>
      </c>
      <c r="I134" s="1"/>
      <c r="J134" s="394" t="s">
        <v>18</v>
      </c>
      <c r="K134" s="394" t="s">
        <v>108</v>
      </c>
      <c r="L134" s="405" t="s">
        <v>94</v>
      </c>
      <c r="M134" s="405"/>
      <c r="N134" s="405"/>
      <c r="P134" s="737"/>
    </row>
    <row r="135" spans="1:16" s="406" customFormat="1" outlineLevel="2">
      <c r="A135" s="33" t="s">
        <v>8</v>
      </c>
      <c r="B135" s="417" t="s">
        <v>1345</v>
      </c>
      <c r="C135" s="338" t="s">
        <v>42</v>
      </c>
      <c r="D135" s="413">
        <v>60000</v>
      </c>
      <c r="E135" s="7"/>
      <c r="F135" s="418"/>
      <c r="G135" s="7">
        <f t="shared" si="48"/>
        <v>0</v>
      </c>
      <c r="H135" s="7">
        <f t="shared" si="42"/>
        <v>0</v>
      </c>
      <c r="I135" s="1"/>
      <c r="J135" s="394" t="s">
        <v>18</v>
      </c>
      <c r="K135" s="394" t="s">
        <v>108</v>
      </c>
      <c r="L135" s="405" t="s">
        <v>94</v>
      </c>
      <c r="M135" s="405"/>
      <c r="N135" s="405"/>
      <c r="P135" s="737"/>
    </row>
    <row r="136" spans="1:16" s="406" customFormat="1" outlineLevel="2">
      <c r="A136" s="33" t="s">
        <v>8</v>
      </c>
      <c r="B136" s="409" t="s">
        <v>1346</v>
      </c>
      <c r="C136" s="338" t="s">
        <v>921</v>
      </c>
      <c r="D136" s="413"/>
      <c r="E136" s="7"/>
      <c r="F136" s="411"/>
      <c r="G136" s="7">
        <f>F136*D136</f>
        <v>0</v>
      </c>
      <c r="H136" s="7">
        <f t="shared" si="42"/>
        <v>0</v>
      </c>
      <c r="I136" s="1"/>
      <c r="J136" s="394" t="s">
        <v>18</v>
      </c>
      <c r="K136" s="394" t="s">
        <v>78</v>
      </c>
      <c r="L136" s="405" t="s">
        <v>94</v>
      </c>
      <c r="M136" s="405"/>
      <c r="N136" s="405"/>
      <c r="P136" s="737"/>
    </row>
    <row r="137" spans="1:16" s="406" customFormat="1" outlineLevel="2">
      <c r="A137" s="33" t="s">
        <v>8</v>
      </c>
      <c r="B137" s="409" t="s">
        <v>1347</v>
      </c>
      <c r="C137" s="338" t="s">
        <v>834</v>
      </c>
      <c r="D137" s="413"/>
      <c r="E137" s="7"/>
      <c r="F137" s="411"/>
      <c r="G137" s="7">
        <f t="shared" ref="G137:G138" si="49">F137*D137</f>
        <v>0</v>
      </c>
      <c r="H137" s="7">
        <f t="shared" si="42"/>
        <v>0</v>
      </c>
      <c r="I137" s="1"/>
      <c r="J137" s="394" t="s">
        <v>18</v>
      </c>
      <c r="K137" s="394" t="s">
        <v>78</v>
      </c>
      <c r="L137" s="405" t="s">
        <v>94</v>
      </c>
      <c r="M137" s="405"/>
      <c r="N137" s="405"/>
      <c r="P137" s="737"/>
    </row>
    <row r="138" spans="1:16" s="406" customFormat="1" outlineLevel="2">
      <c r="A138" s="33" t="s">
        <v>8</v>
      </c>
      <c r="B138" s="409" t="s">
        <v>1345</v>
      </c>
      <c r="C138" s="338" t="s">
        <v>42</v>
      </c>
      <c r="D138" s="413"/>
      <c r="E138" s="7"/>
      <c r="F138" s="411"/>
      <c r="G138" s="7">
        <f t="shared" si="49"/>
        <v>0</v>
      </c>
      <c r="H138" s="7">
        <f t="shared" si="42"/>
        <v>0</v>
      </c>
      <c r="I138" s="1"/>
      <c r="J138" s="394" t="s">
        <v>18</v>
      </c>
      <c r="K138" s="394" t="s">
        <v>78</v>
      </c>
      <c r="L138" s="405" t="s">
        <v>94</v>
      </c>
      <c r="M138" s="405"/>
      <c r="N138" s="405"/>
      <c r="P138" s="737"/>
    </row>
    <row r="139" spans="1:16" s="406" customFormat="1" ht="14" outlineLevel="2">
      <c r="A139" s="33" t="s">
        <v>8</v>
      </c>
      <c r="B139" s="409" t="s">
        <v>1348</v>
      </c>
      <c r="C139" s="338" t="s">
        <v>921</v>
      </c>
      <c r="D139" s="150">
        <v>1000000</v>
      </c>
      <c r="E139" s="7"/>
      <c r="F139" s="411">
        <v>0.4</v>
      </c>
      <c r="G139" s="7">
        <f>F139*D139</f>
        <v>400000</v>
      </c>
      <c r="H139" s="7">
        <f t="shared" si="42"/>
        <v>0</v>
      </c>
      <c r="I139" s="1"/>
      <c r="J139" s="394" t="s">
        <v>18</v>
      </c>
      <c r="K139" s="394" t="s">
        <v>108</v>
      </c>
      <c r="L139" s="405" t="s">
        <v>94</v>
      </c>
      <c r="M139" s="405"/>
      <c r="N139" s="405"/>
      <c r="P139" s="737"/>
    </row>
    <row r="140" spans="1:16" s="406" customFormat="1" ht="14" outlineLevel="2">
      <c r="A140" s="33" t="s">
        <v>8</v>
      </c>
      <c r="B140" s="409" t="s">
        <v>1349</v>
      </c>
      <c r="C140" s="338" t="s">
        <v>834</v>
      </c>
      <c r="D140" s="150">
        <v>1500000</v>
      </c>
      <c r="E140" s="7"/>
      <c r="F140" s="411"/>
      <c r="G140" s="7">
        <f t="shared" ref="G140:G141" si="50">F140*D140</f>
        <v>0</v>
      </c>
      <c r="H140" s="7">
        <f t="shared" si="42"/>
        <v>0</v>
      </c>
      <c r="I140" s="1"/>
      <c r="J140" s="394" t="s">
        <v>18</v>
      </c>
      <c r="K140" s="394" t="s">
        <v>108</v>
      </c>
      <c r="L140" s="405" t="s">
        <v>94</v>
      </c>
      <c r="M140" s="405"/>
      <c r="N140" s="405"/>
      <c r="P140" s="737"/>
    </row>
    <row r="141" spans="1:16" s="406" customFormat="1" ht="14" outlineLevel="2">
      <c r="A141" s="33" t="s">
        <v>8</v>
      </c>
      <c r="B141" s="409" t="s">
        <v>1350</v>
      </c>
      <c r="C141" s="338" t="s">
        <v>42</v>
      </c>
      <c r="D141" s="150">
        <v>60000</v>
      </c>
      <c r="E141" s="7"/>
      <c r="F141" s="411"/>
      <c r="G141" s="7">
        <f t="shared" si="50"/>
        <v>0</v>
      </c>
      <c r="H141" s="7">
        <f t="shared" si="42"/>
        <v>0</v>
      </c>
      <c r="I141" s="1"/>
      <c r="J141" s="394" t="s">
        <v>18</v>
      </c>
      <c r="K141" s="394" t="s">
        <v>108</v>
      </c>
      <c r="L141" s="405" t="s">
        <v>94</v>
      </c>
      <c r="M141" s="405"/>
      <c r="N141" s="405"/>
      <c r="P141" s="737"/>
    </row>
    <row r="142" spans="1:16" s="406" customFormat="1" outlineLevel="2">
      <c r="A142" s="33" t="s">
        <v>8</v>
      </c>
      <c r="B142" s="409" t="s">
        <v>1351</v>
      </c>
      <c r="C142" s="338" t="s">
        <v>834</v>
      </c>
      <c r="D142" s="7">
        <v>975000</v>
      </c>
      <c r="E142" s="7"/>
      <c r="F142" s="419">
        <v>6.1799999999999994E-2</v>
      </c>
      <c r="G142" s="7">
        <f t="shared" si="48"/>
        <v>60254.999999999993</v>
      </c>
      <c r="H142" s="7">
        <f t="shared" si="42"/>
        <v>0</v>
      </c>
      <c r="I142" s="1"/>
      <c r="J142" s="394" t="s">
        <v>18</v>
      </c>
      <c r="K142" s="394" t="s">
        <v>108</v>
      </c>
      <c r="L142" s="405" t="s">
        <v>94</v>
      </c>
      <c r="M142" s="405"/>
      <c r="N142" s="405"/>
      <c r="P142" s="737"/>
    </row>
    <row r="143" spans="1:16" s="406" customFormat="1" outlineLevel="2">
      <c r="A143" s="33" t="s">
        <v>8</v>
      </c>
      <c r="B143" s="409" t="s">
        <v>1353</v>
      </c>
      <c r="C143" s="338" t="s">
        <v>834</v>
      </c>
      <c r="D143" s="7"/>
      <c r="E143" s="7"/>
      <c r="F143" s="419"/>
      <c r="G143" s="7">
        <f t="shared" si="48"/>
        <v>0</v>
      </c>
      <c r="H143" s="7">
        <f t="shared" si="42"/>
        <v>0</v>
      </c>
      <c r="I143" s="1"/>
      <c r="J143" s="394" t="s">
        <v>18</v>
      </c>
      <c r="K143" s="394" t="s">
        <v>108</v>
      </c>
      <c r="L143" s="405" t="s">
        <v>94</v>
      </c>
      <c r="M143" s="405"/>
      <c r="N143" s="405"/>
      <c r="P143" s="737"/>
    </row>
    <row r="144" spans="1:16" s="406" customFormat="1" outlineLevel="2">
      <c r="A144" s="33" t="s">
        <v>8</v>
      </c>
      <c r="B144" s="409" t="s">
        <v>1354</v>
      </c>
      <c r="C144" s="338" t="s">
        <v>42</v>
      </c>
      <c r="D144" s="413">
        <v>49400</v>
      </c>
      <c r="E144" s="7">
        <v>110000</v>
      </c>
      <c r="F144" s="411">
        <v>4.05</v>
      </c>
      <c r="G144" s="7">
        <f t="shared" si="48"/>
        <v>200070</v>
      </c>
      <c r="H144" s="7">
        <f t="shared" si="42"/>
        <v>445500</v>
      </c>
      <c r="I144" s="1"/>
      <c r="J144" s="394" t="s">
        <v>18</v>
      </c>
      <c r="K144" s="394" t="s">
        <v>108</v>
      </c>
      <c r="L144" s="405" t="s">
        <v>94</v>
      </c>
      <c r="M144" s="405"/>
      <c r="N144" s="405"/>
      <c r="P144" s="737"/>
    </row>
    <row r="145" spans="1:16" s="406" customFormat="1" outlineLevel="2">
      <c r="A145" s="33" t="s">
        <v>8</v>
      </c>
      <c r="B145" s="409" t="s">
        <v>1355</v>
      </c>
      <c r="C145" s="338" t="s">
        <v>42</v>
      </c>
      <c r="D145" s="413">
        <v>40000</v>
      </c>
      <c r="E145" s="7"/>
      <c r="F145" s="420">
        <v>2.7</v>
      </c>
      <c r="G145" s="7">
        <f t="shared" si="48"/>
        <v>108000</v>
      </c>
      <c r="H145" s="7">
        <f t="shared" si="42"/>
        <v>0</v>
      </c>
      <c r="I145" s="1"/>
      <c r="J145" s="394" t="s">
        <v>18</v>
      </c>
      <c r="K145" s="394" t="s">
        <v>108</v>
      </c>
      <c r="L145" s="405" t="s">
        <v>94</v>
      </c>
      <c r="M145" s="405"/>
      <c r="N145" s="405"/>
      <c r="P145" s="737"/>
    </row>
    <row r="146" spans="1:16" s="406" customFormat="1" ht="14" outlineLevel="2">
      <c r="A146" s="33" t="s">
        <v>8</v>
      </c>
      <c r="B146" s="409" t="s">
        <v>1259</v>
      </c>
      <c r="C146" s="338" t="s">
        <v>921</v>
      </c>
      <c r="D146" s="150">
        <v>650000</v>
      </c>
      <c r="E146" s="7"/>
      <c r="F146" s="411">
        <v>0.23399999999999999</v>
      </c>
      <c r="G146" s="7">
        <f t="shared" ref="G146:G150" si="51">F146*D146</f>
        <v>152100</v>
      </c>
      <c r="H146" s="7">
        <f t="shared" ref="H146:H150" si="52">F146*E146</f>
        <v>0</v>
      </c>
      <c r="I146" s="1"/>
      <c r="J146" s="394" t="s">
        <v>18</v>
      </c>
      <c r="K146" s="394" t="s">
        <v>108</v>
      </c>
      <c r="L146" s="405" t="s">
        <v>94</v>
      </c>
      <c r="M146" s="405"/>
      <c r="N146" s="405"/>
      <c r="P146" s="737"/>
    </row>
    <row r="147" spans="1:16" s="406" customFormat="1" ht="14" outlineLevel="2">
      <c r="A147" s="33" t="s">
        <v>8</v>
      </c>
      <c r="B147" s="409" t="s">
        <v>1352</v>
      </c>
      <c r="C147" s="338" t="s">
        <v>921</v>
      </c>
      <c r="D147" s="150"/>
      <c r="E147" s="7"/>
      <c r="F147" s="411"/>
      <c r="G147" s="7">
        <f t="shared" ref="G147" si="53">F147*D147</f>
        <v>0</v>
      </c>
      <c r="H147" s="7">
        <f t="shared" ref="H147" si="54">F147*E147</f>
        <v>0</v>
      </c>
      <c r="I147" s="1"/>
      <c r="J147" s="394" t="s">
        <v>18</v>
      </c>
      <c r="K147" s="394" t="s">
        <v>108</v>
      </c>
      <c r="L147" s="405" t="s">
        <v>94</v>
      </c>
      <c r="M147" s="405"/>
      <c r="N147" s="405"/>
      <c r="P147" s="737"/>
    </row>
    <row r="148" spans="1:16" s="406" customFormat="1" ht="14" outlineLevel="2">
      <c r="A148" s="33" t="s">
        <v>8</v>
      </c>
      <c r="B148" s="409" t="s">
        <v>1260</v>
      </c>
      <c r="C148" s="338" t="s">
        <v>921</v>
      </c>
      <c r="D148" s="150">
        <v>30000</v>
      </c>
      <c r="E148" s="7"/>
      <c r="F148" s="411">
        <v>0.23399999999999999</v>
      </c>
      <c r="G148" s="7">
        <f t="shared" si="51"/>
        <v>7020</v>
      </c>
      <c r="H148" s="7">
        <f t="shared" si="52"/>
        <v>0</v>
      </c>
      <c r="I148" s="1"/>
      <c r="J148" s="394" t="s">
        <v>18</v>
      </c>
      <c r="K148" s="394" t="s">
        <v>108</v>
      </c>
      <c r="L148" s="405" t="s">
        <v>94</v>
      </c>
      <c r="M148" s="405"/>
      <c r="N148" s="405"/>
      <c r="P148" s="737"/>
    </row>
    <row r="149" spans="1:16" s="406" customFormat="1" ht="14" outlineLevel="2">
      <c r="A149" s="33" t="s">
        <v>8</v>
      </c>
      <c r="B149" s="409" t="s">
        <v>1261</v>
      </c>
      <c r="C149" s="338" t="s">
        <v>834</v>
      </c>
      <c r="D149" s="150">
        <v>45000</v>
      </c>
      <c r="E149" s="7"/>
      <c r="F149" s="411">
        <v>6.1799999999999994E-2</v>
      </c>
      <c r="G149" s="7">
        <f t="shared" si="51"/>
        <v>2780.9999999999995</v>
      </c>
      <c r="H149" s="7">
        <f t="shared" si="52"/>
        <v>0</v>
      </c>
      <c r="I149" s="1"/>
      <c r="J149" s="394" t="s">
        <v>18</v>
      </c>
      <c r="K149" s="394" t="s">
        <v>108</v>
      </c>
      <c r="L149" s="405" t="s">
        <v>94</v>
      </c>
      <c r="M149" s="405"/>
      <c r="N149" s="405"/>
      <c r="P149" s="737"/>
    </row>
    <row r="150" spans="1:16" s="406" customFormat="1" ht="26" outlineLevel="2">
      <c r="A150" s="33" t="s">
        <v>8</v>
      </c>
      <c r="B150" s="409" t="s">
        <v>829</v>
      </c>
      <c r="C150" s="338" t="s">
        <v>9</v>
      </c>
      <c r="D150" s="150"/>
      <c r="E150" s="7"/>
      <c r="F150" s="411"/>
      <c r="G150" s="7">
        <f t="shared" si="51"/>
        <v>0</v>
      </c>
      <c r="H150" s="7">
        <f t="shared" si="52"/>
        <v>0</v>
      </c>
      <c r="I150" s="1"/>
      <c r="J150" s="394" t="s">
        <v>18</v>
      </c>
      <c r="K150" s="394" t="s">
        <v>108</v>
      </c>
      <c r="L150" s="405" t="s">
        <v>94</v>
      </c>
      <c r="M150" s="405"/>
      <c r="N150" s="405"/>
      <c r="P150" s="737"/>
    </row>
    <row r="151" spans="1:16" s="406" customFormat="1" outlineLevel="2">
      <c r="A151" s="33" t="s">
        <v>8</v>
      </c>
      <c r="B151" s="409" t="s">
        <v>364</v>
      </c>
      <c r="C151" s="338" t="s">
        <v>9</v>
      </c>
      <c r="D151" s="413">
        <v>1</v>
      </c>
      <c r="E151" s="7"/>
      <c r="F151" s="62">
        <v>1</v>
      </c>
      <c r="G151" s="7">
        <v>140000</v>
      </c>
      <c r="H151" s="7">
        <f t="shared" si="42"/>
        <v>0</v>
      </c>
      <c r="I151" s="1"/>
      <c r="J151" s="394" t="s">
        <v>18</v>
      </c>
      <c r="K151" s="394" t="s">
        <v>108</v>
      </c>
      <c r="L151" s="405" t="s">
        <v>94</v>
      </c>
      <c r="M151" s="405"/>
      <c r="N151" s="405"/>
      <c r="P151" s="737"/>
    </row>
    <row r="152" spans="1:16" s="406" customFormat="1" outlineLevel="2">
      <c r="A152" s="33" t="s">
        <v>8</v>
      </c>
      <c r="B152" s="409" t="s">
        <v>363</v>
      </c>
      <c r="C152" s="338" t="s">
        <v>9</v>
      </c>
      <c r="D152" s="7"/>
      <c r="E152" s="7"/>
      <c r="F152" s="62"/>
      <c r="G152" s="7">
        <f t="shared" si="48"/>
        <v>0</v>
      </c>
      <c r="H152" s="7">
        <f t="shared" si="42"/>
        <v>0</v>
      </c>
      <c r="I152" s="1"/>
      <c r="J152" s="394" t="s">
        <v>18</v>
      </c>
      <c r="K152" s="394" t="s">
        <v>108</v>
      </c>
      <c r="L152" s="405" t="s">
        <v>94</v>
      </c>
      <c r="M152" s="405"/>
      <c r="N152" s="405"/>
      <c r="P152" s="737"/>
    </row>
    <row r="153" spans="1:16" s="406" customFormat="1" ht="14" outlineLevel="2">
      <c r="A153" s="33" t="s">
        <v>8</v>
      </c>
      <c r="B153" s="409" t="s">
        <v>851</v>
      </c>
      <c r="C153" s="338" t="s">
        <v>921</v>
      </c>
      <c r="D153" s="413"/>
      <c r="E153" s="7"/>
      <c r="F153" s="226"/>
      <c r="G153" s="7">
        <f t="shared" si="48"/>
        <v>0</v>
      </c>
      <c r="H153" s="7">
        <f t="shared" si="42"/>
        <v>0</v>
      </c>
      <c r="I153" s="1"/>
      <c r="J153" s="394" t="s">
        <v>18</v>
      </c>
      <c r="K153" s="394" t="s">
        <v>78</v>
      </c>
      <c r="L153" s="405" t="s">
        <v>94</v>
      </c>
      <c r="M153" s="405"/>
      <c r="N153" s="405"/>
      <c r="P153" s="737"/>
    </row>
    <row r="154" spans="1:16" s="406" customFormat="1" ht="14" outlineLevel="2">
      <c r="A154" s="33" t="s">
        <v>8</v>
      </c>
      <c r="B154" s="409" t="s">
        <v>852</v>
      </c>
      <c r="C154" s="338" t="s">
        <v>834</v>
      </c>
      <c r="D154" s="413"/>
      <c r="E154" s="7"/>
      <c r="F154" s="226"/>
      <c r="G154" s="7">
        <f t="shared" si="48"/>
        <v>0</v>
      </c>
      <c r="H154" s="7">
        <f t="shared" si="42"/>
        <v>0</v>
      </c>
      <c r="I154" s="1"/>
      <c r="J154" s="394" t="s">
        <v>18</v>
      </c>
      <c r="K154" s="394" t="s">
        <v>78</v>
      </c>
      <c r="L154" s="405" t="s">
        <v>94</v>
      </c>
      <c r="M154" s="405"/>
      <c r="N154" s="405"/>
      <c r="P154" s="737"/>
    </row>
    <row r="155" spans="1:16" s="406" customFormat="1" ht="14" outlineLevel="2">
      <c r="A155" s="33" t="s">
        <v>8</v>
      </c>
      <c r="B155" s="409" t="s">
        <v>850</v>
      </c>
      <c r="C155" s="338" t="s">
        <v>42</v>
      </c>
      <c r="D155" s="413"/>
      <c r="E155" s="7"/>
      <c r="F155" s="226"/>
      <c r="G155" s="7">
        <f t="shared" si="48"/>
        <v>0</v>
      </c>
      <c r="H155" s="7">
        <f t="shared" si="42"/>
        <v>0</v>
      </c>
      <c r="I155" s="1"/>
      <c r="J155" s="394" t="s">
        <v>18</v>
      </c>
      <c r="K155" s="394" t="s">
        <v>78</v>
      </c>
      <c r="L155" s="405" t="s">
        <v>94</v>
      </c>
      <c r="M155" s="405"/>
      <c r="N155" s="405"/>
      <c r="P155" s="737"/>
    </row>
    <row r="156" spans="1:16" s="406" customFormat="1" ht="14" outlineLevel="2">
      <c r="A156" s="33" t="s">
        <v>8</v>
      </c>
      <c r="B156" s="409" t="s">
        <v>853</v>
      </c>
      <c r="C156" s="338" t="s">
        <v>9</v>
      </c>
      <c r="D156" s="413"/>
      <c r="E156" s="7"/>
      <c r="F156" s="205"/>
      <c r="G156" s="7">
        <f>F156*D156</f>
        <v>0</v>
      </c>
      <c r="H156" s="7">
        <f t="shared" si="42"/>
        <v>0</v>
      </c>
      <c r="I156" s="1"/>
      <c r="J156" s="394" t="s">
        <v>18</v>
      </c>
      <c r="K156" s="394" t="s">
        <v>78</v>
      </c>
      <c r="L156" s="405" t="s">
        <v>94</v>
      </c>
      <c r="M156" s="405"/>
      <c r="N156" s="405"/>
      <c r="P156" s="737"/>
    </row>
    <row r="157" spans="1:16" s="406" customFormat="1" outlineLevel="2">
      <c r="A157" s="403">
        <v>6</v>
      </c>
      <c r="B157" s="408" t="s">
        <v>305</v>
      </c>
      <c r="C157" s="401"/>
      <c r="D157" s="2"/>
      <c r="E157" s="2"/>
      <c r="F157" s="2"/>
      <c r="G157" s="2">
        <f>SUBTOTAL(9,G158:G160)</f>
        <v>75600</v>
      </c>
      <c r="H157" s="2">
        <f>SUBTOTAL(9,H158:H160)</f>
        <v>0</v>
      </c>
      <c r="I157" s="21"/>
      <c r="J157" s="394" t="s">
        <v>18</v>
      </c>
      <c r="K157" s="394"/>
      <c r="L157" s="405" t="s">
        <v>94</v>
      </c>
      <c r="M157" s="405"/>
      <c r="N157" s="405"/>
      <c r="P157" s="737" t="s">
        <v>1357</v>
      </c>
    </row>
    <row r="158" spans="1:16" s="406" customFormat="1" outlineLevel="2">
      <c r="A158" s="33" t="s">
        <v>8</v>
      </c>
      <c r="B158" s="409" t="s">
        <v>365</v>
      </c>
      <c r="C158" s="338" t="s">
        <v>307</v>
      </c>
      <c r="D158" s="7">
        <v>1400</v>
      </c>
      <c r="E158" s="7"/>
      <c r="F158" s="421">
        <v>54</v>
      </c>
      <c r="G158" s="7">
        <f t="shared" ref="G158:G160" si="55">F158*D158</f>
        <v>75600</v>
      </c>
      <c r="H158" s="7">
        <f t="shared" si="42"/>
        <v>0</v>
      </c>
      <c r="I158" s="1"/>
      <c r="J158" s="394" t="s">
        <v>18</v>
      </c>
      <c r="K158" s="394" t="s">
        <v>108</v>
      </c>
      <c r="L158" s="405" t="s">
        <v>94</v>
      </c>
      <c r="M158" s="405"/>
      <c r="N158" s="405"/>
      <c r="P158" s="737"/>
    </row>
    <row r="159" spans="1:16" s="406" customFormat="1" outlineLevel="2">
      <c r="A159" s="33" t="s">
        <v>8</v>
      </c>
      <c r="B159" s="409" t="s">
        <v>366</v>
      </c>
      <c r="C159" s="338" t="s">
        <v>307</v>
      </c>
      <c r="D159" s="7"/>
      <c r="E159" s="7"/>
      <c r="F159" s="421"/>
      <c r="G159" s="7">
        <f t="shared" si="55"/>
        <v>0</v>
      </c>
      <c r="H159" s="7">
        <f t="shared" si="42"/>
        <v>0</v>
      </c>
      <c r="I159" s="1"/>
      <c r="J159" s="394" t="s">
        <v>18</v>
      </c>
      <c r="K159" s="394" t="s">
        <v>108</v>
      </c>
      <c r="L159" s="405" t="s">
        <v>94</v>
      </c>
      <c r="M159" s="405"/>
      <c r="N159" s="405"/>
      <c r="P159" s="737"/>
    </row>
    <row r="160" spans="1:16" s="406" customFormat="1" outlineLevel="2">
      <c r="A160" s="33" t="s">
        <v>8</v>
      </c>
      <c r="B160" s="409" t="s">
        <v>367</v>
      </c>
      <c r="C160" s="338" t="s">
        <v>9</v>
      </c>
      <c r="D160" s="7"/>
      <c r="E160" s="7"/>
      <c r="F160" s="422"/>
      <c r="G160" s="7">
        <f t="shared" si="55"/>
        <v>0</v>
      </c>
      <c r="H160" s="7">
        <f t="shared" si="42"/>
        <v>0</v>
      </c>
      <c r="I160" s="1"/>
      <c r="J160" s="394" t="s">
        <v>18</v>
      </c>
      <c r="K160" s="394" t="s">
        <v>108</v>
      </c>
      <c r="L160" s="405" t="s">
        <v>94</v>
      </c>
      <c r="M160" s="405"/>
      <c r="N160" s="405"/>
      <c r="P160" s="737"/>
    </row>
    <row r="161" spans="1:16" s="406" customFormat="1" outlineLevel="2">
      <c r="A161" s="403">
        <v>7</v>
      </c>
      <c r="B161" s="408" t="s">
        <v>824</v>
      </c>
      <c r="C161" s="338" t="s">
        <v>198</v>
      </c>
      <c r="D161" s="7"/>
      <c r="E161" s="7"/>
      <c r="F161" s="7"/>
      <c r="G161" s="2">
        <f>SUBTOTAL(9,G168)</f>
        <v>0</v>
      </c>
      <c r="H161" s="7">
        <f t="shared" si="42"/>
        <v>0</v>
      </c>
      <c r="I161" s="1"/>
      <c r="J161" s="394" t="s">
        <v>18</v>
      </c>
      <c r="K161" s="394" t="s">
        <v>108</v>
      </c>
      <c r="L161" s="405" t="s">
        <v>94</v>
      </c>
      <c r="M161" s="405"/>
      <c r="N161" s="405"/>
      <c r="P161" s="407"/>
    </row>
    <row r="162" spans="1:16" s="406" customFormat="1" outlineLevel="2">
      <c r="A162" s="403">
        <v>8</v>
      </c>
      <c r="B162" s="408" t="s">
        <v>1363</v>
      </c>
      <c r="C162" s="401"/>
      <c r="D162" s="2"/>
      <c r="E162" s="2"/>
      <c r="F162" s="2"/>
      <c r="G162" s="2">
        <f>SUBTOTAL(9,G163:G167)</f>
        <v>476000</v>
      </c>
      <c r="H162" s="2">
        <f>SUBTOTAL(9,H163:H165)</f>
        <v>0</v>
      </c>
      <c r="I162" s="21"/>
      <c r="J162" s="394" t="s">
        <v>18</v>
      </c>
      <c r="K162" s="394"/>
      <c r="L162" s="405" t="s">
        <v>94</v>
      </c>
      <c r="M162" s="405"/>
      <c r="N162" s="405"/>
      <c r="P162" s="737" t="s">
        <v>1357</v>
      </c>
    </row>
    <row r="163" spans="1:16" s="406" customFormat="1" outlineLevel="2">
      <c r="A163" s="33" t="s">
        <v>8</v>
      </c>
      <c r="B163" s="409" t="s">
        <v>1364</v>
      </c>
      <c r="C163" s="338" t="s">
        <v>319</v>
      </c>
      <c r="D163" s="7">
        <v>6000</v>
      </c>
      <c r="E163" s="7"/>
      <c r="F163" s="421">
        <v>4.8</v>
      </c>
      <c r="G163" s="7">
        <f t="shared" ref="G163:G166" si="56">F163*D163</f>
        <v>28800</v>
      </c>
      <c r="H163" s="7">
        <f t="shared" ref="H163:H166" si="57">F163*E163</f>
        <v>0</v>
      </c>
      <c r="I163" s="1"/>
      <c r="J163" s="394" t="s">
        <v>18</v>
      </c>
      <c r="K163" s="394" t="s">
        <v>108</v>
      </c>
      <c r="L163" s="405" t="s">
        <v>94</v>
      </c>
      <c r="M163" s="405"/>
      <c r="N163" s="405"/>
      <c r="P163" s="737"/>
    </row>
    <row r="164" spans="1:16" s="406" customFormat="1" outlineLevel="2">
      <c r="A164" s="33" t="s">
        <v>8</v>
      </c>
      <c r="B164" s="409" t="s">
        <v>1365</v>
      </c>
      <c r="C164" s="338" t="s">
        <v>319</v>
      </c>
      <c r="D164" s="7">
        <v>20000</v>
      </c>
      <c r="E164" s="7"/>
      <c r="F164" s="421">
        <v>3.2</v>
      </c>
      <c r="G164" s="7">
        <f t="shared" si="56"/>
        <v>64000</v>
      </c>
      <c r="H164" s="7">
        <f t="shared" si="57"/>
        <v>0</v>
      </c>
      <c r="I164" s="1"/>
      <c r="J164" s="394" t="s">
        <v>18</v>
      </c>
      <c r="K164" s="394" t="s">
        <v>108</v>
      </c>
      <c r="L164" s="405" t="s">
        <v>94</v>
      </c>
      <c r="M164" s="405"/>
      <c r="N164" s="405"/>
      <c r="P164" s="737"/>
    </row>
    <row r="165" spans="1:16" s="406" customFormat="1" outlineLevel="2">
      <c r="A165" s="33" t="s">
        <v>8</v>
      </c>
      <c r="B165" s="409" t="s">
        <v>1366</v>
      </c>
      <c r="C165" s="338" t="s">
        <v>319</v>
      </c>
      <c r="D165" s="7">
        <v>4000</v>
      </c>
      <c r="E165" s="7"/>
      <c r="F165" s="422">
        <v>4.8</v>
      </c>
      <c r="G165" s="7">
        <f t="shared" si="56"/>
        <v>19200</v>
      </c>
      <c r="H165" s="7">
        <f t="shared" si="57"/>
        <v>0</v>
      </c>
      <c r="I165" s="1"/>
      <c r="J165" s="394" t="s">
        <v>18</v>
      </c>
      <c r="K165" s="394" t="s">
        <v>108</v>
      </c>
      <c r="L165" s="405" t="s">
        <v>94</v>
      </c>
      <c r="M165" s="405"/>
      <c r="N165" s="405"/>
      <c r="P165" s="737"/>
    </row>
    <row r="166" spans="1:16" s="406" customFormat="1" outlineLevel="2">
      <c r="A166" s="33" t="s">
        <v>8</v>
      </c>
      <c r="B166" s="409" t="s">
        <v>1367</v>
      </c>
      <c r="C166" s="338" t="s">
        <v>319</v>
      </c>
      <c r="D166" s="7">
        <v>20000</v>
      </c>
      <c r="E166" s="7"/>
      <c r="F166" s="422">
        <v>3.2</v>
      </c>
      <c r="G166" s="7">
        <f t="shared" si="56"/>
        <v>64000</v>
      </c>
      <c r="H166" s="7">
        <f t="shared" si="57"/>
        <v>0</v>
      </c>
      <c r="I166" s="1"/>
      <c r="J166" s="394" t="s">
        <v>18</v>
      </c>
      <c r="K166" s="394" t="s">
        <v>108</v>
      </c>
      <c r="L166" s="405" t="s">
        <v>94</v>
      </c>
      <c r="M166" s="405"/>
      <c r="N166" s="405"/>
      <c r="P166" s="669"/>
    </row>
    <row r="167" spans="1:16" s="406" customFormat="1" outlineLevel="2">
      <c r="A167" s="33" t="s">
        <v>8</v>
      </c>
      <c r="B167" s="409" t="s">
        <v>1368</v>
      </c>
      <c r="C167" s="338" t="s">
        <v>1254</v>
      </c>
      <c r="D167" s="7">
        <v>2</v>
      </c>
      <c r="E167" s="7"/>
      <c r="F167" s="422">
        <v>150000</v>
      </c>
      <c r="G167" s="7">
        <f t="shared" ref="G167" si="58">F167*D167</f>
        <v>300000</v>
      </c>
      <c r="H167" s="7">
        <f t="shared" ref="H167" si="59">F167*E167</f>
        <v>0</v>
      </c>
      <c r="I167" s="1"/>
      <c r="J167" s="394" t="s">
        <v>18</v>
      </c>
      <c r="K167" s="394" t="s">
        <v>108</v>
      </c>
      <c r="L167" s="405" t="s">
        <v>94</v>
      </c>
      <c r="M167" s="405"/>
      <c r="N167" s="405"/>
      <c r="P167" s="669"/>
    </row>
    <row r="168" spans="1:16" s="406" customFormat="1" outlineLevel="2">
      <c r="A168" s="403">
        <v>9</v>
      </c>
      <c r="B168" s="408" t="s">
        <v>574</v>
      </c>
      <c r="C168" s="338" t="s">
        <v>198</v>
      </c>
      <c r="D168" s="7"/>
      <c r="E168" s="7"/>
      <c r="F168" s="7"/>
      <c r="G168" s="7">
        <f t="shared" si="48"/>
        <v>0</v>
      </c>
      <c r="H168" s="7">
        <f t="shared" si="42"/>
        <v>0</v>
      </c>
      <c r="I168" s="1"/>
      <c r="J168" s="394" t="s">
        <v>18</v>
      </c>
      <c r="K168" s="394" t="s">
        <v>108</v>
      </c>
      <c r="L168" s="405" t="s">
        <v>94</v>
      </c>
      <c r="M168" s="405"/>
      <c r="N168" s="405"/>
      <c r="P168" s="407"/>
    </row>
    <row r="169" spans="1:16" s="396" customFormat="1" outlineLevel="1">
      <c r="A169" s="403" t="s">
        <v>12</v>
      </c>
      <c r="B169" s="423" t="s">
        <v>113</v>
      </c>
      <c r="C169" s="401"/>
      <c r="D169" s="2"/>
      <c r="E169" s="2"/>
      <c r="F169" s="2"/>
      <c r="G169" s="2">
        <f>SUBTOTAL(9,G170:G189)</f>
        <v>0</v>
      </c>
      <c r="H169" s="2">
        <f>SUBTOTAL(9,H170:H189)</f>
        <v>0</v>
      </c>
      <c r="I169" s="2"/>
      <c r="J169" s="394"/>
      <c r="K169" s="405"/>
      <c r="L169" s="405"/>
      <c r="M169" s="424"/>
      <c r="N169" s="424"/>
      <c r="P169" s="397"/>
    </row>
    <row r="170" spans="1:16" s="396" customFormat="1" outlineLevel="1">
      <c r="A170" s="403">
        <v>1</v>
      </c>
      <c r="B170" s="425" t="s">
        <v>922</v>
      </c>
      <c r="C170" s="401"/>
      <c r="D170" s="2"/>
      <c r="E170" s="2"/>
      <c r="F170" s="2"/>
      <c r="G170" s="2">
        <f>SUBTOTAL(9,G171:G172)</f>
        <v>0</v>
      </c>
      <c r="H170" s="2"/>
      <c r="I170" s="2"/>
      <c r="J170" s="394"/>
      <c r="K170" s="405"/>
      <c r="L170" s="405"/>
      <c r="M170" s="424"/>
      <c r="N170" s="424"/>
      <c r="P170" s="737" t="s">
        <v>768</v>
      </c>
    </row>
    <row r="171" spans="1:16" s="406" customFormat="1" outlineLevel="2">
      <c r="A171" s="33" t="s">
        <v>8</v>
      </c>
      <c r="B171" s="409" t="s">
        <v>309</v>
      </c>
      <c r="C171" s="338" t="s">
        <v>9</v>
      </c>
      <c r="D171" s="413"/>
      <c r="E171" s="7"/>
      <c r="F171" s="62"/>
      <c r="G171" s="7">
        <f>F171*D171</f>
        <v>0</v>
      </c>
      <c r="H171" s="7">
        <f>F171*E171</f>
        <v>0</v>
      </c>
      <c r="I171" s="1"/>
      <c r="J171" s="394" t="s">
        <v>18</v>
      </c>
      <c r="K171" s="394" t="s">
        <v>122</v>
      </c>
      <c r="L171" s="405" t="s">
        <v>94</v>
      </c>
      <c r="N171" s="405"/>
      <c r="P171" s="737"/>
    </row>
    <row r="172" spans="1:16" s="406" customFormat="1" outlineLevel="2">
      <c r="A172" s="33" t="s">
        <v>8</v>
      </c>
      <c r="B172" s="409" t="s">
        <v>308</v>
      </c>
      <c r="C172" s="338" t="s">
        <v>9</v>
      </c>
      <c r="D172" s="413"/>
      <c r="E172" s="7"/>
      <c r="F172" s="62"/>
      <c r="G172" s="7">
        <f>F172*D172</f>
        <v>0</v>
      </c>
      <c r="H172" s="7">
        <f>F172*E172</f>
        <v>0</v>
      </c>
      <c r="I172" s="1"/>
      <c r="J172" s="394" t="s">
        <v>18</v>
      </c>
      <c r="K172" s="394" t="s">
        <v>122</v>
      </c>
      <c r="L172" s="405" t="s">
        <v>94</v>
      </c>
      <c r="M172" s="405"/>
      <c r="N172" s="405"/>
      <c r="P172" s="737"/>
    </row>
    <row r="173" spans="1:16" s="396" customFormat="1" outlineLevel="1">
      <c r="A173" s="403">
        <v>2</v>
      </c>
      <c r="B173" s="425" t="s">
        <v>923</v>
      </c>
      <c r="C173" s="401"/>
      <c r="D173" s="2"/>
      <c r="E173" s="2"/>
      <c r="F173" s="2"/>
      <c r="G173" s="2">
        <f>SUBTOTAL(9,G174:G175)</f>
        <v>0</v>
      </c>
      <c r="H173" s="2"/>
      <c r="I173" s="2"/>
      <c r="J173" s="394"/>
      <c r="K173" s="405"/>
      <c r="L173" s="405"/>
      <c r="M173" s="424"/>
      <c r="N173" s="424"/>
      <c r="P173" s="397"/>
    </row>
    <row r="174" spans="1:16" s="406" customFormat="1" outlineLevel="2">
      <c r="A174" s="33" t="s">
        <v>8</v>
      </c>
      <c r="B174" s="409" t="s">
        <v>835</v>
      </c>
      <c r="C174" s="338" t="s">
        <v>9</v>
      </c>
      <c r="D174" s="413"/>
      <c r="E174" s="7"/>
      <c r="F174" s="62"/>
      <c r="G174" s="2">
        <f t="shared" ref="G174:G175" si="60">SUBTOTAL(9,G175:G176)</f>
        <v>0</v>
      </c>
      <c r="H174" s="7">
        <f>F174*E174</f>
        <v>0</v>
      </c>
      <c r="I174" s="1"/>
      <c r="J174" s="394" t="s">
        <v>18</v>
      </c>
      <c r="K174" s="394" t="s">
        <v>122</v>
      </c>
      <c r="L174" s="405" t="s">
        <v>94</v>
      </c>
      <c r="N174" s="405"/>
      <c r="P174" s="426"/>
    </row>
    <row r="175" spans="1:16" s="406" customFormat="1" outlineLevel="2">
      <c r="A175" s="33" t="s">
        <v>8</v>
      </c>
      <c r="B175" s="409" t="s">
        <v>836</v>
      </c>
      <c r="C175" s="338" t="s">
        <v>9</v>
      </c>
      <c r="D175" s="413"/>
      <c r="E175" s="7"/>
      <c r="F175" s="62"/>
      <c r="G175" s="2">
        <f t="shared" si="60"/>
        <v>0</v>
      </c>
      <c r="H175" s="7">
        <f>F175*E175</f>
        <v>0</v>
      </c>
      <c r="I175" s="1"/>
      <c r="J175" s="394" t="s">
        <v>18</v>
      </c>
      <c r="K175" s="394" t="s">
        <v>122</v>
      </c>
      <c r="L175" s="405" t="s">
        <v>94</v>
      </c>
      <c r="M175" s="405"/>
      <c r="N175" s="405"/>
      <c r="P175" s="407"/>
    </row>
    <row r="176" spans="1:16" s="396" customFormat="1" outlineLevel="1">
      <c r="A176" s="403">
        <v>3</v>
      </c>
      <c r="B176" s="425" t="s">
        <v>924</v>
      </c>
      <c r="C176" s="401"/>
      <c r="D176" s="2"/>
      <c r="E176" s="2"/>
      <c r="F176" s="2"/>
      <c r="G176" s="2">
        <f>SUBTOTAL(9,G177:G178)</f>
        <v>0</v>
      </c>
      <c r="H176" s="2"/>
      <c r="I176" s="2"/>
      <c r="J176" s="394"/>
      <c r="K176" s="405"/>
      <c r="L176" s="405"/>
      <c r="M176" s="424"/>
      <c r="N176" s="424"/>
      <c r="P176" s="397"/>
    </row>
    <row r="177" spans="1:16" s="406" customFormat="1" outlineLevel="2">
      <c r="A177" s="33" t="s">
        <v>8</v>
      </c>
      <c r="B177" s="409" t="s">
        <v>837</v>
      </c>
      <c r="C177" s="338" t="s">
        <v>9</v>
      </c>
      <c r="D177" s="413"/>
      <c r="E177" s="7"/>
      <c r="F177" s="62"/>
      <c r="G177" s="7">
        <f>F177*D177</f>
        <v>0</v>
      </c>
      <c r="H177" s="7">
        <f>F177*E177</f>
        <v>0</v>
      </c>
      <c r="I177" s="1"/>
      <c r="J177" s="394" t="s">
        <v>18</v>
      </c>
      <c r="K177" s="394" t="s">
        <v>122</v>
      </c>
      <c r="L177" s="405" t="s">
        <v>94</v>
      </c>
      <c r="N177" s="405"/>
      <c r="P177" s="426"/>
    </row>
    <row r="178" spans="1:16" s="406" customFormat="1" outlineLevel="2">
      <c r="A178" s="33" t="s">
        <v>8</v>
      </c>
      <c r="B178" s="409" t="s">
        <v>838</v>
      </c>
      <c r="C178" s="338" t="s">
        <v>9</v>
      </c>
      <c r="D178" s="413"/>
      <c r="E178" s="7"/>
      <c r="F178" s="62"/>
      <c r="G178" s="7">
        <f>F178*D178</f>
        <v>0</v>
      </c>
      <c r="H178" s="7">
        <f>F178*E178</f>
        <v>0</v>
      </c>
      <c r="I178" s="1"/>
      <c r="J178" s="394" t="s">
        <v>18</v>
      </c>
      <c r="K178" s="394" t="s">
        <v>122</v>
      </c>
      <c r="L178" s="405" t="s">
        <v>94</v>
      </c>
      <c r="M178" s="405"/>
      <c r="N178" s="405"/>
      <c r="P178" s="407"/>
    </row>
    <row r="179" spans="1:16" s="396" customFormat="1" outlineLevel="1">
      <c r="A179" s="403">
        <v>4</v>
      </c>
      <c r="B179" s="425" t="s">
        <v>925</v>
      </c>
      <c r="C179" s="401"/>
      <c r="D179" s="2"/>
      <c r="E179" s="2"/>
      <c r="F179" s="2"/>
      <c r="G179" s="2">
        <f>SUBTOTAL(9,G180:G181)</f>
        <v>0</v>
      </c>
      <c r="H179" s="2"/>
      <c r="I179" s="2"/>
      <c r="J179" s="394"/>
      <c r="K179" s="405"/>
      <c r="L179" s="405"/>
      <c r="M179" s="424"/>
      <c r="N179" s="424"/>
      <c r="P179" s="397"/>
    </row>
    <row r="180" spans="1:16" s="406" customFormat="1" outlineLevel="2">
      <c r="A180" s="33" t="s">
        <v>8</v>
      </c>
      <c r="B180" s="409" t="s">
        <v>839</v>
      </c>
      <c r="C180" s="338" t="s">
        <v>9</v>
      </c>
      <c r="D180" s="413"/>
      <c r="E180" s="7"/>
      <c r="F180" s="62"/>
      <c r="G180" s="7">
        <f>F180*D180</f>
        <v>0</v>
      </c>
      <c r="H180" s="7">
        <f>F180*E180</f>
        <v>0</v>
      </c>
      <c r="I180" s="1"/>
      <c r="J180" s="394" t="s">
        <v>18</v>
      </c>
      <c r="K180" s="394" t="s">
        <v>122</v>
      </c>
      <c r="L180" s="405" t="s">
        <v>94</v>
      </c>
      <c r="N180" s="405"/>
      <c r="P180" s="426"/>
    </row>
    <row r="181" spans="1:16" s="406" customFormat="1" outlineLevel="2">
      <c r="A181" s="33" t="s">
        <v>8</v>
      </c>
      <c r="B181" s="409" t="s">
        <v>840</v>
      </c>
      <c r="C181" s="338" t="s">
        <v>9</v>
      </c>
      <c r="D181" s="413"/>
      <c r="E181" s="7"/>
      <c r="F181" s="62"/>
      <c r="G181" s="7">
        <f>F181*D181</f>
        <v>0</v>
      </c>
      <c r="H181" s="7">
        <f>F181*E181</f>
        <v>0</v>
      </c>
      <c r="I181" s="1"/>
      <c r="J181" s="394" t="s">
        <v>18</v>
      </c>
      <c r="K181" s="394" t="s">
        <v>122</v>
      </c>
      <c r="L181" s="405" t="s">
        <v>94</v>
      </c>
      <c r="M181" s="405"/>
      <c r="N181" s="405"/>
      <c r="P181" s="407"/>
    </row>
    <row r="182" spans="1:16" s="406" customFormat="1" outlineLevel="2">
      <c r="A182" s="403">
        <v>5</v>
      </c>
      <c r="B182" s="408" t="s">
        <v>368</v>
      </c>
      <c r="C182" s="338" t="s">
        <v>9</v>
      </c>
      <c r="D182" s="7"/>
      <c r="E182" s="7"/>
      <c r="F182" s="422"/>
      <c r="G182" s="2">
        <f>SUBTOTAL(9,G183:G184)</f>
        <v>0</v>
      </c>
      <c r="H182" s="7">
        <f t="shared" ref="H182:H189" si="61">F182*E182</f>
        <v>0</v>
      </c>
      <c r="I182" s="1"/>
      <c r="J182" s="394"/>
      <c r="K182" s="394"/>
      <c r="L182" s="405"/>
      <c r="M182" s="405"/>
      <c r="N182" s="405"/>
      <c r="P182" s="407"/>
    </row>
    <row r="183" spans="1:16" s="406" customFormat="1" outlineLevel="2">
      <c r="A183" s="33" t="s">
        <v>8</v>
      </c>
      <c r="B183" s="409" t="s">
        <v>369</v>
      </c>
      <c r="C183" s="338" t="s">
        <v>9</v>
      </c>
      <c r="D183" s="7"/>
      <c r="E183" s="7"/>
      <c r="F183" s="422"/>
      <c r="G183" s="7">
        <f t="shared" ref="G183:G184" si="62">F183*D183</f>
        <v>0</v>
      </c>
      <c r="H183" s="7">
        <f t="shared" si="61"/>
        <v>0</v>
      </c>
      <c r="I183" s="1"/>
      <c r="J183" s="394" t="s">
        <v>18</v>
      </c>
      <c r="K183" s="394" t="s">
        <v>122</v>
      </c>
      <c r="L183" s="405" t="s">
        <v>94</v>
      </c>
      <c r="M183" s="405"/>
      <c r="N183" s="405"/>
      <c r="P183" s="407"/>
    </row>
    <row r="184" spans="1:16" s="406" customFormat="1" outlineLevel="2">
      <c r="A184" s="33" t="s">
        <v>8</v>
      </c>
      <c r="B184" s="409" t="s">
        <v>369</v>
      </c>
      <c r="C184" s="338" t="s">
        <v>9</v>
      </c>
      <c r="D184" s="7"/>
      <c r="E184" s="7"/>
      <c r="F184" s="422"/>
      <c r="G184" s="7">
        <f t="shared" si="62"/>
        <v>0</v>
      </c>
      <c r="H184" s="7">
        <f t="shared" si="61"/>
        <v>0</v>
      </c>
      <c r="I184" s="1"/>
      <c r="J184" s="394" t="s">
        <v>18</v>
      </c>
      <c r="K184" s="394" t="s">
        <v>122</v>
      </c>
      <c r="L184" s="405" t="s">
        <v>94</v>
      </c>
      <c r="M184" s="405"/>
      <c r="N184" s="405"/>
      <c r="P184" s="407"/>
    </row>
    <row r="185" spans="1:16" s="406" customFormat="1" ht="40.75" customHeight="1" outlineLevel="2">
      <c r="A185" s="403">
        <v>6</v>
      </c>
      <c r="B185" s="423" t="s">
        <v>825</v>
      </c>
      <c r="C185" s="338" t="s">
        <v>9</v>
      </c>
      <c r="D185" s="7"/>
      <c r="E185" s="7"/>
      <c r="F185" s="7"/>
      <c r="G185" s="2">
        <f>SUBTOTAL(9,G186:G188)</f>
        <v>0</v>
      </c>
      <c r="H185" s="7">
        <f t="shared" si="61"/>
        <v>0</v>
      </c>
      <c r="I185" s="1"/>
      <c r="J185" s="394"/>
      <c r="K185" s="405"/>
      <c r="L185" s="405"/>
      <c r="M185" s="405"/>
      <c r="N185" s="405"/>
      <c r="P185" s="738"/>
    </row>
    <row r="186" spans="1:16" s="406" customFormat="1" outlineLevel="2">
      <c r="A186" s="33" t="s">
        <v>8</v>
      </c>
      <c r="B186" s="409" t="s">
        <v>826</v>
      </c>
      <c r="C186" s="338" t="s">
        <v>9</v>
      </c>
      <c r="D186" s="7"/>
      <c r="E186" s="7"/>
      <c r="F186" s="422"/>
      <c r="G186" s="7">
        <f t="shared" ref="G186:G189" si="63">F186*D186</f>
        <v>0</v>
      </c>
      <c r="H186" s="7">
        <f t="shared" si="61"/>
        <v>0</v>
      </c>
      <c r="I186" s="1"/>
      <c r="J186" s="394" t="s">
        <v>18</v>
      </c>
      <c r="K186" s="394" t="s">
        <v>108</v>
      </c>
      <c r="L186" s="405" t="s">
        <v>94</v>
      </c>
      <c r="M186" s="405"/>
      <c r="N186" s="405"/>
      <c r="P186" s="738"/>
    </row>
    <row r="187" spans="1:16" s="406" customFormat="1" outlineLevel="2">
      <c r="A187" s="33" t="s">
        <v>8</v>
      </c>
      <c r="B187" s="409" t="s">
        <v>827</v>
      </c>
      <c r="C187" s="338" t="s">
        <v>9</v>
      </c>
      <c r="D187" s="7"/>
      <c r="E187" s="7"/>
      <c r="F187" s="422"/>
      <c r="G187" s="7">
        <f t="shared" si="63"/>
        <v>0</v>
      </c>
      <c r="H187" s="7">
        <f t="shared" si="61"/>
        <v>0</v>
      </c>
      <c r="I187" s="1"/>
      <c r="J187" s="394" t="s">
        <v>18</v>
      </c>
      <c r="K187" s="394" t="s">
        <v>108</v>
      </c>
      <c r="L187" s="405" t="s">
        <v>94</v>
      </c>
      <c r="M187" s="405"/>
      <c r="N187" s="405"/>
      <c r="P187" s="738"/>
    </row>
    <row r="188" spans="1:16" s="406" customFormat="1" outlineLevel="2">
      <c r="A188" s="33" t="s">
        <v>8</v>
      </c>
      <c r="B188" s="409" t="s">
        <v>828</v>
      </c>
      <c r="C188" s="338" t="s">
        <v>9</v>
      </c>
      <c r="D188" s="7"/>
      <c r="E188" s="7"/>
      <c r="F188" s="422"/>
      <c r="G188" s="7">
        <f t="shared" si="63"/>
        <v>0</v>
      </c>
      <c r="H188" s="7">
        <f t="shared" si="61"/>
        <v>0</v>
      </c>
      <c r="I188" s="1"/>
      <c r="J188" s="394" t="s">
        <v>18</v>
      </c>
      <c r="K188" s="394" t="s">
        <v>108</v>
      </c>
      <c r="L188" s="405" t="s">
        <v>94</v>
      </c>
      <c r="M188" s="405"/>
      <c r="N188" s="405"/>
      <c r="P188" s="739"/>
    </row>
    <row r="189" spans="1:16" s="406" customFormat="1" outlineLevel="2">
      <c r="A189" s="403">
        <v>8</v>
      </c>
      <c r="B189" s="423" t="s">
        <v>926</v>
      </c>
      <c r="C189" s="338" t="s">
        <v>9</v>
      </c>
      <c r="D189" s="7"/>
      <c r="E189" s="7"/>
      <c r="F189" s="7"/>
      <c r="G189" s="7">
        <f t="shared" si="63"/>
        <v>0</v>
      </c>
      <c r="H189" s="7">
        <f t="shared" si="61"/>
        <v>0</v>
      </c>
      <c r="I189" s="1"/>
      <c r="J189" s="394" t="s">
        <v>18</v>
      </c>
      <c r="K189" s="405" t="s">
        <v>122</v>
      </c>
      <c r="L189" s="405" t="s">
        <v>94</v>
      </c>
      <c r="M189" s="405"/>
      <c r="N189" s="405"/>
      <c r="P189" s="407"/>
    </row>
    <row r="190" spans="1:16" s="396" customFormat="1" outlineLevel="1">
      <c r="A190" s="403" t="s">
        <v>19</v>
      </c>
      <c r="B190" s="423" t="s">
        <v>287</v>
      </c>
      <c r="C190" s="401"/>
      <c r="D190" s="2"/>
      <c r="E190" s="2"/>
      <c r="F190" s="2"/>
      <c r="G190" s="2">
        <f>SUBTOTAL(9,G191:G192)</f>
        <v>100000</v>
      </c>
      <c r="H190" s="2">
        <f>SUBTOTAL(9,H191:H192)</f>
        <v>100000</v>
      </c>
      <c r="I190" s="2"/>
      <c r="J190" s="394"/>
      <c r="K190" s="405"/>
      <c r="L190" s="405"/>
      <c r="M190" s="424"/>
      <c r="N190" s="424"/>
      <c r="P190" s="737" t="s">
        <v>1358</v>
      </c>
    </row>
    <row r="191" spans="1:16" s="406" customFormat="1" outlineLevel="2">
      <c r="A191" s="33">
        <v>1</v>
      </c>
      <c r="B191" s="427" t="s">
        <v>306</v>
      </c>
      <c r="C191" s="338" t="s">
        <v>9</v>
      </c>
      <c r="D191" s="7"/>
      <c r="E191" s="7"/>
      <c r="F191" s="7"/>
      <c r="G191" s="7">
        <f t="shared" ref="G191:G192" si="64">F191*D191</f>
        <v>0</v>
      </c>
      <c r="H191" s="7">
        <f t="shared" ref="H191:H192" si="65">F191*E191</f>
        <v>0</v>
      </c>
      <c r="I191" s="1"/>
      <c r="J191" s="394" t="s">
        <v>18</v>
      </c>
      <c r="K191" s="405" t="s">
        <v>288</v>
      </c>
      <c r="L191" s="405" t="s">
        <v>94</v>
      </c>
      <c r="M191" s="405"/>
      <c r="N191" s="405"/>
      <c r="P191" s="737"/>
    </row>
    <row r="192" spans="1:16" s="406" customFormat="1" outlineLevel="2">
      <c r="A192" s="33">
        <v>2</v>
      </c>
      <c r="B192" s="427"/>
      <c r="C192" s="338" t="s">
        <v>199</v>
      </c>
      <c r="D192" s="7">
        <v>1</v>
      </c>
      <c r="E192" s="7">
        <v>1</v>
      </c>
      <c r="F192" s="7">
        <v>100000</v>
      </c>
      <c r="G192" s="7">
        <f t="shared" si="64"/>
        <v>100000</v>
      </c>
      <c r="H192" s="7">
        <f t="shared" si="65"/>
        <v>100000</v>
      </c>
      <c r="I192" s="1"/>
      <c r="J192" s="394" t="s">
        <v>18</v>
      </c>
      <c r="K192" s="405" t="s">
        <v>288</v>
      </c>
      <c r="L192" s="405" t="s">
        <v>94</v>
      </c>
      <c r="M192" s="405"/>
      <c r="N192" s="405"/>
      <c r="P192" s="737"/>
    </row>
    <row r="193" spans="1:16" s="396" customFormat="1" outlineLevel="1">
      <c r="A193" s="403" t="s">
        <v>26</v>
      </c>
      <c r="B193" s="423" t="s">
        <v>130</v>
      </c>
      <c r="C193" s="401"/>
      <c r="D193" s="2"/>
      <c r="E193" s="2"/>
      <c r="F193" s="2"/>
      <c r="G193" s="2">
        <f>SUBTOTAL(9,G194:G259)</f>
        <v>1386601.92</v>
      </c>
      <c r="H193" s="2">
        <f>SUBTOTAL(9,H194:H259)</f>
        <v>0</v>
      </c>
      <c r="I193" s="21"/>
      <c r="J193" s="394"/>
      <c r="K193" s="405"/>
      <c r="L193" s="405"/>
      <c r="M193" s="424"/>
      <c r="N193" s="424"/>
      <c r="P193" s="397"/>
    </row>
    <row r="194" spans="1:16" s="406" customFormat="1" ht="18.649999999999999" customHeight="1" outlineLevel="2">
      <c r="A194" s="403">
        <v>1</v>
      </c>
      <c r="B194" s="408" t="s">
        <v>927</v>
      </c>
      <c r="C194" s="338"/>
      <c r="D194" s="7"/>
      <c r="E194" s="7"/>
      <c r="F194" s="7"/>
      <c r="G194" s="2">
        <f>SUBTOTAL(9,G195:G200)</f>
        <v>741961.92</v>
      </c>
      <c r="H194" s="7">
        <f t="shared" ref="H194:H253" si="66">F194*E194</f>
        <v>0</v>
      </c>
      <c r="I194" s="1"/>
      <c r="J194" s="394" t="s">
        <v>18</v>
      </c>
      <c r="K194" s="394"/>
      <c r="L194" s="405" t="s">
        <v>94</v>
      </c>
      <c r="M194" s="405"/>
      <c r="N194" s="405"/>
      <c r="P194" s="740" t="s">
        <v>1341</v>
      </c>
    </row>
    <row r="195" spans="1:16" s="396" customFormat="1" ht="18.649999999999999" customHeight="1" outlineLevel="1">
      <c r="A195" s="33" t="s">
        <v>8</v>
      </c>
      <c r="B195" s="409" t="s">
        <v>377</v>
      </c>
      <c r="C195" s="338" t="s">
        <v>353</v>
      </c>
      <c r="D195" s="7"/>
      <c r="E195" s="7"/>
      <c r="F195" s="428"/>
      <c r="G195" s="7">
        <f t="shared" ref="G195:G200" si="67">F195*D195</f>
        <v>0</v>
      </c>
      <c r="H195" s="7">
        <f t="shared" si="66"/>
        <v>0</v>
      </c>
      <c r="I195" s="1"/>
      <c r="J195" s="394" t="s">
        <v>18</v>
      </c>
      <c r="K195" s="405" t="s">
        <v>122</v>
      </c>
      <c r="L195" s="405" t="s">
        <v>94</v>
      </c>
      <c r="M195" s="424"/>
      <c r="N195" s="424"/>
      <c r="P195" s="737"/>
    </row>
    <row r="196" spans="1:16" s="406" customFormat="1" ht="18.649999999999999" customHeight="1" outlineLevel="2">
      <c r="A196" s="33" t="s">
        <v>8</v>
      </c>
      <c r="B196" s="409" t="s">
        <v>378</v>
      </c>
      <c r="C196" s="338" t="s">
        <v>353</v>
      </c>
      <c r="D196" s="7"/>
      <c r="E196" s="7"/>
      <c r="F196" s="428"/>
      <c r="G196" s="7">
        <f t="shared" si="67"/>
        <v>0</v>
      </c>
      <c r="H196" s="7">
        <f t="shared" si="66"/>
        <v>0</v>
      </c>
      <c r="I196" s="1"/>
      <c r="J196" s="394" t="s">
        <v>18</v>
      </c>
      <c r="K196" s="405" t="s">
        <v>122</v>
      </c>
      <c r="L196" s="405" t="s">
        <v>94</v>
      </c>
      <c r="M196" s="405"/>
      <c r="N196" s="405"/>
      <c r="P196" s="737"/>
    </row>
    <row r="197" spans="1:16" s="406" customFormat="1" ht="18.649999999999999" customHeight="1" outlineLevel="2">
      <c r="A197" s="33" t="s">
        <v>8</v>
      </c>
      <c r="B197" s="409" t="s">
        <v>360</v>
      </c>
      <c r="C197" s="338" t="s">
        <v>44</v>
      </c>
      <c r="D197" s="7">
        <v>835344</v>
      </c>
      <c r="E197" s="7"/>
      <c r="F197" s="428">
        <v>0.18</v>
      </c>
      <c r="G197" s="7">
        <f t="shared" si="67"/>
        <v>150361.91999999998</v>
      </c>
      <c r="H197" s="7">
        <f t="shared" si="66"/>
        <v>0</v>
      </c>
      <c r="I197" s="1"/>
      <c r="J197" s="394" t="s">
        <v>18</v>
      </c>
      <c r="K197" s="405" t="s">
        <v>122</v>
      </c>
      <c r="L197" s="405" t="s">
        <v>94</v>
      </c>
      <c r="M197" s="405"/>
      <c r="N197" s="405"/>
      <c r="P197" s="737"/>
    </row>
    <row r="198" spans="1:16" s="406" customFormat="1" ht="18.649999999999999" customHeight="1" outlineLevel="2">
      <c r="A198" s="33" t="s">
        <v>8</v>
      </c>
      <c r="B198" s="409" t="s">
        <v>361</v>
      </c>
      <c r="C198" s="338" t="s">
        <v>44</v>
      </c>
      <c r="D198" s="7">
        <v>1072000</v>
      </c>
      <c r="E198" s="7"/>
      <c r="F198" s="428">
        <v>0.30000000000000004</v>
      </c>
      <c r="G198" s="7">
        <f t="shared" si="67"/>
        <v>321600.00000000006</v>
      </c>
      <c r="H198" s="7">
        <f t="shared" si="66"/>
        <v>0</v>
      </c>
      <c r="I198" s="1"/>
      <c r="J198" s="394" t="s">
        <v>18</v>
      </c>
      <c r="K198" s="405" t="s">
        <v>122</v>
      </c>
      <c r="L198" s="405" t="s">
        <v>94</v>
      </c>
      <c r="M198" s="405"/>
      <c r="N198" s="405"/>
      <c r="P198" s="737"/>
    </row>
    <row r="199" spans="1:16" s="406" customFormat="1" ht="18.649999999999999" customHeight="1" outlineLevel="2">
      <c r="A199" s="33" t="s">
        <v>8</v>
      </c>
      <c r="B199" s="429" t="s">
        <v>359</v>
      </c>
      <c r="C199" s="338" t="s">
        <v>9</v>
      </c>
      <c r="D199" s="7">
        <v>1</v>
      </c>
      <c r="E199" s="7"/>
      <c r="F199" s="7">
        <v>160000</v>
      </c>
      <c r="G199" s="7">
        <f t="shared" si="67"/>
        <v>160000</v>
      </c>
      <c r="H199" s="7">
        <f t="shared" si="66"/>
        <v>0</v>
      </c>
      <c r="I199" s="1"/>
      <c r="J199" s="394" t="s">
        <v>18</v>
      </c>
      <c r="K199" s="405" t="s">
        <v>122</v>
      </c>
      <c r="L199" s="405" t="s">
        <v>94</v>
      </c>
      <c r="M199" s="405"/>
      <c r="N199" s="405"/>
      <c r="P199" s="737"/>
    </row>
    <row r="200" spans="1:16" s="406" customFormat="1" ht="18.649999999999999" customHeight="1" outlineLevel="2">
      <c r="A200" s="33" t="s">
        <v>8</v>
      </c>
      <c r="B200" s="429" t="s">
        <v>373</v>
      </c>
      <c r="C200" s="338" t="s">
        <v>9</v>
      </c>
      <c r="D200" s="7">
        <v>1</v>
      </c>
      <c r="E200" s="7"/>
      <c r="F200" s="7">
        <v>110000</v>
      </c>
      <c r="G200" s="7">
        <f t="shared" si="67"/>
        <v>110000</v>
      </c>
      <c r="H200" s="7">
        <f t="shared" si="66"/>
        <v>0</v>
      </c>
      <c r="I200" s="1"/>
      <c r="J200" s="394" t="s">
        <v>18</v>
      </c>
      <c r="K200" s="405" t="s">
        <v>122</v>
      </c>
      <c r="L200" s="405" t="s">
        <v>94</v>
      </c>
      <c r="M200" s="405"/>
      <c r="N200" s="405"/>
      <c r="P200" s="737"/>
    </row>
    <row r="201" spans="1:16" s="406" customFormat="1" outlineLevel="2">
      <c r="A201" s="403">
        <v>2</v>
      </c>
      <c r="B201" s="408" t="s">
        <v>304</v>
      </c>
      <c r="C201" s="338" t="s">
        <v>42</v>
      </c>
      <c r="D201" s="7"/>
      <c r="E201" s="7"/>
      <c r="F201" s="7"/>
      <c r="G201" s="2">
        <f>SUBTOTAL(9,G202:G219)</f>
        <v>0</v>
      </c>
      <c r="H201" s="7">
        <f t="shared" si="66"/>
        <v>0</v>
      </c>
      <c r="I201" s="1"/>
      <c r="J201" s="394"/>
      <c r="K201" s="405"/>
      <c r="L201" s="405"/>
      <c r="N201" s="405"/>
      <c r="P201" s="426"/>
    </row>
    <row r="202" spans="1:16" s="396" customFormat="1" outlineLevel="1">
      <c r="A202" s="33" t="s">
        <v>8</v>
      </c>
      <c r="B202" s="417" t="s">
        <v>323</v>
      </c>
      <c r="C202" s="338" t="s">
        <v>921</v>
      </c>
      <c r="D202" s="413"/>
      <c r="E202" s="7"/>
      <c r="F202" s="430"/>
      <c r="G202" s="7">
        <f t="shared" ref="G202:G245" si="68">F202*D202</f>
        <v>0</v>
      </c>
      <c r="H202" s="7">
        <f t="shared" si="66"/>
        <v>0</v>
      </c>
      <c r="I202" s="1"/>
      <c r="J202" s="394" t="s">
        <v>18</v>
      </c>
      <c r="K202" s="405" t="s">
        <v>122</v>
      </c>
      <c r="L202" s="405" t="s">
        <v>94</v>
      </c>
      <c r="N202" s="424"/>
      <c r="P202" s="737"/>
    </row>
    <row r="203" spans="1:16" s="396" customFormat="1" outlineLevel="1">
      <c r="A203" s="33" t="s">
        <v>8</v>
      </c>
      <c r="B203" s="417" t="s">
        <v>844</v>
      </c>
      <c r="C203" s="338" t="s">
        <v>834</v>
      </c>
      <c r="D203" s="413"/>
      <c r="E203" s="7"/>
      <c r="F203" s="430"/>
      <c r="G203" s="7">
        <f t="shared" si="68"/>
        <v>0</v>
      </c>
      <c r="H203" s="7">
        <f t="shared" si="66"/>
        <v>0</v>
      </c>
      <c r="I203" s="1"/>
      <c r="J203" s="394" t="s">
        <v>18</v>
      </c>
      <c r="K203" s="405" t="s">
        <v>122</v>
      </c>
      <c r="L203" s="405" t="s">
        <v>94</v>
      </c>
      <c r="N203" s="424"/>
      <c r="P203" s="737"/>
    </row>
    <row r="204" spans="1:16" s="396" customFormat="1" outlineLevel="1">
      <c r="A204" s="33" t="s">
        <v>8</v>
      </c>
      <c r="B204" s="417" t="s">
        <v>845</v>
      </c>
      <c r="C204" s="338" t="s">
        <v>42</v>
      </c>
      <c r="D204" s="413"/>
      <c r="E204" s="7"/>
      <c r="F204" s="430"/>
      <c r="G204" s="7">
        <f t="shared" si="68"/>
        <v>0</v>
      </c>
      <c r="H204" s="7">
        <f t="shared" si="66"/>
        <v>0</v>
      </c>
      <c r="I204" s="1"/>
      <c r="J204" s="394" t="s">
        <v>18</v>
      </c>
      <c r="K204" s="405" t="s">
        <v>122</v>
      </c>
      <c r="L204" s="405" t="s">
        <v>94</v>
      </c>
      <c r="N204" s="424"/>
      <c r="P204" s="737"/>
    </row>
    <row r="205" spans="1:16" s="396" customFormat="1" ht="14" outlineLevel="1">
      <c r="A205" s="33" t="s">
        <v>8</v>
      </c>
      <c r="B205" s="224" t="s">
        <v>928</v>
      </c>
      <c r="C205" s="338" t="s">
        <v>921</v>
      </c>
      <c r="D205" s="413"/>
      <c r="E205" s="7"/>
      <c r="F205" s="430"/>
      <c r="G205" s="7">
        <f t="shared" si="68"/>
        <v>0</v>
      </c>
      <c r="H205" s="7">
        <f t="shared" si="66"/>
        <v>0</v>
      </c>
      <c r="I205" s="1"/>
      <c r="J205" s="394" t="s">
        <v>18</v>
      </c>
      <c r="K205" s="405" t="s">
        <v>122</v>
      </c>
      <c r="L205" s="405" t="s">
        <v>94</v>
      </c>
      <c r="N205" s="424"/>
      <c r="P205" s="737"/>
    </row>
    <row r="206" spans="1:16" s="396" customFormat="1" ht="14" outlineLevel="1">
      <c r="A206" s="33" t="s">
        <v>8</v>
      </c>
      <c r="B206" s="224" t="s">
        <v>929</v>
      </c>
      <c r="C206" s="338" t="s">
        <v>834</v>
      </c>
      <c r="D206" s="413"/>
      <c r="E206" s="7"/>
      <c r="F206" s="430"/>
      <c r="G206" s="7">
        <f t="shared" si="68"/>
        <v>0</v>
      </c>
      <c r="H206" s="7">
        <f t="shared" si="66"/>
        <v>0</v>
      </c>
      <c r="I206" s="1"/>
      <c r="J206" s="394" t="s">
        <v>18</v>
      </c>
      <c r="K206" s="405" t="s">
        <v>122</v>
      </c>
      <c r="L206" s="405" t="s">
        <v>94</v>
      </c>
      <c r="N206" s="424"/>
      <c r="P206" s="737"/>
    </row>
    <row r="207" spans="1:16" s="396" customFormat="1" ht="14" outlineLevel="1">
      <c r="A207" s="33" t="s">
        <v>8</v>
      </c>
      <c r="B207" s="224" t="s">
        <v>930</v>
      </c>
      <c r="C207" s="338" t="s">
        <v>42</v>
      </c>
      <c r="D207" s="413"/>
      <c r="E207" s="7"/>
      <c r="F207" s="430"/>
      <c r="G207" s="7">
        <f t="shared" si="68"/>
        <v>0</v>
      </c>
      <c r="H207" s="7">
        <f t="shared" si="66"/>
        <v>0</v>
      </c>
      <c r="I207" s="1"/>
      <c r="J207" s="394" t="s">
        <v>18</v>
      </c>
      <c r="K207" s="405" t="s">
        <v>122</v>
      </c>
      <c r="L207" s="405" t="s">
        <v>94</v>
      </c>
      <c r="N207" s="424"/>
      <c r="P207" s="737"/>
    </row>
    <row r="208" spans="1:16" s="406" customFormat="1" outlineLevel="2">
      <c r="A208" s="33" t="s">
        <v>8</v>
      </c>
      <c r="B208" s="417" t="s">
        <v>310</v>
      </c>
      <c r="C208" s="338" t="s">
        <v>921</v>
      </c>
      <c r="D208" s="413"/>
      <c r="E208" s="7"/>
      <c r="F208" s="430"/>
      <c r="G208" s="7">
        <f t="shared" si="68"/>
        <v>0</v>
      </c>
      <c r="H208" s="7">
        <f t="shared" si="66"/>
        <v>0</v>
      </c>
      <c r="I208" s="1"/>
      <c r="J208" s="394" t="s">
        <v>18</v>
      </c>
      <c r="K208" s="405" t="s">
        <v>122</v>
      </c>
      <c r="L208" s="405" t="s">
        <v>94</v>
      </c>
      <c r="N208" s="405"/>
      <c r="P208" s="737"/>
    </row>
    <row r="209" spans="1:16" s="406" customFormat="1" outlineLevel="2">
      <c r="A209" s="33" t="s">
        <v>8</v>
      </c>
      <c r="B209" s="417" t="s">
        <v>846</v>
      </c>
      <c r="C209" s="338" t="s">
        <v>834</v>
      </c>
      <c r="D209" s="413"/>
      <c r="E209" s="7"/>
      <c r="F209" s="430"/>
      <c r="G209" s="7">
        <f t="shared" si="68"/>
        <v>0</v>
      </c>
      <c r="H209" s="7">
        <f t="shared" si="66"/>
        <v>0</v>
      </c>
      <c r="I209" s="1"/>
      <c r="J209" s="394" t="s">
        <v>18</v>
      </c>
      <c r="K209" s="405" t="s">
        <v>122</v>
      </c>
      <c r="L209" s="405" t="s">
        <v>94</v>
      </c>
      <c r="N209" s="405"/>
      <c r="P209" s="737"/>
    </row>
    <row r="210" spans="1:16" s="406" customFormat="1" outlineLevel="2">
      <c r="A210" s="33" t="s">
        <v>8</v>
      </c>
      <c r="B210" s="417" t="s">
        <v>847</v>
      </c>
      <c r="C210" s="338" t="s">
        <v>42</v>
      </c>
      <c r="D210" s="413"/>
      <c r="E210" s="7"/>
      <c r="F210" s="430"/>
      <c r="G210" s="7">
        <f t="shared" si="68"/>
        <v>0</v>
      </c>
      <c r="H210" s="7">
        <f t="shared" si="66"/>
        <v>0</v>
      </c>
      <c r="I210" s="1"/>
      <c r="J210" s="394" t="s">
        <v>18</v>
      </c>
      <c r="K210" s="405" t="s">
        <v>122</v>
      </c>
      <c r="L210" s="405" t="s">
        <v>94</v>
      </c>
      <c r="N210" s="405"/>
      <c r="P210" s="737"/>
    </row>
    <row r="211" spans="1:16" s="406" customFormat="1" outlineLevel="2">
      <c r="A211" s="33" t="s">
        <v>8</v>
      </c>
      <c r="B211" s="417" t="s">
        <v>848</v>
      </c>
      <c r="C211" s="338" t="s">
        <v>834</v>
      </c>
      <c r="D211" s="413"/>
      <c r="E211" s="7"/>
      <c r="F211" s="431"/>
      <c r="G211" s="7">
        <f t="shared" si="68"/>
        <v>0</v>
      </c>
      <c r="H211" s="7">
        <f t="shared" si="66"/>
        <v>0</v>
      </c>
      <c r="I211" s="1"/>
      <c r="J211" s="394" t="s">
        <v>18</v>
      </c>
      <c r="K211" s="405" t="s">
        <v>122</v>
      </c>
      <c r="L211" s="405" t="s">
        <v>94</v>
      </c>
      <c r="N211" s="405"/>
      <c r="P211" s="737"/>
    </row>
    <row r="212" spans="1:16" s="406" customFormat="1" outlineLevel="2">
      <c r="A212" s="33" t="s">
        <v>8</v>
      </c>
      <c r="B212" s="417" t="s">
        <v>849</v>
      </c>
      <c r="C212" s="338" t="s">
        <v>834</v>
      </c>
      <c r="D212" s="413"/>
      <c r="E212" s="7"/>
      <c r="F212" s="431"/>
      <c r="G212" s="7">
        <f t="shared" si="68"/>
        <v>0</v>
      </c>
      <c r="H212" s="7">
        <f t="shared" si="66"/>
        <v>0</v>
      </c>
      <c r="I212" s="1"/>
      <c r="J212" s="394" t="s">
        <v>18</v>
      </c>
      <c r="K212" s="405" t="s">
        <v>122</v>
      </c>
      <c r="L212" s="405" t="s">
        <v>94</v>
      </c>
      <c r="N212" s="405"/>
      <c r="P212" s="737"/>
    </row>
    <row r="213" spans="1:16" s="406" customFormat="1" outlineLevel="2">
      <c r="A213" s="33" t="s">
        <v>8</v>
      </c>
      <c r="B213" s="417" t="s">
        <v>311</v>
      </c>
      <c r="C213" s="338" t="s">
        <v>42</v>
      </c>
      <c r="D213" s="413"/>
      <c r="E213" s="7"/>
      <c r="F213" s="430"/>
      <c r="G213" s="7">
        <f t="shared" si="68"/>
        <v>0</v>
      </c>
      <c r="H213" s="7">
        <f t="shared" si="66"/>
        <v>0</v>
      </c>
      <c r="I213" s="1"/>
      <c r="J213" s="394" t="s">
        <v>18</v>
      </c>
      <c r="K213" s="405" t="s">
        <v>122</v>
      </c>
      <c r="L213" s="405" t="s">
        <v>94</v>
      </c>
      <c r="N213" s="405"/>
      <c r="P213" s="737"/>
    </row>
    <row r="214" spans="1:16" s="406" customFormat="1" outlineLevel="2">
      <c r="A214" s="33" t="s">
        <v>8</v>
      </c>
      <c r="B214" s="417" t="s">
        <v>312</v>
      </c>
      <c r="C214" s="338" t="s">
        <v>42</v>
      </c>
      <c r="D214" s="413"/>
      <c r="E214" s="7"/>
      <c r="F214" s="432"/>
      <c r="G214" s="7">
        <f t="shared" si="68"/>
        <v>0</v>
      </c>
      <c r="H214" s="7">
        <f t="shared" si="66"/>
        <v>0</v>
      </c>
      <c r="I214" s="1"/>
      <c r="J214" s="394" t="s">
        <v>18</v>
      </c>
      <c r="K214" s="405" t="s">
        <v>122</v>
      </c>
      <c r="L214" s="405" t="s">
        <v>94</v>
      </c>
      <c r="N214" s="405"/>
      <c r="P214" s="737"/>
    </row>
    <row r="215" spans="1:16" s="396" customFormat="1" outlineLevel="1">
      <c r="A215" s="33" t="s">
        <v>8</v>
      </c>
      <c r="B215" s="417" t="s">
        <v>830</v>
      </c>
      <c r="C215" s="338" t="s">
        <v>42</v>
      </c>
      <c r="D215" s="413"/>
      <c r="E215" s="7"/>
      <c r="F215" s="430"/>
      <c r="G215" s="7"/>
      <c r="H215" s="7"/>
      <c r="I215" s="1"/>
      <c r="J215" s="394" t="s">
        <v>18</v>
      </c>
      <c r="K215" s="405" t="s">
        <v>122</v>
      </c>
      <c r="L215" s="405" t="s">
        <v>94</v>
      </c>
      <c r="N215" s="424"/>
      <c r="P215" s="737"/>
    </row>
    <row r="216" spans="1:16" s="396" customFormat="1" outlineLevel="1">
      <c r="A216" s="33" t="s">
        <v>8</v>
      </c>
      <c r="B216" s="417" t="s">
        <v>831</v>
      </c>
      <c r="C216" s="338" t="s">
        <v>42</v>
      </c>
      <c r="D216" s="413"/>
      <c r="E216" s="7"/>
      <c r="F216" s="430"/>
      <c r="G216" s="7"/>
      <c r="H216" s="7"/>
      <c r="I216" s="1"/>
      <c r="J216" s="394" t="s">
        <v>18</v>
      </c>
      <c r="K216" s="405" t="s">
        <v>122</v>
      </c>
      <c r="L216" s="405" t="s">
        <v>94</v>
      </c>
      <c r="N216" s="424"/>
      <c r="P216" s="737"/>
    </row>
    <row r="217" spans="1:16" s="406" customFormat="1" ht="26" outlineLevel="2">
      <c r="A217" s="33" t="s">
        <v>8</v>
      </c>
      <c r="B217" s="417" t="s">
        <v>832</v>
      </c>
      <c r="C217" s="338" t="s">
        <v>9</v>
      </c>
      <c r="D217" s="413"/>
      <c r="E217" s="7"/>
      <c r="F217" s="430"/>
      <c r="G217" s="7"/>
      <c r="H217" s="7"/>
      <c r="I217" s="1"/>
      <c r="J217" s="394" t="s">
        <v>18</v>
      </c>
      <c r="K217" s="405" t="s">
        <v>122</v>
      </c>
      <c r="L217" s="405" t="s">
        <v>94</v>
      </c>
      <c r="N217" s="405"/>
      <c r="P217" s="737"/>
    </row>
    <row r="218" spans="1:16" s="406" customFormat="1" ht="26" outlineLevel="2">
      <c r="A218" s="33" t="s">
        <v>8</v>
      </c>
      <c r="B218" s="417" t="s">
        <v>833</v>
      </c>
      <c r="C218" s="338" t="s">
        <v>9</v>
      </c>
      <c r="D218" s="413"/>
      <c r="E218" s="7"/>
      <c r="F218" s="430"/>
      <c r="G218" s="7"/>
      <c r="H218" s="7"/>
      <c r="I218" s="1"/>
      <c r="J218" s="394" t="s">
        <v>18</v>
      </c>
      <c r="K218" s="405" t="s">
        <v>122</v>
      </c>
      <c r="L218" s="405" t="s">
        <v>94</v>
      </c>
      <c r="N218" s="405"/>
      <c r="P218" s="737"/>
    </row>
    <row r="219" spans="1:16" s="406" customFormat="1" outlineLevel="2">
      <c r="A219" s="33" t="s">
        <v>8</v>
      </c>
      <c r="B219" s="417" t="s">
        <v>370</v>
      </c>
      <c r="C219" s="338" t="s">
        <v>9</v>
      </c>
      <c r="D219" s="413"/>
      <c r="E219" s="7"/>
      <c r="F219" s="118"/>
      <c r="G219" s="7">
        <f t="shared" si="68"/>
        <v>0</v>
      </c>
      <c r="H219" s="7">
        <f t="shared" si="66"/>
        <v>0</v>
      </c>
      <c r="I219" s="1"/>
      <c r="J219" s="394" t="s">
        <v>18</v>
      </c>
      <c r="K219" s="405" t="s">
        <v>122</v>
      </c>
      <c r="L219" s="405" t="s">
        <v>94</v>
      </c>
      <c r="N219" s="405"/>
      <c r="P219" s="737"/>
    </row>
    <row r="220" spans="1:16" s="406" customFormat="1" outlineLevel="2">
      <c r="A220" s="33">
        <v>3</v>
      </c>
      <c r="B220" s="408" t="s">
        <v>902</v>
      </c>
      <c r="C220" s="338" t="s">
        <v>198</v>
      </c>
      <c r="D220" s="7"/>
      <c r="E220" s="7"/>
      <c r="F220" s="7"/>
      <c r="G220" s="2">
        <f>SUBTOTAL(9,G221:G241)</f>
        <v>644640</v>
      </c>
      <c r="H220" s="7">
        <f t="shared" si="66"/>
        <v>0</v>
      </c>
      <c r="I220" s="1"/>
      <c r="J220" s="394"/>
      <c r="K220" s="405"/>
      <c r="L220" s="405"/>
      <c r="N220" s="405"/>
      <c r="P220" s="426"/>
    </row>
    <row r="221" spans="1:16" s="406" customFormat="1" outlineLevel="2">
      <c r="A221" s="33" t="s">
        <v>8</v>
      </c>
      <c r="B221" s="412" t="s">
        <v>931</v>
      </c>
      <c r="C221" s="338" t="s">
        <v>44</v>
      </c>
      <c r="D221" s="413">
        <v>4200000</v>
      </c>
      <c r="E221" s="7"/>
      <c r="F221" s="433">
        <v>1.9200000000000002E-2</v>
      </c>
      <c r="G221" s="7">
        <f t="shared" si="68"/>
        <v>80640.000000000015</v>
      </c>
      <c r="H221" s="7">
        <f t="shared" si="66"/>
        <v>0</v>
      </c>
      <c r="I221" s="1"/>
      <c r="J221" s="394" t="s">
        <v>18</v>
      </c>
      <c r="K221" s="394" t="s">
        <v>122</v>
      </c>
      <c r="L221" s="405" t="s">
        <v>94</v>
      </c>
      <c r="N221" s="405"/>
      <c r="P221" s="737" t="s">
        <v>1359</v>
      </c>
    </row>
    <row r="222" spans="1:16" s="406" customFormat="1" outlineLevel="2">
      <c r="A222" s="33" t="s">
        <v>8</v>
      </c>
      <c r="B222" s="412" t="s">
        <v>932</v>
      </c>
      <c r="C222" s="338" t="s">
        <v>44</v>
      </c>
      <c r="D222" s="413">
        <v>7100000</v>
      </c>
      <c r="E222" s="7"/>
      <c r="F222" s="434">
        <v>4.8000000000000004E-3</v>
      </c>
      <c r="G222" s="7">
        <f t="shared" si="68"/>
        <v>34080</v>
      </c>
      <c r="H222" s="7">
        <f t="shared" si="66"/>
        <v>0</v>
      </c>
      <c r="I222" s="1"/>
      <c r="J222" s="394" t="s">
        <v>18</v>
      </c>
      <c r="K222" s="394" t="s">
        <v>122</v>
      </c>
      <c r="L222" s="405" t="s">
        <v>94</v>
      </c>
      <c r="N222" s="405"/>
      <c r="P222" s="737"/>
    </row>
    <row r="223" spans="1:16" s="406" customFormat="1" outlineLevel="2">
      <c r="A223" s="33" t="s">
        <v>8</v>
      </c>
      <c r="B223" s="412" t="s">
        <v>933</v>
      </c>
      <c r="C223" s="338" t="s">
        <v>44</v>
      </c>
      <c r="D223" s="413">
        <v>1350000</v>
      </c>
      <c r="E223" s="7"/>
      <c r="F223" s="433">
        <v>1.9200000000000002E-2</v>
      </c>
      <c r="G223" s="7">
        <f t="shared" si="68"/>
        <v>25920.000000000004</v>
      </c>
      <c r="H223" s="7">
        <f t="shared" si="66"/>
        <v>0</v>
      </c>
      <c r="I223" s="1"/>
      <c r="J223" s="394" t="s">
        <v>18</v>
      </c>
      <c r="K223" s="394" t="s">
        <v>122</v>
      </c>
      <c r="L223" s="405" t="s">
        <v>94</v>
      </c>
      <c r="N223" s="405"/>
      <c r="P223" s="737"/>
    </row>
    <row r="224" spans="1:16" s="406" customFormat="1" outlineLevel="2">
      <c r="A224" s="33" t="s">
        <v>8</v>
      </c>
      <c r="B224" s="412" t="s">
        <v>934</v>
      </c>
      <c r="C224" s="338" t="s">
        <v>44</v>
      </c>
      <c r="D224" s="413">
        <v>7000000</v>
      </c>
      <c r="E224" s="7"/>
      <c r="F224" s="434">
        <v>4.8000000000000004E-3</v>
      </c>
      <c r="G224" s="7">
        <f t="shared" si="68"/>
        <v>33600</v>
      </c>
      <c r="H224" s="7">
        <f t="shared" si="66"/>
        <v>0</v>
      </c>
      <c r="I224" s="1"/>
      <c r="J224" s="394" t="s">
        <v>18</v>
      </c>
      <c r="K224" s="394" t="s">
        <v>122</v>
      </c>
      <c r="L224" s="405" t="s">
        <v>94</v>
      </c>
      <c r="N224" s="405"/>
      <c r="P224" s="737"/>
    </row>
    <row r="225" spans="1:16" s="406" customFormat="1" outlineLevel="2">
      <c r="A225" s="33" t="s">
        <v>8</v>
      </c>
      <c r="B225" s="412" t="s">
        <v>935</v>
      </c>
      <c r="C225" s="338" t="s">
        <v>44</v>
      </c>
      <c r="D225" s="413"/>
      <c r="E225" s="7"/>
      <c r="F225" s="433"/>
      <c r="G225" s="7">
        <f t="shared" si="68"/>
        <v>0</v>
      </c>
      <c r="H225" s="7">
        <f t="shared" si="66"/>
        <v>0</v>
      </c>
      <c r="I225" s="1"/>
      <c r="J225" s="394" t="s">
        <v>18</v>
      </c>
      <c r="K225" s="394" t="s">
        <v>122</v>
      </c>
      <c r="L225" s="405" t="s">
        <v>94</v>
      </c>
      <c r="N225" s="405"/>
      <c r="P225" s="737"/>
    </row>
    <row r="226" spans="1:16" s="406" customFormat="1" outlineLevel="2">
      <c r="A226" s="33" t="s">
        <v>8</v>
      </c>
      <c r="B226" s="412" t="s">
        <v>936</v>
      </c>
      <c r="C226" s="338" t="s">
        <v>44</v>
      </c>
      <c r="D226" s="413"/>
      <c r="E226" s="7"/>
      <c r="F226" s="434"/>
      <c r="G226" s="7">
        <f t="shared" si="68"/>
        <v>0</v>
      </c>
      <c r="H226" s="7">
        <f t="shared" si="66"/>
        <v>0</v>
      </c>
      <c r="I226" s="1"/>
      <c r="J226" s="394" t="s">
        <v>18</v>
      </c>
      <c r="K226" s="394" t="s">
        <v>122</v>
      </c>
      <c r="L226" s="405" t="s">
        <v>94</v>
      </c>
      <c r="N226" s="405"/>
      <c r="P226" s="737"/>
    </row>
    <row r="227" spans="1:16" s="406" customFormat="1" outlineLevel="2">
      <c r="A227" s="33" t="s">
        <v>8</v>
      </c>
      <c r="B227" s="412" t="s">
        <v>937</v>
      </c>
      <c r="C227" s="338" t="s">
        <v>44</v>
      </c>
      <c r="D227" s="413"/>
      <c r="E227" s="7"/>
      <c r="F227" s="433"/>
      <c r="G227" s="7">
        <f t="shared" si="68"/>
        <v>0</v>
      </c>
      <c r="H227" s="7">
        <f t="shared" si="66"/>
        <v>0</v>
      </c>
      <c r="I227" s="1"/>
      <c r="J227" s="394" t="s">
        <v>18</v>
      </c>
      <c r="K227" s="394" t="s">
        <v>122</v>
      </c>
      <c r="L227" s="405" t="s">
        <v>94</v>
      </c>
      <c r="N227" s="405"/>
      <c r="P227" s="737"/>
    </row>
    <row r="228" spans="1:16" s="406" customFormat="1" outlineLevel="2">
      <c r="A228" s="33" t="s">
        <v>8</v>
      </c>
      <c r="B228" s="412" t="s">
        <v>938</v>
      </c>
      <c r="C228" s="338" t="s">
        <v>44</v>
      </c>
      <c r="D228" s="413"/>
      <c r="E228" s="7"/>
      <c r="F228" s="434"/>
      <c r="G228" s="7">
        <f t="shared" si="68"/>
        <v>0</v>
      </c>
      <c r="H228" s="7">
        <f t="shared" si="66"/>
        <v>0</v>
      </c>
      <c r="I228" s="1"/>
      <c r="J228" s="394" t="s">
        <v>18</v>
      </c>
      <c r="K228" s="394" t="s">
        <v>122</v>
      </c>
      <c r="L228" s="405" t="s">
        <v>94</v>
      </c>
      <c r="N228" s="405"/>
      <c r="P228" s="737"/>
    </row>
    <row r="229" spans="1:16" s="406" customFormat="1" outlineLevel="2">
      <c r="A229" s="33" t="s">
        <v>8</v>
      </c>
      <c r="B229" s="412" t="s">
        <v>939</v>
      </c>
      <c r="C229" s="338" t="s">
        <v>44</v>
      </c>
      <c r="D229" s="7">
        <v>4200000</v>
      </c>
      <c r="E229" s="7"/>
      <c r="F229" s="434">
        <v>3.2000000000000001E-2</v>
      </c>
      <c r="G229" s="7">
        <f t="shared" si="68"/>
        <v>134400</v>
      </c>
      <c r="H229" s="7">
        <f t="shared" si="66"/>
        <v>0</v>
      </c>
      <c r="I229" s="1"/>
      <c r="J229" s="394" t="s">
        <v>18</v>
      </c>
      <c r="K229" s="394" t="s">
        <v>122</v>
      </c>
      <c r="L229" s="405" t="s">
        <v>94</v>
      </c>
      <c r="N229" s="405"/>
      <c r="P229" s="737"/>
    </row>
    <row r="230" spans="1:16" s="406" customFormat="1" outlineLevel="2">
      <c r="A230" s="33" t="s">
        <v>8</v>
      </c>
      <c r="B230" s="412" t="s">
        <v>940</v>
      </c>
      <c r="C230" s="338" t="s">
        <v>44</v>
      </c>
      <c r="D230" s="7">
        <v>7100000</v>
      </c>
      <c r="E230" s="7"/>
      <c r="F230" s="434">
        <v>8.0000000000000002E-3</v>
      </c>
      <c r="G230" s="7">
        <f t="shared" si="68"/>
        <v>56800</v>
      </c>
      <c r="H230" s="7">
        <f t="shared" si="66"/>
        <v>0</v>
      </c>
      <c r="I230" s="1"/>
      <c r="J230" s="394" t="s">
        <v>18</v>
      </c>
      <c r="K230" s="394" t="s">
        <v>122</v>
      </c>
      <c r="L230" s="405" t="s">
        <v>94</v>
      </c>
      <c r="N230" s="405"/>
      <c r="P230" s="737"/>
    </row>
    <row r="231" spans="1:16" s="406" customFormat="1" outlineLevel="2">
      <c r="A231" s="33" t="s">
        <v>8</v>
      </c>
      <c r="B231" s="412" t="s">
        <v>941</v>
      </c>
      <c r="C231" s="338" t="s">
        <v>44</v>
      </c>
      <c r="D231" s="7">
        <v>1350000</v>
      </c>
      <c r="E231" s="7"/>
      <c r="F231" s="434">
        <v>3.2000000000000001E-2</v>
      </c>
      <c r="G231" s="7">
        <f t="shared" si="68"/>
        <v>43200</v>
      </c>
      <c r="H231" s="7">
        <f t="shared" si="66"/>
        <v>0</v>
      </c>
      <c r="I231" s="1"/>
      <c r="J231" s="394" t="s">
        <v>18</v>
      </c>
      <c r="K231" s="394" t="s">
        <v>122</v>
      </c>
      <c r="L231" s="405" t="s">
        <v>94</v>
      </c>
      <c r="N231" s="405"/>
      <c r="P231" s="737"/>
    </row>
    <row r="232" spans="1:16" s="406" customFormat="1" outlineLevel="2">
      <c r="A232" s="33" t="s">
        <v>8</v>
      </c>
      <c r="B232" s="412" t="s">
        <v>942</v>
      </c>
      <c r="C232" s="338" t="s">
        <v>44</v>
      </c>
      <c r="D232" s="7">
        <v>7000000</v>
      </c>
      <c r="E232" s="7"/>
      <c r="F232" s="434">
        <v>8.0000000000000002E-3</v>
      </c>
      <c r="G232" s="7">
        <f t="shared" si="68"/>
        <v>56000</v>
      </c>
      <c r="H232" s="7">
        <f t="shared" si="66"/>
        <v>0</v>
      </c>
      <c r="I232" s="1"/>
      <c r="J232" s="394" t="s">
        <v>18</v>
      </c>
      <c r="K232" s="394" t="s">
        <v>122</v>
      </c>
      <c r="L232" s="405" t="s">
        <v>94</v>
      </c>
      <c r="N232" s="405"/>
      <c r="P232" s="737"/>
    </row>
    <row r="233" spans="1:16" s="406" customFormat="1" outlineLevel="2">
      <c r="A233" s="33" t="s">
        <v>8</v>
      </c>
      <c r="B233" s="412" t="s">
        <v>943</v>
      </c>
      <c r="C233" s="338" t="s">
        <v>44</v>
      </c>
      <c r="D233" s="7"/>
      <c r="E233" s="7"/>
      <c r="F233" s="434"/>
      <c r="G233" s="7">
        <f t="shared" si="68"/>
        <v>0</v>
      </c>
      <c r="H233" s="7">
        <f t="shared" si="66"/>
        <v>0</v>
      </c>
      <c r="I233" s="1"/>
      <c r="J233" s="394" t="s">
        <v>18</v>
      </c>
      <c r="K233" s="394" t="s">
        <v>122</v>
      </c>
      <c r="L233" s="405" t="s">
        <v>94</v>
      </c>
      <c r="N233" s="405"/>
      <c r="P233" s="737"/>
    </row>
    <row r="234" spans="1:16" s="406" customFormat="1" outlineLevel="2">
      <c r="A234" s="33" t="s">
        <v>8</v>
      </c>
      <c r="B234" s="412" t="s">
        <v>944</v>
      </c>
      <c r="C234" s="338" t="s">
        <v>44</v>
      </c>
      <c r="D234" s="7"/>
      <c r="E234" s="7"/>
      <c r="F234" s="434"/>
      <c r="G234" s="7">
        <f t="shared" si="68"/>
        <v>0</v>
      </c>
      <c r="H234" s="7">
        <f t="shared" si="66"/>
        <v>0</v>
      </c>
      <c r="I234" s="1"/>
      <c r="J234" s="394" t="s">
        <v>18</v>
      </c>
      <c r="K234" s="394" t="s">
        <v>122</v>
      </c>
      <c r="L234" s="405" t="s">
        <v>94</v>
      </c>
      <c r="N234" s="405"/>
      <c r="P234" s="737"/>
    </row>
    <row r="235" spans="1:16" s="406" customFormat="1" outlineLevel="2">
      <c r="A235" s="33" t="s">
        <v>8</v>
      </c>
      <c r="B235" s="412" t="s">
        <v>945</v>
      </c>
      <c r="C235" s="338" t="s">
        <v>44</v>
      </c>
      <c r="D235" s="7"/>
      <c r="E235" s="7"/>
      <c r="F235" s="434"/>
      <c r="G235" s="7">
        <f t="shared" si="68"/>
        <v>0</v>
      </c>
      <c r="H235" s="7">
        <f t="shared" si="66"/>
        <v>0</v>
      </c>
      <c r="I235" s="1"/>
      <c r="J235" s="394" t="s">
        <v>18</v>
      </c>
      <c r="K235" s="394" t="s">
        <v>122</v>
      </c>
      <c r="L235" s="405" t="s">
        <v>94</v>
      </c>
      <c r="N235" s="405"/>
      <c r="P235" s="737"/>
    </row>
    <row r="236" spans="1:16" s="406" customFormat="1" outlineLevel="2">
      <c r="A236" s="33" t="s">
        <v>8</v>
      </c>
      <c r="B236" s="412" t="s">
        <v>946</v>
      </c>
      <c r="C236" s="338" t="s">
        <v>44</v>
      </c>
      <c r="D236" s="7"/>
      <c r="E236" s="7"/>
      <c r="F236" s="434"/>
      <c r="G236" s="7">
        <f t="shared" si="68"/>
        <v>0</v>
      </c>
      <c r="H236" s="7">
        <f t="shared" si="66"/>
        <v>0</v>
      </c>
      <c r="I236" s="1"/>
      <c r="J236" s="394" t="s">
        <v>18</v>
      </c>
      <c r="K236" s="394" t="s">
        <v>122</v>
      </c>
      <c r="L236" s="405" t="s">
        <v>94</v>
      </c>
      <c r="N236" s="405"/>
      <c r="P236" s="737"/>
    </row>
    <row r="237" spans="1:16" s="406" customFormat="1" outlineLevel="2">
      <c r="A237" s="33" t="s">
        <v>8</v>
      </c>
      <c r="B237" s="409" t="s">
        <v>947</v>
      </c>
      <c r="C237" s="338" t="s">
        <v>9</v>
      </c>
      <c r="D237" s="7">
        <v>1</v>
      </c>
      <c r="E237" s="7"/>
      <c r="F237" s="410">
        <v>160000</v>
      </c>
      <c r="G237" s="7">
        <f t="shared" si="68"/>
        <v>160000</v>
      </c>
      <c r="H237" s="7">
        <f t="shared" si="66"/>
        <v>0</v>
      </c>
      <c r="I237" s="1"/>
      <c r="J237" s="394" t="s">
        <v>18</v>
      </c>
      <c r="K237" s="394" t="s">
        <v>122</v>
      </c>
      <c r="L237" s="405" t="s">
        <v>94</v>
      </c>
      <c r="N237" s="405"/>
      <c r="P237" s="737"/>
    </row>
    <row r="238" spans="1:16" s="406" customFormat="1" outlineLevel="2">
      <c r="A238" s="33" t="s">
        <v>8</v>
      </c>
      <c r="B238" s="409" t="s">
        <v>948</v>
      </c>
      <c r="C238" s="338" t="s">
        <v>9</v>
      </c>
      <c r="D238" s="7">
        <v>1</v>
      </c>
      <c r="E238" s="7"/>
      <c r="F238" s="410">
        <v>20000</v>
      </c>
      <c r="G238" s="7">
        <f t="shared" si="68"/>
        <v>20000</v>
      </c>
      <c r="H238" s="7">
        <f t="shared" si="66"/>
        <v>0</v>
      </c>
      <c r="I238" s="1"/>
      <c r="J238" s="394" t="s">
        <v>18</v>
      </c>
      <c r="K238" s="394" t="s">
        <v>122</v>
      </c>
      <c r="L238" s="405" t="s">
        <v>94</v>
      </c>
      <c r="N238" s="405"/>
      <c r="P238" s="737"/>
    </row>
    <row r="239" spans="1:16" s="406" customFormat="1" outlineLevel="2">
      <c r="A239" s="33" t="s">
        <v>8</v>
      </c>
      <c r="B239" s="409" t="s">
        <v>919</v>
      </c>
      <c r="C239" s="338" t="s">
        <v>9</v>
      </c>
      <c r="D239" s="7"/>
      <c r="E239" s="7"/>
      <c r="F239" s="410"/>
      <c r="G239" s="7">
        <f t="shared" si="68"/>
        <v>0</v>
      </c>
      <c r="H239" s="7">
        <f t="shared" si="66"/>
        <v>0</v>
      </c>
      <c r="I239" s="1"/>
      <c r="J239" s="394" t="s">
        <v>18</v>
      </c>
      <c r="K239" s="394" t="s">
        <v>122</v>
      </c>
      <c r="L239" s="405" t="s">
        <v>94</v>
      </c>
      <c r="N239" s="405"/>
      <c r="P239" s="737"/>
    </row>
    <row r="240" spans="1:16" s="406" customFormat="1" outlineLevel="2">
      <c r="A240" s="33" t="s">
        <v>8</v>
      </c>
      <c r="B240" s="409" t="s">
        <v>949</v>
      </c>
      <c r="C240" s="338" t="s">
        <v>9</v>
      </c>
      <c r="D240" s="7"/>
      <c r="E240" s="7"/>
      <c r="F240" s="410"/>
      <c r="G240" s="7">
        <f t="shared" si="68"/>
        <v>0</v>
      </c>
      <c r="H240" s="7">
        <f t="shared" si="66"/>
        <v>0</v>
      </c>
      <c r="I240" s="1"/>
      <c r="J240" s="394" t="s">
        <v>18</v>
      </c>
      <c r="K240" s="394" t="s">
        <v>122</v>
      </c>
      <c r="L240" s="405" t="s">
        <v>94</v>
      </c>
      <c r="N240" s="405"/>
      <c r="P240" s="737"/>
    </row>
    <row r="241" spans="1:16" s="406" customFormat="1" outlineLevel="2">
      <c r="A241" s="33" t="s">
        <v>8</v>
      </c>
      <c r="B241" s="409" t="s">
        <v>840</v>
      </c>
      <c r="C241" s="338" t="s">
        <v>9</v>
      </c>
      <c r="D241" s="7"/>
      <c r="E241" s="7"/>
      <c r="F241" s="410"/>
      <c r="G241" s="7">
        <f t="shared" si="68"/>
        <v>0</v>
      </c>
      <c r="H241" s="7">
        <f t="shared" si="66"/>
        <v>0</v>
      </c>
      <c r="I241" s="1"/>
      <c r="J241" s="394" t="s">
        <v>18</v>
      </c>
      <c r="K241" s="394" t="s">
        <v>122</v>
      </c>
      <c r="L241" s="405" t="s">
        <v>94</v>
      </c>
      <c r="N241" s="405"/>
      <c r="P241" s="737"/>
    </row>
    <row r="242" spans="1:16" s="406" customFormat="1" outlineLevel="2">
      <c r="A242" s="403">
        <v>4</v>
      </c>
      <c r="B242" s="408" t="s">
        <v>299</v>
      </c>
      <c r="C242" s="338" t="s">
        <v>44</v>
      </c>
      <c r="D242" s="7"/>
      <c r="E242" s="7"/>
      <c r="F242" s="7"/>
      <c r="G242" s="2">
        <f>SUBTOTAL(9,G243:G245)</f>
        <v>0</v>
      </c>
      <c r="H242" s="7">
        <f t="shared" si="66"/>
        <v>0</v>
      </c>
      <c r="I242" s="1"/>
      <c r="J242" s="394"/>
      <c r="K242" s="394"/>
      <c r="L242" s="405"/>
      <c r="N242" s="405"/>
      <c r="P242" s="426"/>
    </row>
    <row r="243" spans="1:16" s="406" customFormat="1" outlineLevel="2">
      <c r="A243" s="33" t="s">
        <v>8</v>
      </c>
      <c r="B243" s="412" t="s">
        <v>841</v>
      </c>
      <c r="C243" s="338" t="s">
        <v>44</v>
      </c>
      <c r="D243" s="414"/>
      <c r="E243" s="7"/>
      <c r="F243" s="411"/>
      <c r="G243" s="7">
        <f t="shared" si="68"/>
        <v>0</v>
      </c>
      <c r="H243" s="7">
        <f t="shared" si="66"/>
        <v>0</v>
      </c>
      <c r="I243" s="1"/>
      <c r="J243" s="394" t="s">
        <v>18</v>
      </c>
      <c r="K243" s="394" t="s">
        <v>122</v>
      </c>
      <c r="L243" s="405" t="s">
        <v>94</v>
      </c>
      <c r="M243" s="405"/>
      <c r="N243" s="405"/>
      <c r="P243" s="407"/>
    </row>
    <row r="244" spans="1:16" s="406" customFormat="1" outlineLevel="2">
      <c r="A244" s="33" t="s">
        <v>8</v>
      </c>
      <c r="B244" s="412" t="s">
        <v>842</v>
      </c>
      <c r="C244" s="338" t="s">
        <v>44</v>
      </c>
      <c r="D244" s="414"/>
      <c r="E244" s="7"/>
      <c r="F244" s="411"/>
      <c r="G244" s="7">
        <f t="shared" si="68"/>
        <v>0</v>
      </c>
      <c r="H244" s="7">
        <f t="shared" si="66"/>
        <v>0</v>
      </c>
      <c r="I244" s="1"/>
      <c r="J244" s="394" t="s">
        <v>18</v>
      </c>
      <c r="K244" s="394" t="s">
        <v>122</v>
      </c>
      <c r="L244" s="405" t="s">
        <v>94</v>
      </c>
      <c r="M244" s="405"/>
      <c r="N244" s="405"/>
      <c r="P244" s="407"/>
    </row>
    <row r="245" spans="1:16" s="406" customFormat="1" outlineLevel="2">
      <c r="A245" s="33" t="s">
        <v>8</v>
      </c>
      <c r="B245" s="412" t="s">
        <v>843</v>
      </c>
      <c r="C245" s="338" t="s">
        <v>9</v>
      </c>
      <c r="D245" s="7"/>
      <c r="E245" s="7"/>
      <c r="F245" s="7"/>
      <c r="G245" s="7">
        <f t="shared" si="68"/>
        <v>0</v>
      </c>
      <c r="H245" s="7">
        <f t="shared" si="66"/>
        <v>0</v>
      </c>
      <c r="I245" s="1"/>
      <c r="J245" s="394" t="s">
        <v>18</v>
      </c>
      <c r="K245" s="394" t="s">
        <v>122</v>
      </c>
      <c r="L245" s="405" t="s">
        <v>94</v>
      </c>
      <c r="M245" s="405"/>
      <c r="N245" s="405"/>
      <c r="P245" s="407"/>
    </row>
    <row r="246" spans="1:16" s="406" customFormat="1" ht="34.75" customHeight="1" outlineLevel="2">
      <c r="A246" s="403">
        <v>5</v>
      </c>
      <c r="B246" s="408" t="s">
        <v>824</v>
      </c>
      <c r="C246" s="338" t="s">
        <v>198</v>
      </c>
      <c r="D246" s="7"/>
      <c r="E246" s="7"/>
      <c r="F246" s="7"/>
      <c r="G246" s="2">
        <f>SUBTOTAL(9,G247:G249)</f>
        <v>0</v>
      </c>
      <c r="H246" s="7">
        <f t="shared" si="66"/>
        <v>0</v>
      </c>
      <c r="I246" s="1"/>
      <c r="J246" s="394"/>
      <c r="K246" s="405"/>
      <c r="L246" s="405"/>
      <c r="N246" s="405"/>
      <c r="P246" s="737"/>
    </row>
    <row r="247" spans="1:16" s="437" customFormat="1" ht="34.75" customHeight="1" outlineLevel="2">
      <c r="A247" s="33" t="s">
        <v>8</v>
      </c>
      <c r="B247" s="417" t="s">
        <v>321</v>
      </c>
      <c r="C247" s="435" t="s">
        <v>198</v>
      </c>
      <c r="D247" s="413"/>
      <c r="E247" s="118"/>
      <c r="F247" s="62"/>
      <c r="G247" s="118">
        <f t="shared" ref="G247:G253" si="69">F247*D247</f>
        <v>0</v>
      </c>
      <c r="H247" s="118">
        <f t="shared" si="66"/>
        <v>0</v>
      </c>
      <c r="I247" s="65"/>
      <c r="J247" s="436" t="s">
        <v>18</v>
      </c>
      <c r="K247" s="436" t="s">
        <v>122</v>
      </c>
      <c r="L247" s="436" t="s">
        <v>94</v>
      </c>
      <c r="N247" s="436"/>
      <c r="P247" s="737"/>
    </row>
    <row r="248" spans="1:16" s="437" customFormat="1" ht="34.75" customHeight="1" outlineLevel="2">
      <c r="A248" s="33" t="s">
        <v>8</v>
      </c>
      <c r="B248" s="417" t="s">
        <v>322</v>
      </c>
      <c r="C248" s="338" t="s">
        <v>198</v>
      </c>
      <c r="D248" s="413"/>
      <c r="E248" s="7"/>
      <c r="F248" s="62"/>
      <c r="G248" s="7">
        <f t="shared" si="69"/>
        <v>0</v>
      </c>
      <c r="H248" s="118">
        <f t="shared" si="66"/>
        <v>0</v>
      </c>
      <c r="I248" s="65"/>
      <c r="J248" s="436" t="s">
        <v>18</v>
      </c>
      <c r="K248" s="436" t="s">
        <v>122</v>
      </c>
      <c r="L248" s="436" t="s">
        <v>94</v>
      </c>
      <c r="N248" s="436"/>
      <c r="P248" s="737"/>
    </row>
    <row r="249" spans="1:16" s="437" customFormat="1" ht="34.75" customHeight="1" outlineLevel="2">
      <c r="A249" s="33" t="s">
        <v>8</v>
      </c>
      <c r="B249" s="438" t="s">
        <v>362</v>
      </c>
      <c r="C249" s="435" t="s">
        <v>9</v>
      </c>
      <c r="D249" s="413"/>
      <c r="E249" s="118"/>
      <c r="F249" s="118"/>
      <c r="G249" s="118">
        <f t="shared" si="69"/>
        <v>0</v>
      </c>
      <c r="H249" s="118">
        <f t="shared" si="66"/>
        <v>0</v>
      </c>
      <c r="I249" s="65"/>
      <c r="J249" s="436" t="s">
        <v>18</v>
      </c>
      <c r="K249" s="436" t="s">
        <v>122</v>
      </c>
      <c r="L249" s="436" t="s">
        <v>94</v>
      </c>
      <c r="N249" s="436"/>
      <c r="P249" s="737"/>
    </row>
    <row r="250" spans="1:16" s="406" customFormat="1" outlineLevel="2">
      <c r="A250" s="403">
        <v>6</v>
      </c>
      <c r="B250" s="408" t="s">
        <v>305</v>
      </c>
      <c r="C250" s="401"/>
      <c r="D250" s="2"/>
      <c r="E250" s="2"/>
      <c r="F250" s="2"/>
      <c r="G250" s="2">
        <f>SUBTOTAL(9,G251:G253)</f>
        <v>0</v>
      </c>
      <c r="H250" s="2">
        <f t="shared" si="66"/>
        <v>0</v>
      </c>
      <c r="I250" s="21"/>
      <c r="J250" s="394"/>
      <c r="K250" s="405"/>
      <c r="L250" s="405"/>
      <c r="M250" s="405"/>
      <c r="N250" s="405"/>
      <c r="P250" s="737"/>
    </row>
    <row r="251" spans="1:16" s="406" customFormat="1" outlineLevel="2">
      <c r="A251" s="33" t="s">
        <v>8</v>
      </c>
      <c r="B251" s="409" t="s">
        <v>365</v>
      </c>
      <c r="C251" s="338" t="s">
        <v>307</v>
      </c>
      <c r="D251" s="7"/>
      <c r="E251" s="7"/>
      <c r="F251" s="421"/>
      <c r="G251" s="7">
        <f t="shared" si="69"/>
        <v>0</v>
      </c>
      <c r="H251" s="7">
        <f t="shared" si="66"/>
        <v>0</v>
      </c>
      <c r="I251" s="1"/>
      <c r="J251" s="394" t="s">
        <v>18</v>
      </c>
      <c r="K251" s="405" t="s">
        <v>122</v>
      </c>
      <c r="L251" s="405" t="s">
        <v>94</v>
      </c>
      <c r="M251" s="405"/>
      <c r="N251" s="405"/>
      <c r="P251" s="737"/>
    </row>
    <row r="252" spans="1:16" s="406" customFormat="1" outlineLevel="2">
      <c r="A252" s="33" t="s">
        <v>8</v>
      </c>
      <c r="B252" s="409" t="s">
        <v>366</v>
      </c>
      <c r="C252" s="338" t="s">
        <v>307</v>
      </c>
      <c r="D252" s="7"/>
      <c r="E252" s="7"/>
      <c r="F252" s="421"/>
      <c r="G252" s="7">
        <f t="shared" si="69"/>
        <v>0</v>
      </c>
      <c r="H252" s="7">
        <f t="shared" si="66"/>
        <v>0</v>
      </c>
      <c r="I252" s="1"/>
      <c r="J252" s="394" t="s">
        <v>18</v>
      </c>
      <c r="K252" s="405" t="s">
        <v>122</v>
      </c>
      <c r="L252" s="405" t="s">
        <v>94</v>
      </c>
      <c r="M252" s="405"/>
      <c r="N252" s="405"/>
      <c r="P252" s="737"/>
    </row>
    <row r="253" spans="1:16" s="406" customFormat="1" outlineLevel="2">
      <c r="A253" s="33" t="s">
        <v>8</v>
      </c>
      <c r="B253" s="409" t="s">
        <v>367</v>
      </c>
      <c r="C253" s="338" t="s">
        <v>9</v>
      </c>
      <c r="D253" s="7"/>
      <c r="E253" s="7"/>
      <c r="F253" s="422"/>
      <c r="G253" s="7">
        <f t="shared" si="69"/>
        <v>0</v>
      </c>
      <c r="H253" s="7">
        <f t="shared" si="66"/>
        <v>0</v>
      </c>
      <c r="I253" s="1"/>
      <c r="J253" s="394" t="s">
        <v>18</v>
      </c>
      <c r="K253" s="405" t="s">
        <v>122</v>
      </c>
      <c r="L253" s="405" t="s">
        <v>94</v>
      </c>
      <c r="M253" s="405"/>
      <c r="N253" s="405"/>
      <c r="P253" s="737"/>
    </row>
    <row r="254" spans="1:16" s="406" customFormat="1" ht="19.75" customHeight="1" outlineLevel="2">
      <c r="A254" s="403">
        <v>7</v>
      </c>
      <c r="B254" s="423" t="s">
        <v>320</v>
      </c>
      <c r="C254" s="338"/>
      <c r="D254" s="7"/>
      <c r="E254" s="7"/>
      <c r="F254" s="62"/>
      <c r="G254" s="2">
        <f>SUBTOTAL(9,G255:G259)</f>
        <v>0</v>
      </c>
      <c r="H254" s="7"/>
      <c r="I254" s="1"/>
      <c r="J254" s="394"/>
      <c r="K254" s="394"/>
      <c r="L254" s="405"/>
      <c r="M254" s="405"/>
      <c r="N254" s="405"/>
      <c r="P254" s="737"/>
    </row>
    <row r="255" spans="1:16" s="406" customFormat="1" ht="19.75" customHeight="1" outlineLevel="2">
      <c r="A255" s="33" t="s">
        <v>8</v>
      </c>
      <c r="B255" s="409" t="s">
        <v>313</v>
      </c>
      <c r="C255" s="338" t="s">
        <v>318</v>
      </c>
      <c r="D255" s="413"/>
      <c r="E255" s="7"/>
      <c r="F255" s="420"/>
      <c r="G255" s="7">
        <f t="shared" ref="G255:G259" si="70">F255*D255</f>
        <v>0</v>
      </c>
      <c r="H255" s="7">
        <f>F255*E255</f>
        <v>0</v>
      </c>
      <c r="I255" s="1"/>
      <c r="J255" s="394" t="s">
        <v>18</v>
      </c>
      <c r="K255" s="394" t="s">
        <v>122</v>
      </c>
      <c r="L255" s="405" t="s">
        <v>94</v>
      </c>
      <c r="N255" s="405"/>
      <c r="P255" s="737"/>
    </row>
    <row r="256" spans="1:16" s="406" customFormat="1" ht="19.75" customHeight="1" outlineLevel="2">
      <c r="A256" s="33" t="s">
        <v>8</v>
      </c>
      <c r="B256" s="409" t="s">
        <v>314</v>
      </c>
      <c r="C256" s="338" t="s">
        <v>318</v>
      </c>
      <c r="D256" s="413"/>
      <c r="E256" s="7"/>
      <c r="F256" s="420"/>
      <c r="G256" s="7">
        <f t="shared" si="70"/>
        <v>0</v>
      </c>
      <c r="H256" s="7">
        <f>F256*E256</f>
        <v>0</v>
      </c>
      <c r="I256" s="1"/>
      <c r="J256" s="394" t="s">
        <v>18</v>
      </c>
      <c r="K256" s="394" t="s">
        <v>122</v>
      </c>
      <c r="L256" s="405" t="s">
        <v>94</v>
      </c>
      <c r="N256" s="405"/>
      <c r="P256" s="737"/>
    </row>
    <row r="257" spans="1:16" s="406" customFormat="1" ht="19.75" customHeight="1" outlineLevel="2">
      <c r="A257" s="33" t="s">
        <v>8</v>
      </c>
      <c r="B257" s="409" t="s">
        <v>315</v>
      </c>
      <c r="C257" s="338" t="s">
        <v>319</v>
      </c>
      <c r="D257" s="413"/>
      <c r="E257" s="7"/>
      <c r="F257" s="420"/>
      <c r="G257" s="7">
        <f t="shared" si="70"/>
        <v>0</v>
      </c>
      <c r="H257" s="7">
        <f>F257*E257</f>
        <v>0</v>
      </c>
      <c r="I257" s="1"/>
      <c r="J257" s="394" t="s">
        <v>18</v>
      </c>
      <c r="K257" s="394" t="s">
        <v>122</v>
      </c>
      <c r="L257" s="405" t="s">
        <v>94</v>
      </c>
      <c r="N257" s="405"/>
      <c r="P257" s="737"/>
    </row>
    <row r="258" spans="1:16" s="406" customFormat="1" ht="19.75" customHeight="1" outlineLevel="2">
      <c r="A258" s="33" t="s">
        <v>8</v>
      </c>
      <c r="B258" s="409" t="s">
        <v>316</v>
      </c>
      <c r="C258" s="338" t="s">
        <v>319</v>
      </c>
      <c r="D258" s="413"/>
      <c r="E258" s="7"/>
      <c r="F258" s="420"/>
      <c r="G258" s="7">
        <f t="shared" si="70"/>
        <v>0</v>
      </c>
      <c r="H258" s="7">
        <f>F258*E258</f>
        <v>0</v>
      </c>
      <c r="I258" s="1"/>
      <c r="J258" s="394" t="s">
        <v>18</v>
      </c>
      <c r="K258" s="394" t="s">
        <v>122</v>
      </c>
      <c r="L258" s="405" t="s">
        <v>94</v>
      </c>
      <c r="N258" s="405"/>
      <c r="P258" s="737"/>
    </row>
    <row r="259" spans="1:16" s="406" customFormat="1" ht="19.75" customHeight="1" outlineLevel="2">
      <c r="A259" s="33" t="s">
        <v>8</v>
      </c>
      <c r="B259" s="409" t="s">
        <v>317</v>
      </c>
      <c r="C259" s="338" t="s">
        <v>9</v>
      </c>
      <c r="D259" s="413"/>
      <c r="E259" s="7"/>
      <c r="F259" s="62"/>
      <c r="G259" s="7">
        <f t="shared" si="70"/>
        <v>0</v>
      </c>
      <c r="H259" s="7">
        <f>F259*E259</f>
        <v>0</v>
      </c>
      <c r="I259" s="1"/>
      <c r="J259" s="394" t="s">
        <v>18</v>
      </c>
      <c r="K259" s="394" t="s">
        <v>122</v>
      </c>
      <c r="L259" s="405" t="s">
        <v>94</v>
      </c>
      <c r="N259" s="405"/>
      <c r="P259" s="737"/>
    </row>
    <row r="260" spans="1:16" s="216" customFormat="1" ht="14">
      <c r="A260" s="228" t="s">
        <v>45</v>
      </c>
      <c r="B260" s="229" t="s">
        <v>29</v>
      </c>
      <c r="C260" s="230"/>
      <c r="D260" s="231"/>
      <c r="E260" s="231"/>
      <c r="F260" s="232"/>
      <c r="G260" s="231">
        <f>SUBTOTAL(9,G261:G346)</f>
        <v>263198.54800000001</v>
      </c>
      <c r="H260" s="231">
        <f>SUBTOTAL(9,H261:H346)</f>
        <v>200659.03200000001</v>
      </c>
      <c r="I260" s="233"/>
      <c r="J260" s="214"/>
      <c r="K260" s="234"/>
      <c r="L260" s="234"/>
      <c r="M260" s="234"/>
      <c r="N260" s="222"/>
      <c r="P260" s="235"/>
    </row>
    <row r="261" spans="1:16" s="396" customFormat="1" outlineLevel="1">
      <c r="A261" s="403" t="s">
        <v>4</v>
      </c>
      <c r="B261" s="423" t="s">
        <v>16</v>
      </c>
      <c r="C261" s="401"/>
      <c r="D261" s="2"/>
      <c r="E261" s="2"/>
      <c r="F261" s="2"/>
      <c r="G261" s="2">
        <f>SUBTOTAL(9,G262:G279)</f>
        <v>0</v>
      </c>
      <c r="H261" s="2">
        <f>SUBTOTAL(9,H262:H279)</f>
        <v>0</v>
      </c>
      <c r="I261" s="21"/>
      <c r="J261" s="405"/>
      <c r="K261" s="463"/>
      <c r="L261" s="463"/>
      <c r="M261" s="464"/>
      <c r="N261" s="424"/>
      <c r="P261" s="465"/>
    </row>
    <row r="262" spans="1:16" s="406" customFormat="1" ht="14.65" customHeight="1" outlineLevel="2">
      <c r="A262" s="38">
        <v>1</v>
      </c>
      <c r="B262" s="466" t="s">
        <v>577</v>
      </c>
      <c r="C262" s="338"/>
      <c r="D262" s="7"/>
      <c r="E262" s="7"/>
      <c r="F262" s="7"/>
      <c r="G262" s="2">
        <f>SUBTOTAL(9,G263:G279)</f>
        <v>0</v>
      </c>
      <c r="H262" s="2">
        <f>SUBTOTAL(9,H263:H279)</f>
        <v>0</v>
      </c>
      <c r="I262" s="1"/>
      <c r="J262" s="405"/>
      <c r="K262" s="463"/>
      <c r="L262" s="405"/>
      <c r="M262" s="464"/>
      <c r="N262" s="463"/>
      <c r="O262" s="467"/>
      <c r="P262" s="468"/>
    </row>
    <row r="263" spans="1:16" s="406" customFormat="1" ht="14.65" customHeight="1" outlineLevel="2">
      <c r="A263" s="38">
        <v>1.1000000000000001</v>
      </c>
      <c r="B263" s="469" t="s">
        <v>556</v>
      </c>
      <c r="C263" s="338" t="s">
        <v>24</v>
      </c>
      <c r="D263" s="411"/>
      <c r="E263" s="411"/>
      <c r="F263" s="411"/>
      <c r="G263" s="7">
        <f t="shared" ref="G263:H284" si="71">F263*D263</f>
        <v>0</v>
      </c>
      <c r="H263" s="7">
        <f t="shared" ref="H263:H326" si="72">F263*E263</f>
        <v>0</v>
      </c>
      <c r="I263" s="1"/>
      <c r="J263" s="405" t="s">
        <v>29</v>
      </c>
      <c r="K263" s="463" t="s">
        <v>109</v>
      </c>
      <c r="L263" s="405" t="s">
        <v>94</v>
      </c>
      <c r="M263" s="464"/>
      <c r="N263" s="463"/>
      <c r="O263" s="467"/>
      <c r="P263" s="468"/>
    </row>
    <row r="264" spans="1:16" s="406" customFormat="1" ht="14.65" customHeight="1" outlineLevel="2">
      <c r="A264" s="38">
        <v>1.2</v>
      </c>
      <c r="B264" s="469" t="s">
        <v>557</v>
      </c>
      <c r="C264" s="338" t="s">
        <v>24</v>
      </c>
      <c r="D264" s="411"/>
      <c r="E264" s="411"/>
      <c r="F264" s="411"/>
      <c r="G264" s="7">
        <f t="shared" si="71"/>
        <v>0</v>
      </c>
      <c r="H264" s="7">
        <f t="shared" si="72"/>
        <v>0</v>
      </c>
      <c r="I264" s="1"/>
      <c r="J264" s="405" t="s">
        <v>29</v>
      </c>
      <c r="K264" s="463" t="s">
        <v>109</v>
      </c>
      <c r="L264" s="405" t="s">
        <v>94</v>
      </c>
      <c r="M264" s="464"/>
      <c r="N264" s="463"/>
      <c r="O264" s="467"/>
      <c r="P264" s="468"/>
    </row>
    <row r="265" spans="1:16" s="406" customFormat="1" ht="14.65" customHeight="1" outlineLevel="2">
      <c r="A265" s="38">
        <v>1.3</v>
      </c>
      <c r="B265" s="469" t="s">
        <v>558</v>
      </c>
      <c r="C265" s="338" t="s">
        <v>24</v>
      </c>
      <c r="D265" s="411"/>
      <c r="E265" s="411"/>
      <c r="F265" s="411"/>
      <c r="G265" s="7">
        <f t="shared" si="71"/>
        <v>0</v>
      </c>
      <c r="H265" s="7">
        <f t="shared" si="72"/>
        <v>0</v>
      </c>
      <c r="I265" s="1"/>
      <c r="J265" s="405" t="s">
        <v>29</v>
      </c>
      <c r="K265" s="463" t="s">
        <v>109</v>
      </c>
      <c r="L265" s="405" t="s">
        <v>94</v>
      </c>
      <c r="M265" s="464"/>
      <c r="N265" s="463"/>
      <c r="O265" s="467"/>
      <c r="P265" s="468"/>
    </row>
    <row r="266" spans="1:16" s="406" customFormat="1" ht="14.65" customHeight="1" outlineLevel="2">
      <c r="A266" s="38">
        <v>1.4</v>
      </c>
      <c r="B266" s="469" t="s">
        <v>559</v>
      </c>
      <c r="C266" s="338" t="s">
        <v>24</v>
      </c>
      <c r="D266" s="411"/>
      <c r="E266" s="411"/>
      <c r="F266" s="411"/>
      <c r="G266" s="7">
        <f t="shared" si="71"/>
        <v>0</v>
      </c>
      <c r="H266" s="7">
        <f t="shared" si="72"/>
        <v>0</v>
      </c>
      <c r="I266" s="1"/>
      <c r="J266" s="405" t="s">
        <v>29</v>
      </c>
      <c r="K266" s="463" t="s">
        <v>109</v>
      </c>
      <c r="L266" s="405" t="s">
        <v>94</v>
      </c>
      <c r="M266" s="464"/>
      <c r="N266" s="463"/>
      <c r="O266" s="467"/>
      <c r="P266" s="468"/>
    </row>
    <row r="267" spans="1:16" s="406" customFormat="1" ht="14.65" customHeight="1" outlineLevel="2">
      <c r="A267" s="38">
        <v>1.5</v>
      </c>
      <c r="B267" s="469" t="s">
        <v>560</v>
      </c>
      <c r="C267" s="338" t="s">
        <v>24</v>
      </c>
      <c r="D267" s="411"/>
      <c r="E267" s="411"/>
      <c r="F267" s="411"/>
      <c r="G267" s="7">
        <f t="shared" si="71"/>
        <v>0</v>
      </c>
      <c r="H267" s="7">
        <f t="shared" si="72"/>
        <v>0</v>
      </c>
      <c r="I267" s="1"/>
      <c r="J267" s="405" t="s">
        <v>29</v>
      </c>
      <c r="K267" s="463" t="s">
        <v>109</v>
      </c>
      <c r="L267" s="405" t="s">
        <v>94</v>
      </c>
      <c r="M267" s="464"/>
      <c r="N267" s="463"/>
      <c r="O267" s="467"/>
      <c r="P267" s="468"/>
    </row>
    <row r="268" spans="1:16" s="406" customFormat="1" ht="14.65" customHeight="1" outlineLevel="2">
      <c r="A268" s="38">
        <v>1.6</v>
      </c>
      <c r="B268" s="469" t="s">
        <v>561</v>
      </c>
      <c r="C268" s="338" t="s">
        <v>30</v>
      </c>
      <c r="D268" s="411"/>
      <c r="E268" s="411"/>
      <c r="F268" s="411"/>
      <c r="G268" s="7">
        <f t="shared" si="71"/>
        <v>0</v>
      </c>
      <c r="H268" s="7">
        <f t="shared" si="72"/>
        <v>0</v>
      </c>
      <c r="I268" s="1"/>
      <c r="J268" s="405" t="s">
        <v>29</v>
      </c>
      <c r="K268" s="463" t="s">
        <v>109</v>
      </c>
      <c r="L268" s="405" t="s">
        <v>94</v>
      </c>
      <c r="M268" s="464"/>
      <c r="N268" s="463"/>
      <c r="O268" s="467"/>
      <c r="P268" s="468"/>
    </row>
    <row r="269" spans="1:16" s="406" customFormat="1" ht="14.65" customHeight="1" outlineLevel="2">
      <c r="A269" s="38">
        <v>1.7</v>
      </c>
      <c r="B269" s="469" t="s">
        <v>562</v>
      </c>
      <c r="C269" s="338" t="s">
        <v>30</v>
      </c>
      <c r="D269" s="411"/>
      <c r="E269" s="411"/>
      <c r="F269" s="411"/>
      <c r="G269" s="7">
        <f t="shared" si="71"/>
        <v>0</v>
      </c>
      <c r="H269" s="7">
        <f t="shared" si="72"/>
        <v>0</v>
      </c>
      <c r="I269" s="1"/>
      <c r="J269" s="405" t="s">
        <v>29</v>
      </c>
      <c r="K269" s="463" t="s">
        <v>109</v>
      </c>
      <c r="L269" s="405" t="s">
        <v>94</v>
      </c>
      <c r="M269" s="464"/>
      <c r="N269" s="463"/>
      <c r="O269" s="467"/>
      <c r="P269" s="468"/>
    </row>
    <row r="270" spans="1:16" s="406" customFormat="1" ht="14.65" customHeight="1" outlineLevel="2">
      <c r="A270" s="38">
        <v>1.8</v>
      </c>
      <c r="B270" s="469" t="s">
        <v>563</v>
      </c>
      <c r="C270" s="338" t="s">
        <v>24</v>
      </c>
      <c r="D270" s="411"/>
      <c r="E270" s="411"/>
      <c r="F270" s="411"/>
      <c r="G270" s="7">
        <f t="shared" si="71"/>
        <v>0</v>
      </c>
      <c r="H270" s="7">
        <f t="shared" si="72"/>
        <v>0</v>
      </c>
      <c r="I270" s="1"/>
      <c r="J270" s="405" t="s">
        <v>29</v>
      </c>
      <c r="K270" s="463" t="s">
        <v>109</v>
      </c>
      <c r="L270" s="405" t="s">
        <v>94</v>
      </c>
      <c r="M270" s="464"/>
      <c r="N270" s="463"/>
      <c r="O270" s="467"/>
      <c r="P270" s="468"/>
    </row>
    <row r="271" spans="1:16" s="406" customFormat="1" ht="14.65" customHeight="1" outlineLevel="2">
      <c r="A271" s="38">
        <v>1.9</v>
      </c>
      <c r="B271" s="469" t="s">
        <v>564</v>
      </c>
      <c r="C271" s="338" t="s">
        <v>24</v>
      </c>
      <c r="D271" s="411"/>
      <c r="E271" s="411"/>
      <c r="F271" s="411"/>
      <c r="G271" s="7">
        <f t="shared" si="71"/>
        <v>0</v>
      </c>
      <c r="H271" s="7">
        <f t="shared" si="72"/>
        <v>0</v>
      </c>
      <c r="I271" s="1"/>
      <c r="J271" s="405" t="s">
        <v>29</v>
      </c>
      <c r="K271" s="463" t="s">
        <v>109</v>
      </c>
      <c r="L271" s="405" t="s">
        <v>94</v>
      </c>
      <c r="M271" s="464"/>
      <c r="N271" s="463"/>
      <c r="O271" s="467"/>
      <c r="P271" s="468"/>
    </row>
    <row r="272" spans="1:16" s="406" customFormat="1" ht="14.65" customHeight="1" outlineLevel="2">
      <c r="A272" s="470">
        <v>1.1000000000000001</v>
      </c>
      <c r="B272" s="469" t="s">
        <v>565</v>
      </c>
      <c r="C272" s="338" t="s">
        <v>36</v>
      </c>
      <c r="D272" s="411"/>
      <c r="E272" s="411"/>
      <c r="F272" s="411"/>
      <c r="G272" s="7">
        <f t="shared" si="71"/>
        <v>0</v>
      </c>
      <c r="H272" s="7">
        <f t="shared" si="72"/>
        <v>0</v>
      </c>
      <c r="I272" s="1"/>
      <c r="J272" s="405" t="s">
        <v>29</v>
      </c>
      <c r="K272" s="463" t="s">
        <v>109</v>
      </c>
      <c r="L272" s="405" t="s">
        <v>94</v>
      </c>
      <c r="M272" s="464"/>
      <c r="N272" s="463"/>
      <c r="O272" s="467"/>
      <c r="P272" s="468"/>
    </row>
    <row r="273" spans="1:16" s="406" customFormat="1" ht="14.65" customHeight="1" outlineLevel="2">
      <c r="A273" s="38">
        <v>1.1100000000000001</v>
      </c>
      <c r="B273" s="469" t="s">
        <v>566</v>
      </c>
      <c r="C273" s="338" t="s">
        <v>339</v>
      </c>
      <c r="D273" s="411"/>
      <c r="E273" s="411"/>
      <c r="F273" s="411"/>
      <c r="G273" s="7">
        <f t="shared" si="71"/>
        <v>0</v>
      </c>
      <c r="H273" s="7">
        <f t="shared" si="72"/>
        <v>0</v>
      </c>
      <c r="I273" s="1"/>
      <c r="J273" s="405" t="s">
        <v>29</v>
      </c>
      <c r="K273" s="463" t="s">
        <v>109</v>
      </c>
      <c r="L273" s="405" t="s">
        <v>94</v>
      </c>
      <c r="M273" s="464"/>
      <c r="N273" s="463"/>
      <c r="O273" s="467"/>
      <c r="P273" s="468"/>
    </row>
    <row r="274" spans="1:16" s="406" customFormat="1" ht="14.65" customHeight="1" outlineLevel="2">
      <c r="A274" s="470">
        <v>1.1200000000000001</v>
      </c>
      <c r="B274" s="469" t="s">
        <v>567</v>
      </c>
      <c r="C274" s="338" t="s">
        <v>36</v>
      </c>
      <c r="D274" s="411"/>
      <c r="E274" s="411"/>
      <c r="F274" s="411"/>
      <c r="G274" s="7">
        <f t="shared" si="71"/>
        <v>0</v>
      </c>
      <c r="H274" s="7">
        <f t="shared" si="72"/>
        <v>0</v>
      </c>
      <c r="I274" s="1"/>
      <c r="J274" s="405" t="s">
        <v>29</v>
      </c>
      <c r="K274" s="463" t="s">
        <v>109</v>
      </c>
      <c r="L274" s="405" t="s">
        <v>94</v>
      </c>
      <c r="M274" s="464"/>
      <c r="N274" s="463"/>
      <c r="O274" s="467"/>
      <c r="P274" s="468"/>
    </row>
    <row r="275" spans="1:16" s="406" customFormat="1" ht="14.65" customHeight="1" outlineLevel="2">
      <c r="A275" s="38">
        <v>1.1299999999999999</v>
      </c>
      <c r="B275" s="469" t="s">
        <v>568</v>
      </c>
      <c r="C275" s="338" t="s">
        <v>339</v>
      </c>
      <c r="D275" s="411"/>
      <c r="E275" s="411"/>
      <c r="F275" s="411"/>
      <c r="G275" s="7">
        <f t="shared" si="71"/>
        <v>0</v>
      </c>
      <c r="H275" s="7">
        <f t="shared" si="72"/>
        <v>0</v>
      </c>
      <c r="I275" s="1"/>
      <c r="J275" s="405" t="s">
        <v>29</v>
      </c>
      <c r="K275" s="463" t="s">
        <v>109</v>
      </c>
      <c r="L275" s="405" t="s">
        <v>94</v>
      </c>
      <c r="M275" s="464"/>
      <c r="N275" s="463"/>
      <c r="O275" s="467"/>
      <c r="P275" s="468"/>
    </row>
    <row r="276" spans="1:16" s="406" customFormat="1" ht="14.65" customHeight="1" outlineLevel="2">
      <c r="A276" s="470">
        <v>1.1399999999999999</v>
      </c>
      <c r="B276" s="469" t="s">
        <v>569</v>
      </c>
      <c r="C276" s="338" t="s">
        <v>24</v>
      </c>
      <c r="D276" s="411"/>
      <c r="E276" s="411"/>
      <c r="F276" s="411"/>
      <c r="G276" s="7">
        <f t="shared" si="71"/>
        <v>0</v>
      </c>
      <c r="H276" s="7">
        <f t="shared" si="72"/>
        <v>0</v>
      </c>
      <c r="I276" s="1"/>
      <c r="J276" s="405" t="s">
        <v>29</v>
      </c>
      <c r="K276" s="463" t="s">
        <v>109</v>
      </c>
      <c r="L276" s="405" t="s">
        <v>94</v>
      </c>
      <c r="M276" s="464"/>
      <c r="N276" s="463"/>
      <c r="O276" s="467"/>
      <c r="P276" s="468"/>
    </row>
    <row r="277" spans="1:16" s="406" customFormat="1" ht="14.65" customHeight="1" outlineLevel="2">
      <c r="A277" s="38">
        <v>1.1499999999999999</v>
      </c>
      <c r="B277" s="469" t="s">
        <v>570</v>
      </c>
      <c r="C277" s="338" t="s">
        <v>48</v>
      </c>
      <c r="D277" s="411"/>
      <c r="E277" s="411"/>
      <c r="F277" s="411"/>
      <c r="G277" s="7">
        <f t="shared" si="71"/>
        <v>0</v>
      </c>
      <c r="H277" s="7">
        <f t="shared" si="72"/>
        <v>0</v>
      </c>
      <c r="I277" s="1"/>
      <c r="J277" s="405" t="s">
        <v>29</v>
      </c>
      <c r="K277" s="463" t="s">
        <v>109</v>
      </c>
      <c r="L277" s="405" t="s">
        <v>94</v>
      </c>
      <c r="M277" s="464"/>
      <c r="N277" s="463"/>
      <c r="O277" s="467"/>
      <c r="P277" s="468"/>
    </row>
    <row r="278" spans="1:16" s="406" customFormat="1" ht="14.65" customHeight="1" outlineLevel="2">
      <c r="A278" s="470">
        <v>1.1599999999999999</v>
      </c>
      <c r="B278" s="469" t="s">
        <v>571</v>
      </c>
      <c r="C278" s="338" t="s">
        <v>24</v>
      </c>
      <c r="D278" s="411"/>
      <c r="E278" s="411"/>
      <c r="F278" s="411"/>
      <c r="G278" s="7">
        <f t="shared" si="71"/>
        <v>0</v>
      </c>
      <c r="H278" s="7">
        <f t="shared" si="72"/>
        <v>0</v>
      </c>
      <c r="I278" s="1"/>
      <c r="J278" s="405" t="s">
        <v>29</v>
      </c>
      <c r="K278" s="463" t="s">
        <v>109</v>
      </c>
      <c r="L278" s="405" t="s">
        <v>94</v>
      </c>
      <c r="M278" s="464"/>
      <c r="N278" s="463"/>
      <c r="O278" s="467"/>
      <c r="P278" s="468"/>
    </row>
    <row r="279" spans="1:16" s="406" customFormat="1" ht="14.65" customHeight="1" outlineLevel="2">
      <c r="A279" s="38">
        <v>1.17</v>
      </c>
      <c r="B279" s="469" t="s">
        <v>572</v>
      </c>
      <c r="C279" s="338" t="s">
        <v>15</v>
      </c>
      <c r="D279" s="411"/>
      <c r="E279" s="411"/>
      <c r="F279" s="411"/>
      <c r="G279" s="7">
        <f t="shared" si="71"/>
        <v>0</v>
      </c>
      <c r="H279" s="7">
        <f t="shared" si="72"/>
        <v>0</v>
      </c>
      <c r="I279" s="1"/>
      <c r="J279" s="405" t="s">
        <v>29</v>
      </c>
      <c r="K279" s="463" t="s">
        <v>109</v>
      </c>
      <c r="L279" s="405" t="s">
        <v>94</v>
      </c>
      <c r="M279" s="464"/>
      <c r="N279" s="463"/>
      <c r="O279" s="467"/>
      <c r="P279" s="468"/>
    </row>
    <row r="280" spans="1:16" s="406" customFormat="1" ht="14.65" customHeight="1" outlineLevel="2">
      <c r="A280" s="471" t="s">
        <v>12</v>
      </c>
      <c r="B280" s="472" t="s">
        <v>22</v>
      </c>
      <c r="C280" s="338"/>
      <c r="D280" s="7"/>
      <c r="E280" s="7"/>
      <c r="F280" s="411"/>
      <c r="G280" s="2">
        <f>SUBTOTAL(9,G281:G288)</f>
        <v>0</v>
      </c>
      <c r="H280" s="2">
        <f>SUBTOTAL(9,H281:H288)</f>
        <v>0</v>
      </c>
      <c r="I280" s="1"/>
      <c r="J280" s="405"/>
      <c r="K280" s="463"/>
      <c r="L280" s="405"/>
      <c r="M280" s="464"/>
      <c r="N280" s="463"/>
      <c r="O280" s="467"/>
      <c r="P280" s="468"/>
    </row>
    <row r="281" spans="1:16" s="406" customFormat="1" ht="14.65" customHeight="1" outlineLevel="2">
      <c r="A281" s="471">
        <v>1</v>
      </c>
      <c r="B281" s="466" t="s">
        <v>90</v>
      </c>
      <c r="C281" s="338">
        <v>0</v>
      </c>
      <c r="D281" s="7"/>
      <c r="E281" s="411"/>
      <c r="F281" s="411"/>
      <c r="G281" s="2">
        <f>SUBTOTAL(9,G282)</f>
        <v>0</v>
      </c>
      <c r="H281" s="2">
        <f>SUBTOTAL(9,H282)</f>
        <v>0</v>
      </c>
      <c r="I281" s="1"/>
      <c r="J281" s="405"/>
      <c r="K281" s="463"/>
      <c r="L281" s="405"/>
      <c r="M281" s="464"/>
      <c r="N281" s="463"/>
      <c r="O281" s="467"/>
      <c r="P281" s="468"/>
    </row>
    <row r="282" spans="1:16" s="406" customFormat="1" ht="14.65" customHeight="1" outlineLevel="2">
      <c r="A282" s="38">
        <v>1.1000000000000001</v>
      </c>
      <c r="B282" s="473" t="s">
        <v>573</v>
      </c>
      <c r="C282" s="338" t="s">
        <v>24</v>
      </c>
      <c r="D282" s="411"/>
      <c r="E282" s="411"/>
      <c r="F282" s="411"/>
      <c r="G282" s="7">
        <f t="shared" si="71"/>
        <v>0</v>
      </c>
      <c r="H282" s="7">
        <f t="shared" si="72"/>
        <v>0</v>
      </c>
      <c r="I282" s="1"/>
      <c r="J282" s="405" t="s">
        <v>29</v>
      </c>
      <c r="K282" s="463" t="s">
        <v>110</v>
      </c>
      <c r="L282" s="405" t="s">
        <v>94</v>
      </c>
      <c r="M282" s="464"/>
      <c r="N282" s="463"/>
      <c r="O282" s="467"/>
      <c r="P282" s="468"/>
    </row>
    <row r="283" spans="1:16" s="406" customFormat="1" ht="43.5" customHeight="1" outlineLevel="2">
      <c r="A283" s="471">
        <v>2</v>
      </c>
      <c r="B283" s="466" t="s">
        <v>574</v>
      </c>
      <c r="C283" s="338">
        <v>0</v>
      </c>
      <c r="D283" s="411"/>
      <c r="E283" s="411"/>
      <c r="F283" s="411"/>
      <c r="G283" s="2">
        <f>SUBTOTAL(9,G284:G285)</f>
        <v>0</v>
      </c>
      <c r="H283" s="2">
        <f>SUBTOTAL(9,H284:H285)</f>
        <v>0</v>
      </c>
      <c r="J283" s="405"/>
      <c r="K283" s="463"/>
      <c r="L283" s="405"/>
      <c r="M283" s="464"/>
      <c r="N283" s="463"/>
      <c r="O283" s="467"/>
      <c r="P283" s="43"/>
    </row>
    <row r="284" spans="1:16" s="406" customFormat="1" ht="14.65" customHeight="1" outlineLevel="2">
      <c r="A284" s="38">
        <v>2.1</v>
      </c>
      <c r="B284" s="473" t="s">
        <v>953</v>
      </c>
      <c r="C284" s="338" t="s">
        <v>576</v>
      </c>
      <c r="D284" s="411"/>
      <c r="E284" s="411"/>
      <c r="F284" s="411"/>
      <c r="G284" s="7">
        <f t="shared" si="71"/>
        <v>0</v>
      </c>
      <c r="H284" s="2">
        <f t="shared" si="71"/>
        <v>0</v>
      </c>
      <c r="I284" s="1"/>
      <c r="J284" s="405" t="s">
        <v>29</v>
      </c>
      <c r="K284" s="463" t="s">
        <v>110</v>
      </c>
      <c r="L284" s="405" t="s">
        <v>94</v>
      </c>
      <c r="M284" s="464"/>
      <c r="N284" s="463"/>
      <c r="O284" s="467"/>
      <c r="P284" s="468"/>
    </row>
    <row r="285" spans="1:16" s="406" customFormat="1" ht="14.65" customHeight="1" outlineLevel="2">
      <c r="A285" s="38">
        <v>2.2000000000000002</v>
      </c>
      <c r="B285" s="473" t="s">
        <v>954</v>
      </c>
      <c r="C285" s="338" t="s">
        <v>24</v>
      </c>
      <c r="D285" s="411"/>
      <c r="E285" s="411"/>
      <c r="F285" s="411"/>
      <c r="G285" s="7">
        <f t="shared" ref="G285:G326" si="73">F285*D285</f>
        <v>0</v>
      </c>
      <c r="H285" s="2"/>
      <c r="I285" s="1"/>
      <c r="J285" s="405" t="s">
        <v>29</v>
      </c>
      <c r="K285" s="463" t="s">
        <v>110</v>
      </c>
      <c r="L285" s="405" t="s">
        <v>94</v>
      </c>
      <c r="M285" s="464"/>
      <c r="N285" s="463"/>
      <c r="O285" s="467"/>
      <c r="P285" s="468"/>
    </row>
    <row r="286" spans="1:16" s="406" customFormat="1" ht="24.75" customHeight="1" outlineLevel="2">
      <c r="A286" s="38">
        <v>3</v>
      </c>
      <c r="B286" s="466" t="s">
        <v>575</v>
      </c>
      <c r="C286" s="338">
        <v>0</v>
      </c>
      <c r="D286" s="411"/>
      <c r="E286" s="411"/>
      <c r="F286" s="411"/>
      <c r="G286" s="2">
        <f>SUBTOTAL(9,G287:G288)</f>
        <v>0</v>
      </c>
      <c r="H286" s="2">
        <f>SUBTOTAL(9,H287:H288)</f>
        <v>0</v>
      </c>
      <c r="J286" s="405"/>
      <c r="K286" s="463"/>
      <c r="L286" s="405"/>
      <c r="M286" s="464"/>
      <c r="N286" s="463"/>
      <c r="O286" s="467"/>
      <c r="P286" s="43"/>
    </row>
    <row r="287" spans="1:16" s="406" customFormat="1" ht="14.65" customHeight="1" outlineLevel="2">
      <c r="A287" s="38">
        <v>3.1</v>
      </c>
      <c r="B287" s="473" t="s">
        <v>955</v>
      </c>
      <c r="C287" s="338" t="s">
        <v>576</v>
      </c>
      <c r="D287" s="411"/>
      <c r="E287" s="411"/>
      <c r="F287" s="411"/>
      <c r="G287" s="7">
        <f t="shared" si="73"/>
        <v>0</v>
      </c>
      <c r="H287" s="7">
        <f t="shared" si="72"/>
        <v>0</v>
      </c>
      <c r="I287" s="1"/>
      <c r="J287" s="405" t="s">
        <v>29</v>
      </c>
      <c r="K287" s="463" t="s">
        <v>110</v>
      </c>
      <c r="L287" s="405" t="s">
        <v>94</v>
      </c>
      <c r="M287" s="464"/>
      <c r="N287" s="463"/>
      <c r="O287" s="467"/>
      <c r="P287" s="468"/>
    </row>
    <row r="288" spans="1:16" s="406" customFormat="1" ht="14.65" customHeight="1" outlineLevel="2">
      <c r="A288" s="38">
        <v>3.2</v>
      </c>
      <c r="B288" s="473" t="s">
        <v>954</v>
      </c>
      <c r="C288" s="338" t="s">
        <v>24</v>
      </c>
      <c r="D288" s="411"/>
      <c r="E288" s="411"/>
      <c r="F288" s="411"/>
      <c r="G288" s="7">
        <f t="shared" si="73"/>
        <v>0</v>
      </c>
      <c r="H288" s="7"/>
      <c r="I288" s="1"/>
      <c r="J288" s="405" t="s">
        <v>29</v>
      </c>
      <c r="K288" s="463" t="s">
        <v>110</v>
      </c>
      <c r="L288" s="405" t="s">
        <v>94</v>
      </c>
      <c r="M288" s="464"/>
      <c r="N288" s="463"/>
      <c r="O288" s="467"/>
      <c r="P288" s="468"/>
    </row>
    <row r="289" spans="1:16" s="406" customFormat="1" ht="14.65" customHeight="1" outlineLevel="2">
      <c r="A289" s="471" t="s">
        <v>19</v>
      </c>
      <c r="B289" s="474" t="s">
        <v>956</v>
      </c>
      <c r="C289" s="338"/>
      <c r="D289" s="7"/>
      <c r="E289" s="7"/>
      <c r="F289" s="411"/>
      <c r="G289" s="2">
        <f>SUBTOTAL(9,G290:G307)</f>
        <v>0</v>
      </c>
      <c r="H289" s="2">
        <f>SUBTOTAL(9,H290:H307)</f>
        <v>0</v>
      </c>
      <c r="I289" s="1"/>
      <c r="J289" s="405"/>
      <c r="K289" s="463"/>
      <c r="L289" s="405"/>
      <c r="M289" s="464"/>
      <c r="N289" s="463"/>
      <c r="O289" s="467"/>
      <c r="P289" s="468"/>
    </row>
    <row r="290" spans="1:16" s="406" customFormat="1" ht="14.65" customHeight="1" outlineLevel="2">
      <c r="A290" s="471">
        <v>1</v>
      </c>
      <c r="B290" s="474" t="s">
        <v>577</v>
      </c>
      <c r="C290" s="338"/>
      <c r="D290" s="7"/>
      <c r="E290" s="7"/>
      <c r="F290" s="411"/>
      <c r="G290" s="2">
        <f>SUBTOTAL(9,G291:G307)</f>
        <v>0</v>
      </c>
      <c r="H290" s="2">
        <f>SUBTOTAL(9,H291:H307)</f>
        <v>0</v>
      </c>
      <c r="I290" s="1"/>
      <c r="J290" s="405"/>
      <c r="K290" s="463"/>
      <c r="L290" s="405"/>
      <c r="M290" s="464"/>
      <c r="N290" s="463"/>
      <c r="O290" s="467"/>
      <c r="P290" s="468"/>
    </row>
    <row r="291" spans="1:16" s="406" customFormat="1" ht="14.65" customHeight="1" outlineLevel="2">
      <c r="A291" s="38">
        <v>1.1000000000000001</v>
      </c>
      <c r="B291" s="473" t="s">
        <v>556</v>
      </c>
      <c r="C291" s="338" t="s">
        <v>24</v>
      </c>
      <c r="D291" s="411"/>
      <c r="E291" s="411"/>
      <c r="F291" s="411"/>
      <c r="G291" s="7">
        <f t="shared" si="73"/>
        <v>0</v>
      </c>
      <c r="H291" s="7">
        <f t="shared" si="72"/>
        <v>0</v>
      </c>
      <c r="I291" s="1"/>
      <c r="J291" s="405" t="s">
        <v>29</v>
      </c>
      <c r="K291" s="463" t="s">
        <v>288</v>
      </c>
      <c r="L291" s="405" t="s">
        <v>94</v>
      </c>
      <c r="M291" s="464"/>
      <c r="N291" s="463"/>
      <c r="O291" s="467"/>
      <c r="P291" s="468"/>
    </row>
    <row r="292" spans="1:16" s="406" customFormat="1" ht="14.65" customHeight="1" outlineLevel="2">
      <c r="A292" s="38">
        <v>1.2</v>
      </c>
      <c r="B292" s="473" t="s">
        <v>557</v>
      </c>
      <c r="C292" s="338" t="s">
        <v>24</v>
      </c>
      <c r="D292" s="411"/>
      <c r="E292" s="411"/>
      <c r="F292" s="411"/>
      <c r="G292" s="7">
        <f t="shared" si="73"/>
        <v>0</v>
      </c>
      <c r="H292" s="7">
        <f t="shared" si="72"/>
        <v>0</v>
      </c>
      <c r="I292" s="1"/>
      <c r="J292" s="405" t="s">
        <v>29</v>
      </c>
      <c r="K292" s="463" t="s">
        <v>288</v>
      </c>
      <c r="L292" s="405" t="s">
        <v>94</v>
      </c>
      <c r="M292" s="464"/>
      <c r="N292" s="463"/>
      <c r="O292" s="467"/>
      <c r="P292" s="468"/>
    </row>
    <row r="293" spans="1:16" s="406" customFormat="1" ht="14.65" customHeight="1" outlineLevel="2">
      <c r="A293" s="38">
        <v>1.3</v>
      </c>
      <c r="B293" s="473" t="s">
        <v>558</v>
      </c>
      <c r="C293" s="338" t="s">
        <v>24</v>
      </c>
      <c r="D293" s="411"/>
      <c r="E293" s="411"/>
      <c r="F293" s="411"/>
      <c r="G293" s="7">
        <f t="shared" si="73"/>
        <v>0</v>
      </c>
      <c r="H293" s="7">
        <f t="shared" si="72"/>
        <v>0</v>
      </c>
      <c r="I293" s="1"/>
      <c r="J293" s="405" t="s">
        <v>29</v>
      </c>
      <c r="K293" s="463" t="s">
        <v>288</v>
      </c>
      <c r="L293" s="405" t="s">
        <v>94</v>
      </c>
      <c r="M293" s="464"/>
      <c r="N293" s="463"/>
      <c r="O293" s="467"/>
      <c r="P293" s="468"/>
    </row>
    <row r="294" spans="1:16" s="406" customFormat="1" ht="14.65" customHeight="1" outlineLevel="2">
      <c r="A294" s="38">
        <v>1.4</v>
      </c>
      <c r="B294" s="473" t="s">
        <v>559</v>
      </c>
      <c r="C294" s="338" t="s">
        <v>24</v>
      </c>
      <c r="D294" s="411"/>
      <c r="E294" s="411"/>
      <c r="F294" s="411"/>
      <c r="G294" s="7">
        <f t="shared" si="73"/>
        <v>0</v>
      </c>
      <c r="H294" s="7">
        <f t="shared" si="72"/>
        <v>0</v>
      </c>
      <c r="I294" s="1"/>
      <c r="J294" s="405" t="s">
        <v>29</v>
      </c>
      <c r="K294" s="463" t="s">
        <v>288</v>
      </c>
      <c r="L294" s="405" t="s">
        <v>94</v>
      </c>
      <c r="M294" s="464"/>
      <c r="N294" s="463"/>
      <c r="O294" s="467"/>
      <c r="P294" s="468"/>
    </row>
    <row r="295" spans="1:16" s="406" customFormat="1" ht="14.65" customHeight="1" outlineLevel="2">
      <c r="A295" s="38">
        <v>1.5</v>
      </c>
      <c r="B295" s="473" t="s">
        <v>560</v>
      </c>
      <c r="C295" s="338" t="s">
        <v>24</v>
      </c>
      <c r="D295" s="411"/>
      <c r="E295" s="411"/>
      <c r="F295" s="411"/>
      <c r="G295" s="7">
        <f t="shared" si="73"/>
        <v>0</v>
      </c>
      <c r="H295" s="7">
        <f t="shared" si="72"/>
        <v>0</v>
      </c>
      <c r="I295" s="1"/>
      <c r="J295" s="405" t="s">
        <v>29</v>
      </c>
      <c r="K295" s="463" t="s">
        <v>288</v>
      </c>
      <c r="L295" s="405" t="s">
        <v>94</v>
      </c>
      <c r="M295" s="464"/>
      <c r="N295" s="463"/>
      <c r="O295" s="467"/>
      <c r="P295" s="468"/>
    </row>
    <row r="296" spans="1:16" s="406" customFormat="1" ht="14.65" customHeight="1" outlineLevel="2">
      <c r="A296" s="38">
        <v>1.6</v>
      </c>
      <c r="B296" s="473" t="s">
        <v>561</v>
      </c>
      <c r="C296" s="338" t="s">
        <v>30</v>
      </c>
      <c r="D296" s="411"/>
      <c r="E296" s="411"/>
      <c r="F296" s="411"/>
      <c r="G296" s="7">
        <f t="shared" si="73"/>
        <v>0</v>
      </c>
      <c r="H296" s="7">
        <f t="shared" si="72"/>
        <v>0</v>
      </c>
      <c r="I296" s="1"/>
      <c r="J296" s="405" t="s">
        <v>29</v>
      </c>
      <c r="K296" s="463" t="s">
        <v>288</v>
      </c>
      <c r="L296" s="405" t="s">
        <v>94</v>
      </c>
      <c r="M296" s="464"/>
      <c r="N296" s="463"/>
      <c r="O296" s="467"/>
      <c r="P296" s="468"/>
    </row>
    <row r="297" spans="1:16" s="406" customFormat="1" ht="14.65" customHeight="1" outlineLevel="2">
      <c r="A297" s="38">
        <v>1.7</v>
      </c>
      <c r="B297" s="473" t="s">
        <v>562</v>
      </c>
      <c r="C297" s="338" t="s">
        <v>30</v>
      </c>
      <c r="D297" s="411"/>
      <c r="E297" s="411"/>
      <c r="F297" s="411"/>
      <c r="G297" s="7">
        <f t="shared" si="73"/>
        <v>0</v>
      </c>
      <c r="H297" s="7">
        <f t="shared" si="72"/>
        <v>0</v>
      </c>
      <c r="I297" s="1"/>
      <c r="J297" s="405" t="s">
        <v>29</v>
      </c>
      <c r="K297" s="463" t="s">
        <v>288</v>
      </c>
      <c r="L297" s="405" t="s">
        <v>94</v>
      </c>
      <c r="M297" s="464"/>
      <c r="N297" s="463"/>
      <c r="O297" s="467"/>
      <c r="P297" s="468"/>
    </row>
    <row r="298" spans="1:16" s="406" customFormat="1" ht="14.65" customHeight="1" outlineLevel="2">
      <c r="A298" s="38">
        <v>1.8</v>
      </c>
      <c r="B298" s="473" t="s">
        <v>563</v>
      </c>
      <c r="C298" s="338" t="s">
        <v>24</v>
      </c>
      <c r="D298" s="411"/>
      <c r="E298" s="411"/>
      <c r="F298" s="411"/>
      <c r="G298" s="7">
        <f t="shared" si="73"/>
        <v>0</v>
      </c>
      <c r="H298" s="7">
        <f t="shared" si="72"/>
        <v>0</v>
      </c>
      <c r="I298" s="1"/>
      <c r="J298" s="405" t="s">
        <v>29</v>
      </c>
      <c r="K298" s="463" t="s">
        <v>288</v>
      </c>
      <c r="L298" s="405" t="s">
        <v>94</v>
      </c>
      <c r="M298" s="464"/>
      <c r="N298" s="463"/>
      <c r="O298" s="467"/>
      <c r="P298" s="468"/>
    </row>
    <row r="299" spans="1:16" s="406" customFormat="1" ht="14.65" customHeight="1" outlineLevel="2">
      <c r="A299" s="38">
        <v>1.9</v>
      </c>
      <c r="B299" s="473" t="s">
        <v>564</v>
      </c>
      <c r="C299" s="338" t="s">
        <v>24</v>
      </c>
      <c r="D299" s="411"/>
      <c r="E299" s="411"/>
      <c r="F299" s="411"/>
      <c r="G299" s="7">
        <f t="shared" si="73"/>
        <v>0</v>
      </c>
      <c r="H299" s="7">
        <f t="shared" si="72"/>
        <v>0</v>
      </c>
      <c r="I299" s="1"/>
      <c r="J299" s="405" t="s">
        <v>29</v>
      </c>
      <c r="K299" s="463" t="s">
        <v>288</v>
      </c>
      <c r="L299" s="405" t="s">
        <v>94</v>
      </c>
      <c r="M299" s="464"/>
      <c r="N299" s="463"/>
      <c r="O299" s="467"/>
      <c r="P299" s="468"/>
    </row>
    <row r="300" spans="1:16" s="406" customFormat="1" ht="14.65" customHeight="1" outlineLevel="2">
      <c r="A300" s="470">
        <v>1.1000000000000001</v>
      </c>
      <c r="B300" s="473" t="s">
        <v>565</v>
      </c>
      <c r="C300" s="338" t="s">
        <v>36</v>
      </c>
      <c r="D300" s="411"/>
      <c r="E300" s="411"/>
      <c r="F300" s="411"/>
      <c r="G300" s="7">
        <f t="shared" si="73"/>
        <v>0</v>
      </c>
      <c r="H300" s="7">
        <f t="shared" si="72"/>
        <v>0</v>
      </c>
      <c r="I300" s="1"/>
      <c r="J300" s="405" t="s">
        <v>29</v>
      </c>
      <c r="K300" s="463" t="s">
        <v>288</v>
      </c>
      <c r="L300" s="405" t="s">
        <v>94</v>
      </c>
      <c r="M300" s="464"/>
      <c r="N300" s="463"/>
      <c r="O300" s="467"/>
      <c r="P300" s="468"/>
    </row>
    <row r="301" spans="1:16" s="406" customFormat="1" ht="14.65" customHeight="1" outlineLevel="2">
      <c r="A301" s="38">
        <v>1.1100000000000001</v>
      </c>
      <c r="B301" s="473" t="s">
        <v>566</v>
      </c>
      <c r="C301" s="338" t="s">
        <v>339</v>
      </c>
      <c r="D301" s="411"/>
      <c r="E301" s="411"/>
      <c r="F301" s="411"/>
      <c r="G301" s="7">
        <f t="shared" si="73"/>
        <v>0</v>
      </c>
      <c r="H301" s="7">
        <f t="shared" si="72"/>
        <v>0</v>
      </c>
      <c r="I301" s="1"/>
      <c r="J301" s="405" t="s">
        <v>29</v>
      </c>
      <c r="K301" s="463" t="s">
        <v>288</v>
      </c>
      <c r="L301" s="405" t="s">
        <v>94</v>
      </c>
      <c r="M301" s="464"/>
      <c r="N301" s="463"/>
      <c r="O301" s="467"/>
      <c r="P301" s="468"/>
    </row>
    <row r="302" spans="1:16" s="406" customFormat="1" ht="14.65" customHeight="1" outlineLevel="2">
      <c r="A302" s="470">
        <v>1.1200000000000001</v>
      </c>
      <c r="B302" s="473" t="s">
        <v>567</v>
      </c>
      <c r="C302" s="338" t="s">
        <v>36</v>
      </c>
      <c r="D302" s="411"/>
      <c r="E302" s="411"/>
      <c r="F302" s="411"/>
      <c r="G302" s="7">
        <f t="shared" si="73"/>
        <v>0</v>
      </c>
      <c r="H302" s="7">
        <f t="shared" si="72"/>
        <v>0</v>
      </c>
      <c r="I302" s="1"/>
      <c r="J302" s="405" t="s">
        <v>29</v>
      </c>
      <c r="K302" s="463" t="s">
        <v>288</v>
      </c>
      <c r="L302" s="405" t="s">
        <v>94</v>
      </c>
      <c r="M302" s="464"/>
      <c r="N302" s="463"/>
      <c r="O302" s="467"/>
      <c r="P302" s="468"/>
    </row>
    <row r="303" spans="1:16" s="406" customFormat="1" ht="14.65" customHeight="1" outlineLevel="2">
      <c r="A303" s="38">
        <v>1.1299999999999999</v>
      </c>
      <c r="B303" s="473" t="s">
        <v>568</v>
      </c>
      <c r="C303" s="338" t="s">
        <v>339</v>
      </c>
      <c r="D303" s="411"/>
      <c r="E303" s="411"/>
      <c r="F303" s="411"/>
      <c r="G303" s="7">
        <f t="shared" si="73"/>
        <v>0</v>
      </c>
      <c r="H303" s="7">
        <f t="shared" si="72"/>
        <v>0</v>
      </c>
      <c r="I303" s="1"/>
      <c r="J303" s="405" t="s">
        <v>29</v>
      </c>
      <c r="K303" s="463" t="s">
        <v>288</v>
      </c>
      <c r="L303" s="405" t="s">
        <v>94</v>
      </c>
      <c r="M303" s="464"/>
      <c r="N303" s="463"/>
      <c r="O303" s="467"/>
      <c r="P303" s="468"/>
    </row>
    <row r="304" spans="1:16" s="406" customFormat="1" ht="14.65" customHeight="1" outlineLevel="2">
      <c r="A304" s="470">
        <v>1.1399999999999999</v>
      </c>
      <c r="B304" s="473" t="s">
        <v>569</v>
      </c>
      <c r="C304" s="338" t="s">
        <v>24</v>
      </c>
      <c r="D304" s="411"/>
      <c r="E304" s="411"/>
      <c r="F304" s="411"/>
      <c r="G304" s="7">
        <f t="shared" si="73"/>
        <v>0</v>
      </c>
      <c r="H304" s="7">
        <f t="shared" si="72"/>
        <v>0</v>
      </c>
      <c r="I304" s="1"/>
      <c r="J304" s="405" t="s">
        <v>29</v>
      </c>
      <c r="K304" s="463" t="s">
        <v>288</v>
      </c>
      <c r="L304" s="405" t="s">
        <v>94</v>
      </c>
      <c r="M304" s="464"/>
      <c r="N304" s="463"/>
      <c r="O304" s="467"/>
      <c r="P304" s="468"/>
    </row>
    <row r="305" spans="1:16" s="406" customFormat="1" ht="14.65" customHeight="1" outlineLevel="2">
      <c r="A305" s="38">
        <v>1.1499999999999999</v>
      </c>
      <c r="B305" s="473" t="s">
        <v>570</v>
      </c>
      <c r="C305" s="338" t="s">
        <v>48</v>
      </c>
      <c r="D305" s="411"/>
      <c r="E305" s="411"/>
      <c r="F305" s="411"/>
      <c r="G305" s="7">
        <f t="shared" si="73"/>
        <v>0</v>
      </c>
      <c r="H305" s="7">
        <f t="shared" si="72"/>
        <v>0</v>
      </c>
      <c r="I305" s="1"/>
      <c r="J305" s="405" t="s">
        <v>29</v>
      </c>
      <c r="K305" s="463" t="s">
        <v>288</v>
      </c>
      <c r="L305" s="405" t="s">
        <v>94</v>
      </c>
      <c r="M305" s="464"/>
      <c r="N305" s="463"/>
      <c r="O305" s="467"/>
      <c r="P305" s="468"/>
    </row>
    <row r="306" spans="1:16" s="406" customFormat="1" ht="14.65" customHeight="1" outlineLevel="2">
      <c r="A306" s="470">
        <v>1.1599999999999999</v>
      </c>
      <c r="B306" s="473" t="s">
        <v>571</v>
      </c>
      <c r="C306" s="338" t="s">
        <v>24</v>
      </c>
      <c r="D306" s="411"/>
      <c r="E306" s="411"/>
      <c r="F306" s="411"/>
      <c r="G306" s="7">
        <f t="shared" si="73"/>
        <v>0</v>
      </c>
      <c r="H306" s="7">
        <f t="shared" si="72"/>
        <v>0</v>
      </c>
      <c r="I306" s="1"/>
      <c r="J306" s="405" t="s">
        <v>29</v>
      </c>
      <c r="K306" s="463" t="s">
        <v>288</v>
      </c>
      <c r="L306" s="405" t="s">
        <v>94</v>
      </c>
      <c r="M306" s="464"/>
      <c r="N306" s="463"/>
      <c r="O306" s="467"/>
      <c r="P306" s="468"/>
    </row>
    <row r="307" spans="1:16" s="406" customFormat="1" ht="14.65" customHeight="1" outlineLevel="2">
      <c r="A307" s="38">
        <v>1.17</v>
      </c>
      <c r="B307" s="473" t="s">
        <v>572</v>
      </c>
      <c r="C307" s="338" t="s">
        <v>15</v>
      </c>
      <c r="D307" s="411"/>
      <c r="E307" s="411"/>
      <c r="F307" s="411"/>
      <c r="G307" s="7">
        <f t="shared" si="73"/>
        <v>0</v>
      </c>
      <c r="H307" s="7">
        <f t="shared" si="72"/>
        <v>0</v>
      </c>
      <c r="I307" s="1"/>
      <c r="J307" s="405" t="s">
        <v>29</v>
      </c>
      <c r="K307" s="463" t="s">
        <v>288</v>
      </c>
      <c r="L307" s="405" t="s">
        <v>94</v>
      </c>
      <c r="M307" s="464"/>
      <c r="N307" s="463"/>
      <c r="O307" s="467"/>
      <c r="P307" s="468"/>
    </row>
    <row r="308" spans="1:16" s="406" customFormat="1" ht="14.65" customHeight="1" outlineLevel="2">
      <c r="A308" s="471" t="s">
        <v>26</v>
      </c>
      <c r="B308" s="474" t="s">
        <v>957</v>
      </c>
      <c r="C308" s="338"/>
      <c r="D308" s="7"/>
      <c r="E308" s="7"/>
      <c r="F308" s="411"/>
      <c r="G308" s="2">
        <f>SUBTOTAL(9,G309:G326)</f>
        <v>0</v>
      </c>
      <c r="H308" s="2">
        <f>SUBTOTAL(9,H309:H326)</f>
        <v>0</v>
      </c>
      <c r="I308" s="1"/>
      <c r="J308" s="405"/>
      <c r="K308" s="463"/>
      <c r="L308" s="405"/>
      <c r="M308" s="464"/>
      <c r="N308" s="463"/>
      <c r="O308" s="467"/>
      <c r="P308" s="468"/>
    </row>
    <row r="309" spans="1:16" s="406" customFormat="1" ht="14.65" customHeight="1" outlineLevel="2">
      <c r="A309" s="471">
        <v>1</v>
      </c>
      <c r="B309" s="474" t="s">
        <v>577</v>
      </c>
      <c r="C309" s="338"/>
      <c r="D309" s="7"/>
      <c r="E309" s="7"/>
      <c r="F309" s="411"/>
      <c r="G309" s="2">
        <f>SUBTOTAL(9,G310:G326)</f>
        <v>0</v>
      </c>
      <c r="H309" s="2">
        <f>SUBTOTAL(9,H310:H326)</f>
        <v>0</v>
      </c>
      <c r="I309" s="1"/>
      <c r="J309" s="405"/>
      <c r="K309" s="463"/>
      <c r="L309" s="405"/>
      <c r="M309" s="464"/>
      <c r="N309" s="463"/>
      <c r="O309" s="467"/>
      <c r="P309" s="468"/>
    </row>
    <row r="310" spans="1:16" s="406" customFormat="1" ht="14.65" customHeight="1" outlineLevel="2">
      <c r="A310" s="38">
        <v>1.1000000000000001</v>
      </c>
      <c r="B310" s="473" t="s">
        <v>556</v>
      </c>
      <c r="C310" s="338" t="s">
        <v>24</v>
      </c>
      <c r="D310" s="411"/>
      <c r="E310" s="411"/>
      <c r="F310" s="411"/>
      <c r="G310" s="7">
        <f t="shared" si="73"/>
        <v>0</v>
      </c>
      <c r="H310" s="7">
        <f t="shared" si="72"/>
        <v>0</v>
      </c>
      <c r="I310" s="1"/>
      <c r="J310" s="405"/>
      <c r="K310" s="463"/>
      <c r="L310" s="405"/>
      <c r="M310" s="464"/>
      <c r="N310" s="463"/>
      <c r="O310" s="467"/>
      <c r="P310" s="468"/>
    </row>
    <row r="311" spans="1:16" s="406" customFormat="1" ht="14.65" customHeight="1" outlineLevel="2">
      <c r="A311" s="38">
        <v>1.2</v>
      </c>
      <c r="B311" s="473" t="s">
        <v>557</v>
      </c>
      <c r="C311" s="338" t="s">
        <v>24</v>
      </c>
      <c r="D311" s="411"/>
      <c r="E311" s="411"/>
      <c r="F311" s="411"/>
      <c r="G311" s="7">
        <f t="shared" si="73"/>
        <v>0</v>
      </c>
      <c r="H311" s="7">
        <f t="shared" si="72"/>
        <v>0</v>
      </c>
      <c r="I311" s="1"/>
      <c r="J311" s="405" t="s">
        <v>29</v>
      </c>
      <c r="K311" s="463" t="s">
        <v>196</v>
      </c>
      <c r="L311" s="405" t="s">
        <v>94</v>
      </c>
      <c r="M311" s="464"/>
      <c r="N311" s="463"/>
      <c r="O311" s="467"/>
      <c r="P311" s="468"/>
    </row>
    <row r="312" spans="1:16" s="406" customFormat="1" ht="14.65" customHeight="1" outlineLevel="2">
      <c r="A312" s="38">
        <v>1.3</v>
      </c>
      <c r="B312" s="473" t="s">
        <v>558</v>
      </c>
      <c r="C312" s="338" t="s">
        <v>24</v>
      </c>
      <c r="D312" s="411"/>
      <c r="E312" s="411"/>
      <c r="F312" s="411"/>
      <c r="G312" s="7">
        <f t="shared" si="73"/>
        <v>0</v>
      </c>
      <c r="H312" s="7">
        <f t="shared" si="72"/>
        <v>0</v>
      </c>
      <c r="I312" s="1"/>
      <c r="J312" s="405" t="s">
        <v>29</v>
      </c>
      <c r="K312" s="463" t="s">
        <v>196</v>
      </c>
      <c r="L312" s="405" t="s">
        <v>94</v>
      </c>
      <c r="M312" s="464"/>
      <c r="N312" s="463"/>
      <c r="O312" s="467"/>
      <c r="P312" s="468"/>
    </row>
    <row r="313" spans="1:16" s="406" customFormat="1" ht="14.65" customHeight="1" outlineLevel="2">
      <c r="A313" s="38">
        <v>1.4</v>
      </c>
      <c r="B313" s="473" t="s">
        <v>559</v>
      </c>
      <c r="C313" s="338" t="s">
        <v>24</v>
      </c>
      <c r="D313" s="411"/>
      <c r="E313" s="411"/>
      <c r="F313" s="411"/>
      <c r="G313" s="7">
        <f t="shared" si="73"/>
        <v>0</v>
      </c>
      <c r="H313" s="7">
        <f t="shared" si="72"/>
        <v>0</v>
      </c>
      <c r="I313" s="1"/>
      <c r="J313" s="405" t="s">
        <v>29</v>
      </c>
      <c r="K313" s="463" t="s">
        <v>196</v>
      </c>
      <c r="L313" s="405" t="s">
        <v>94</v>
      </c>
      <c r="M313" s="464"/>
      <c r="N313" s="463"/>
      <c r="O313" s="467"/>
      <c r="P313" s="468"/>
    </row>
    <row r="314" spans="1:16" s="406" customFormat="1" ht="14.65" customHeight="1" outlineLevel="2">
      <c r="A314" s="38">
        <v>1.5</v>
      </c>
      <c r="B314" s="473" t="s">
        <v>560</v>
      </c>
      <c r="C314" s="338" t="s">
        <v>24</v>
      </c>
      <c r="D314" s="411"/>
      <c r="E314" s="411"/>
      <c r="F314" s="411"/>
      <c r="G314" s="7">
        <f t="shared" si="73"/>
        <v>0</v>
      </c>
      <c r="H314" s="7">
        <f t="shared" si="72"/>
        <v>0</v>
      </c>
      <c r="I314" s="1"/>
      <c r="J314" s="405" t="s">
        <v>29</v>
      </c>
      <c r="K314" s="463" t="s">
        <v>196</v>
      </c>
      <c r="L314" s="405" t="s">
        <v>94</v>
      </c>
      <c r="M314" s="464"/>
      <c r="N314" s="463"/>
      <c r="O314" s="467"/>
      <c r="P314" s="468"/>
    </row>
    <row r="315" spans="1:16" s="406" customFormat="1" ht="14.65" customHeight="1" outlineLevel="2">
      <c r="A315" s="38">
        <v>1.6</v>
      </c>
      <c r="B315" s="473" t="s">
        <v>561</v>
      </c>
      <c r="C315" s="338" t="s">
        <v>30</v>
      </c>
      <c r="D315" s="411"/>
      <c r="E315" s="411"/>
      <c r="F315" s="411"/>
      <c r="G315" s="7">
        <f t="shared" si="73"/>
        <v>0</v>
      </c>
      <c r="H315" s="7">
        <f t="shared" si="72"/>
        <v>0</v>
      </c>
      <c r="I315" s="1"/>
      <c r="J315" s="405" t="s">
        <v>29</v>
      </c>
      <c r="K315" s="463" t="s">
        <v>196</v>
      </c>
      <c r="L315" s="405" t="s">
        <v>94</v>
      </c>
      <c r="M315" s="464"/>
      <c r="N315" s="463"/>
      <c r="O315" s="467"/>
      <c r="P315" s="468"/>
    </row>
    <row r="316" spans="1:16" s="406" customFormat="1" ht="14.65" customHeight="1" outlineLevel="2">
      <c r="A316" s="38">
        <v>1.7</v>
      </c>
      <c r="B316" s="473" t="s">
        <v>562</v>
      </c>
      <c r="C316" s="338" t="s">
        <v>30</v>
      </c>
      <c r="D316" s="411"/>
      <c r="E316" s="411"/>
      <c r="F316" s="411"/>
      <c r="G316" s="7">
        <f t="shared" si="73"/>
        <v>0</v>
      </c>
      <c r="H316" s="7">
        <f t="shared" si="72"/>
        <v>0</v>
      </c>
      <c r="I316" s="1"/>
      <c r="J316" s="405" t="s">
        <v>29</v>
      </c>
      <c r="K316" s="463" t="s">
        <v>196</v>
      </c>
      <c r="L316" s="405" t="s">
        <v>94</v>
      </c>
      <c r="M316" s="464"/>
      <c r="N316" s="463"/>
      <c r="O316" s="467"/>
      <c r="P316" s="468"/>
    </row>
    <row r="317" spans="1:16" s="406" customFormat="1" ht="14.65" customHeight="1" outlineLevel="2">
      <c r="A317" s="38">
        <v>1.8</v>
      </c>
      <c r="B317" s="473" t="s">
        <v>563</v>
      </c>
      <c r="C317" s="338" t="s">
        <v>24</v>
      </c>
      <c r="D317" s="411"/>
      <c r="E317" s="411"/>
      <c r="F317" s="411"/>
      <c r="G317" s="7">
        <f t="shared" si="73"/>
        <v>0</v>
      </c>
      <c r="H317" s="7">
        <f t="shared" si="72"/>
        <v>0</v>
      </c>
      <c r="I317" s="1"/>
      <c r="J317" s="405" t="s">
        <v>29</v>
      </c>
      <c r="K317" s="463" t="s">
        <v>196</v>
      </c>
      <c r="L317" s="405" t="s">
        <v>94</v>
      </c>
      <c r="M317" s="464"/>
      <c r="N317" s="463"/>
      <c r="O317" s="467"/>
      <c r="P317" s="468"/>
    </row>
    <row r="318" spans="1:16" s="406" customFormat="1" ht="14.65" customHeight="1" outlineLevel="2">
      <c r="A318" s="38">
        <v>1.9</v>
      </c>
      <c r="B318" s="473" t="s">
        <v>564</v>
      </c>
      <c r="C318" s="338" t="s">
        <v>24</v>
      </c>
      <c r="D318" s="411"/>
      <c r="E318" s="411"/>
      <c r="F318" s="411"/>
      <c r="G318" s="7">
        <f t="shared" si="73"/>
        <v>0</v>
      </c>
      <c r="H318" s="7">
        <f t="shared" si="72"/>
        <v>0</v>
      </c>
      <c r="I318" s="1"/>
      <c r="J318" s="405" t="s">
        <v>29</v>
      </c>
      <c r="K318" s="463" t="s">
        <v>196</v>
      </c>
      <c r="L318" s="405" t="s">
        <v>94</v>
      </c>
      <c r="M318" s="464"/>
      <c r="N318" s="463"/>
      <c r="O318" s="467"/>
      <c r="P318" s="468"/>
    </row>
    <row r="319" spans="1:16" s="406" customFormat="1" ht="14.65" customHeight="1" outlineLevel="2">
      <c r="A319" s="470">
        <v>1.1000000000000001</v>
      </c>
      <c r="B319" s="473" t="s">
        <v>565</v>
      </c>
      <c r="C319" s="338" t="s">
        <v>36</v>
      </c>
      <c r="D319" s="411"/>
      <c r="E319" s="411"/>
      <c r="F319" s="411"/>
      <c r="G319" s="7">
        <f t="shared" si="73"/>
        <v>0</v>
      </c>
      <c r="H319" s="7">
        <f t="shared" si="72"/>
        <v>0</v>
      </c>
      <c r="I319" s="1"/>
      <c r="J319" s="405" t="s">
        <v>29</v>
      </c>
      <c r="K319" s="463" t="s">
        <v>196</v>
      </c>
      <c r="L319" s="405" t="s">
        <v>94</v>
      </c>
      <c r="M319" s="464"/>
      <c r="N319" s="463"/>
      <c r="O319" s="467"/>
      <c r="P319" s="468"/>
    </row>
    <row r="320" spans="1:16" s="406" customFormat="1" ht="14.65" customHeight="1" outlineLevel="2">
      <c r="A320" s="38">
        <v>1.1100000000000001</v>
      </c>
      <c r="B320" s="473" t="s">
        <v>566</v>
      </c>
      <c r="C320" s="338" t="s">
        <v>339</v>
      </c>
      <c r="D320" s="411"/>
      <c r="E320" s="411"/>
      <c r="F320" s="411"/>
      <c r="G320" s="7">
        <f t="shared" si="73"/>
        <v>0</v>
      </c>
      <c r="H320" s="7">
        <f t="shared" si="72"/>
        <v>0</v>
      </c>
      <c r="I320" s="1"/>
      <c r="J320" s="405" t="s">
        <v>29</v>
      </c>
      <c r="K320" s="463" t="s">
        <v>196</v>
      </c>
      <c r="L320" s="405" t="s">
        <v>94</v>
      </c>
      <c r="M320" s="464"/>
      <c r="N320" s="463"/>
      <c r="O320" s="467"/>
      <c r="P320" s="468"/>
    </row>
    <row r="321" spans="1:18" s="406" customFormat="1" ht="14.65" customHeight="1" outlineLevel="2">
      <c r="A321" s="470">
        <v>1.1200000000000001</v>
      </c>
      <c r="B321" s="473" t="s">
        <v>567</v>
      </c>
      <c r="C321" s="338" t="s">
        <v>36</v>
      </c>
      <c r="D321" s="411"/>
      <c r="E321" s="411"/>
      <c r="F321" s="411"/>
      <c r="G321" s="7">
        <f t="shared" si="73"/>
        <v>0</v>
      </c>
      <c r="H321" s="7">
        <f t="shared" si="72"/>
        <v>0</v>
      </c>
      <c r="I321" s="1"/>
      <c r="J321" s="405" t="s">
        <v>29</v>
      </c>
      <c r="K321" s="463" t="s">
        <v>196</v>
      </c>
      <c r="L321" s="405" t="s">
        <v>94</v>
      </c>
      <c r="M321" s="464"/>
      <c r="N321" s="463"/>
      <c r="O321" s="467"/>
      <c r="P321" s="468"/>
    </row>
    <row r="322" spans="1:18" s="406" customFormat="1" ht="14.65" customHeight="1" outlineLevel="2">
      <c r="A322" s="38">
        <v>1.1299999999999999</v>
      </c>
      <c r="B322" s="473" t="s">
        <v>568</v>
      </c>
      <c r="C322" s="338" t="s">
        <v>339</v>
      </c>
      <c r="D322" s="411"/>
      <c r="E322" s="411"/>
      <c r="F322" s="411"/>
      <c r="G322" s="7">
        <f t="shared" si="73"/>
        <v>0</v>
      </c>
      <c r="H322" s="7">
        <f t="shared" si="72"/>
        <v>0</v>
      </c>
      <c r="I322" s="1"/>
      <c r="J322" s="405" t="s">
        <v>29</v>
      </c>
      <c r="K322" s="463" t="s">
        <v>196</v>
      </c>
      <c r="L322" s="405" t="s">
        <v>94</v>
      </c>
      <c r="M322" s="464"/>
      <c r="N322" s="463"/>
      <c r="O322" s="467"/>
      <c r="P322" s="468"/>
    </row>
    <row r="323" spans="1:18" s="406" customFormat="1" ht="14.65" customHeight="1" outlineLevel="2">
      <c r="A323" s="470">
        <v>1.1399999999999999</v>
      </c>
      <c r="B323" s="473" t="s">
        <v>569</v>
      </c>
      <c r="C323" s="338" t="s">
        <v>24</v>
      </c>
      <c r="D323" s="411"/>
      <c r="E323" s="411"/>
      <c r="F323" s="411"/>
      <c r="G323" s="7">
        <f t="shared" si="73"/>
        <v>0</v>
      </c>
      <c r="H323" s="7">
        <f t="shared" si="72"/>
        <v>0</v>
      </c>
      <c r="I323" s="1"/>
      <c r="J323" s="405" t="s">
        <v>29</v>
      </c>
      <c r="K323" s="463" t="s">
        <v>196</v>
      </c>
      <c r="L323" s="405" t="s">
        <v>94</v>
      </c>
      <c r="M323" s="464"/>
      <c r="N323" s="463"/>
      <c r="O323" s="467"/>
      <c r="P323" s="468"/>
    </row>
    <row r="324" spans="1:18" s="406" customFormat="1" ht="14.65" customHeight="1" outlineLevel="2">
      <c r="A324" s="38">
        <v>1.1499999999999999</v>
      </c>
      <c r="B324" s="473" t="s">
        <v>570</v>
      </c>
      <c r="C324" s="338" t="s">
        <v>48</v>
      </c>
      <c r="D324" s="411"/>
      <c r="E324" s="411"/>
      <c r="F324" s="411"/>
      <c r="G324" s="7">
        <f t="shared" si="73"/>
        <v>0</v>
      </c>
      <c r="H324" s="7">
        <f t="shared" si="72"/>
        <v>0</v>
      </c>
      <c r="I324" s="1"/>
      <c r="J324" s="405" t="s">
        <v>29</v>
      </c>
      <c r="K324" s="463" t="s">
        <v>196</v>
      </c>
      <c r="L324" s="405" t="s">
        <v>94</v>
      </c>
      <c r="M324" s="464"/>
      <c r="N324" s="463"/>
      <c r="O324" s="467"/>
      <c r="P324" s="468"/>
    </row>
    <row r="325" spans="1:18" s="406" customFormat="1" ht="14.65" customHeight="1" outlineLevel="2">
      <c r="A325" s="470">
        <v>1.1599999999999999</v>
      </c>
      <c r="B325" s="473" t="s">
        <v>571</v>
      </c>
      <c r="C325" s="338" t="s">
        <v>24</v>
      </c>
      <c r="D325" s="411"/>
      <c r="E325" s="411"/>
      <c r="F325" s="411"/>
      <c r="G325" s="7">
        <f t="shared" si="73"/>
        <v>0</v>
      </c>
      <c r="H325" s="7">
        <f t="shared" si="72"/>
        <v>0</v>
      </c>
      <c r="I325" s="1"/>
      <c r="J325" s="405" t="s">
        <v>29</v>
      </c>
      <c r="K325" s="463" t="s">
        <v>196</v>
      </c>
      <c r="L325" s="405" t="s">
        <v>94</v>
      </c>
      <c r="M325" s="464"/>
      <c r="N325" s="463"/>
      <c r="O325" s="467"/>
      <c r="P325" s="468"/>
    </row>
    <row r="326" spans="1:18" s="406" customFormat="1" ht="14.65" customHeight="1" outlineLevel="2">
      <c r="A326" s="38">
        <v>1.17</v>
      </c>
      <c r="B326" s="473" t="s">
        <v>572</v>
      </c>
      <c r="C326" s="338" t="s">
        <v>15</v>
      </c>
      <c r="D326" s="411"/>
      <c r="E326" s="411"/>
      <c r="F326" s="411"/>
      <c r="G326" s="7">
        <f t="shared" si="73"/>
        <v>0</v>
      </c>
      <c r="H326" s="7">
        <f t="shared" si="72"/>
        <v>0</v>
      </c>
      <c r="I326" s="1"/>
      <c r="J326" s="405" t="s">
        <v>29</v>
      </c>
      <c r="K326" s="463" t="s">
        <v>196</v>
      </c>
      <c r="L326" s="405" t="s">
        <v>94</v>
      </c>
      <c r="M326" s="464"/>
      <c r="N326" s="463"/>
      <c r="O326" s="467"/>
      <c r="P326" s="468"/>
    </row>
    <row r="327" spans="1:18" ht="15.5">
      <c r="A327" s="475" t="s">
        <v>295</v>
      </c>
      <c r="B327" s="476" t="s">
        <v>900</v>
      </c>
      <c r="C327" s="477"/>
      <c r="D327" s="27"/>
      <c r="E327" s="27"/>
      <c r="F327" s="478"/>
      <c r="G327" s="2">
        <f>SUBTOTAL(9,G328:G329)</f>
        <v>0</v>
      </c>
      <c r="H327" s="2">
        <f>SUBTOTAL(9,H328:H329)</f>
        <v>0</v>
      </c>
      <c r="I327" s="479"/>
      <c r="P327" s="20"/>
      <c r="R327" s="20"/>
    </row>
    <row r="328" spans="1:18" ht="15.5">
      <c r="A328" s="480">
        <v>1</v>
      </c>
      <c r="B328" s="481" t="s">
        <v>662</v>
      </c>
      <c r="C328" s="482" t="s">
        <v>24</v>
      </c>
      <c r="D328" s="27"/>
      <c r="E328" s="27"/>
      <c r="F328" s="478"/>
      <c r="G328" s="7">
        <f t="shared" ref="G328:G329" si="74">F328*D328</f>
        <v>0</v>
      </c>
      <c r="H328" s="7">
        <f t="shared" ref="H328:H329" si="75">F328*E328</f>
        <v>0</v>
      </c>
      <c r="I328" s="479"/>
      <c r="J328" s="405" t="s">
        <v>29</v>
      </c>
      <c r="K328" s="463" t="s">
        <v>122</v>
      </c>
      <c r="L328" s="405" t="s">
        <v>94</v>
      </c>
      <c r="P328" s="20"/>
      <c r="R328" s="20"/>
    </row>
    <row r="329" spans="1:18" ht="15.5">
      <c r="A329" s="480">
        <v>2</v>
      </c>
      <c r="B329" s="481" t="s">
        <v>901</v>
      </c>
      <c r="C329" s="482" t="s">
        <v>24</v>
      </c>
      <c r="D329" s="27"/>
      <c r="E329" s="27"/>
      <c r="F329" s="478"/>
      <c r="G329" s="7">
        <f t="shared" si="74"/>
        <v>0</v>
      </c>
      <c r="H329" s="7">
        <f t="shared" si="75"/>
        <v>0</v>
      </c>
      <c r="I329" s="479"/>
      <c r="J329" s="405" t="s">
        <v>29</v>
      </c>
      <c r="K329" s="463" t="s">
        <v>122</v>
      </c>
      <c r="L329" s="405" t="s">
        <v>94</v>
      </c>
      <c r="P329" s="20"/>
      <c r="R329" s="20"/>
    </row>
    <row r="330" spans="1:18" s="219" customFormat="1" ht="14" outlineLevel="3">
      <c r="A330" s="239" t="s">
        <v>83</v>
      </c>
      <c r="B330" s="192" t="s">
        <v>147</v>
      </c>
      <c r="C330" s="200"/>
      <c r="D330" s="201"/>
      <c r="E330" s="201"/>
      <c r="F330" s="201"/>
      <c r="G330" s="201">
        <f>SUBTOTAL(9,G331:G346)</f>
        <v>263198.54800000001</v>
      </c>
      <c r="H330" s="201">
        <f>SUBTOTAL(9,H331:H346)</f>
        <v>200659.03200000001</v>
      </c>
      <c r="I330" s="202"/>
      <c r="J330" s="214"/>
      <c r="K330" s="214"/>
      <c r="L330" s="214"/>
      <c r="M330" s="236"/>
      <c r="N330" s="237"/>
      <c r="O330" s="241"/>
      <c r="P330" s="220"/>
    </row>
    <row r="331" spans="1:18" s="594" customFormat="1" ht="14.9" customHeight="1" outlineLevel="2">
      <c r="A331" s="203">
        <v>1</v>
      </c>
      <c r="B331" s="199" t="s">
        <v>1006</v>
      </c>
      <c r="C331" s="200" t="s">
        <v>339</v>
      </c>
      <c r="D331" s="201">
        <v>96800</v>
      </c>
      <c r="E331" s="201">
        <v>151200</v>
      </c>
      <c r="F331" s="588">
        <v>0.13500000000000001</v>
      </c>
      <c r="G331" s="201">
        <f>D331*$F331</f>
        <v>13068</v>
      </c>
      <c r="H331" s="201">
        <f>E331*$F331</f>
        <v>20412</v>
      </c>
      <c r="I331" s="589"/>
      <c r="J331" s="214" t="s">
        <v>29</v>
      </c>
      <c r="K331" s="214" t="s">
        <v>163</v>
      </c>
      <c r="L331" s="214" t="s">
        <v>94</v>
      </c>
      <c r="M331" s="590"/>
      <c r="N331" s="591"/>
      <c r="O331" s="592"/>
      <c r="P331" s="593"/>
    </row>
    <row r="332" spans="1:18" s="594" customFormat="1" ht="14.9" customHeight="1" outlineLevel="2">
      <c r="A332" s="203">
        <v>2</v>
      </c>
      <c r="B332" s="199" t="s">
        <v>1007</v>
      </c>
      <c r="C332" s="200" t="s">
        <v>339</v>
      </c>
      <c r="D332" s="201">
        <v>208800</v>
      </c>
      <c r="E332" s="201">
        <v>151200</v>
      </c>
      <c r="F332" s="588">
        <v>0.15</v>
      </c>
      <c r="G332" s="201">
        <f t="shared" ref="G332:H346" si="76">D332*$F332</f>
        <v>31320</v>
      </c>
      <c r="H332" s="201">
        <f t="shared" si="76"/>
        <v>22680</v>
      </c>
      <c r="I332" s="589"/>
      <c r="J332" s="214" t="s">
        <v>29</v>
      </c>
      <c r="K332" s="214" t="s">
        <v>163</v>
      </c>
      <c r="L332" s="214" t="s">
        <v>94</v>
      </c>
      <c r="M332" s="590"/>
      <c r="N332" s="591"/>
      <c r="O332" s="592"/>
      <c r="P332" s="593"/>
    </row>
    <row r="333" spans="1:18" s="594" customFormat="1" ht="14.9" customHeight="1" outlineLevel="2">
      <c r="A333" s="203">
        <v>3</v>
      </c>
      <c r="B333" s="199" t="s">
        <v>1008</v>
      </c>
      <c r="C333" s="200" t="s">
        <v>379</v>
      </c>
      <c r="D333" s="201">
        <v>188.036</v>
      </c>
      <c r="E333" s="201">
        <v>192.024</v>
      </c>
      <c r="F333" s="588">
        <v>33</v>
      </c>
      <c r="G333" s="201">
        <f t="shared" si="76"/>
        <v>6205.1880000000001</v>
      </c>
      <c r="H333" s="201">
        <f t="shared" si="76"/>
        <v>6336.7920000000004</v>
      </c>
      <c r="I333" s="589"/>
      <c r="J333" s="214" t="s">
        <v>29</v>
      </c>
      <c r="K333" s="214" t="s">
        <v>163</v>
      </c>
      <c r="L333" s="214" t="s">
        <v>94</v>
      </c>
      <c r="M333" s="590"/>
      <c r="N333" s="591"/>
      <c r="O333" s="592"/>
      <c r="P333" s="593"/>
    </row>
    <row r="334" spans="1:18" s="594" customFormat="1" ht="14.9" customHeight="1" outlineLevel="2">
      <c r="A334" s="203">
        <v>4</v>
      </c>
      <c r="B334" s="199" t="s">
        <v>1009</v>
      </c>
      <c r="C334" s="200" t="s">
        <v>379</v>
      </c>
      <c r="D334" s="201">
        <v>211.8</v>
      </c>
      <c r="E334" s="201">
        <v>151.20000000000002</v>
      </c>
      <c r="F334" s="588">
        <v>5</v>
      </c>
      <c r="G334" s="201">
        <f t="shared" si="76"/>
        <v>1059</v>
      </c>
      <c r="H334" s="201">
        <f t="shared" si="76"/>
        <v>756.00000000000011</v>
      </c>
      <c r="I334" s="589"/>
      <c r="J334" s="214" t="s">
        <v>29</v>
      </c>
      <c r="K334" s="214" t="s">
        <v>163</v>
      </c>
      <c r="L334" s="214" t="s">
        <v>94</v>
      </c>
      <c r="M334" s="590"/>
      <c r="N334" s="591"/>
      <c r="O334" s="592"/>
      <c r="P334" s="593"/>
    </row>
    <row r="335" spans="1:18" s="594" customFormat="1" ht="14.9" customHeight="1" outlineLevel="2">
      <c r="A335" s="203">
        <v>5</v>
      </c>
      <c r="B335" s="199" t="s">
        <v>1010</v>
      </c>
      <c r="C335" s="200" t="s">
        <v>379</v>
      </c>
      <c r="D335" s="201">
        <v>214.8</v>
      </c>
      <c r="E335" s="201">
        <v>151.20000000000002</v>
      </c>
      <c r="F335" s="588">
        <v>5</v>
      </c>
      <c r="G335" s="201">
        <f t="shared" si="76"/>
        <v>1074</v>
      </c>
      <c r="H335" s="201">
        <f t="shared" si="76"/>
        <v>756.00000000000011</v>
      </c>
      <c r="I335" s="589"/>
      <c r="J335" s="214" t="s">
        <v>29</v>
      </c>
      <c r="K335" s="214" t="s">
        <v>163</v>
      </c>
      <c r="L335" s="214" t="s">
        <v>94</v>
      </c>
      <c r="M335" s="590"/>
      <c r="N335" s="591"/>
      <c r="O335" s="592"/>
      <c r="P335" s="593"/>
    </row>
    <row r="336" spans="1:18" s="594" customFormat="1" ht="14.9" customHeight="1" outlineLevel="2">
      <c r="A336" s="203">
        <v>6</v>
      </c>
      <c r="B336" s="199" t="s">
        <v>1011</v>
      </c>
      <c r="C336" s="200" t="s">
        <v>379</v>
      </c>
      <c r="D336" s="201">
        <v>293.60000000000002</v>
      </c>
      <c r="E336" s="201">
        <v>302.40000000000003</v>
      </c>
      <c r="F336" s="588">
        <v>45</v>
      </c>
      <c r="G336" s="201">
        <f t="shared" si="76"/>
        <v>13212.000000000002</v>
      </c>
      <c r="H336" s="201">
        <f t="shared" si="76"/>
        <v>13608.000000000002</v>
      </c>
      <c r="I336" s="589"/>
      <c r="J336" s="214" t="s">
        <v>29</v>
      </c>
      <c r="K336" s="214" t="s">
        <v>163</v>
      </c>
      <c r="L336" s="214" t="s">
        <v>94</v>
      </c>
      <c r="M336" s="590"/>
      <c r="N336" s="591"/>
      <c r="O336" s="592"/>
      <c r="P336" s="593"/>
    </row>
    <row r="337" spans="1:17" s="594" customFormat="1" ht="14.9" customHeight="1" outlineLevel="2">
      <c r="A337" s="203">
        <v>7</v>
      </c>
      <c r="B337" s="199" t="s">
        <v>1012</v>
      </c>
      <c r="C337" s="200" t="s">
        <v>379</v>
      </c>
      <c r="D337" s="201">
        <v>201.8</v>
      </c>
      <c r="E337" s="201">
        <v>151.20000000000002</v>
      </c>
      <c r="F337" s="588">
        <v>35</v>
      </c>
      <c r="G337" s="201">
        <f t="shared" si="76"/>
        <v>7063</v>
      </c>
      <c r="H337" s="201">
        <f t="shared" si="76"/>
        <v>5292.0000000000009</v>
      </c>
      <c r="I337" s="589"/>
      <c r="J337" s="214" t="s">
        <v>29</v>
      </c>
      <c r="K337" s="214" t="s">
        <v>163</v>
      </c>
      <c r="L337" s="214" t="s">
        <v>94</v>
      </c>
      <c r="M337" s="590"/>
      <c r="N337" s="591"/>
      <c r="O337" s="592"/>
      <c r="P337" s="593"/>
    </row>
    <row r="338" spans="1:17" s="594" customFormat="1" ht="14.9" customHeight="1" outlineLevel="2">
      <c r="A338" s="203">
        <v>8</v>
      </c>
      <c r="B338" s="199" t="s">
        <v>1013</v>
      </c>
      <c r="C338" s="200" t="s">
        <v>339</v>
      </c>
      <c r="D338" s="201">
        <v>208800</v>
      </c>
      <c r="E338" s="201">
        <v>151200</v>
      </c>
      <c r="F338" s="588">
        <v>0.33500000000000002</v>
      </c>
      <c r="G338" s="201">
        <f t="shared" si="76"/>
        <v>69948</v>
      </c>
      <c r="H338" s="201">
        <f t="shared" si="76"/>
        <v>50652</v>
      </c>
      <c r="I338" s="589"/>
      <c r="J338" s="214" t="s">
        <v>29</v>
      </c>
      <c r="K338" s="214" t="s">
        <v>163</v>
      </c>
      <c r="L338" s="214" t="s">
        <v>94</v>
      </c>
      <c r="M338" s="590"/>
      <c r="N338" s="591"/>
      <c r="O338" s="592"/>
      <c r="P338" s="593"/>
    </row>
    <row r="339" spans="1:17" s="594" customFormat="1" ht="14.9" customHeight="1" outlineLevel="2">
      <c r="A339" s="203">
        <v>9</v>
      </c>
      <c r="B339" s="199" t="s">
        <v>1014</v>
      </c>
      <c r="C339" s="200" t="s">
        <v>1015</v>
      </c>
      <c r="D339" s="201">
        <v>1814.4</v>
      </c>
      <c r="E339" s="201">
        <v>1209.6000000000001</v>
      </c>
      <c r="F339" s="588">
        <v>3.1</v>
      </c>
      <c r="G339" s="201">
        <f t="shared" si="76"/>
        <v>5624.64</v>
      </c>
      <c r="H339" s="201">
        <f t="shared" si="76"/>
        <v>3749.7600000000007</v>
      </c>
      <c r="I339" s="589"/>
      <c r="J339" s="214" t="s">
        <v>29</v>
      </c>
      <c r="K339" s="214" t="s">
        <v>163</v>
      </c>
      <c r="L339" s="214" t="s">
        <v>94</v>
      </c>
      <c r="M339" s="590"/>
      <c r="N339" s="591"/>
      <c r="O339" s="592"/>
      <c r="P339" s="593"/>
    </row>
    <row r="340" spans="1:17" s="594" customFormat="1" ht="14.9" customHeight="1" outlineLevel="2">
      <c r="A340" s="203">
        <v>10</v>
      </c>
      <c r="B340" s="199" t="s">
        <v>1016</v>
      </c>
      <c r="C340" s="200" t="s">
        <v>1015</v>
      </c>
      <c r="D340" s="201">
        <v>3628.8</v>
      </c>
      <c r="E340" s="201">
        <v>2419.2000000000003</v>
      </c>
      <c r="F340" s="588">
        <v>3</v>
      </c>
      <c r="G340" s="201">
        <f t="shared" si="76"/>
        <v>10886.400000000001</v>
      </c>
      <c r="H340" s="201">
        <f t="shared" si="76"/>
        <v>7257.6</v>
      </c>
      <c r="I340" s="589"/>
      <c r="J340" s="214" t="s">
        <v>29</v>
      </c>
      <c r="K340" s="214" t="s">
        <v>163</v>
      </c>
      <c r="L340" s="214" t="s">
        <v>94</v>
      </c>
      <c r="M340" s="590"/>
      <c r="N340" s="591"/>
      <c r="O340" s="592"/>
      <c r="P340" s="593"/>
    </row>
    <row r="341" spans="1:17" s="594" customFormat="1" ht="14.9" customHeight="1" outlineLevel="2">
      <c r="A341" s="203">
        <v>11</v>
      </c>
      <c r="B341" s="199" t="s">
        <v>1017</v>
      </c>
      <c r="C341" s="200" t="s">
        <v>1015</v>
      </c>
      <c r="D341" s="201">
        <v>4536</v>
      </c>
      <c r="E341" s="201">
        <v>3024</v>
      </c>
      <c r="F341" s="588">
        <v>10.31</v>
      </c>
      <c r="G341" s="201">
        <f t="shared" si="76"/>
        <v>46766.16</v>
      </c>
      <c r="H341" s="201">
        <f t="shared" si="76"/>
        <v>31177.440000000002</v>
      </c>
      <c r="I341" s="589"/>
      <c r="J341" s="214" t="s">
        <v>29</v>
      </c>
      <c r="K341" s="214" t="s">
        <v>163</v>
      </c>
      <c r="L341" s="214" t="s">
        <v>94</v>
      </c>
      <c r="M341" s="590"/>
      <c r="N341" s="591"/>
      <c r="O341" s="592"/>
      <c r="P341" s="593"/>
    </row>
    <row r="342" spans="1:17" s="594" customFormat="1" ht="14.9" customHeight="1" outlineLevel="2">
      <c r="A342" s="203"/>
      <c r="B342" s="199" t="s">
        <v>1018</v>
      </c>
      <c r="C342" s="200" t="s">
        <v>1015</v>
      </c>
      <c r="D342" s="201">
        <v>0</v>
      </c>
      <c r="E342" s="201">
        <v>0</v>
      </c>
      <c r="F342" s="588">
        <v>2.2000000000000002</v>
      </c>
      <c r="G342" s="201">
        <f t="shared" si="76"/>
        <v>0</v>
      </c>
      <c r="H342" s="201">
        <f t="shared" si="76"/>
        <v>0</v>
      </c>
      <c r="I342" s="589"/>
      <c r="J342" s="214" t="s">
        <v>29</v>
      </c>
      <c r="K342" s="214" t="s">
        <v>163</v>
      </c>
      <c r="L342" s="214" t="s">
        <v>94</v>
      </c>
      <c r="M342" s="590"/>
      <c r="N342" s="591"/>
      <c r="O342" s="592"/>
      <c r="P342" s="593"/>
    </row>
    <row r="343" spans="1:17" s="594" customFormat="1" ht="14.9" customHeight="1" outlineLevel="2">
      <c r="A343" s="203"/>
      <c r="B343" s="199" t="s">
        <v>1019</v>
      </c>
      <c r="C343" s="200" t="s">
        <v>339</v>
      </c>
      <c r="D343" s="201">
        <v>0</v>
      </c>
      <c r="E343" s="201">
        <v>0</v>
      </c>
      <c r="F343" s="588">
        <v>2.2000000000000002</v>
      </c>
      <c r="G343" s="201">
        <f t="shared" si="76"/>
        <v>0</v>
      </c>
      <c r="H343" s="201">
        <f t="shared" si="76"/>
        <v>0</v>
      </c>
      <c r="I343" s="589"/>
      <c r="J343" s="214" t="s">
        <v>29</v>
      </c>
      <c r="K343" s="214" t="s">
        <v>163</v>
      </c>
      <c r="L343" s="214" t="s">
        <v>94</v>
      </c>
      <c r="M343" s="590"/>
      <c r="N343" s="591"/>
      <c r="O343" s="592"/>
      <c r="P343" s="593"/>
    </row>
    <row r="344" spans="1:17" s="594" customFormat="1" ht="14.9" customHeight="1" outlineLevel="2">
      <c r="A344" s="203">
        <v>12</v>
      </c>
      <c r="B344" s="199" t="s">
        <v>1020</v>
      </c>
      <c r="C344" s="200" t="s">
        <v>1015</v>
      </c>
      <c r="D344" s="201">
        <v>226.8</v>
      </c>
      <c r="E344" s="201">
        <v>151.20000000000002</v>
      </c>
      <c r="F344" s="588">
        <v>4.9000000000000004</v>
      </c>
      <c r="G344" s="201">
        <f t="shared" si="76"/>
        <v>1111.3200000000002</v>
      </c>
      <c r="H344" s="201">
        <f t="shared" si="76"/>
        <v>740.88000000000011</v>
      </c>
      <c r="I344" s="589"/>
      <c r="J344" s="214" t="s">
        <v>29</v>
      </c>
      <c r="K344" s="214" t="s">
        <v>163</v>
      </c>
      <c r="L344" s="214" t="s">
        <v>94</v>
      </c>
      <c r="M344" s="590"/>
      <c r="N344" s="591"/>
      <c r="O344" s="592"/>
      <c r="P344" s="593"/>
    </row>
    <row r="345" spans="1:17" s="594" customFormat="1" ht="14.9" customHeight="1" outlineLevel="2">
      <c r="A345" s="203">
        <v>13</v>
      </c>
      <c r="B345" s="199" t="s">
        <v>1021</v>
      </c>
      <c r="C345" s="200" t="s">
        <v>1015</v>
      </c>
      <c r="D345" s="201">
        <v>453.6</v>
      </c>
      <c r="E345" s="201">
        <v>302.40000000000003</v>
      </c>
      <c r="F345" s="588">
        <v>118</v>
      </c>
      <c r="G345" s="201">
        <f t="shared" si="76"/>
        <v>53524.800000000003</v>
      </c>
      <c r="H345" s="201">
        <f t="shared" si="76"/>
        <v>35683.200000000004</v>
      </c>
      <c r="I345" s="589"/>
      <c r="J345" s="214" t="s">
        <v>29</v>
      </c>
      <c r="K345" s="214" t="s">
        <v>163</v>
      </c>
      <c r="L345" s="214" t="s">
        <v>94</v>
      </c>
      <c r="M345" s="590"/>
      <c r="N345" s="591"/>
      <c r="O345" s="592"/>
      <c r="P345" s="593"/>
    </row>
    <row r="346" spans="1:17" s="594" customFormat="1" ht="14.9" customHeight="1" outlineLevel="2">
      <c r="A346" s="203">
        <v>14</v>
      </c>
      <c r="B346" s="199" t="s">
        <v>1022</v>
      </c>
      <c r="C346" s="200" t="s">
        <v>1015</v>
      </c>
      <c r="D346" s="201">
        <v>226.8</v>
      </c>
      <c r="E346" s="201">
        <v>151.20000000000002</v>
      </c>
      <c r="F346" s="588">
        <v>10.3</v>
      </c>
      <c r="G346" s="201">
        <f t="shared" si="76"/>
        <v>2336.0400000000004</v>
      </c>
      <c r="H346" s="201">
        <f t="shared" si="76"/>
        <v>1557.3600000000004</v>
      </c>
      <c r="I346" s="589"/>
      <c r="J346" s="214" t="s">
        <v>29</v>
      </c>
      <c r="K346" s="214" t="s">
        <v>163</v>
      </c>
      <c r="L346" s="214" t="s">
        <v>94</v>
      </c>
      <c r="M346" s="590"/>
      <c r="N346" s="591"/>
      <c r="O346" s="592"/>
      <c r="P346" s="593"/>
    </row>
    <row r="347" spans="1:17" s="223" customFormat="1" ht="14">
      <c r="A347" s="243" t="s">
        <v>52</v>
      </c>
      <c r="B347" s="244" t="s">
        <v>1362</v>
      </c>
      <c r="C347" s="245"/>
      <c r="D347" s="246"/>
      <c r="E347" s="246"/>
      <c r="F347" s="247"/>
      <c r="G347" s="246">
        <f>SUBTOTAL(9,G348:G529)</f>
        <v>5031021.2</v>
      </c>
      <c r="H347" s="246">
        <f>SUBTOTAL(9,H348:H529)</f>
        <v>9971400.8000000007</v>
      </c>
      <c r="I347" s="248"/>
      <c r="J347" s="213"/>
      <c r="K347" s="222"/>
      <c r="L347" s="222"/>
      <c r="M347" s="222"/>
      <c r="N347" s="222"/>
      <c r="O347" s="216"/>
      <c r="P347" s="217"/>
      <c r="Q347" s="216"/>
    </row>
    <row r="348" spans="1:17" s="490" customFormat="1">
      <c r="A348" s="483" t="s">
        <v>960</v>
      </c>
      <c r="B348" s="484" t="s">
        <v>38</v>
      </c>
      <c r="C348" s="485"/>
      <c r="D348" s="486"/>
      <c r="E348" s="486"/>
      <c r="F348" s="487"/>
      <c r="G348" s="486">
        <f>SUBTOTAL(9,G349:G440)</f>
        <v>4429378.2</v>
      </c>
      <c r="H348" s="486">
        <f>SUBTOTAL(9,H349:H440)</f>
        <v>6790052.8000000007</v>
      </c>
      <c r="I348" s="488"/>
      <c r="J348" s="1" t="s">
        <v>38</v>
      </c>
      <c r="K348" s="489"/>
      <c r="L348" s="489"/>
      <c r="M348" s="489"/>
      <c r="N348" s="489"/>
      <c r="P348" s="491"/>
    </row>
    <row r="349" spans="1:17" s="497" customFormat="1" outlineLevel="1">
      <c r="A349" s="492" t="s">
        <v>4</v>
      </c>
      <c r="B349" s="493" t="s">
        <v>385</v>
      </c>
      <c r="C349" s="494"/>
      <c r="D349" s="495"/>
      <c r="E349" s="495"/>
      <c r="F349" s="495"/>
      <c r="G349" s="495">
        <f>SUBTOTAL(9,G350:G386)</f>
        <v>3153326</v>
      </c>
      <c r="H349" s="495">
        <f>SUBTOTAL(9,H350:H386)</f>
        <v>5955091</v>
      </c>
      <c r="I349" s="495"/>
      <c r="J349" s="1" t="s">
        <v>38</v>
      </c>
      <c r="K349" s="496"/>
      <c r="L349" s="496"/>
      <c r="M349" s="496"/>
      <c r="N349" s="496"/>
      <c r="P349" s="498"/>
    </row>
    <row r="350" spans="1:17" s="502" customFormat="1" outlineLevel="2">
      <c r="A350" s="492">
        <v>1</v>
      </c>
      <c r="B350" s="499" t="s">
        <v>961</v>
      </c>
      <c r="C350" s="494"/>
      <c r="D350" s="495"/>
      <c r="E350" s="495"/>
      <c r="F350" s="495"/>
      <c r="G350" s="495">
        <f>SUBTOTAL(9,G351:G352)</f>
        <v>626911</v>
      </c>
      <c r="H350" s="495">
        <f>SUBTOTAL(9,H351:H352)</f>
        <v>0</v>
      </c>
      <c r="I350" s="495"/>
      <c r="J350" s="1" t="s">
        <v>38</v>
      </c>
      <c r="K350" s="501"/>
      <c r="L350" s="501"/>
      <c r="M350" s="501"/>
      <c r="N350" s="501"/>
      <c r="P350" s="503"/>
    </row>
    <row r="351" spans="1:17" s="20" customFormat="1" ht="26" outlineLevel="3">
      <c r="A351" s="33" t="s">
        <v>8</v>
      </c>
      <c r="B351" s="504" t="s">
        <v>1288</v>
      </c>
      <c r="C351" s="338" t="s">
        <v>24</v>
      </c>
      <c r="D351" s="7">
        <v>1</v>
      </c>
      <c r="E351" s="7"/>
      <c r="F351" s="342">
        <v>31281</v>
      </c>
      <c r="G351" s="7">
        <f>F351*D351</f>
        <v>31281</v>
      </c>
      <c r="H351" s="7">
        <f>F351*E351</f>
        <v>0</v>
      </c>
      <c r="I351" s="1"/>
      <c r="J351" s="1" t="s">
        <v>38</v>
      </c>
      <c r="K351" s="1" t="s">
        <v>195</v>
      </c>
      <c r="L351" s="1" t="s">
        <v>94</v>
      </c>
      <c r="M351" s="1" t="s">
        <v>121</v>
      </c>
      <c r="N351" s="505" t="s">
        <v>576</v>
      </c>
      <c r="O351" s="505" t="s">
        <v>962</v>
      </c>
      <c r="P351" s="576"/>
    </row>
    <row r="352" spans="1:17" s="20" customFormat="1" outlineLevel="3">
      <c r="A352" s="33" t="s">
        <v>8</v>
      </c>
      <c r="B352" s="504" t="s">
        <v>326</v>
      </c>
      <c r="C352" s="338" t="s">
        <v>24</v>
      </c>
      <c r="D352" s="7">
        <v>10</v>
      </c>
      <c r="E352" s="7"/>
      <c r="F352" s="342">
        <v>59563</v>
      </c>
      <c r="G352" s="7">
        <f>F352*D352</f>
        <v>595630</v>
      </c>
      <c r="H352" s="7">
        <f>F352*E352</f>
        <v>0</v>
      </c>
      <c r="I352" s="1"/>
      <c r="J352" s="1" t="s">
        <v>38</v>
      </c>
      <c r="K352" s="1" t="s">
        <v>195</v>
      </c>
      <c r="L352" s="1" t="s">
        <v>94</v>
      </c>
      <c r="M352" s="1" t="s">
        <v>121</v>
      </c>
      <c r="N352" s="505" t="s">
        <v>576</v>
      </c>
      <c r="O352" s="506" t="s">
        <v>963</v>
      </c>
      <c r="P352" s="576"/>
    </row>
    <row r="353" spans="1:16" s="497" customFormat="1" outlineLevel="3">
      <c r="A353" s="507">
        <v>2</v>
      </c>
      <c r="B353" s="499" t="s">
        <v>328</v>
      </c>
      <c r="C353" s="508" t="s">
        <v>24</v>
      </c>
      <c r="D353" s="500"/>
      <c r="E353" s="500"/>
      <c r="F353" s="509"/>
      <c r="G353" s="495">
        <f>SUBTOTAL(9,G354:G355)</f>
        <v>93843</v>
      </c>
      <c r="H353" s="495">
        <f>SUBTOTAL(9,H354:H355)</f>
        <v>0</v>
      </c>
      <c r="I353" s="510"/>
      <c r="J353" s="496" t="s">
        <v>38</v>
      </c>
      <c r="K353" s="496"/>
      <c r="L353" s="496" t="s">
        <v>94</v>
      </c>
      <c r="M353" s="496" t="s">
        <v>121</v>
      </c>
      <c r="N353" s="496"/>
      <c r="P353" s="498"/>
    </row>
    <row r="354" spans="1:16" s="20" customFormat="1" ht="26" outlineLevel="3">
      <c r="A354" s="33" t="s">
        <v>8</v>
      </c>
      <c r="B354" s="504" t="s">
        <v>1288</v>
      </c>
      <c r="C354" s="338" t="s">
        <v>24</v>
      </c>
      <c r="D354" s="7">
        <v>3</v>
      </c>
      <c r="E354" s="7"/>
      <c r="F354" s="342">
        <v>31281</v>
      </c>
      <c r="G354" s="7">
        <f>F354*D354</f>
        <v>93843</v>
      </c>
      <c r="H354" s="7">
        <f>F354*E354</f>
        <v>0</v>
      </c>
      <c r="I354" s="1"/>
      <c r="J354" s="1" t="s">
        <v>38</v>
      </c>
      <c r="K354" s="214" t="s">
        <v>194</v>
      </c>
      <c r="L354" s="1" t="s">
        <v>94</v>
      </c>
      <c r="M354" s="1" t="s">
        <v>121</v>
      </c>
      <c r="N354" s="505" t="s">
        <v>576</v>
      </c>
      <c r="O354" s="505" t="s">
        <v>962</v>
      </c>
      <c r="P354" s="576"/>
    </row>
    <row r="355" spans="1:16" s="20" customFormat="1" ht="14" outlineLevel="3">
      <c r="A355" s="33" t="s">
        <v>8</v>
      </c>
      <c r="B355" s="504" t="s">
        <v>326</v>
      </c>
      <c r="C355" s="338" t="s">
        <v>24</v>
      </c>
      <c r="D355" s="7"/>
      <c r="E355" s="7"/>
      <c r="F355" s="342">
        <v>59563</v>
      </c>
      <c r="G355" s="7">
        <f>F355*D355</f>
        <v>0</v>
      </c>
      <c r="H355" s="7">
        <f>F355*E355</f>
        <v>0</v>
      </c>
      <c r="I355" s="1"/>
      <c r="J355" s="1" t="s">
        <v>38</v>
      </c>
      <c r="K355" s="214" t="s">
        <v>194</v>
      </c>
      <c r="L355" s="1" t="s">
        <v>94</v>
      </c>
      <c r="M355" s="1" t="s">
        <v>121</v>
      </c>
      <c r="N355" s="505" t="s">
        <v>576</v>
      </c>
      <c r="O355" s="506" t="s">
        <v>963</v>
      </c>
      <c r="P355" s="576"/>
    </row>
    <row r="356" spans="1:16" s="497" customFormat="1" outlineLevel="3">
      <c r="A356" s="507">
        <v>3</v>
      </c>
      <c r="B356" s="511" t="s">
        <v>1385</v>
      </c>
      <c r="C356" s="508"/>
      <c r="D356" s="500"/>
      <c r="E356" s="500"/>
      <c r="F356" s="509"/>
      <c r="G356" s="495">
        <f>SUBTOTAL(9,G357:G372)</f>
        <v>1414001</v>
      </c>
      <c r="H356" s="495">
        <f>SUBTOTAL(9,H357:I372)</f>
        <v>0</v>
      </c>
      <c r="I356" s="510"/>
      <c r="J356" s="32" t="s">
        <v>38</v>
      </c>
      <c r="K356" s="496"/>
      <c r="L356" s="496"/>
      <c r="M356" s="496"/>
      <c r="N356" s="496"/>
      <c r="P356" s="498"/>
    </row>
    <row r="357" spans="1:16" s="20" customFormat="1" outlineLevel="4">
      <c r="A357" s="33" t="s">
        <v>8</v>
      </c>
      <c r="B357" s="512" t="s">
        <v>1262</v>
      </c>
      <c r="C357" s="338" t="s">
        <v>24</v>
      </c>
      <c r="D357" s="7">
        <v>3</v>
      </c>
      <c r="E357" s="513"/>
      <c r="F357" s="514">
        <v>59563</v>
      </c>
      <c r="G357" s="7">
        <f t="shared" ref="G357:G372" si="77">F357*D357</f>
        <v>178689</v>
      </c>
      <c r="H357" s="7">
        <f t="shared" ref="H357:H372" si="78">F357*E357</f>
        <v>0</v>
      </c>
      <c r="I357" s="1"/>
      <c r="J357" s="32" t="s">
        <v>38</v>
      </c>
      <c r="K357" s="1" t="s">
        <v>195</v>
      </c>
      <c r="L357" s="32" t="s">
        <v>94</v>
      </c>
      <c r="M357" s="32" t="s">
        <v>121</v>
      </c>
      <c r="N357" s="515"/>
      <c r="O357" s="515"/>
      <c r="P357" s="516"/>
    </row>
    <row r="358" spans="1:16" s="20" customFormat="1" ht="14.5" outlineLevel="4">
      <c r="A358" s="33" t="s">
        <v>8</v>
      </c>
      <c r="B358" s="504" t="s">
        <v>1263</v>
      </c>
      <c r="C358" s="338" t="s">
        <v>24</v>
      </c>
      <c r="D358" s="7">
        <v>2</v>
      </c>
      <c r="E358" s="7"/>
      <c r="F358" s="348">
        <v>231000</v>
      </c>
      <c r="G358" s="7">
        <f t="shared" si="77"/>
        <v>462000</v>
      </c>
      <c r="H358" s="7">
        <f t="shared" si="78"/>
        <v>0</v>
      </c>
      <c r="I358" s="1"/>
      <c r="J358" s="32" t="s">
        <v>38</v>
      </c>
      <c r="K358" s="1" t="s">
        <v>195</v>
      </c>
      <c r="L358" s="32" t="s">
        <v>94</v>
      </c>
      <c r="M358" s="32" t="s">
        <v>121</v>
      </c>
      <c r="N358" s="517"/>
      <c r="O358" s="517"/>
      <c r="P358" s="516"/>
    </row>
    <row r="359" spans="1:16" s="20" customFormat="1" ht="14.5" outlineLevel="4">
      <c r="A359" s="33" t="s">
        <v>8</v>
      </c>
      <c r="B359" s="504" t="s">
        <v>1292</v>
      </c>
      <c r="C359" s="338" t="s">
        <v>24</v>
      </c>
      <c r="D359" s="7">
        <v>2</v>
      </c>
      <c r="E359" s="7"/>
      <c r="F359" s="348">
        <v>22680</v>
      </c>
      <c r="G359" s="7">
        <f t="shared" ref="G359" si="79">F359*D359</f>
        <v>45360</v>
      </c>
      <c r="H359" s="7">
        <f t="shared" ref="H359" si="80">F359*E359</f>
        <v>0</v>
      </c>
      <c r="I359" s="1"/>
      <c r="J359" s="32" t="s">
        <v>38</v>
      </c>
      <c r="K359" s="1" t="s">
        <v>195</v>
      </c>
      <c r="L359" s="32" t="s">
        <v>94</v>
      </c>
      <c r="M359" s="32" t="s">
        <v>121</v>
      </c>
      <c r="N359" s="517"/>
      <c r="O359" s="517"/>
      <c r="P359" s="516"/>
    </row>
    <row r="360" spans="1:16" s="20" customFormat="1" outlineLevel="4">
      <c r="A360" s="33" t="s">
        <v>8</v>
      </c>
      <c r="B360" s="504" t="s">
        <v>1264</v>
      </c>
      <c r="C360" s="338" t="s">
        <v>24</v>
      </c>
      <c r="D360" s="7">
        <v>2</v>
      </c>
      <c r="E360" s="7"/>
      <c r="F360" s="518">
        <v>40000</v>
      </c>
      <c r="G360" s="7">
        <f t="shared" si="77"/>
        <v>80000</v>
      </c>
      <c r="H360" s="7">
        <f t="shared" si="78"/>
        <v>0</v>
      </c>
      <c r="I360" s="1"/>
      <c r="J360" s="32" t="s">
        <v>38</v>
      </c>
      <c r="K360" s="1" t="s">
        <v>195</v>
      </c>
      <c r="L360" s="32" t="s">
        <v>94</v>
      </c>
      <c r="M360" s="32" t="s">
        <v>121</v>
      </c>
      <c r="N360" s="519"/>
      <c r="P360" s="516"/>
    </row>
    <row r="361" spans="1:16" s="20" customFormat="1" outlineLevel="4">
      <c r="A361" s="33" t="s">
        <v>8</v>
      </c>
      <c r="B361" s="512" t="s">
        <v>1265</v>
      </c>
      <c r="C361" s="338" t="s">
        <v>24</v>
      </c>
      <c r="D361" s="7">
        <v>4</v>
      </c>
      <c r="E361" s="7"/>
      <c r="F361" s="518">
        <v>40000</v>
      </c>
      <c r="G361" s="7">
        <f t="shared" si="77"/>
        <v>160000</v>
      </c>
      <c r="H361" s="7">
        <f t="shared" si="78"/>
        <v>0</v>
      </c>
      <c r="I361" s="1"/>
      <c r="J361" s="32" t="s">
        <v>38</v>
      </c>
      <c r="K361" s="1" t="s">
        <v>195</v>
      </c>
      <c r="L361" s="32" t="s">
        <v>94</v>
      </c>
      <c r="M361" s="32" t="s">
        <v>121</v>
      </c>
      <c r="N361" s="519"/>
      <c r="P361" s="516"/>
    </row>
    <row r="362" spans="1:16" s="20" customFormat="1" outlineLevel="4">
      <c r="A362" s="33" t="s">
        <v>8</v>
      </c>
      <c r="B362" s="520" t="s">
        <v>1266</v>
      </c>
      <c r="C362" s="338" t="s">
        <v>24</v>
      </c>
      <c r="D362" s="7">
        <v>1</v>
      </c>
      <c r="E362" s="7"/>
      <c r="F362" s="518">
        <v>5000</v>
      </c>
      <c r="G362" s="7">
        <f t="shared" si="77"/>
        <v>5000</v>
      </c>
      <c r="H362" s="7">
        <f t="shared" si="78"/>
        <v>0</v>
      </c>
      <c r="I362" s="1"/>
      <c r="J362" s="32" t="s">
        <v>38</v>
      </c>
      <c r="K362" s="1" t="s">
        <v>195</v>
      </c>
      <c r="L362" s="32" t="s">
        <v>94</v>
      </c>
      <c r="M362" s="32" t="s">
        <v>121</v>
      </c>
      <c r="N362" s="519"/>
      <c r="P362" s="516"/>
    </row>
    <row r="363" spans="1:16" s="20" customFormat="1" outlineLevel="4">
      <c r="A363" s="33" t="s">
        <v>8</v>
      </c>
      <c r="B363" s="520" t="s">
        <v>1267</v>
      </c>
      <c r="C363" s="338" t="s">
        <v>24</v>
      </c>
      <c r="D363" s="7">
        <v>2</v>
      </c>
      <c r="E363" s="7"/>
      <c r="F363" s="518">
        <v>40000</v>
      </c>
      <c r="G363" s="7">
        <f t="shared" si="77"/>
        <v>80000</v>
      </c>
      <c r="H363" s="7">
        <f t="shared" si="78"/>
        <v>0</v>
      </c>
      <c r="I363" s="1"/>
      <c r="J363" s="32" t="s">
        <v>38</v>
      </c>
      <c r="K363" s="1" t="s">
        <v>195</v>
      </c>
      <c r="L363" s="32" t="s">
        <v>94</v>
      </c>
      <c r="M363" s="32" t="s">
        <v>121</v>
      </c>
      <c r="N363" s="519"/>
      <c r="P363" s="516"/>
    </row>
    <row r="364" spans="1:16" s="20" customFormat="1" outlineLevel="4">
      <c r="A364" s="33" t="s">
        <v>8</v>
      </c>
      <c r="B364" s="520" t="s">
        <v>1268</v>
      </c>
      <c r="C364" s="338" t="s">
        <v>24</v>
      </c>
      <c r="D364" s="7">
        <v>2</v>
      </c>
      <c r="E364" s="7"/>
      <c r="F364" s="518">
        <v>40000</v>
      </c>
      <c r="G364" s="7">
        <f t="shared" ref="G364:G369" si="81">F364*D364</f>
        <v>80000</v>
      </c>
      <c r="H364" s="7">
        <f t="shared" ref="H364:H369" si="82">F364*E364</f>
        <v>0</v>
      </c>
      <c r="I364" s="1"/>
      <c r="J364" s="32" t="s">
        <v>38</v>
      </c>
      <c r="K364" s="1" t="s">
        <v>195</v>
      </c>
      <c r="L364" s="32" t="s">
        <v>94</v>
      </c>
      <c r="M364" s="32" t="s">
        <v>121</v>
      </c>
      <c r="N364" s="519"/>
      <c r="P364" s="516"/>
    </row>
    <row r="365" spans="1:16" s="20" customFormat="1" outlineLevel="4">
      <c r="A365" s="33" t="s">
        <v>8</v>
      </c>
      <c r="B365" s="520" t="s">
        <v>1269</v>
      </c>
      <c r="C365" s="338" t="s">
        <v>24</v>
      </c>
      <c r="D365" s="7">
        <v>2</v>
      </c>
      <c r="E365" s="7"/>
      <c r="F365" s="514">
        <v>20000</v>
      </c>
      <c r="G365" s="7">
        <f t="shared" si="81"/>
        <v>40000</v>
      </c>
      <c r="H365" s="7">
        <f t="shared" si="82"/>
        <v>0</v>
      </c>
      <c r="I365" s="1"/>
      <c r="J365" s="32" t="s">
        <v>38</v>
      </c>
      <c r="K365" s="1" t="s">
        <v>195</v>
      </c>
      <c r="L365" s="32" t="s">
        <v>94</v>
      </c>
      <c r="M365" s="32" t="s">
        <v>121</v>
      </c>
      <c r="N365" s="519"/>
      <c r="O365" s="521"/>
      <c r="P365" s="516"/>
    </row>
    <row r="366" spans="1:16" s="20" customFormat="1" outlineLevel="4">
      <c r="A366" s="33" t="s">
        <v>8</v>
      </c>
      <c r="B366" s="520" t="s">
        <v>1270</v>
      </c>
      <c r="C366" s="338" t="s">
        <v>24</v>
      </c>
      <c r="D366" s="7">
        <v>10</v>
      </c>
      <c r="E366" s="7"/>
      <c r="F366" s="518">
        <v>10000</v>
      </c>
      <c r="G366" s="7">
        <f t="shared" si="81"/>
        <v>100000</v>
      </c>
      <c r="H366" s="7">
        <f t="shared" si="82"/>
        <v>0</v>
      </c>
      <c r="I366" s="1"/>
      <c r="J366" s="32" t="s">
        <v>38</v>
      </c>
      <c r="K366" s="1" t="s">
        <v>195</v>
      </c>
      <c r="L366" s="32" t="s">
        <v>94</v>
      </c>
      <c r="M366" s="32" t="s">
        <v>121</v>
      </c>
      <c r="N366" s="519"/>
      <c r="O366" s="521"/>
      <c r="P366" s="516"/>
    </row>
    <row r="367" spans="1:16" s="20" customFormat="1" outlineLevel="4">
      <c r="A367" s="33" t="s">
        <v>8</v>
      </c>
      <c r="B367" s="520" t="s">
        <v>1271</v>
      </c>
      <c r="C367" s="338" t="s">
        <v>9</v>
      </c>
      <c r="D367" s="7">
        <v>2</v>
      </c>
      <c r="E367" s="7"/>
      <c r="F367" s="522">
        <v>10000</v>
      </c>
      <c r="G367" s="7">
        <f t="shared" si="81"/>
        <v>20000</v>
      </c>
      <c r="H367" s="7">
        <f t="shared" si="82"/>
        <v>0</v>
      </c>
      <c r="I367" s="1"/>
      <c r="J367" s="32" t="s">
        <v>38</v>
      </c>
      <c r="K367" s="1" t="s">
        <v>195</v>
      </c>
      <c r="L367" s="32" t="s">
        <v>94</v>
      </c>
      <c r="M367" s="32" t="s">
        <v>121</v>
      </c>
      <c r="N367" s="519"/>
      <c r="P367" s="516"/>
    </row>
    <row r="368" spans="1:16" s="20" customFormat="1" outlineLevel="3">
      <c r="A368" s="33" t="s">
        <v>8</v>
      </c>
      <c r="B368" s="117" t="s">
        <v>1272</v>
      </c>
      <c r="C368" s="338" t="s">
        <v>9</v>
      </c>
      <c r="D368" s="7">
        <v>2</v>
      </c>
      <c r="E368" s="336"/>
      <c r="F368" s="522">
        <v>10000</v>
      </c>
      <c r="G368" s="7">
        <f t="shared" si="81"/>
        <v>20000</v>
      </c>
      <c r="H368" s="7">
        <f t="shared" si="82"/>
        <v>0</v>
      </c>
      <c r="I368" s="1"/>
      <c r="J368" s="32" t="s">
        <v>38</v>
      </c>
      <c r="K368" s="1" t="s">
        <v>195</v>
      </c>
      <c r="L368" s="32" t="s">
        <v>94</v>
      </c>
      <c r="M368" s="32" t="s">
        <v>121</v>
      </c>
      <c r="N368" s="519"/>
      <c r="O368" s="519"/>
      <c r="P368" s="577"/>
    </row>
    <row r="369" spans="1:16" s="20" customFormat="1" ht="14.5" outlineLevel="3">
      <c r="A369" s="33" t="s">
        <v>8</v>
      </c>
      <c r="B369" s="504" t="s">
        <v>1273</v>
      </c>
      <c r="C369" s="338" t="s">
        <v>24</v>
      </c>
      <c r="D369" s="7">
        <v>4</v>
      </c>
      <c r="E369" s="7"/>
      <c r="F369" s="523">
        <v>10000</v>
      </c>
      <c r="G369" s="7">
        <f t="shared" si="81"/>
        <v>40000</v>
      </c>
      <c r="H369" s="7">
        <f t="shared" si="82"/>
        <v>0</v>
      </c>
      <c r="I369" s="1"/>
      <c r="J369" s="32" t="s">
        <v>38</v>
      </c>
      <c r="K369" s="1" t="s">
        <v>195</v>
      </c>
      <c r="L369" s="32" t="s">
        <v>94</v>
      </c>
      <c r="M369" s="32"/>
      <c r="N369" s="524"/>
      <c r="O369" s="524"/>
      <c r="P369" s="578"/>
    </row>
    <row r="370" spans="1:16" s="20" customFormat="1" outlineLevel="4">
      <c r="A370" s="33" t="s">
        <v>8</v>
      </c>
      <c r="B370" s="520" t="s">
        <v>1274</v>
      </c>
      <c r="C370" s="338" t="s">
        <v>24</v>
      </c>
      <c r="D370" s="7">
        <v>4</v>
      </c>
      <c r="E370" s="7"/>
      <c r="F370" s="518">
        <v>4488</v>
      </c>
      <c r="G370" s="7">
        <f t="shared" si="77"/>
        <v>17952</v>
      </c>
      <c r="H370" s="7">
        <f t="shared" si="78"/>
        <v>0</v>
      </c>
      <c r="I370" s="1"/>
      <c r="J370" s="32" t="s">
        <v>38</v>
      </c>
      <c r="K370" s="1" t="s">
        <v>195</v>
      </c>
      <c r="L370" s="32" t="s">
        <v>94</v>
      </c>
      <c r="M370" s="32" t="s">
        <v>121</v>
      </c>
      <c r="N370" s="519"/>
      <c r="P370" s="516"/>
    </row>
    <row r="371" spans="1:16" s="20" customFormat="1" outlineLevel="4">
      <c r="A371" s="33" t="s">
        <v>8</v>
      </c>
      <c r="B371" s="520" t="s">
        <v>1360</v>
      </c>
      <c r="C371" s="338" t="s">
        <v>24</v>
      </c>
      <c r="D371" s="7">
        <v>1</v>
      </c>
      <c r="E371" s="7"/>
      <c r="F371" s="514">
        <v>80000</v>
      </c>
      <c r="G371" s="7">
        <f t="shared" ref="G371" si="83">F371*D371</f>
        <v>80000</v>
      </c>
      <c r="H371" s="7">
        <f t="shared" ref="H371" si="84">F371*E371</f>
        <v>0</v>
      </c>
      <c r="I371" s="1"/>
      <c r="J371" s="32" t="s">
        <v>38</v>
      </c>
      <c r="K371" s="1" t="s">
        <v>195</v>
      </c>
      <c r="L371" s="32" t="s">
        <v>94</v>
      </c>
      <c r="M371" s="32" t="s">
        <v>121</v>
      </c>
      <c r="N371" s="519"/>
      <c r="O371" s="521"/>
      <c r="P371" s="516"/>
    </row>
    <row r="372" spans="1:16" s="20" customFormat="1" outlineLevel="4">
      <c r="A372" s="33" t="s">
        <v>8</v>
      </c>
      <c r="B372" s="520" t="s">
        <v>968</v>
      </c>
      <c r="C372" s="338" t="s">
        <v>24</v>
      </c>
      <c r="D372" s="7">
        <v>1</v>
      </c>
      <c r="E372" s="7"/>
      <c r="F372" s="514">
        <v>5000</v>
      </c>
      <c r="G372" s="7">
        <f t="shared" si="77"/>
        <v>5000</v>
      </c>
      <c r="H372" s="7">
        <f t="shared" si="78"/>
        <v>0</v>
      </c>
      <c r="I372" s="1"/>
      <c r="J372" s="32" t="s">
        <v>38</v>
      </c>
      <c r="K372" s="1" t="s">
        <v>195</v>
      </c>
      <c r="L372" s="32" t="s">
        <v>94</v>
      </c>
      <c r="M372" s="32" t="s">
        <v>121</v>
      </c>
      <c r="N372" s="519"/>
      <c r="O372" s="521"/>
      <c r="P372" s="516"/>
    </row>
    <row r="373" spans="1:16" s="497" customFormat="1" ht="13.5" outlineLevel="3">
      <c r="A373" s="492">
        <v>4</v>
      </c>
      <c r="B373" s="525" t="s">
        <v>329</v>
      </c>
      <c r="C373" s="508"/>
      <c r="D373" s="500"/>
      <c r="E373" s="500"/>
      <c r="F373" s="526"/>
      <c r="G373" s="527">
        <f>SUBTOTAL(9,G374:G375)</f>
        <v>125126</v>
      </c>
      <c r="H373" s="527">
        <f t="shared" ref="H373" si="85">SUBTOTAL(9,H374:H375)</f>
        <v>0</v>
      </c>
      <c r="I373" s="510"/>
      <c r="J373" s="32" t="s">
        <v>38</v>
      </c>
      <c r="K373" s="496"/>
      <c r="L373" s="496"/>
      <c r="M373" s="496"/>
      <c r="N373" s="496"/>
      <c r="P373" s="498"/>
    </row>
    <row r="374" spans="1:16" s="20" customFormat="1" ht="26" outlineLevel="3">
      <c r="A374" s="33" t="s">
        <v>8</v>
      </c>
      <c r="B374" s="504" t="s">
        <v>164</v>
      </c>
      <c r="C374" s="338" t="s">
        <v>24</v>
      </c>
      <c r="D374" s="7">
        <v>2</v>
      </c>
      <c r="E374" s="7"/>
      <c r="F374" s="528">
        <v>62563</v>
      </c>
      <c r="G374" s="7">
        <f>F374*D374</f>
        <v>125126</v>
      </c>
      <c r="H374" s="7">
        <f>F374*E374</f>
        <v>0</v>
      </c>
      <c r="I374" s="1"/>
      <c r="J374" s="32" t="s">
        <v>38</v>
      </c>
      <c r="K374" s="32" t="s">
        <v>187</v>
      </c>
      <c r="L374" s="32" t="s">
        <v>94</v>
      </c>
      <c r="M374" s="32" t="s">
        <v>121</v>
      </c>
      <c r="N374" s="529" t="s">
        <v>576</v>
      </c>
      <c r="O374" s="529" t="s">
        <v>164</v>
      </c>
      <c r="P374" s="734"/>
    </row>
    <row r="375" spans="1:16" s="20" customFormat="1" ht="26" outlineLevel="3">
      <c r="A375" s="33" t="s">
        <v>8</v>
      </c>
      <c r="B375" s="504" t="s">
        <v>200</v>
      </c>
      <c r="C375" s="338" t="s">
        <v>24</v>
      </c>
      <c r="D375" s="7"/>
      <c r="E375" s="7"/>
      <c r="F375" s="530"/>
      <c r="G375" s="7">
        <f>F375*D375</f>
        <v>0</v>
      </c>
      <c r="H375" s="7">
        <f>F375*E375</f>
        <v>0</v>
      </c>
      <c r="I375" s="1"/>
      <c r="J375" s="32" t="s">
        <v>38</v>
      </c>
      <c r="K375" s="32" t="s">
        <v>187</v>
      </c>
      <c r="L375" s="32" t="s">
        <v>94</v>
      </c>
      <c r="M375" s="32" t="s">
        <v>121</v>
      </c>
      <c r="N375" s="529" t="s">
        <v>576</v>
      </c>
      <c r="O375" s="529" t="s">
        <v>200</v>
      </c>
      <c r="P375" s="734"/>
    </row>
    <row r="376" spans="1:16" s="497" customFormat="1" ht="13.5" outlineLevel="3">
      <c r="A376" s="492">
        <v>5</v>
      </c>
      <c r="B376" s="525" t="s">
        <v>1275</v>
      </c>
      <c r="C376" s="508"/>
      <c r="D376" s="500"/>
      <c r="E376" s="500"/>
      <c r="F376" s="500"/>
      <c r="G376" s="527">
        <f>SUBTOTAL(9,G377:G377)</f>
        <v>893445</v>
      </c>
      <c r="H376" s="527">
        <f>SUBTOTAL(9,H377:H377)</f>
        <v>0</v>
      </c>
      <c r="I376" s="510"/>
      <c r="J376" s="32" t="s">
        <v>38</v>
      </c>
      <c r="K376" s="496"/>
      <c r="L376" s="496"/>
      <c r="M376" s="496"/>
      <c r="N376" s="496"/>
      <c r="P376" s="498"/>
    </row>
    <row r="377" spans="1:16" s="20" customFormat="1" outlineLevel="3">
      <c r="A377" s="33" t="s">
        <v>8</v>
      </c>
      <c r="B377" s="117" t="s">
        <v>1277</v>
      </c>
      <c r="C377" s="338" t="s">
        <v>24</v>
      </c>
      <c r="D377" s="336">
        <v>15</v>
      </c>
      <c r="E377" s="336"/>
      <c r="F377" s="531">
        <v>59563</v>
      </c>
      <c r="G377" s="7">
        <f>F377*D377</f>
        <v>893445</v>
      </c>
      <c r="H377" s="7">
        <f>F377*E377</f>
        <v>0</v>
      </c>
      <c r="I377" s="1"/>
      <c r="J377" s="32" t="s">
        <v>38</v>
      </c>
      <c r="K377" s="32" t="s">
        <v>195</v>
      </c>
      <c r="L377" s="32" t="s">
        <v>94</v>
      </c>
      <c r="M377" s="32" t="s">
        <v>121</v>
      </c>
      <c r="N377" s="532" t="s">
        <v>970</v>
      </c>
      <c r="P377" s="516"/>
    </row>
    <row r="378" spans="1:16" s="497" customFormat="1" outlineLevel="3">
      <c r="A378" s="507">
        <v>6</v>
      </c>
      <c r="B378" s="511" t="s">
        <v>1278</v>
      </c>
      <c r="C378" s="508"/>
      <c r="D378" s="500"/>
      <c r="E378" s="500"/>
      <c r="F378" s="509"/>
      <c r="G378" s="495">
        <f>SUBTOTAL(9,G379:G392)</f>
        <v>0</v>
      </c>
      <c r="H378" s="495">
        <f>SUBTOTAL(9,H379:I392)</f>
        <v>5955091</v>
      </c>
      <c r="I378" s="510"/>
      <c r="J378" s="32" t="s">
        <v>38</v>
      </c>
      <c r="K378" s="496"/>
      <c r="L378" s="496"/>
      <c r="M378" s="496"/>
      <c r="N378" s="496"/>
      <c r="P378" s="498"/>
    </row>
    <row r="379" spans="1:16" s="20" customFormat="1" outlineLevel="4">
      <c r="A379" s="33" t="s">
        <v>8</v>
      </c>
      <c r="B379" s="512" t="s">
        <v>1279</v>
      </c>
      <c r="C379" s="338" t="s">
        <v>24</v>
      </c>
      <c r="D379" s="7"/>
      <c r="E379" s="513">
        <v>34</v>
      </c>
      <c r="F379" s="514">
        <v>59563</v>
      </c>
      <c r="G379" s="7">
        <f t="shared" ref="G379:G385" si="86">F379*D379</f>
        <v>0</v>
      </c>
      <c r="H379" s="7">
        <f t="shared" ref="H379:H385" si="87">F379*E379</f>
        <v>2025142</v>
      </c>
      <c r="I379" s="1"/>
      <c r="J379" s="32" t="s">
        <v>38</v>
      </c>
      <c r="K379" s="1" t="s">
        <v>195</v>
      </c>
      <c r="L379" s="32" t="s">
        <v>94</v>
      </c>
      <c r="M379" s="32" t="s">
        <v>121</v>
      </c>
      <c r="N379" s="515"/>
      <c r="O379" s="515"/>
      <c r="P379" s="516"/>
    </row>
    <row r="380" spans="1:16" s="20" customFormat="1" ht="14.5" outlineLevel="4">
      <c r="A380" s="33" t="s">
        <v>8</v>
      </c>
      <c r="B380" s="504" t="s">
        <v>1280</v>
      </c>
      <c r="C380" s="338" t="s">
        <v>24</v>
      </c>
      <c r="D380" s="7"/>
      <c r="E380" s="7">
        <v>11</v>
      </c>
      <c r="F380" s="348">
        <v>59563</v>
      </c>
      <c r="G380" s="7">
        <f t="shared" si="86"/>
        <v>0</v>
      </c>
      <c r="H380" s="7">
        <f t="shared" si="87"/>
        <v>655193</v>
      </c>
      <c r="I380" s="1"/>
      <c r="J380" s="32" t="s">
        <v>38</v>
      </c>
      <c r="K380" s="1" t="s">
        <v>195</v>
      </c>
      <c r="L380" s="32" t="s">
        <v>94</v>
      </c>
      <c r="M380" s="32" t="s">
        <v>121</v>
      </c>
      <c r="N380" s="517"/>
      <c r="O380" s="517"/>
      <c r="P380" s="516"/>
    </row>
    <row r="381" spans="1:16" s="20" customFormat="1" outlineLevel="4">
      <c r="A381" s="33" t="s">
        <v>8</v>
      </c>
      <c r="B381" s="504" t="s">
        <v>1281</v>
      </c>
      <c r="C381" s="338" t="s">
        <v>24</v>
      </c>
      <c r="D381" s="7"/>
      <c r="E381" s="7">
        <v>12</v>
      </c>
      <c r="F381" s="518">
        <v>59563</v>
      </c>
      <c r="G381" s="7">
        <f t="shared" si="86"/>
        <v>0</v>
      </c>
      <c r="H381" s="7">
        <f t="shared" si="87"/>
        <v>714756</v>
      </c>
      <c r="I381" s="1"/>
      <c r="J381" s="32" t="s">
        <v>38</v>
      </c>
      <c r="K381" s="1" t="s">
        <v>195</v>
      </c>
      <c r="L381" s="32" t="s">
        <v>94</v>
      </c>
      <c r="M381" s="32" t="s">
        <v>121</v>
      </c>
      <c r="N381" s="519"/>
      <c r="P381" s="516"/>
    </row>
    <row r="382" spans="1:16" s="20" customFormat="1" outlineLevel="4">
      <c r="A382" s="33" t="s">
        <v>8</v>
      </c>
      <c r="B382" s="512" t="s">
        <v>1282</v>
      </c>
      <c r="C382" s="338" t="s">
        <v>24</v>
      </c>
      <c r="D382" s="7"/>
      <c r="E382" s="7">
        <v>2</v>
      </c>
      <c r="F382" s="518">
        <v>20000</v>
      </c>
      <c r="G382" s="7">
        <f t="shared" si="86"/>
        <v>0</v>
      </c>
      <c r="H382" s="7">
        <f t="shared" si="87"/>
        <v>40000</v>
      </c>
      <c r="I382" s="1"/>
      <c r="J382" s="32" t="s">
        <v>38</v>
      </c>
      <c r="K382" s="1" t="s">
        <v>195</v>
      </c>
      <c r="L382" s="32" t="s">
        <v>94</v>
      </c>
      <c r="M382" s="32" t="s">
        <v>121</v>
      </c>
      <c r="N382" s="519"/>
      <c r="P382" s="516"/>
    </row>
    <row r="383" spans="1:16" s="20" customFormat="1" outlineLevel="4">
      <c r="A383" s="33" t="s">
        <v>8</v>
      </c>
      <c r="B383" s="520" t="s">
        <v>1283</v>
      </c>
      <c r="C383" s="338" t="s">
        <v>24</v>
      </c>
      <c r="D383" s="7"/>
      <c r="E383" s="7">
        <v>8</v>
      </c>
      <c r="F383" s="518">
        <v>10000</v>
      </c>
      <c r="G383" s="7">
        <f t="shared" si="86"/>
        <v>0</v>
      </c>
      <c r="H383" s="7">
        <f t="shared" si="87"/>
        <v>80000</v>
      </c>
      <c r="I383" s="1"/>
      <c r="J383" s="32" t="s">
        <v>38</v>
      </c>
      <c r="K383" s="1" t="s">
        <v>195</v>
      </c>
      <c r="L383" s="32" t="s">
        <v>94</v>
      </c>
      <c r="M383" s="32" t="s">
        <v>121</v>
      </c>
      <c r="N383" s="519"/>
      <c r="P383" s="516"/>
    </row>
    <row r="384" spans="1:16" s="20" customFormat="1" outlineLevel="4">
      <c r="A384" s="33" t="s">
        <v>8</v>
      </c>
      <c r="B384" s="520" t="s">
        <v>1284</v>
      </c>
      <c r="C384" s="338" t="s">
        <v>24</v>
      </c>
      <c r="D384" s="7"/>
      <c r="E384" s="7">
        <v>2</v>
      </c>
      <c r="F384" s="518">
        <v>10000</v>
      </c>
      <c r="G384" s="7">
        <f t="shared" si="86"/>
        <v>0</v>
      </c>
      <c r="H384" s="7">
        <f t="shared" si="87"/>
        <v>20000</v>
      </c>
      <c r="I384" s="1"/>
      <c r="J384" s="32" t="s">
        <v>38</v>
      </c>
      <c r="K384" s="1" t="s">
        <v>195</v>
      </c>
      <c r="L384" s="32" t="s">
        <v>94</v>
      </c>
      <c r="M384" s="32" t="s">
        <v>121</v>
      </c>
      <c r="N384" s="519"/>
      <c r="P384" s="516"/>
    </row>
    <row r="385" spans="1:16" s="20" customFormat="1" outlineLevel="4">
      <c r="A385" s="33" t="s">
        <v>8</v>
      </c>
      <c r="B385" s="520" t="s">
        <v>1285</v>
      </c>
      <c r="C385" s="338" t="s">
        <v>24</v>
      </c>
      <c r="D385" s="7"/>
      <c r="E385" s="7">
        <v>2</v>
      </c>
      <c r="F385" s="518">
        <v>10000</v>
      </c>
      <c r="G385" s="7">
        <f t="shared" si="86"/>
        <v>0</v>
      </c>
      <c r="H385" s="7">
        <f t="shared" si="87"/>
        <v>20000</v>
      </c>
      <c r="I385" s="1"/>
      <c r="J385" s="32" t="s">
        <v>38</v>
      </c>
      <c r="K385" s="1" t="s">
        <v>195</v>
      </c>
      <c r="L385" s="32" t="s">
        <v>94</v>
      </c>
      <c r="M385" s="32" t="s">
        <v>121</v>
      </c>
      <c r="N385" s="519"/>
      <c r="P385" s="516"/>
    </row>
    <row r="386" spans="1:16" s="20" customFormat="1" outlineLevel="3">
      <c r="A386" s="33" t="s">
        <v>8</v>
      </c>
      <c r="B386" s="117" t="s">
        <v>1361</v>
      </c>
      <c r="C386" s="338" t="s">
        <v>44</v>
      </c>
      <c r="D386" s="336"/>
      <c r="E386" s="336">
        <v>6000000</v>
      </c>
      <c r="F386" s="531">
        <v>0.4</v>
      </c>
      <c r="G386" s="7">
        <f>F386*D386</f>
        <v>0</v>
      </c>
      <c r="H386" s="7">
        <f>F386*E386</f>
        <v>2400000</v>
      </c>
      <c r="I386" s="1"/>
      <c r="J386" s="32" t="s">
        <v>38</v>
      </c>
      <c r="K386" s="32" t="s">
        <v>195</v>
      </c>
      <c r="L386" s="32" t="s">
        <v>94</v>
      </c>
      <c r="M386" s="32" t="s">
        <v>121</v>
      </c>
      <c r="N386" s="532" t="s">
        <v>971</v>
      </c>
      <c r="O386" s="532" t="s">
        <v>971</v>
      </c>
      <c r="P386" s="516"/>
    </row>
    <row r="387" spans="1:16" s="497" customFormat="1" outlineLevel="1">
      <c r="A387" s="492" t="s">
        <v>12</v>
      </c>
      <c r="B387" s="533" t="s">
        <v>386</v>
      </c>
      <c r="C387" s="494"/>
      <c r="D387" s="495"/>
      <c r="E387" s="495"/>
      <c r="F387" s="495"/>
      <c r="G387" s="495">
        <f>SUBTOTAL(9,G388:G395)</f>
        <v>0</v>
      </c>
      <c r="H387" s="495">
        <f>SUBTOTAL(9,H388:H395)</f>
        <v>0</v>
      </c>
      <c r="I387" s="495"/>
      <c r="J387" s="32" t="s">
        <v>38</v>
      </c>
      <c r="K387" s="496"/>
      <c r="L387" s="496"/>
      <c r="M387" s="496"/>
      <c r="N387" s="496"/>
      <c r="P387" s="498"/>
    </row>
    <row r="388" spans="1:16" s="502" customFormat="1" outlineLevel="2">
      <c r="A388" s="492">
        <v>1</v>
      </c>
      <c r="B388" s="534" t="s">
        <v>387</v>
      </c>
      <c r="C388" s="494"/>
      <c r="D388" s="495"/>
      <c r="E388" s="495"/>
      <c r="F388" s="495"/>
      <c r="G388" s="495">
        <f>SUBTOTAL(9,G389:G390)</f>
        <v>0</v>
      </c>
      <c r="H388" s="495">
        <f>SUBTOTAL(9,H389:H390)</f>
        <v>0</v>
      </c>
      <c r="I388" s="495"/>
      <c r="J388" s="32" t="s">
        <v>38</v>
      </c>
      <c r="K388" s="501"/>
      <c r="L388" s="501"/>
      <c r="M388" s="501"/>
      <c r="N388" s="501"/>
      <c r="P388" s="503"/>
    </row>
    <row r="389" spans="1:16" s="20" customFormat="1" ht="26" outlineLevel="3">
      <c r="A389" s="33" t="s">
        <v>8</v>
      </c>
      <c r="B389" s="504" t="s">
        <v>325</v>
      </c>
      <c r="C389" s="338" t="s">
        <v>24</v>
      </c>
      <c r="D389" s="7"/>
      <c r="E389" s="7"/>
      <c r="F389" s="334"/>
      <c r="G389" s="7">
        <f>F389*D389</f>
        <v>0</v>
      </c>
      <c r="H389" s="7">
        <f>F389*E389</f>
        <v>0</v>
      </c>
      <c r="I389" s="1"/>
      <c r="J389" s="32" t="s">
        <v>38</v>
      </c>
      <c r="K389" s="32" t="s">
        <v>195</v>
      </c>
      <c r="L389" s="32" t="s">
        <v>94</v>
      </c>
      <c r="M389" s="32" t="s">
        <v>121</v>
      </c>
      <c r="N389" s="505" t="s">
        <v>576</v>
      </c>
      <c r="O389" s="505" t="s">
        <v>962</v>
      </c>
      <c r="P389" s="576"/>
    </row>
    <row r="390" spans="1:16" s="20" customFormat="1" outlineLevel="3">
      <c r="A390" s="33" t="s">
        <v>8</v>
      </c>
      <c r="B390" s="504" t="s">
        <v>326</v>
      </c>
      <c r="C390" s="338" t="s">
        <v>24</v>
      </c>
      <c r="D390" s="7"/>
      <c r="E390" s="7"/>
      <c r="F390" s="334"/>
      <c r="G390" s="7">
        <f>F390*D390</f>
        <v>0</v>
      </c>
      <c r="H390" s="7">
        <f>F390*E390</f>
        <v>0</v>
      </c>
      <c r="I390" s="1"/>
      <c r="J390" s="32" t="s">
        <v>38</v>
      </c>
      <c r="K390" s="32" t="s">
        <v>195</v>
      </c>
      <c r="L390" s="32" t="s">
        <v>94</v>
      </c>
      <c r="M390" s="32" t="s">
        <v>121</v>
      </c>
      <c r="N390" s="505" t="s">
        <v>576</v>
      </c>
      <c r="O390" s="535" t="s">
        <v>963</v>
      </c>
      <c r="P390" s="576"/>
    </row>
    <row r="391" spans="1:16" s="20" customFormat="1" outlineLevel="3">
      <c r="A391" s="33">
        <v>2</v>
      </c>
      <c r="B391" s="536" t="s">
        <v>388</v>
      </c>
      <c r="C391" s="338" t="s">
        <v>24</v>
      </c>
      <c r="D391" s="7"/>
      <c r="E391" s="7"/>
      <c r="F391" s="334"/>
      <c r="G391" s="495">
        <f>SUBTOTAL(9,G392)</f>
        <v>0</v>
      </c>
      <c r="H391" s="495">
        <f>SUBTOTAL(9,H392)</f>
        <v>0</v>
      </c>
      <c r="I391" s="1"/>
      <c r="J391" s="32" t="s">
        <v>38</v>
      </c>
      <c r="K391" s="32"/>
      <c r="L391" s="32"/>
      <c r="M391" s="32"/>
      <c r="N391" s="32"/>
      <c r="O391" s="32"/>
      <c r="P391" s="516"/>
    </row>
    <row r="392" spans="1:16" s="20" customFormat="1" outlineLevel="3">
      <c r="A392" s="33" t="s">
        <v>8</v>
      </c>
      <c r="B392" s="504" t="s">
        <v>327</v>
      </c>
      <c r="C392" s="338" t="s">
        <v>24</v>
      </c>
      <c r="D392" s="7"/>
      <c r="E392" s="7"/>
      <c r="F392" s="334"/>
      <c r="G392" s="7">
        <f>F392*D392</f>
        <v>0</v>
      </c>
      <c r="H392" s="7">
        <f>F392*E392</f>
        <v>0</v>
      </c>
      <c r="I392" s="1"/>
      <c r="J392" s="32" t="s">
        <v>38</v>
      </c>
      <c r="K392" s="32" t="s">
        <v>195</v>
      </c>
      <c r="L392" s="32" t="s">
        <v>94</v>
      </c>
      <c r="M392" s="32" t="s">
        <v>121</v>
      </c>
      <c r="N392" s="505" t="s">
        <v>576</v>
      </c>
      <c r="O392" s="519" t="s">
        <v>972</v>
      </c>
      <c r="P392" s="576"/>
    </row>
    <row r="393" spans="1:16" s="20" customFormat="1" outlineLevel="3">
      <c r="A393" s="492">
        <v>3</v>
      </c>
      <c r="B393" s="534" t="s">
        <v>973</v>
      </c>
      <c r="C393" s="494"/>
      <c r="D393" s="7"/>
      <c r="E393" s="7"/>
      <c r="F393" s="537"/>
      <c r="G393" s="495">
        <f>SUBTOTAL(9,G394:G395)</f>
        <v>0</v>
      </c>
      <c r="H393" s="7"/>
      <c r="I393" s="1"/>
      <c r="J393" s="32" t="s">
        <v>38</v>
      </c>
      <c r="K393" s="32"/>
      <c r="L393" s="32"/>
      <c r="M393" s="32"/>
      <c r="N393" s="538"/>
      <c r="O393" s="524"/>
      <c r="P393" s="579"/>
    </row>
    <row r="394" spans="1:16" s="20" customFormat="1" outlineLevel="3">
      <c r="A394" s="33" t="s">
        <v>8</v>
      </c>
      <c r="B394" s="504" t="s">
        <v>325</v>
      </c>
      <c r="C394" s="338" t="s">
        <v>24</v>
      </c>
      <c r="D394" s="7"/>
      <c r="E394" s="7"/>
      <c r="G394" s="7">
        <f>F393*D394</f>
        <v>0</v>
      </c>
      <c r="H394" s="7">
        <f>F393*E394</f>
        <v>0</v>
      </c>
      <c r="I394" s="1"/>
      <c r="J394" s="32" t="s">
        <v>38</v>
      </c>
      <c r="K394" s="32" t="s">
        <v>195</v>
      </c>
      <c r="L394" s="32" t="s">
        <v>94</v>
      </c>
      <c r="M394" s="32"/>
      <c r="N394" s="538"/>
      <c r="O394" s="524"/>
      <c r="P394" s="580"/>
    </row>
    <row r="395" spans="1:16" s="20" customFormat="1" outlineLevel="3">
      <c r="A395" s="33" t="s">
        <v>8</v>
      </c>
      <c r="B395" s="504" t="s">
        <v>327</v>
      </c>
      <c r="C395" s="338" t="s">
        <v>24</v>
      </c>
      <c r="D395" s="7"/>
      <c r="E395" s="7"/>
      <c r="F395" s="537"/>
      <c r="G395" s="7">
        <f>F395*D395</f>
        <v>0</v>
      </c>
      <c r="H395" s="7">
        <f>F395*E395</f>
        <v>0</v>
      </c>
      <c r="I395" s="1"/>
      <c r="J395" s="32" t="s">
        <v>38</v>
      </c>
      <c r="K395" s="32" t="s">
        <v>195</v>
      </c>
      <c r="L395" s="32" t="s">
        <v>94</v>
      </c>
      <c r="M395" s="32"/>
      <c r="N395" s="538"/>
      <c r="O395" s="524"/>
      <c r="P395" s="580"/>
    </row>
    <row r="396" spans="1:16" s="497" customFormat="1" outlineLevel="1">
      <c r="A396" s="492" t="s">
        <v>19</v>
      </c>
      <c r="B396" s="533" t="s">
        <v>974</v>
      </c>
      <c r="C396" s="494"/>
      <c r="D396" s="495"/>
      <c r="E396" s="495"/>
      <c r="F396" s="495"/>
      <c r="G396" s="495">
        <f>SUBTOTAL(9,G397:G400)</f>
        <v>0</v>
      </c>
      <c r="H396" s="495">
        <f>SUBTOTAL(9,H397:H400)</f>
        <v>0</v>
      </c>
      <c r="I396" s="495"/>
      <c r="J396" s="32" t="s">
        <v>38</v>
      </c>
      <c r="K396" s="496"/>
      <c r="L396" s="496"/>
      <c r="M396" s="496"/>
      <c r="N396" s="496"/>
      <c r="P396" s="498"/>
    </row>
    <row r="397" spans="1:16" s="497" customFormat="1" outlineLevel="3">
      <c r="A397" s="507">
        <v>1</v>
      </c>
      <c r="B397" s="533" t="s">
        <v>335</v>
      </c>
      <c r="C397" s="508"/>
      <c r="D397" s="500"/>
      <c r="E397" s="500"/>
      <c r="F397" s="526"/>
      <c r="G397" s="500"/>
      <c r="H397" s="500"/>
      <c r="I397" s="510"/>
      <c r="J397" s="32" t="s">
        <v>38</v>
      </c>
      <c r="K397" s="496"/>
      <c r="L397" s="496"/>
      <c r="M397" s="496"/>
      <c r="N397" s="496"/>
      <c r="P397" s="498"/>
    </row>
    <row r="398" spans="1:16" s="20" customFormat="1" outlineLevel="3">
      <c r="A398" s="33" t="s">
        <v>8</v>
      </c>
      <c r="B398" s="504" t="s">
        <v>137</v>
      </c>
      <c r="C398" s="338" t="s">
        <v>24</v>
      </c>
      <c r="D398" s="7"/>
      <c r="E398" s="7"/>
      <c r="F398" s="335"/>
      <c r="G398" s="7">
        <f>F398*D398</f>
        <v>0</v>
      </c>
      <c r="H398" s="7">
        <f>F398*E398</f>
        <v>0</v>
      </c>
      <c r="I398" s="1"/>
      <c r="J398" s="32" t="s">
        <v>38</v>
      </c>
      <c r="K398" s="32" t="s">
        <v>195</v>
      </c>
      <c r="L398" s="32" t="s">
        <v>94</v>
      </c>
      <c r="M398" s="32" t="s">
        <v>121</v>
      </c>
      <c r="N398" s="532" t="s">
        <v>55</v>
      </c>
      <c r="O398" s="504"/>
      <c r="P398" s="516"/>
    </row>
    <row r="399" spans="1:16" s="20" customFormat="1" outlineLevel="3">
      <c r="A399" s="33" t="s">
        <v>8</v>
      </c>
      <c r="B399" s="504" t="s">
        <v>165</v>
      </c>
      <c r="C399" s="338" t="s">
        <v>24</v>
      </c>
      <c r="D399" s="7"/>
      <c r="E399" s="7"/>
      <c r="F399" s="335"/>
      <c r="G399" s="7">
        <f>F399*D399</f>
        <v>0</v>
      </c>
      <c r="H399" s="7">
        <f>F399*E399</f>
        <v>0</v>
      </c>
      <c r="I399" s="1"/>
      <c r="J399" s="32" t="s">
        <v>38</v>
      </c>
      <c r="K399" s="32" t="s">
        <v>195</v>
      </c>
      <c r="L399" s="32" t="s">
        <v>94</v>
      </c>
      <c r="M399" s="32" t="s">
        <v>121</v>
      </c>
      <c r="N399" s="532" t="s">
        <v>975</v>
      </c>
      <c r="O399" s="504"/>
      <c r="P399" s="516"/>
    </row>
    <row r="400" spans="1:16" s="20" customFormat="1" outlineLevel="3">
      <c r="A400" s="33" t="s">
        <v>8</v>
      </c>
      <c r="B400" s="504" t="s">
        <v>201</v>
      </c>
      <c r="C400" s="338" t="s">
        <v>9</v>
      </c>
      <c r="D400" s="13"/>
      <c r="E400" s="13"/>
      <c r="F400" s="7"/>
      <c r="G400" s="7">
        <f>F400*D400</f>
        <v>0</v>
      </c>
      <c r="H400" s="7">
        <f>F400*E400</f>
        <v>0</v>
      </c>
      <c r="I400" s="1"/>
      <c r="J400" s="32" t="s">
        <v>38</v>
      </c>
      <c r="K400" s="32" t="s">
        <v>195</v>
      </c>
      <c r="L400" s="32" t="s">
        <v>94</v>
      </c>
      <c r="M400" s="32" t="s">
        <v>121</v>
      </c>
      <c r="N400" s="532" t="s">
        <v>55</v>
      </c>
      <c r="P400" s="516"/>
    </row>
    <row r="401" spans="1:16" s="497" customFormat="1" outlineLevel="3">
      <c r="A401" s="492" t="s">
        <v>26</v>
      </c>
      <c r="B401" s="499" t="s">
        <v>130</v>
      </c>
      <c r="C401" s="508"/>
      <c r="D401" s="500"/>
      <c r="E401" s="500"/>
      <c r="F401" s="539"/>
      <c r="G401" s="495">
        <f>SUBTOTAL(9,G402:G415)</f>
        <v>1202953</v>
      </c>
      <c r="H401" s="495">
        <f>SUBTOTAL(9,H402:H415)</f>
        <v>749125</v>
      </c>
      <c r="I401" s="510"/>
      <c r="J401" s="496"/>
      <c r="K401" s="496"/>
      <c r="L401" s="496"/>
      <c r="M401" s="496"/>
      <c r="N401" s="496"/>
      <c r="P401" s="498"/>
    </row>
    <row r="402" spans="1:16" s="497" customFormat="1" outlineLevel="3">
      <c r="A402" s="492">
        <v>1</v>
      </c>
      <c r="B402" s="499" t="s">
        <v>1286</v>
      </c>
      <c r="C402" s="508"/>
      <c r="D402" s="500"/>
      <c r="E402" s="500"/>
      <c r="F402" s="526"/>
      <c r="G402" s="495">
        <f>SUBTOTAL(9,G403:G405)</f>
        <v>826593</v>
      </c>
      <c r="H402" s="495">
        <f>SUBTOTAL(9,H403:H405)</f>
        <v>156405</v>
      </c>
      <c r="I402" s="510"/>
      <c r="J402" s="496"/>
      <c r="K402" s="496"/>
      <c r="L402" s="496"/>
      <c r="M402" s="496"/>
      <c r="N402" s="496"/>
      <c r="P402" s="498"/>
    </row>
    <row r="403" spans="1:16" s="20" customFormat="1" outlineLevel="3">
      <c r="A403" s="33" t="s">
        <v>8</v>
      </c>
      <c r="B403" s="504" t="s">
        <v>1287</v>
      </c>
      <c r="C403" s="338" t="s">
        <v>24</v>
      </c>
      <c r="D403" s="7"/>
      <c r="E403" s="7"/>
      <c r="F403" s="334">
        <v>59563</v>
      </c>
      <c r="G403" s="7">
        <f>F403*D403</f>
        <v>0</v>
      </c>
      <c r="H403" s="7">
        <f>F403*E403</f>
        <v>0</v>
      </c>
      <c r="I403" s="1"/>
      <c r="J403" s="32" t="s">
        <v>38</v>
      </c>
      <c r="K403" s="32" t="s">
        <v>122</v>
      </c>
      <c r="L403" s="32" t="s">
        <v>94</v>
      </c>
      <c r="M403" s="32" t="s">
        <v>121</v>
      </c>
      <c r="N403" s="505" t="s">
        <v>576</v>
      </c>
      <c r="O403" s="505"/>
      <c r="P403" s="540"/>
    </row>
    <row r="404" spans="1:16" s="20" customFormat="1" outlineLevel="3">
      <c r="A404" s="33" t="s">
        <v>8</v>
      </c>
      <c r="B404" s="504" t="s">
        <v>1288</v>
      </c>
      <c r="C404" s="338" t="s">
        <v>24</v>
      </c>
      <c r="D404" s="7">
        <v>15</v>
      </c>
      <c r="E404" s="7">
        <v>5</v>
      </c>
      <c r="F404" s="337">
        <v>31281</v>
      </c>
      <c r="G404" s="7">
        <f>F404*D404</f>
        <v>469215</v>
      </c>
      <c r="H404" s="7">
        <f>F404*E404</f>
        <v>156405</v>
      </c>
      <c r="I404" s="1"/>
      <c r="J404" s="32" t="s">
        <v>38</v>
      </c>
      <c r="K404" s="32" t="s">
        <v>122</v>
      </c>
      <c r="L404" s="32" t="s">
        <v>94</v>
      </c>
      <c r="M404" s="32" t="s">
        <v>121</v>
      </c>
      <c r="N404" s="505" t="s">
        <v>576</v>
      </c>
      <c r="O404" s="535"/>
      <c r="P404" s="581"/>
    </row>
    <row r="405" spans="1:16" s="20" customFormat="1" outlineLevel="3">
      <c r="A405" s="33" t="s">
        <v>8</v>
      </c>
      <c r="B405" s="504" t="s">
        <v>1276</v>
      </c>
      <c r="C405" s="338" t="s">
        <v>24</v>
      </c>
      <c r="D405" s="7">
        <v>6</v>
      </c>
      <c r="E405" s="7"/>
      <c r="F405" s="334">
        <v>59563</v>
      </c>
      <c r="G405" s="7">
        <f>F405*D405</f>
        <v>357378</v>
      </c>
      <c r="H405" s="7">
        <f>F405*E405</f>
        <v>0</v>
      </c>
      <c r="I405" s="1"/>
      <c r="J405" s="32" t="s">
        <v>38</v>
      </c>
      <c r="K405" s="32" t="s">
        <v>122</v>
      </c>
      <c r="L405" s="32" t="s">
        <v>94</v>
      </c>
      <c r="M405" s="32" t="s">
        <v>121</v>
      </c>
      <c r="N405" s="505" t="s">
        <v>576</v>
      </c>
      <c r="O405" s="519"/>
      <c r="P405" s="540"/>
    </row>
    <row r="406" spans="1:16" s="497" customFormat="1" outlineLevel="3">
      <c r="A406" s="492">
        <v>1</v>
      </c>
      <c r="B406" s="499" t="s">
        <v>1289</v>
      </c>
      <c r="C406" s="508"/>
      <c r="D406" s="500"/>
      <c r="E406" s="500"/>
      <c r="F406" s="526"/>
      <c r="G406" s="500"/>
      <c r="H406" s="495">
        <f>SUBTOTAL(9,H407:H409)</f>
        <v>0</v>
      </c>
      <c r="I406" s="510"/>
      <c r="J406" s="496"/>
      <c r="K406" s="496"/>
      <c r="L406" s="496"/>
      <c r="M406" s="496"/>
      <c r="N406" s="496"/>
      <c r="P406" s="498"/>
    </row>
    <row r="407" spans="1:16" s="20" customFormat="1" outlineLevel="3">
      <c r="A407" s="33" t="s">
        <v>8</v>
      </c>
      <c r="B407" s="504" t="s">
        <v>325</v>
      </c>
      <c r="C407" s="338" t="s">
        <v>24</v>
      </c>
      <c r="D407" s="7"/>
      <c r="E407" s="7"/>
      <c r="F407" s="334"/>
      <c r="G407" s="7">
        <f>F407*D407</f>
        <v>0</v>
      </c>
      <c r="H407" s="7">
        <f>F407*E407</f>
        <v>0</v>
      </c>
      <c r="I407" s="1"/>
      <c r="J407" s="32" t="s">
        <v>38</v>
      </c>
      <c r="K407" s="32" t="s">
        <v>122</v>
      </c>
      <c r="L407" s="32" t="s">
        <v>94</v>
      </c>
      <c r="M407" s="32" t="s">
        <v>121</v>
      </c>
      <c r="N407" s="505" t="s">
        <v>576</v>
      </c>
      <c r="O407" s="505"/>
      <c r="P407" s="540"/>
    </row>
    <row r="408" spans="1:16" s="20" customFormat="1" outlineLevel="3">
      <c r="A408" s="33" t="s">
        <v>8</v>
      </c>
      <c r="B408" s="504" t="s">
        <v>326</v>
      </c>
      <c r="C408" s="338" t="s">
        <v>24</v>
      </c>
      <c r="D408" s="7"/>
      <c r="E408" s="7"/>
      <c r="F408" s="337"/>
      <c r="G408" s="7">
        <f>F408*D408</f>
        <v>0</v>
      </c>
      <c r="H408" s="7">
        <f>F408*E408</f>
        <v>0</v>
      </c>
      <c r="I408" s="1"/>
      <c r="J408" s="32" t="s">
        <v>38</v>
      </c>
      <c r="K408" s="32" t="s">
        <v>122</v>
      </c>
      <c r="L408" s="32" t="s">
        <v>94</v>
      </c>
      <c r="M408" s="32" t="s">
        <v>121</v>
      </c>
      <c r="N408" s="505" t="s">
        <v>576</v>
      </c>
      <c r="O408" s="535"/>
      <c r="P408" s="581"/>
    </row>
    <row r="409" spans="1:16" s="20" customFormat="1" outlineLevel="3">
      <c r="A409" s="33" t="s">
        <v>8</v>
      </c>
      <c r="B409" s="504" t="s">
        <v>327</v>
      </c>
      <c r="C409" s="338" t="s">
        <v>24</v>
      </c>
      <c r="D409" s="7"/>
      <c r="E409" s="7"/>
      <c r="F409" s="334"/>
      <c r="G409" s="7">
        <f>F409*D409</f>
        <v>0</v>
      </c>
      <c r="H409" s="7">
        <f>F409*E409</f>
        <v>0</v>
      </c>
      <c r="I409" s="1"/>
      <c r="J409" s="32" t="s">
        <v>38</v>
      </c>
      <c r="K409" s="32" t="s">
        <v>122</v>
      </c>
      <c r="L409" s="32" t="s">
        <v>94</v>
      </c>
      <c r="M409" s="32" t="s">
        <v>121</v>
      </c>
      <c r="N409" s="505" t="s">
        <v>576</v>
      </c>
      <c r="O409" s="519"/>
      <c r="P409" s="540"/>
    </row>
    <row r="410" spans="1:16" s="502" customFormat="1" outlineLevel="2">
      <c r="A410" s="492">
        <v>2</v>
      </c>
      <c r="B410" s="493" t="s">
        <v>55</v>
      </c>
      <c r="C410" s="494"/>
      <c r="D410" s="495"/>
      <c r="E410" s="495"/>
      <c r="F410" s="495"/>
      <c r="G410" s="495">
        <f>SUBTOTAL(9,G411:G412)</f>
        <v>276360</v>
      </c>
      <c r="H410" s="495">
        <f t="shared" ref="H410" si="88">SUBTOTAL(9,H411:H412)</f>
        <v>552720</v>
      </c>
      <c r="I410" s="541"/>
      <c r="J410" s="501"/>
      <c r="K410" s="501"/>
      <c r="L410" s="501"/>
      <c r="M410" s="501"/>
      <c r="N410" s="501"/>
      <c r="P410" s="503"/>
    </row>
    <row r="411" spans="1:16" s="20" customFormat="1" ht="66" customHeight="1" outlineLevel="3">
      <c r="A411" s="33" t="s">
        <v>8</v>
      </c>
      <c r="B411" s="504" t="s">
        <v>137</v>
      </c>
      <c r="C411" s="338" t="s">
        <v>24</v>
      </c>
      <c r="D411" s="7">
        <v>1</v>
      </c>
      <c r="E411" s="7">
        <v>2</v>
      </c>
      <c r="F411" s="335">
        <v>231000</v>
      </c>
      <c r="G411" s="7">
        <f>F411*D411</f>
        <v>231000</v>
      </c>
      <c r="H411" s="7">
        <f>F411*E411</f>
        <v>462000</v>
      </c>
      <c r="I411" s="1"/>
      <c r="J411" s="32" t="s">
        <v>38</v>
      </c>
      <c r="K411" s="32" t="s">
        <v>122</v>
      </c>
      <c r="L411" s="32" t="s">
        <v>94</v>
      </c>
      <c r="M411" s="32" t="s">
        <v>121</v>
      </c>
      <c r="N411" s="532" t="s">
        <v>55</v>
      </c>
      <c r="O411" s="504"/>
      <c r="P411" s="580"/>
    </row>
    <row r="412" spans="1:16" s="20" customFormat="1" outlineLevel="3">
      <c r="A412" s="33" t="s">
        <v>8</v>
      </c>
      <c r="B412" s="504" t="s">
        <v>165</v>
      </c>
      <c r="C412" s="338" t="s">
        <v>24</v>
      </c>
      <c r="D412" s="7">
        <v>2</v>
      </c>
      <c r="E412" s="7">
        <v>4</v>
      </c>
      <c r="F412" s="335">
        <v>22680</v>
      </c>
      <c r="G412" s="7">
        <f>F412*D412</f>
        <v>45360</v>
      </c>
      <c r="H412" s="7">
        <f>F412*E412</f>
        <v>90720</v>
      </c>
      <c r="I412" s="1"/>
      <c r="J412" s="32" t="s">
        <v>38</v>
      </c>
      <c r="K412" s="32" t="s">
        <v>122</v>
      </c>
      <c r="L412" s="32" t="s">
        <v>94</v>
      </c>
      <c r="M412" s="32" t="s">
        <v>121</v>
      </c>
      <c r="N412" s="532" t="s">
        <v>975</v>
      </c>
      <c r="O412" s="504"/>
      <c r="P412" s="580"/>
    </row>
    <row r="413" spans="1:16" s="502" customFormat="1" outlineLevel="2">
      <c r="A413" s="492">
        <v>3</v>
      </c>
      <c r="B413" s="542" t="s">
        <v>35</v>
      </c>
      <c r="C413" s="494"/>
      <c r="D413" s="495"/>
      <c r="E413" s="495"/>
      <c r="F413" s="495"/>
      <c r="G413" s="495">
        <f>SUBTOTAL(9,G414:G415)</f>
        <v>100000</v>
      </c>
      <c r="H413" s="495">
        <f>SUBTOTAL(9,H414:H415)</f>
        <v>40000</v>
      </c>
      <c r="I413" s="543"/>
      <c r="J413" s="32" t="s">
        <v>38</v>
      </c>
      <c r="K413" s="501"/>
      <c r="L413" s="501"/>
      <c r="M413" s="501"/>
      <c r="N413" s="501"/>
      <c r="P413" s="580"/>
    </row>
    <row r="414" spans="1:16" s="20" customFormat="1" outlineLevel="4">
      <c r="A414" s="33" t="s">
        <v>8</v>
      </c>
      <c r="B414" s="520" t="s">
        <v>166</v>
      </c>
      <c r="C414" s="338" t="s">
        <v>24</v>
      </c>
      <c r="D414" s="7">
        <v>10</v>
      </c>
      <c r="E414" s="7"/>
      <c r="F414" s="336">
        <v>10000</v>
      </c>
      <c r="G414" s="7">
        <f>F414*D414</f>
        <v>100000</v>
      </c>
      <c r="H414" s="7">
        <f>F414*E414</f>
        <v>0</v>
      </c>
      <c r="I414" s="1"/>
      <c r="J414" s="32" t="s">
        <v>38</v>
      </c>
      <c r="K414" s="32" t="s">
        <v>122</v>
      </c>
      <c r="L414" s="32" t="s">
        <v>94</v>
      </c>
      <c r="M414" s="32" t="s">
        <v>121</v>
      </c>
      <c r="N414" s="519" t="s">
        <v>966</v>
      </c>
      <c r="P414" s="516"/>
    </row>
    <row r="415" spans="1:16" s="20" customFormat="1" outlineLevel="4">
      <c r="A415" s="33" t="s">
        <v>8</v>
      </c>
      <c r="B415" s="520" t="s">
        <v>167</v>
      </c>
      <c r="C415" s="338" t="s">
        <v>24</v>
      </c>
      <c r="D415" s="7"/>
      <c r="E415" s="7">
        <v>4</v>
      </c>
      <c r="F415" s="336">
        <v>10000</v>
      </c>
      <c r="G415" s="7">
        <f>F415*D415</f>
        <v>0</v>
      </c>
      <c r="H415" s="7">
        <f>F415*E415</f>
        <v>40000</v>
      </c>
      <c r="I415" s="1"/>
      <c r="J415" s="32" t="s">
        <v>38</v>
      </c>
      <c r="K415" s="32" t="s">
        <v>122</v>
      </c>
      <c r="L415" s="32" t="s">
        <v>94</v>
      </c>
      <c r="M415" s="32" t="s">
        <v>121</v>
      </c>
      <c r="N415" s="519" t="s">
        <v>966</v>
      </c>
      <c r="O415" s="521"/>
      <c r="P415" s="516"/>
    </row>
    <row r="416" spans="1:16" s="502" customFormat="1" outlineLevel="2">
      <c r="A416" s="544" t="s">
        <v>37</v>
      </c>
      <c r="B416" s="542" t="s">
        <v>380</v>
      </c>
      <c r="C416" s="545"/>
      <c r="D416" s="546"/>
      <c r="E416" s="546"/>
      <c r="F416" s="546"/>
      <c r="G416" s="546">
        <f>SUBTOTAL(9,G417:G417)</f>
        <v>0</v>
      </c>
      <c r="H416" s="546">
        <f>SUBTOTAL(9,H417:H417)</f>
        <v>0</v>
      </c>
      <c r="I416" s="543"/>
      <c r="J416" s="32" t="s">
        <v>38</v>
      </c>
      <c r="K416" s="501"/>
      <c r="L416" s="501"/>
      <c r="M416" s="501"/>
      <c r="N416" s="501"/>
      <c r="P416" s="503"/>
    </row>
    <row r="417" spans="1:16" s="406" customFormat="1" outlineLevel="2">
      <c r="A417" s="33" t="s">
        <v>8</v>
      </c>
      <c r="B417" s="536" t="s">
        <v>389</v>
      </c>
      <c r="C417" s="338" t="s">
        <v>9</v>
      </c>
      <c r="D417" s="13"/>
      <c r="E417" s="7"/>
      <c r="F417" s="7"/>
      <c r="G417" s="7">
        <f>F417*D417</f>
        <v>0</v>
      </c>
      <c r="H417" s="7">
        <f>F417*E417</f>
        <v>0</v>
      </c>
      <c r="I417" s="1"/>
      <c r="J417" s="32" t="s">
        <v>38</v>
      </c>
      <c r="K417" s="405" t="s">
        <v>288</v>
      </c>
      <c r="L417" s="405" t="s">
        <v>94</v>
      </c>
      <c r="M417" s="405"/>
      <c r="N417" s="405"/>
      <c r="P417" s="462"/>
    </row>
    <row r="418" spans="1:16" s="502" customFormat="1" outlineLevel="4">
      <c r="A418" s="492" t="s">
        <v>295</v>
      </c>
      <c r="B418" s="533" t="s">
        <v>336</v>
      </c>
      <c r="C418" s="494" t="s">
        <v>9</v>
      </c>
      <c r="D418" s="495"/>
      <c r="E418" s="495"/>
      <c r="F418" s="495"/>
      <c r="G418" s="495">
        <f>SUBTOTAL(9,G419:G429)</f>
        <v>73099.199999999997</v>
      </c>
      <c r="H418" s="495">
        <f t="shared" ref="H418" si="89">SUBTOTAL(9,H419:H429)</f>
        <v>85836.799999999988</v>
      </c>
      <c r="I418" s="543"/>
      <c r="J418" s="32" t="s">
        <v>38</v>
      </c>
      <c r="K418" s="501"/>
      <c r="L418" s="501"/>
      <c r="M418" s="501"/>
      <c r="N418" s="503"/>
      <c r="P418" s="503"/>
    </row>
    <row r="419" spans="1:16" s="20" customFormat="1" outlineLevel="4">
      <c r="A419" s="33" t="s">
        <v>8</v>
      </c>
      <c r="B419" s="512" t="s">
        <v>337</v>
      </c>
      <c r="C419" s="338" t="s">
        <v>24</v>
      </c>
      <c r="D419" s="7">
        <v>7</v>
      </c>
      <c r="E419" s="7">
        <v>11</v>
      </c>
      <c r="F419" s="19">
        <v>3000</v>
      </c>
      <c r="G419" s="7">
        <f t="shared" ref="G419:G429" si="90">F419*D419</f>
        <v>21000</v>
      </c>
      <c r="H419" s="7">
        <f t="shared" ref="H419:H429" si="91">F419*E419</f>
        <v>33000</v>
      </c>
      <c r="I419" s="1"/>
      <c r="J419" s="32" t="s">
        <v>38</v>
      </c>
      <c r="K419" s="32" t="s">
        <v>195</v>
      </c>
      <c r="L419" s="32" t="s">
        <v>94</v>
      </c>
      <c r="M419" s="32" t="s">
        <v>121</v>
      </c>
      <c r="N419" s="532" t="s">
        <v>976</v>
      </c>
      <c r="P419" s="516"/>
    </row>
    <row r="420" spans="1:16" s="20" customFormat="1" outlineLevel="4">
      <c r="A420" s="33" t="s">
        <v>8</v>
      </c>
      <c r="B420" s="512" t="s">
        <v>338</v>
      </c>
      <c r="C420" s="338" t="s">
        <v>339</v>
      </c>
      <c r="D420" s="7">
        <v>210</v>
      </c>
      <c r="E420" s="7">
        <v>330</v>
      </c>
      <c r="F420" s="19">
        <v>4</v>
      </c>
      <c r="G420" s="7">
        <f t="shared" si="90"/>
        <v>840</v>
      </c>
      <c r="H420" s="7">
        <f t="shared" si="91"/>
        <v>1320</v>
      </c>
      <c r="I420" s="1"/>
      <c r="J420" s="32" t="s">
        <v>38</v>
      </c>
      <c r="K420" s="32" t="s">
        <v>195</v>
      </c>
      <c r="L420" s="32" t="s">
        <v>94</v>
      </c>
      <c r="M420" s="32" t="s">
        <v>121</v>
      </c>
      <c r="N420" s="532" t="s">
        <v>976</v>
      </c>
      <c r="P420" s="516"/>
    </row>
    <row r="421" spans="1:16" s="20" customFormat="1" outlineLevel="4">
      <c r="A421" s="33" t="s">
        <v>8</v>
      </c>
      <c r="B421" s="512" t="s">
        <v>340</v>
      </c>
      <c r="C421" s="338" t="s">
        <v>339</v>
      </c>
      <c r="D421" s="7">
        <v>105</v>
      </c>
      <c r="E421" s="7">
        <v>165</v>
      </c>
      <c r="F421" s="19">
        <v>3</v>
      </c>
      <c r="G421" s="7">
        <f t="shared" si="90"/>
        <v>315</v>
      </c>
      <c r="H421" s="7">
        <f t="shared" si="91"/>
        <v>495</v>
      </c>
      <c r="I421" s="1"/>
      <c r="J421" s="32" t="s">
        <v>38</v>
      </c>
      <c r="K421" s="32" t="s">
        <v>195</v>
      </c>
      <c r="L421" s="32" t="s">
        <v>94</v>
      </c>
      <c r="M421" s="32" t="s">
        <v>121</v>
      </c>
      <c r="N421" s="532" t="s">
        <v>976</v>
      </c>
      <c r="P421" s="516"/>
    </row>
    <row r="422" spans="1:16" s="20" customFormat="1" outlineLevel="4">
      <c r="A422" s="33" t="s">
        <v>8</v>
      </c>
      <c r="B422" s="504" t="s">
        <v>341</v>
      </c>
      <c r="C422" s="338" t="s">
        <v>342</v>
      </c>
      <c r="D422" s="7">
        <v>3</v>
      </c>
      <c r="E422" s="7">
        <v>3</v>
      </c>
      <c r="F422" s="338">
        <v>130</v>
      </c>
      <c r="G422" s="7">
        <f t="shared" si="90"/>
        <v>390</v>
      </c>
      <c r="H422" s="7">
        <f t="shared" si="91"/>
        <v>390</v>
      </c>
      <c r="I422" s="1"/>
      <c r="J422" s="32" t="s">
        <v>38</v>
      </c>
      <c r="K422" s="32" t="s">
        <v>195</v>
      </c>
      <c r="L422" s="32" t="s">
        <v>94</v>
      </c>
      <c r="M422" s="32" t="s">
        <v>121</v>
      </c>
      <c r="N422" s="532" t="s">
        <v>976</v>
      </c>
      <c r="P422" s="516"/>
    </row>
    <row r="423" spans="1:16" s="20" customFormat="1" outlineLevel="4">
      <c r="A423" s="33" t="s">
        <v>8</v>
      </c>
      <c r="B423" s="512" t="s">
        <v>343</v>
      </c>
      <c r="C423" s="338" t="s">
        <v>344</v>
      </c>
      <c r="D423" s="7">
        <v>3</v>
      </c>
      <c r="E423" s="7">
        <v>3</v>
      </c>
      <c r="F423" s="338">
        <v>125</v>
      </c>
      <c r="G423" s="7">
        <f t="shared" si="90"/>
        <v>375</v>
      </c>
      <c r="H423" s="7">
        <f t="shared" si="91"/>
        <v>375</v>
      </c>
      <c r="I423" s="1"/>
      <c r="J423" s="32" t="s">
        <v>38</v>
      </c>
      <c r="K423" s="32" t="s">
        <v>195</v>
      </c>
      <c r="L423" s="32" t="s">
        <v>94</v>
      </c>
      <c r="M423" s="32" t="s">
        <v>121</v>
      </c>
      <c r="N423" s="532" t="s">
        <v>976</v>
      </c>
      <c r="P423" s="516"/>
    </row>
    <row r="424" spans="1:16" s="20" customFormat="1" outlineLevel="4">
      <c r="A424" s="33" t="s">
        <v>8</v>
      </c>
      <c r="B424" s="520" t="s">
        <v>345</v>
      </c>
      <c r="C424" s="338" t="s">
        <v>346</v>
      </c>
      <c r="D424" s="7">
        <v>14</v>
      </c>
      <c r="E424" s="7">
        <v>22</v>
      </c>
      <c r="F424" s="339">
        <v>9.6999999999999993</v>
      </c>
      <c r="G424" s="7">
        <f t="shared" si="90"/>
        <v>135.79999999999998</v>
      </c>
      <c r="H424" s="7">
        <f t="shared" si="91"/>
        <v>213.39999999999998</v>
      </c>
      <c r="I424" s="1"/>
      <c r="J424" s="32" t="s">
        <v>38</v>
      </c>
      <c r="K424" s="32" t="s">
        <v>195</v>
      </c>
      <c r="L424" s="32" t="s">
        <v>94</v>
      </c>
      <c r="M424" s="32" t="s">
        <v>121</v>
      </c>
      <c r="N424" s="532" t="s">
        <v>976</v>
      </c>
      <c r="P424" s="516"/>
    </row>
    <row r="425" spans="1:16" s="20" customFormat="1" outlineLevel="4">
      <c r="A425" s="33" t="s">
        <v>8</v>
      </c>
      <c r="B425" s="520" t="s">
        <v>347</v>
      </c>
      <c r="C425" s="338" t="s">
        <v>334</v>
      </c>
      <c r="D425" s="7">
        <v>5</v>
      </c>
      <c r="E425" s="7">
        <v>5</v>
      </c>
      <c r="F425" s="339">
        <v>3.6</v>
      </c>
      <c r="G425" s="7">
        <f t="shared" si="90"/>
        <v>18</v>
      </c>
      <c r="H425" s="7">
        <f t="shared" si="91"/>
        <v>18</v>
      </c>
      <c r="I425" s="1"/>
      <c r="J425" s="32" t="s">
        <v>38</v>
      </c>
      <c r="K425" s="32" t="s">
        <v>195</v>
      </c>
      <c r="L425" s="32" t="s">
        <v>94</v>
      </c>
      <c r="M425" s="32" t="s">
        <v>121</v>
      </c>
      <c r="N425" s="532" t="s">
        <v>976</v>
      </c>
      <c r="P425" s="516"/>
    </row>
    <row r="426" spans="1:16" s="20" customFormat="1" outlineLevel="4">
      <c r="A426" s="33" t="s">
        <v>8</v>
      </c>
      <c r="B426" s="520" t="s">
        <v>348</v>
      </c>
      <c r="C426" s="338" t="s">
        <v>334</v>
      </c>
      <c r="D426" s="7">
        <v>5</v>
      </c>
      <c r="E426" s="7">
        <v>5</v>
      </c>
      <c r="F426" s="339">
        <v>3.8</v>
      </c>
      <c r="G426" s="7">
        <f t="shared" si="90"/>
        <v>19</v>
      </c>
      <c r="H426" s="7">
        <f t="shared" si="91"/>
        <v>19</v>
      </c>
      <c r="I426" s="1"/>
      <c r="J426" s="32" t="s">
        <v>38</v>
      </c>
      <c r="K426" s="32" t="s">
        <v>195</v>
      </c>
      <c r="L426" s="32" t="s">
        <v>94</v>
      </c>
      <c r="M426" s="32" t="s">
        <v>121</v>
      </c>
      <c r="N426" s="532" t="s">
        <v>976</v>
      </c>
      <c r="P426" s="516"/>
    </row>
    <row r="427" spans="1:16" s="20" customFormat="1" outlineLevel="4">
      <c r="A427" s="33" t="s">
        <v>8</v>
      </c>
      <c r="B427" s="520" t="s">
        <v>349</v>
      </c>
      <c r="C427" s="338" t="s">
        <v>346</v>
      </c>
      <c r="D427" s="7">
        <v>8</v>
      </c>
      <c r="E427" s="7">
        <v>8</v>
      </c>
      <c r="F427" s="339">
        <v>0.4</v>
      </c>
      <c r="G427" s="7">
        <f t="shared" si="90"/>
        <v>3.2</v>
      </c>
      <c r="H427" s="7">
        <f t="shared" si="91"/>
        <v>3.2</v>
      </c>
      <c r="I427" s="1"/>
      <c r="J427" s="32" t="s">
        <v>38</v>
      </c>
      <c r="K427" s="32" t="s">
        <v>195</v>
      </c>
      <c r="L427" s="32" t="s">
        <v>94</v>
      </c>
      <c r="M427" s="32" t="s">
        <v>121</v>
      </c>
      <c r="N427" s="532" t="s">
        <v>976</v>
      </c>
      <c r="P427" s="516"/>
    </row>
    <row r="428" spans="1:16" s="20" customFormat="1" outlineLevel="4">
      <c r="A428" s="33" t="s">
        <v>8</v>
      </c>
      <c r="B428" s="520" t="s">
        <v>350</v>
      </c>
      <c r="C428" s="338" t="s">
        <v>346</v>
      </c>
      <c r="D428" s="7">
        <v>8</v>
      </c>
      <c r="E428" s="7">
        <v>8</v>
      </c>
      <c r="F428" s="339">
        <v>0.4</v>
      </c>
      <c r="G428" s="7">
        <f t="shared" si="90"/>
        <v>3.2</v>
      </c>
      <c r="H428" s="7">
        <f t="shared" si="91"/>
        <v>3.2</v>
      </c>
      <c r="I428" s="1"/>
      <c r="J428" s="32" t="s">
        <v>38</v>
      </c>
      <c r="K428" s="32" t="s">
        <v>195</v>
      </c>
      <c r="L428" s="32" t="s">
        <v>94</v>
      </c>
      <c r="M428" s="32" t="s">
        <v>121</v>
      </c>
      <c r="N428" s="532" t="s">
        <v>976</v>
      </c>
      <c r="P428" s="516"/>
    </row>
    <row r="429" spans="1:16" s="20" customFormat="1" outlineLevel="4">
      <c r="A429" s="33" t="s">
        <v>8</v>
      </c>
      <c r="B429" s="520" t="s">
        <v>351</v>
      </c>
      <c r="C429" s="338" t="s">
        <v>9</v>
      </c>
      <c r="D429" s="7">
        <v>1</v>
      </c>
      <c r="E429" s="7">
        <v>1</v>
      </c>
      <c r="F429" s="340">
        <v>50000</v>
      </c>
      <c r="G429" s="7">
        <f t="shared" si="90"/>
        <v>50000</v>
      </c>
      <c r="H429" s="7">
        <f t="shared" si="91"/>
        <v>50000</v>
      </c>
      <c r="I429" s="1"/>
      <c r="J429" s="32" t="s">
        <v>38</v>
      </c>
      <c r="K429" s="32" t="s">
        <v>195</v>
      </c>
      <c r="L429" s="32" t="s">
        <v>94</v>
      </c>
      <c r="M429" s="32" t="s">
        <v>121</v>
      </c>
      <c r="N429" s="532" t="s">
        <v>976</v>
      </c>
      <c r="P429" s="516"/>
    </row>
    <row r="430" spans="1:16" s="497" customFormat="1" ht="13.5" outlineLevel="3">
      <c r="A430" s="492" t="s">
        <v>83</v>
      </c>
      <c r="B430" s="525" t="s">
        <v>330</v>
      </c>
      <c r="C430" s="508" t="s">
        <v>9</v>
      </c>
      <c r="D430" s="500"/>
      <c r="E430" s="500"/>
      <c r="F430" s="500"/>
      <c r="G430" s="527">
        <f>SUBTOTAL(9,G431:G437)</f>
        <v>0</v>
      </c>
      <c r="H430" s="527">
        <f t="shared" ref="H430" si="92">SUBTOTAL(9,H431:H437)</f>
        <v>0</v>
      </c>
      <c r="I430" s="510"/>
      <c r="J430" s="32" t="s">
        <v>38</v>
      </c>
      <c r="K430" s="496"/>
      <c r="L430" s="496"/>
      <c r="M430" s="496"/>
      <c r="N430" s="496"/>
      <c r="P430" s="498"/>
    </row>
    <row r="431" spans="1:16" s="20" customFormat="1" outlineLevel="3">
      <c r="A431" s="33" t="s">
        <v>8</v>
      </c>
      <c r="B431" s="504" t="s">
        <v>381</v>
      </c>
      <c r="C431" s="338" t="s">
        <v>9</v>
      </c>
      <c r="D431" s="7"/>
      <c r="E431" s="7"/>
      <c r="F431" s="547"/>
      <c r="G431" s="7">
        <f t="shared" ref="G431:H437" si="93">F431*D431</f>
        <v>0</v>
      </c>
      <c r="H431" s="7">
        <f t="shared" si="93"/>
        <v>0</v>
      </c>
      <c r="I431" s="1"/>
      <c r="J431" s="32" t="s">
        <v>38</v>
      </c>
      <c r="K431" s="32" t="s">
        <v>195</v>
      </c>
      <c r="L431" s="32" t="s">
        <v>94</v>
      </c>
      <c r="M431" s="32" t="s">
        <v>121</v>
      </c>
      <c r="N431" s="532" t="s">
        <v>970</v>
      </c>
      <c r="P431" s="516"/>
    </row>
    <row r="432" spans="1:16" s="20" customFormat="1" outlineLevel="3">
      <c r="A432" s="33" t="s">
        <v>8</v>
      </c>
      <c r="B432" s="504" t="s">
        <v>382</v>
      </c>
      <c r="C432" s="338" t="s">
        <v>9</v>
      </c>
      <c r="D432" s="7"/>
      <c r="E432" s="7"/>
      <c r="F432" s="547"/>
      <c r="G432" s="7">
        <f t="shared" si="93"/>
        <v>0</v>
      </c>
      <c r="H432" s="7">
        <f t="shared" si="93"/>
        <v>0</v>
      </c>
      <c r="I432" s="1"/>
      <c r="J432" s="32" t="s">
        <v>38</v>
      </c>
      <c r="K432" s="32" t="s">
        <v>195</v>
      </c>
      <c r="L432" s="32" t="s">
        <v>94</v>
      </c>
      <c r="M432" s="32" t="s">
        <v>121</v>
      </c>
      <c r="N432" s="532" t="s">
        <v>970</v>
      </c>
      <c r="P432" s="516"/>
    </row>
    <row r="433" spans="1:16" s="20" customFormat="1" outlineLevel="3">
      <c r="A433" s="33" t="s">
        <v>8</v>
      </c>
      <c r="B433" s="504" t="s">
        <v>331</v>
      </c>
      <c r="C433" s="338" t="s">
        <v>9</v>
      </c>
      <c r="D433" s="7"/>
      <c r="E433" s="7"/>
      <c r="F433" s="547"/>
      <c r="G433" s="7">
        <f t="shared" si="93"/>
        <v>0</v>
      </c>
      <c r="H433" s="7">
        <f t="shared" si="93"/>
        <v>0</v>
      </c>
      <c r="I433" s="1"/>
      <c r="J433" s="32" t="s">
        <v>38</v>
      </c>
      <c r="K433" s="32" t="s">
        <v>195</v>
      </c>
      <c r="L433" s="32" t="s">
        <v>94</v>
      </c>
      <c r="M433" s="32" t="s">
        <v>121</v>
      </c>
      <c r="N433" s="532" t="s">
        <v>970</v>
      </c>
      <c r="P433" s="516"/>
    </row>
    <row r="434" spans="1:16" s="20" customFormat="1" outlineLevel="3">
      <c r="A434" s="33" t="s">
        <v>8</v>
      </c>
      <c r="B434" s="504" t="s">
        <v>332</v>
      </c>
      <c r="C434" s="338" t="s">
        <v>9</v>
      </c>
      <c r="D434" s="7"/>
      <c r="E434" s="7"/>
      <c r="F434" s="547"/>
      <c r="G434" s="7">
        <f t="shared" si="93"/>
        <v>0</v>
      </c>
      <c r="H434" s="7">
        <f t="shared" si="93"/>
        <v>0</v>
      </c>
      <c r="I434" s="1"/>
      <c r="J434" s="32" t="s">
        <v>38</v>
      </c>
      <c r="K434" s="32" t="s">
        <v>195</v>
      </c>
      <c r="L434" s="32" t="s">
        <v>94</v>
      </c>
      <c r="M434" s="32" t="s">
        <v>121</v>
      </c>
      <c r="N434" s="532" t="s">
        <v>970</v>
      </c>
      <c r="P434" s="516"/>
    </row>
    <row r="435" spans="1:16" s="20" customFormat="1" outlineLevel="3">
      <c r="A435" s="33" t="s">
        <v>8</v>
      </c>
      <c r="B435" s="504" t="s">
        <v>333</v>
      </c>
      <c r="C435" s="338" t="s">
        <v>9</v>
      </c>
      <c r="D435" s="7"/>
      <c r="E435" s="7"/>
      <c r="F435" s="547"/>
      <c r="G435" s="7">
        <f t="shared" si="93"/>
        <v>0</v>
      </c>
      <c r="H435" s="7">
        <f t="shared" si="93"/>
        <v>0</v>
      </c>
      <c r="I435" s="1"/>
      <c r="J435" s="32" t="s">
        <v>38</v>
      </c>
      <c r="K435" s="32" t="s">
        <v>195</v>
      </c>
      <c r="L435" s="32" t="s">
        <v>94</v>
      </c>
      <c r="M435" s="32" t="s">
        <v>121</v>
      </c>
      <c r="N435" s="532" t="s">
        <v>970</v>
      </c>
      <c r="P435" s="516"/>
    </row>
    <row r="436" spans="1:16" s="20" customFormat="1" outlineLevel="3">
      <c r="A436" s="33" t="s">
        <v>8</v>
      </c>
      <c r="B436" s="504" t="s">
        <v>383</v>
      </c>
      <c r="C436" s="338" t="s">
        <v>9</v>
      </c>
      <c r="D436" s="7"/>
      <c r="E436" s="7"/>
      <c r="F436" s="547"/>
      <c r="G436" s="7">
        <f t="shared" si="93"/>
        <v>0</v>
      </c>
      <c r="H436" s="7">
        <f t="shared" si="93"/>
        <v>0</v>
      </c>
      <c r="I436" s="1"/>
      <c r="J436" s="32" t="s">
        <v>38</v>
      </c>
      <c r="K436" s="32" t="s">
        <v>195</v>
      </c>
      <c r="L436" s="32" t="s">
        <v>94</v>
      </c>
      <c r="M436" s="32" t="s">
        <v>121</v>
      </c>
      <c r="N436" s="532" t="s">
        <v>970</v>
      </c>
      <c r="P436" s="516"/>
    </row>
    <row r="437" spans="1:16" s="20" customFormat="1" outlineLevel="3">
      <c r="A437" s="33" t="s">
        <v>8</v>
      </c>
      <c r="B437" s="504" t="s">
        <v>384</v>
      </c>
      <c r="C437" s="338" t="s">
        <v>9</v>
      </c>
      <c r="D437" s="7"/>
      <c r="E437" s="7"/>
      <c r="F437" s="547"/>
      <c r="G437" s="7">
        <f t="shared" si="93"/>
        <v>0</v>
      </c>
      <c r="H437" s="7">
        <f t="shared" si="93"/>
        <v>0</v>
      </c>
      <c r="I437" s="1"/>
      <c r="J437" s="32" t="s">
        <v>38</v>
      </c>
      <c r="K437" s="32" t="s">
        <v>195</v>
      </c>
      <c r="L437" s="32" t="s">
        <v>94</v>
      </c>
      <c r="M437" s="32" t="s">
        <v>121</v>
      </c>
      <c r="N437" s="532" t="s">
        <v>970</v>
      </c>
      <c r="P437" s="516"/>
    </row>
    <row r="438" spans="1:16" s="497" customFormat="1" outlineLevel="1">
      <c r="A438" s="492" t="s">
        <v>398</v>
      </c>
      <c r="B438" s="533" t="s">
        <v>352</v>
      </c>
      <c r="C438" s="494"/>
      <c r="D438" s="495"/>
      <c r="E438" s="495"/>
      <c r="F438" s="495"/>
      <c r="G438" s="495">
        <f>SUBTOTAL(9,G439:G440)</f>
        <v>0</v>
      </c>
      <c r="H438" s="495">
        <f>SUBTOTAL(9,H439:H440)</f>
        <v>0</v>
      </c>
      <c r="I438" s="541"/>
      <c r="J438" s="32" t="s">
        <v>38</v>
      </c>
      <c r="K438" s="496"/>
      <c r="L438" s="496"/>
      <c r="M438" s="496"/>
      <c r="N438" s="496"/>
      <c r="P438" s="498"/>
    </row>
    <row r="439" spans="1:16" s="497" customFormat="1" outlineLevel="3">
      <c r="A439" s="492">
        <v>1</v>
      </c>
      <c r="B439" s="499" t="s">
        <v>371</v>
      </c>
      <c r="C439" s="508"/>
      <c r="D439" s="500"/>
      <c r="E439" s="500"/>
      <c r="F439" s="526"/>
      <c r="G439" s="500">
        <f>SUBTOTAL(9,G440:G440)</f>
        <v>0</v>
      </c>
      <c r="H439" s="500">
        <f>SUBTOTAL(9,H440:H440)</f>
        <v>0</v>
      </c>
      <c r="I439" s="510"/>
      <c r="J439" s="32" t="s">
        <v>38</v>
      </c>
      <c r="K439" s="496"/>
      <c r="L439" s="496"/>
      <c r="M439" s="496"/>
      <c r="N439" s="496"/>
      <c r="P439" s="498"/>
    </row>
    <row r="440" spans="1:16" s="20" customFormat="1" outlineLevel="3">
      <c r="A440" s="33" t="s">
        <v>8</v>
      </c>
      <c r="B440" s="504" t="s">
        <v>326</v>
      </c>
      <c r="C440" s="338" t="s">
        <v>24</v>
      </c>
      <c r="D440" s="7"/>
      <c r="E440" s="7"/>
      <c r="F440" s="342"/>
      <c r="G440" s="7">
        <f>F440*D440</f>
        <v>0</v>
      </c>
      <c r="H440" s="7">
        <f>F440*E440</f>
        <v>0</v>
      </c>
      <c r="I440" s="1"/>
      <c r="J440" s="32" t="s">
        <v>38</v>
      </c>
      <c r="K440" s="32" t="s">
        <v>122</v>
      </c>
      <c r="L440" s="32" t="s">
        <v>94</v>
      </c>
      <c r="M440" s="32" t="s">
        <v>121</v>
      </c>
      <c r="N440" s="505" t="s">
        <v>576</v>
      </c>
      <c r="O440" s="535" t="s">
        <v>963</v>
      </c>
      <c r="P440" s="580"/>
    </row>
    <row r="441" spans="1:16" s="553" customFormat="1" ht="14" outlineLevel="3">
      <c r="A441" s="548" t="s">
        <v>398</v>
      </c>
      <c r="B441" s="549" t="s">
        <v>400</v>
      </c>
      <c r="C441" s="550"/>
      <c r="D441" s="486"/>
      <c r="E441" s="486"/>
      <c r="F441" s="486"/>
      <c r="G441" s="486">
        <f>SUBTOTAL(9,G442:G511)</f>
        <v>0</v>
      </c>
      <c r="H441" s="486">
        <f>SUBTOTAL(9,H442:H511)</f>
        <v>2382520</v>
      </c>
      <c r="I441" s="551"/>
      <c r="J441" s="213" t="s">
        <v>38</v>
      </c>
      <c r="K441" s="552"/>
      <c r="L441" s="552"/>
      <c r="M441" s="552"/>
      <c r="N441" s="552"/>
      <c r="P441" s="554"/>
    </row>
    <row r="442" spans="1:16" s="497" customFormat="1" ht="14" outlineLevel="3">
      <c r="A442" s="555">
        <v>1</v>
      </c>
      <c r="B442" s="525" t="s">
        <v>372</v>
      </c>
      <c r="C442" s="508"/>
      <c r="D442" s="500"/>
      <c r="E442" s="500"/>
      <c r="F442" s="556"/>
      <c r="G442" s="500">
        <f>SUBTOTAL(9,G443:G444)</f>
        <v>0</v>
      </c>
      <c r="H442" s="500">
        <f>SUBTOTAL(9,H443:H444)</f>
        <v>0</v>
      </c>
      <c r="I442" s="510"/>
      <c r="J442" s="213" t="s">
        <v>38</v>
      </c>
      <c r="K442" s="496"/>
      <c r="L442" s="496"/>
      <c r="M442" s="496"/>
      <c r="N442" s="496"/>
      <c r="P442" s="498"/>
    </row>
    <row r="443" spans="1:16" s="20" customFormat="1" ht="14" outlineLevel="3">
      <c r="A443" s="471" t="s">
        <v>8</v>
      </c>
      <c r="B443" s="557" t="s">
        <v>355</v>
      </c>
      <c r="C443" s="338" t="s">
        <v>9</v>
      </c>
      <c r="D443" s="7"/>
      <c r="E443" s="7"/>
      <c r="F443" s="345"/>
      <c r="G443" s="7">
        <f t="shared" ref="G443:G444" si="94">F443*D443</f>
        <v>0</v>
      </c>
      <c r="H443" s="7">
        <f>F443*E443</f>
        <v>0</v>
      </c>
      <c r="I443" s="1"/>
      <c r="J443" s="213" t="s">
        <v>38</v>
      </c>
      <c r="K443" s="214" t="s">
        <v>1384</v>
      </c>
      <c r="L443" s="32" t="s">
        <v>94</v>
      </c>
      <c r="M443" s="32" t="s">
        <v>121</v>
      </c>
      <c r="N443" s="32"/>
      <c r="P443" s="516"/>
    </row>
    <row r="444" spans="1:16" s="20" customFormat="1" ht="14" outlineLevel="3">
      <c r="A444" s="471" t="s">
        <v>8</v>
      </c>
      <c r="B444" s="557" t="s">
        <v>354</v>
      </c>
      <c r="C444" s="338" t="s">
        <v>9</v>
      </c>
      <c r="D444" s="7"/>
      <c r="E444" s="7"/>
      <c r="F444" s="345"/>
      <c r="G444" s="7">
        <f t="shared" si="94"/>
        <v>0</v>
      </c>
      <c r="H444" s="7">
        <f>F444*E444</f>
        <v>0</v>
      </c>
      <c r="I444" s="1"/>
      <c r="J444" s="213" t="s">
        <v>38</v>
      </c>
      <c r="K444" s="214" t="s">
        <v>1384</v>
      </c>
      <c r="L444" s="32" t="s">
        <v>94</v>
      </c>
      <c r="M444" s="32" t="s">
        <v>121</v>
      </c>
      <c r="N444" s="32"/>
      <c r="P444" s="516"/>
    </row>
    <row r="445" spans="1:16" s="502" customFormat="1" ht="14" outlineLevel="3">
      <c r="A445" s="555">
        <v>2</v>
      </c>
      <c r="B445" s="558" t="s">
        <v>1290</v>
      </c>
      <c r="C445" s="494" t="s">
        <v>9</v>
      </c>
      <c r="D445" s="495"/>
      <c r="E445" s="495"/>
      <c r="F445" s="559"/>
      <c r="G445" s="495">
        <f>SUBTOTAL(9,G446:G480)</f>
        <v>0</v>
      </c>
      <c r="H445" s="495">
        <f>SUBTOTAL(9,H446:H480)</f>
        <v>1191260</v>
      </c>
      <c r="I445" s="543"/>
      <c r="J445" s="213" t="s">
        <v>38</v>
      </c>
      <c r="K445" s="501"/>
      <c r="L445" s="501"/>
      <c r="M445" s="501"/>
      <c r="N445" s="501"/>
      <c r="P445" s="503"/>
    </row>
    <row r="446" spans="1:16" s="502" customFormat="1" ht="14" outlineLevel="3">
      <c r="A446" s="555">
        <v>2.1</v>
      </c>
      <c r="B446" s="560" t="s">
        <v>390</v>
      </c>
      <c r="C446" s="494"/>
      <c r="D446" s="495"/>
      <c r="E446" s="495"/>
      <c r="F446" s="559"/>
      <c r="G446" s="495">
        <f>SUBTOTAL(9,G447:G449)</f>
        <v>0</v>
      </c>
      <c r="H446" s="495">
        <f>SUBTOTAL(9,H447:H449)</f>
        <v>1191260</v>
      </c>
      <c r="I446" s="543"/>
      <c r="J446" s="213" t="s">
        <v>38</v>
      </c>
      <c r="K446" s="501"/>
      <c r="L446" s="501"/>
      <c r="M446" s="501"/>
      <c r="N446" s="501"/>
      <c r="P446" s="503"/>
    </row>
    <row r="447" spans="1:16" s="502" customFormat="1" ht="14" outlineLevel="3">
      <c r="A447" s="492" t="s">
        <v>392</v>
      </c>
      <c r="B447" s="499" t="s">
        <v>371</v>
      </c>
      <c r="C447" s="494"/>
      <c r="D447" s="495"/>
      <c r="E447" s="495"/>
      <c r="F447" s="559"/>
      <c r="G447" s="495"/>
      <c r="H447" s="495"/>
      <c r="I447" s="543"/>
      <c r="J447" s="213" t="s">
        <v>38</v>
      </c>
      <c r="K447" s="501"/>
      <c r="L447" s="501"/>
      <c r="M447" s="501"/>
      <c r="N447" s="501"/>
      <c r="P447" s="503"/>
    </row>
    <row r="448" spans="1:16" s="20" customFormat="1" ht="26" outlineLevel="3">
      <c r="A448" s="33" t="s">
        <v>8</v>
      </c>
      <c r="B448" s="504" t="s">
        <v>325</v>
      </c>
      <c r="C448" s="338" t="s">
        <v>24</v>
      </c>
      <c r="D448" s="7"/>
      <c r="E448" s="7">
        <v>20</v>
      </c>
      <c r="F448" s="345">
        <v>59563</v>
      </c>
      <c r="G448" s="7">
        <f>F448*D448</f>
        <v>0</v>
      </c>
      <c r="H448" s="7">
        <f>F448*E448</f>
        <v>1191260</v>
      </c>
      <c r="I448" s="1"/>
      <c r="J448" s="213" t="s">
        <v>38</v>
      </c>
      <c r="K448" s="214" t="s">
        <v>1384</v>
      </c>
      <c r="L448" s="32" t="s">
        <v>94</v>
      </c>
      <c r="M448" s="32" t="s">
        <v>121</v>
      </c>
      <c r="N448" s="505" t="s">
        <v>576</v>
      </c>
      <c r="O448" s="505" t="s">
        <v>962</v>
      </c>
      <c r="P448" s="573"/>
    </row>
    <row r="449" spans="1:16" s="20" customFormat="1" ht="14" outlineLevel="3">
      <c r="A449" s="33" t="s">
        <v>8</v>
      </c>
      <c r="B449" s="504" t="s">
        <v>326</v>
      </c>
      <c r="C449" s="338" t="s">
        <v>24</v>
      </c>
      <c r="D449" s="7"/>
      <c r="E449" s="7"/>
      <c r="F449" s="345"/>
      <c r="G449" s="7">
        <f>F449*D449</f>
        <v>0</v>
      </c>
      <c r="H449" s="7">
        <f>F449*E449</f>
        <v>0</v>
      </c>
      <c r="I449" s="1"/>
      <c r="J449" s="213" t="s">
        <v>38</v>
      </c>
      <c r="K449" s="214" t="s">
        <v>1384</v>
      </c>
      <c r="L449" s="32" t="s">
        <v>94</v>
      </c>
      <c r="M449" s="32" t="s">
        <v>121</v>
      </c>
      <c r="N449" s="505" t="s">
        <v>576</v>
      </c>
      <c r="O449" s="535" t="s">
        <v>963</v>
      </c>
      <c r="P449" s="573"/>
    </row>
    <row r="450" spans="1:16" s="502" customFormat="1" ht="14" outlineLevel="3">
      <c r="A450" s="555">
        <v>2.2000000000000002</v>
      </c>
      <c r="B450" s="561" t="s">
        <v>391</v>
      </c>
      <c r="C450" s="494"/>
      <c r="D450" s="495"/>
      <c r="E450" s="495"/>
      <c r="F450" s="562"/>
      <c r="G450" s="495">
        <f>SUBTOTAL(9,G451:G462)</f>
        <v>0</v>
      </c>
      <c r="H450" s="495">
        <f>SUBTOTAL(9,H451:H462)</f>
        <v>0</v>
      </c>
      <c r="I450" s="543"/>
      <c r="J450" s="213" t="s">
        <v>38</v>
      </c>
      <c r="K450" s="501"/>
      <c r="L450" s="501"/>
      <c r="M450" s="501"/>
      <c r="N450" s="501"/>
      <c r="P450" s="503"/>
    </row>
    <row r="451" spans="1:16" s="497" customFormat="1" ht="14" outlineLevel="3">
      <c r="A451" s="492" t="s">
        <v>395</v>
      </c>
      <c r="B451" s="499" t="s">
        <v>371</v>
      </c>
      <c r="C451" s="508"/>
      <c r="D451" s="500"/>
      <c r="E451" s="500"/>
      <c r="F451" s="526"/>
      <c r="G451" s="500"/>
      <c r="H451" s="500"/>
      <c r="I451" s="510"/>
      <c r="J451" s="213" t="s">
        <v>38</v>
      </c>
      <c r="K451" s="496"/>
      <c r="L451" s="496"/>
      <c r="M451" s="496"/>
      <c r="N451" s="496"/>
      <c r="P451" s="498"/>
    </row>
    <row r="452" spans="1:16" s="20" customFormat="1" ht="26" outlineLevel="3">
      <c r="A452" s="33" t="s">
        <v>8</v>
      </c>
      <c r="B452" s="504" t="s">
        <v>325</v>
      </c>
      <c r="C452" s="338" t="s">
        <v>24</v>
      </c>
      <c r="D452" s="7"/>
      <c r="E452" s="7"/>
      <c r="F452" s="346"/>
      <c r="G452" s="7">
        <f>F452*D452</f>
        <v>0</v>
      </c>
      <c r="H452" s="7">
        <f>F452*E452</f>
        <v>0</v>
      </c>
      <c r="I452" s="1"/>
      <c r="J452" s="213" t="s">
        <v>38</v>
      </c>
      <c r="K452" s="214" t="s">
        <v>1384</v>
      </c>
      <c r="L452" s="32" t="s">
        <v>94</v>
      </c>
      <c r="M452" s="32" t="s">
        <v>121</v>
      </c>
      <c r="N452" s="505" t="s">
        <v>576</v>
      </c>
      <c r="O452" s="505" t="s">
        <v>962</v>
      </c>
      <c r="P452" s="573"/>
    </row>
    <row r="453" spans="1:16" s="20" customFormat="1" ht="14" outlineLevel="3">
      <c r="A453" s="33" t="s">
        <v>8</v>
      </c>
      <c r="B453" s="504" t="s">
        <v>326</v>
      </c>
      <c r="C453" s="338" t="s">
        <v>24</v>
      </c>
      <c r="D453" s="7"/>
      <c r="E453" s="7"/>
      <c r="F453" s="347"/>
      <c r="G453" s="7">
        <f>F453*D453</f>
        <v>0</v>
      </c>
      <c r="H453" s="7">
        <f>F453*E453</f>
        <v>0</v>
      </c>
      <c r="I453" s="1"/>
      <c r="J453" s="213" t="s">
        <v>38</v>
      </c>
      <c r="K453" s="214" t="s">
        <v>1384</v>
      </c>
      <c r="L453" s="32" t="s">
        <v>94</v>
      </c>
      <c r="M453" s="32" t="s">
        <v>121</v>
      </c>
      <c r="N453" s="505" t="s">
        <v>576</v>
      </c>
      <c r="O453" s="535" t="s">
        <v>963</v>
      </c>
      <c r="P453" s="573"/>
    </row>
    <row r="454" spans="1:16" s="20" customFormat="1" ht="14" outlineLevel="3">
      <c r="A454" s="33" t="s">
        <v>8</v>
      </c>
      <c r="B454" s="504" t="s">
        <v>327</v>
      </c>
      <c r="C454" s="338" t="s">
        <v>24</v>
      </c>
      <c r="D454" s="7"/>
      <c r="E454" s="7"/>
      <c r="F454" s="347"/>
      <c r="G454" s="7">
        <f>F454*D454</f>
        <v>0</v>
      </c>
      <c r="H454" s="7">
        <f>F454*E454</f>
        <v>0</v>
      </c>
      <c r="I454" s="1"/>
      <c r="J454" s="213" t="s">
        <v>38</v>
      </c>
      <c r="K454" s="214" t="s">
        <v>1384</v>
      </c>
      <c r="L454" s="32" t="s">
        <v>94</v>
      </c>
      <c r="M454" s="32" t="s">
        <v>121</v>
      </c>
      <c r="N454" s="505" t="s">
        <v>576</v>
      </c>
      <c r="O454" s="563" t="s">
        <v>972</v>
      </c>
      <c r="P454" s="582"/>
    </row>
    <row r="455" spans="1:16" s="502" customFormat="1" ht="14" outlineLevel="2">
      <c r="A455" s="492" t="s">
        <v>396</v>
      </c>
      <c r="B455" s="493" t="s">
        <v>55</v>
      </c>
      <c r="C455" s="494"/>
      <c r="D455" s="495"/>
      <c r="E455" s="495"/>
      <c r="F455" s="495"/>
      <c r="G455" s="495">
        <f>SUBTOTAL(9,G456:G457)</f>
        <v>0</v>
      </c>
      <c r="H455" s="495">
        <f>SUBTOTAL(9,H456:H457)</f>
        <v>0</v>
      </c>
      <c r="I455" s="541"/>
      <c r="J455" s="213" t="s">
        <v>38</v>
      </c>
      <c r="K455" s="501"/>
      <c r="L455" s="501"/>
      <c r="M455" s="501"/>
      <c r="N455" s="501"/>
      <c r="P455" s="503"/>
    </row>
    <row r="456" spans="1:16" s="20" customFormat="1" ht="39" outlineLevel="3">
      <c r="A456" s="33" t="s">
        <v>8</v>
      </c>
      <c r="B456" s="504" t="s">
        <v>183</v>
      </c>
      <c r="C456" s="338" t="s">
        <v>24</v>
      </c>
      <c r="D456" s="7"/>
      <c r="E456" s="7"/>
      <c r="F456" s="348"/>
      <c r="G456" s="7">
        <f>F456*D456</f>
        <v>0</v>
      </c>
      <c r="H456" s="7">
        <f>F456*E456</f>
        <v>0</v>
      </c>
      <c r="I456" s="1"/>
      <c r="J456" s="213" t="s">
        <v>38</v>
      </c>
      <c r="K456" s="214" t="s">
        <v>1384</v>
      </c>
      <c r="L456" s="32" t="s">
        <v>94</v>
      </c>
      <c r="M456" s="32" t="s">
        <v>121</v>
      </c>
      <c r="N456" s="532" t="s">
        <v>55</v>
      </c>
      <c r="O456" s="504" t="s">
        <v>183</v>
      </c>
      <c r="P456" s="735"/>
    </row>
    <row r="457" spans="1:16" s="20" customFormat="1" ht="14.5" outlineLevel="3">
      <c r="A457" s="33" t="s">
        <v>8</v>
      </c>
      <c r="B457" s="504" t="s">
        <v>165</v>
      </c>
      <c r="C457" s="338" t="s">
        <v>24</v>
      </c>
      <c r="D457" s="7"/>
      <c r="E457" s="7"/>
      <c r="F457" s="348"/>
      <c r="G457" s="7">
        <f>F457*D457</f>
        <v>0</v>
      </c>
      <c r="H457" s="7">
        <f>F457*E457</f>
        <v>0</v>
      </c>
      <c r="I457" s="1"/>
      <c r="J457" s="213" t="s">
        <v>38</v>
      </c>
      <c r="K457" s="214" t="s">
        <v>1384</v>
      </c>
      <c r="L457" s="32" t="s">
        <v>94</v>
      </c>
      <c r="M457" s="32" t="s">
        <v>121</v>
      </c>
      <c r="N457" s="532" t="s">
        <v>55</v>
      </c>
      <c r="O457" s="532" t="s">
        <v>975</v>
      </c>
      <c r="P457" s="736"/>
    </row>
    <row r="458" spans="1:16" s="502" customFormat="1" ht="14" outlineLevel="2">
      <c r="A458" s="492" t="s">
        <v>397</v>
      </c>
      <c r="B458" s="542" t="s">
        <v>35</v>
      </c>
      <c r="C458" s="494"/>
      <c r="D458" s="495"/>
      <c r="E458" s="495"/>
      <c r="F458" s="495"/>
      <c r="G458" s="495">
        <f>SUBTOTAL(9,G459:G462)</f>
        <v>0</v>
      </c>
      <c r="H458" s="495">
        <f>SUBTOTAL(9,H459:H462)</f>
        <v>0</v>
      </c>
      <c r="I458" s="543"/>
      <c r="J458" s="213" t="s">
        <v>38</v>
      </c>
      <c r="K458" s="501"/>
      <c r="L458" s="501"/>
      <c r="M458" s="501"/>
      <c r="N458" s="501"/>
      <c r="P458" s="503"/>
    </row>
    <row r="459" spans="1:16" s="20" customFormat="1" ht="14" outlineLevel="4">
      <c r="A459" s="33" t="s">
        <v>8</v>
      </c>
      <c r="B459" s="512" t="s">
        <v>202</v>
      </c>
      <c r="C459" s="338" t="s">
        <v>24</v>
      </c>
      <c r="D459" s="7"/>
      <c r="E459" s="7"/>
      <c r="F459" s="343"/>
      <c r="G459" s="7">
        <f>F459*D459</f>
        <v>0</v>
      </c>
      <c r="H459" s="7">
        <f>F459*E459</f>
        <v>0</v>
      </c>
      <c r="I459" s="1"/>
      <c r="J459" s="213" t="s">
        <v>38</v>
      </c>
      <c r="K459" s="214" t="s">
        <v>1384</v>
      </c>
      <c r="L459" s="32" t="s">
        <v>94</v>
      </c>
      <c r="M459" s="32" t="s">
        <v>121</v>
      </c>
      <c r="N459" s="515" t="s">
        <v>964</v>
      </c>
      <c r="P459" s="582"/>
    </row>
    <row r="460" spans="1:16" s="20" customFormat="1" ht="14" outlineLevel="4">
      <c r="A460" s="33" t="s">
        <v>8</v>
      </c>
      <c r="B460" s="504" t="s">
        <v>203</v>
      </c>
      <c r="C460" s="338" t="s">
        <v>24</v>
      </c>
      <c r="D460" s="7"/>
      <c r="E460" s="7"/>
      <c r="F460" s="344"/>
      <c r="G460" s="7">
        <f>F460*D460</f>
        <v>0</v>
      </c>
      <c r="H460" s="7">
        <f>F460*E460</f>
        <v>0</v>
      </c>
      <c r="I460" s="1"/>
      <c r="J460" s="213" t="s">
        <v>38</v>
      </c>
      <c r="K460" s="214" t="s">
        <v>1384</v>
      </c>
      <c r="L460" s="32" t="s">
        <v>94</v>
      </c>
      <c r="M460" s="32" t="s">
        <v>121</v>
      </c>
      <c r="N460" s="517" t="s">
        <v>965</v>
      </c>
      <c r="P460" s="582"/>
    </row>
    <row r="461" spans="1:16" s="20" customFormat="1" ht="14" outlineLevel="4">
      <c r="A461" s="33" t="s">
        <v>8</v>
      </c>
      <c r="B461" s="520" t="s">
        <v>166</v>
      </c>
      <c r="C461" s="338" t="s">
        <v>24</v>
      </c>
      <c r="D461" s="7"/>
      <c r="E461" s="7"/>
      <c r="F461" s="336"/>
      <c r="G461" s="7">
        <f>F461*D461</f>
        <v>0</v>
      </c>
      <c r="H461" s="7">
        <f>F461*E461</f>
        <v>0</v>
      </c>
      <c r="I461" s="1"/>
      <c r="J461" s="213" t="s">
        <v>38</v>
      </c>
      <c r="K461" s="214" t="s">
        <v>1384</v>
      </c>
      <c r="L461" s="32" t="s">
        <v>94</v>
      </c>
      <c r="M461" s="32" t="s">
        <v>121</v>
      </c>
      <c r="N461" s="519" t="s">
        <v>966</v>
      </c>
      <c r="O461" s="20" t="s">
        <v>967</v>
      </c>
      <c r="P461" s="574"/>
    </row>
    <row r="462" spans="1:16" s="20" customFormat="1" ht="14" outlineLevel="4">
      <c r="A462" s="33" t="s">
        <v>8</v>
      </c>
      <c r="B462" s="520" t="s">
        <v>120</v>
      </c>
      <c r="C462" s="338" t="s">
        <v>24</v>
      </c>
      <c r="D462" s="7"/>
      <c r="E462" s="7"/>
      <c r="F462" s="336"/>
      <c r="G462" s="7">
        <f>F462*D462</f>
        <v>0</v>
      </c>
      <c r="H462" s="7">
        <f>F462*E462</f>
        <v>0</v>
      </c>
      <c r="I462" s="1"/>
      <c r="J462" s="213" t="s">
        <v>38</v>
      </c>
      <c r="K462" s="214" t="s">
        <v>1384</v>
      </c>
      <c r="L462" s="32" t="s">
        <v>94</v>
      </c>
      <c r="M462" s="32" t="s">
        <v>121</v>
      </c>
      <c r="N462" s="519" t="s">
        <v>966</v>
      </c>
      <c r="O462" s="521" t="s">
        <v>120</v>
      </c>
      <c r="P462" s="574"/>
    </row>
    <row r="463" spans="1:16" s="502" customFormat="1" ht="14" outlineLevel="2">
      <c r="A463" s="544">
        <v>2.2999999999999998</v>
      </c>
      <c r="B463" s="542" t="s">
        <v>380</v>
      </c>
      <c r="C463" s="545"/>
      <c r="D463" s="546"/>
      <c r="E463" s="546"/>
      <c r="F463" s="546"/>
      <c r="G463" s="546">
        <f>SUBTOTAL(9,G464:G464)</f>
        <v>0</v>
      </c>
      <c r="H463" s="546">
        <f>SUBTOTAL(9,H464:H464)</f>
        <v>0</v>
      </c>
      <c r="I463" s="543"/>
      <c r="J463" s="213" t="s">
        <v>38</v>
      </c>
      <c r="K463" s="501"/>
      <c r="L463" s="501"/>
      <c r="M463" s="501"/>
      <c r="N463" s="501"/>
      <c r="P463" s="503"/>
    </row>
    <row r="464" spans="1:16" s="458" customFormat="1" ht="14" outlineLevel="2">
      <c r="A464" s="564" t="s">
        <v>8</v>
      </c>
      <c r="B464" s="557" t="s">
        <v>389</v>
      </c>
      <c r="C464" s="336" t="s">
        <v>9</v>
      </c>
      <c r="D464" s="13"/>
      <c r="E464" s="62"/>
      <c r="F464" s="62"/>
      <c r="G464" s="62">
        <f>F464*D464</f>
        <v>0</v>
      </c>
      <c r="H464" s="62">
        <f>F464*E464</f>
        <v>0</v>
      </c>
      <c r="I464" s="13"/>
      <c r="J464" s="213" t="s">
        <v>38</v>
      </c>
      <c r="K464" s="214" t="s">
        <v>1384</v>
      </c>
      <c r="L464" s="5" t="s">
        <v>94</v>
      </c>
      <c r="M464" s="5" t="s">
        <v>121</v>
      </c>
      <c r="N464" s="565" t="s">
        <v>956</v>
      </c>
      <c r="P464" s="565"/>
    </row>
    <row r="465" spans="1:16" s="502" customFormat="1" ht="14" outlineLevel="3">
      <c r="A465" s="492">
        <v>2.4</v>
      </c>
      <c r="B465" s="499" t="s">
        <v>130</v>
      </c>
      <c r="C465" s="494"/>
      <c r="D465" s="495"/>
      <c r="E465" s="495"/>
      <c r="F465" s="566"/>
      <c r="G465" s="495">
        <f>SUBTOTAL(9,G466:G468)</f>
        <v>0</v>
      </c>
      <c r="H465" s="495">
        <f>SUBTOTAL(9,H466:H467)</f>
        <v>0</v>
      </c>
      <c r="I465" s="543"/>
      <c r="J465" s="213" t="s">
        <v>38</v>
      </c>
      <c r="K465" s="501"/>
      <c r="L465" s="501"/>
      <c r="M465" s="501"/>
      <c r="N465" s="501"/>
      <c r="P465" s="503"/>
    </row>
    <row r="466" spans="1:16" s="502" customFormat="1" ht="14" outlineLevel="3">
      <c r="A466" s="492"/>
      <c r="B466" s="499" t="s">
        <v>371</v>
      </c>
      <c r="C466" s="494"/>
      <c r="D466" s="495"/>
      <c r="E466" s="495"/>
      <c r="F466" s="567"/>
      <c r="G466" s="495"/>
      <c r="H466" s="495"/>
      <c r="I466" s="543"/>
      <c r="J466" s="213" t="s">
        <v>38</v>
      </c>
      <c r="K466" s="501"/>
      <c r="L466" s="501"/>
      <c r="M466" s="501"/>
      <c r="N466" s="501"/>
      <c r="P466" s="503"/>
    </row>
    <row r="467" spans="1:16" s="20" customFormat="1" ht="14" outlineLevel="3">
      <c r="A467" s="33" t="s">
        <v>8</v>
      </c>
      <c r="B467" s="504" t="s">
        <v>325</v>
      </c>
      <c r="C467" s="338" t="s">
        <v>24</v>
      </c>
      <c r="D467" s="7"/>
      <c r="E467" s="7"/>
      <c r="F467" s="537"/>
      <c r="G467" s="7">
        <f>F467*D467</f>
        <v>0</v>
      </c>
      <c r="H467" s="7">
        <f>F467*E467</f>
        <v>0</v>
      </c>
      <c r="I467" s="1"/>
      <c r="J467" s="213" t="s">
        <v>38</v>
      </c>
      <c r="K467" s="214" t="s">
        <v>1384</v>
      </c>
      <c r="L467" s="32" t="s">
        <v>94</v>
      </c>
      <c r="M467" s="32" t="s">
        <v>121</v>
      </c>
      <c r="N467" s="32"/>
      <c r="P467" s="573"/>
    </row>
    <row r="468" spans="1:16" s="20" customFormat="1" ht="14" outlineLevel="3">
      <c r="A468" s="33" t="s">
        <v>8</v>
      </c>
      <c r="B468" s="504" t="s">
        <v>326</v>
      </c>
      <c r="C468" s="338" t="s">
        <v>24</v>
      </c>
      <c r="D468" s="7"/>
      <c r="E468" s="7"/>
      <c r="F468" s="349"/>
      <c r="G468" s="7">
        <f>F468*D468</f>
        <v>0</v>
      </c>
      <c r="H468" s="7">
        <f>F468*E468</f>
        <v>0</v>
      </c>
      <c r="I468" s="1"/>
      <c r="J468" s="213" t="s">
        <v>38</v>
      </c>
      <c r="K468" s="214" t="s">
        <v>1384</v>
      </c>
      <c r="L468" s="32" t="s">
        <v>94</v>
      </c>
      <c r="M468" s="32" t="s">
        <v>121</v>
      </c>
      <c r="N468" s="32"/>
      <c r="P468" s="575"/>
    </row>
    <row r="469" spans="1:16" s="502" customFormat="1" ht="14" outlineLevel="4">
      <c r="A469" s="492">
        <v>2.5</v>
      </c>
      <c r="B469" s="533" t="s">
        <v>336</v>
      </c>
      <c r="C469" s="494"/>
      <c r="D469" s="495"/>
      <c r="E469" s="495"/>
      <c r="F469" s="495"/>
      <c r="G469" s="495">
        <f>SUBTOTAL(9,G470:G480)</f>
        <v>0</v>
      </c>
      <c r="H469" s="495">
        <f t="shared" ref="H469" si="95">SUBTOTAL(9,H470:H480)</f>
        <v>0</v>
      </c>
      <c r="I469" s="543"/>
      <c r="J469" s="213" t="s">
        <v>38</v>
      </c>
      <c r="K469" s="501"/>
      <c r="L469" s="501"/>
      <c r="M469" s="501"/>
      <c r="N469" s="501"/>
      <c r="P469" s="503"/>
    </row>
    <row r="470" spans="1:16" s="20" customFormat="1" ht="14" outlineLevel="4">
      <c r="A470" s="33" t="s">
        <v>8</v>
      </c>
      <c r="B470" s="512" t="s">
        <v>337</v>
      </c>
      <c r="C470" s="338" t="s">
        <v>24</v>
      </c>
      <c r="D470" s="7"/>
      <c r="E470" s="7"/>
      <c r="F470" s="350"/>
      <c r="G470" s="7">
        <f t="shared" ref="G470:G480" si="96">F470*D470</f>
        <v>0</v>
      </c>
      <c r="H470" s="7">
        <f t="shared" ref="H470:H480" si="97">F470*E470</f>
        <v>0</v>
      </c>
      <c r="I470" s="1"/>
      <c r="J470" s="213" t="s">
        <v>38</v>
      </c>
      <c r="K470" s="214" t="s">
        <v>1384</v>
      </c>
      <c r="L470" s="32" t="s">
        <v>94</v>
      </c>
      <c r="M470" s="32" t="s">
        <v>121</v>
      </c>
      <c r="N470" s="532" t="s">
        <v>976</v>
      </c>
      <c r="P470" s="583"/>
    </row>
    <row r="471" spans="1:16" s="20" customFormat="1" ht="14" outlineLevel="4">
      <c r="A471" s="33" t="s">
        <v>8</v>
      </c>
      <c r="B471" s="512" t="s">
        <v>338</v>
      </c>
      <c r="C471" s="338" t="s">
        <v>339</v>
      </c>
      <c r="D471" s="7"/>
      <c r="E471" s="7"/>
      <c r="F471" s="351"/>
      <c r="G471" s="7">
        <f t="shared" si="96"/>
        <v>0</v>
      </c>
      <c r="H471" s="7">
        <f t="shared" si="97"/>
        <v>0</v>
      </c>
      <c r="I471" s="1"/>
      <c r="J471" s="213" t="s">
        <v>38</v>
      </c>
      <c r="K471" s="214" t="s">
        <v>1384</v>
      </c>
      <c r="L471" s="32" t="s">
        <v>94</v>
      </c>
      <c r="M471" s="32" t="s">
        <v>121</v>
      </c>
      <c r="N471" s="532" t="s">
        <v>976</v>
      </c>
      <c r="P471" s="516"/>
    </row>
    <row r="472" spans="1:16" s="20" customFormat="1" ht="14" outlineLevel="4">
      <c r="A472" s="33" t="s">
        <v>8</v>
      </c>
      <c r="B472" s="512" t="s">
        <v>340</v>
      </c>
      <c r="C472" s="338" t="s">
        <v>339</v>
      </c>
      <c r="D472" s="7"/>
      <c r="E472" s="7"/>
      <c r="F472" s="351"/>
      <c r="G472" s="7">
        <f t="shared" si="96"/>
        <v>0</v>
      </c>
      <c r="H472" s="7">
        <f t="shared" si="97"/>
        <v>0</v>
      </c>
      <c r="I472" s="1"/>
      <c r="J472" s="213" t="s">
        <v>38</v>
      </c>
      <c r="K472" s="214" t="s">
        <v>1384</v>
      </c>
      <c r="L472" s="32" t="s">
        <v>94</v>
      </c>
      <c r="M472" s="32" t="s">
        <v>121</v>
      </c>
      <c r="N472" s="532" t="s">
        <v>976</v>
      </c>
      <c r="P472" s="516"/>
    </row>
    <row r="473" spans="1:16" s="20" customFormat="1" ht="14" outlineLevel="4">
      <c r="A473" s="33" t="s">
        <v>8</v>
      </c>
      <c r="B473" s="504" t="s">
        <v>341</v>
      </c>
      <c r="C473" s="338" t="s">
        <v>342</v>
      </c>
      <c r="D473" s="7"/>
      <c r="E473" s="7"/>
      <c r="F473" s="352"/>
      <c r="G473" s="7">
        <f t="shared" si="96"/>
        <v>0</v>
      </c>
      <c r="H473" s="7">
        <f t="shared" si="97"/>
        <v>0</v>
      </c>
      <c r="I473" s="1"/>
      <c r="J473" s="213" t="s">
        <v>38</v>
      </c>
      <c r="K473" s="214" t="s">
        <v>1384</v>
      </c>
      <c r="L473" s="32" t="s">
        <v>94</v>
      </c>
      <c r="M473" s="32" t="s">
        <v>121</v>
      </c>
      <c r="N473" s="532" t="s">
        <v>976</v>
      </c>
      <c r="P473" s="516"/>
    </row>
    <row r="474" spans="1:16" s="20" customFormat="1" ht="14" outlineLevel="4">
      <c r="A474" s="33" t="s">
        <v>8</v>
      </c>
      <c r="B474" s="512" t="s">
        <v>343</v>
      </c>
      <c r="C474" s="338" t="s">
        <v>344</v>
      </c>
      <c r="D474" s="7"/>
      <c r="E474" s="7"/>
      <c r="F474" s="352"/>
      <c r="G474" s="7">
        <f t="shared" si="96"/>
        <v>0</v>
      </c>
      <c r="H474" s="7">
        <f t="shared" si="97"/>
        <v>0</v>
      </c>
      <c r="I474" s="1"/>
      <c r="J474" s="213" t="s">
        <v>38</v>
      </c>
      <c r="K474" s="214" t="s">
        <v>1384</v>
      </c>
      <c r="L474" s="32" t="s">
        <v>94</v>
      </c>
      <c r="M474" s="32" t="s">
        <v>121</v>
      </c>
      <c r="N474" s="532" t="s">
        <v>976</v>
      </c>
      <c r="P474" s="516"/>
    </row>
    <row r="475" spans="1:16" s="20" customFormat="1" ht="14" outlineLevel="4">
      <c r="A475" s="33" t="s">
        <v>8</v>
      </c>
      <c r="B475" s="520" t="s">
        <v>345</v>
      </c>
      <c r="C475" s="338" t="s">
        <v>346</v>
      </c>
      <c r="D475" s="7"/>
      <c r="E475" s="7"/>
      <c r="F475" s="353"/>
      <c r="G475" s="7">
        <f t="shared" si="96"/>
        <v>0</v>
      </c>
      <c r="H475" s="7">
        <f t="shared" si="97"/>
        <v>0</v>
      </c>
      <c r="I475" s="1"/>
      <c r="J475" s="213" t="s">
        <v>38</v>
      </c>
      <c r="K475" s="214" t="s">
        <v>1384</v>
      </c>
      <c r="L475" s="32" t="s">
        <v>94</v>
      </c>
      <c r="M475" s="32" t="s">
        <v>121</v>
      </c>
      <c r="N475" s="532" t="s">
        <v>976</v>
      </c>
      <c r="P475" s="516"/>
    </row>
    <row r="476" spans="1:16" s="20" customFormat="1" ht="14" outlineLevel="4">
      <c r="A476" s="33" t="s">
        <v>8</v>
      </c>
      <c r="B476" s="520" t="s">
        <v>347</v>
      </c>
      <c r="C476" s="338" t="s">
        <v>334</v>
      </c>
      <c r="D476" s="7"/>
      <c r="E476" s="7"/>
      <c r="F476" s="353"/>
      <c r="G476" s="7">
        <f t="shared" si="96"/>
        <v>0</v>
      </c>
      <c r="H476" s="7">
        <f t="shared" si="97"/>
        <v>0</v>
      </c>
      <c r="I476" s="1"/>
      <c r="J476" s="213" t="s">
        <v>38</v>
      </c>
      <c r="K476" s="214" t="s">
        <v>1384</v>
      </c>
      <c r="L476" s="32" t="s">
        <v>94</v>
      </c>
      <c r="M476" s="32" t="s">
        <v>121</v>
      </c>
      <c r="N476" s="532" t="s">
        <v>976</v>
      </c>
      <c r="P476" s="516"/>
    </row>
    <row r="477" spans="1:16" s="20" customFormat="1" ht="14" outlineLevel="4">
      <c r="A477" s="33" t="s">
        <v>8</v>
      </c>
      <c r="B477" s="520" t="s">
        <v>348</v>
      </c>
      <c r="C477" s="338" t="s">
        <v>334</v>
      </c>
      <c r="D477" s="7"/>
      <c r="E477" s="7"/>
      <c r="F477" s="353"/>
      <c r="G477" s="7">
        <f t="shared" si="96"/>
        <v>0</v>
      </c>
      <c r="H477" s="7">
        <f t="shared" si="97"/>
        <v>0</v>
      </c>
      <c r="I477" s="1"/>
      <c r="J477" s="213" t="s">
        <v>38</v>
      </c>
      <c r="K477" s="214" t="s">
        <v>1384</v>
      </c>
      <c r="L477" s="32" t="s">
        <v>94</v>
      </c>
      <c r="M477" s="32" t="s">
        <v>121</v>
      </c>
      <c r="N477" s="532" t="s">
        <v>976</v>
      </c>
      <c r="P477" s="516"/>
    </row>
    <row r="478" spans="1:16" s="20" customFormat="1" ht="14" outlineLevel="4">
      <c r="A478" s="33" t="s">
        <v>8</v>
      </c>
      <c r="B478" s="520" t="s">
        <v>349</v>
      </c>
      <c r="C478" s="338" t="s">
        <v>346</v>
      </c>
      <c r="D478" s="7"/>
      <c r="E478" s="7"/>
      <c r="F478" s="353"/>
      <c r="G478" s="7">
        <f t="shared" si="96"/>
        <v>0</v>
      </c>
      <c r="H478" s="7">
        <f t="shared" si="97"/>
        <v>0</v>
      </c>
      <c r="I478" s="1"/>
      <c r="J478" s="213" t="s">
        <v>38</v>
      </c>
      <c r="K478" s="214" t="s">
        <v>1384</v>
      </c>
      <c r="L478" s="32" t="s">
        <v>94</v>
      </c>
      <c r="M478" s="32" t="s">
        <v>121</v>
      </c>
      <c r="N478" s="532" t="s">
        <v>976</v>
      </c>
      <c r="P478" s="516"/>
    </row>
    <row r="479" spans="1:16" s="20" customFormat="1" ht="14" outlineLevel="4">
      <c r="A479" s="33" t="s">
        <v>8</v>
      </c>
      <c r="B479" s="520" t="s">
        <v>350</v>
      </c>
      <c r="C479" s="338" t="s">
        <v>346</v>
      </c>
      <c r="D479" s="7"/>
      <c r="E479" s="7"/>
      <c r="F479" s="353"/>
      <c r="G479" s="7">
        <f t="shared" si="96"/>
        <v>0</v>
      </c>
      <c r="H479" s="7">
        <f t="shared" si="97"/>
        <v>0</v>
      </c>
      <c r="I479" s="1"/>
      <c r="J479" s="213" t="s">
        <v>38</v>
      </c>
      <c r="K479" s="214" t="s">
        <v>1384</v>
      </c>
      <c r="L479" s="32" t="s">
        <v>94</v>
      </c>
      <c r="M479" s="32" t="s">
        <v>121</v>
      </c>
      <c r="N479" s="532" t="s">
        <v>976</v>
      </c>
      <c r="P479" s="516"/>
    </row>
    <row r="480" spans="1:16" s="20" customFormat="1" ht="14" outlineLevel="4">
      <c r="A480" s="33" t="s">
        <v>8</v>
      </c>
      <c r="B480" s="520" t="s">
        <v>351</v>
      </c>
      <c r="C480" s="338" t="s">
        <v>9</v>
      </c>
      <c r="D480" s="7"/>
      <c r="E480" s="7"/>
      <c r="F480" s="350"/>
      <c r="G480" s="7">
        <f t="shared" si="96"/>
        <v>0</v>
      </c>
      <c r="H480" s="7">
        <f t="shared" si="97"/>
        <v>0</v>
      </c>
      <c r="I480" s="1"/>
      <c r="J480" s="213" t="s">
        <v>38</v>
      </c>
      <c r="K480" s="214" t="s">
        <v>1384</v>
      </c>
      <c r="L480" s="32" t="s">
        <v>94</v>
      </c>
      <c r="M480" s="32" t="s">
        <v>121</v>
      </c>
      <c r="N480" s="532" t="s">
        <v>976</v>
      </c>
      <c r="P480" s="516"/>
    </row>
    <row r="481" spans="1:16" s="497" customFormat="1" ht="14" outlineLevel="3">
      <c r="A481" s="555">
        <v>3</v>
      </c>
      <c r="B481" s="568" t="s">
        <v>1291</v>
      </c>
      <c r="C481" s="508"/>
      <c r="D481" s="500"/>
      <c r="E481" s="500"/>
      <c r="F481" s="500"/>
      <c r="G481" s="495">
        <f>SUBTOTAL(9,G482:G504)</f>
        <v>0</v>
      </c>
      <c r="H481" s="495">
        <f>SUBTOTAL(9,H482:H504)</f>
        <v>1191260</v>
      </c>
      <c r="I481" s="510"/>
      <c r="J481" s="213" t="s">
        <v>38</v>
      </c>
      <c r="K481" s="496"/>
      <c r="L481" s="496"/>
      <c r="M481" s="496"/>
      <c r="N481" s="496"/>
      <c r="P481" s="498"/>
    </row>
    <row r="482" spans="1:16" s="502" customFormat="1" ht="14" outlineLevel="3">
      <c r="A482" s="555">
        <v>3.1</v>
      </c>
      <c r="B482" s="561" t="s">
        <v>391</v>
      </c>
      <c r="C482" s="494"/>
      <c r="D482" s="495"/>
      <c r="E482" s="495"/>
      <c r="F482" s="500"/>
      <c r="G482" s="495">
        <f>SUBTOTAL(9,G483:G492)</f>
        <v>0</v>
      </c>
      <c r="H482" s="495">
        <f>SUBTOTAL(9,H483:H492)</f>
        <v>1191260</v>
      </c>
      <c r="I482" s="543"/>
      <c r="J482" s="213" t="s">
        <v>38</v>
      </c>
      <c r="K482" s="501"/>
      <c r="L482" s="501"/>
      <c r="M482" s="501"/>
      <c r="N482" s="501"/>
      <c r="P482" s="503"/>
    </row>
    <row r="483" spans="1:16" s="502" customFormat="1" ht="14" outlineLevel="3">
      <c r="A483" s="492" t="s">
        <v>401</v>
      </c>
      <c r="B483" s="499" t="s">
        <v>371</v>
      </c>
      <c r="C483" s="494"/>
      <c r="D483" s="495"/>
      <c r="E483" s="495"/>
      <c r="F483" s="500"/>
      <c r="G483" s="495">
        <f>SUBTOTAL(9,G484:G486)</f>
        <v>0</v>
      </c>
      <c r="H483" s="495">
        <f>SUBTOTAL(9,H484:H486)</f>
        <v>1191260</v>
      </c>
      <c r="I483" s="543"/>
      <c r="J483" s="213" t="s">
        <v>38</v>
      </c>
      <c r="K483" s="501"/>
      <c r="L483" s="501"/>
      <c r="M483" s="501"/>
      <c r="N483" s="501"/>
      <c r="P483" s="503"/>
    </row>
    <row r="484" spans="1:16" s="20" customFormat="1" ht="26" outlineLevel="3">
      <c r="A484" s="33" t="s">
        <v>8</v>
      </c>
      <c r="B484" s="504" t="s">
        <v>325</v>
      </c>
      <c r="C484" s="338" t="s">
        <v>24</v>
      </c>
      <c r="D484" s="7"/>
      <c r="E484" s="7">
        <v>20</v>
      </c>
      <c r="F484" s="341">
        <v>59563</v>
      </c>
      <c r="G484" s="7">
        <f>F484*D484</f>
        <v>0</v>
      </c>
      <c r="H484" s="7">
        <f>F484*E484</f>
        <v>1191260</v>
      </c>
      <c r="I484" s="1"/>
      <c r="J484" s="213" t="s">
        <v>38</v>
      </c>
      <c r="K484" s="214" t="s">
        <v>1384</v>
      </c>
      <c r="L484" s="32" t="s">
        <v>94</v>
      </c>
      <c r="M484" s="32" t="s">
        <v>121</v>
      </c>
      <c r="N484" s="505" t="s">
        <v>576</v>
      </c>
      <c r="O484" s="505" t="s">
        <v>962</v>
      </c>
      <c r="P484" s="573"/>
    </row>
    <row r="485" spans="1:16" s="20" customFormat="1" ht="14" outlineLevel="3">
      <c r="A485" s="33" t="s">
        <v>8</v>
      </c>
      <c r="B485" s="504" t="s">
        <v>326</v>
      </c>
      <c r="C485" s="338" t="s">
        <v>24</v>
      </c>
      <c r="D485" s="7"/>
      <c r="E485" s="7"/>
      <c r="F485" s="342"/>
      <c r="G485" s="7">
        <f>F485*D485</f>
        <v>0</v>
      </c>
      <c r="H485" s="7">
        <f>F485*E485</f>
        <v>0</v>
      </c>
      <c r="I485" s="1"/>
      <c r="J485" s="213" t="s">
        <v>38</v>
      </c>
      <c r="K485" s="214" t="s">
        <v>1384</v>
      </c>
      <c r="L485" s="32" t="s">
        <v>94</v>
      </c>
      <c r="M485" s="32" t="s">
        <v>121</v>
      </c>
      <c r="N485" s="505" t="s">
        <v>576</v>
      </c>
      <c r="O485" s="535" t="s">
        <v>963</v>
      </c>
      <c r="P485" s="516"/>
    </row>
    <row r="486" spans="1:16" s="20" customFormat="1" ht="14" outlineLevel="3">
      <c r="A486" s="33" t="s">
        <v>8</v>
      </c>
      <c r="B486" s="504" t="s">
        <v>327</v>
      </c>
      <c r="C486" s="338" t="s">
        <v>24</v>
      </c>
      <c r="D486" s="7"/>
      <c r="E486" s="7"/>
      <c r="F486" s="342"/>
      <c r="G486" s="7">
        <f>F486*D486</f>
        <v>0</v>
      </c>
      <c r="H486" s="7">
        <f>F486*E486</f>
        <v>0</v>
      </c>
      <c r="I486" s="1"/>
      <c r="J486" s="213" t="s">
        <v>38</v>
      </c>
      <c r="K486" s="214" t="s">
        <v>1384</v>
      </c>
      <c r="L486" s="32" t="s">
        <v>94</v>
      </c>
      <c r="M486" s="32" t="s">
        <v>121</v>
      </c>
      <c r="N486" s="505" t="s">
        <v>576</v>
      </c>
      <c r="O486" s="563" t="s">
        <v>972</v>
      </c>
      <c r="P486" s="516"/>
    </row>
    <row r="487" spans="1:16" s="502" customFormat="1" ht="14" outlineLevel="2">
      <c r="A487" s="492" t="s">
        <v>402</v>
      </c>
      <c r="B487" s="493" t="s">
        <v>55</v>
      </c>
      <c r="C487" s="494"/>
      <c r="D487" s="495"/>
      <c r="E487" s="495"/>
      <c r="F487" s="495"/>
      <c r="G487" s="495">
        <f>SUBTOTAL(9,G488:G489)</f>
        <v>0</v>
      </c>
      <c r="H487" s="495">
        <f>SUBTOTAL(9,H488:H489)</f>
        <v>0</v>
      </c>
      <c r="I487" s="541"/>
      <c r="J487" s="213" t="s">
        <v>38</v>
      </c>
      <c r="K487" s="501"/>
      <c r="L487" s="501"/>
      <c r="M487" s="501"/>
      <c r="N487" s="501"/>
      <c r="P487" s="503"/>
    </row>
    <row r="488" spans="1:16" s="20" customFormat="1" ht="39" outlineLevel="3">
      <c r="A488" s="33" t="s">
        <v>8</v>
      </c>
      <c r="B488" s="504" t="s">
        <v>183</v>
      </c>
      <c r="C488" s="338" t="s">
        <v>24</v>
      </c>
      <c r="D488" s="7"/>
      <c r="E488" s="7"/>
      <c r="F488" s="348"/>
      <c r="G488" s="7">
        <f>F488*D488</f>
        <v>0</v>
      </c>
      <c r="H488" s="7">
        <f>F488*E488</f>
        <v>0</v>
      </c>
      <c r="I488" s="1"/>
      <c r="J488" s="213" t="s">
        <v>38</v>
      </c>
      <c r="K488" s="214" t="s">
        <v>1384</v>
      </c>
      <c r="L488" s="32" t="s">
        <v>94</v>
      </c>
      <c r="M488" s="32" t="s">
        <v>121</v>
      </c>
      <c r="N488" s="532" t="s">
        <v>55</v>
      </c>
      <c r="O488" s="504" t="s">
        <v>183</v>
      </c>
      <c r="P488" s="734"/>
    </row>
    <row r="489" spans="1:16" s="20" customFormat="1" ht="14.5" outlineLevel="3">
      <c r="A489" s="33" t="s">
        <v>8</v>
      </c>
      <c r="B489" s="504" t="s">
        <v>165</v>
      </c>
      <c r="C489" s="338" t="s">
        <v>24</v>
      </c>
      <c r="D489" s="7"/>
      <c r="E489" s="7"/>
      <c r="F489" s="348"/>
      <c r="G489" s="7">
        <f>F489*D489</f>
        <v>0</v>
      </c>
      <c r="H489" s="7">
        <f>F489*E489</f>
        <v>0</v>
      </c>
      <c r="I489" s="1"/>
      <c r="J489" s="213" t="s">
        <v>38</v>
      </c>
      <c r="K489" s="214" t="s">
        <v>1384</v>
      </c>
      <c r="L489" s="32" t="s">
        <v>94</v>
      </c>
      <c r="M489" s="32" t="s">
        <v>121</v>
      </c>
      <c r="N489" s="532" t="s">
        <v>55</v>
      </c>
      <c r="O489" s="532" t="s">
        <v>975</v>
      </c>
      <c r="P489" s="734"/>
    </row>
    <row r="490" spans="1:16" s="502" customFormat="1" ht="14" outlineLevel="2">
      <c r="A490" s="492" t="s">
        <v>403</v>
      </c>
      <c r="B490" s="542" t="s">
        <v>35</v>
      </c>
      <c r="C490" s="494"/>
      <c r="D490" s="495"/>
      <c r="E490" s="495"/>
      <c r="F490" s="495"/>
      <c r="G490" s="495">
        <f>SUBTOTAL(9,G491:G492)</f>
        <v>0</v>
      </c>
      <c r="H490" s="495">
        <f>SUBTOTAL(9,H491:H492)</f>
        <v>0</v>
      </c>
      <c r="I490" s="543"/>
      <c r="J490" s="213" t="s">
        <v>38</v>
      </c>
      <c r="K490" s="501"/>
      <c r="L490" s="501"/>
      <c r="M490" s="501"/>
      <c r="N490" s="501"/>
      <c r="P490" s="503"/>
    </row>
    <row r="491" spans="1:16" s="20" customFormat="1" ht="14" outlineLevel="4">
      <c r="A491" s="33" t="s">
        <v>8</v>
      </c>
      <c r="B491" s="520" t="s">
        <v>166</v>
      </c>
      <c r="C491" s="338" t="s">
        <v>24</v>
      </c>
      <c r="D491" s="7"/>
      <c r="E491" s="7"/>
      <c r="F491" s="336"/>
      <c r="G491" s="7">
        <f>F491*D491</f>
        <v>0</v>
      </c>
      <c r="H491" s="7">
        <f>F491*E491</f>
        <v>0</v>
      </c>
      <c r="I491" s="1"/>
      <c r="J491" s="213" t="s">
        <v>38</v>
      </c>
      <c r="K491" s="214" t="s">
        <v>1384</v>
      </c>
      <c r="L491" s="32" t="s">
        <v>94</v>
      </c>
      <c r="M491" s="32" t="s">
        <v>121</v>
      </c>
      <c r="N491" s="519" t="s">
        <v>966</v>
      </c>
      <c r="O491" s="20" t="s">
        <v>967</v>
      </c>
      <c r="P491" s="516"/>
    </row>
    <row r="492" spans="1:16" s="20" customFormat="1" ht="14" outlineLevel="4">
      <c r="A492" s="33" t="s">
        <v>8</v>
      </c>
      <c r="B492" s="520" t="s">
        <v>120</v>
      </c>
      <c r="C492" s="338" t="s">
        <v>24</v>
      </c>
      <c r="D492" s="7"/>
      <c r="E492" s="7"/>
      <c r="F492" s="336"/>
      <c r="G492" s="7">
        <f>F492*D492</f>
        <v>0</v>
      </c>
      <c r="H492" s="7">
        <f>F492*E492</f>
        <v>0</v>
      </c>
      <c r="I492" s="1"/>
      <c r="J492" s="213" t="s">
        <v>38</v>
      </c>
      <c r="K492" s="214" t="s">
        <v>1384</v>
      </c>
      <c r="L492" s="32" t="s">
        <v>94</v>
      </c>
      <c r="M492" s="32" t="s">
        <v>121</v>
      </c>
      <c r="N492" s="519" t="s">
        <v>966</v>
      </c>
      <c r="O492" s="521" t="s">
        <v>120</v>
      </c>
      <c r="P492" s="516"/>
    </row>
    <row r="493" spans="1:16" s="502" customFormat="1" ht="14" outlineLevel="4">
      <c r="A493" s="492">
        <v>3.2</v>
      </c>
      <c r="B493" s="533" t="s">
        <v>336</v>
      </c>
      <c r="C493" s="494"/>
      <c r="D493" s="495"/>
      <c r="E493" s="495"/>
      <c r="F493" s="495"/>
      <c r="G493" s="495">
        <f>SUBTOTAL(9,G494:G504)</f>
        <v>0</v>
      </c>
      <c r="H493" s="495">
        <f t="shared" ref="H493" si="98">SUBTOTAL(9,H494:H504)</f>
        <v>0</v>
      </c>
      <c r="I493" s="543"/>
      <c r="J493" s="213" t="s">
        <v>38</v>
      </c>
      <c r="K493" s="501"/>
      <c r="L493" s="501"/>
      <c r="M493" s="501"/>
      <c r="N493" s="501"/>
      <c r="P493" s="503"/>
    </row>
    <row r="494" spans="1:16" s="20" customFormat="1" ht="14" outlineLevel="4">
      <c r="A494" s="33" t="s">
        <v>8</v>
      </c>
      <c r="B494" s="512" t="s">
        <v>337</v>
      </c>
      <c r="C494" s="338" t="s">
        <v>24</v>
      </c>
      <c r="D494" s="7"/>
      <c r="E494" s="7"/>
      <c r="F494" s="350"/>
      <c r="G494" s="7">
        <f t="shared" ref="G494:G504" si="99">F494*D494</f>
        <v>0</v>
      </c>
      <c r="H494" s="7">
        <f t="shared" ref="H494:H504" si="100">F494*E494</f>
        <v>0</v>
      </c>
      <c r="I494" s="1"/>
      <c r="J494" s="213" t="s">
        <v>38</v>
      </c>
      <c r="K494" s="214" t="s">
        <v>1384</v>
      </c>
      <c r="L494" s="32" t="s">
        <v>94</v>
      </c>
      <c r="M494" s="32" t="s">
        <v>121</v>
      </c>
      <c r="N494" s="532" t="s">
        <v>976</v>
      </c>
      <c r="P494" s="516"/>
    </row>
    <row r="495" spans="1:16" s="20" customFormat="1" ht="14" outlineLevel="4">
      <c r="A495" s="33" t="s">
        <v>8</v>
      </c>
      <c r="B495" s="512" t="s">
        <v>338</v>
      </c>
      <c r="C495" s="338" t="s">
        <v>339</v>
      </c>
      <c r="D495" s="7"/>
      <c r="E495" s="7"/>
      <c r="F495" s="351"/>
      <c r="G495" s="7">
        <f t="shared" si="99"/>
        <v>0</v>
      </c>
      <c r="H495" s="7">
        <f t="shared" si="100"/>
        <v>0</v>
      </c>
      <c r="I495" s="1"/>
      <c r="J495" s="213" t="s">
        <v>38</v>
      </c>
      <c r="K495" s="214" t="s">
        <v>1384</v>
      </c>
      <c r="L495" s="32" t="s">
        <v>94</v>
      </c>
      <c r="M495" s="32" t="s">
        <v>121</v>
      </c>
      <c r="N495" s="532" t="s">
        <v>976</v>
      </c>
      <c r="P495" s="516"/>
    </row>
    <row r="496" spans="1:16" s="20" customFormat="1" ht="14" outlineLevel="4">
      <c r="A496" s="33" t="s">
        <v>8</v>
      </c>
      <c r="B496" s="512" t="s">
        <v>340</v>
      </c>
      <c r="C496" s="338" t="s">
        <v>339</v>
      </c>
      <c r="D496" s="7"/>
      <c r="E496" s="7"/>
      <c r="F496" s="351"/>
      <c r="G496" s="7">
        <f t="shared" si="99"/>
        <v>0</v>
      </c>
      <c r="H496" s="7">
        <f t="shared" si="100"/>
        <v>0</v>
      </c>
      <c r="I496" s="1"/>
      <c r="J496" s="213" t="s">
        <v>38</v>
      </c>
      <c r="K496" s="214" t="s">
        <v>1384</v>
      </c>
      <c r="L496" s="32" t="s">
        <v>94</v>
      </c>
      <c r="M496" s="32" t="s">
        <v>121</v>
      </c>
      <c r="N496" s="532" t="s">
        <v>976</v>
      </c>
      <c r="P496" s="516"/>
    </row>
    <row r="497" spans="1:16" s="20" customFormat="1" ht="14" outlineLevel="4">
      <c r="A497" s="33" t="s">
        <v>8</v>
      </c>
      <c r="B497" s="504" t="s">
        <v>341</v>
      </c>
      <c r="C497" s="338" t="s">
        <v>342</v>
      </c>
      <c r="D497" s="7"/>
      <c r="E497" s="7"/>
      <c r="F497" s="352"/>
      <c r="G497" s="7">
        <f t="shared" si="99"/>
        <v>0</v>
      </c>
      <c r="H497" s="7">
        <f t="shared" si="100"/>
        <v>0</v>
      </c>
      <c r="I497" s="1"/>
      <c r="J497" s="213" t="s">
        <v>38</v>
      </c>
      <c r="K497" s="214" t="s">
        <v>1384</v>
      </c>
      <c r="L497" s="32" t="s">
        <v>94</v>
      </c>
      <c r="M497" s="32" t="s">
        <v>121</v>
      </c>
      <c r="N497" s="532" t="s">
        <v>976</v>
      </c>
      <c r="P497" s="516"/>
    </row>
    <row r="498" spans="1:16" s="20" customFormat="1" ht="14" outlineLevel="4">
      <c r="A498" s="33" t="s">
        <v>8</v>
      </c>
      <c r="B498" s="512" t="s">
        <v>343</v>
      </c>
      <c r="C498" s="338" t="s">
        <v>344</v>
      </c>
      <c r="D498" s="7"/>
      <c r="E498" s="7"/>
      <c r="F498" s="352"/>
      <c r="G498" s="7">
        <f t="shared" si="99"/>
        <v>0</v>
      </c>
      <c r="H498" s="7">
        <f t="shared" si="100"/>
        <v>0</v>
      </c>
      <c r="I498" s="1"/>
      <c r="J498" s="213" t="s">
        <v>38</v>
      </c>
      <c r="K498" s="214" t="s">
        <v>1384</v>
      </c>
      <c r="L498" s="32" t="s">
        <v>94</v>
      </c>
      <c r="M498" s="32" t="s">
        <v>121</v>
      </c>
      <c r="N498" s="532" t="s">
        <v>976</v>
      </c>
      <c r="P498" s="516"/>
    </row>
    <row r="499" spans="1:16" s="20" customFormat="1" ht="14" outlineLevel="4">
      <c r="A499" s="33" t="s">
        <v>8</v>
      </c>
      <c r="B499" s="520" t="s">
        <v>345</v>
      </c>
      <c r="C499" s="338" t="s">
        <v>346</v>
      </c>
      <c r="D499" s="7"/>
      <c r="E499" s="7"/>
      <c r="F499" s="353"/>
      <c r="G499" s="7">
        <f t="shared" si="99"/>
        <v>0</v>
      </c>
      <c r="H499" s="7">
        <f t="shared" si="100"/>
        <v>0</v>
      </c>
      <c r="I499" s="1"/>
      <c r="J499" s="213" t="s">
        <v>38</v>
      </c>
      <c r="K499" s="214" t="s">
        <v>1384</v>
      </c>
      <c r="L499" s="32" t="s">
        <v>94</v>
      </c>
      <c r="M499" s="32" t="s">
        <v>121</v>
      </c>
      <c r="N499" s="532" t="s">
        <v>976</v>
      </c>
      <c r="P499" s="516"/>
    </row>
    <row r="500" spans="1:16" s="20" customFormat="1" ht="14" outlineLevel="4">
      <c r="A500" s="33" t="s">
        <v>8</v>
      </c>
      <c r="B500" s="520" t="s">
        <v>347</v>
      </c>
      <c r="C500" s="338" t="s">
        <v>334</v>
      </c>
      <c r="D500" s="7"/>
      <c r="E500" s="7"/>
      <c r="F500" s="353"/>
      <c r="G500" s="7">
        <f t="shared" si="99"/>
        <v>0</v>
      </c>
      <c r="H500" s="7">
        <f t="shared" si="100"/>
        <v>0</v>
      </c>
      <c r="I500" s="1"/>
      <c r="J500" s="213" t="s">
        <v>38</v>
      </c>
      <c r="K500" s="214" t="s">
        <v>1384</v>
      </c>
      <c r="L500" s="32" t="s">
        <v>94</v>
      </c>
      <c r="M500" s="32" t="s">
        <v>121</v>
      </c>
      <c r="N500" s="532" t="s">
        <v>976</v>
      </c>
      <c r="P500" s="516"/>
    </row>
    <row r="501" spans="1:16" s="20" customFormat="1" ht="14" outlineLevel="4">
      <c r="A501" s="33" t="s">
        <v>8</v>
      </c>
      <c r="B501" s="520" t="s">
        <v>348</v>
      </c>
      <c r="C501" s="338" t="s">
        <v>334</v>
      </c>
      <c r="D501" s="7"/>
      <c r="E501" s="7"/>
      <c r="F501" s="353"/>
      <c r="G501" s="7">
        <f t="shared" si="99"/>
        <v>0</v>
      </c>
      <c r="H501" s="7">
        <f t="shared" si="100"/>
        <v>0</v>
      </c>
      <c r="I501" s="1"/>
      <c r="J501" s="213" t="s">
        <v>38</v>
      </c>
      <c r="K501" s="214" t="s">
        <v>1384</v>
      </c>
      <c r="L501" s="32" t="s">
        <v>94</v>
      </c>
      <c r="M501" s="32" t="s">
        <v>121</v>
      </c>
      <c r="N501" s="532" t="s">
        <v>976</v>
      </c>
      <c r="P501" s="516"/>
    </row>
    <row r="502" spans="1:16" s="20" customFormat="1" ht="14" outlineLevel="4">
      <c r="A502" s="33" t="s">
        <v>8</v>
      </c>
      <c r="B502" s="520" t="s">
        <v>349</v>
      </c>
      <c r="C502" s="338" t="s">
        <v>346</v>
      </c>
      <c r="D502" s="7"/>
      <c r="E502" s="7"/>
      <c r="F502" s="353"/>
      <c r="G502" s="7">
        <f t="shared" si="99"/>
        <v>0</v>
      </c>
      <c r="H502" s="7">
        <f t="shared" si="100"/>
        <v>0</v>
      </c>
      <c r="I502" s="1"/>
      <c r="J502" s="213" t="s">
        <v>38</v>
      </c>
      <c r="K502" s="214" t="s">
        <v>1384</v>
      </c>
      <c r="L502" s="32" t="s">
        <v>94</v>
      </c>
      <c r="M502" s="32" t="s">
        <v>121</v>
      </c>
      <c r="N502" s="532" t="s">
        <v>976</v>
      </c>
      <c r="P502" s="516"/>
    </row>
    <row r="503" spans="1:16" s="20" customFormat="1" ht="14" outlineLevel="4">
      <c r="A503" s="33" t="s">
        <v>8</v>
      </c>
      <c r="B503" s="520" t="s">
        <v>350</v>
      </c>
      <c r="C503" s="338" t="s">
        <v>346</v>
      </c>
      <c r="D503" s="7"/>
      <c r="E503" s="7"/>
      <c r="F503" s="353"/>
      <c r="G503" s="7">
        <f t="shared" si="99"/>
        <v>0</v>
      </c>
      <c r="H503" s="7">
        <f t="shared" si="100"/>
        <v>0</v>
      </c>
      <c r="I503" s="1"/>
      <c r="J503" s="213" t="s">
        <v>38</v>
      </c>
      <c r="K503" s="214" t="s">
        <v>1384</v>
      </c>
      <c r="L503" s="32" t="s">
        <v>94</v>
      </c>
      <c r="M503" s="32" t="s">
        <v>121</v>
      </c>
      <c r="N503" s="532" t="s">
        <v>976</v>
      </c>
      <c r="P503" s="516"/>
    </row>
    <row r="504" spans="1:16" s="20" customFormat="1" ht="14" outlineLevel="4">
      <c r="A504" s="33" t="s">
        <v>8</v>
      </c>
      <c r="B504" s="520" t="s">
        <v>351</v>
      </c>
      <c r="C504" s="338" t="s">
        <v>9</v>
      </c>
      <c r="D504" s="7"/>
      <c r="E504" s="7"/>
      <c r="F504" s="350"/>
      <c r="G504" s="7">
        <f t="shared" si="99"/>
        <v>0</v>
      </c>
      <c r="H504" s="7">
        <f t="shared" si="100"/>
        <v>0</v>
      </c>
      <c r="I504" s="1"/>
      <c r="J504" s="213" t="s">
        <v>38</v>
      </c>
      <c r="K504" s="214" t="s">
        <v>1384</v>
      </c>
      <c r="L504" s="32" t="s">
        <v>94</v>
      </c>
      <c r="M504" s="32" t="s">
        <v>121</v>
      </c>
      <c r="N504" s="532" t="s">
        <v>976</v>
      </c>
      <c r="P504" s="516"/>
    </row>
    <row r="505" spans="1:16" s="502" customFormat="1" ht="14" outlineLevel="4">
      <c r="A505" s="492">
        <v>4</v>
      </c>
      <c r="B505" s="533" t="s">
        <v>33</v>
      </c>
      <c r="C505" s="494"/>
      <c r="D505" s="495"/>
      <c r="E505" s="495"/>
      <c r="F505" s="495"/>
      <c r="G505" s="495">
        <f>SUBTOTAL(9,G506:G511)</f>
        <v>0</v>
      </c>
      <c r="H505" s="495">
        <f>SUBTOTAL(9,H506:H511)</f>
        <v>0</v>
      </c>
      <c r="I505" s="543"/>
      <c r="J505" s="213" t="s">
        <v>38</v>
      </c>
      <c r="K505" s="501"/>
      <c r="L505" s="501"/>
      <c r="M505" s="501"/>
      <c r="N505" s="501"/>
      <c r="P505" s="503"/>
    </row>
    <row r="506" spans="1:16" s="20" customFormat="1" ht="14" outlineLevel="4">
      <c r="A506" s="33" t="s">
        <v>8</v>
      </c>
      <c r="B506" s="520" t="s">
        <v>406</v>
      </c>
      <c r="C506" s="338" t="s">
        <v>9</v>
      </c>
      <c r="D506" s="7"/>
      <c r="E506" s="7"/>
      <c r="F506" s="344"/>
      <c r="G506" s="7">
        <f t="shared" ref="G506:G511" si="101">F506*D506</f>
        <v>0</v>
      </c>
      <c r="H506" s="7">
        <f t="shared" ref="H506:H511" si="102">F506*E506</f>
        <v>0</v>
      </c>
      <c r="I506" s="1"/>
      <c r="J506" s="213" t="s">
        <v>38</v>
      </c>
      <c r="K506" s="214" t="s">
        <v>1384</v>
      </c>
      <c r="L506" s="32" t="s">
        <v>94</v>
      </c>
      <c r="M506" s="32" t="s">
        <v>121</v>
      </c>
      <c r="N506" s="532" t="s">
        <v>33</v>
      </c>
      <c r="P506" s="569"/>
    </row>
    <row r="507" spans="1:16" s="20" customFormat="1" ht="14" outlineLevel="4">
      <c r="A507" s="33" t="s">
        <v>8</v>
      </c>
      <c r="B507" s="520" t="s">
        <v>407</v>
      </c>
      <c r="C507" s="338" t="s">
        <v>9</v>
      </c>
      <c r="D507" s="7"/>
      <c r="E507" s="7"/>
      <c r="F507" s="344"/>
      <c r="G507" s="7">
        <f t="shared" si="101"/>
        <v>0</v>
      </c>
      <c r="H507" s="7">
        <f t="shared" si="102"/>
        <v>0</v>
      </c>
      <c r="I507" s="1"/>
      <c r="J507" s="213" t="s">
        <v>38</v>
      </c>
      <c r="K507" s="214" t="s">
        <v>1384</v>
      </c>
      <c r="L507" s="32" t="s">
        <v>94</v>
      </c>
      <c r="M507" s="32" t="s">
        <v>121</v>
      </c>
      <c r="N507" s="532" t="s">
        <v>33</v>
      </c>
      <c r="P507" s="516"/>
    </row>
    <row r="508" spans="1:16" s="20" customFormat="1" ht="14" outlineLevel="4">
      <c r="A508" s="33" t="s">
        <v>8</v>
      </c>
      <c r="B508" s="520" t="s">
        <v>404</v>
      </c>
      <c r="C508" s="338" t="s">
        <v>9</v>
      </c>
      <c r="D508" s="7"/>
      <c r="E508" s="7"/>
      <c r="F508" s="344"/>
      <c r="G508" s="7">
        <f t="shared" si="101"/>
        <v>0</v>
      </c>
      <c r="H508" s="7">
        <f t="shared" si="102"/>
        <v>0</v>
      </c>
      <c r="I508" s="1"/>
      <c r="J508" s="213" t="s">
        <v>38</v>
      </c>
      <c r="K508" s="214" t="s">
        <v>1384</v>
      </c>
      <c r="L508" s="32" t="s">
        <v>94</v>
      </c>
      <c r="M508" s="32" t="s">
        <v>121</v>
      </c>
      <c r="N508" s="532" t="s">
        <v>969</v>
      </c>
      <c r="P508" s="516"/>
    </row>
    <row r="509" spans="1:16" s="20" customFormat="1" ht="14" outlineLevel="4">
      <c r="A509" s="33" t="s">
        <v>8</v>
      </c>
      <c r="B509" s="520" t="s">
        <v>405</v>
      </c>
      <c r="C509" s="338" t="s">
        <v>9</v>
      </c>
      <c r="D509" s="7"/>
      <c r="E509" s="7"/>
      <c r="F509" s="537"/>
      <c r="G509" s="7">
        <f t="shared" si="101"/>
        <v>0</v>
      </c>
      <c r="H509" s="7">
        <f t="shared" si="102"/>
        <v>0</v>
      </c>
      <c r="I509" s="1"/>
      <c r="J509" s="213" t="s">
        <v>38</v>
      </c>
      <c r="K509" s="214" t="s">
        <v>1384</v>
      </c>
      <c r="L509" s="32" t="s">
        <v>94</v>
      </c>
      <c r="M509" s="32" t="s">
        <v>121</v>
      </c>
      <c r="N509" s="532" t="s">
        <v>969</v>
      </c>
      <c r="P509" s="516"/>
    </row>
    <row r="510" spans="1:16" s="20" customFormat="1" ht="14" outlineLevel="4">
      <c r="A510" s="570" t="s">
        <v>8</v>
      </c>
      <c r="B510" s="571" t="s">
        <v>977</v>
      </c>
      <c r="C510" s="572" t="s">
        <v>9</v>
      </c>
      <c r="D510" s="7"/>
      <c r="E510" s="7"/>
      <c r="F510" s="344"/>
      <c r="G510" s="7">
        <f t="shared" si="101"/>
        <v>0</v>
      </c>
      <c r="H510" s="7">
        <f t="shared" si="102"/>
        <v>0</v>
      </c>
      <c r="I510" s="1"/>
      <c r="J510" s="213" t="s">
        <v>38</v>
      </c>
      <c r="K510" s="214" t="s">
        <v>1384</v>
      </c>
      <c r="L510" s="32" t="s">
        <v>94</v>
      </c>
      <c r="M510" s="32"/>
      <c r="N510" s="532"/>
      <c r="P510" s="516"/>
    </row>
    <row r="511" spans="1:16" s="20" customFormat="1" ht="14" outlineLevel="4">
      <c r="A511" s="33" t="s">
        <v>8</v>
      </c>
      <c r="B511" s="571" t="s">
        <v>978</v>
      </c>
      <c r="C511" s="572" t="s">
        <v>9</v>
      </c>
      <c r="D511" s="7"/>
      <c r="E511" s="7"/>
      <c r="F511" s="537"/>
      <c r="G511" s="7">
        <f t="shared" si="101"/>
        <v>0</v>
      </c>
      <c r="H511" s="7">
        <f t="shared" si="102"/>
        <v>0</v>
      </c>
      <c r="I511" s="1"/>
      <c r="J511" s="213" t="s">
        <v>38</v>
      </c>
      <c r="K511" s="214" t="s">
        <v>1384</v>
      </c>
      <c r="L511" s="32" t="s">
        <v>94</v>
      </c>
      <c r="M511" s="32"/>
      <c r="N511" s="532"/>
      <c r="P511" s="516"/>
    </row>
    <row r="512" spans="1:16" s="502" customFormat="1" outlineLevel="4">
      <c r="A512" s="492" t="s">
        <v>399</v>
      </c>
      <c r="B512" s="533" t="s">
        <v>84</v>
      </c>
      <c r="C512" s="494"/>
      <c r="D512" s="495"/>
      <c r="E512" s="495"/>
      <c r="F512" s="495"/>
      <c r="G512" s="495">
        <f>SUBTOTAL(9,G513:G518)</f>
        <v>390384</v>
      </c>
      <c r="H512" s="495">
        <f>SUBTOTAL(9,H513:H518)</f>
        <v>676884</v>
      </c>
      <c r="I512" s="543"/>
      <c r="J512" s="496"/>
      <c r="K512" s="501"/>
      <c r="L512" s="501"/>
      <c r="M512" s="501"/>
      <c r="N512" s="501"/>
      <c r="P512" s="503"/>
    </row>
    <row r="513" spans="1:16" s="20" customFormat="1" ht="14" outlineLevel="4">
      <c r="A513" s="33" t="s">
        <v>8</v>
      </c>
      <c r="B513" s="520" t="s">
        <v>979</v>
      </c>
      <c r="C513" s="338" t="s">
        <v>9</v>
      </c>
      <c r="D513" s="20">
        <v>1</v>
      </c>
      <c r="E513" s="7">
        <v>1</v>
      </c>
      <c r="F513" s="7">
        <v>15384</v>
      </c>
      <c r="G513" s="7">
        <f t="shared" ref="G513:G529" si="103">F513*D513</f>
        <v>15384</v>
      </c>
      <c r="H513" s="7">
        <f t="shared" ref="H513:H529" si="104">F513*E513</f>
        <v>15384</v>
      </c>
      <c r="I513" s="1"/>
      <c r="J513" s="213" t="s">
        <v>38</v>
      </c>
      <c r="K513" s="214" t="s">
        <v>84</v>
      </c>
      <c r="L513" s="214" t="s">
        <v>94</v>
      </c>
      <c r="M513" s="32" t="s">
        <v>121</v>
      </c>
      <c r="N513" s="532" t="s">
        <v>33</v>
      </c>
      <c r="P513" s="569"/>
    </row>
    <row r="514" spans="1:16" s="20" customFormat="1" ht="14" outlineLevel="4">
      <c r="A514" s="33" t="s">
        <v>8</v>
      </c>
      <c r="B514" s="520" t="s">
        <v>980</v>
      </c>
      <c r="C514" s="338" t="s">
        <v>9</v>
      </c>
      <c r="D514" s="7">
        <v>1</v>
      </c>
      <c r="E514" s="7"/>
      <c r="F514" s="344">
        <v>25000</v>
      </c>
      <c r="G514" s="7">
        <f t="shared" si="103"/>
        <v>25000</v>
      </c>
      <c r="H514" s="7">
        <f t="shared" si="104"/>
        <v>0</v>
      </c>
      <c r="I514" s="1"/>
      <c r="J514" s="213" t="s">
        <v>38</v>
      </c>
      <c r="K514" s="214" t="s">
        <v>84</v>
      </c>
      <c r="L514" s="214" t="s">
        <v>94</v>
      </c>
      <c r="M514" s="32" t="s">
        <v>121</v>
      </c>
      <c r="N514" s="532" t="s">
        <v>33</v>
      </c>
      <c r="P514" s="516"/>
    </row>
    <row r="515" spans="1:16" s="20" customFormat="1" ht="14" outlineLevel="4">
      <c r="A515" s="33" t="s">
        <v>8</v>
      </c>
      <c r="B515" s="520" t="s">
        <v>1386</v>
      </c>
      <c r="C515" s="338" t="s">
        <v>9</v>
      </c>
      <c r="D515" s="7">
        <v>1</v>
      </c>
      <c r="E515" s="7"/>
      <c r="F515" s="344">
        <v>50000</v>
      </c>
      <c r="G515" s="7">
        <f t="shared" ref="G515:G516" si="105">F515*D515</f>
        <v>50000</v>
      </c>
      <c r="H515" s="7">
        <f t="shared" ref="H515:H516" si="106">F515*E515</f>
        <v>0</v>
      </c>
      <c r="I515" s="1"/>
      <c r="J515" s="213" t="s">
        <v>38</v>
      </c>
      <c r="K515" s="214" t="s">
        <v>84</v>
      </c>
      <c r="L515" s="214" t="s">
        <v>94</v>
      </c>
      <c r="M515" s="32" t="s">
        <v>121</v>
      </c>
      <c r="N515" s="532" t="s">
        <v>969</v>
      </c>
      <c r="P515" s="516"/>
    </row>
    <row r="516" spans="1:16" s="20" customFormat="1" ht="14" outlineLevel="4">
      <c r="A516" s="33" t="s">
        <v>8</v>
      </c>
      <c r="B516" s="520" t="s">
        <v>1387</v>
      </c>
      <c r="C516" s="338" t="s">
        <v>9</v>
      </c>
      <c r="D516" s="7"/>
      <c r="E516" s="7">
        <v>1</v>
      </c>
      <c r="F516" s="537">
        <v>200000</v>
      </c>
      <c r="G516" s="7">
        <f t="shared" si="105"/>
        <v>0</v>
      </c>
      <c r="H516" s="7">
        <f t="shared" si="106"/>
        <v>200000</v>
      </c>
      <c r="I516" s="1"/>
      <c r="J516" s="213" t="s">
        <v>38</v>
      </c>
      <c r="K516" s="214" t="s">
        <v>84</v>
      </c>
      <c r="L516" s="214" t="s">
        <v>94</v>
      </c>
      <c r="M516" s="32" t="s">
        <v>121</v>
      </c>
      <c r="N516" s="532" t="s">
        <v>969</v>
      </c>
      <c r="P516" s="516"/>
    </row>
    <row r="517" spans="1:16" s="20" customFormat="1" ht="14" outlineLevel="4">
      <c r="A517" s="33" t="s">
        <v>8</v>
      </c>
      <c r="B517" s="520" t="s">
        <v>1388</v>
      </c>
      <c r="C517" s="338" t="s">
        <v>9</v>
      </c>
      <c r="D517" s="7"/>
      <c r="E517" s="7">
        <v>1</v>
      </c>
      <c r="F517" s="344">
        <v>461500</v>
      </c>
      <c r="G517" s="7">
        <f t="shared" si="103"/>
        <v>0</v>
      </c>
      <c r="H517" s="7">
        <f t="shared" si="104"/>
        <v>461500</v>
      </c>
      <c r="I517" s="1"/>
      <c r="J517" s="213" t="s">
        <v>38</v>
      </c>
      <c r="K517" s="214" t="s">
        <v>84</v>
      </c>
      <c r="L517" s="214" t="s">
        <v>94</v>
      </c>
      <c r="M517" s="32" t="s">
        <v>121</v>
      </c>
      <c r="N517" s="532" t="s">
        <v>969</v>
      </c>
      <c r="P517" s="516"/>
    </row>
    <row r="518" spans="1:16" s="20" customFormat="1" ht="14" outlineLevel="4">
      <c r="A518" s="33" t="s">
        <v>8</v>
      </c>
      <c r="B518" s="520" t="s">
        <v>1389</v>
      </c>
      <c r="C518" s="338" t="s">
        <v>9</v>
      </c>
      <c r="D518" s="7">
        <v>1</v>
      </c>
      <c r="E518" s="7"/>
      <c r="F518" s="537">
        <v>300000</v>
      </c>
      <c r="G518" s="7">
        <f t="shared" si="103"/>
        <v>300000</v>
      </c>
      <c r="H518" s="7">
        <f t="shared" si="104"/>
        <v>0</v>
      </c>
      <c r="I518" s="1"/>
      <c r="J518" s="213" t="s">
        <v>38</v>
      </c>
      <c r="K518" s="214" t="s">
        <v>84</v>
      </c>
      <c r="L518" s="214" t="s">
        <v>94</v>
      </c>
      <c r="M518" s="32" t="s">
        <v>121</v>
      </c>
      <c r="N518" s="532" t="s">
        <v>969</v>
      </c>
      <c r="P518" s="516"/>
    </row>
    <row r="519" spans="1:16" s="502" customFormat="1" outlineLevel="4">
      <c r="A519" s="492" t="s">
        <v>1370</v>
      </c>
      <c r="B519" s="533" t="s">
        <v>1371</v>
      </c>
      <c r="C519" s="494"/>
      <c r="D519" s="495"/>
      <c r="E519" s="495"/>
      <c r="F519" s="495"/>
      <c r="G519" s="495">
        <f>SUBTOTAL(9,G520:G529)</f>
        <v>211259</v>
      </c>
      <c r="H519" s="495">
        <f>SUBTOTAL(9,H520:H529)</f>
        <v>121944</v>
      </c>
      <c r="I519" s="543"/>
      <c r="J519" s="496"/>
      <c r="K519" s="501"/>
      <c r="L519" s="501"/>
      <c r="M519" s="501"/>
      <c r="N519" s="501"/>
      <c r="P519" s="503"/>
    </row>
    <row r="520" spans="1:16" s="20" customFormat="1" ht="14" outlineLevel="4">
      <c r="A520" s="33" t="s">
        <v>8</v>
      </c>
      <c r="B520" s="670" t="s">
        <v>1372</v>
      </c>
      <c r="C520" s="338" t="s">
        <v>9</v>
      </c>
      <c r="D520" s="20">
        <v>1</v>
      </c>
      <c r="E520" s="7"/>
      <c r="F520" s="7">
        <v>50000</v>
      </c>
      <c r="G520" s="7">
        <f t="shared" ref="G520:G523" si="107">F520*D520</f>
        <v>50000</v>
      </c>
      <c r="H520" s="7">
        <f t="shared" ref="H520:H523" si="108">F520*E520</f>
        <v>0</v>
      </c>
      <c r="I520" s="1"/>
      <c r="J520" s="213" t="s">
        <v>38</v>
      </c>
      <c r="K520" s="214" t="s">
        <v>1369</v>
      </c>
      <c r="L520" s="214" t="s">
        <v>94</v>
      </c>
      <c r="M520" s="32"/>
      <c r="N520" s="532"/>
      <c r="P520" s="569" t="s">
        <v>1381</v>
      </c>
    </row>
    <row r="521" spans="1:16" s="20" customFormat="1" ht="14" outlineLevel="4">
      <c r="A521" s="33" t="s">
        <v>8</v>
      </c>
      <c r="B521" s="670" t="s">
        <v>1373</v>
      </c>
      <c r="C521" s="338" t="s">
        <v>9</v>
      </c>
      <c r="D521" s="7">
        <v>1</v>
      </c>
      <c r="E521" s="7"/>
      <c r="F521" s="344">
        <v>23000</v>
      </c>
      <c r="G521" s="7">
        <f t="shared" si="107"/>
        <v>23000</v>
      </c>
      <c r="H521" s="7">
        <f t="shared" si="108"/>
        <v>0</v>
      </c>
      <c r="I521" s="1"/>
      <c r="J521" s="213" t="s">
        <v>38</v>
      </c>
      <c r="K521" s="214" t="s">
        <v>1369</v>
      </c>
      <c r="L521" s="214" t="s">
        <v>94</v>
      </c>
      <c r="M521" s="32"/>
      <c r="N521" s="532"/>
      <c r="P521" s="516" t="s">
        <v>1382</v>
      </c>
    </row>
    <row r="522" spans="1:16" s="20" customFormat="1" ht="14" outlineLevel="4">
      <c r="A522" s="33" t="s">
        <v>8</v>
      </c>
      <c r="B522" s="670" t="s">
        <v>1374</v>
      </c>
      <c r="C522" s="338" t="s">
        <v>9</v>
      </c>
      <c r="D522" s="7">
        <v>1</v>
      </c>
      <c r="E522" s="7"/>
      <c r="F522" s="344">
        <v>46000</v>
      </c>
      <c r="G522" s="7">
        <f t="shared" si="107"/>
        <v>46000</v>
      </c>
      <c r="H522" s="7">
        <f t="shared" si="108"/>
        <v>0</v>
      </c>
      <c r="I522" s="1"/>
      <c r="J522" s="213" t="s">
        <v>38</v>
      </c>
      <c r="K522" s="214" t="s">
        <v>1369</v>
      </c>
      <c r="L522" s="214" t="s">
        <v>94</v>
      </c>
      <c r="M522" s="32"/>
      <c r="N522" s="532"/>
      <c r="P522" s="516" t="s">
        <v>1381</v>
      </c>
    </row>
    <row r="523" spans="1:16" s="20" customFormat="1" ht="14" outlineLevel="4">
      <c r="A523" s="33" t="s">
        <v>8</v>
      </c>
      <c r="B523" s="670" t="s">
        <v>1375</v>
      </c>
      <c r="C523" s="338" t="s">
        <v>9</v>
      </c>
      <c r="D523" s="7"/>
      <c r="E523" s="7">
        <v>1</v>
      </c>
      <c r="F523" s="537">
        <v>50000</v>
      </c>
      <c r="G523" s="7">
        <f t="shared" si="107"/>
        <v>0</v>
      </c>
      <c r="H523" s="7">
        <f t="shared" si="108"/>
        <v>50000</v>
      </c>
      <c r="I523" s="1"/>
      <c r="J523" s="213" t="s">
        <v>38</v>
      </c>
      <c r="K523" s="214" t="s">
        <v>1369</v>
      </c>
      <c r="L523" s="214" t="s">
        <v>94</v>
      </c>
      <c r="M523" s="32"/>
      <c r="N523" s="532"/>
      <c r="P523" s="516" t="s">
        <v>1381</v>
      </c>
    </row>
    <row r="524" spans="1:16" s="20" customFormat="1" ht="14" outlineLevel="4">
      <c r="A524" s="33" t="s">
        <v>8</v>
      </c>
      <c r="B524" s="670" t="s">
        <v>1376</v>
      </c>
      <c r="C524" s="338" t="s">
        <v>9</v>
      </c>
      <c r="D524" s="20">
        <v>1</v>
      </c>
      <c r="E524" s="7"/>
      <c r="F524" s="7">
        <v>17000</v>
      </c>
      <c r="G524" s="7">
        <f t="shared" ref="G524:G527" si="109">F524*D524</f>
        <v>17000</v>
      </c>
      <c r="H524" s="7">
        <f t="shared" ref="H524:H527" si="110">F524*E524</f>
        <v>0</v>
      </c>
      <c r="I524" s="1"/>
      <c r="J524" s="213" t="s">
        <v>38</v>
      </c>
      <c r="K524" s="214" t="s">
        <v>1369</v>
      </c>
      <c r="L524" s="214" t="s">
        <v>94</v>
      </c>
      <c r="M524" s="32"/>
      <c r="N524" s="532"/>
      <c r="P524" s="569" t="s">
        <v>1381</v>
      </c>
    </row>
    <row r="525" spans="1:16" s="20" customFormat="1" ht="14" outlineLevel="4">
      <c r="A525" s="33" t="s">
        <v>8</v>
      </c>
      <c r="B525" s="670" t="s">
        <v>1377</v>
      </c>
      <c r="C525" s="338" t="s">
        <v>9</v>
      </c>
      <c r="D525" s="7">
        <v>1</v>
      </c>
      <c r="E525" s="7"/>
      <c r="F525" s="344">
        <v>17000</v>
      </c>
      <c r="G525" s="7">
        <f t="shared" si="109"/>
        <v>17000</v>
      </c>
      <c r="H525" s="7">
        <f t="shared" si="110"/>
        <v>0</v>
      </c>
      <c r="I525" s="1"/>
      <c r="J525" s="213" t="s">
        <v>38</v>
      </c>
      <c r="K525" s="214" t="s">
        <v>1369</v>
      </c>
      <c r="L525" s="214" t="s">
        <v>94</v>
      </c>
      <c r="M525" s="32"/>
      <c r="N525" s="532"/>
      <c r="P525" s="516" t="s">
        <v>1381</v>
      </c>
    </row>
    <row r="526" spans="1:16" s="20" customFormat="1" ht="14" outlineLevel="4">
      <c r="A526" s="33" t="s">
        <v>8</v>
      </c>
      <c r="B526" s="670" t="s">
        <v>1378</v>
      </c>
      <c r="C526" s="338" t="s">
        <v>9</v>
      </c>
      <c r="D526" s="7">
        <v>1</v>
      </c>
      <c r="E526" s="7"/>
      <c r="F526" s="344">
        <v>58259</v>
      </c>
      <c r="G526" s="7">
        <f t="shared" si="109"/>
        <v>58259</v>
      </c>
      <c r="H526" s="7">
        <f t="shared" si="110"/>
        <v>0</v>
      </c>
      <c r="I526" s="1"/>
      <c r="J526" s="213" t="s">
        <v>38</v>
      </c>
      <c r="K526" s="214" t="s">
        <v>1369</v>
      </c>
      <c r="L526" s="214" t="s">
        <v>94</v>
      </c>
      <c r="M526" s="32"/>
      <c r="N526" s="532"/>
      <c r="P526" s="516" t="s">
        <v>1382</v>
      </c>
    </row>
    <row r="527" spans="1:16" s="20" customFormat="1" ht="14" outlineLevel="4">
      <c r="A527" s="33" t="s">
        <v>8</v>
      </c>
      <c r="B527" s="670" t="s">
        <v>1379</v>
      </c>
      <c r="C527" s="338" t="s">
        <v>9</v>
      </c>
      <c r="D527" s="7"/>
      <c r="E527" s="7">
        <v>1</v>
      </c>
      <c r="F527" s="537">
        <v>48691</v>
      </c>
      <c r="G527" s="7">
        <f t="shared" si="109"/>
        <v>0</v>
      </c>
      <c r="H527" s="7">
        <f t="shared" si="110"/>
        <v>48691</v>
      </c>
      <c r="I527" s="1"/>
      <c r="J527" s="213" t="s">
        <v>38</v>
      </c>
      <c r="K527" s="214" t="s">
        <v>1369</v>
      </c>
      <c r="L527" s="214" t="s">
        <v>94</v>
      </c>
      <c r="M527" s="32"/>
      <c r="N527" s="532"/>
      <c r="P527" s="516" t="s">
        <v>1382</v>
      </c>
    </row>
    <row r="528" spans="1:16" s="20" customFormat="1" ht="14" outlineLevel="4">
      <c r="A528" s="570" t="s">
        <v>8</v>
      </c>
      <c r="B528" s="670" t="s">
        <v>1380</v>
      </c>
      <c r="C528" s="338" t="s">
        <v>9</v>
      </c>
      <c r="D528" s="7"/>
      <c r="E528" s="7">
        <v>1</v>
      </c>
      <c r="F528" s="344">
        <v>23253</v>
      </c>
      <c r="G528" s="7">
        <f t="shared" si="103"/>
        <v>0</v>
      </c>
      <c r="H528" s="7">
        <f t="shared" si="104"/>
        <v>23253</v>
      </c>
      <c r="I528" s="1"/>
      <c r="J528" s="213" t="s">
        <v>38</v>
      </c>
      <c r="K528" s="214" t="s">
        <v>1369</v>
      </c>
      <c r="L528" s="214" t="s">
        <v>94</v>
      </c>
      <c r="M528" s="32"/>
      <c r="N528" s="532"/>
      <c r="P528" s="516" t="s">
        <v>1382</v>
      </c>
    </row>
    <row r="529" spans="1:17" s="20" customFormat="1" ht="14" outlineLevel="4">
      <c r="A529" s="33" t="s">
        <v>8</v>
      </c>
      <c r="B529" s="571"/>
      <c r="C529" s="572"/>
      <c r="D529" s="7"/>
      <c r="E529" s="7"/>
      <c r="F529" s="537"/>
      <c r="G529" s="7">
        <f t="shared" si="103"/>
        <v>0</v>
      </c>
      <c r="H529" s="7">
        <f t="shared" si="104"/>
        <v>0</v>
      </c>
      <c r="I529" s="1"/>
      <c r="J529" s="213" t="s">
        <v>38</v>
      </c>
      <c r="K529" s="214" t="s">
        <v>1369</v>
      </c>
      <c r="L529" s="214" t="s">
        <v>94</v>
      </c>
      <c r="M529" s="32"/>
      <c r="N529" s="532"/>
      <c r="P529" s="516"/>
    </row>
    <row r="530" spans="1:17" s="223" customFormat="1" ht="14">
      <c r="A530" s="253" t="s">
        <v>56</v>
      </c>
      <c r="B530" s="254" t="s">
        <v>20</v>
      </c>
      <c r="C530" s="255"/>
      <c r="D530" s="256"/>
      <c r="E530" s="256"/>
      <c r="F530" s="257"/>
      <c r="G530" s="256">
        <f>SUBTOTAL(9,G531:G1346)</f>
        <v>5245403.9285714291</v>
      </c>
      <c r="H530" s="256">
        <f>SUBTOTAL(9,H531:H1346)</f>
        <v>2223796.3076923075</v>
      </c>
      <c r="I530" s="258"/>
      <c r="J530" s="213" t="s">
        <v>21</v>
      </c>
      <c r="K530" s="222"/>
      <c r="L530" s="222"/>
      <c r="M530" s="222"/>
      <c r="N530" s="222"/>
      <c r="O530" s="216"/>
      <c r="P530" s="217"/>
      <c r="Q530" s="216"/>
    </row>
    <row r="531" spans="1:17" s="216" customFormat="1" ht="14" outlineLevel="1">
      <c r="A531" s="191" t="s">
        <v>324</v>
      </c>
      <c r="B531" s="153" t="s">
        <v>578</v>
      </c>
      <c r="C531" s="193"/>
      <c r="D531" s="194"/>
      <c r="E531" s="194"/>
      <c r="F531" s="194"/>
      <c r="G531" s="194">
        <f>SUBTOTAL(9,G532:G576)</f>
        <v>834259</v>
      </c>
      <c r="H531" s="194">
        <f>SUBTOTAL(9,H532:H576)</f>
        <v>1140472.3076923075</v>
      </c>
      <c r="I531" s="195"/>
      <c r="J531" s="213" t="s">
        <v>21</v>
      </c>
      <c r="K531" s="214"/>
      <c r="L531" s="214"/>
      <c r="M531" s="214"/>
      <c r="N531" s="215"/>
      <c r="P531" s="217"/>
    </row>
    <row r="532" spans="1:17" s="216" customFormat="1" ht="14" outlineLevel="2">
      <c r="A532" s="191">
        <v>1</v>
      </c>
      <c r="B532" s="153" t="s">
        <v>580</v>
      </c>
      <c r="C532" s="200"/>
      <c r="D532" s="201"/>
      <c r="E532" s="201"/>
      <c r="F532" s="201"/>
      <c r="G532" s="194">
        <f>SUBTOTAL(9,G533:G543)</f>
        <v>156000</v>
      </c>
      <c r="H532" s="194">
        <f>SUBTOTAL(9,H533:H543)</f>
        <v>216000</v>
      </c>
      <c r="I532" s="195"/>
      <c r="J532" s="213" t="s">
        <v>21</v>
      </c>
      <c r="K532" s="214"/>
      <c r="L532" s="214"/>
      <c r="M532" s="214"/>
      <c r="N532" s="215"/>
      <c r="P532" s="217"/>
      <c r="Q532" s="259" t="s">
        <v>138</v>
      </c>
    </row>
    <row r="533" spans="1:17" s="219" customFormat="1" ht="14" outlineLevel="3">
      <c r="A533" s="203" t="s">
        <v>8</v>
      </c>
      <c r="B533" s="218" t="s">
        <v>51</v>
      </c>
      <c r="C533" s="200"/>
      <c r="D533" s="201"/>
      <c r="E533" s="201"/>
      <c r="F533" s="201"/>
      <c r="G533" s="7">
        <f t="shared" ref="G533:G545" si="111">F533*D533</f>
        <v>0</v>
      </c>
      <c r="H533" s="201">
        <f t="shared" ref="H533:H543" si="112">F533*E533</f>
        <v>0</v>
      </c>
      <c r="I533" s="202"/>
      <c r="J533" s="213" t="s">
        <v>21</v>
      </c>
      <c r="K533" s="214" t="s">
        <v>107</v>
      </c>
      <c r="L533" s="214" t="s">
        <v>94</v>
      </c>
      <c r="M533" s="214" t="s">
        <v>138</v>
      </c>
      <c r="N533" s="214"/>
      <c r="P533" s="220"/>
      <c r="Q533" s="259" t="s">
        <v>138</v>
      </c>
    </row>
    <row r="534" spans="1:17" s="219" customFormat="1" ht="14" outlineLevel="3">
      <c r="A534" s="203" t="s">
        <v>8</v>
      </c>
      <c r="B534" s="260" t="s">
        <v>204</v>
      </c>
      <c r="C534" s="200" t="s">
        <v>25</v>
      </c>
      <c r="D534" s="201"/>
      <c r="E534" s="201"/>
      <c r="F534" s="201"/>
      <c r="G534" s="7">
        <f t="shared" si="111"/>
        <v>0</v>
      </c>
      <c r="H534" s="201">
        <f t="shared" si="112"/>
        <v>0</v>
      </c>
      <c r="I534" s="202"/>
      <c r="J534" s="213" t="s">
        <v>21</v>
      </c>
      <c r="K534" s="214" t="s">
        <v>107</v>
      </c>
      <c r="L534" s="214" t="s">
        <v>94</v>
      </c>
      <c r="M534" s="214" t="s">
        <v>138</v>
      </c>
      <c r="N534" s="236"/>
      <c r="P534" s="220"/>
      <c r="Q534" s="259" t="s">
        <v>138</v>
      </c>
    </row>
    <row r="535" spans="1:17" s="219" customFormat="1" ht="14" outlineLevel="3">
      <c r="A535" s="203" t="s">
        <v>8</v>
      </c>
      <c r="B535" s="260" t="s">
        <v>205</v>
      </c>
      <c r="C535" s="200" t="s">
        <v>25</v>
      </c>
      <c r="D535" s="201"/>
      <c r="E535" s="201"/>
      <c r="F535" s="201"/>
      <c r="G535" s="7">
        <f t="shared" si="111"/>
        <v>0</v>
      </c>
      <c r="H535" s="201">
        <f t="shared" si="112"/>
        <v>0</v>
      </c>
      <c r="I535" s="202"/>
      <c r="J535" s="213" t="s">
        <v>21</v>
      </c>
      <c r="K535" s="214" t="s">
        <v>107</v>
      </c>
      <c r="L535" s="214" t="s">
        <v>94</v>
      </c>
      <c r="M535" s="214" t="s">
        <v>138</v>
      </c>
      <c r="N535" s="236"/>
      <c r="P535" s="220"/>
      <c r="Q535" s="259" t="s">
        <v>138</v>
      </c>
    </row>
    <row r="536" spans="1:17" s="219" customFormat="1" ht="14" outlineLevel="3">
      <c r="A536" s="203" t="s">
        <v>8</v>
      </c>
      <c r="B536" s="260" t="s">
        <v>46</v>
      </c>
      <c r="C536" s="200"/>
      <c r="D536" s="201"/>
      <c r="E536" s="201"/>
      <c r="F536" s="201"/>
      <c r="G536" s="7">
        <f t="shared" si="111"/>
        <v>0</v>
      </c>
      <c r="H536" s="201">
        <f t="shared" si="112"/>
        <v>0</v>
      </c>
      <c r="I536" s="202"/>
      <c r="J536" s="213" t="s">
        <v>21</v>
      </c>
      <c r="K536" s="214" t="s">
        <v>107</v>
      </c>
      <c r="L536" s="214" t="s">
        <v>94</v>
      </c>
      <c r="M536" s="214" t="s">
        <v>138</v>
      </c>
      <c r="N536" s="236"/>
      <c r="P536" s="220"/>
      <c r="Q536" s="259" t="s">
        <v>138</v>
      </c>
    </row>
    <row r="537" spans="1:17" s="219" customFormat="1" ht="14" outlineLevel="3">
      <c r="A537" s="203" t="s">
        <v>8</v>
      </c>
      <c r="B537" s="260" t="s">
        <v>118</v>
      </c>
      <c r="C537" s="200" t="s">
        <v>25</v>
      </c>
      <c r="D537" s="201"/>
      <c r="E537" s="201"/>
      <c r="F537" s="201"/>
      <c r="G537" s="7">
        <f t="shared" si="111"/>
        <v>0</v>
      </c>
      <c r="H537" s="201">
        <f t="shared" si="112"/>
        <v>0</v>
      </c>
      <c r="I537" s="202"/>
      <c r="J537" s="213" t="s">
        <v>21</v>
      </c>
      <c r="K537" s="214" t="s">
        <v>107</v>
      </c>
      <c r="L537" s="214" t="s">
        <v>94</v>
      </c>
      <c r="M537" s="214" t="s">
        <v>138</v>
      </c>
      <c r="N537" s="236"/>
      <c r="P537" s="220"/>
      <c r="Q537" s="259" t="s">
        <v>138</v>
      </c>
    </row>
    <row r="538" spans="1:17" s="219" customFormat="1" ht="14" outlineLevel="3">
      <c r="A538" s="203" t="s">
        <v>8</v>
      </c>
      <c r="B538" s="260" t="s">
        <v>206</v>
      </c>
      <c r="C538" s="200" t="s">
        <v>25</v>
      </c>
      <c r="D538" s="201"/>
      <c r="E538" s="201"/>
      <c r="F538" s="201"/>
      <c r="G538" s="7">
        <f t="shared" si="111"/>
        <v>0</v>
      </c>
      <c r="H538" s="201">
        <f t="shared" si="112"/>
        <v>0</v>
      </c>
      <c r="I538" s="202"/>
      <c r="J538" s="213" t="s">
        <v>21</v>
      </c>
      <c r="K538" s="214" t="s">
        <v>107</v>
      </c>
      <c r="L538" s="214" t="s">
        <v>94</v>
      </c>
      <c r="M538" s="214" t="s">
        <v>138</v>
      </c>
      <c r="N538" s="236"/>
      <c r="P538" s="220"/>
      <c r="Q538" s="259" t="s">
        <v>138</v>
      </c>
    </row>
    <row r="539" spans="1:17" s="219" customFormat="1" ht="14" outlineLevel="3">
      <c r="A539" s="203" t="s">
        <v>8</v>
      </c>
      <c r="B539" s="261" t="s">
        <v>579</v>
      </c>
      <c r="C539" s="200" t="s">
        <v>25</v>
      </c>
      <c r="D539" s="201">
        <v>260</v>
      </c>
      <c r="E539" s="201">
        <v>360</v>
      </c>
      <c r="F539" s="144">
        <v>600</v>
      </c>
      <c r="G539" s="7">
        <f t="shared" si="111"/>
        <v>156000</v>
      </c>
      <c r="H539" s="201">
        <f t="shared" si="112"/>
        <v>216000</v>
      </c>
      <c r="I539" s="202"/>
      <c r="J539" s="213" t="s">
        <v>21</v>
      </c>
      <c r="K539" s="214" t="s">
        <v>107</v>
      </c>
      <c r="L539" s="214" t="s">
        <v>94</v>
      </c>
      <c r="M539" s="214" t="s">
        <v>138</v>
      </c>
      <c r="N539" s="236"/>
      <c r="P539" s="220"/>
      <c r="Q539" s="259" t="s">
        <v>138</v>
      </c>
    </row>
    <row r="540" spans="1:17" s="219" customFormat="1" ht="14" outlineLevel="3">
      <c r="A540" s="203" t="s">
        <v>8</v>
      </c>
      <c r="B540" s="260" t="s">
        <v>207</v>
      </c>
      <c r="C540" s="200" t="s">
        <v>25</v>
      </c>
      <c r="D540" s="201"/>
      <c r="E540" s="201"/>
      <c r="F540" s="201"/>
      <c r="G540" s="7">
        <f t="shared" si="111"/>
        <v>0</v>
      </c>
      <c r="H540" s="201">
        <f t="shared" si="112"/>
        <v>0</v>
      </c>
      <c r="I540" s="202"/>
      <c r="J540" s="213" t="s">
        <v>21</v>
      </c>
      <c r="K540" s="214" t="s">
        <v>107</v>
      </c>
      <c r="L540" s="214" t="s">
        <v>94</v>
      </c>
      <c r="M540" s="214" t="s">
        <v>138</v>
      </c>
      <c r="N540" s="236"/>
      <c r="P540" s="220"/>
      <c r="Q540" s="259" t="s">
        <v>138</v>
      </c>
    </row>
    <row r="541" spans="1:17" s="219" customFormat="1" ht="14" outlineLevel="3">
      <c r="A541" s="203" t="s">
        <v>8</v>
      </c>
      <c r="B541" s="260" t="s">
        <v>208</v>
      </c>
      <c r="C541" s="200" t="s">
        <v>25</v>
      </c>
      <c r="D541" s="201"/>
      <c r="E541" s="201"/>
      <c r="F541" s="201"/>
      <c r="G541" s="7">
        <f t="shared" si="111"/>
        <v>0</v>
      </c>
      <c r="H541" s="201">
        <f t="shared" si="112"/>
        <v>0</v>
      </c>
      <c r="I541" s="202"/>
      <c r="J541" s="213" t="s">
        <v>21</v>
      </c>
      <c r="K541" s="214" t="s">
        <v>107</v>
      </c>
      <c r="L541" s="214" t="s">
        <v>94</v>
      </c>
      <c r="M541" s="214" t="s">
        <v>138</v>
      </c>
      <c r="N541" s="236"/>
      <c r="P541" s="220"/>
      <c r="Q541" s="259" t="s">
        <v>138</v>
      </c>
    </row>
    <row r="542" spans="1:17" s="219" customFormat="1" ht="14" outlineLevel="3">
      <c r="A542" s="203" t="s">
        <v>8</v>
      </c>
      <c r="B542" s="260" t="s">
        <v>209</v>
      </c>
      <c r="C542" s="200" t="s">
        <v>25</v>
      </c>
      <c r="D542" s="201"/>
      <c r="E542" s="201"/>
      <c r="F542" s="201"/>
      <c r="G542" s="7">
        <f t="shared" si="111"/>
        <v>0</v>
      </c>
      <c r="H542" s="201">
        <f t="shared" si="112"/>
        <v>0</v>
      </c>
      <c r="I542" s="202"/>
      <c r="J542" s="213" t="s">
        <v>21</v>
      </c>
      <c r="K542" s="214" t="s">
        <v>107</v>
      </c>
      <c r="L542" s="214" t="s">
        <v>94</v>
      </c>
      <c r="M542" s="214" t="s">
        <v>138</v>
      </c>
      <c r="N542" s="236"/>
      <c r="P542" s="220"/>
      <c r="Q542" s="259" t="s">
        <v>138</v>
      </c>
    </row>
    <row r="543" spans="1:17" s="219" customFormat="1" ht="14" outlineLevel="3">
      <c r="A543" s="203" t="s">
        <v>8</v>
      </c>
      <c r="B543" s="260" t="s">
        <v>210</v>
      </c>
      <c r="C543" s="200" t="s">
        <v>25</v>
      </c>
      <c r="D543" s="201"/>
      <c r="E543" s="201"/>
      <c r="F543" s="201"/>
      <c r="G543" s="7">
        <f t="shared" si="111"/>
        <v>0</v>
      </c>
      <c r="H543" s="201">
        <f t="shared" si="112"/>
        <v>0</v>
      </c>
      <c r="I543" s="202"/>
      <c r="J543" s="213" t="s">
        <v>21</v>
      </c>
      <c r="K543" s="214" t="s">
        <v>107</v>
      </c>
      <c r="L543" s="214" t="s">
        <v>94</v>
      </c>
      <c r="M543" s="214" t="s">
        <v>138</v>
      </c>
      <c r="N543" s="236"/>
      <c r="P543" s="220"/>
      <c r="Q543" s="259" t="s">
        <v>138</v>
      </c>
    </row>
    <row r="544" spans="1:17" s="216" customFormat="1" ht="14" outlineLevel="2">
      <c r="A544" s="191">
        <v>2</v>
      </c>
      <c r="B544" s="153" t="s">
        <v>581</v>
      </c>
      <c r="C544" s="200"/>
      <c r="D544" s="201"/>
      <c r="E544" s="201"/>
      <c r="F544" s="201"/>
      <c r="G544" s="194">
        <f>SUBTOTAL(9,G545)</f>
        <v>54000</v>
      </c>
      <c r="H544" s="194">
        <f>SUBTOTAL(9,H545)</f>
        <v>67500</v>
      </c>
      <c r="I544" s="195"/>
      <c r="J544" s="213" t="s">
        <v>21</v>
      </c>
      <c r="K544" s="214"/>
      <c r="L544" s="214"/>
      <c r="M544" s="214"/>
      <c r="N544" s="215"/>
      <c r="P544" s="217"/>
      <c r="Q544" s="259" t="s">
        <v>138</v>
      </c>
    </row>
    <row r="545" spans="1:17" s="219" customFormat="1" ht="14" outlineLevel="3">
      <c r="A545" s="203" t="s">
        <v>8</v>
      </c>
      <c r="B545" s="262" t="s">
        <v>581</v>
      </c>
      <c r="C545" s="200" t="s">
        <v>582</v>
      </c>
      <c r="D545" s="7">
        <v>12</v>
      </c>
      <c r="E545" s="7">
        <v>15</v>
      </c>
      <c r="F545" s="7">
        <v>4500</v>
      </c>
      <c r="G545" s="7">
        <f t="shared" si="111"/>
        <v>54000</v>
      </c>
      <c r="H545" s="201">
        <f t="shared" ref="H545" si="113">F545*E545</f>
        <v>67500</v>
      </c>
      <c r="I545" s="202"/>
      <c r="J545" s="213" t="s">
        <v>21</v>
      </c>
      <c r="K545" s="214" t="s">
        <v>107</v>
      </c>
      <c r="L545" s="214" t="s">
        <v>94</v>
      </c>
      <c r="M545" s="214" t="s">
        <v>138</v>
      </c>
      <c r="N545" s="236"/>
      <c r="P545" s="220"/>
      <c r="Q545" s="259" t="s">
        <v>138</v>
      </c>
    </row>
    <row r="546" spans="1:17" s="219" customFormat="1" ht="14" outlineLevel="3">
      <c r="A546" s="203" t="s">
        <v>8</v>
      </c>
      <c r="B546" s="262" t="s">
        <v>1023</v>
      </c>
      <c r="C546" s="200" t="s">
        <v>582</v>
      </c>
      <c r="D546" s="7">
        <v>70</v>
      </c>
      <c r="E546" s="7">
        <v>60</v>
      </c>
      <c r="F546" s="7">
        <v>200</v>
      </c>
      <c r="G546" s="7">
        <f t="shared" ref="G546" si="114">F546*D546</f>
        <v>14000</v>
      </c>
      <c r="H546" s="201">
        <f t="shared" ref="H546" si="115">F546*E546</f>
        <v>12000</v>
      </c>
      <c r="I546" s="202"/>
      <c r="J546" s="213" t="s">
        <v>21</v>
      </c>
      <c r="K546" s="214" t="s">
        <v>107</v>
      </c>
      <c r="L546" s="214" t="s">
        <v>94</v>
      </c>
      <c r="M546" s="214" t="s">
        <v>138</v>
      </c>
      <c r="N546" s="236"/>
      <c r="P546" s="220"/>
      <c r="Q546" s="259" t="s">
        <v>138</v>
      </c>
    </row>
    <row r="547" spans="1:17" s="216" customFormat="1" ht="14" outlineLevel="2">
      <c r="A547" s="191">
        <v>3</v>
      </c>
      <c r="B547" s="153" t="s">
        <v>47</v>
      </c>
      <c r="C547" s="193"/>
      <c r="D547" s="194"/>
      <c r="E547" s="194"/>
      <c r="F547" s="194"/>
      <c r="G547" s="194">
        <f>SUBTOTAL(9,G548:G569)</f>
        <v>521599</v>
      </c>
      <c r="H547" s="194">
        <f>SUBTOTAL(9,H548:H569)</f>
        <v>722212.30769230763</v>
      </c>
      <c r="I547" s="263"/>
      <c r="J547" s="213" t="s">
        <v>21</v>
      </c>
      <c r="K547" s="214"/>
      <c r="L547" s="214"/>
      <c r="M547" s="214"/>
      <c r="N547" s="215"/>
      <c r="P547" s="217"/>
      <c r="Q547" s="259" t="s">
        <v>138</v>
      </c>
    </row>
    <row r="548" spans="1:17" s="216" customFormat="1" ht="14" outlineLevel="3">
      <c r="A548" s="191">
        <v>3.1</v>
      </c>
      <c r="B548" s="153" t="s">
        <v>85</v>
      </c>
      <c r="C548" s="193"/>
      <c r="D548" s="194"/>
      <c r="E548" s="194"/>
      <c r="F548" s="194"/>
      <c r="G548" s="194"/>
      <c r="H548" s="194"/>
      <c r="I548" s="195"/>
      <c r="J548" s="213" t="s">
        <v>21</v>
      </c>
      <c r="K548" s="214"/>
      <c r="L548" s="214"/>
      <c r="M548" s="214" t="s">
        <v>138</v>
      </c>
      <c r="N548" s="215"/>
      <c r="P548" s="217"/>
      <c r="Q548" s="259" t="s">
        <v>138</v>
      </c>
    </row>
    <row r="549" spans="1:17" s="219" customFormat="1" ht="14" outlineLevel="3">
      <c r="A549" s="203" t="s">
        <v>8</v>
      </c>
      <c r="B549" s="260" t="s">
        <v>211</v>
      </c>
      <c r="C549" s="200" t="s">
        <v>24</v>
      </c>
      <c r="D549" s="7">
        <v>3001</v>
      </c>
      <c r="E549" s="7">
        <v>4155</v>
      </c>
      <c r="F549" s="7">
        <v>7</v>
      </c>
      <c r="G549" s="7">
        <f t="shared" ref="G549:G566" si="116">F549*D549</f>
        <v>21007</v>
      </c>
      <c r="H549" s="201">
        <f t="shared" ref="H549:H566" si="117">F549*E549</f>
        <v>29085</v>
      </c>
      <c r="I549" s="202"/>
      <c r="J549" s="213" t="s">
        <v>21</v>
      </c>
      <c r="K549" s="214" t="s">
        <v>107</v>
      </c>
      <c r="L549" s="214" t="s">
        <v>94</v>
      </c>
      <c r="M549" s="214" t="s">
        <v>138</v>
      </c>
      <c r="N549" s="236"/>
      <c r="P549" s="220"/>
      <c r="Q549" s="259" t="s">
        <v>138</v>
      </c>
    </row>
    <row r="550" spans="1:17" s="219" customFormat="1" ht="14" outlineLevel="3">
      <c r="A550" s="203" t="s">
        <v>8</v>
      </c>
      <c r="B550" s="260" t="s">
        <v>212</v>
      </c>
      <c r="C550" s="200" t="s">
        <v>24</v>
      </c>
      <c r="D550" s="201"/>
      <c r="E550" s="201"/>
      <c r="F550" s="201"/>
      <c r="G550" s="7">
        <f t="shared" si="116"/>
        <v>0</v>
      </c>
      <c r="H550" s="201">
        <f t="shared" si="117"/>
        <v>0</v>
      </c>
      <c r="I550" s="202"/>
      <c r="J550" s="213" t="s">
        <v>21</v>
      </c>
      <c r="K550" s="214" t="s">
        <v>107</v>
      </c>
      <c r="L550" s="214" t="s">
        <v>94</v>
      </c>
      <c r="M550" s="214" t="s">
        <v>138</v>
      </c>
      <c r="N550" s="236"/>
      <c r="P550" s="220"/>
      <c r="Q550" s="259" t="s">
        <v>138</v>
      </c>
    </row>
    <row r="551" spans="1:17" s="219" customFormat="1" ht="14" outlineLevel="3">
      <c r="A551" s="203" t="s">
        <v>8</v>
      </c>
      <c r="B551" s="260" t="s">
        <v>213</v>
      </c>
      <c r="C551" s="200" t="s">
        <v>24</v>
      </c>
      <c r="D551" s="7">
        <v>1000</v>
      </c>
      <c r="E551" s="7">
        <v>1385</v>
      </c>
      <c r="F551" s="7">
        <v>7</v>
      </c>
      <c r="G551" s="7">
        <f t="shared" si="116"/>
        <v>7000</v>
      </c>
      <c r="H551" s="201">
        <f t="shared" si="117"/>
        <v>9695</v>
      </c>
      <c r="I551" s="202"/>
      <c r="J551" s="213" t="s">
        <v>21</v>
      </c>
      <c r="K551" s="214" t="s">
        <v>107</v>
      </c>
      <c r="L551" s="214" t="s">
        <v>94</v>
      </c>
      <c r="M551" s="214" t="s">
        <v>138</v>
      </c>
      <c r="N551" s="236"/>
      <c r="P551" s="220"/>
      <c r="Q551" s="259" t="s">
        <v>138</v>
      </c>
    </row>
    <row r="552" spans="1:17" s="219" customFormat="1" ht="14" outlineLevel="3">
      <c r="A552" s="203" t="s">
        <v>8</v>
      </c>
      <c r="B552" s="260" t="s">
        <v>214</v>
      </c>
      <c r="C552" s="200" t="s">
        <v>24</v>
      </c>
      <c r="D552" s="201"/>
      <c r="E552" s="201"/>
      <c r="F552" s="201"/>
      <c r="G552" s="7">
        <f t="shared" si="116"/>
        <v>0</v>
      </c>
      <c r="H552" s="201">
        <f t="shared" si="117"/>
        <v>0</v>
      </c>
      <c r="I552" s="202"/>
      <c r="J552" s="213" t="s">
        <v>21</v>
      </c>
      <c r="K552" s="214" t="s">
        <v>107</v>
      </c>
      <c r="L552" s="214" t="s">
        <v>94</v>
      </c>
      <c r="M552" s="214" t="s">
        <v>138</v>
      </c>
      <c r="N552" s="236"/>
      <c r="P552" s="220"/>
      <c r="Q552" s="259" t="s">
        <v>138</v>
      </c>
    </row>
    <row r="553" spans="1:17" s="219" customFormat="1" ht="14" outlineLevel="3">
      <c r="A553" s="203" t="s">
        <v>8</v>
      </c>
      <c r="B553" s="260" t="s">
        <v>215</v>
      </c>
      <c r="C553" s="200" t="s">
        <v>24</v>
      </c>
      <c r="D553" s="201"/>
      <c r="E553" s="201"/>
      <c r="F553" s="201"/>
      <c r="G553" s="7">
        <f t="shared" si="116"/>
        <v>0</v>
      </c>
      <c r="H553" s="201">
        <f t="shared" si="117"/>
        <v>0</v>
      </c>
      <c r="I553" s="202"/>
      <c r="J553" s="213" t="s">
        <v>21</v>
      </c>
      <c r="K553" s="214" t="s">
        <v>107</v>
      </c>
      <c r="L553" s="214" t="s">
        <v>94</v>
      </c>
      <c r="M553" s="214" t="s">
        <v>138</v>
      </c>
      <c r="N553" s="236"/>
      <c r="P553" s="220"/>
      <c r="Q553" s="259" t="s">
        <v>138</v>
      </c>
    </row>
    <row r="554" spans="1:17" s="219" customFormat="1" ht="14" outlineLevel="3">
      <c r="A554" s="203" t="s">
        <v>8</v>
      </c>
      <c r="B554" s="260" t="s">
        <v>216</v>
      </c>
      <c r="C554" s="200" t="s">
        <v>24</v>
      </c>
      <c r="D554" s="201"/>
      <c r="E554" s="201"/>
      <c r="F554" s="201"/>
      <c r="G554" s="7">
        <f t="shared" si="116"/>
        <v>0</v>
      </c>
      <c r="H554" s="201">
        <f t="shared" si="117"/>
        <v>0</v>
      </c>
      <c r="I554" s="202"/>
      <c r="J554" s="213" t="s">
        <v>21</v>
      </c>
      <c r="K554" s="214" t="s">
        <v>107</v>
      </c>
      <c r="L554" s="214" t="s">
        <v>94</v>
      </c>
      <c r="M554" s="214" t="s">
        <v>138</v>
      </c>
      <c r="N554" s="236"/>
      <c r="P554" s="220"/>
      <c r="Q554" s="259" t="s">
        <v>138</v>
      </c>
    </row>
    <row r="555" spans="1:17" s="219" customFormat="1" ht="14" outlineLevel="3">
      <c r="A555" s="203" t="s">
        <v>8</v>
      </c>
      <c r="B555" s="260" t="s">
        <v>1024</v>
      </c>
      <c r="C555" s="200" t="s">
        <v>24</v>
      </c>
      <c r="D555" s="7">
        <v>94</v>
      </c>
      <c r="E555" s="7">
        <v>130</v>
      </c>
      <c r="F555" s="7">
        <v>13</v>
      </c>
      <c r="G555" s="7">
        <f t="shared" si="116"/>
        <v>1222</v>
      </c>
      <c r="H555" s="201">
        <f t="shared" si="117"/>
        <v>1690</v>
      </c>
      <c r="I555" s="202"/>
      <c r="J555" s="213" t="s">
        <v>21</v>
      </c>
      <c r="K555" s="214" t="s">
        <v>107</v>
      </c>
      <c r="L555" s="214" t="s">
        <v>94</v>
      </c>
      <c r="M555" s="214" t="s">
        <v>138</v>
      </c>
      <c r="N555" s="236"/>
      <c r="P555" s="220"/>
      <c r="Q555" s="259" t="s">
        <v>138</v>
      </c>
    </row>
    <row r="556" spans="1:17" s="219" customFormat="1" ht="14" outlineLevel="3">
      <c r="A556" s="203" t="s">
        <v>8</v>
      </c>
      <c r="B556" s="260" t="s">
        <v>1025</v>
      </c>
      <c r="C556" s="200" t="s">
        <v>24</v>
      </c>
      <c r="D556" s="7">
        <v>94</v>
      </c>
      <c r="E556" s="7">
        <v>130</v>
      </c>
      <c r="F556" s="7">
        <v>5</v>
      </c>
      <c r="G556" s="7">
        <f t="shared" si="116"/>
        <v>470</v>
      </c>
      <c r="H556" s="201">
        <f t="shared" ref="H556" si="118">F556*E556</f>
        <v>650</v>
      </c>
      <c r="I556" s="202"/>
      <c r="J556" s="213" t="s">
        <v>21</v>
      </c>
      <c r="K556" s="214" t="s">
        <v>107</v>
      </c>
      <c r="L556" s="214" t="s">
        <v>94</v>
      </c>
      <c r="M556" s="214" t="s">
        <v>138</v>
      </c>
      <c r="N556" s="236"/>
      <c r="P556" s="220"/>
      <c r="Q556" s="259" t="s">
        <v>138</v>
      </c>
    </row>
    <row r="557" spans="1:17" s="219" customFormat="1" ht="14" outlineLevel="3">
      <c r="A557" s="203" t="s">
        <v>8</v>
      </c>
      <c r="B557" s="260" t="s">
        <v>217</v>
      </c>
      <c r="C557" s="200" t="s">
        <v>24</v>
      </c>
      <c r="D557" s="201"/>
      <c r="E557" s="201"/>
      <c r="F557" s="201"/>
      <c r="G557" s="7">
        <f t="shared" si="116"/>
        <v>0</v>
      </c>
      <c r="H557" s="201">
        <f t="shared" si="117"/>
        <v>0</v>
      </c>
      <c r="I557" s="202"/>
      <c r="J557" s="213" t="s">
        <v>21</v>
      </c>
      <c r="K557" s="214" t="s">
        <v>107</v>
      </c>
      <c r="L557" s="214" t="s">
        <v>94</v>
      </c>
      <c r="M557" s="214" t="s">
        <v>138</v>
      </c>
      <c r="N557" s="236"/>
      <c r="P557" s="220"/>
      <c r="Q557" s="259" t="s">
        <v>138</v>
      </c>
    </row>
    <row r="558" spans="1:17" s="219" customFormat="1" ht="14" outlineLevel="3">
      <c r="A558" s="203" t="s">
        <v>8</v>
      </c>
      <c r="B558" s="152" t="s">
        <v>218</v>
      </c>
      <c r="C558" s="200" t="s">
        <v>24</v>
      </c>
      <c r="D558" s="7">
        <v>130</v>
      </c>
      <c r="E558" s="7">
        <v>180</v>
      </c>
      <c r="F558" s="7">
        <v>30</v>
      </c>
      <c r="G558" s="7">
        <f t="shared" si="116"/>
        <v>3900</v>
      </c>
      <c r="H558" s="201">
        <f t="shared" si="117"/>
        <v>5400</v>
      </c>
      <c r="I558" s="202"/>
      <c r="J558" s="213" t="s">
        <v>21</v>
      </c>
      <c r="K558" s="214" t="s">
        <v>107</v>
      </c>
      <c r="L558" s="214" t="s">
        <v>94</v>
      </c>
      <c r="M558" s="214" t="s">
        <v>138</v>
      </c>
      <c r="N558" s="236"/>
      <c r="P558" s="220"/>
      <c r="Q558" s="259" t="s">
        <v>138</v>
      </c>
    </row>
    <row r="559" spans="1:17" s="219" customFormat="1" ht="14" outlineLevel="3">
      <c r="A559" s="203" t="s">
        <v>8</v>
      </c>
      <c r="B559" s="260" t="s">
        <v>1026</v>
      </c>
      <c r="C559" s="200" t="s">
        <v>24</v>
      </c>
      <c r="D559" s="7">
        <v>4000</v>
      </c>
      <c r="E559" s="7">
        <v>5538.4615384615381</v>
      </c>
      <c r="F559" s="7">
        <v>4</v>
      </c>
      <c r="G559" s="7">
        <f t="shared" si="116"/>
        <v>16000</v>
      </c>
      <c r="H559" s="201">
        <f t="shared" si="117"/>
        <v>22153.846153846152</v>
      </c>
      <c r="I559" s="202"/>
      <c r="J559" s="213" t="s">
        <v>21</v>
      </c>
      <c r="K559" s="214" t="s">
        <v>107</v>
      </c>
      <c r="L559" s="214" t="s">
        <v>94</v>
      </c>
      <c r="M559" s="214" t="s">
        <v>138</v>
      </c>
      <c r="N559" s="236"/>
      <c r="P559" s="220"/>
      <c r="Q559" s="259" t="s">
        <v>138</v>
      </c>
    </row>
    <row r="560" spans="1:17" s="219" customFormat="1" ht="14" outlineLevel="3">
      <c r="A560" s="203" t="s">
        <v>8</v>
      </c>
      <c r="B560" s="260" t="s">
        <v>220</v>
      </c>
      <c r="C560" s="200" t="s">
        <v>24</v>
      </c>
      <c r="D560" s="201"/>
      <c r="E560" s="201"/>
      <c r="F560" s="201"/>
      <c r="G560" s="7">
        <f t="shared" si="116"/>
        <v>0</v>
      </c>
      <c r="H560" s="201">
        <f t="shared" si="117"/>
        <v>0</v>
      </c>
      <c r="I560" s="202"/>
      <c r="J560" s="213" t="s">
        <v>21</v>
      </c>
      <c r="K560" s="214" t="s">
        <v>107</v>
      </c>
      <c r="L560" s="214" t="s">
        <v>94</v>
      </c>
      <c r="M560" s="214" t="s">
        <v>138</v>
      </c>
      <c r="N560" s="236"/>
      <c r="P560" s="220"/>
      <c r="Q560" s="259" t="s">
        <v>138</v>
      </c>
    </row>
    <row r="561" spans="1:17" s="219" customFormat="1" ht="14" outlineLevel="3">
      <c r="A561" s="203" t="s">
        <v>8</v>
      </c>
      <c r="B561" s="260" t="s">
        <v>221</v>
      </c>
      <c r="C561" s="200" t="s">
        <v>24</v>
      </c>
      <c r="D561" s="201"/>
      <c r="E561" s="201"/>
      <c r="F561" s="201"/>
      <c r="G561" s="7">
        <f t="shared" si="116"/>
        <v>0</v>
      </c>
      <c r="H561" s="201">
        <f t="shared" si="117"/>
        <v>0</v>
      </c>
      <c r="I561" s="202"/>
      <c r="J561" s="213" t="s">
        <v>21</v>
      </c>
      <c r="K561" s="214" t="s">
        <v>107</v>
      </c>
      <c r="L561" s="214" t="s">
        <v>94</v>
      </c>
      <c r="M561" s="214" t="s">
        <v>138</v>
      </c>
      <c r="N561" s="236"/>
      <c r="P561" s="220"/>
      <c r="Q561" s="259" t="s">
        <v>138</v>
      </c>
    </row>
    <row r="562" spans="1:17" s="219" customFormat="1" ht="14" outlineLevel="3">
      <c r="A562" s="203" t="s">
        <v>8</v>
      </c>
      <c r="B562" s="260" t="s">
        <v>222</v>
      </c>
      <c r="C562" s="200" t="s">
        <v>24</v>
      </c>
      <c r="D562" s="201"/>
      <c r="E562" s="201"/>
      <c r="F562" s="201"/>
      <c r="G562" s="7">
        <f t="shared" si="116"/>
        <v>0</v>
      </c>
      <c r="H562" s="201">
        <f t="shared" si="117"/>
        <v>0</v>
      </c>
      <c r="I562" s="202"/>
      <c r="J562" s="213" t="s">
        <v>21</v>
      </c>
      <c r="K562" s="214" t="s">
        <v>107</v>
      </c>
      <c r="L562" s="214" t="s">
        <v>94</v>
      </c>
      <c r="M562" s="214" t="s">
        <v>138</v>
      </c>
      <c r="N562" s="236"/>
      <c r="P562" s="220"/>
      <c r="Q562" s="259" t="s">
        <v>138</v>
      </c>
    </row>
    <row r="563" spans="1:17" s="219" customFormat="1" ht="14" outlineLevel="3">
      <c r="A563" s="203" t="s">
        <v>8</v>
      </c>
      <c r="B563" s="260" t="s">
        <v>223</v>
      </c>
      <c r="C563" s="200" t="s">
        <v>11</v>
      </c>
      <c r="D563" s="201"/>
      <c r="E563" s="201"/>
      <c r="F563" s="145"/>
      <c r="G563" s="7">
        <f t="shared" si="116"/>
        <v>0</v>
      </c>
      <c r="H563" s="201">
        <f t="shared" si="117"/>
        <v>0</v>
      </c>
      <c r="I563" s="202"/>
      <c r="J563" s="213" t="s">
        <v>21</v>
      </c>
      <c r="K563" s="214" t="s">
        <v>107</v>
      </c>
      <c r="L563" s="214" t="s">
        <v>94</v>
      </c>
      <c r="M563" s="214" t="s">
        <v>138</v>
      </c>
      <c r="N563" s="236"/>
      <c r="P563" s="220"/>
      <c r="Q563" s="259" t="s">
        <v>138</v>
      </c>
    </row>
    <row r="564" spans="1:17" s="219" customFormat="1" ht="14" outlineLevel="3">
      <c r="A564" s="203" t="s">
        <v>8</v>
      </c>
      <c r="B564" s="260" t="s">
        <v>224</v>
      </c>
      <c r="C564" s="200" t="s">
        <v>24</v>
      </c>
      <c r="D564" s="201"/>
      <c r="E564" s="201"/>
      <c r="F564" s="145"/>
      <c r="G564" s="7">
        <f t="shared" si="116"/>
        <v>0</v>
      </c>
      <c r="H564" s="201">
        <f t="shared" si="117"/>
        <v>0</v>
      </c>
      <c r="I564" s="202"/>
      <c r="J564" s="213" t="s">
        <v>21</v>
      </c>
      <c r="K564" s="214" t="s">
        <v>107</v>
      </c>
      <c r="L564" s="214" t="s">
        <v>94</v>
      </c>
      <c r="M564" s="214" t="s">
        <v>138</v>
      </c>
      <c r="N564" s="236"/>
      <c r="P564" s="220"/>
      <c r="Q564" s="259" t="s">
        <v>138</v>
      </c>
    </row>
    <row r="565" spans="1:17" s="219" customFormat="1" ht="14" outlineLevel="3">
      <c r="A565" s="203" t="s">
        <v>8</v>
      </c>
      <c r="B565" s="260" t="s">
        <v>225</v>
      </c>
      <c r="C565" s="200" t="s">
        <v>24</v>
      </c>
      <c r="D565" s="201"/>
      <c r="E565" s="201"/>
      <c r="F565" s="201"/>
      <c r="G565" s="7">
        <f t="shared" si="116"/>
        <v>0</v>
      </c>
      <c r="H565" s="201">
        <f t="shared" si="117"/>
        <v>0</v>
      </c>
      <c r="I565" s="202"/>
      <c r="J565" s="213" t="s">
        <v>21</v>
      </c>
      <c r="K565" s="214" t="s">
        <v>107</v>
      </c>
      <c r="L565" s="214" t="s">
        <v>94</v>
      </c>
      <c r="M565" s="214" t="s">
        <v>138</v>
      </c>
      <c r="N565" s="236"/>
      <c r="P565" s="220"/>
      <c r="Q565" s="259" t="s">
        <v>138</v>
      </c>
    </row>
    <row r="566" spans="1:17" s="219" customFormat="1" ht="14" outlineLevel="3">
      <c r="A566" s="203" t="s">
        <v>8</v>
      </c>
      <c r="B566" s="260" t="s">
        <v>226</v>
      </c>
      <c r="C566" s="200" t="s">
        <v>24</v>
      </c>
      <c r="D566" s="201"/>
      <c r="E566" s="201"/>
      <c r="F566" s="201"/>
      <c r="G566" s="7">
        <f t="shared" si="116"/>
        <v>0</v>
      </c>
      <c r="H566" s="201">
        <f t="shared" si="117"/>
        <v>0</v>
      </c>
      <c r="I566" s="202"/>
      <c r="J566" s="213" t="s">
        <v>21</v>
      </c>
      <c r="K566" s="214" t="s">
        <v>107</v>
      </c>
      <c r="L566" s="214" t="s">
        <v>94</v>
      </c>
      <c r="M566" s="214" t="s">
        <v>138</v>
      </c>
      <c r="N566" s="236"/>
      <c r="P566" s="220"/>
      <c r="Q566" s="259" t="s">
        <v>138</v>
      </c>
    </row>
    <row r="567" spans="1:17" s="216" customFormat="1" ht="14" outlineLevel="3">
      <c r="A567" s="191">
        <v>3.2</v>
      </c>
      <c r="B567" s="153" t="s">
        <v>583</v>
      </c>
      <c r="C567" s="193"/>
      <c r="D567" s="194"/>
      <c r="E567" s="194"/>
      <c r="F567" s="194"/>
      <c r="G567" s="194"/>
      <c r="H567" s="194"/>
      <c r="I567" s="195"/>
      <c r="J567" s="213" t="s">
        <v>21</v>
      </c>
      <c r="K567" s="214"/>
      <c r="L567" s="214"/>
      <c r="M567" s="215"/>
      <c r="N567" s="215"/>
      <c r="P567" s="217"/>
      <c r="Q567" s="259" t="s">
        <v>138</v>
      </c>
    </row>
    <row r="568" spans="1:17" s="219" customFormat="1" ht="14" outlineLevel="3">
      <c r="A568" s="203" t="s">
        <v>8</v>
      </c>
      <c r="B568" s="218" t="s">
        <v>570</v>
      </c>
      <c r="C568" s="200" t="s">
        <v>48</v>
      </c>
      <c r="D568" s="7">
        <v>4000</v>
      </c>
      <c r="E568" s="7">
        <v>5538.4615384615381</v>
      </c>
      <c r="F568" s="7">
        <v>118</v>
      </c>
      <c r="G568" s="7">
        <f t="shared" ref="G568:G569" si="119">F568*D568</f>
        <v>472000</v>
      </c>
      <c r="H568" s="201">
        <f t="shared" ref="H568:H569" si="120">F568*E568</f>
        <v>653538.4615384615</v>
      </c>
      <c r="I568" s="202"/>
      <c r="J568" s="213" t="s">
        <v>21</v>
      </c>
      <c r="K568" s="214" t="s">
        <v>107</v>
      </c>
      <c r="L568" s="214" t="s">
        <v>94</v>
      </c>
      <c r="M568" s="214" t="s">
        <v>138</v>
      </c>
      <c r="N568" s="236"/>
      <c r="P568" s="220"/>
      <c r="Q568" s="259" t="s">
        <v>138</v>
      </c>
    </row>
    <row r="569" spans="1:17" s="219" customFormat="1" ht="14" outlineLevel="3">
      <c r="A569" s="203" t="s">
        <v>8</v>
      </c>
      <c r="B569" s="218" t="s">
        <v>50</v>
      </c>
      <c r="C569" s="200" t="s">
        <v>48</v>
      </c>
      <c r="D569" s="201"/>
      <c r="E569" s="201"/>
      <c r="F569" s="201"/>
      <c r="G569" s="7">
        <f t="shared" si="119"/>
        <v>0</v>
      </c>
      <c r="H569" s="201">
        <f t="shared" si="120"/>
        <v>0</v>
      </c>
      <c r="I569" s="202"/>
      <c r="J569" s="213" t="s">
        <v>21</v>
      </c>
      <c r="K569" s="214" t="s">
        <v>107</v>
      </c>
      <c r="L569" s="214" t="s">
        <v>94</v>
      </c>
      <c r="M569" s="214" t="s">
        <v>138</v>
      </c>
      <c r="N569" s="236"/>
      <c r="P569" s="220"/>
      <c r="Q569" s="259" t="s">
        <v>138</v>
      </c>
    </row>
    <row r="570" spans="1:17" s="216" customFormat="1" ht="14" outlineLevel="4">
      <c r="A570" s="191">
        <v>4</v>
      </c>
      <c r="B570" s="211" t="s">
        <v>673</v>
      </c>
      <c r="C570" s="193"/>
      <c r="D570" s="194"/>
      <c r="E570" s="194"/>
      <c r="F570" s="194"/>
      <c r="G570" s="194">
        <f>SUBTOTAL(9,G571:G576)</f>
        <v>88660</v>
      </c>
      <c r="H570" s="194">
        <f>SUBTOTAL(9,H571:H576)</f>
        <v>122760</v>
      </c>
      <c r="I570" s="194"/>
      <c r="J570" s="213" t="s">
        <v>21</v>
      </c>
      <c r="K570" s="214"/>
      <c r="L570" s="214"/>
      <c r="M570" s="214" t="s">
        <v>32</v>
      </c>
      <c r="N570" s="215"/>
      <c r="P570" s="217"/>
    </row>
    <row r="571" spans="1:17" s="216" customFormat="1" ht="14" outlineLevel="3">
      <c r="A571" s="191">
        <v>4.0999999999999996</v>
      </c>
      <c r="B571" s="250" t="s">
        <v>989</v>
      </c>
      <c r="C571" s="252"/>
      <c r="D571" s="242"/>
      <c r="E571" s="242"/>
      <c r="F571" s="242"/>
      <c r="G571" s="242">
        <f>SUBTOTAL(9,G572:G573)</f>
        <v>88660</v>
      </c>
      <c r="H571" s="242">
        <f>SUBTOTAL(9,H572:H573)</f>
        <v>122760</v>
      </c>
      <c r="I571" s="264"/>
      <c r="J571" s="213" t="s">
        <v>21</v>
      </c>
      <c r="K571" s="214"/>
      <c r="L571" s="214"/>
      <c r="M571" s="214" t="s">
        <v>32</v>
      </c>
      <c r="N571" s="215"/>
      <c r="P571" s="217"/>
    </row>
    <row r="572" spans="1:17" s="371" customFormat="1" ht="14" outlineLevel="4">
      <c r="A572" s="372" t="s">
        <v>8</v>
      </c>
      <c r="B572" s="377" t="s">
        <v>754</v>
      </c>
      <c r="C572" s="249" t="s">
        <v>714</v>
      </c>
      <c r="D572" s="205">
        <v>65</v>
      </c>
      <c r="E572" s="205">
        <v>90</v>
      </c>
      <c r="F572" s="205">
        <v>1300</v>
      </c>
      <c r="G572" s="7">
        <f t="shared" ref="G572:G573" si="121">F572*D572</f>
        <v>84500</v>
      </c>
      <c r="H572" s="205">
        <f t="shared" ref="H572" si="122">F572*E572</f>
        <v>117000</v>
      </c>
      <c r="I572" s="369"/>
      <c r="J572" s="213" t="s">
        <v>21</v>
      </c>
      <c r="K572" s="359" t="s">
        <v>107</v>
      </c>
      <c r="L572" s="359" t="s">
        <v>94</v>
      </c>
      <c r="M572" s="214" t="s">
        <v>138</v>
      </c>
      <c r="N572" s="370"/>
    </row>
    <row r="573" spans="1:17" s="371" customFormat="1" ht="14" outlineLevel="4">
      <c r="A573" s="372" t="s">
        <v>8</v>
      </c>
      <c r="B573" s="377" t="s">
        <v>1027</v>
      </c>
      <c r="C573" s="249" t="s">
        <v>139</v>
      </c>
      <c r="D573" s="205">
        <v>260</v>
      </c>
      <c r="E573" s="205">
        <v>360</v>
      </c>
      <c r="F573" s="205">
        <v>16</v>
      </c>
      <c r="G573" s="7">
        <f t="shared" si="121"/>
        <v>4160</v>
      </c>
      <c r="H573" s="205">
        <f t="shared" ref="H573" si="123">F573*E573</f>
        <v>5760</v>
      </c>
      <c r="I573" s="369"/>
      <c r="J573" s="213" t="s">
        <v>21</v>
      </c>
      <c r="K573" s="359" t="s">
        <v>107</v>
      </c>
      <c r="L573" s="359" t="s">
        <v>94</v>
      </c>
      <c r="M573" s="214" t="s">
        <v>138</v>
      </c>
      <c r="N573" s="370"/>
    </row>
    <row r="574" spans="1:17" s="361" customFormat="1" ht="14" outlineLevel="3">
      <c r="A574" s="354">
        <v>5</v>
      </c>
      <c r="B574" s="363" t="s">
        <v>757</v>
      </c>
      <c r="C574" s="356"/>
      <c r="D574" s="357"/>
      <c r="E574" s="357"/>
      <c r="F574" s="357"/>
      <c r="G574" s="357">
        <f>SUBTOTAL(9,G575:G576)</f>
        <v>0</v>
      </c>
      <c r="H574" s="357">
        <f>SUBTOTAL(9,H575:H576)</f>
        <v>0</v>
      </c>
      <c r="I574" s="364"/>
      <c r="J574" s="213" t="s">
        <v>21</v>
      </c>
      <c r="K574" s="359"/>
      <c r="L574" s="359"/>
      <c r="M574" s="214" t="s">
        <v>32</v>
      </c>
      <c r="N574" s="360"/>
    </row>
    <row r="575" spans="1:17" s="371" customFormat="1" ht="14" outlineLevel="4">
      <c r="A575" s="372" t="s">
        <v>8</v>
      </c>
      <c r="B575" s="377" t="s">
        <v>758</v>
      </c>
      <c r="C575" s="249" t="s">
        <v>33</v>
      </c>
      <c r="D575" s="205"/>
      <c r="E575" s="205"/>
      <c r="F575" s="205"/>
      <c r="G575" s="7">
        <f t="shared" ref="G575:G576" si="124">F575*D575</f>
        <v>0</v>
      </c>
      <c r="H575" s="205">
        <f t="shared" ref="H575:H576" si="125">F575*E575</f>
        <v>0</v>
      </c>
      <c r="I575" s="369"/>
      <c r="J575" s="213" t="s">
        <v>21</v>
      </c>
      <c r="K575" s="359" t="s">
        <v>107</v>
      </c>
      <c r="L575" s="359" t="s">
        <v>94</v>
      </c>
      <c r="M575" s="359" t="s">
        <v>32</v>
      </c>
      <c r="N575" s="370"/>
    </row>
    <row r="576" spans="1:17" s="371" customFormat="1" ht="14" outlineLevel="4">
      <c r="A576" s="372" t="s">
        <v>8</v>
      </c>
      <c r="B576" s="377" t="s">
        <v>759</v>
      </c>
      <c r="C576" s="249" t="s">
        <v>33</v>
      </c>
      <c r="D576" s="205"/>
      <c r="E576" s="205"/>
      <c r="F576" s="205"/>
      <c r="G576" s="7">
        <f t="shared" si="124"/>
        <v>0</v>
      </c>
      <c r="H576" s="205">
        <f t="shared" si="125"/>
        <v>0</v>
      </c>
      <c r="I576" s="369"/>
      <c r="J576" s="213" t="s">
        <v>21</v>
      </c>
      <c r="K576" s="359" t="s">
        <v>107</v>
      </c>
      <c r="L576" s="359" t="s">
        <v>94</v>
      </c>
      <c r="M576" s="359" t="s">
        <v>32</v>
      </c>
      <c r="N576" s="370"/>
    </row>
    <row r="577" spans="1:17" s="216" customFormat="1" ht="13.75" customHeight="1" outlineLevel="1">
      <c r="A577" s="191" t="s">
        <v>756</v>
      </c>
      <c r="B577" s="153" t="s">
        <v>586</v>
      </c>
      <c r="C577" s="193"/>
      <c r="D577" s="194"/>
      <c r="E577" s="194"/>
      <c r="F577" s="194"/>
      <c r="G577" s="194"/>
      <c r="H577" s="194">
        <f>SUBTOTAL(9,H578:H621)</f>
        <v>31064</v>
      </c>
      <c r="I577" s="195"/>
      <c r="J577" s="213" t="s">
        <v>21</v>
      </c>
      <c r="K577" s="214"/>
      <c r="L577" s="214"/>
      <c r="M577" s="215"/>
      <c r="N577" s="215"/>
      <c r="P577" s="217"/>
    </row>
    <row r="578" spans="1:17" s="216" customFormat="1" ht="14" outlineLevel="2">
      <c r="A578" s="191">
        <v>1</v>
      </c>
      <c r="B578" s="153" t="s">
        <v>587</v>
      </c>
      <c r="C578" s="200"/>
      <c r="D578" s="201"/>
      <c r="E578" s="201"/>
      <c r="F578" s="201"/>
      <c r="G578" s="194"/>
      <c r="H578" s="194">
        <f>SUBTOTAL(9,H579:H589)</f>
        <v>0</v>
      </c>
      <c r="I578" s="195"/>
      <c r="J578" s="213" t="s">
        <v>21</v>
      </c>
      <c r="K578" s="214"/>
      <c r="L578" s="214"/>
      <c r="M578" s="215" t="s">
        <v>138</v>
      </c>
      <c r="N578" s="215"/>
      <c r="P578" s="217"/>
      <c r="Q578" s="259" t="s">
        <v>138</v>
      </c>
    </row>
    <row r="579" spans="1:17" s="219" customFormat="1" ht="14" outlineLevel="3">
      <c r="A579" s="203" t="s">
        <v>8</v>
      </c>
      <c r="B579" s="218" t="s">
        <v>51</v>
      </c>
      <c r="C579" s="200"/>
      <c r="D579" s="201"/>
      <c r="E579" s="201"/>
      <c r="F579" s="201"/>
      <c r="G579" s="7">
        <f t="shared" ref="G579:G589" si="126">F579*D579</f>
        <v>0</v>
      </c>
      <c r="H579" s="201">
        <f t="shared" ref="H579:H589" si="127">F579*E579</f>
        <v>0</v>
      </c>
      <c r="I579" s="202"/>
      <c r="J579" s="213" t="s">
        <v>21</v>
      </c>
      <c r="K579" s="214" t="s">
        <v>78</v>
      </c>
      <c r="L579" s="214" t="s">
        <v>94</v>
      </c>
      <c r="M579" s="215" t="s">
        <v>138</v>
      </c>
      <c r="N579" s="214"/>
      <c r="P579" s="220"/>
      <c r="Q579" s="259" t="s">
        <v>138</v>
      </c>
    </row>
    <row r="580" spans="1:17" s="219" customFormat="1" ht="14" outlineLevel="3">
      <c r="A580" s="203" t="s">
        <v>8</v>
      </c>
      <c r="B580" s="260" t="s">
        <v>204</v>
      </c>
      <c r="C580" s="200" t="s">
        <v>25</v>
      </c>
      <c r="D580" s="201"/>
      <c r="E580" s="201"/>
      <c r="F580" s="201"/>
      <c r="G580" s="7">
        <f t="shared" si="126"/>
        <v>0</v>
      </c>
      <c r="H580" s="201">
        <f t="shared" si="127"/>
        <v>0</v>
      </c>
      <c r="I580" s="202"/>
      <c r="J580" s="213" t="s">
        <v>21</v>
      </c>
      <c r="K580" s="214" t="s">
        <v>78</v>
      </c>
      <c r="L580" s="214" t="s">
        <v>94</v>
      </c>
      <c r="M580" s="215" t="s">
        <v>138</v>
      </c>
      <c r="N580" s="236"/>
      <c r="P580" s="220"/>
      <c r="Q580" s="259" t="s">
        <v>138</v>
      </c>
    </row>
    <row r="581" spans="1:17" s="219" customFormat="1" ht="14" outlineLevel="3">
      <c r="A581" s="203" t="s">
        <v>8</v>
      </c>
      <c r="B581" s="260" t="s">
        <v>205</v>
      </c>
      <c r="C581" s="200" t="s">
        <v>25</v>
      </c>
      <c r="D581" s="201"/>
      <c r="E581" s="201"/>
      <c r="F581" s="201"/>
      <c r="G581" s="7">
        <f t="shared" si="126"/>
        <v>0</v>
      </c>
      <c r="H581" s="201">
        <f t="shared" si="127"/>
        <v>0</v>
      </c>
      <c r="I581" s="202"/>
      <c r="J581" s="213" t="s">
        <v>21</v>
      </c>
      <c r="K581" s="214" t="s">
        <v>78</v>
      </c>
      <c r="L581" s="214" t="s">
        <v>94</v>
      </c>
      <c r="M581" s="215" t="s">
        <v>138</v>
      </c>
      <c r="N581" s="236"/>
      <c r="P581" s="220"/>
      <c r="Q581" s="259" t="s">
        <v>138</v>
      </c>
    </row>
    <row r="582" spans="1:17" s="219" customFormat="1" ht="14" outlineLevel="3">
      <c r="A582" s="203" t="s">
        <v>8</v>
      </c>
      <c r="B582" s="260" t="s">
        <v>46</v>
      </c>
      <c r="C582" s="200"/>
      <c r="D582" s="201"/>
      <c r="E582" s="201"/>
      <c r="F582" s="201"/>
      <c r="G582" s="7">
        <f t="shared" si="126"/>
        <v>0</v>
      </c>
      <c r="H582" s="201">
        <f t="shared" si="127"/>
        <v>0</v>
      </c>
      <c r="I582" s="202"/>
      <c r="J582" s="213" t="s">
        <v>21</v>
      </c>
      <c r="K582" s="214" t="s">
        <v>78</v>
      </c>
      <c r="L582" s="214" t="s">
        <v>94</v>
      </c>
      <c r="M582" s="215" t="s">
        <v>138</v>
      </c>
      <c r="N582" s="236"/>
      <c r="P582" s="220"/>
      <c r="Q582" s="259" t="s">
        <v>138</v>
      </c>
    </row>
    <row r="583" spans="1:17" s="219" customFormat="1" ht="14" outlineLevel="3">
      <c r="A583" s="203" t="s">
        <v>8</v>
      </c>
      <c r="B583" s="260" t="s">
        <v>118</v>
      </c>
      <c r="C583" s="200" t="s">
        <v>25</v>
      </c>
      <c r="D583" s="201"/>
      <c r="E583" s="201"/>
      <c r="F583" s="201"/>
      <c r="G583" s="7">
        <f t="shared" si="126"/>
        <v>0</v>
      </c>
      <c r="H583" s="201">
        <f t="shared" si="127"/>
        <v>0</v>
      </c>
      <c r="I583" s="202"/>
      <c r="J583" s="213" t="s">
        <v>21</v>
      </c>
      <c r="K583" s="214" t="s">
        <v>78</v>
      </c>
      <c r="L583" s="214" t="s">
        <v>94</v>
      </c>
      <c r="M583" s="215" t="s">
        <v>138</v>
      </c>
      <c r="N583" s="236"/>
      <c r="P583" s="220"/>
      <c r="Q583" s="259" t="s">
        <v>138</v>
      </c>
    </row>
    <row r="584" spans="1:17" s="219" customFormat="1" ht="14" outlineLevel="3">
      <c r="A584" s="203" t="s">
        <v>8</v>
      </c>
      <c r="B584" s="260" t="s">
        <v>206</v>
      </c>
      <c r="C584" s="200" t="s">
        <v>25</v>
      </c>
      <c r="D584" s="201"/>
      <c r="E584" s="201"/>
      <c r="F584" s="201"/>
      <c r="G584" s="7">
        <f t="shared" si="126"/>
        <v>0</v>
      </c>
      <c r="H584" s="201">
        <f t="shared" si="127"/>
        <v>0</v>
      </c>
      <c r="I584" s="202"/>
      <c r="J584" s="213" t="s">
        <v>21</v>
      </c>
      <c r="K584" s="214" t="s">
        <v>78</v>
      </c>
      <c r="L584" s="214" t="s">
        <v>94</v>
      </c>
      <c r="M584" s="215" t="s">
        <v>138</v>
      </c>
      <c r="N584" s="236"/>
      <c r="P584" s="220"/>
      <c r="Q584" s="259" t="s">
        <v>138</v>
      </c>
    </row>
    <row r="585" spans="1:17" s="219" customFormat="1" ht="14" outlineLevel="3">
      <c r="A585" s="203" t="s">
        <v>8</v>
      </c>
      <c r="B585" s="261" t="s">
        <v>579</v>
      </c>
      <c r="C585" s="200" t="s">
        <v>25</v>
      </c>
      <c r="D585" s="201"/>
      <c r="E585" s="201"/>
      <c r="F585" s="144"/>
      <c r="G585" s="7">
        <f t="shared" si="126"/>
        <v>0</v>
      </c>
      <c r="H585" s="201">
        <f t="shared" si="127"/>
        <v>0</v>
      </c>
      <c r="I585" s="202"/>
      <c r="J585" s="213" t="s">
        <v>21</v>
      </c>
      <c r="K585" s="214" t="s">
        <v>78</v>
      </c>
      <c r="L585" s="214" t="s">
        <v>94</v>
      </c>
      <c r="M585" s="215" t="s">
        <v>138</v>
      </c>
      <c r="N585" s="236"/>
      <c r="P585" s="220"/>
      <c r="Q585" s="259" t="s">
        <v>138</v>
      </c>
    </row>
    <row r="586" spans="1:17" s="219" customFormat="1" ht="14" outlineLevel="3">
      <c r="A586" s="203" t="s">
        <v>8</v>
      </c>
      <c r="B586" s="260" t="s">
        <v>207</v>
      </c>
      <c r="C586" s="200" t="s">
        <v>25</v>
      </c>
      <c r="D586" s="201"/>
      <c r="E586" s="201"/>
      <c r="F586" s="201"/>
      <c r="G586" s="7">
        <f t="shared" si="126"/>
        <v>0</v>
      </c>
      <c r="H586" s="201">
        <f t="shared" si="127"/>
        <v>0</v>
      </c>
      <c r="I586" s="202"/>
      <c r="J586" s="213" t="s">
        <v>21</v>
      </c>
      <c r="K586" s="214" t="s">
        <v>78</v>
      </c>
      <c r="L586" s="214" t="s">
        <v>94</v>
      </c>
      <c r="M586" s="215" t="s">
        <v>138</v>
      </c>
      <c r="N586" s="236"/>
      <c r="P586" s="220"/>
      <c r="Q586" s="259" t="s">
        <v>138</v>
      </c>
    </row>
    <row r="587" spans="1:17" s="219" customFormat="1" ht="14" outlineLevel="3">
      <c r="A587" s="203" t="s">
        <v>8</v>
      </c>
      <c r="B587" s="260" t="s">
        <v>208</v>
      </c>
      <c r="C587" s="200" t="s">
        <v>25</v>
      </c>
      <c r="D587" s="201"/>
      <c r="E587" s="201"/>
      <c r="F587" s="201"/>
      <c r="G587" s="7">
        <f t="shared" si="126"/>
        <v>0</v>
      </c>
      <c r="H587" s="201">
        <f t="shared" si="127"/>
        <v>0</v>
      </c>
      <c r="I587" s="202"/>
      <c r="J587" s="213" t="s">
        <v>21</v>
      </c>
      <c r="K587" s="214" t="s">
        <v>78</v>
      </c>
      <c r="L587" s="214" t="s">
        <v>94</v>
      </c>
      <c r="M587" s="215" t="s">
        <v>138</v>
      </c>
      <c r="N587" s="236"/>
      <c r="P587" s="220"/>
      <c r="Q587" s="259" t="s">
        <v>138</v>
      </c>
    </row>
    <row r="588" spans="1:17" s="219" customFormat="1" ht="14" outlineLevel="3">
      <c r="A588" s="203" t="s">
        <v>8</v>
      </c>
      <c r="B588" s="260" t="s">
        <v>209</v>
      </c>
      <c r="C588" s="200" t="s">
        <v>25</v>
      </c>
      <c r="D588" s="201"/>
      <c r="E588" s="201"/>
      <c r="F588" s="201"/>
      <c r="G588" s="7">
        <f t="shared" si="126"/>
        <v>0</v>
      </c>
      <c r="H588" s="201">
        <f t="shared" si="127"/>
        <v>0</v>
      </c>
      <c r="I588" s="202"/>
      <c r="J588" s="213" t="s">
        <v>21</v>
      </c>
      <c r="K588" s="214" t="s">
        <v>78</v>
      </c>
      <c r="L588" s="214" t="s">
        <v>94</v>
      </c>
      <c r="M588" s="215" t="s">
        <v>138</v>
      </c>
      <c r="N588" s="236"/>
      <c r="P588" s="220"/>
      <c r="Q588" s="259" t="s">
        <v>138</v>
      </c>
    </row>
    <row r="589" spans="1:17" s="219" customFormat="1" ht="14" outlineLevel="3">
      <c r="A589" s="203" t="s">
        <v>8</v>
      </c>
      <c r="B589" s="260" t="s">
        <v>210</v>
      </c>
      <c r="C589" s="200" t="s">
        <v>25</v>
      </c>
      <c r="D589" s="201"/>
      <c r="E589" s="201"/>
      <c r="F589" s="201"/>
      <c r="G589" s="7">
        <f t="shared" si="126"/>
        <v>0</v>
      </c>
      <c r="H589" s="201">
        <f t="shared" si="127"/>
        <v>0</v>
      </c>
      <c r="I589" s="202"/>
      <c r="J589" s="213" t="s">
        <v>21</v>
      </c>
      <c r="K589" s="214" t="s">
        <v>78</v>
      </c>
      <c r="L589" s="214" t="s">
        <v>94</v>
      </c>
      <c r="M589" s="215" t="s">
        <v>138</v>
      </c>
      <c r="N589" s="236"/>
      <c r="P589" s="220"/>
      <c r="Q589" s="259" t="s">
        <v>138</v>
      </c>
    </row>
    <row r="590" spans="1:17" s="216" customFormat="1" ht="14" outlineLevel="2">
      <c r="A590" s="191">
        <v>2</v>
      </c>
      <c r="B590" s="153" t="s">
        <v>581</v>
      </c>
      <c r="C590" s="200"/>
      <c r="D590" s="201"/>
      <c r="E590" s="201"/>
      <c r="F590" s="201"/>
      <c r="G590" s="194"/>
      <c r="H590" s="194">
        <f>SUBTOTAL(9,H591)</f>
        <v>0</v>
      </c>
      <c r="I590" s="195"/>
      <c r="J590" s="213" t="s">
        <v>21</v>
      </c>
      <c r="K590" s="214"/>
      <c r="L590" s="214"/>
      <c r="M590" s="215" t="s">
        <v>138</v>
      </c>
      <c r="N590" s="215"/>
      <c r="P590" s="217"/>
      <c r="Q590" s="259" t="s">
        <v>138</v>
      </c>
    </row>
    <row r="591" spans="1:17" s="219" customFormat="1" ht="14" outlineLevel="3">
      <c r="A591" s="203" t="s">
        <v>8</v>
      </c>
      <c r="B591" s="262" t="s">
        <v>581</v>
      </c>
      <c r="C591" s="200" t="s">
        <v>582</v>
      </c>
      <c r="D591" s="201"/>
      <c r="E591" s="201"/>
      <c r="F591" s="201"/>
      <c r="G591" s="7">
        <f t="shared" ref="G591" si="128">F591*D591</f>
        <v>0</v>
      </c>
      <c r="H591" s="201">
        <f t="shared" ref="H591" si="129">F591*E591</f>
        <v>0</v>
      </c>
      <c r="I591" s="202"/>
      <c r="J591" s="213" t="s">
        <v>21</v>
      </c>
      <c r="K591" s="214" t="s">
        <v>78</v>
      </c>
      <c r="L591" s="214" t="s">
        <v>94</v>
      </c>
      <c r="M591" s="215" t="s">
        <v>138</v>
      </c>
      <c r="N591" s="236"/>
      <c r="P591" s="220"/>
      <c r="Q591" s="259" t="s">
        <v>138</v>
      </c>
    </row>
    <row r="592" spans="1:17" s="216" customFormat="1" ht="14" outlineLevel="2">
      <c r="A592" s="191">
        <v>3</v>
      </c>
      <c r="B592" s="153" t="s">
        <v>47</v>
      </c>
      <c r="C592" s="193"/>
      <c r="D592" s="194"/>
      <c r="E592" s="194"/>
      <c r="F592" s="194"/>
      <c r="G592" s="194"/>
      <c r="H592" s="194">
        <f>SUBTOTAL(9,H593:H614)</f>
        <v>0</v>
      </c>
      <c r="I592" s="263"/>
      <c r="J592" s="213" t="s">
        <v>21</v>
      </c>
      <c r="K592" s="214"/>
      <c r="L592" s="214"/>
      <c r="M592" s="215" t="s">
        <v>138</v>
      </c>
      <c r="N592" s="215"/>
      <c r="P592" s="217"/>
      <c r="Q592" s="259" t="s">
        <v>138</v>
      </c>
    </row>
    <row r="593" spans="1:17" s="216" customFormat="1" ht="14" outlineLevel="3">
      <c r="A593" s="191"/>
      <c r="B593" s="153" t="s">
        <v>85</v>
      </c>
      <c r="C593" s="193"/>
      <c r="D593" s="194"/>
      <c r="E593" s="194"/>
      <c r="F593" s="194"/>
      <c r="G593" s="194"/>
      <c r="H593" s="194">
        <f t="shared" ref="H593" si="130">SUBTOTAL(9,H594:H611)</f>
        <v>0</v>
      </c>
      <c r="I593" s="195"/>
      <c r="J593" s="213" t="s">
        <v>21</v>
      </c>
      <c r="K593" s="214"/>
      <c r="L593" s="214"/>
      <c r="M593" s="215" t="s">
        <v>138</v>
      </c>
      <c r="N593" s="215"/>
      <c r="P593" s="217"/>
      <c r="Q593" s="259" t="s">
        <v>138</v>
      </c>
    </row>
    <row r="594" spans="1:17" s="219" customFormat="1" ht="14" outlineLevel="3">
      <c r="A594" s="203" t="s">
        <v>8</v>
      </c>
      <c r="B594" s="260" t="s">
        <v>211</v>
      </c>
      <c r="C594" s="200" t="s">
        <v>24</v>
      </c>
      <c r="D594" s="201"/>
      <c r="E594" s="201"/>
      <c r="F594" s="144"/>
      <c r="G594" s="7">
        <f t="shared" ref="G594:G611" si="131">F594*D594</f>
        <v>0</v>
      </c>
      <c r="H594" s="201">
        <f t="shared" ref="H594:H611" si="132">F594*E594</f>
        <v>0</v>
      </c>
      <c r="I594" s="202"/>
      <c r="J594" s="213" t="s">
        <v>21</v>
      </c>
      <c r="K594" s="214" t="s">
        <v>78</v>
      </c>
      <c r="L594" s="214" t="s">
        <v>94</v>
      </c>
      <c r="M594" s="215" t="s">
        <v>138</v>
      </c>
      <c r="N594" s="236"/>
      <c r="P594" s="220"/>
      <c r="Q594" s="259" t="s">
        <v>138</v>
      </c>
    </row>
    <row r="595" spans="1:17" s="219" customFormat="1" ht="14" outlineLevel="3">
      <c r="A595" s="203" t="s">
        <v>8</v>
      </c>
      <c r="B595" s="260" t="s">
        <v>212</v>
      </c>
      <c r="C595" s="200" t="s">
        <v>24</v>
      </c>
      <c r="D595" s="201"/>
      <c r="E595" s="201"/>
      <c r="F595" s="201"/>
      <c r="G595" s="7">
        <f t="shared" si="131"/>
        <v>0</v>
      </c>
      <c r="H595" s="201">
        <f t="shared" si="132"/>
        <v>0</v>
      </c>
      <c r="I595" s="202"/>
      <c r="J595" s="213" t="s">
        <v>21</v>
      </c>
      <c r="K595" s="214" t="s">
        <v>78</v>
      </c>
      <c r="L595" s="214" t="s">
        <v>94</v>
      </c>
      <c r="M595" s="215" t="s">
        <v>138</v>
      </c>
      <c r="N595" s="236"/>
      <c r="P595" s="220"/>
      <c r="Q595" s="259" t="s">
        <v>138</v>
      </c>
    </row>
    <row r="596" spans="1:17" s="219" customFormat="1" ht="14" outlineLevel="3">
      <c r="A596" s="203" t="s">
        <v>8</v>
      </c>
      <c r="B596" s="260" t="s">
        <v>213</v>
      </c>
      <c r="C596" s="200" t="s">
        <v>24</v>
      </c>
      <c r="D596" s="201"/>
      <c r="E596" s="201"/>
      <c r="F596" s="144"/>
      <c r="G596" s="7">
        <f t="shared" si="131"/>
        <v>0</v>
      </c>
      <c r="H596" s="201">
        <f t="shared" si="132"/>
        <v>0</v>
      </c>
      <c r="I596" s="202"/>
      <c r="J596" s="213" t="s">
        <v>21</v>
      </c>
      <c r="K596" s="214" t="s">
        <v>78</v>
      </c>
      <c r="L596" s="214" t="s">
        <v>94</v>
      </c>
      <c r="M596" s="215" t="s">
        <v>138</v>
      </c>
      <c r="N596" s="236"/>
      <c r="P596" s="220"/>
      <c r="Q596" s="259" t="s">
        <v>138</v>
      </c>
    </row>
    <row r="597" spans="1:17" s="219" customFormat="1" ht="14" outlineLevel="3">
      <c r="A597" s="203" t="s">
        <v>8</v>
      </c>
      <c r="B597" s="260" t="s">
        <v>214</v>
      </c>
      <c r="C597" s="200" t="s">
        <v>24</v>
      </c>
      <c r="D597" s="201"/>
      <c r="E597" s="201"/>
      <c r="F597" s="201"/>
      <c r="G597" s="7">
        <f t="shared" si="131"/>
        <v>0</v>
      </c>
      <c r="H597" s="201">
        <f t="shared" si="132"/>
        <v>0</v>
      </c>
      <c r="I597" s="202"/>
      <c r="J597" s="213" t="s">
        <v>21</v>
      </c>
      <c r="K597" s="214" t="s">
        <v>78</v>
      </c>
      <c r="L597" s="214" t="s">
        <v>94</v>
      </c>
      <c r="M597" s="215" t="s">
        <v>138</v>
      </c>
      <c r="N597" s="236"/>
      <c r="P597" s="220"/>
      <c r="Q597" s="259" t="s">
        <v>138</v>
      </c>
    </row>
    <row r="598" spans="1:17" s="219" customFormat="1" ht="14" outlineLevel="3">
      <c r="A598" s="203" t="s">
        <v>8</v>
      </c>
      <c r="B598" s="260" t="s">
        <v>215</v>
      </c>
      <c r="C598" s="200" t="s">
        <v>24</v>
      </c>
      <c r="D598" s="201"/>
      <c r="E598" s="201"/>
      <c r="F598" s="201"/>
      <c r="G598" s="7">
        <f t="shared" si="131"/>
        <v>0</v>
      </c>
      <c r="H598" s="201">
        <f t="shared" si="132"/>
        <v>0</v>
      </c>
      <c r="I598" s="202"/>
      <c r="J598" s="213" t="s">
        <v>21</v>
      </c>
      <c r="K598" s="214" t="s">
        <v>78</v>
      </c>
      <c r="L598" s="214" t="s">
        <v>94</v>
      </c>
      <c r="M598" s="215" t="s">
        <v>138</v>
      </c>
      <c r="N598" s="236"/>
      <c r="P598" s="220"/>
      <c r="Q598" s="259" t="s">
        <v>138</v>
      </c>
    </row>
    <row r="599" spans="1:17" s="219" customFormat="1" ht="14" outlineLevel="3">
      <c r="A599" s="203" t="s">
        <v>8</v>
      </c>
      <c r="B599" s="260" t="s">
        <v>216</v>
      </c>
      <c r="C599" s="200" t="s">
        <v>24</v>
      </c>
      <c r="D599" s="201"/>
      <c r="E599" s="201"/>
      <c r="F599" s="201"/>
      <c r="G599" s="7">
        <f t="shared" si="131"/>
        <v>0</v>
      </c>
      <c r="H599" s="201">
        <f t="shared" si="132"/>
        <v>0</v>
      </c>
      <c r="I599" s="202"/>
      <c r="J599" s="213" t="s">
        <v>21</v>
      </c>
      <c r="K599" s="214" t="s">
        <v>78</v>
      </c>
      <c r="L599" s="214" t="s">
        <v>94</v>
      </c>
      <c r="M599" s="215" t="s">
        <v>138</v>
      </c>
      <c r="N599" s="236"/>
      <c r="P599" s="220"/>
      <c r="Q599" s="259" t="s">
        <v>138</v>
      </c>
    </row>
    <row r="600" spans="1:17" s="219" customFormat="1" ht="14" outlineLevel="3">
      <c r="A600" s="203" t="s">
        <v>8</v>
      </c>
      <c r="B600" s="260" t="s">
        <v>584</v>
      </c>
      <c r="C600" s="200" t="s">
        <v>24</v>
      </c>
      <c r="D600" s="201"/>
      <c r="E600" s="201"/>
      <c r="F600" s="144"/>
      <c r="G600" s="7">
        <f t="shared" si="131"/>
        <v>0</v>
      </c>
      <c r="H600" s="201">
        <f t="shared" si="132"/>
        <v>0</v>
      </c>
      <c r="I600" s="202"/>
      <c r="J600" s="213" t="s">
        <v>21</v>
      </c>
      <c r="K600" s="214" t="s">
        <v>78</v>
      </c>
      <c r="L600" s="214" t="s">
        <v>94</v>
      </c>
      <c r="M600" s="215" t="s">
        <v>138</v>
      </c>
      <c r="N600" s="236"/>
      <c r="P600" s="220"/>
      <c r="Q600" s="259" t="s">
        <v>138</v>
      </c>
    </row>
    <row r="601" spans="1:17" s="219" customFormat="1" ht="14" outlineLevel="3">
      <c r="A601" s="203" t="s">
        <v>8</v>
      </c>
      <c r="B601" s="260" t="s">
        <v>585</v>
      </c>
      <c r="C601" s="200" t="s">
        <v>24</v>
      </c>
      <c r="D601" s="201"/>
      <c r="E601" s="201"/>
      <c r="F601" s="144"/>
      <c r="G601" s="7">
        <f t="shared" si="131"/>
        <v>0</v>
      </c>
      <c r="H601" s="201">
        <f t="shared" si="132"/>
        <v>0</v>
      </c>
      <c r="I601" s="202"/>
      <c r="J601" s="213" t="s">
        <v>21</v>
      </c>
      <c r="K601" s="214" t="s">
        <v>78</v>
      </c>
      <c r="L601" s="214" t="s">
        <v>94</v>
      </c>
      <c r="M601" s="215" t="s">
        <v>138</v>
      </c>
      <c r="N601" s="236"/>
      <c r="P601" s="220"/>
      <c r="Q601" s="259" t="s">
        <v>138</v>
      </c>
    </row>
    <row r="602" spans="1:17" s="219" customFormat="1" ht="14" outlineLevel="3">
      <c r="A602" s="203" t="s">
        <v>8</v>
      </c>
      <c r="B602" s="260" t="s">
        <v>217</v>
      </c>
      <c r="C602" s="200" t="s">
        <v>24</v>
      </c>
      <c r="D602" s="201"/>
      <c r="E602" s="201"/>
      <c r="F602" s="201"/>
      <c r="G602" s="7">
        <f t="shared" si="131"/>
        <v>0</v>
      </c>
      <c r="H602" s="201">
        <f t="shared" si="132"/>
        <v>0</v>
      </c>
      <c r="I602" s="202"/>
      <c r="J602" s="213" t="s">
        <v>21</v>
      </c>
      <c r="K602" s="214" t="s">
        <v>78</v>
      </c>
      <c r="L602" s="214" t="s">
        <v>94</v>
      </c>
      <c r="M602" s="215" t="s">
        <v>138</v>
      </c>
      <c r="N602" s="236"/>
      <c r="P602" s="220"/>
      <c r="Q602" s="259" t="s">
        <v>138</v>
      </c>
    </row>
    <row r="603" spans="1:17" s="219" customFormat="1" ht="14" outlineLevel="3">
      <c r="A603" s="203" t="s">
        <v>8</v>
      </c>
      <c r="B603" s="152" t="s">
        <v>218</v>
      </c>
      <c r="C603" s="200" t="s">
        <v>24</v>
      </c>
      <c r="D603" s="201"/>
      <c r="E603" s="201"/>
      <c r="F603" s="144"/>
      <c r="G603" s="7">
        <f t="shared" si="131"/>
        <v>0</v>
      </c>
      <c r="H603" s="201">
        <f t="shared" si="132"/>
        <v>0</v>
      </c>
      <c r="I603" s="202"/>
      <c r="J603" s="213" t="s">
        <v>21</v>
      </c>
      <c r="K603" s="214" t="s">
        <v>78</v>
      </c>
      <c r="L603" s="214" t="s">
        <v>94</v>
      </c>
      <c r="M603" s="215" t="s">
        <v>138</v>
      </c>
      <c r="N603" s="236"/>
      <c r="P603" s="220"/>
      <c r="Q603" s="259" t="s">
        <v>138</v>
      </c>
    </row>
    <row r="604" spans="1:17" s="219" customFormat="1" ht="14" outlineLevel="3">
      <c r="A604" s="203" t="s">
        <v>8</v>
      </c>
      <c r="B604" s="260" t="s">
        <v>219</v>
      </c>
      <c r="C604" s="200" t="s">
        <v>24</v>
      </c>
      <c r="D604" s="201"/>
      <c r="E604" s="201"/>
      <c r="F604" s="201"/>
      <c r="G604" s="7">
        <f t="shared" si="131"/>
        <v>0</v>
      </c>
      <c r="H604" s="201">
        <f t="shared" si="132"/>
        <v>0</v>
      </c>
      <c r="I604" s="202"/>
      <c r="J604" s="213" t="s">
        <v>21</v>
      </c>
      <c r="K604" s="214" t="s">
        <v>78</v>
      </c>
      <c r="L604" s="214" t="s">
        <v>94</v>
      </c>
      <c r="M604" s="215" t="s">
        <v>138</v>
      </c>
      <c r="N604" s="236"/>
      <c r="P604" s="220"/>
      <c r="Q604" s="259" t="s">
        <v>138</v>
      </c>
    </row>
    <row r="605" spans="1:17" s="219" customFormat="1" ht="14" outlineLevel="3">
      <c r="A605" s="203" t="s">
        <v>8</v>
      </c>
      <c r="B605" s="260" t="s">
        <v>220</v>
      </c>
      <c r="C605" s="200" t="s">
        <v>24</v>
      </c>
      <c r="D605" s="201"/>
      <c r="E605" s="201"/>
      <c r="F605" s="201"/>
      <c r="G605" s="7">
        <f t="shared" si="131"/>
        <v>0</v>
      </c>
      <c r="H605" s="201">
        <f t="shared" si="132"/>
        <v>0</v>
      </c>
      <c r="I605" s="202"/>
      <c r="J605" s="213" t="s">
        <v>21</v>
      </c>
      <c r="K605" s="214" t="s">
        <v>78</v>
      </c>
      <c r="L605" s="214" t="s">
        <v>94</v>
      </c>
      <c r="M605" s="215" t="s">
        <v>138</v>
      </c>
      <c r="N605" s="236"/>
      <c r="P605" s="220"/>
      <c r="Q605" s="259" t="s">
        <v>138</v>
      </c>
    </row>
    <row r="606" spans="1:17" s="219" customFormat="1" ht="14" outlineLevel="3">
      <c r="A606" s="203" t="s">
        <v>8</v>
      </c>
      <c r="B606" s="260" t="s">
        <v>221</v>
      </c>
      <c r="C606" s="200" t="s">
        <v>24</v>
      </c>
      <c r="D606" s="201"/>
      <c r="E606" s="201"/>
      <c r="F606" s="201"/>
      <c r="G606" s="7">
        <f t="shared" si="131"/>
        <v>0</v>
      </c>
      <c r="H606" s="201">
        <f t="shared" si="132"/>
        <v>0</v>
      </c>
      <c r="I606" s="202"/>
      <c r="J606" s="213" t="s">
        <v>21</v>
      </c>
      <c r="K606" s="214" t="s">
        <v>78</v>
      </c>
      <c r="L606" s="214" t="s">
        <v>94</v>
      </c>
      <c r="M606" s="215" t="s">
        <v>138</v>
      </c>
      <c r="N606" s="236"/>
      <c r="P606" s="220"/>
      <c r="Q606" s="259" t="s">
        <v>138</v>
      </c>
    </row>
    <row r="607" spans="1:17" s="219" customFormat="1" ht="14" outlineLevel="3">
      <c r="A607" s="203" t="s">
        <v>8</v>
      </c>
      <c r="B607" s="260" t="s">
        <v>222</v>
      </c>
      <c r="C607" s="200" t="s">
        <v>24</v>
      </c>
      <c r="D607" s="201"/>
      <c r="E607" s="201"/>
      <c r="F607" s="201"/>
      <c r="G607" s="7">
        <f t="shared" si="131"/>
        <v>0</v>
      </c>
      <c r="H607" s="201">
        <f t="shared" si="132"/>
        <v>0</v>
      </c>
      <c r="I607" s="202"/>
      <c r="J607" s="213" t="s">
        <v>21</v>
      </c>
      <c r="K607" s="214" t="s">
        <v>78</v>
      </c>
      <c r="L607" s="214" t="s">
        <v>94</v>
      </c>
      <c r="M607" s="215" t="s">
        <v>138</v>
      </c>
      <c r="N607" s="236"/>
      <c r="P607" s="220"/>
      <c r="Q607" s="259" t="s">
        <v>138</v>
      </c>
    </row>
    <row r="608" spans="1:17" s="219" customFormat="1" ht="14" outlineLevel="3">
      <c r="A608" s="203" t="s">
        <v>8</v>
      </c>
      <c r="B608" s="260" t="s">
        <v>223</v>
      </c>
      <c r="C608" s="200" t="s">
        <v>11</v>
      </c>
      <c r="D608" s="201"/>
      <c r="E608" s="201"/>
      <c r="F608" s="145"/>
      <c r="G608" s="7">
        <f t="shared" si="131"/>
        <v>0</v>
      </c>
      <c r="H608" s="201">
        <f t="shared" si="132"/>
        <v>0</v>
      </c>
      <c r="I608" s="202"/>
      <c r="J608" s="213" t="s">
        <v>21</v>
      </c>
      <c r="K608" s="214" t="s">
        <v>78</v>
      </c>
      <c r="L608" s="214" t="s">
        <v>94</v>
      </c>
      <c r="M608" s="215" t="s">
        <v>138</v>
      </c>
      <c r="N608" s="236"/>
      <c r="P608" s="220"/>
      <c r="Q608" s="259" t="s">
        <v>138</v>
      </c>
    </row>
    <row r="609" spans="1:17" s="219" customFormat="1" ht="14" outlineLevel="3">
      <c r="A609" s="203" t="s">
        <v>8</v>
      </c>
      <c r="B609" s="260" t="s">
        <v>224</v>
      </c>
      <c r="C609" s="200" t="s">
        <v>24</v>
      </c>
      <c r="D609" s="201"/>
      <c r="E609" s="201"/>
      <c r="F609" s="145"/>
      <c r="G609" s="7">
        <f t="shared" si="131"/>
        <v>0</v>
      </c>
      <c r="H609" s="201">
        <f t="shared" si="132"/>
        <v>0</v>
      </c>
      <c r="I609" s="202"/>
      <c r="J609" s="213" t="s">
        <v>21</v>
      </c>
      <c r="K609" s="214" t="s">
        <v>78</v>
      </c>
      <c r="L609" s="214" t="s">
        <v>94</v>
      </c>
      <c r="M609" s="215" t="s">
        <v>138</v>
      </c>
      <c r="N609" s="236"/>
      <c r="P609" s="220"/>
      <c r="Q609" s="259" t="s">
        <v>138</v>
      </c>
    </row>
    <row r="610" spans="1:17" s="219" customFormat="1" ht="14" outlineLevel="3">
      <c r="A610" s="203" t="s">
        <v>8</v>
      </c>
      <c r="B610" s="260" t="s">
        <v>225</v>
      </c>
      <c r="C610" s="200" t="s">
        <v>24</v>
      </c>
      <c r="D610" s="201"/>
      <c r="E610" s="201"/>
      <c r="F610" s="201"/>
      <c r="G610" s="7">
        <f t="shared" si="131"/>
        <v>0</v>
      </c>
      <c r="H610" s="201">
        <f t="shared" si="132"/>
        <v>0</v>
      </c>
      <c r="I610" s="202"/>
      <c r="J610" s="213" t="s">
        <v>21</v>
      </c>
      <c r="K610" s="214" t="s">
        <v>78</v>
      </c>
      <c r="L610" s="214" t="s">
        <v>94</v>
      </c>
      <c r="M610" s="215" t="s">
        <v>138</v>
      </c>
      <c r="N610" s="236"/>
      <c r="P610" s="220"/>
      <c r="Q610" s="259" t="s">
        <v>138</v>
      </c>
    </row>
    <row r="611" spans="1:17" s="219" customFormat="1" ht="14" outlineLevel="3">
      <c r="A611" s="203" t="s">
        <v>8</v>
      </c>
      <c r="B611" s="260" t="s">
        <v>226</v>
      </c>
      <c r="C611" s="200" t="s">
        <v>24</v>
      </c>
      <c r="D611" s="201"/>
      <c r="E611" s="201"/>
      <c r="F611" s="201"/>
      <c r="G611" s="7">
        <f t="shared" si="131"/>
        <v>0</v>
      </c>
      <c r="H611" s="201">
        <f t="shared" si="132"/>
        <v>0</v>
      </c>
      <c r="I611" s="202"/>
      <c r="J611" s="213" t="s">
        <v>21</v>
      </c>
      <c r="K611" s="214" t="s">
        <v>78</v>
      </c>
      <c r="L611" s="214" t="s">
        <v>94</v>
      </c>
      <c r="M611" s="215" t="s">
        <v>138</v>
      </c>
      <c r="N611" s="236"/>
      <c r="P611" s="220"/>
      <c r="Q611" s="259" t="s">
        <v>138</v>
      </c>
    </row>
    <row r="612" spans="1:17" s="216" customFormat="1" ht="14" outlineLevel="3">
      <c r="A612" s="191"/>
      <c r="B612" s="153" t="s">
        <v>583</v>
      </c>
      <c r="C612" s="193"/>
      <c r="D612" s="194"/>
      <c r="E612" s="194"/>
      <c r="F612" s="194"/>
      <c r="G612" s="194"/>
      <c r="H612" s="194">
        <f>SUBTOTAL(9,H613:H614)</f>
        <v>0</v>
      </c>
      <c r="I612" s="195"/>
      <c r="J612" s="213" t="s">
        <v>21</v>
      </c>
      <c r="K612" s="214"/>
      <c r="L612" s="214"/>
      <c r="M612" s="215" t="s">
        <v>138</v>
      </c>
      <c r="N612" s="215"/>
      <c r="P612" s="217"/>
      <c r="Q612" s="259" t="s">
        <v>138</v>
      </c>
    </row>
    <row r="613" spans="1:17" s="219" customFormat="1" ht="14" outlineLevel="3">
      <c r="A613" s="203" t="s">
        <v>8</v>
      </c>
      <c r="B613" s="218" t="s">
        <v>570</v>
      </c>
      <c r="C613" s="200" t="s">
        <v>48</v>
      </c>
      <c r="D613" s="201"/>
      <c r="E613" s="201"/>
      <c r="F613" s="144"/>
      <c r="G613" s="7">
        <f t="shared" ref="G613:G614" si="133">F613*D613</f>
        <v>0</v>
      </c>
      <c r="H613" s="201">
        <f t="shared" ref="H613:H614" si="134">F613*E613</f>
        <v>0</v>
      </c>
      <c r="I613" s="202"/>
      <c r="J613" s="213" t="s">
        <v>21</v>
      </c>
      <c r="K613" s="214" t="s">
        <v>78</v>
      </c>
      <c r="L613" s="214" t="s">
        <v>94</v>
      </c>
      <c r="M613" s="215" t="s">
        <v>138</v>
      </c>
      <c r="N613" s="236"/>
      <c r="P613" s="220"/>
      <c r="Q613" s="259" t="s">
        <v>138</v>
      </c>
    </row>
    <row r="614" spans="1:17" s="219" customFormat="1" ht="14" outlineLevel="3">
      <c r="A614" s="203" t="s">
        <v>8</v>
      </c>
      <c r="B614" s="218" t="s">
        <v>50</v>
      </c>
      <c r="C614" s="200" t="s">
        <v>48</v>
      </c>
      <c r="D614" s="201"/>
      <c r="E614" s="201"/>
      <c r="F614" s="201"/>
      <c r="G614" s="7">
        <f t="shared" si="133"/>
        <v>0</v>
      </c>
      <c r="H614" s="201">
        <f t="shared" si="134"/>
        <v>0</v>
      </c>
      <c r="I614" s="202"/>
      <c r="J614" s="213" t="s">
        <v>21</v>
      </c>
      <c r="K614" s="214" t="s">
        <v>78</v>
      </c>
      <c r="L614" s="214" t="s">
        <v>94</v>
      </c>
      <c r="M614" s="215" t="s">
        <v>138</v>
      </c>
      <c r="N614" s="236"/>
      <c r="P614" s="220"/>
      <c r="Q614" s="259" t="s">
        <v>138</v>
      </c>
    </row>
    <row r="615" spans="1:17" s="216" customFormat="1" ht="15" customHeight="1" outlineLevel="2">
      <c r="A615" s="191">
        <v>4</v>
      </c>
      <c r="B615" s="192" t="s">
        <v>32</v>
      </c>
      <c r="C615" s="193"/>
      <c r="D615" s="194"/>
      <c r="E615" s="194"/>
      <c r="F615" s="194"/>
      <c r="G615" s="194">
        <f>SUBTOTAL(9,G616:G621)</f>
        <v>35300</v>
      </c>
      <c r="H615" s="194">
        <f>SUBTOTAL(9,H616:H621)</f>
        <v>31064</v>
      </c>
      <c r="I615" s="194"/>
      <c r="J615" s="213" t="s">
        <v>21</v>
      </c>
      <c r="K615" s="214"/>
      <c r="L615" s="214"/>
      <c r="M615" s="214" t="s">
        <v>32</v>
      </c>
      <c r="N615" s="215"/>
      <c r="P615" s="217"/>
    </row>
    <row r="616" spans="1:17" s="216" customFormat="1" ht="14" outlineLevel="3">
      <c r="A616" s="191">
        <v>4.0999999999999996</v>
      </c>
      <c r="B616" s="250" t="s">
        <v>228</v>
      </c>
      <c r="C616" s="252"/>
      <c r="D616" s="242"/>
      <c r="E616" s="242"/>
      <c r="F616" s="242"/>
      <c r="G616" s="242">
        <f>E616*D616</f>
        <v>0</v>
      </c>
      <c r="H616" s="242">
        <f>F616*E616</f>
        <v>0</v>
      </c>
      <c r="I616" s="264"/>
      <c r="J616" s="213" t="s">
        <v>21</v>
      </c>
      <c r="K616" s="214"/>
      <c r="L616" s="214"/>
      <c r="M616" s="214" t="s">
        <v>32</v>
      </c>
      <c r="N616" s="215"/>
      <c r="P616" s="217"/>
    </row>
    <row r="617" spans="1:17" s="219" customFormat="1" ht="14" outlineLevel="4">
      <c r="A617" s="203" t="s">
        <v>8</v>
      </c>
      <c r="B617" s="218" t="s">
        <v>754</v>
      </c>
      <c r="C617" s="200" t="s">
        <v>714</v>
      </c>
      <c r="D617" s="7">
        <v>25</v>
      </c>
      <c r="E617" s="7">
        <v>22</v>
      </c>
      <c r="F617" s="7">
        <v>1300</v>
      </c>
      <c r="G617" s="7">
        <f t="shared" ref="G617:G621" si="135">F617*D617</f>
        <v>32500</v>
      </c>
      <c r="H617" s="201">
        <f t="shared" ref="H617:H621" si="136">F617*E617</f>
        <v>28600</v>
      </c>
      <c r="I617" s="202"/>
      <c r="J617" s="213" t="s">
        <v>21</v>
      </c>
      <c r="K617" s="214" t="s">
        <v>108</v>
      </c>
      <c r="L617" s="214" t="s">
        <v>94</v>
      </c>
      <c r="M617" s="214" t="s">
        <v>138</v>
      </c>
      <c r="N617" s="236"/>
      <c r="P617" s="220"/>
    </row>
    <row r="618" spans="1:17" s="219" customFormat="1" ht="14" outlineLevel="4">
      <c r="A618" s="203" t="s">
        <v>8</v>
      </c>
      <c r="B618" s="218" t="s">
        <v>1028</v>
      </c>
      <c r="C618" s="200" t="s">
        <v>139</v>
      </c>
      <c r="D618" s="7">
        <v>25</v>
      </c>
      <c r="E618" s="7">
        <v>22</v>
      </c>
      <c r="F618" s="7">
        <v>80</v>
      </c>
      <c r="G618" s="7">
        <f t="shared" si="135"/>
        <v>2000</v>
      </c>
      <c r="H618" s="201">
        <f t="shared" si="136"/>
        <v>1760</v>
      </c>
      <c r="I618" s="202"/>
      <c r="J618" s="213" t="s">
        <v>21</v>
      </c>
      <c r="K618" s="214" t="s">
        <v>108</v>
      </c>
      <c r="L618" s="214" t="s">
        <v>94</v>
      </c>
      <c r="M618" s="214" t="s">
        <v>138</v>
      </c>
      <c r="N618" s="236"/>
      <c r="P618" s="220"/>
    </row>
    <row r="619" spans="1:17" s="219" customFormat="1" ht="14" outlineLevel="4">
      <c r="A619" s="203" t="s">
        <v>8</v>
      </c>
      <c r="B619" s="218" t="s">
        <v>1029</v>
      </c>
      <c r="C619" s="200" t="s">
        <v>139</v>
      </c>
      <c r="D619" s="201">
        <v>50</v>
      </c>
      <c r="E619" s="201">
        <v>44</v>
      </c>
      <c r="F619" s="201">
        <v>16</v>
      </c>
      <c r="G619" s="7">
        <f t="shared" si="135"/>
        <v>800</v>
      </c>
      <c r="H619" s="201">
        <f t="shared" si="136"/>
        <v>704</v>
      </c>
      <c r="I619" s="202"/>
      <c r="J619" s="213" t="s">
        <v>21</v>
      </c>
      <c r="K619" s="214" t="s">
        <v>108</v>
      </c>
      <c r="L619" s="214" t="s">
        <v>94</v>
      </c>
      <c r="M619" s="214" t="s">
        <v>138</v>
      </c>
      <c r="N619" s="236"/>
      <c r="P619" s="220"/>
    </row>
    <row r="620" spans="1:17" s="219" customFormat="1" ht="14" outlineLevel="4">
      <c r="A620" s="203" t="s">
        <v>8</v>
      </c>
      <c r="B620" s="218" t="s">
        <v>748</v>
      </c>
      <c r="C620" s="200" t="s">
        <v>139</v>
      </c>
      <c r="D620" s="201"/>
      <c r="E620" s="201"/>
      <c r="F620" s="201"/>
      <c r="G620" s="7">
        <f t="shared" si="135"/>
        <v>0</v>
      </c>
      <c r="H620" s="201">
        <f t="shared" si="136"/>
        <v>0</v>
      </c>
      <c r="I620" s="202"/>
      <c r="J620" s="213" t="s">
        <v>21</v>
      </c>
      <c r="K620" s="214" t="s">
        <v>78</v>
      </c>
      <c r="L620" s="214" t="s">
        <v>94</v>
      </c>
      <c r="M620" s="214" t="s">
        <v>32</v>
      </c>
      <c r="N620" s="236"/>
      <c r="P620" s="220"/>
    </row>
    <row r="621" spans="1:17" s="219" customFormat="1" ht="14" outlineLevel="4">
      <c r="A621" s="203" t="s">
        <v>8</v>
      </c>
      <c r="B621" s="218" t="s">
        <v>749</v>
      </c>
      <c r="C621" s="200" t="s">
        <v>139</v>
      </c>
      <c r="D621" s="201"/>
      <c r="E621" s="201"/>
      <c r="F621" s="201"/>
      <c r="G621" s="7">
        <f t="shared" si="135"/>
        <v>0</v>
      </c>
      <c r="H621" s="201">
        <f t="shared" si="136"/>
        <v>0</v>
      </c>
      <c r="I621" s="202"/>
      <c r="J621" s="213" t="s">
        <v>21</v>
      </c>
      <c r="K621" s="214" t="s">
        <v>78</v>
      </c>
      <c r="L621" s="214" t="s">
        <v>94</v>
      </c>
      <c r="M621" s="214" t="s">
        <v>32</v>
      </c>
      <c r="N621" s="236"/>
      <c r="P621" s="220"/>
    </row>
    <row r="622" spans="1:17" s="216" customFormat="1" ht="14" outlineLevel="1">
      <c r="A622" s="386" t="s">
        <v>257</v>
      </c>
      <c r="B622" s="387" t="s">
        <v>22</v>
      </c>
      <c r="C622" s="252"/>
      <c r="D622" s="242"/>
      <c r="E622" s="242"/>
      <c r="F622" s="242"/>
      <c r="G622" s="242">
        <f>SUBTOTAL(9,G623:G813)</f>
        <v>2639904</v>
      </c>
      <c r="H622" s="242">
        <f>SUBTOTAL(9,H623:H813)</f>
        <v>651440</v>
      </c>
      <c r="I622" s="242"/>
      <c r="J622" s="213" t="s">
        <v>21</v>
      </c>
      <c r="K622" s="214"/>
      <c r="L622" s="214"/>
      <c r="M622" s="214" t="s">
        <v>32</v>
      </c>
      <c r="N622" s="215"/>
      <c r="P622" s="217"/>
    </row>
    <row r="623" spans="1:17" s="216" customFormat="1" ht="14" outlineLevel="2">
      <c r="A623" s="191" t="s">
        <v>4</v>
      </c>
      <c r="B623" s="192" t="s">
        <v>32</v>
      </c>
      <c r="C623" s="252"/>
      <c r="D623" s="242"/>
      <c r="E623" s="242"/>
      <c r="F623" s="242"/>
      <c r="G623" s="194">
        <f>SUBTOTAL(9,G624:G749)</f>
        <v>2639904</v>
      </c>
      <c r="H623" s="194">
        <f>SUBTOTAL(9,H624:H749)</f>
        <v>651440</v>
      </c>
      <c r="I623" s="242"/>
      <c r="J623" s="213" t="s">
        <v>21</v>
      </c>
      <c r="K623" s="214"/>
      <c r="L623" s="214"/>
      <c r="M623" s="214" t="s">
        <v>32</v>
      </c>
      <c r="N623" s="215"/>
      <c r="P623" s="217"/>
    </row>
    <row r="624" spans="1:17" s="361" customFormat="1" ht="14" outlineLevel="3">
      <c r="A624" s="354" t="s">
        <v>41</v>
      </c>
      <c r="B624" s="362" t="s">
        <v>228</v>
      </c>
      <c r="C624" s="356"/>
      <c r="D624" s="357"/>
      <c r="E624" s="357"/>
      <c r="F624" s="357"/>
      <c r="G624" s="357">
        <f>SUBTOTAL(9,G625:G664)</f>
        <v>13460</v>
      </c>
      <c r="H624" s="357">
        <f>SUBTOTAL(9,H625:H664)</f>
        <v>17640</v>
      </c>
      <c r="I624" s="358"/>
      <c r="J624" s="213" t="s">
        <v>21</v>
      </c>
      <c r="K624" s="359"/>
      <c r="L624" s="359"/>
      <c r="M624" s="214" t="s">
        <v>32</v>
      </c>
      <c r="N624" s="360"/>
    </row>
    <row r="625" spans="1:14" s="361" customFormat="1" ht="14" outlineLevel="3">
      <c r="A625" s="354">
        <v>1</v>
      </c>
      <c r="B625" s="363" t="s">
        <v>1325</v>
      </c>
      <c r="C625" s="356"/>
      <c r="D625" s="357"/>
      <c r="E625" s="357"/>
      <c r="F625" s="357"/>
      <c r="G625" s="357">
        <f>SUBTOTAL(9,G626:G635)</f>
        <v>13460</v>
      </c>
      <c r="H625" s="357">
        <f>SUBTOTAL(9,H626:H635)</f>
        <v>17640</v>
      </c>
      <c r="I625" s="364"/>
      <c r="J625" s="213" t="s">
        <v>21</v>
      </c>
      <c r="K625" s="359"/>
      <c r="L625" s="359"/>
      <c r="M625" s="214" t="s">
        <v>32</v>
      </c>
      <c r="N625" s="360"/>
    </row>
    <row r="626" spans="1:14" s="371" customFormat="1" ht="14" outlineLevel="4">
      <c r="A626" s="372" t="s">
        <v>8</v>
      </c>
      <c r="B626" s="377" t="s">
        <v>1326</v>
      </c>
      <c r="C626" s="249" t="s">
        <v>24</v>
      </c>
      <c r="D626" s="205"/>
      <c r="E626" s="205"/>
      <c r="F626" s="205"/>
      <c r="G626" s="7">
        <f t="shared" ref="G626:G635" si="137">F626*D626</f>
        <v>0</v>
      </c>
      <c r="H626" s="205">
        <f t="shared" ref="H626:H629" si="138">F626*E626</f>
        <v>0</v>
      </c>
      <c r="I626" s="369"/>
      <c r="J626" s="213" t="s">
        <v>21</v>
      </c>
      <c r="K626" s="359" t="s">
        <v>127</v>
      </c>
      <c r="L626" s="359" t="s">
        <v>94</v>
      </c>
      <c r="M626" s="359" t="s">
        <v>138</v>
      </c>
      <c r="N626" s="370"/>
    </row>
    <row r="627" spans="1:14" s="371" customFormat="1" ht="14" outlineLevel="4">
      <c r="A627" s="372" t="s">
        <v>8</v>
      </c>
      <c r="B627" s="377" t="s">
        <v>679</v>
      </c>
      <c r="C627" s="249" t="s">
        <v>15</v>
      </c>
      <c r="D627" s="205">
        <v>16</v>
      </c>
      <c r="E627" s="205">
        <v>16</v>
      </c>
      <c r="F627" s="205">
        <v>80</v>
      </c>
      <c r="G627" s="7">
        <f t="shared" si="137"/>
        <v>1280</v>
      </c>
      <c r="H627" s="205">
        <f t="shared" si="138"/>
        <v>1280</v>
      </c>
      <c r="I627" s="369"/>
      <c r="J627" s="213" t="s">
        <v>21</v>
      </c>
      <c r="K627" s="359" t="s">
        <v>127</v>
      </c>
      <c r="L627" s="359" t="s">
        <v>94</v>
      </c>
      <c r="M627" s="359" t="s">
        <v>138</v>
      </c>
      <c r="N627" s="370"/>
    </row>
    <row r="628" spans="1:14" s="371" customFormat="1" ht="14" outlineLevel="4">
      <c r="A628" s="372" t="s">
        <v>8</v>
      </c>
      <c r="B628" s="377" t="s">
        <v>680</v>
      </c>
      <c r="C628" s="249" t="s">
        <v>15</v>
      </c>
      <c r="D628" s="205">
        <v>16</v>
      </c>
      <c r="E628" s="205">
        <v>16</v>
      </c>
      <c r="F628" s="205">
        <v>100</v>
      </c>
      <c r="G628" s="7">
        <f t="shared" si="137"/>
        <v>1600</v>
      </c>
      <c r="H628" s="205">
        <f t="shared" si="138"/>
        <v>1600</v>
      </c>
      <c r="I628" s="369"/>
      <c r="J628" s="213" t="s">
        <v>21</v>
      </c>
      <c r="K628" s="359" t="s">
        <v>127</v>
      </c>
      <c r="L628" s="359" t="s">
        <v>94</v>
      </c>
      <c r="M628" s="359" t="s">
        <v>138</v>
      </c>
      <c r="N628" s="370"/>
    </row>
    <row r="629" spans="1:14" s="371" customFormat="1" ht="14" outlineLevel="4">
      <c r="A629" s="372" t="s">
        <v>8</v>
      </c>
      <c r="B629" s="377" t="s">
        <v>681</v>
      </c>
      <c r="C629" s="249" t="s">
        <v>15</v>
      </c>
      <c r="D629" s="205">
        <v>6</v>
      </c>
      <c r="E629" s="205">
        <v>6</v>
      </c>
      <c r="F629" s="205">
        <v>110</v>
      </c>
      <c r="G629" s="7">
        <f t="shared" si="137"/>
        <v>660</v>
      </c>
      <c r="H629" s="205">
        <f t="shared" si="138"/>
        <v>660</v>
      </c>
      <c r="I629" s="369"/>
      <c r="J629" s="213" t="s">
        <v>21</v>
      </c>
      <c r="K629" s="359" t="s">
        <v>127</v>
      </c>
      <c r="L629" s="359" t="s">
        <v>94</v>
      </c>
      <c r="M629" s="359" t="s">
        <v>138</v>
      </c>
      <c r="N629" s="370"/>
    </row>
    <row r="630" spans="1:14" s="371" customFormat="1" ht="14" outlineLevel="4">
      <c r="A630" s="372" t="s">
        <v>8</v>
      </c>
      <c r="B630" s="377" t="s">
        <v>682</v>
      </c>
      <c r="C630" s="249" t="s">
        <v>24</v>
      </c>
      <c r="D630" s="205"/>
      <c r="E630" s="205"/>
      <c r="F630" s="205"/>
      <c r="G630" s="7">
        <f t="shared" si="137"/>
        <v>0</v>
      </c>
      <c r="H630" s="205">
        <f t="shared" ref="H630:H635" si="139">F630*E630</f>
        <v>0</v>
      </c>
      <c r="I630" s="369"/>
      <c r="J630" s="213" t="s">
        <v>21</v>
      </c>
      <c r="K630" s="359" t="s">
        <v>127</v>
      </c>
      <c r="L630" s="359" t="s">
        <v>94</v>
      </c>
      <c r="M630" s="359" t="s">
        <v>138</v>
      </c>
      <c r="N630" s="370"/>
    </row>
    <row r="631" spans="1:14" s="371" customFormat="1" ht="14" outlineLevel="4">
      <c r="A631" s="372" t="s">
        <v>8</v>
      </c>
      <c r="B631" s="377" t="s">
        <v>683</v>
      </c>
      <c r="C631" s="249" t="s">
        <v>15</v>
      </c>
      <c r="D631" s="205"/>
      <c r="E631" s="205"/>
      <c r="F631" s="205"/>
      <c r="G631" s="7">
        <f t="shared" si="137"/>
        <v>0</v>
      </c>
      <c r="H631" s="205">
        <f t="shared" si="139"/>
        <v>0</v>
      </c>
      <c r="I631" s="369"/>
      <c r="J631" s="213" t="s">
        <v>21</v>
      </c>
      <c r="K631" s="359" t="s">
        <v>127</v>
      </c>
      <c r="L631" s="359" t="s">
        <v>94</v>
      </c>
      <c r="M631" s="359" t="s">
        <v>138</v>
      </c>
      <c r="N631" s="370"/>
    </row>
    <row r="632" spans="1:14" s="371" customFormat="1" ht="14" outlineLevel="4">
      <c r="A632" s="372" t="s">
        <v>8</v>
      </c>
      <c r="B632" s="377" t="s">
        <v>684</v>
      </c>
      <c r="C632" s="249" t="s">
        <v>15</v>
      </c>
      <c r="D632" s="205">
        <v>40</v>
      </c>
      <c r="E632" s="205">
        <v>42</v>
      </c>
      <c r="F632" s="205">
        <v>80</v>
      </c>
      <c r="G632" s="7">
        <f t="shared" si="137"/>
        <v>3200</v>
      </c>
      <c r="H632" s="205">
        <f t="shared" si="139"/>
        <v>3360</v>
      </c>
      <c r="I632" s="369"/>
      <c r="J632" s="213" t="s">
        <v>21</v>
      </c>
      <c r="K632" s="359" t="s">
        <v>127</v>
      </c>
      <c r="L632" s="359" t="s">
        <v>94</v>
      </c>
      <c r="M632" s="359" t="s">
        <v>138</v>
      </c>
      <c r="N632" s="370"/>
    </row>
    <row r="633" spans="1:14" s="371" customFormat="1" ht="14" outlineLevel="4">
      <c r="A633" s="372" t="s">
        <v>8</v>
      </c>
      <c r="B633" s="377" t="s">
        <v>685</v>
      </c>
      <c r="C633" s="249" t="s">
        <v>15</v>
      </c>
      <c r="D633" s="205">
        <v>54</v>
      </c>
      <c r="E633" s="205">
        <v>92</v>
      </c>
      <c r="F633" s="205">
        <v>100</v>
      </c>
      <c r="G633" s="7">
        <f t="shared" si="137"/>
        <v>5400</v>
      </c>
      <c r="H633" s="205">
        <f t="shared" si="139"/>
        <v>9200</v>
      </c>
      <c r="I633" s="369"/>
      <c r="J633" s="213" t="s">
        <v>21</v>
      </c>
      <c r="K633" s="359" t="s">
        <v>127</v>
      </c>
      <c r="L633" s="359" t="s">
        <v>94</v>
      </c>
      <c r="M633" s="359" t="s">
        <v>138</v>
      </c>
      <c r="N633" s="370"/>
    </row>
    <row r="634" spans="1:14" s="371" customFormat="1" ht="14" outlineLevel="4">
      <c r="A634" s="372" t="s">
        <v>8</v>
      </c>
      <c r="B634" s="377" t="s">
        <v>686</v>
      </c>
      <c r="C634" s="249" t="s">
        <v>15</v>
      </c>
      <c r="D634" s="205">
        <v>12</v>
      </c>
      <c r="E634" s="205">
        <v>14</v>
      </c>
      <c r="F634" s="205">
        <v>110</v>
      </c>
      <c r="G634" s="7">
        <f t="shared" si="137"/>
        <v>1320</v>
      </c>
      <c r="H634" s="205">
        <f t="shared" si="139"/>
        <v>1540</v>
      </c>
      <c r="I634" s="369"/>
      <c r="J634" s="213" t="s">
        <v>21</v>
      </c>
      <c r="K634" s="359" t="s">
        <v>127</v>
      </c>
      <c r="L634" s="359" t="s">
        <v>94</v>
      </c>
      <c r="M634" s="359" t="s">
        <v>138</v>
      </c>
      <c r="N634" s="370"/>
    </row>
    <row r="635" spans="1:14" s="371" customFormat="1" ht="14" outlineLevel="4">
      <c r="A635" s="372" t="s">
        <v>8</v>
      </c>
      <c r="B635" s="377" t="s">
        <v>687</v>
      </c>
      <c r="C635" s="249" t="s">
        <v>15</v>
      </c>
      <c r="D635" s="205"/>
      <c r="E635" s="205"/>
      <c r="F635" s="205"/>
      <c r="G635" s="7">
        <f t="shared" si="137"/>
        <v>0</v>
      </c>
      <c r="H635" s="205">
        <f t="shared" si="139"/>
        <v>0</v>
      </c>
      <c r="I635" s="369"/>
      <c r="J635" s="213" t="s">
        <v>21</v>
      </c>
      <c r="K635" s="359" t="s">
        <v>127</v>
      </c>
      <c r="L635" s="359" t="s">
        <v>94</v>
      </c>
      <c r="M635" s="359" t="s">
        <v>138</v>
      </c>
      <c r="N635" s="370"/>
    </row>
    <row r="636" spans="1:14" s="361" customFormat="1" ht="14" outlineLevel="3">
      <c r="A636" s="354">
        <v>2</v>
      </c>
      <c r="B636" s="363" t="s">
        <v>890</v>
      </c>
      <c r="C636" s="356"/>
      <c r="D636" s="357"/>
      <c r="E636" s="357"/>
      <c r="F636" s="357"/>
      <c r="G636" s="357"/>
      <c r="H636" s="357">
        <f>SUBTOTAL(9,H637:H653)</f>
        <v>0</v>
      </c>
      <c r="I636" s="364"/>
      <c r="J636" s="213" t="s">
        <v>21</v>
      </c>
      <c r="K636" s="359"/>
      <c r="L636" s="359"/>
      <c r="M636" s="359" t="s">
        <v>138</v>
      </c>
      <c r="N636" s="360"/>
    </row>
    <row r="637" spans="1:14" s="371" customFormat="1" ht="14" outlineLevel="4">
      <c r="A637" s="372" t="s">
        <v>8</v>
      </c>
      <c r="B637" s="377" t="s">
        <v>889</v>
      </c>
      <c r="C637" s="249" t="s">
        <v>714</v>
      </c>
      <c r="D637" s="205"/>
      <c r="E637" s="205"/>
      <c r="F637" s="205"/>
      <c r="G637" s="7">
        <f t="shared" ref="G637:G653" si="140">F637*D637</f>
        <v>0</v>
      </c>
      <c r="H637" s="205">
        <f t="shared" ref="H637:H653" si="141">F637*E637</f>
        <v>0</v>
      </c>
      <c r="I637" s="369"/>
      <c r="J637" s="213" t="s">
        <v>21</v>
      </c>
      <c r="K637" s="359" t="s">
        <v>108</v>
      </c>
      <c r="L637" s="359" t="s">
        <v>94</v>
      </c>
      <c r="M637" s="359" t="s">
        <v>138</v>
      </c>
      <c r="N637" s="370"/>
    </row>
    <row r="638" spans="1:14" s="371" customFormat="1" ht="14" outlineLevel="4">
      <c r="A638" s="372" t="s">
        <v>8</v>
      </c>
      <c r="B638" s="377" t="s">
        <v>742</v>
      </c>
      <c r="C638" s="249" t="s">
        <v>139</v>
      </c>
      <c r="D638" s="205"/>
      <c r="E638" s="205"/>
      <c r="F638" s="205"/>
      <c r="G638" s="7">
        <f t="shared" si="140"/>
        <v>0</v>
      </c>
      <c r="H638" s="205">
        <f t="shared" si="141"/>
        <v>0</v>
      </c>
      <c r="I638" s="369"/>
      <c r="J638" s="213" t="s">
        <v>21</v>
      </c>
      <c r="K638" s="359" t="s">
        <v>108</v>
      </c>
      <c r="L638" s="359" t="s">
        <v>94</v>
      </c>
      <c r="M638" s="359" t="s">
        <v>138</v>
      </c>
      <c r="N638" s="370"/>
    </row>
    <row r="639" spans="1:14" s="371" customFormat="1" ht="14" outlineLevel="4">
      <c r="A639" s="372" t="s">
        <v>8</v>
      </c>
      <c r="B639" s="377" t="s">
        <v>743</v>
      </c>
      <c r="C639" s="249" t="s">
        <v>139</v>
      </c>
      <c r="D639" s="205"/>
      <c r="E639" s="205"/>
      <c r="F639" s="205"/>
      <c r="G639" s="7">
        <f t="shared" si="140"/>
        <v>0</v>
      </c>
      <c r="H639" s="205">
        <f t="shared" si="141"/>
        <v>0</v>
      </c>
      <c r="I639" s="369"/>
      <c r="J639" s="213" t="s">
        <v>21</v>
      </c>
      <c r="K639" s="359" t="s">
        <v>108</v>
      </c>
      <c r="L639" s="359" t="s">
        <v>94</v>
      </c>
      <c r="M639" s="359" t="s">
        <v>138</v>
      </c>
      <c r="N639" s="370"/>
    </row>
    <row r="640" spans="1:14" s="371" customFormat="1" ht="14" outlineLevel="4">
      <c r="A640" s="372" t="s">
        <v>8</v>
      </c>
      <c r="B640" s="377" t="s">
        <v>744</v>
      </c>
      <c r="C640" s="249" t="s">
        <v>139</v>
      </c>
      <c r="D640" s="205"/>
      <c r="E640" s="205"/>
      <c r="F640" s="205"/>
      <c r="G640" s="7">
        <f t="shared" si="140"/>
        <v>0</v>
      </c>
      <c r="H640" s="205">
        <f t="shared" si="141"/>
        <v>0</v>
      </c>
      <c r="I640" s="369"/>
      <c r="J640" s="213" t="s">
        <v>21</v>
      </c>
      <c r="K640" s="359" t="s">
        <v>108</v>
      </c>
      <c r="L640" s="359" t="s">
        <v>94</v>
      </c>
      <c r="M640" s="359" t="s">
        <v>138</v>
      </c>
      <c r="N640" s="370"/>
    </row>
    <row r="641" spans="1:14" s="371" customFormat="1" ht="14" outlineLevel="4">
      <c r="A641" s="372" t="s">
        <v>8</v>
      </c>
      <c r="B641" s="377" t="s">
        <v>745</v>
      </c>
      <c r="C641" s="249" t="s">
        <v>139</v>
      </c>
      <c r="D641" s="205"/>
      <c r="E641" s="205"/>
      <c r="F641" s="205"/>
      <c r="G641" s="7">
        <f t="shared" si="140"/>
        <v>0</v>
      </c>
      <c r="H641" s="205">
        <f t="shared" si="141"/>
        <v>0</v>
      </c>
      <c r="I641" s="369"/>
      <c r="J641" s="213" t="s">
        <v>21</v>
      </c>
      <c r="K641" s="359" t="s">
        <v>108</v>
      </c>
      <c r="L641" s="359" t="s">
        <v>94</v>
      </c>
      <c r="M641" s="359" t="s">
        <v>138</v>
      </c>
      <c r="N641" s="370"/>
    </row>
    <row r="642" spans="1:14" s="371" customFormat="1" ht="14" outlineLevel="4">
      <c r="A642" s="372" t="s">
        <v>8</v>
      </c>
      <c r="B642" s="377" t="s">
        <v>746</v>
      </c>
      <c r="C642" s="249" t="s">
        <v>139</v>
      </c>
      <c r="D642" s="205"/>
      <c r="E642" s="205"/>
      <c r="F642" s="205"/>
      <c r="G642" s="7">
        <f t="shared" si="140"/>
        <v>0</v>
      </c>
      <c r="H642" s="205">
        <f t="shared" si="141"/>
        <v>0</v>
      </c>
      <c r="I642" s="369"/>
      <c r="J642" s="213" t="s">
        <v>21</v>
      </c>
      <c r="K642" s="359" t="s">
        <v>108</v>
      </c>
      <c r="L642" s="359" t="s">
        <v>94</v>
      </c>
      <c r="M642" s="359" t="s">
        <v>138</v>
      </c>
      <c r="N642" s="370"/>
    </row>
    <row r="643" spans="1:14" s="371" customFormat="1" ht="14" outlineLevel="4">
      <c r="A643" s="372" t="s">
        <v>8</v>
      </c>
      <c r="B643" s="377" t="s">
        <v>674</v>
      </c>
      <c r="C643" s="249" t="s">
        <v>139</v>
      </c>
      <c r="D643" s="205"/>
      <c r="E643" s="205"/>
      <c r="F643" s="205"/>
      <c r="G643" s="7">
        <f t="shared" si="140"/>
        <v>0</v>
      </c>
      <c r="H643" s="205">
        <f t="shared" si="141"/>
        <v>0</v>
      </c>
      <c r="I643" s="369"/>
      <c r="J643" s="213" t="s">
        <v>21</v>
      </c>
      <c r="K643" s="359" t="s">
        <v>108</v>
      </c>
      <c r="L643" s="359" t="s">
        <v>94</v>
      </c>
      <c r="M643" s="359" t="s">
        <v>138</v>
      </c>
      <c r="N643" s="370"/>
    </row>
    <row r="644" spans="1:14" s="371" customFormat="1" ht="14" outlineLevel="4">
      <c r="A644" s="372" t="s">
        <v>8</v>
      </c>
      <c r="B644" s="377" t="s">
        <v>675</v>
      </c>
      <c r="C644" s="249" t="s">
        <v>139</v>
      </c>
      <c r="D644" s="205"/>
      <c r="E644" s="205"/>
      <c r="F644" s="205"/>
      <c r="G644" s="7">
        <f t="shared" si="140"/>
        <v>0</v>
      </c>
      <c r="H644" s="205">
        <f t="shared" si="141"/>
        <v>0</v>
      </c>
      <c r="I644" s="369"/>
      <c r="J644" s="213" t="s">
        <v>21</v>
      </c>
      <c r="K644" s="359" t="s">
        <v>108</v>
      </c>
      <c r="L644" s="359" t="s">
        <v>94</v>
      </c>
      <c r="M644" s="359" t="s">
        <v>138</v>
      </c>
      <c r="N644" s="370"/>
    </row>
    <row r="645" spans="1:14" s="371" customFormat="1" ht="14" outlineLevel="4">
      <c r="A645" s="372" t="s">
        <v>8</v>
      </c>
      <c r="B645" s="377" t="s">
        <v>676</v>
      </c>
      <c r="C645" s="249" t="s">
        <v>139</v>
      </c>
      <c r="D645" s="205"/>
      <c r="E645" s="205"/>
      <c r="F645" s="205"/>
      <c r="G645" s="7">
        <f t="shared" si="140"/>
        <v>0</v>
      </c>
      <c r="H645" s="205">
        <f t="shared" si="141"/>
        <v>0</v>
      </c>
      <c r="I645" s="369"/>
      <c r="J645" s="213" t="s">
        <v>21</v>
      </c>
      <c r="K645" s="359" t="s">
        <v>108</v>
      </c>
      <c r="L645" s="359" t="s">
        <v>94</v>
      </c>
      <c r="M645" s="359" t="s">
        <v>138</v>
      </c>
      <c r="N645" s="370"/>
    </row>
    <row r="646" spans="1:14" s="371" customFormat="1" ht="14" outlineLevel="4">
      <c r="A646" s="372" t="s">
        <v>8</v>
      </c>
      <c r="B646" s="377" t="s">
        <v>747</v>
      </c>
      <c r="C646" s="249" t="s">
        <v>139</v>
      </c>
      <c r="D646" s="205"/>
      <c r="E646" s="205"/>
      <c r="F646" s="205"/>
      <c r="G646" s="7">
        <f t="shared" si="140"/>
        <v>0</v>
      </c>
      <c r="H646" s="205">
        <f t="shared" si="141"/>
        <v>0</v>
      </c>
      <c r="I646" s="369"/>
      <c r="J646" s="213" t="s">
        <v>21</v>
      </c>
      <c r="K646" s="359" t="s">
        <v>108</v>
      </c>
      <c r="L646" s="359" t="s">
        <v>94</v>
      </c>
      <c r="M646" s="359" t="s">
        <v>138</v>
      </c>
      <c r="N646" s="370"/>
    </row>
    <row r="647" spans="1:14" s="371" customFormat="1" ht="14" outlineLevel="4">
      <c r="A647" s="372" t="s">
        <v>8</v>
      </c>
      <c r="B647" s="380" t="s">
        <v>748</v>
      </c>
      <c r="C647" s="249" t="s">
        <v>139</v>
      </c>
      <c r="D647" s="381"/>
      <c r="E647" s="205"/>
      <c r="F647" s="205"/>
      <c r="G647" s="7">
        <f t="shared" si="140"/>
        <v>0</v>
      </c>
      <c r="H647" s="205">
        <f t="shared" si="141"/>
        <v>0</v>
      </c>
      <c r="I647" s="369"/>
      <c r="J647" s="213" t="s">
        <v>21</v>
      </c>
      <c r="K647" s="359" t="s">
        <v>108</v>
      </c>
      <c r="L647" s="359" t="s">
        <v>94</v>
      </c>
      <c r="M647" s="359" t="s">
        <v>138</v>
      </c>
      <c r="N647" s="370"/>
    </row>
    <row r="648" spans="1:14" s="371" customFormat="1" ht="14" outlineLevel="4">
      <c r="A648" s="372" t="s">
        <v>8</v>
      </c>
      <c r="B648" s="377" t="s">
        <v>749</v>
      </c>
      <c r="C648" s="249" t="s">
        <v>139</v>
      </c>
      <c r="D648" s="205"/>
      <c r="E648" s="205"/>
      <c r="F648" s="205"/>
      <c r="G648" s="7">
        <f t="shared" si="140"/>
        <v>0</v>
      </c>
      <c r="H648" s="205">
        <f t="shared" si="141"/>
        <v>0</v>
      </c>
      <c r="I648" s="369"/>
      <c r="J648" s="213" t="s">
        <v>21</v>
      </c>
      <c r="K648" s="359" t="s">
        <v>108</v>
      </c>
      <c r="L648" s="359" t="s">
        <v>94</v>
      </c>
      <c r="M648" s="359" t="s">
        <v>138</v>
      </c>
      <c r="N648" s="370"/>
    </row>
    <row r="649" spans="1:14" s="371" customFormat="1" ht="14" outlineLevel="4">
      <c r="A649" s="372" t="s">
        <v>8</v>
      </c>
      <c r="B649" s="377" t="s">
        <v>750</v>
      </c>
      <c r="C649" s="249" t="s">
        <v>139</v>
      </c>
      <c r="D649" s="205"/>
      <c r="E649" s="205"/>
      <c r="F649" s="205"/>
      <c r="G649" s="7">
        <f t="shared" si="140"/>
        <v>0</v>
      </c>
      <c r="H649" s="205">
        <f t="shared" si="141"/>
        <v>0</v>
      </c>
      <c r="I649" s="369"/>
      <c r="J649" s="213" t="s">
        <v>21</v>
      </c>
      <c r="K649" s="359" t="s">
        <v>108</v>
      </c>
      <c r="L649" s="359" t="s">
        <v>94</v>
      </c>
      <c r="M649" s="359" t="s">
        <v>138</v>
      </c>
      <c r="N649" s="370"/>
    </row>
    <row r="650" spans="1:14" s="371" customFormat="1" ht="14" outlineLevel="4">
      <c r="A650" s="372" t="s">
        <v>8</v>
      </c>
      <c r="B650" s="377" t="s">
        <v>751</v>
      </c>
      <c r="C650" s="249" t="s">
        <v>139</v>
      </c>
      <c r="D650" s="205"/>
      <c r="E650" s="205"/>
      <c r="F650" s="205"/>
      <c r="G650" s="7">
        <f t="shared" si="140"/>
        <v>0</v>
      </c>
      <c r="H650" s="205">
        <f t="shared" si="141"/>
        <v>0</v>
      </c>
      <c r="I650" s="369"/>
      <c r="J650" s="213" t="s">
        <v>21</v>
      </c>
      <c r="K650" s="359" t="s">
        <v>108</v>
      </c>
      <c r="L650" s="359" t="s">
        <v>94</v>
      </c>
      <c r="M650" s="359" t="s">
        <v>138</v>
      </c>
      <c r="N650" s="370"/>
    </row>
    <row r="651" spans="1:14" s="371" customFormat="1" ht="14" outlineLevel="4">
      <c r="A651" s="372" t="s">
        <v>8</v>
      </c>
      <c r="B651" s="377" t="s">
        <v>752</v>
      </c>
      <c r="C651" s="249" t="s">
        <v>139</v>
      </c>
      <c r="D651" s="205"/>
      <c r="E651" s="205"/>
      <c r="F651" s="205"/>
      <c r="G651" s="7">
        <f t="shared" si="140"/>
        <v>0</v>
      </c>
      <c r="H651" s="205">
        <f t="shared" si="141"/>
        <v>0</v>
      </c>
      <c r="I651" s="369"/>
      <c r="J651" s="213" t="s">
        <v>21</v>
      </c>
      <c r="K651" s="359" t="s">
        <v>108</v>
      </c>
      <c r="L651" s="359" t="s">
        <v>94</v>
      </c>
      <c r="M651" s="359" t="s">
        <v>138</v>
      </c>
      <c r="N651" s="370"/>
    </row>
    <row r="652" spans="1:14" s="371" customFormat="1" ht="14" outlineLevel="4">
      <c r="A652" s="372" t="s">
        <v>8</v>
      </c>
      <c r="B652" s="377" t="s">
        <v>753</v>
      </c>
      <c r="C652" s="249" t="s">
        <v>139</v>
      </c>
      <c r="D652" s="205"/>
      <c r="E652" s="205"/>
      <c r="F652" s="205"/>
      <c r="G652" s="7">
        <f t="shared" si="140"/>
        <v>0</v>
      </c>
      <c r="H652" s="205">
        <f t="shared" si="141"/>
        <v>0</v>
      </c>
      <c r="I652" s="369"/>
      <c r="J652" s="213" t="s">
        <v>21</v>
      </c>
      <c r="K652" s="359" t="s">
        <v>108</v>
      </c>
      <c r="L652" s="359" t="s">
        <v>94</v>
      </c>
      <c r="M652" s="359" t="s">
        <v>138</v>
      </c>
      <c r="N652" s="370"/>
    </row>
    <row r="653" spans="1:14" s="371" customFormat="1" ht="14" outlineLevel="4">
      <c r="A653" s="372" t="s">
        <v>8</v>
      </c>
      <c r="B653" s="377" t="s">
        <v>687</v>
      </c>
      <c r="C653" s="249" t="s">
        <v>715</v>
      </c>
      <c r="D653" s="205"/>
      <c r="E653" s="205"/>
      <c r="F653" s="205"/>
      <c r="G653" s="7">
        <f t="shared" si="140"/>
        <v>0</v>
      </c>
      <c r="H653" s="205">
        <f t="shared" si="141"/>
        <v>0</v>
      </c>
      <c r="I653" s="369"/>
      <c r="J653" s="213" t="s">
        <v>21</v>
      </c>
      <c r="K653" s="359" t="s">
        <v>108</v>
      </c>
      <c r="L653" s="359" t="s">
        <v>94</v>
      </c>
      <c r="M653" s="359" t="s">
        <v>138</v>
      </c>
      <c r="N653" s="370"/>
    </row>
    <row r="654" spans="1:14" s="361" customFormat="1" ht="14" outlineLevel="3">
      <c r="A654" s="354">
        <v>3</v>
      </c>
      <c r="B654" s="363" t="s">
        <v>891</v>
      </c>
      <c r="C654" s="356"/>
      <c r="D654" s="357"/>
      <c r="E654" s="357"/>
      <c r="F654" s="357"/>
      <c r="G654" s="357"/>
      <c r="H654" s="357">
        <f>SUBTOTAL(9,H655:H664)</f>
        <v>0</v>
      </c>
      <c r="I654" s="364"/>
      <c r="J654" s="213" t="s">
        <v>21</v>
      </c>
      <c r="K654" s="359"/>
      <c r="L654" s="359"/>
      <c r="M654" s="359" t="s">
        <v>138</v>
      </c>
      <c r="N654" s="360"/>
    </row>
    <row r="655" spans="1:14" s="371" customFormat="1" ht="14" outlineLevel="4">
      <c r="A655" s="372" t="s">
        <v>8</v>
      </c>
      <c r="B655" s="377" t="s">
        <v>678</v>
      </c>
      <c r="C655" s="249" t="s">
        <v>24</v>
      </c>
      <c r="D655" s="205"/>
      <c r="E655" s="205"/>
      <c r="F655" s="205"/>
      <c r="G655" s="7">
        <f t="shared" ref="G655:G664" si="142">F655*D655</f>
        <v>0</v>
      </c>
      <c r="H655" s="205">
        <f t="shared" ref="H655:H664" si="143">F655*E655</f>
        <v>0</v>
      </c>
      <c r="I655" s="369"/>
      <c r="J655" s="213" t="s">
        <v>21</v>
      </c>
      <c r="K655" s="359" t="s">
        <v>127</v>
      </c>
      <c r="L655" s="359" t="s">
        <v>94</v>
      </c>
      <c r="M655" s="359" t="s">
        <v>138</v>
      </c>
      <c r="N655" s="370"/>
    </row>
    <row r="656" spans="1:14" s="371" customFormat="1" ht="14" outlineLevel="4">
      <c r="A656" s="372" t="s">
        <v>8</v>
      </c>
      <c r="B656" s="377" t="s">
        <v>679</v>
      </c>
      <c r="C656" s="249" t="s">
        <v>15</v>
      </c>
      <c r="D656" s="205"/>
      <c r="E656" s="205"/>
      <c r="F656" s="205"/>
      <c r="G656" s="7">
        <f t="shared" si="142"/>
        <v>0</v>
      </c>
      <c r="H656" s="205">
        <f t="shared" si="143"/>
        <v>0</v>
      </c>
      <c r="I656" s="369"/>
      <c r="J656" s="213" t="s">
        <v>21</v>
      </c>
      <c r="K656" s="359" t="s">
        <v>127</v>
      </c>
      <c r="L656" s="359" t="s">
        <v>94</v>
      </c>
      <c r="M656" s="359" t="s">
        <v>138</v>
      </c>
      <c r="N656" s="370"/>
    </row>
    <row r="657" spans="1:14" s="371" customFormat="1" ht="14" outlineLevel="4">
      <c r="A657" s="372" t="s">
        <v>8</v>
      </c>
      <c r="B657" s="377" t="s">
        <v>680</v>
      </c>
      <c r="C657" s="249" t="s">
        <v>15</v>
      </c>
      <c r="D657" s="205"/>
      <c r="E657" s="205"/>
      <c r="F657" s="205"/>
      <c r="G657" s="7">
        <f t="shared" si="142"/>
        <v>0</v>
      </c>
      <c r="H657" s="205">
        <f t="shared" si="143"/>
        <v>0</v>
      </c>
      <c r="I657" s="369"/>
      <c r="J657" s="213" t="s">
        <v>21</v>
      </c>
      <c r="K657" s="359" t="s">
        <v>127</v>
      </c>
      <c r="L657" s="359" t="s">
        <v>94</v>
      </c>
      <c r="M657" s="359" t="s">
        <v>138</v>
      </c>
      <c r="N657" s="370"/>
    </row>
    <row r="658" spans="1:14" s="371" customFormat="1" ht="14" outlineLevel="4">
      <c r="A658" s="372" t="s">
        <v>8</v>
      </c>
      <c r="B658" s="377" t="s">
        <v>681</v>
      </c>
      <c r="C658" s="249" t="s">
        <v>15</v>
      </c>
      <c r="D658" s="205"/>
      <c r="E658" s="205"/>
      <c r="F658" s="205"/>
      <c r="G658" s="7">
        <f t="shared" si="142"/>
        <v>0</v>
      </c>
      <c r="H658" s="205">
        <f t="shared" si="143"/>
        <v>0</v>
      </c>
      <c r="I658" s="369"/>
      <c r="J658" s="213" t="s">
        <v>21</v>
      </c>
      <c r="K658" s="359" t="s">
        <v>127</v>
      </c>
      <c r="L658" s="359" t="s">
        <v>94</v>
      </c>
      <c r="M658" s="359" t="s">
        <v>138</v>
      </c>
      <c r="N658" s="370"/>
    </row>
    <row r="659" spans="1:14" s="371" customFormat="1" ht="14" outlineLevel="4">
      <c r="A659" s="372" t="s">
        <v>8</v>
      </c>
      <c r="B659" s="377" t="s">
        <v>682</v>
      </c>
      <c r="C659" s="249" t="s">
        <v>24</v>
      </c>
      <c r="D659" s="205"/>
      <c r="E659" s="205"/>
      <c r="F659" s="205"/>
      <c r="G659" s="7">
        <f t="shared" si="142"/>
        <v>0</v>
      </c>
      <c r="H659" s="205">
        <f t="shared" si="143"/>
        <v>0</v>
      </c>
      <c r="I659" s="369"/>
      <c r="J659" s="213" t="s">
        <v>21</v>
      </c>
      <c r="K659" s="359" t="s">
        <v>127</v>
      </c>
      <c r="L659" s="359" t="s">
        <v>94</v>
      </c>
      <c r="M659" s="359" t="s">
        <v>138</v>
      </c>
      <c r="N659" s="370"/>
    </row>
    <row r="660" spans="1:14" s="371" customFormat="1" ht="14" outlineLevel="4">
      <c r="A660" s="372" t="s">
        <v>8</v>
      </c>
      <c r="B660" s="377" t="s">
        <v>683</v>
      </c>
      <c r="C660" s="249" t="s">
        <v>15</v>
      </c>
      <c r="D660" s="205"/>
      <c r="E660" s="205"/>
      <c r="F660" s="205"/>
      <c r="G660" s="7">
        <f t="shared" si="142"/>
        <v>0</v>
      </c>
      <c r="H660" s="205">
        <f t="shared" si="143"/>
        <v>0</v>
      </c>
      <c r="I660" s="369"/>
      <c r="J660" s="213" t="s">
        <v>21</v>
      </c>
      <c r="K660" s="359" t="s">
        <v>127</v>
      </c>
      <c r="L660" s="359" t="s">
        <v>94</v>
      </c>
      <c r="M660" s="359" t="s">
        <v>138</v>
      </c>
      <c r="N660" s="370"/>
    </row>
    <row r="661" spans="1:14" s="371" customFormat="1" ht="14" outlineLevel="4">
      <c r="A661" s="372" t="s">
        <v>8</v>
      </c>
      <c r="B661" s="377" t="s">
        <v>684</v>
      </c>
      <c r="C661" s="249" t="s">
        <v>15</v>
      </c>
      <c r="D661" s="205"/>
      <c r="E661" s="205"/>
      <c r="F661" s="205"/>
      <c r="G661" s="7">
        <f t="shared" si="142"/>
        <v>0</v>
      </c>
      <c r="H661" s="205">
        <f t="shared" si="143"/>
        <v>0</v>
      </c>
      <c r="I661" s="369"/>
      <c r="J661" s="213" t="s">
        <v>21</v>
      </c>
      <c r="K661" s="359" t="s">
        <v>127</v>
      </c>
      <c r="L661" s="359" t="s">
        <v>94</v>
      </c>
      <c r="M661" s="359" t="s">
        <v>138</v>
      </c>
      <c r="N661" s="370"/>
    </row>
    <row r="662" spans="1:14" s="371" customFormat="1" ht="14" outlineLevel="4">
      <c r="A662" s="372" t="s">
        <v>8</v>
      </c>
      <c r="B662" s="377" t="s">
        <v>685</v>
      </c>
      <c r="C662" s="249" t="s">
        <v>15</v>
      </c>
      <c r="D662" s="205"/>
      <c r="E662" s="205"/>
      <c r="F662" s="205"/>
      <c r="G662" s="7">
        <f t="shared" si="142"/>
        <v>0</v>
      </c>
      <c r="H662" s="205">
        <f t="shared" si="143"/>
        <v>0</v>
      </c>
      <c r="I662" s="369"/>
      <c r="J662" s="213" t="s">
        <v>21</v>
      </c>
      <c r="K662" s="359" t="s">
        <v>127</v>
      </c>
      <c r="L662" s="359" t="s">
        <v>94</v>
      </c>
      <c r="M662" s="359" t="s">
        <v>138</v>
      </c>
      <c r="N662" s="370"/>
    </row>
    <row r="663" spans="1:14" s="371" customFormat="1" ht="14" outlineLevel="4">
      <c r="A663" s="372" t="s">
        <v>8</v>
      </c>
      <c r="B663" s="377" t="s">
        <v>686</v>
      </c>
      <c r="C663" s="249" t="s">
        <v>15</v>
      </c>
      <c r="D663" s="205"/>
      <c r="E663" s="205"/>
      <c r="F663" s="205"/>
      <c r="G663" s="7">
        <f t="shared" si="142"/>
        <v>0</v>
      </c>
      <c r="H663" s="205">
        <f t="shared" si="143"/>
        <v>0</v>
      </c>
      <c r="I663" s="369"/>
      <c r="J663" s="213" t="s">
        <v>21</v>
      </c>
      <c r="K663" s="359" t="s">
        <v>127</v>
      </c>
      <c r="L663" s="359" t="s">
        <v>94</v>
      </c>
      <c r="M663" s="359" t="s">
        <v>138</v>
      </c>
      <c r="N663" s="370"/>
    </row>
    <row r="664" spans="1:14" s="371" customFormat="1" ht="14" outlineLevel="4">
      <c r="A664" s="372" t="s">
        <v>8</v>
      </c>
      <c r="B664" s="377" t="s">
        <v>687</v>
      </c>
      <c r="C664" s="249" t="s">
        <v>15</v>
      </c>
      <c r="D664" s="205"/>
      <c r="E664" s="205"/>
      <c r="F664" s="205"/>
      <c r="G664" s="7">
        <f t="shared" si="142"/>
        <v>0</v>
      </c>
      <c r="H664" s="205">
        <f t="shared" si="143"/>
        <v>0</v>
      </c>
      <c r="I664" s="369"/>
      <c r="J664" s="213" t="s">
        <v>21</v>
      </c>
      <c r="K664" s="359" t="s">
        <v>127</v>
      </c>
      <c r="L664" s="359" t="s">
        <v>94</v>
      </c>
      <c r="M664" s="359" t="s">
        <v>138</v>
      </c>
      <c r="N664" s="370"/>
    </row>
    <row r="665" spans="1:14" s="361" customFormat="1" ht="15" customHeight="1" outlineLevel="2">
      <c r="A665" s="354" t="s">
        <v>43</v>
      </c>
      <c r="B665" s="362" t="s">
        <v>229</v>
      </c>
      <c r="C665" s="366"/>
      <c r="D665" s="284"/>
      <c r="E665" s="284"/>
      <c r="F665" s="284"/>
      <c r="G665" s="284">
        <f>SUBTOTAL(9,G666:G673)</f>
        <v>1930940</v>
      </c>
      <c r="H665" s="284">
        <f>SUBTOTAL(9,H666:H673)</f>
        <v>311240</v>
      </c>
      <c r="I665" s="284"/>
      <c r="J665" s="213" t="s">
        <v>21</v>
      </c>
      <c r="K665" s="359"/>
      <c r="L665" s="359"/>
      <c r="M665" s="359" t="s">
        <v>32</v>
      </c>
      <c r="N665" s="360"/>
    </row>
    <row r="666" spans="1:14" s="361" customFormat="1" ht="14" outlineLevel="5">
      <c r="A666" s="354">
        <v>1</v>
      </c>
      <c r="B666" s="378" t="s">
        <v>1298</v>
      </c>
      <c r="C666" s="366"/>
      <c r="D666" s="284"/>
      <c r="E666" s="284"/>
      <c r="F666" s="284"/>
      <c r="G666" s="284">
        <f>SUBTOTAL(9,G667:G673)</f>
        <v>1930940</v>
      </c>
      <c r="H666" s="284">
        <f>SUBTOTAL(9,H667:H673)</f>
        <v>311240</v>
      </c>
      <c r="I666" s="284"/>
      <c r="J666" s="213" t="s">
        <v>21</v>
      </c>
      <c r="K666" s="359"/>
      <c r="L666" s="359"/>
      <c r="M666" s="359" t="s">
        <v>32</v>
      </c>
      <c r="N666" s="360"/>
    </row>
    <row r="667" spans="1:14" s="371" customFormat="1" ht="14" outlineLevel="5">
      <c r="A667" s="372" t="s">
        <v>8</v>
      </c>
      <c r="B667" s="373" t="s">
        <v>1293</v>
      </c>
      <c r="C667" s="249" t="s">
        <v>24</v>
      </c>
      <c r="D667" s="205">
        <v>36</v>
      </c>
      <c r="E667" s="205">
        <v>12</v>
      </c>
      <c r="F667" s="205">
        <v>20000</v>
      </c>
      <c r="G667" s="7">
        <f t="shared" ref="G667:G673" si="144">F667*D667</f>
        <v>720000</v>
      </c>
      <c r="H667" s="205">
        <f t="shared" ref="H667:H673" si="145">F667*E667</f>
        <v>240000</v>
      </c>
      <c r="I667" s="369"/>
      <c r="J667" s="213" t="s">
        <v>21</v>
      </c>
      <c r="K667" s="359" t="s">
        <v>110</v>
      </c>
      <c r="L667" s="359" t="s">
        <v>94</v>
      </c>
      <c r="M667" s="359" t="s">
        <v>32</v>
      </c>
      <c r="N667" s="370"/>
    </row>
    <row r="668" spans="1:14" s="371" customFormat="1" ht="14" outlineLevel="5">
      <c r="A668" s="372" t="s">
        <v>8</v>
      </c>
      <c r="B668" s="373" t="s">
        <v>706</v>
      </c>
      <c r="C668" s="249" t="s">
        <v>15</v>
      </c>
      <c r="D668" s="205">
        <v>31</v>
      </c>
      <c r="E668" s="205">
        <v>10</v>
      </c>
      <c r="F668" s="205">
        <v>2500</v>
      </c>
      <c r="G668" s="7">
        <f t="shared" si="144"/>
        <v>77500</v>
      </c>
      <c r="H668" s="205">
        <f t="shared" si="145"/>
        <v>25000</v>
      </c>
      <c r="I668" s="369"/>
      <c r="J668" s="213" t="s">
        <v>21</v>
      </c>
      <c r="K668" s="359" t="s">
        <v>110</v>
      </c>
      <c r="L668" s="359" t="s">
        <v>94</v>
      </c>
      <c r="M668" s="359" t="s">
        <v>32</v>
      </c>
      <c r="N668" s="370"/>
    </row>
    <row r="669" spans="1:14" s="371" customFormat="1" ht="14" outlineLevel="5">
      <c r="A669" s="372" t="s">
        <v>8</v>
      </c>
      <c r="B669" s="373" t="s">
        <v>704</v>
      </c>
      <c r="C669" s="249" t="s">
        <v>15</v>
      </c>
      <c r="D669" s="205">
        <v>11</v>
      </c>
      <c r="E669" s="205">
        <v>4</v>
      </c>
      <c r="F669" s="205">
        <v>560</v>
      </c>
      <c r="G669" s="7">
        <f t="shared" si="144"/>
        <v>6160</v>
      </c>
      <c r="H669" s="205">
        <f t="shared" si="145"/>
        <v>2240</v>
      </c>
      <c r="I669" s="369"/>
      <c r="J669" s="213" t="s">
        <v>21</v>
      </c>
      <c r="K669" s="359" t="s">
        <v>110</v>
      </c>
      <c r="L669" s="359" t="s">
        <v>94</v>
      </c>
      <c r="M669" s="359" t="s">
        <v>32</v>
      </c>
      <c r="N669" s="370"/>
    </row>
    <row r="670" spans="1:14" s="371" customFormat="1" ht="154" outlineLevel="5">
      <c r="A670" s="372" t="s">
        <v>8</v>
      </c>
      <c r="B670" s="373" t="s">
        <v>1294</v>
      </c>
      <c r="C670" s="249" t="s">
        <v>15</v>
      </c>
      <c r="D670" s="205">
        <v>4</v>
      </c>
      <c r="E670" s="205">
        <v>0</v>
      </c>
      <c r="F670" s="205">
        <v>110080</v>
      </c>
      <c r="G670" s="7">
        <f t="shared" si="144"/>
        <v>440320</v>
      </c>
      <c r="H670" s="205">
        <f t="shared" si="145"/>
        <v>0</v>
      </c>
      <c r="I670" s="369"/>
      <c r="J670" s="213" t="s">
        <v>21</v>
      </c>
      <c r="K670" s="359" t="s">
        <v>110</v>
      </c>
      <c r="L670" s="359" t="s">
        <v>94</v>
      </c>
      <c r="M670" s="359" t="s">
        <v>32</v>
      </c>
      <c r="N670" s="370"/>
    </row>
    <row r="671" spans="1:14" s="371" customFormat="1" ht="168" outlineLevel="5">
      <c r="A671" s="372" t="s">
        <v>8</v>
      </c>
      <c r="B671" s="373" t="s">
        <v>1295</v>
      </c>
      <c r="C671" s="249" t="s">
        <v>24</v>
      </c>
      <c r="D671" s="205">
        <v>6</v>
      </c>
      <c r="E671" s="205">
        <v>0</v>
      </c>
      <c r="F671" s="205">
        <v>113960</v>
      </c>
      <c r="G671" s="7">
        <f t="shared" si="144"/>
        <v>683760</v>
      </c>
      <c r="H671" s="205">
        <f t="shared" si="145"/>
        <v>0</v>
      </c>
      <c r="I671" s="369"/>
      <c r="J671" s="213" t="s">
        <v>21</v>
      </c>
      <c r="K671" s="359" t="s">
        <v>110</v>
      </c>
      <c r="L671" s="359" t="s">
        <v>94</v>
      </c>
      <c r="M671" s="359" t="s">
        <v>32</v>
      </c>
      <c r="N671" s="370"/>
    </row>
    <row r="672" spans="1:14" s="371" customFormat="1" ht="14" outlineLevel="5">
      <c r="A672" s="372" t="s">
        <v>8</v>
      </c>
      <c r="B672" s="373" t="s">
        <v>1296</v>
      </c>
      <c r="C672" s="249" t="s">
        <v>15</v>
      </c>
      <c r="D672" s="205">
        <v>0</v>
      </c>
      <c r="E672" s="205">
        <v>4</v>
      </c>
      <c r="F672" s="205">
        <v>11000</v>
      </c>
      <c r="G672" s="7">
        <f t="shared" si="144"/>
        <v>0</v>
      </c>
      <c r="H672" s="205">
        <f t="shared" si="145"/>
        <v>44000</v>
      </c>
      <c r="I672" s="369"/>
      <c r="J672" s="213" t="s">
        <v>21</v>
      </c>
      <c r="K672" s="359" t="s">
        <v>110</v>
      </c>
      <c r="L672" s="359" t="s">
        <v>94</v>
      </c>
      <c r="M672" s="359" t="s">
        <v>32</v>
      </c>
      <c r="N672" s="370"/>
    </row>
    <row r="673" spans="1:14" s="371" customFormat="1" ht="14" outlineLevel="5">
      <c r="A673" s="372" t="s">
        <v>8</v>
      </c>
      <c r="B673" s="373" t="s">
        <v>1297</v>
      </c>
      <c r="C673" s="249" t="s">
        <v>15</v>
      </c>
      <c r="D673" s="205">
        <v>40</v>
      </c>
      <c r="E673" s="205">
        <v>0</v>
      </c>
      <c r="F673" s="205">
        <v>80</v>
      </c>
      <c r="G673" s="7">
        <f t="shared" si="144"/>
        <v>3200</v>
      </c>
      <c r="H673" s="205">
        <f t="shared" si="145"/>
        <v>0</v>
      </c>
      <c r="I673" s="369"/>
      <c r="J673" s="213" t="s">
        <v>21</v>
      </c>
      <c r="K673" s="359" t="s">
        <v>110</v>
      </c>
      <c r="L673" s="359" t="s">
        <v>94</v>
      </c>
      <c r="M673" s="359" t="s">
        <v>32</v>
      </c>
      <c r="N673" s="370"/>
    </row>
    <row r="674" spans="1:14" s="361" customFormat="1" ht="15" customHeight="1" outlineLevel="3">
      <c r="A674" s="354" t="s">
        <v>119</v>
      </c>
      <c r="B674" s="362" t="s">
        <v>232</v>
      </c>
      <c r="C674" s="366"/>
      <c r="D674" s="284"/>
      <c r="E674" s="284"/>
      <c r="F674" s="284"/>
      <c r="G674" s="284">
        <f>SUBTOTAL(9,G675:G682)</f>
        <v>395600</v>
      </c>
      <c r="H674" s="284">
        <f>SUBTOTAL(9,H675:H682)</f>
        <v>0</v>
      </c>
      <c r="I674" s="284"/>
      <c r="J674" s="213" t="s">
        <v>21</v>
      </c>
      <c r="K674" s="359"/>
      <c r="L674" s="359"/>
      <c r="M674" s="359" t="s">
        <v>32</v>
      </c>
      <c r="N674" s="360"/>
    </row>
    <row r="675" spans="1:14" s="371" customFormat="1" ht="14" outlineLevel="5">
      <c r="A675" s="372" t="s">
        <v>8</v>
      </c>
      <c r="B675" s="373" t="s">
        <v>1293</v>
      </c>
      <c r="C675" s="249" t="s">
        <v>23</v>
      </c>
      <c r="D675" s="205">
        <v>9</v>
      </c>
      <c r="E675" s="205">
        <v>0</v>
      </c>
      <c r="F675" s="205">
        <v>20000</v>
      </c>
      <c r="G675" s="7">
        <f t="shared" ref="G675:G682" si="146">F675*D675</f>
        <v>180000</v>
      </c>
      <c r="H675" s="205">
        <f t="shared" ref="H675:H676" si="147">F675*E675</f>
        <v>0</v>
      </c>
      <c r="I675" s="369"/>
      <c r="J675" s="213" t="s">
        <v>21</v>
      </c>
      <c r="K675" s="359" t="s">
        <v>110</v>
      </c>
      <c r="L675" s="359" t="s">
        <v>94</v>
      </c>
      <c r="M675" s="359" t="s">
        <v>32</v>
      </c>
      <c r="N675" s="370"/>
    </row>
    <row r="676" spans="1:14" s="371" customFormat="1" ht="14" outlineLevel="5">
      <c r="A676" s="372" t="s">
        <v>8</v>
      </c>
      <c r="B676" s="373" t="s">
        <v>706</v>
      </c>
      <c r="C676" s="249" t="s">
        <v>139</v>
      </c>
      <c r="D676" s="205">
        <v>14</v>
      </c>
      <c r="E676" s="205">
        <v>0</v>
      </c>
      <c r="F676" s="205">
        <v>2500</v>
      </c>
      <c r="G676" s="7">
        <f t="shared" si="146"/>
        <v>35000</v>
      </c>
      <c r="H676" s="205">
        <f t="shared" si="147"/>
        <v>0</v>
      </c>
      <c r="I676" s="369"/>
      <c r="J676" s="213" t="s">
        <v>21</v>
      </c>
      <c r="K676" s="359" t="s">
        <v>110</v>
      </c>
      <c r="L676" s="359" t="s">
        <v>94</v>
      </c>
      <c r="M676" s="359" t="s">
        <v>32</v>
      </c>
      <c r="N676" s="370"/>
    </row>
    <row r="677" spans="1:14" s="371" customFormat="1" ht="14" outlineLevel="5">
      <c r="A677" s="372" t="s">
        <v>8</v>
      </c>
      <c r="B677" s="373" t="s">
        <v>704</v>
      </c>
      <c r="C677" s="249" t="s">
        <v>139</v>
      </c>
      <c r="D677" s="205">
        <v>0</v>
      </c>
      <c r="E677" s="205">
        <v>0</v>
      </c>
      <c r="F677" s="205">
        <v>560</v>
      </c>
      <c r="G677" s="7">
        <f t="shared" si="146"/>
        <v>0</v>
      </c>
      <c r="H677" s="205">
        <f t="shared" ref="H677:H682" si="148">F677*E677</f>
        <v>0</v>
      </c>
      <c r="I677" s="369"/>
      <c r="J677" s="213" t="s">
        <v>21</v>
      </c>
      <c r="K677" s="359" t="s">
        <v>110</v>
      </c>
      <c r="L677" s="359" t="s">
        <v>94</v>
      </c>
      <c r="M677" s="359" t="s">
        <v>32</v>
      </c>
      <c r="N677" s="370"/>
    </row>
    <row r="678" spans="1:14" s="371" customFormat="1" ht="14" outlineLevel="5">
      <c r="A678" s="372" t="s">
        <v>8</v>
      </c>
      <c r="B678" s="373" t="s">
        <v>1293</v>
      </c>
      <c r="C678" s="249" t="s">
        <v>23</v>
      </c>
      <c r="D678" s="205">
        <v>0</v>
      </c>
      <c r="E678" s="205">
        <v>0</v>
      </c>
      <c r="F678" s="205">
        <v>20000</v>
      </c>
      <c r="G678" s="7">
        <f t="shared" si="146"/>
        <v>0</v>
      </c>
      <c r="H678" s="205">
        <f t="shared" si="148"/>
        <v>0</v>
      </c>
      <c r="I678" s="369"/>
      <c r="J678" s="213" t="s">
        <v>21</v>
      </c>
      <c r="K678" s="359" t="s">
        <v>110</v>
      </c>
      <c r="L678" s="359" t="s">
        <v>94</v>
      </c>
      <c r="M678" s="359" t="s">
        <v>32</v>
      </c>
      <c r="N678" s="370"/>
    </row>
    <row r="679" spans="1:14" s="371" customFormat="1" ht="14" outlineLevel="5">
      <c r="A679" s="372" t="s">
        <v>8</v>
      </c>
      <c r="B679" s="373" t="s">
        <v>706</v>
      </c>
      <c r="C679" s="249" t="s">
        <v>139</v>
      </c>
      <c r="D679" s="205">
        <v>12</v>
      </c>
      <c r="E679" s="205">
        <v>0</v>
      </c>
      <c r="F679" s="205">
        <v>2500</v>
      </c>
      <c r="G679" s="7">
        <f t="shared" si="146"/>
        <v>30000</v>
      </c>
      <c r="H679" s="205">
        <f t="shared" si="148"/>
        <v>0</v>
      </c>
      <c r="I679" s="369"/>
      <c r="J679" s="213" t="s">
        <v>21</v>
      </c>
      <c r="K679" s="359" t="s">
        <v>110</v>
      </c>
      <c r="L679" s="359" t="s">
        <v>94</v>
      </c>
      <c r="M679" s="359" t="s">
        <v>32</v>
      </c>
      <c r="N679" s="370"/>
    </row>
    <row r="680" spans="1:14" s="371" customFormat="1" ht="14" outlineLevel="5">
      <c r="A680" s="372" t="s">
        <v>8</v>
      </c>
      <c r="B680" s="373" t="s">
        <v>704</v>
      </c>
      <c r="C680" s="249" t="s">
        <v>139</v>
      </c>
      <c r="D680" s="205">
        <v>10</v>
      </c>
      <c r="E680" s="205">
        <v>0</v>
      </c>
      <c r="F680" s="205">
        <v>560</v>
      </c>
      <c r="G680" s="7">
        <f t="shared" si="146"/>
        <v>5600</v>
      </c>
      <c r="H680" s="205">
        <f t="shared" si="148"/>
        <v>0</v>
      </c>
      <c r="I680" s="369"/>
      <c r="J680" s="213" t="s">
        <v>21</v>
      </c>
      <c r="K680" s="359" t="s">
        <v>110</v>
      </c>
      <c r="L680" s="359" t="s">
        <v>94</v>
      </c>
      <c r="M680" s="359" t="s">
        <v>32</v>
      </c>
      <c r="N680" s="370"/>
    </row>
    <row r="681" spans="1:14" s="371" customFormat="1" ht="14" outlineLevel="5">
      <c r="A681" s="372" t="s">
        <v>8</v>
      </c>
      <c r="B681" s="373" t="s">
        <v>1296</v>
      </c>
      <c r="C681" s="249" t="s">
        <v>24</v>
      </c>
      <c r="D681" s="205">
        <v>5</v>
      </c>
      <c r="E681" s="205">
        <v>0</v>
      </c>
      <c r="F681" s="205">
        <v>11000</v>
      </c>
      <c r="G681" s="7">
        <f t="shared" si="146"/>
        <v>55000</v>
      </c>
      <c r="H681" s="205">
        <f t="shared" si="148"/>
        <v>0</v>
      </c>
      <c r="I681" s="369"/>
      <c r="J681" s="213" t="s">
        <v>21</v>
      </c>
      <c r="K681" s="359" t="s">
        <v>110</v>
      </c>
      <c r="L681" s="359" t="s">
        <v>94</v>
      </c>
      <c r="M681" s="359" t="s">
        <v>32</v>
      </c>
      <c r="N681" s="370"/>
    </row>
    <row r="682" spans="1:14" s="371" customFormat="1" ht="14" outlineLevel="5">
      <c r="A682" s="372" t="s">
        <v>8</v>
      </c>
      <c r="B682" s="373" t="s">
        <v>1299</v>
      </c>
      <c r="C682" s="249" t="s">
        <v>23</v>
      </c>
      <c r="D682" s="205">
        <v>3</v>
      </c>
      <c r="E682" s="205"/>
      <c r="F682" s="205">
        <v>30000</v>
      </c>
      <c r="G682" s="7">
        <f t="shared" si="146"/>
        <v>90000</v>
      </c>
      <c r="H682" s="205">
        <f t="shared" si="148"/>
        <v>0</v>
      </c>
      <c r="I682" s="369"/>
      <c r="J682" s="213" t="s">
        <v>21</v>
      </c>
      <c r="K682" s="359" t="s">
        <v>110</v>
      </c>
      <c r="L682" s="359" t="s">
        <v>94</v>
      </c>
      <c r="M682" s="359" t="s">
        <v>32</v>
      </c>
      <c r="N682" s="370"/>
    </row>
    <row r="683" spans="1:14" s="361" customFormat="1" ht="15" customHeight="1" outlineLevel="3">
      <c r="A683" s="354" t="s">
        <v>233</v>
      </c>
      <c r="B683" s="362" t="s">
        <v>234</v>
      </c>
      <c r="C683" s="366"/>
      <c r="D683" s="284"/>
      <c r="E683" s="284"/>
      <c r="F683" s="284"/>
      <c r="G683" s="284"/>
      <c r="H683" s="284"/>
      <c r="I683" s="284"/>
      <c r="J683" s="213" t="s">
        <v>21</v>
      </c>
      <c r="K683" s="359"/>
      <c r="L683" s="359"/>
      <c r="M683" s="359" t="s">
        <v>32</v>
      </c>
      <c r="N683" s="360"/>
    </row>
    <row r="684" spans="1:14" s="361" customFormat="1" ht="13" customHeight="1" outlineLevel="4">
      <c r="A684" s="354">
        <v>1</v>
      </c>
      <c r="B684" s="362" t="s">
        <v>1300</v>
      </c>
      <c r="C684" s="366"/>
      <c r="D684" s="284"/>
      <c r="E684" s="284"/>
      <c r="F684" s="284"/>
      <c r="G684" s="284">
        <f>SUBTOTAL(9,G685:G687)</f>
        <v>72240</v>
      </c>
      <c r="H684" s="284">
        <f>SUBTOTAL(9,H685:H687)</f>
        <v>72240</v>
      </c>
      <c r="I684" s="284"/>
      <c r="J684" s="213" t="s">
        <v>21</v>
      </c>
      <c r="K684" s="359"/>
      <c r="L684" s="359"/>
      <c r="M684" s="359" t="s">
        <v>32</v>
      </c>
      <c r="N684" s="360"/>
    </row>
    <row r="685" spans="1:14" s="371" customFormat="1" ht="14" outlineLevel="5">
      <c r="A685" s="367" t="s">
        <v>8</v>
      </c>
      <c r="B685" s="368" t="s">
        <v>1299</v>
      </c>
      <c r="C685" s="249" t="s">
        <v>23</v>
      </c>
      <c r="D685" s="205">
        <v>2</v>
      </c>
      <c r="E685" s="205">
        <v>2</v>
      </c>
      <c r="F685" s="205">
        <v>30000</v>
      </c>
      <c r="G685" s="7">
        <f t="shared" ref="G685:G687" si="149">F685*D685</f>
        <v>60000</v>
      </c>
      <c r="H685" s="205">
        <f t="shared" ref="H685:H687" si="150">F685*E685</f>
        <v>60000</v>
      </c>
      <c r="I685" s="369"/>
      <c r="J685" s="213" t="s">
        <v>21</v>
      </c>
      <c r="K685" s="359" t="s">
        <v>110</v>
      </c>
      <c r="L685" s="359" t="s">
        <v>94</v>
      </c>
      <c r="M685" s="359" t="s">
        <v>32</v>
      </c>
      <c r="N685" s="370"/>
    </row>
    <row r="686" spans="1:14" s="371" customFormat="1" ht="14" outlineLevel="5">
      <c r="A686" s="372" t="s">
        <v>8</v>
      </c>
      <c r="B686" s="373" t="s">
        <v>706</v>
      </c>
      <c r="C686" s="249" t="s">
        <v>139</v>
      </c>
      <c r="D686" s="205">
        <v>4</v>
      </c>
      <c r="E686" s="205">
        <v>4</v>
      </c>
      <c r="F686" s="205">
        <v>2500</v>
      </c>
      <c r="G686" s="7">
        <f t="shared" si="149"/>
        <v>10000</v>
      </c>
      <c r="H686" s="205">
        <f t="shared" si="150"/>
        <v>10000</v>
      </c>
      <c r="I686" s="369"/>
      <c r="J686" s="213" t="s">
        <v>21</v>
      </c>
      <c r="K686" s="359" t="s">
        <v>110</v>
      </c>
      <c r="L686" s="359" t="s">
        <v>94</v>
      </c>
      <c r="M686" s="359" t="s">
        <v>32</v>
      </c>
      <c r="N686" s="370"/>
    </row>
    <row r="687" spans="1:14" s="371" customFormat="1" ht="14" outlineLevel="5">
      <c r="A687" s="372" t="s">
        <v>8</v>
      </c>
      <c r="B687" s="373" t="s">
        <v>704</v>
      </c>
      <c r="C687" s="249" t="s">
        <v>139</v>
      </c>
      <c r="D687" s="205">
        <v>4</v>
      </c>
      <c r="E687" s="205">
        <v>4</v>
      </c>
      <c r="F687" s="205">
        <v>560</v>
      </c>
      <c r="G687" s="7">
        <f t="shared" si="149"/>
        <v>2240</v>
      </c>
      <c r="H687" s="205">
        <f t="shared" si="150"/>
        <v>2240</v>
      </c>
      <c r="I687" s="369"/>
      <c r="J687" s="213" t="s">
        <v>21</v>
      </c>
      <c r="K687" s="359" t="s">
        <v>110</v>
      </c>
      <c r="L687" s="359" t="s">
        <v>94</v>
      </c>
      <c r="M687" s="359" t="s">
        <v>32</v>
      </c>
      <c r="N687" s="370"/>
    </row>
    <row r="688" spans="1:14" s="361" customFormat="1" ht="13" customHeight="1" outlineLevel="4">
      <c r="A688" s="354">
        <v>2</v>
      </c>
      <c r="B688" s="363" t="s">
        <v>716</v>
      </c>
      <c r="C688" s="366"/>
      <c r="D688" s="284"/>
      <c r="E688" s="284"/>
      <c r="F688" s="284"/>
      <c r="G688" s="284"/>
      <c r="H688" s="284">
        <f>SUBTOTAL(9,H689:H696)</f>
        <v>0</v>
      </c>
      <c r="I688" s="284"/>
      <c r="J688" s="213" t="s">
        <v>21</v>
      </c>
      <c r="K688" s="359"/>
      <c r="L688" s="359"/>
      <c r="M688" s="360"/>
      <c r="N688" s="360"/>
    </row>
    <row r="689" spans="1:14" s="371" customFormat="1" ht="14" outlineLevel="5">
      <c r="A689" s="367" t="s">
        <v>8</v>
      </c>
      <c r="B689" s="368" t="s">
        <v>717</v>
      </c>
      <c r="C689" s="249" t="s">
        <v>714</v>
      </c>
      <c r="D689" s="205"/>
      <c r="E689" s="205"/>
      <c r="F689" s="205"/>
      <c r="G689" s="7">
        <f t="shared" ref="G689:G696" si="151">F689*D689</f>
        <v>0</v>
      </c>
      <c r="H689" s="205">
        <f t="shared" ref="H689:H696" si="152">F689*E689</f>
        <v>0</v>
      </c>
      <c r="I689" s="369"/>
      <c r="J689" s="213" t="s">
        <v>21</v>
      </c>
      <c r="K689" s="359" t="s">
        <v>128</v>
      </c>
      <c r="L689" s="359" t="s">
        <v>94</v>
      </c>
      <c r="M689" s="359" t="s">
        <v>32</v>
      </c>
      <c r="N689" s="370"/>
    </row>
    <row r="690" spans="1:14" s="371" customFormat="1" ht="14" outlineLevel="5">
      <c r="A690" s="372" t="s">
        <v>8</v>
      </c>
      <c r="B690" s="373" t="s">
        <v>718</v>
      </c>
      <c r="C690" s="249" t="s">
        <v>23</v>
      </c>
      <c r="D690" s="205"/>
      <c r="E690" s="205"/>
      <c r="F690" s="205"/>
      <c r="G690" s="7">
        <f t="shared" si="151"/>
        <v>0</v>
      </c>
      <c r="H690" s="205">
        <f t="shared" si="152"/>
        <v>0</v>
      </c>
      <c r="I690" s="369"/>
      <c r="J690" s="213" t="s">
        <v>21</v>
      </c>
      <c r="K690" s="359" t="s">
        <v>128</v>
      </c>
      <c r="L690" s="359" t="s">
        <v>94</v>
      </c>
      <c r="M690" s="359" t="s">
        <v>32</v>
      </c>
      <c r="N690" s="370"/>
    </row>
    <row r="691" spans="1:14" s="371" customFormat="1" ht="14" outlineLevel="5">
      <c r="A691" s="372" t="s">
        <v>8</v>
      </c>
      <c r="B691" s="373" t="s">
        <v>719</v>
      </c>
      <c r="C691" s="249" t="s">
        <v>23</v>
      </c>
      <c r="D691" s="205"/>
      <c r="E691" s="205"/>
      <c r="F691" s="205"/>
      <c r="G691" s="7">
        <f t="shared" si="151"/>
        <v>0</v>
      </c>
      <c r="H691" s="205">
        <f t="shared" si="152"/>
        <v>0</v>
      </c>
      <c r="I691" s="369"/>
      <c r="J691" s="213" t="s">
        <v>21</v>
      </c>
      <c r="K691" s="359" t="s">
        <v>128</v>
      </c>
      <c r="L691" s="359" t="s">
        <v>94</v>
      </c>
      <c r="M691" s="359" t="s">
        <v>32</v>
      </c>
      <c r="N691" s="370"/>
    </row>
    <row r="692" spans="1:14" s="371" customFormat="1" ht="14" outlineLevel="5">
      <c r="A692" s="367" t="s">
        <v>8</v>
      </c>
      <c r="B692" s="368" t="s">
        <v>720</v>
      </c>
      <c r="C692" s="249" t="s">
        <v>23</v>
      </c>
      <c r="D692" s="205"/>
      <c r="E692" s="205"/>
      <c r="F692" s="205"/>
      <c r="G692" s="7">
        <f t="shared" si="151"/>
        <v>0</v>
      </c>
      <c r="H692" s="205">
        <f t="shared" si="152"/>
        <v>0</v>
      </c>
      <c r="I692" s="369"/>
      <c r="J692" s="213" t="s">
        <v>21</v>
      </c>
      <c r="K692" s="359" t="s">
        <v>128</v>
      </c>
      <c r="L692" s="359" t="s">
        <v>94</v>
      </c>
      <c r="M692" s="359" t="s">
        <v>32</v>
      </c>
      <c r="N692" s="370"/>
    </row>
    <row r="693" spans="1:14" s="371" customFormat="1" ht="14" outlineLevel="5">
      <c r="A693" s="372" t="s">
        <v>8</v>
      </c>
      <c r="B693" s="373" t="s">
        <v>721</v>
      </c>
      <c r="C693" s="249" t="s">
        <v>23</v>
      </c>
      <c r="D693" s="205"/>
      <c r="E693" s="205"/>
      <c r="F693" s="205"/>
      <c r="G693" s="7">
        <f t="shared" si="151"/>
        <v>0</v>
      </c>
      <c r="H693" s="205">
        <f t="shared" si="152"/>
        <v>0</v>
      </c>
      <c r="I693" s="369"/>
      <c r="J693" s="213" t="s">
        <v>21</v>
      </c>
      <c r="K693" s="359" t="s">
        <v>128</v>
      </c>
      <c r="L693" s="359" t="s">
        <v>94</v>
      </c>
      <c r="M693" s="359" t="s">
        <v>32</v>
      </c>
      <c r="N693" s="370"/>
    </row>
    <row r="694" spans="1:14" s="371" customFormat="1" ht="14" outlineLevel="5">
      <c r="A694" s="372" t="s">
        <v>8</v>
      </c>
      <c r="B694" s="373" t="s">
        <v>691</v>
      </c>
      <c r="C694" s="249" t="s">
        <v>139</v>
      </c>
      <c r="D694" s="205"/>
      <c r="E694" s="205"/>
      <c r="F694" s="205"/>
      <c r="G694" s="7">
        <f t="shared" si="151"/>
        <v>0</v>
      </c>
      <c r="H694" s="205">
        <f t="shared" si="152"/>
        <v>0</v>
      </c>
      <c r="I694" s="369"/>
      <c r="J694" s="213" t="s">
        <v>21</v>
      </c>
      <c r="K694" s="359" t="s">
        <v>128</v>
      </c>
      <c r="L694" s="359" t="s">
        <v>94</v>
      </c>
      <c r="M694" s="359" t="s">
        <v>32</v>
      </c>
      <c r="N694" s="370"/>
    </row>
    <row r="695" spans="1:14" s="371" customFormat="1" ht="14" outlineLevel="5">
      <c r="A695" s="372" t="s">
        <v>8</v>
      </c>
      <c r="B695" s="373" t="s">
        <v>698</v>
      </c>
      <c r="C695" s="249" t="s">
        <v>139</v>
      </c>
      <c r="D695" s="205"/>
      <c r="E695" s="205"/>
      <c r="F695" s="205"/>
      <c r="G695" s="7">
        <f t="shared" si="151"/>
        <v>0</v>
      </c>
      <c r="H695" s="205">
        <f t="shared" si="152"/>
        <v>0</v>
      </c>
      <c r="I695" s="369"/>
      <c r="J695" s="213" t="s">
        <v>21</v>
      </c>
      <c r="K695" s="359" t="s">
        <v>128</v>
      </c>
      <c r="L695" s="359" t="s">
        <v>94</v>
      </c>
      <c r="M695" s="359" t="s">
        <v>32</v>
      </c>
      <c r="N695" s="370"/>
    </row>
    <row r="696" spans="1:14" s="371" customFormat="1" ht="14" outlineLevel="5">
      <c r="A696" s="367" t="s">
        <v>8</v>
      </c>
      <c r="B696" s="368" t="s">
        <v>687</v>
      </c>
      <c r="C696" s="249" t="s">
        <v>715</v>
      </c>
      <c r="D696" s="205"/>
      <c r="E696" s="205"/>
      <c r="F696" s="205"/>
      <c r="G696" s="7">
        <f t="shared" si="151"/>
        <v>0</v>
      </c>
      <c r="H696" s="205">
        <f t="shared" si="152"/>
        <v>0</v>
      </c>
      <c r="I696" s="369"/>
      <c r="J696" s="213" t="s">
        <v>21</v>
      </c>
      <c r="K696" s="359" t="s">
        <v>128</v>
      </c>
      <c r="L696" s="359" t="s">
        <v>94</v>
      </c>
      <c r="M696" s="359" t="s">
        <v>32</v>
      </c>
      <c r="N696" s="370"/>
    </row>
    <row r="697" spans="1:14" s="361" customFormat="1" ht="13" customHeight="1" outlineLevel="4">
      <c r="A697" s="354">
        <v>3</v>
      </c>
      <c r="B697" s="363" t="s">
        <v>722</v>
      </c>
      <c r="C697" s="366"/>
      <c r="D697" s="284"/>
      <c r="E697" s="284"/>
      <c r="F697" s="284"/>
      <c r="G697" s="284"/>
      <c r="H697" s="284">
        <f>SUBTOTAL(9,H698:H705)</f>
        <v>0</v>
      </c>
      <c r="I697" s="284"/>
      <c r="J697" s="213" t="s">
        <v>21</v>
      </c>
      <c r="K697" s="359"/>
      <c r="L697" s="359"/>
      <c r="M697" s="360"/>
      <c r="N697" s="360"/>
    </row>
    <row r="698" spans="1:14" s="371" customFormat="1" ht="14" outlineLevel="5">
      <c r="A698" s="367" t="s">
        <v>8</v>
      </c>
      <c r="B698" s="368" t="s">
        <v>723</v>
      </c>
      <c r="C698" s="249" t="s">
        <v>714</v>
      </c>
      <c r="D698" s="205"/>
      <c r="E698" s="205"/>
      <c r="F698" s="205"/>
      <c r="G698" s="7">
        <f t="shared" ref="G698:G705" si="153">F698*D698</f>
        <v>0</v>
      </c>
      <c r="H698" s="205">
        <f t="shared" ref="H698:H705" si="154">F698*E698</f>
        <v>0</v>
      </c>
      <c r="I698" s="369"/>
      <c r="J698" s="213" t="s">
        <v>21</v>
      </c>
      <c r="K698" s="359" t="s">
        <v>128</v>
      </c>
      <c r="L698" s="359" t="s">
        <v>94</v>
      </c>
      <c r="M698" s="359" t="s">
        <v>32</v>
      </c>
      <c r="N698" s="370"/>
    </row>
    <row r="699" spans="1:14" s="371" customFormat="1" ht="14" outlineLevel="5">
      <c r="A699" s="372" t="s">
        <v>8</v>
      </c>
      <c r="B699" s="373" t="s">
        <v>720</v>
      </c>
      <c r="C699" s="249" t="s">
        <v>23</v>
      </c>
      <c r="D699" s="205"/>
      <c r="E699" s="205"/>
      <c r="F699" s="205"/>
      <c r="G699" s="7">
        <f t="shared" si="153"/>
        <v>0</v>
      </c>
      <c r="H699" s="205">
        <f t="shared" si="154"/>
        <v>0</v>
      </c>
      <c r="I699" s="369"/>
      <c r="J699" s="213" t="s">
        <v>21</v>
      </c>
      <c r="K699" s="359" t="s">
        <v>128</v>
      </c>
      <c r="L699" s="359" t="s">
        <v>94</v>
      </c>
      <c r="M699" s="359" t="s">
        <v>32</v>
      </c>
      <c r="N699" s="370"/>
    </row>
    <row r="700" spans="1:14" s="371" customFormat="1" ht="14" outlineLevel="5">
      <c r="A700" s="372" t="s">
        <v>8</v>
      </c>
      <c r="B700" s="373" t="s">
        <v>721</v>
      </c>
      <c r="C700" s="249" t="s">
        <v>23</v>
      </c>
      <c r="D700" s="205"/>
      <c r="E700" s="205"/>
      <c r="F700" s="205"/>
      <c r="G700" s="7">
        <f t="shared" si="153"/>
        <v>0</v>
      </c>
      <c r="H700" s="205">
        <f t="shared" si="154"/>
        <v>0</v>
      </c>
      <c r="I700" s="369"/>
      <c r="J700" s="213" t="s">
        <v>21</v>
      </c>
      <c r="K700" s="359" t="s">
        <v>128</v>
      </c>
      <c r="L700" s="359" t="s">
        <v>94</v>
      </c>
      <c r="M700" s="359" t="s">
        <v>32</v>
      </c>
      <c r="N700" s="370"/>
    </row>
    <row r="701" spans="1:14" s="371" customFormat="1" ht="14" outlineLevel="5">
      <c r="A701" s="367" t="s">
        <v>8</v>
      </c>
      <c r="B701" s="368" t="s">
        <v>724</v>
      </c>
      <c r="C701" s="249" t="s">
        <v>23</v>
      </c>
      <c r="D701" s="205"/>
      <c r="E701" s="205"/>
      <c r="F701" s="205"/>
      <c r="G701" s="7">
        <f t="shared" si="153"/>
        <v>0</v>
      </c>
      <c r="H701" s="205">
        <f t="shared" si="154"/>
        <v>0</v>
      </c>
      <c r="I701" s="369"/>
      <c r="J701" s="213" t="s">
        <v>21</v>
      </c>
      <c r="K701" s="359" t="s">
        <v>128</v>
      </c>
      <c r="L701" s="359" t="s">
        <v>94</v>
      </c>
      <c r="M701" s="359" t="s">
        <v>32</v>
      </c>
      <c r="N701" s="370"/>
    </row>
    <row r="702" spans="1:14" s="371" customFormat="1" ht="14" outlineLevel="5">
      <c r="A702" s="372" t="s">
        <v>8</v>
      </c>
      <c r="B702" s="373" t="s">
        <v>691</v>
      </c>
      <c r="C702" s="249" t="s">
        <v>139</v>
      </c>
      <c r="D702" s="205"/>
      <c r="E702" s="205"/>
      <c r="F702" s="205"/>
      <c r="G702" s="7">
        <f t="shared" si="153"/>
        <v>0</v>
      </c>
      <c r="H702" s="205">
        <f t="shared" si="154"/>
        <v>0</v>
      </c>
      <c r="I702" s="369"/>
      <c r="J702" s="213" t="s">
        <v>21</v>
      </c>
      <c r="K702" s="359" t="s">
        <v>128</v>
      </c>
      <c r="L702" s="359" t="s">
        <v>94</v>
      </c>
      <c r="M702" s="359" t="s">
        <v>32</v>
      </c>
      <c r="N702" s="370"/>
    </row>
    <row r="703" spans="1:14" s="371" customFormat="1" ht="14" outlineLevel="5">
      <c r="A703" s="372" t="s">
        <v>8</v>
      </c>
      <c r="B703" s="373" t="s">
        <v>698</v>
      </c>
      <c r="C703" s="249" t="s">
        <v>139</v>
      </c>
      <c r="D703" s="205"/>
      <c r="E703" s="205"/>
      <c r="F703" s="205"/>
      <c r="G703" s="7">
        <f t="shared" si="153"/>
        <v>0</v>
      </c>
      <c r="H703" s="205">
        <f t="shared" si="154"/>
        <v>0</v>
      </c>
      <c r="I703" s="369"/>
      <c r="J703" s="213" t="s">
        <v>21</v>
      </c>
      <c r="K703" s="359" t="s">
        <v>128</v>
      </c>
      <c r="L703" s="359" t="s">
        <v>94</v>
      </c>
      <c r="M703" s="359" t="s">
        <v>32</v>
      </c>
      <c r="N703" s="370"/>
    </row>
    <row r="704" spans="1:14" s="371" customFormat="1" ht="14" outlineLevel="5">
      <c r="A704" s="372" t="s">
        <v>8</v>
      </c>
      <c r="B704" s="373" t="s">
        <v>710</v>
      </c>
      <c r="C704" s="249" t="s">
        <v>139</v>
      </c>
      <c r="D704" s="205"/>
      <c r="E704" s="205"/>
      <c r="F704" s="205"/>
      <c r="G704" s="7">
        <f t="shared" si="153"/>
        <v>0</v>
      </c>
      <c r="H704" s="205">
        <f t="shared" si="154"/>
        <v>0</v>
      </c>
      <c r="I704" s="369"/>
      <c r="J704" s="213" t="s">
        <v>21</v>
      </c>
      <c r="K704" s="359" t="s">
        <v>128</v>
      </c>
      <c r="L704" s="359" t="s">
        <v>94</v>
      </c>
      <c r="M704" s="359" t="s">
        <v>32</v>
      </c>
      <c r="N704" s="370"/>
    </row>
    <row r="705" spans="1:14" s="371" customFormat="1" ht="14" outlineLevel="5">
      <c r="A705" s="367" t="s">
        <v>8</v>
      </c>
      <c r="B705" s="368" t="s">
        <v>687</v>
      </c>
      <c r="C705" s="249" t="s">
        <v>715</v>
      </c>
      <c r="D705" s="205"/>
      <c r="E705" s="205"/>
      <c r="F705" s="205"/>
      <c r="G705" s="7">
        <f t="shared" si="153"/>
        <v>0</v>
      </c>
      <c r="H705" s="205">
        <f t="shared" si="154"/>
        <v>0</v>
      </c>
      <c r="I705" s="369"/>
      <c r="J705" s="213" t="s">
        <v>21</v>
      </c>
      <c r="K705" s="359" t="s">
        <v>128</v>
      </c>
      <c r="L705" s="359" t="s">
        <v>94</v>
      </c>
      <c r="M705" s="359" t="s">
        <v>32</v>
      </c>
      <c r="N705" s="370"/>
    </row>
    <row r="706" spans="1:14" s="361" customFormat="1" ht="13" customHeight="1" outlineLevel="4">
      <c r="A706" s="354">
        <v>4</v>
      </c>
      <c r="B706" s="363" t="s">
        <v>725</v>
      </c>
      <c r="C706" s="366"/>
      <c r="D706" s="284"/>
      <c r="E706" s="284"/>
      <c r="F706" s="284"/>
      <c r="G706" s="284">
        <f>SUBTOTAL(9,G707:G714)</f>
        <v>227664</v>
      </c>
      <c r="H706" s="284">
        <f>SUBTOTAL(9,H707:H714)</f>
        <v>0</v>
      </c>
      <c r="I706" s="284"/>
      <c r="J706" s="213" t="s">
        <v>21</v>
      </c>
      <c r="K706" s="359"/>
      <c r="L706" s="359"/>
      <c r="M706" s="359" t="s">
        <v>32</v>
      </c>
      <c r="N706" s="360"/>
    </row>
    <row r="707" spans="1:14" s="371" customFormat="1" ht="14" outlineLevel="5">
      <c r="A707" s="367" t="s">
        <v>8</v>
      </c>
      <c r="B707" s="368" t="s">
        <v>1301</v>
      </c>
      <c r="C707" s="249" t="s">
        <v>23</v>
      </c>
      <c r="D707" s="207">
        <v>2</v>
      </c>
      <c r="E707" s="205"/>
      <c r="F707" s="205">
        <v>45000</v>
      </c>
      <c r="G707" s="7">
        <f t="shared" ref="G707:G714" si="155">F707*D707</f>
        <v>90000</v>
      </c>
      <c r="H707" s="205">
        <f t="shared" ref="H707:H710" si="156">F707*E707</f>
        <v>0</v>
      </c>
      <c r="I707" s="369"/>
      <c r="J707" s="213" t="s">
        <v>21</v>
      </c>
      <c r="K707" s="359" t="s">
        <v>128</v>
      </c>
      <c r="L707" s="359" t="s">
        <v>94</v>
      </c>
      <c r="M707" s="359" t="s">
        <v>32</v>
      </c>
      <c r="N707" s="370"/>
    </row>
    <row r="708" spans="1:14" s="371" customFormat="1" ht="14" outlineLevel="5">
      <c r="A708" s="372" t="s">
        <v>8</v>
      </c>
      <c r="B708" s="373" t="s">
        <v>1302</v>
      </c>
      <c r="C708" s="249" t="s">
        <v>139</v>
      </c>
      <c r="D708" s="207">
        <v>160</v>
      </c>
      <c r="E708" s="205"/>
      <c r="F708" s="205">
        <v>77</v>
      </c>
      <c r="G708" s="7">
        <f t="shared" si="155"/>
        <v>12320</v>
      </c>
      <c r="H708" s="205">
        <f t="shared" si="156"/>
        <v>0</v>
      </c>
      <c r="I708" s="369"/>
      <c r="J708" s="213" t="s">
        <v>21</v>
      </c>
      <c r="K708" s="359" t="s">
        <v>128</v>
      </c>
      <c r="L708" s="359" t="s">
        <v>94</v>
      </c>
      <c r="M708" s="359" t="s">
        <v>32</v>
      </c>
      <c r="N708" s="370"/>
    </row>
    <row r="709" spans="1:14" s="371" customFormat="1" ht="14" outlineLevel="5">
      <c r="A709" s="372" t="s">
        <v>8</v>
      </c>
      <c r="B709" s="373" t="s">
        <v>1303</v>
      </c>
      <c r="C709" s="249" t="s">
        <v>669</v>
      </c>
      <c r="D709" s="207">
        <v>320</v>
      </c>
      <c r="E709" s="205"/>
      <c r="F709" s="205">
        <v>4</v>
      </c>
      <c r="G709" s="7">
        <f t="shared" si="155"/>
        <v>1280</v>
      </c>
      <c r="H709" s="205">
        <f t="shared" si="156"/>
        <v>0</v>
      </c>
      <c r="I709" s="369"/>
      <c r="J709" s="213" t="s">
        <v>21</v>
      </c>
      <c r="K709" s="359" t="s">
        <v>128</v>
      </c>
      <c r="L709" s="359" t="s">
        <v>94</v>
      </c>
      <c r="M709" s="359" t="s">
        <v>32</v>
      </c>
      <c r="N709" s="370"/>
    </row>
    <row r="710" spans="1:14" s="371" customFormat="1" ht="14" outlineLevel="5">
      <c r="A710" s="367" t="s">
        <v>8</v>
      </c>
      <c r="B710" s="368" t="s">
        <v>1304</v>
      </c>
      <c r="C710" s="249" t="s">
        <v>23</v>
      </c>
      <c r="D710" s="207">
        <v>2</v>
      </c>
      <c r="E710" s="205"/>
      <c r="F710" s="205">
        <v>53000</v>
      </c>
      <c r="G710" s="7">
        <f t="shared" si="155"/>
        <v>106000</v>
      </c>
      <c r="H710" s="205">
        <f t="shared" si="156"/>
        <v>0</v>
      </c>
      <c r="I710" s="369"/>
      <c r="J710" s="213" t="s">
        <v>21</v>
      </c>
      <c r="K710" s="359" t="s">
        <v>128</v>
      </c>
      <c r="L710" s="359" t="s">
        <v>94</v>
      </c>
      <c r="M710" s="359" t="s">
        <v>32</v>
      </c>
      <c r="N710" s="370"/>
    </row>
    <row r="711" spans="1:14" s="371" customFormat="1" ht="14" outlineLevel="5">
      <c r="A711" s="367" t="s">
        <v>8</v>
      </c>
      <c r="B711" s="368" t="s">
        <v>1305</v>
      </c>
      <c r="C711" s="249" t="s">
        <v>139</v>
      </c>
      <c r="D711" s="207">
        <v>4</v>
      </c>
      <c r="E711" s="205"/>
      <c r="F711" s="205">
        <v>3000</v>
      </c>
      <c r="G711" s="7">
        <f t="shared" si="155"/>
        <v>12000</v>
      </c>
      <c r="H711" s="205">
        <f t="shared" ref="H711:H714" si="157">F711*E711</f>
        <v>0</v>
      </c>
      <c r="I711" s="369"/>
      <c r="J711" s="213" t="s">
        <v>21</v>
      </c>
      <c r="K711" s="359" t="s">
        <v>128</v>
      </c>
      <c r="L711" s="359" t="s">
        <v>94</v>
      </c>
      <c r="M711" s="359" t="s">
        <v>32</v>
      </c>
      <c r="N711" s="370"/>
    </row>
    <row r="712" spans="1:14" s="371" customFormat="1" ht="14" outlineLevel="5">
      <c r="A712" s="372" t="s">
        <v>8</v>
      </c>
      <c r="B712" s="373" t="s">
        <v>1306</v>
      </c>
      <c r="C712" s="249" t="s">
        <v>139</v>
      </c>
      <c r="D712" s="207">
        <v>4</v>
      </c>
      <c r="E712" s="205"/>
      <c r="F712" s="205">
        <v>500</v>
      </c>
      <c r="G712" s="7">
        <f t="shared" si="155"/>
        <v>2000</v>
      </c>
      <c r="H712" s="205">
        <f t="shared" si="157"/>
        <v>0</v>
      </c>
      <c r="I712" s="369"/>
      <c r="J712" s="213" t="s">
        <v>21</v>
      </c>
      <c r="K712" s="359" t="s">
        <v>128</v>
      </c>
      <c r="L712" s="359" t="s">
        <v>94</v>
      </c>
      <c r="M712" s="359" t="s">
        <v>32</v>
      </c>
      <c r="N712" s="370"/>
    </row>
    <row r="713" spans="1:14" s="371" customFormat="1" ht="14" outlineLevel="5">
      <c r="A713" s="372" t="s">
        <v>8</v>
      </c>
      <c r="B713" s="373" t="s">
        <v>1303</v>
      </c>
      <c r="C713" s="249" t="s">
        <v>669</v>
      </c>
      <c r="D713" s="207">
        <v>16</v>
      </c>
      <c r="E713" s="205"/>
      <c r="F713" s="205">
        <v>4</v>
      </c>
      <c r="G713" s="7">
        <f t="shared" si="155"/>
        <v>64</v>
      </c>
      <c r="H713" s="205">
        <f t="shared" si="157"/>
        <v>0</v>
      </c>
      <c r="I713" s="369"/>
      <c r="J713" s="213" t="s">
        <v>21</v>
      </c>
      <c r="K713" s="359" t="s">
        <v>128</v>
      </c>
      <c r="L713" s="359" t="s">
        <v>94</v>
      </c>
      <c r="M713" s="359" t="s">
        <v>32</v>
      </c>
      <c r="N713" s="370"/>
    </row>
    <row r="714" spans="1:14" s="371" customFormat="1" ht="14" outlineLevel="5">
      <c r="A714" s="367" t="s">
        <v>8</v>
      </c>
      <c r="B714" s="368" t="s">
        <v>1307</v>
      </c>
      <c r="C714" s="249" t="s">
        <v>23</v>
      </c>
      <c r="D714" s="207">
        <v>1</v>
      </c>
      <c r="E714" s="205"/>
      <c r="F714" s="205">
        <v>4000</v>
      </c>
      <c r="G714" s="7">
        <f t="shared" si="155"/>
        <v>4000</v>
      </c>
      <c r="H714" s="205">
        <f t="shared" si="157"/>
        <v>0</v>
      </c>
      <c r="I714" s="369"/>
      <c r="J714" s="213" t="s">
        <v>21</v>
      </c>
      <c r="K714" s="359" t="s">
        <v>128</v>
      </c>
      <c r="L714" s="359" t="s">
        <v>94</v>
      </c>
      <c r="M714" s="359" t="s">
        <v>32</v>
      </c>
      <c r="N714" s="370"/>
    </row>
    <row r="715" spans="1:14" s="361" customFormat="1" ht="13" customHeight="1" outlineLevel="4">
      <c r="A715" s="354">
        <v>5</v>
      </c>
      <c r="B715" s="363" t="s">
        <v>730</v>
      </c>
      <c r="C715" s="366"/>
      <c r="D715" s="284"/>
      <c r="E715" s="284"/>
      <c r="F715" s="284"/>
      <c r="G715" s="284"/>
      <c r="H715" s="284">
        <f>SUBTOTAL(9,H716:H728)</f>
        <v>0</v>
      </c>
      <c r="I715" s="284"/>
      <c r="J715" s="213" t="s">
        <v>21</v>
      </c>
      <c r="K715" s="359"/>
      <c r="L715" s="359"/>
      <c r="M715" s="359" t="s">
        <v>32</v>
      </c>
      <c r="N715" s="360"/>
    </row>
    <row r="716" spans="1:14" s="371" customFormat="1" ht="14" outlineLevel="5">
      <c r="A716" s="367" t="s">
        <v>8</v>
      </c>
      <c r="B716" s="368" t="s">
        <v>726</v>
      </c>
      <c r="C716" s="249" t="s">
        <v>714</v>
      </c>
      <c r="D716" s="205"/>
      <c r="E716" s="205"/>
      <c r="F716" s="205"/>
      <c r="G716" s="7">
        <f t="shared" ref="G716:G728" si="158">F716*D716</f>
        <v>0</v>
      </c>
      <c r="H716" s="205">
        <f t="shared" ref="H716" si="159">F716*E716</f>
        <v>0</v>
      </c>
      <c r="I716" s="369"/>
      <c r="J716" s="213" t="s">
        <v>21</v>
      </c>
      <c r="K716" s="359" t="s">
        <v>128</v>
      </c>
      <c r="L716" s="359" t="s">
        <v>94</v>
      </c>
      <c r="M716" s="359" t="s">
        <v>32</v>
      </c>
      <c r="N716" s="370"/>
    </row>
    <row r="717" spans="1:14" s="371" customFormat="1" ht="14" outlineLevel="5">
      <c r="A717" s="367" t="s">
        <v>8</v>
      </c>
      <c r="B717" s="368" t="s">
        <v>731</v>
      </c>
      <c r="C717" s="249" t="s">
        <v>23</v>
      </c>
      <c r="D717" s="205"/>
      <c r="E717" s="205"/>
      <c r="F717" s="205"/>
      <c r="G717" s="7">
        <f t="shared" si="158"/>
        <v>0</v>
      </c>
      <c r="H717" s="205">
        <f t="shared" ref="H717:H728" si="160">F717*E717</f>
        <v>0</v>
      </c>
      <c r="I717" s="369"/>
      <c r="J717" s="213" t="s">
        <v>21</v>
      </c>
      <c r="K717" s="359" t="s">
        <v>128</v>
      </c>
      <c r="L717" s="359" t="s">
        <v>94</v>
      </c>
      <c r="M717" s="359" t="s">
        <v>32</v>
      </c>
      <c r="N717" s="370"/>
    </row>
    <row r="718" spans="1:14" s="371" customFormat="1" ht="14" outlineLevel="5">
      <c r="A718" s="372" t="s">
        <v>8</v>
      </c>
      <c r="B718" s="373" t="s">
        <v>732</v>
      </c>
      <c r="C718" s="249" t="s">
        <v>23</v>
      </c>
      <c r="D718" s="205"/>
      <c r="E718" s="205"/>
      <c r="F718" s="205"/>
      <c r="G718" s="7">
        <f t="shared" si="158"/>
        <v>0</v>
      </c>
      <c r="H718" s="205">
        <f t="shared" si="160"/>
        <v>0</v>
      </c>
      <c r="I718" s="369"/>
      <c r="J718" s="213" t="s">
        <v>21</v>
      </c>
      <c r="K718" s="359" t="s">
        <v>128</v>
      </c>
      <c r="L718" s="359" t="s">
        <v>94</v>
      </c>
      <c r="M718" s="359" t="s">
        <v>32</v>
      </c>
      <c r="N718" s="370"/>
    </row>
    <row r="719" spans="1:14" s="371" customFormat="1" ht="14" outlineLevel="5">
      <c r="A719" s="372" t="s">
        <v>8</v>
      </c>
      <c r="B719" s="373" t="s">
        <v>733</v>
      </c>
      <c r="C719" s="249" t="s">
        <v>23</v>
      </c>
      <c r="D719" s="205"/>
      <c r="E719" s="205"/>
      <c r="F719" s="205"/>
      <c r="G719" s="7">
        <f t="shared" si="158"/>
        <v>0</v>
      </c>
      <c r="H719" s="205">
        <f t="shared" si="160"/>
        <v>0</v>
      </c>
      <c r="I719" s="369"/>
      <c r="J719" s="213" t="s">
        <v>21</v>
      </c>
      <c r="K719" s="359" t="s">
        <v>128</v>
      </c>
      <c r="L719" s="359" t="s">
        <v>94</v>
      </c>
      <c r="M719" s="359" t="s">
        <v>32</v>
      </c>
      <c r="N719" s="370"/>
    </row>
    <row r="720" spans="1:14" s="371" customFormat="1" ht="14" outlineLevel="5">
      <c r="A720" s="367" t="s">
        <v>8</v>
      </c>
      <c r="B720" s="368" t="s">
        <v>734</v>
      </c>
      <c r="C720" s="249" t="s">
        <v>23</v>
      </c>
      <c r="D720" s="205"/>
      <c r="E720" s="205"/>
      <c r="F720" s="205"/>
      <c r="G720" s="7">
        <f t="shared" si="158"/>
        <v>0</v>
      </c>
      <c r="H720" s="205">
        <f t="shared" si="160"/>
        <v>0</v>
      </c>
      <c r="I720" s="369"/>
      <c r="J720" s="213" t="s">
        <v>21</v>
      </c>
      <c r="K720" s="359" t="s">
        <v>128</v>
      </c>
      <c r="L720" s="359" t="s">
        <v>94</v>
      </c>
      <c r="M720" s="359" t="s">
        <v>32</v>
      </c>
      <c r="N720" s="370"/>
    </row>
    <row r="721" spans="1:14" s="371" customFormat="1" ht="14" outlineLevel="5">
      <c r="A721" s="367" t="s">
        <v>8</v>
      </c>
      <c r="B721" s="368" t="s">
        <v>727</v>
      </c>
      <c r="C721" s="249" t="s">
        <v>23</v>
      </c>
      <c r="D721" s="205"/>
      <c r="E721" s="205"/>
      <c r="F721" s="205"/>
      <c r="G721" s="7">
        <f t="shared" si="158"/>
        <v>0</v>
      </c>
      <c r="H721" s="205">
        <f t="shared" si="160"/>
        <v>0</v>
      </c>
      <c r="I721" s="369"/>
      <c r="J721" s="213" t="s">
        <v>21</v>
      </c>
      <c r="K721" s="359" t="s">
        <v>128</v>
      </c>
      <c r="L721" s="359" t="s">
        <v>94</v>
      </c>
      <c r="M721" s="359" t="s">
        <v>32</v>
      </c>
      <c r="N721" s="370"/>
    </row>
    <row r="722" spans="1:14" s="371" customFormat="1" ht="14" outlineLevel="5">
      <c r="A722" s="372" t="s">
        <v>8</v>
      </c>
      <c r="B722" s="373" t="s">
        <v>728</v>
      </c>
      <c r="C722" s="249" t="s">
        <v>139</v>
      </c>
      <c r="D722" s="205"/>
      <c r="E722" s="205"/>
      <c r="F722" s="205"/>
      <c r="G722" s="7">
        <f t="shared" si="158"/>
        <v>0</v>
      </c>
      <c r="H722" s="205">
        <f t="shared" si="160"/>
        <v>0</v>
      </c>
      <c r="I722" s="369"/>
      <c r="J722" s="213" t="s">
        <v>21</v>
      </c>
      <c r="K722" s="359" t="s">
        <v>128</v>
      </c>
      <c r="L722" s="359" t="s">
        <v>94</v>
      </c>
      <c r="M722" s="359" t="s">
        <v>32</v>
      </c>
      <c r="N722" s="370"/>
    </row>
    <row r="723" spans="1:14" s="371" customFormat="1" ht="14" outlineLevel="5">
      <c r="A723" s="372" t="s">
        <v>8</v>
      </c>
      <c r="B723" s="373" t="s">
        <v>729</v>
      </c>
      <c r="C723" s="249" t="s">
        <v>139</v>
      </c>
      <c r="D723" s="205"/>
      <c r="E723" s="205"/>
      <c r="F723" s="205"/>
      <c r="G723" s="7">
        <f t="shared" si="158"/>
        <v>0</v>
      </c>
      <c r="H723" s="205">
        <f t="shared" si="160"/>
        <v>0</v>
      </c>
      <c r="I723" s="369"/>
      <c r="J723" s="213" t="s">
        <v>21</v>
      </c>
      <c r="K723" s="359" t="s">
        <v>128</v>
      </c>
      <c r="L723" s="359" t="s">
        <v>94</v>
      </c>
      <c r="M723" s="359" t="s">
        <v>32</v>
      </c>
      <c r="N723" s="370"/>
    </row>
    <row r="724" spans="1:14" s="371" customFormat="1" ht="14" outlineLevel="5">
      <c r="A724" s="367" t="s">
        <v>8</v>
      </c>
      <c r="B724" s="368" t="s">
        <v>691</v>
      </c>
      <c r="C724" s="249" t="s">
        <v>139</v>
      </c>
      <c r="D724" s="205"/>
      <c r="E724" s="205"/>
      <c r="F724" s="205"/>
      <c r="G724" s="7">
        <f t="shared" si="158"/>
        <v>0</v>
      </c>
      <c r="H724" s="205">
        <f t="shared" si="160"/>
        <v>0</v>
      </c>
      <c r="I724" s="369"/>
      <c r="J724" s="213" t="s">
        <v>21</v>
      </c>
      <c r="K724" s="359" t="s">
        <v>128</v>
      </c>
      <c r="L724" s="359" t="s">
        <v>94</v>
      </c>
      <c r="M724" s="359" t="s">
        <v>32</v>
      </c>
      <c r="N724" s="370"/>
    </row>
    <row r="725" spans="1:14" s="371" customFormat="1" ht="14" outlineLevel="5">
      <c r="A725" s="372" t="s">
        <v>8</v>
      </c>
      <c r="B725" s="373" t="s">
        <v>698</v>
      </c>
      <c r="C725" s="249" t="s">
        <v>139</v>
      </c>
      <c r="D725" s="205"/>
      <c r="E725" s="205"/>
      <c r="F725" s="205"/>
      <c r="G725" s="7">
        <f t="shared" si="158"/>
        <v>0</v>
      </c>
      <c r="H725" s="205">
        <f t="shared" si="160"/>
        <v>0</v>
      </c>
      <c r="I725" s="369"/>
      <c r="J725" s="213" t="s">
        <v>21</v>
      </c>
      <c r="K725" s="359" t="s">
        <v>128</v>
      </c>
      <c r="L725" s="359" t="s">
        <v>94</v>
      </c>
      <c r="M725" s="359" t="s">
        <v>32</v>
      </c>
      <c r="N725" s="370"/>
    </row>
    <row r="726" spans="1:14" s="371" customFormat="1" ht="14" outlineLevel="5">
      <c r="A726" s="372" t="s">
        <v>8</v>
      </c>
      <c r="B726" s="373" t="s">
        <v>341</v>
      </c>
      <c r="C726" s="249" t="s">
        <v>715</v>
      </c>
      <c r="D726" s="205"/>
      <c r="E726" s="205"/>
      <c r="F726" s="205"/>
      <c r="G726" s="7">
        <f t="shared" si="158"/>
        <v>0</v>
      </c>
      <c r="H726" s="205">
        <f t="shared" si="160"/>
        <v>0</v>
      </c>
      <c r="I726" s="369"/>
      <c r="J726" s="213" t="s">
        <v>21</v>
      </c>
      <c r="K726" s="359" t="s">
        <v>128</v>
      </c>
      <c r="L726" s="359" t="s">
        <v>94</v>
      </c>
      <c r="M726" s="359" t="s">
        <v>32</v>
      </c>
      <c r="N726" s="370"/>
    </row>
    <row r="727" spans="1:14" s="371" customFormat="1" ht="14" outlineLevel="5">
      <c r="A727" s="372" t="s">
        <v>8</v>
      </c>
      <c r="B727" s="373" t="s">
        <v>343</v>
      </c>
      <c r="C727" s="249" t="s">
        <v>715</v>
      </c>
      <c r="D727" s="205"/>
      <c r="E727" s="205"/>
      <c r="F727" s="205"/>
      <c r="G727" s="7">
        <f t="shared" si="158"/>
        <v>0</v>
      </c>
      <c r="H727" s="205">
        <f t="shared" si="160"/>
        <v>0</v>
      </c>
      <c r="I727" s="369"/>
      <c r="J727" s="213" t="s">
        <v>21</v>
      </c>
      <c r="K727" s="359" t="s">
        <v>128</v>
      </c>
      <c r="L727" s="359" t="s">
        <v>94</v>
      </c>
      <c r="M727" s="359" t="s">
        <v>32</v>
      </c>
      <c r="N727" s="370"/>
    </row>
    <row r="728" spans="1:14" s="371" customFormat="1" ht="14" outlineLevel="5">
      <c r="A728" s="367" t="s">
        <v>8</v>
      </c>
      <c r="B728" s="368" t="s">
        <v>687</v>
      </c>
      <c r="C728" s="249" t="s">
        <v>715</v>
      </c>
      <c r="D728" s="205"/>
      <c r="E728" s="205"/>
      <c r="F728" s="205"/>
      <c r="G728" s="7">
        <f t="shared" si="158"/>
        <v>0</v>
      </c>
      <c r="H728" s="205">
        <f t="shared" si="160"/>
        <v>0</v>
      </c>
      <c r="I728" s="369"/>
      <c r="J728" s="213" t="s">
        <v>21</v>
      </c>
      <c r="K728" s="359" t="s">
        <v>128</v>
      </c>
      <c r="L728" s="359" t="s">
        <v>94</v>
      </c>
      <c r="M728" s="359" t="s">
        <v>32</v>
      </c>
      <c r="N728" s="370"/>
    </row>
    <row r="729" spans="1:14" s="361" customFormat="1" ht="13" customHeight="1" outlineLevel="4">
      <c r="A729" s="354">
        <v>6</v>
      </c>
      <c r="B729" s="365" t="s">
        <v>735</v>
      </c>
      <c r="C729" s="366"/>
      <c r="D729" s="284"/>
      <c r="E729" s="284"/>
      <c r="F729" s="284"/>
      <c r="G729" s="284"/>
      <c r="H729" s="284">
        <f>SUBTOTAL(9,H730:H736)</f>
        <v>0</v>
      </c>
      <c r="I729" s="284"/>
      <c r="J729" s="213" t="s">
        <v>21</v>
      </c>
      <c r="K729" s="359"/>
      <c r="L729" s="359"/>
      <c r="M729" s="359" t="s">
        <v>32</v>
      </c>
      <c r="N729" s="360"/>
    </row>
    <row r="730" spans="1:14" s="371" customFormat="1" ht="14" outlineLevel="5">
      <c r="A730" s="367" t="s">
        <v>8</v>
      </c>
      <c r="B730" s="368" t="s">
        <v>736</v>
      </c>
      <c r="C730" s="249" t="s">
        <v>714</v>
      </c>
      <c r="D730" s="205"/>
      <c r="E730" s="205"/>
      <c r="F730" s="205"/>
      <c r="G730" s="7">
        <f t="shared" ref="G730:G736" si="161">F730*D730</f>
        <v>0</v>
      </c>
      <c r="H730" s="205">
        <f t="shared" ref="H730:H736" si="162">F730*E730</f>
        <v>0</v>
      </c>
      <c r="I730" s="369"/>
      <c r="J730" s="213" t="s">
        <v>21</v>
      </c>
      <c r="K730" s="359" t="s">
        <v>128</v>
      </c>
      <c r="L730" s="359" t="s">
        <v>94</v>
      </c>
      <c r="M730" s="359" t="s">
        <v>32</v>
      </c>
      <c r="N730" s="370"/>
    </row>
    <row r="731" spans="1:14" s="371" customFormat="1" ht="14" outlineLevel="5">
      <c r="A731" s="367" t="s">
        <v>8</v>
      </c>
      <c r="B731" s="368" t="s">
        <v>728</v>
      </c>
      <c r="C731" s="249" t="s">
        <v>139</v>
      </c>
      <c r="D731" s="205"/>
      <c r="E731" s="205"/>
      <c r="F731" s="205"/>
      <c r="G731" s="7">
        <f t="shared" si="161"/>
        <v>0</v>
      </c>
      <c r="H731" s="205">
        <f t="shared" si="162"/>
        <v>0</v>
      </c>
      <c r="I731" s="369"/>
      <c r="J731" s="213" t="s">
        <v>21</v>
      </c>
      <c r="K731" s="359" t="s">
        <v>128</v>
      </c>
      <c r="L731" s="359" t="s">
        <v>94</v>
      </c>
      <c r="M731" s="359" t="s">
        <v>32</v>
      </c>
      <c r="N731" s="370"/>
    </row>
    <row r="732" spans="1:14" s="371" customFormat="1" ht="14" outlineLevel="5">
      <c r="A732" s="372" t="s">
        <v>8</v>
      </c>
      <c r="B732" s="373" t="s">
        <v>729</v>
      </c>
      <c r="C732" s="249" t="s">
        <v>139</v>
      </c>
      <c r="D732" s="205"/>
      <c r="E732" s="205"/>
      <c r="F732" s="205"/>
      <c r="G732" s="7">
        <f t="shared" si="161"/>
        <v>0</v>
      </c>
      <c r="H732" s="205">
        <f t="shared" si="162"/>
        <v>0</v>
      </c>
      <c r="I732" s="369"/>
      <c r="J732" s="213" t="s">
        <v>21</v>
      </c>
      <c r="K732" s="359" t="s">
        <v>128</v>
      </c>
      <c r="L732" s="359" t="s">
        <v>94</v>
      </c>
      <c r="M732" s="359" t="s">
        <v>32</v>
      </c>
      <c r="N732" s="370"/>
    </row>
    <row r="733" spans="1:14" s="371" customFormat="1" ht="14" outlineLevel="5">
      <c r="A733" s="372" t="s">
        <v>8</v>
      </c>
      <c r="B733" s="373" t="s">
        <v>691</v>
      </c>
      <c r="C733" s="249" t="s">
        <v>139</v>
      </c>
      <c r="D733" s="205"/>
      <c r="E733" s="205"/>
      <c r="F733" s="205"/>
      <c r="G733" s="7">
        <f t="shared" si="161"/>
        <v>0</v>
      </c>
      <c r="H733" s="205">
        <f t="shared" si="162"/>
        <v>0</v>
      </c>
      <c r="I733" s="369"/>
      <c r="J733" s="213" t="s">
        <v>21</v>
      </c>
      <c r="K733" s="359" t="s">
        <v>128</v>
      </c>
      <c r="L733" s="359" t="s">
        <v>94</v>
      </c>
      <c r="M733" s="359" t="s">
        <v>32</v>
      </c>
      <c r="N733" s="370"/>
    </row>
    <row r="734" spans="1:14" s="371" customFormat="1" ht="14" outlineLevel="5">
      <c r="A734" s="367" t="s">
        <v>8</v>
      </c>
      <c r="B734" s="368" t="s">
        <v>341</v>
      </c>
      <c r="C734" s="249" t="s">
        <v>139</v>
      </c>
      <c r="D734" s="205"/>
      <c r="E734" s="205"/>
      <c r="F734" s="205"/>
      <c r="G734" s="7">
        <f t="shared" si="161"/>
        <v>0</v>
      </c>
      <c r="H734" s="205">
        <f t="shared" si="162"/>
        <v>0</v>
      </c>
      <c r="I734" s="369"/>
      <c r="J734" s="213" t="s">
        <v>21</v>
      </c>
      <c r="K734" s="359" t="s">
        <v>128</v>
      </c>
      <c r="L734" s="359" t="s">
        <v>94</v>
      </c>
      <c r="M734" s="359" t="s">
        <v>32</v>
      </c>
      <c r="N734" s="370"/>
    </row>
    <row r="735" spans="1:14" s="371" customFormat="1" ht="14" outlineLevel="5">
      <c r="A735" s="367" t="s">
        <v>8</v>
      </c>
      <c r="B735" s="368" t="s">
        <v>343</v>
      </c>
      <c r="C735" s="249" t="s">
        <v>139</v>
      </c>
      <c r="D735" s="205"/>
      <c r="E735" s="205"/>
      <c r="F735" s="205"/>
      <c r="G735" s="7">
        <f t="shared" si="161"/>
        <v>0</v>
      </c>
      <c r="H735" s="205">
        <f t="shared" si="162"/>
        <v>0</v>
      </c>
      <c r="I735" s="369"/>
      <c r="J735" s="213" t="s">
        <v>21</v>
      </c>
      <c r="K735" s="359" t="s">
        <v>128</v>
      </c>
      <c r="L735" s="359" t="s">
        <v>94</v>
      </c>
      <c r="M735" s="359" t="s">
        <v>32</v>
      </c>
      <c r="N735" s="370"/>
    </row>
    <row r="736" spans="1:14" s="371" customFormat="1" ht="14" outlineLevel="5">
      <c r="A736" s="372" t="s">
        <v>8</v>
      </c>
      <c r="B736" s="373" t="s">
        <v>737</v>
      </c>
      <c r="C736" s="249" t="s">
        <v>715</v>
      </c>
      <c r="D736" s="205"/>
      <c r="E736" s="205"/>
      <c r="F736" s="205"/>
      <c r="G736" s="7">
        <f t="shared" si="161"/>
        <v>0</v>
      </c>
      <c r="H736" s="205">
        <f t="shared" si="162"/>
        <v>0</v>
      </c>
      <c r="I736" s="369"/>
      <c r="J736" s="213" t="s">
        <v>21</v>
      </c>
      <c r="K736" s="359" t="s">
        <v>128</v>
      </c>
      <c r="L736" s="359" t="s">
        <v>94</v>
      </c>
      <c r="M736" s="359" t="s">
        <v>32</v>
      </c>
      <c r="N736" s="370"/>
    </row>
    <row r="737" spans="1:17" s="361" customFormat="1" ht="13" customHeight="1" outlineLevel="4">
      <c r="A737" s="354">
        <v>7</v>
      </c>
      <c r="B737" s="365" t="s">
        <v>738</v>
      </c>
      <c r="C737" s="366"/>
      <c r="D737" s="284"/>
      <c r="E737" s="284"/>
      <c r="F737" s="284"/>
      <c r="G737" s="284"/>
      <c r="H737" s="284">
        <f>SUBTOTAL(9,H738:H743)</f>
        <v>250320</v>
      </c>
      <c r="I737" s="284"/>
      <c r="J737" s="213" t="s">
        <v>21</v>
      </c>
      <c r="K737" s="359"/>
      <c r="L737" s="359"/>
      <c r="M737" s="359" t="s">
        <v>32</v>
      </c>
      <c r="N737" s="360"/>
    </row>
    <row r="738" spans="1:17" s="371" customFormat="1" ht="14" outlineLevel="5">
      <c r="A738" s="367" t="s">
        <v>8</v>
      </c>
      <c r="B738" s="368" t="s">
        <v>1308</v>
      </c>
      <c r="C738" s="249" t="s">
        <v>24</v>
      </c>
      <c r="D738" s="205"/>
      <c r="E738" s="205">
        <v>2</v>
      </c>
      <c r="F738" s="205">
        <v>30000</v>
      </c>
      <c r="G738" s="7">
        <f t="shared" ref="G738:G743" si="163">F738*D738</f>
        <v>0</v>
      </c>
      <c r="H738" s="205">
        <f t="shared" ref="H738:H743" si="164">F738*E738</f>
        <v>60000</v>
      </c>
      <c r="I738" s="369"/>
      <c r="J738" s="213" t="s">
        <v>21</v>
      </c>
      <c r="K738" s="359" t="s">
        <v>128</v>
      </c>
      <c r="L738" s="359" t="s">
        <v>94</v>
      </c>
      <c r="M738" s="359" t="s">
        <v>32</v>
      </c>
      <c r="N738" s="370"/>
    </row>
    <row r="739" spans="1:17" s="371" customFormat="1" ht="14" outlineLevel="5">
      <c r="A739" s="367" t="s">
        <v>8</v>
      </c>
      <c r="B739" s="368" t="s">
        <v>1309</v>
      </c>
      <c r="C739" s="249" t="s">
        <v>23</v>
      </c>
      <c r="D739" s="205"/>
      <c r="E739" s="205">
        <v>4</v>
      </c>
      <c r="F739" s="205">
        <v>45000</v>
      </c>
      <c r="G739" s="7">
        <f t="shared" si="163"/>
        <v>0</v>
      </c>
      <c r="H739" s="205">
        <f t="shared" si="164"/>
        <v>180000</v>
      </c>
      <c r="I739" s="369"/>
      <c r="J739" s="213" t="s">
        <v>21</v>
      </c>
      <c r="K739" s="359" t="s">
        <v>128</v>
      </c>
      <c r="L739" s="359" t="s">
        <v>94</v>
      </c>
      <c r="M739" s="359" t="s">
        <v>32</v>
      </c>
      <c r="N739" s="370"/>
    </row>
    <row r="740" spans="1:17" s="371" customFormat="1" ht="14" outlineLevel="5">
      <c r="A740" s="372" t="s">
        <v>8</v>
      </c>
      <c r="B740" s="373" t="s">
        <v>1302</v>
      </c>
      <c r="C740" s="249" t="s">
        <v>139</v>
      </c>
      <c r="D740" s="205"/>
      <c r="E740" s="205">
        <v>100</v>
      </c>
      <c r="F740" s="205">
        <v>77</v>
      </c>
      <c r="G740" s="7">
        <f t="shared" si="163"/>
        <v>0</v>
      </c>
      <c r="H740" s="205">
        <f t="shared" si="164"/>
        <v>7700</v>
      </c>
      <c r="I740" s="369"/>
      <c r="J740" s="213" t="s">
        <v>21</v>
      </c>
      <c r="K740" s="359" t="s">
        <v>128</v>
      </c>
      <c r="L740" s="359" t="s">
        <v>94</v>
      </c>
      <c r="M740" s="359" t="s">
        <v>32</v>
      </c>
      <c r="N740" s="370"/>
    </row>
    <row r="741" spans="1:17" s="371" customFormat="1" ht="14" outlineLevel="5">
      <c r="A741" s="372" t="s">
        <v>8</v>
      </c>
      <c r="B741" s="373" t="s">
        <v>1310</v>
      </c>
      <c r="C741" s="249" t="s">
        <v>139</v>
      </c>
      <c r="D741" s="205"/>
      <c r="E741" s="205">
        <v>40</v>
      </c>
      <c r="F741" s="205">
        <v>25</v>
      </c>
      <c r="G741" s="7">
        <f t="shared" si="163"/>
        <v>0</v>
      </c>
      <c r="H741" s="205">
        <f t="shared" si="164"/>
        <v>1000</v>
      </c>
      <c r="I741" s="369"/>
      <c r="J741" s="213" t="s">
        <v>21</v>
      </c>
      <c r="K741" s="359" t="s">
        <v>128</v>
      </c>
      <c r="L741" s="359" t="s">
        <v>94</v>
      </c>
      <c r="M741" s="359" t="s">
        <v>32</v>
      </c>
      <c r="N741" s="370"/>
    </row>
    <row r="742" spans="1:17" s="371" customFormat="1" ht="14" outlineLevel="5">
      <c r="A742" s="367" t="s">
        <v>8</v>
      </c>
      <c r="B742" s="368" t="s">
        <v>1311</v>
      </c>
      <c r="C742" s="249" t="s">
        <v>139</v>
      </c>
      <c r="D742" s="205"/>
      <c r="E742" s="205">
        <v>20</v>
      </c>
      <c r="F742" s="205">
        <v>25</v>
      </c>
      <c r="G742" s="7">
        <f t="shared" si="163"/>
        <v>0</v>
      </c>
      <c r="H742" s="205">
        <f t="shared" si="164"/>
        <v>500</v>
      </c>
      <c r="I742" s="369"/>
      <c r="J742" s="213" t="s">
        <v>21</v>
      </c>
      <c r="K742" s="359" t="s">
        <v>128</v>
      </c>
      <c r="L742" s="359" t="s">
        <v>94</v>
      </c>
      <c r="M742" s="359" t="s">
        <v>32</v>
      </c>
      <c r="N742" s="370"/>
    </row>
    <row r="743" spans="1:17" s="371" customFormat="1" ht="14" outlineLevel="5">
      <c r="A743" s="367" t="s">
        <v>8</v>
      </c>
      <c r="B743" s="368" t="s">
        <v>1303</v>
      </c>
      <c r="C743" s="249" t="s">
        <v>669</v>
      </c>
      <c r="D743" s="205"/>
      <c r="E743" s="205">
        <v>280</v>
      </c>
      <c r="F743" s="205">
        <v>4</v>
      </c>
      <c r="G743" s="7">
        <f t="shared" si="163"/>
        <v>0</v>
      </c>
      <c r="H743" s="205">
        <f t="shared" si="164"/>
        <v>1120</v>
      </c>
      <c r="I743" s="369"/>
      <c r="J743" s="213" t="s">
        <v>21</v>
      </c>
      <c r="K743" s="359" t="s">
        <v>128</v>
      </c>
      <c r="L743" s="359" t="s">
        <v>94</v>
      </c>
      <c r="M743" s="359" t="s">
        <v>32</v>
      </c>
      <c r="N743" s="370"/>
    </row>
    <row r="744" spans="1:17" s="361" customFormat="1" ht="13" customHeight="1" outlineLevel="4">
      <c r="A744" s="354">
        <v>8</v>
      </c>
      <c r="B744" s="365" t="s">
        <v>741</v>
      </c>
      <c r="C744" s="366"/>
      <c r="D744" s="284"/>
      <c r="E744" s="284"/>
      <c r="F744" s="284"/>
      <c r="G744" s="284"/>
      <c r="H744" s="284">
        <f>SUBTOTAL(9,H745:H749)</f>
        <v>0</v>
      </c>
      <c r="I744" s="284"/>
      <c r="J744" s="213" t="s">
        <v>21</v>
      </c>
      <c r="K744" s="359"/>
      <c r="L744" s="359"/>
      <c r="M744" s="359" t="s">
        <v>32</v>
      </c>
      <c r="N744" s="360"/>
    </row>
    <row r="745" spans="1:17" s="371" customFormat="1" ht="14" outlineLevel="5">
      <c r="A745" s="367" t="s">
        <v>8</v>
      </c>
      <c r="B745" s="368" t="s">
        <v>337</v>
      </c>
      <c r="C745" s="249" t="s">
        <v>31</v>
      </c>
      <c r="D745" s="205"/>
      <c r="E745" s="205"/>
      <c r="F745" s="205"/>
      <c r="G745" s="7">
        <f t="shared" ref="G745:G749" si="165">F745*D745</f>
        <v>0</v>
      </c>
      <c r="H745" s="205">
        <f t="shared" ref="H745:H749" si="166">F745*E745</f>
        <v>0</v>
      </c>
      <c r="I745" s="369"/>
      <c r="J745" s="213" t="s">
        <v>21</v>
      </c>
      <c r="K745" s="359" t="s">
        <v>128</v>
      </c>
      <c r="L745" s="359" t="s">
        <v>94</v>
      </c>
      <c r="M745" s="359" t="s">
        <v>32</v>
      </c>
      <c r="N745" s="370"/>
    </row>
    <row r="746" spans="1:17" s="371" customFormat="1" ht="14" outlineLevel="5">
      <c r="A746" s="367" t="s">
        <v>8</v>
      </c>
      <c r="B746" s="368" t="s">
        <v>338</v>
      </c>
      <c r="C746" s="249" t="s">
        <v>339</v>
      </c>
      <c r="D746" s="205"/>
      <c r="E746" s="205"/>
      <c r="F746" s="205"/>
      <c r="G746" s="7">
        <f t="shared" si="165"/>
        <v>0</v>
      </c>
      <c r="H746" s="205">
        <f t="shared" si="166"/>
        <v>0</v>
      </c>
      <c r="I746" s="369"/>
      <c r="J746" s="213" t="s">
        <v>21</v>
      </c>
      <c r="K746" s="359" t="s">
        <v>128</v>
      </c>
      <c r="L746" s="359" t="s">
        <v>94</v>
      </c>
      <c r="M746" s="359" t="s">
        <v>32</v>
      </c>
      <c r="N746" s="370"/>
    </row>
    <row r="747" spans="1:17" s="371" customFormat="1" ht="14" outlineLevel="5">
      <c r="A747" s="372" t="s">
        <v>8</v>
      </c>
      <c r="B747" s="373" t="s">
        <v>340</v>
      </c>
      <c r="C747" s="249" t="s">
        <v>339</v>
      </c>
      <c r="D747" s="205"/>
      <c r="E747" s="205"/>
      <c r="F747" s="205"/>
      <c r="G747" s="7">
        <f t="shared" si="165"/>
        <v>0</v>
      </c>
      <c r="H747" s="205">
        <f t="shared" si="166"/>
        <v>0</v>
      </c>
      <c r="I747" s="369"/>
      <c r="J747" s="213" t="s">
        <v>21</v>
      </c>
      <c r="K747" s="359" t="s">
        <v>128</v>
      </c>
      <c r="L747" s="359" t="s">
        <v>94</v>
      </c>
      <c r="M747" s="359" t="s">
        <v>32</v>
      </c>
      <c r="N747" s="370"/>
    </row>
    <row r="748" spans="1:17" s="371" customFormat="1" ht="14" outlineLevel="5">
      <c r="A748" s="372" t="s">
        <v>8</v>
      </c>
      <c r="B748" s="373" t="s">
        <v>341</v>
      </c>
      <c r="C748" s="249" t="s">
        <v>715</v>
      </c>
      <c r="D748" s="205"/>
      <c r="E748" s="205"/>
      <c r="F748" s="205"/>
      <c r="G748" s="7">
        <f t="shared" si="165"/>
        <v>0</v>
      </c>
      <c r="H748" s="205">
        <f t="shared" si="166"/>
        <v>0</v>
      </c>
      <c r="I748" s="369"/>
      <c r="J748" s="213" t="s">
        <v>21</v>
      </c>
      <c r="K748" s="359" t="s">
        <v>128</v>
      </c>
      <c r="L748" s="359" t="s">
        <v>94</v>
      </c>
      <c r="M748" s="359" t="s">
        <v>32</v>
      </c>
      <c r="N748" s="370"/>
    </row>
    <row r="749" spans="1:17" s="371" customFormat="1" ht="14" outlineLevel="5">
      <c r="A749" s="367" t="s">
        <v>8</v>
      </c>
      <c r="B749" s="368" t="s">
        <v>343</v>
      </c>
      <c r="C749" s="249" t="s">
        <v>715</v>
      </c>
      <c r="D749" s="205"/>
      <c r="E749" s="205"/>
      <c r="F749" s="205"/>
      <c r="G749" s="7">
        <f t="shared" si="165"/>
        <v>0</v>
      </c>
      <c r="H749" s="205">
        <f t="shared" si="166"/>
        <v>0</v>
      </c>
      <c r="I749" s="369"/>
      <c r="J749" s="213" t="s">
        <v>21</v>
      </c>
      <c r="K749" s="359" t="s">
        <v>128</v>
      </c>
      <c r="L749" s="359" t="s">
        <v>94</v>
      </c>
      <c r="M749" s="359" t="s">
        <v>32</v>
      </c>
      <c r="N749" s="370"/>
    </row>
    <row r="750" spans="1:17" s="216" customFormat="1" ht="14" outlineLevel="2">
      <c r="A750" s="191" t="s">
        <v>12</v>
      </c>
      <c r="B750" s="153" t="s">
        <v>950</v>
      </c>
      <c r="C750" s="200"/>
      <c r="D750" s="201"/>
      <c r="E750" s="201"/>
      <c r="F750" s="201"/>
      <c r="G750" s="194">
        <f>SUBTOTAL(9,G751:G786)</f>
        <v>0</v>
      </c>
      <c r="H750" s="194">
        <f>SUBTOTAL(9,H751:H786)</f>
        <v>0</v>
      </c>
      <c r="I750" s="195"/>
      <c r="J750" s="213" t="s">
        <v>21</v>
      </c>
      <c r="K750" s="214"/>
      <c r="L750" s="214"/>
      <c r="M750" s="215" t="s">
        <v>138</v>
      </c>
      <c r="N750" s="215"/>
      <c r="P750" s="217"/>
      <c r="Q750" s="259" t="s">
        <v>138</v>
      </c>
    </row>
    <row r="751" spans="1:17" s="219" customFormat="1" ht="14" outlineLevel="3">
      <c r="A751" s="203" t="s">
        <v>8</v>
      </c>
      <c r="B751" s="218" t="s">
        <v>51</v>
      </c>
      <c r="C751" s="200"/>
      <c r="D751" s="201"/>
      <c r="E751" s="201"/>
      <c r="F751" s="201"/>
      <c r="G751" s="201"/>
      <c r="H751" s="201">
        <f t="shared" ref="H751:H761" si="167">F751*E751</f>
        <v>0</v>
      </c>
      <c r="I751" s="202"/>
      <c r="J751" s="213" t="s">
        <v>21</v>
      </c>
      <c r="K751" s="214" t="s">
        <v>108</v>
      </c>
      <c r="L751" s="214" t="s">
        <v>94</v>
      </c>
      <c r="M751" s="215" t="s">
        <v>138</v>
      </c>
      <c r="N751" s="214"/>
      <c r="P751" s="220"/>
      <c r="Q751" s="259" t="s">
        <v>138</v>
      </c>
    </row>
    <row r="752" spans="1:17" s="219" customFormat="1" ht="14" outlineLevel="3">
      <c r="A752" s="203" t="s">
        <v>8</v>
      </c>
      <c r="B752" s="260" t="s">
        <v>204</v>
      </c>
      <c r="C752" s="200" t="s">
        <v>25</v>
      </c>
      <c r="D752" s="201"/>
      <c r="E752" s="201"/>
      <c r="F752" s="201"/>
      <c r="G752" s="7">
        <f t="shared" ref="G752:G753" si="168">F752*D752</f>
        <v>0</v>
      </c>
      <c r="H752" s="201">
        <f t="shared" si="167"/>
        <v>0</v>
      </c>
      <c r="I752" s="202"/>
      <c r="J752" s="213" t="s">
        <v>21</v>
      </c>
      <c r="K752" s="214" t="s">
        <v>108</v>
      </c>
      <c r="L752" s="214" t="s">
        <v>94</v>
      </c>
      <c r="M752" s="215" t="s">
        <v>138</v>
      </c>
      <c r="N752" s="236"/>
      <c r="P752" s="220"/>
      <c r="Q752" s="259" t="s">
        <v>138</v>
      </c>
    </row>
    <row r="753" spans="1:17" s="219" customFormat="1" ht="14" outlineLevel="3">
      <c r="A753" s="203" t="s">
        <v>8</v>
      </c>
      <c r="B753" s="260" t="s">
        <v>205</v>
      </c>
      <c r="C753" s="200" t="s">
        <v>25</v>
      </c>
      <c r="D753" s="201"/>
      <c r="E753" s="201"/>
      <c r="F753" s="201"/>
      <c r="G753" s="7">
        <f t="shared" si="168"/>
        <v>0</v>
      </c>
      <c r="H753" s="201">
        <f t="shared" si="167"/>
        <v>0</v>
      </c>
      <c r="I753" s="202"/>
      <c r="J753" s="213" t="s">
        <v>21</v>
      </c>
      <c r="K753" s="214" t="s">
        <v>108</v>
      </c>
      <c r="L753" s="214" t="s">
        <v>94</v>
      </c>
      <c r="M753" s="215" t="s">
        <v>138</v>
      </c>
      <c r="N753" s="236"/>
      <c r="P753" s="220"/>
      <c r="Q753" s="259" t="s">
        <v>138</v>
      </c>
    </row>
    <row r="754" spans="1:17" s="219" customFormat="1" ht="14" outlineLevel="3">
      <c r="A754" s="203" t="s">
        <v>8</v>
      </c>
      <c r="B754" s="260" t="s">
        <v>46</v>
      </c>
      <c r="C754" s="200"/>
      <c r="D754" s="201"/>
      <c r="E754" s="201"/>
      <c r="F754" s="201"/>
      <c r="G754" s="201"/>
      <c r="H754" s="201">
        <f t="shared" si="167"/>
        <v>0</v>
      </c>
      <c r="I754" s="202"/>
      <c r="J754" s="213" t="s">
        <v>21</v>
      </c>
      <c r="K754" s="214" t="s">
        <v>108</v>
      </c>
      <c r="L754" s="214" t="s">
        <v>94</v>
      </c>
      <c r="M754" s="215" t="s">
        <v>138</v>
      </c>
      <c r="N754" s="236"/>
      <c r="P754" s="220"/>
      <c r="Q754" s="259" t="s">
        <v>138</v>
      </c>
    </row>
    <row r="755" spans="1:17" s="219" customFormat="1" ht="14" outlineLevel="3">
      <c r="A755" s="203" t="s">
        <v>8</v>
      </c>
      <c r="B755" s="260" t="s">
        <v>118</v>
      </c>
      <c r="C755" s="200" t="s">
        <v>25</v>
      </c>
      <c r="D755" s="201"/>
      <c r="E755" s="201"/>
      <c r="F755" s="201"/>
      <c r="G755" s="7">
        <f t="shared" ref="G755:G761" si="169">F755*D755</f>
        <v>0</v>
      </c>
      <c r="H755" s="201">
        <f t="shared" si="167"/>
        <v>0</v>
      </c>
      <c r="I755" s="202"/>
      <c r="J755" s="213" t="s">
        <v>21</v>
      </c>
      <c r="K755" s="214" t="s">
        <v>108</v>
      </c>
      <c r="L755" s="214" t="s">
        <v>94</v>
      </c>
      <c r="M755" s="215" t="s">
        <v>138</v>
      </c>
      <c r="N755" s="236"/>
      <c r="P755" s="220"/>
      <c r="Q755" s="259" t="s">
        <v>138</v>
      </c>
    </row>
    <row r="756" spans="1:17" s="219" customFormat="1" ht="14" outlineLevel="3">
      <c r="A756" s="203" t="s">
        <v>8</v>
      </c>
      <c r="B756" s="260" t="s">
        <v>206</v>
      </c>
      <c r="C756" s="200" t="s">
        <v>25</v>
      </c>
      <c r="D756" s="201"/>
      <c r="E756" s="201"/>
      <c r="F756" s="201"/>
      <c r="G756" s="7">
        <f t="shared" si="169"/>
        <v>0</v>
      </c>
      <c r="H756" s="201">
        <f t="shared" si="167"/>
        <v>0</v>
      </c>
      <c r="I756" s="202"/>
      <c r="J756" s="213" t="s">
        <v>21</v>
      </c>
      <c r="K756" s="214" t="s">
        <v>108</v>
      </c>
      <c r="L756" s="214" t="s">
        <v>94</v>
      </c>
      <c r="M756" s="215" t="s">
        <v>138</v>
      </c>
      <c r="N756" s="236"/>
      <c r="P756" s="220"/>
      <c r="Q756" s="259" t="s">
        <v>138</v>
      </c>
    </row>
    <row r="757" spans="1:17" s="219" customFormat="1" ht="14" outlineLevel="3">
      <c r="A757" s="203" t="s">
        <v>8</v>
      </c>
      <c r="B757" s="261" t="s">
        <v>579</v>
      </c>
      <c r="C757" s="200" t="s">
        <v>25</v>
      </c>
      <c r="D757" s="201"/>
      <c r="E757" s="201"/>
      <c r="F757" s="144"/>
      <c r="G757" s="7">
        <f t="shared" si="169"/>
        <v>0</v>
      </c>
      <c r="H757" s="201">
        <f t="shared" si="167"/>
        <v>0</v>
      </c>
      <c r="I757" s="202"/>
      <c r="J757" s="213" t="s">
        <v>21</v>
      </c>
      <c r="K757" s="214" t="s">
        <v>108</v>
      </c>
      <c r="L757" s="214" t="s">
        <v>94</v>
      </c>
      <c r="M757" s="215" t="s">
        <v>138</v>
      </c>
      <c r="N757" s="236"/>
      <c r="P757" s="220"/>
      <c r="Q757" s="259" t="s">
        <v>138</v>
      </c>
    </row>
    <row r="758" spans="1:17" s="219" customFormat="1" ht="14" outlineLevel="3">
      <c r="A758" s="203" t="s">
        <v>8</v>
      </c>
      <c r="B758" s="260" t="s">
        <v>207</v>
      </c>
      <c r="C758" s="200" t="s">
        <v>25</v>
      </c>
      <c r="D758" s="201"/>
      <c r="E758" s="201"/>
      <c r="F758" s="201"/>
      <c r="G758" s="7">
        <f t="shared" si="169"/>
        <v>0</v>
      </c>
      <c r="H758" s="201">
        <f t="shared" si="167"/>
        <v>0</v>
      </c>
      <c r="I758" s="202"/>
      <c r="J758" s="213" t="s">
        <v>21</v>
      </c>
      <c r="K758" s="214" t="s">
        <v>108</v>
      </c>
      <c r="L758" s="214" t="s">
        <v>94</v>
      </c>
      <c r="M758" s="215" t="s">
        <v>138</v>
      </c>
      <c r="N758" s="236"/>
      <c r="P758" s="220"/>
      <c r="Q758" s="259" t="s">
        <v>138</v>
      </c>
    </row>
    <row r="759" spans="1:17" s="219" customFormat="1" ht="14" outlineLevel="3">
      <c r="A759" s="203" t="s">
        <v>8</v>
      </c>
      <c r="B759" s="260" t="s">
        <v>208</v>
      </c>
      <c r="C759" s="200" t="s">
        <v>25</v>
      </c>
      <c r="D759" s="201"/>
      <c r="E759" s="201"/>
      <c r="F759" s="201"/>
      <c r="G759" s="7">
        <f t="shared" si="169"/>
        <v>0</v>
      </c>
      <c r="H759" s="201">
        <f t="shared" si="167"/>
        <v>0</v>
      </c>
      <c r="I759" s="202"/>
      <c r="J759" s="213" t="s">
        <v>21</v>
      </c>
      <c r="K759" s="214" t="s">
        <v>108</v>
      </c>
      <c r="L759" s="214" t="s">
        <v>94</v>
      </c>
      <c r="M759" s="215" t="s">
        <v>138</v>
      </c>
      <c r="N759" s="236"/>
      <c r="P759" s="220"/>
      <c r="Q759" s="259" t="s">
        <v>138</v>
      </c>
    </row>
    <row r="760" spans="1:17" s="219" customFormat="1" ht="14" outlineLevel="3">
      <c r="A760" s="203" t="s">
        <v>8</v>
      </c>
      <c r="B760" s="260" t="s">
        <v>209</v>
      </c>
      <c r="C760" s="200" t="s">
        <v>25</v>
      </c>
      <c r="D760" s="201"/>
      <c r="E760" s="201"/>
      <c r="F760" s="201"/>
      <c r="G760" s="7">
        <f t="shared" si="169"/>
        <v>0</v>
      </c>
      <c r="H760" s="201">
        <f t="shared" si="167"/>
        <v>0</v>
      </c>
      <c r="I760" s="202"/>
      <c r="J760" s="213" t="s">
        <v>21</v>
      </c>
      <c r="K760" s="214" t="s">
        <v>108</v>
      </c>
      <c r="L760" s="214" t="s">
        <v>94</v>
      </c>
      <c r="M760" s="215" t="s">
        <v>138</v>
      </c>
      <c r="N760" s="236"/>
      <c r="P760" s="220"/>
      <c r="Q760" s="259" t="s">
        <v>138</v>
      </c>
    </row>
    <row r="761" spans="1:17" s="219" customFormat="1" ht="14" outlineLevel="3">
      <c r="A761" s="203" t="s">
        <v>8</v>
      </c>
      <c r="B761" s="260" t="s">
        <v>210</v>
      </c>
      <c r="C761" s="200" t="s">
        <v>25</v>
      </c>
      <c r="D761" s="201"/>
      <c r="E761" s="201"/>
      <c r="F761" s="201"/>
      <c r="G761" s="7">
        <f t="shared" si="169"/>
        <v>0</v>
      </c>
      <c r="H761" s="201">
        <f t="shared" si="167"/>
        <v>0</v>
      </c>
      <c r="I761" s="202"/>
      <c r="J761" s="213" t="s">
        <v>21</v>
      </c>
      <c r="K761" s="214" t="s">
        <v>108</v>
      </c>
      <c r="L761" s="214" t="s">
        <v>94</v>
      </c>
      <c r="M761" s="215" t="s">
        <v>138</v>
      </c>
      <c r="N761" s="236"/>
      <c r="P761" s="220"/>
      <c r="Q761" s="259" t="s">
        <v>138</v>
      </c>
    </row>
    <row r="762" spans="1:17" s="216" customFormat="1" ht="14" outlineLevel="2">
      <c r="A762" s="191" t="s">
        <v>19</v>
      </c>
      <c r="B762" s="153" t="s">
        <v>581</v>
      </c>
      <c r="C762" s="200"/>
      <c r="D762" s="201"/>
      <c r="E762" s="201"/>
      <c r="F762" s="201"/>
      <c r="G762" s="194">
        <f>SUBTOTAL(9,G763:G763)</f>
        <v>0</v>
      </c>
      <c r="H762" s="194">
        <f>SUBTOTAL(9,H763:H763)</f>
        <v>0</v>
      </c>
      <c r="I762" s="195"/>
      <c r="J762" s="213" t="s">
        <v>21</v>
      </c>
      <c r="K762" s="214"/>
      <c r="L762" s="214"/>
      <c r="M762" s="215" t="s">
        <v>138</v>
      </c>
      <c r="N762" s="215"/>
      <c r="P762" s="217"/>
      <c r="Q762" s="259" t="s">
        <v>138</v>
      </c>
    </row>
    <row r="763" spans="1:17" s="219" customFormat="1" ht="14" outlineLevel="3">
      <c r="A763" s="203" t="s">
        <v>8</v>
      </c>
      <c r="B763" s="262" t="s">
        <v>581</v>
      </c>
      <c r="C763" s="200" t="s">
        <v>582</v>
      </c>
      <c r="D763" s="201"/>
      <c r="E763" s="201"/>
      <c r="F763" s="201"/>
      <c r="G763" s="7">
        <f t="shared" ref="G763" si="170">F763*D763</f>
        <v>0</v>
      </c>
      <c r="H763" s="201">
        <f t="shared" ref="H763" si="171">F763*E763</f>
        <v>0</v>
      </c>
      <c r="I763" s="202"/>
      <c r="J763" s="213" t="s">
        <v>21</v>
      </c>
      <c r="K763" s="214" t="s">
        <v>108</v>
      </c>
      <c r="L763" s="214" t="s">
        <v>94</v>
      </c>
      <c r="M763" s="215" t="s">
        <v>138</v>
      </c>
      <c r="N763" s="236"/>
      <c r="P763" s="220"/>
      <c r="Q763" s="259" t="s">
        <v>138</v>
      </c>
    </row>
    <row r="764" spans="1:17" s="216" customFormat="1" ht="14" outlineLevel="2">
      <c r="A764" s="191" t="s">
        <v>26</v>
      </c>
      <c r="B764" s="153" t="s">
        <v>47</v>
      </c>
      <c r="C764" s="193"/>
      <c r="D764" s="194"/>
      <c r="E764" s="194"/>
      <c r="F764" s="194"/>
      <c r="G764" s="194">
        <f>SUBTOTAL(9,G765:G786)</f>
        <v>0</v>
      </c>
      <c r="H764" s="194">
        <f>SUBTOTAL(9,H765:H786)</f>
        <v>0</v>
      </c>
      <c r="I764" s="263"/>
      <c r="J764" s="213" t="s">
        <v>21</v>
      </c>
      <c r="K764" s="214"/>
      <c r="L764" s="214"/>
      <c r="M764" s="215" t="s">
        <v>138</v>
      </c>
      <c r="N764" s="215"/>
      <c r="P764" s="217"/>
      <c r="Q764" s="259" t="s">
        <v>138</v>
      </c>
    </row>
    <row r="765" spans="1:17" s="216" customFormat="1" ht="14" outlineLevel="3">
      <c r="A765" s="191">
        <v>1</v>
      </c>
      <c r="B765" s="153" t="s">
        <v>85</v>
      </c>
      <c r="C765" s="193"/>
      <c r="D765" s="194"/>
      <c r="E765" s="194"/>
      <c r="F765" s="194"/>
      <c r="G765" s="194"/>
      <c r="H765" s="194"/>
      <c r="I765" s="195"/>
      <c r="J765" s="213" t="s">
        <v>21</v>
      </c>
      <c r="K765" s="214"/>
      <c r="L765" s="214"/>
      <c r="M765" s="215" t="s">
        <v>138</v>
      </c>
      <c r="N765" s="215"/>
      <c r="P765" s="217"/>
      <c r="Q765" s="259" t="s">
        <v>138</v>
      </c>
    </row>
    <row r="766" spans="1:17" s="219" customFormat="1" ht="14" outlineLevel="3">
      <c r="A766" s="203" t="s">
        <v>8</v>
      </c>
      <c r="B766" s="260" t="s">
        <v>211</v>
      </c>
      <c r="C766" s="200" t="s">
        <v>24</v>
      </c>
      <c r="D766" s="201"/>
      <c r="E766" s="201"/>
      <c r="F766" s="144"/>
      <c r="G766" s="7">
        <f t="shared" ref="G766:G783" si="172">F766*D766</f>
        <v>0</v>
      </c>
      <c r="H766" s="201">
        <f>E766*F766</f>
        <v>0</v>
      </c>
      <c r="I766" s="202"/>
      <c r="J766" s="213" t="s">
        <v>21</v>
      </c>
      <c r="K766" s="214" t="s">
        <v>108</v>
      </c>
      <c r="L766" s="214" t="s">
        <v>94</v>
      </c>
      <c r="M766" s="215" t="s">
        <v>138</v>
      </c>
      <c r="N766" s="236"/>
      <c r="P766" s="220"/>
      <c r="Q766" s="259" t="s">
        <v>138</v>
      </c>
    </row>
    <row r="767" spans="1:17" s="219" customFormat="1" ht="14" outlineLevel="3">
      <c r="A767" s="203" t="s">
        <v>8</v>
      </c>
      <c r="B767" s="260" t="s">
        <v>212</v>
      </c>
      <c r="C767" s="200" t="s">
        <v>24</v>
      </c>
      <c r="D767" s="201"/>
      <c r="E767" s="201"/>
      <c r="F767" s="201"/>
      <c r="G767" s="7">
        <f t="shared" si="172"/>
        <v>0</v>
      </c>
      <c r="H767" s="201">
        <f t="shared" ref="H767:H783" si="173">F767*E767</f>
        <v>0</v>
      </c>
      <c r="I767" s="202"/>
      <c r="J767" s="213" t="s">
        <v>21</v>
      </c>
      <c r="K767" s="214" t="s">
        <v>108</v>
      </c>
      <c r="L767" s="214" t="s">
        <v>94</v>
      </c>
      <c r="M767" s="215" t="s">
        <v>138</v>
      </c>
      <c r="N767" s="236"/>
      <c r="P767" s="220"/>
      <c r="Q767" s="259" t="s">
        <v>138</v>
      </c>
    </row>
    <row r="768" spans="1:17" s="219" customFormat="1" ht="14" outlineLevel="3">
      <c r="A768" s="203" t="s">
        <v>8</v>
      </c>
      <c r="B768" s="260" t="s">
        <v>213</v>
      </c>
      <c r="C768" s="200" t="s">
        <v>24</v>
      </c>
      <c r="D768" s="201"/>
      <c r="E768" s="201"/>
      <c r="F768" s="144"/>
      <c r="G768" s="7">
        <f t="shared" si="172"/>
        <v>0</v>
      </c>
      <c r="H768" s="201">
        <f t="shared" si="173"/>
        <v>0</v>
      </c>
      <c r="I768" s="202"/>
      <c r="J768" s="213" t="s">
        <v>21</v>
      </c>
      <c r="K768" s="214" t="s">
        <v>108</v>
      </c>
      <c r="L768" s="214" t="s">
        <v>94</v>
      </c>
      <c r="M768" s="215" t="s">
        <v>138</v>
      </c>
      <c r="N768" s="236"/>
      <c r="P768" s="220"/>
      <c r="Q768" s="259" t="s">
        <v>138</v>
      </c>
    </row>
    <row r="769" spans="1:17" s="219" customFormat="1" ht="14" outlineLevel="3">
      <c r="A769" s="203" t="s">
        <v>8</v>
      </c>
      <c r="B769" s="260" t="s">
        <v>214</v>
      </c>
      <c r="C769" s="200" t="s">
        <v>24</v>
      </c>
      <c r="D769" s="201"/>
      <c r="E769" s="201"/>
      <c r="F769" s="201"/>
      <c r="G769" s="7">
        <f t="shared" si="172"/>
        <v>0</v>
      </c>
      <c r="H769" s="201">
        <f t="shared" si="173"/>
        <v>0</v>
      </c>
      <c r="I769" s="202"/>
      <c r="J769" s="213" t="s">
        <v>21</v>
      </c>
      <c r="K769" s="214" t="s">
        <v>108</v>
      </c>
      <c r="L769" s="214" t="s">
        <v>94</v>
      </c>
      <c r="M769" s="215" t="s">
        <v>138</v>
      </c>
      <c r="N769" s="236"/>
      <c r="P769" s="220"/>
      <c r="Q769" s="259" t="s">
        <v>138</v>
      </c>
    </row>
    <row r="770" spans="1:17" s="219" customFormat="1" ht="14" outlineLevel="3">
      <c r="A770" s="203" t="s">
        <v>8</v>
      </c>
      <c r="B770" s="260" t="s">
        <v>215</v>
      </c>
      <c r="C770" s="200" t="s">
        <v>24</v>
      </c>
      <c r="D770" s="201"/>
      <c r="E770" s="201"/>
      <c r="F770" s="201"/>
      <c r="G770" s="7">
        <f t="shared" si="172"/>
        <v>0</v>
      </c>
      <c r="H770" s="201">
        <f t="shared" si="173"/>
        <v>0</v>
      </c>
      <c r="I770" s="202"/>
      <c r="J770" s="213" t="s">
        <v>21</v>
      </c>
      <c r="K770" s="214" t="s">
        <v>108</v>
      </c>
      <c r="L770" s="214" t="s">
        <v>94</v>
      </c>
      <c r="M770" s="215" t="s">
        <v>138</v>
      </c>
      <c r="N770" s="236"/>
      <c r="P770" s="220"/>
      <c r="Q770" s="259" t="s">
        <v>138</v>
      </c>
    </row>
    <row r="771" spans="1:17" s="219" customFormat="1" ht="14" outlineLevel="3">
      <c r="A771" s="203" t="s">
        <v>8</v>
      </c>
      <c r="B771" s="260" t="s">
        <v>216</v>
      </c>
      <c r="C771" s="200" t="s">
        <v>24</v>
      </c>
      <c r="D771" s="201"/>
      <c r="E771" s="201"/>
      <c r="F771" s="201"/>
      <c r="G771" s="7">
        <f t="shared" si="172"/>
        <v>0</v>
      </c>
      <c r="H771" s="201">
        <f t="shared" si="173"/>
        <v>0</v>
      </c>
      <c r="I771" s="202"/>
      <c r="J771" s="213" t="s">
        <v>21</v>
      </c>
      <c r="K771" s="214" t="s">
        <v>108</v>
      </c>
      <c r="L771" s="214" t="s">
        <v>94</v>
      </c>
      <c r="M771" s="215" t="s">
        <v>138</v>
      </c>
      <c r="N771" s="236"/>
      <c r="P771" s="220"/>
      <c r="Q771" s="259" t="s">
        <v>138</v>
      </c>
    </row>
    <row r="772" spans="1:17" s="219" customFormat="1" ht="14" outlineLevel="3">
      <c r="A772" s="203" t="s">
        <v>8</v>
      </c>
      <c r="B772" s="260" t="s">
        <v>584</v>
      </c>
      <c r="C772" s="200" t="s">
        <v>24</v>
      </c>
      <c r="D772" s="201"/>
      <c r="E772" s="201"/>
      <c r="F772" s="144"/>
      <c r="G772" s="7">
        <f t="shared" si="172"/>
        <v>0</v>
      </c>
      <c r="H772" s="201">
        <f t="shared" si="173"/>
        <v>0</v>
      </c>
      <c r="I772" s="202"/>
      <c r="J772" s="213" t="s">
        <v>21</v>
      </c>
      <c r="K772" s="214" t="s">
        <v>108</v>
      </c>
      <c r="L772" s="214" t="s">
        <v>94</v>
      </c>
      <c r="M772" s="215" t="s">
        <v>138</v>
      </c>
      <c r="N772" s="236"/>
      <c r="P772" s="220"/>
      <c r="Q772" s="259" t="s">
        <v>138</v>
      </c>
    </row>
    <row r="773" spans="1:17" s="219" customFormat="1" ht="14" outlineLevel="3">
      <c r="A773" s="203" t="s">
        <v>8</v>
      </c>
      <c r="B773" s="260" t="s">
        <v>585</v>
      </c>
      <c r="C773" s="200" t="s">
        <v>24</v>
      </c>
      <c r="D773" s="201"/>
      <c r="E773" s="201"/>
      <c r="F773" s="144"/>
      <c r="G773" s="7">
        <f t="shared" si="172"/>
        <v>0</v>
      </c>
      <c r="H773" s="201">
        <f t="shared" si="173"/>
        <v>0</v>
      </c>
      <c r="I773" s="202"/>
      <c r="J773" s="213" t="s">
        <v>21</v>
      </c>
      <c r="K773" s="214" t="s">
        <v>108</v>
      </c>
      <c r="L773" s="214" t="s">
        <v>94</v>
      </c>
      <c r="M773" s="215" t="s">
        <v>138</v>
      </c>
      <c r="N773" s="236"/>
      <c r="P773" s="220"/>
      <c r="Q773" s="259" t="s">
        <v>138</v>
      </c>
    </row>
    <row r="774" spans="1:17" s="219" customFormat="1" ht="14" outlineLevel="3">
      <c r="A774" s="203" t="s">
        <v>8</v>
      </c>
      <c r="B774" s="260" t="s">
        <v>217</v>
      </c>
      <c r="C774" s="200" t="s">
        <v>24</v>
      </c>
      <c r="D774" s="201"/>
      <c r="E774" s="201"/>
      <c r="F774" s="201"/>
      <c r="G774" s="7">
        <f t="shared" si="172"/>
        <v>0</v>
      </c>
      <c r="H774" s="201">
        <f t="shared" si="173"/>
        <v>0</v>
      </c>
      <c r="I774" s="202"/>
      <c r="J774" s="213" t="s">
        <v>21</v>
      </c>
      <c r="K774" s="214" t="s">
        <v>108</v>
      </c>
      <c r="L774" s="214" t="s">
        <v>94</v>
      </c>
      <c r="M774" s="215" t="s">
        <v>138</v>
      </c>
      <c r="N774" s="236"/>
      <c r="P774" s="220"/>
      <c r="Q774" s="259" t="s">
        <v>138</v>
      </c>
    </row>
    <row r="775" spans="1:17" s="219" customFormat="1" ht="14" outlineLevel="3">
      <c r="A775" s="203" t="s">
        <v>8</v>
      </c>
      <c r="B775" s="152" t="s">
        <v>218</v>
      </c>
      <c r="C775" s="200" t="s">
        <v>24</v>
      </c>
      <c r="D775" s="201"/>
      <c r="E775" s="201"/>
      <c r="F775" s="144"/>
      <c r="G775" s="7">
        <f t="shared" si="172"/>
        <v>0</v>
      </c>
      <c r="H775" s="201">
        <f t="shared" si="173"/>
        <v>0</v>
      </c>
      <c r="I775" s="202"/>
      <c r="J775" s="213" t="s">
        <v>21</v>
      </c>
      <c r="K775" s="214" t="s">
        <v>108</v>
      </c>
      <c r="L775" s="214" t="s">
        <v>94</v>
      </c>
      <c r="M775" s="215" t="s">
        <v>138</v>
      </c>
      <c r="N775" s="236"/>
      <c r="P775" s="220"/>
      <c r="Q775" s="259" t="s">
        <v>138</v>
      </c>
    </row>
    <row r="776" spans="1:17" s="219" customFormat="1" ht="14" outlineLevel="3">
      <c r="A776" s="203" t="s">
        <v>8</v>
      </c>
      <c r="B776" s="260" t="s">
        <v>219</v>
      </c>
      <c r="C776" s="200" t="s">
        <v>24</v>
      </c>
      <c r="D776" s="201"/>
      <c r="E776" s="201"/>
      <c r="F776" s="201"/>
      <c r="G776" s="7">
        <f t="shared" si="172"/>
        <v>0</v>
      </c>
      <c r="H776" s="201">
        <f t="shared" si="173"/>
        <v>0</v>
      </c>
      <c r="I776" s="202"/>
      <c r="J776" s="213" t="s">
        <v>21</v>
      </c>
      <c r="K776" s="214" t="s">
        <v>108</v>
      </c>
      <c r="L776" s="214" t="s">
        <v>94</v>
      </c>
      <c r="M776" s="215" t="s">
        <v>138</v>
      </c>
      <c r="N776" s="236"/>
      <c r="P776" s="220"/>
      <c r="Q776" s="259" t="s">
        <v>138</v>
      </c>
    </row>
    <row r="777" spans="1:17" s="219" customFormat="1" ht="14" outlineLevel="3">
      <c r="A777" s="203" t="s">
        <v>8</v>
      </c>
      <c r="B777" s="260" t="s">
        <v>220</v>
      </c>
      <c r="C777" s="200" t="s">
        <v>24</v>
      </c>
      <c r="D777" s="201"/>
      <c r="E777" s="201"/>
      <c r="F777" s="201"/>
      <c r="G777" s="7">
        <f t="shared" si="172"/>
        <v>0</v>
      </c>
      <c r="H777" s="201">
        <f t="shared" si="173"/>
        <v>0</v>
      </c>
      <c r="I777" s="202"/>
      <c r="J777" s="213" t="s">
        <v>21</v>
      </c>
      <c r="K777" s="214" t="s">
        <v>108</v>
      </c>
      <c r="L777" s="214" t="s">
        <v>94</v>
      </c>
      <c r="M777" s="215" t="s">
        <v>138</v>
      </c>
      <c r="N777" s="236"/>
      <c r="P777" s="220"/>
      <c r="Q777" s="259" t="s">
        <v>138</v>
      </c>
    </row>
    <row r="778" spans="1:17" s="219" customFormat="1" ht="14" outlineLevel="3">
      <c r="A778" s="203" t="s">
        <v>8</v>
      </c>
      <c r="B778" s="260" t="s">
        <v>221</v>
      </c>
      <c r="C778" s="200" t="s">
        <v>24</v>
      </c>
      <c r="D778" s="201"/>
      <c r="E778" s="201"/>
      <c r="F778" s="201"/>
      <c r="G778" s="7">
        <f t="shared" si="172"/>
        <v>0</v>
      </c>
      <c r="H778" s="201">
        <f t="shared" si="173"/>
        <v>0</v>
      </c>
      <c r="I778" s="202"/>
      <c r="J778" s="213" t="s">
        <v>21</v>
      </c>
      <c r="K778" s="214" t="s">
        <v>108</v>
      </c>
      <c r="L778" s="214" t="s">
        <v>94</v>
      </c>
      <c r="M778" s="215" t="s">
        <v>138</v>
      </c>
      <c r="N778" s="236"/>
      <c r="P778" s="220"/>
      <c r="Q778" s="259" t="s">
        <v>138</v>
      </c>
    </row>
    <row r="779" spans="1:17" s="219" customFormat="1" ht="14" outlineLevel="3">
      <c r="A779" s="203" t="s">
        <v>8</v>
      </c>
      <c r="B779" s="260" t="s">
        <v>222</v>
      </c>
      <c r="C779" s="200" t="s">
        <v>24</v>
      </c>
      <c r="D779" s="201"/>
      <c r="E779" s="201"/>
      <c r="F779" s="201"/>
      <c r="G779" s="7">
        <f t="shared" si="172"/>
        <v>0</v>
      </c>
      <c r="H779" s="201">
        <f t="shared" si="173"/>
        <v>0</v>
      </c>
      <c r="I779" s="202"/>
      <c r="J779" s="213" t="s">
        <v>21</v>
      </c>
      <c r="K779" s="214" t="s">
        <v>108</v>
      </c>
      <c r="L779" s="214" t="s">
        <v>94</v>
      </c>
      <c r="M779" s="215" t="s">
        <v>138</v>
      </c>
      <c r="N779" s="236"/>
      <c r="P779" s="220"/>
      <c r="Q779" s="259" t="s">
        <v>138</v>
      </c>
    </row>
    <row r="780" spans="1:17" s="219" customFormat="1" ht="14" outlineLevel="3">
      <c r="A780" s="203" t="s">
        <v>8</v>
      </c>
      <c r="B780" s="260" t="s">
        <v>223</v>
      </c>
      <c r="C780" s="200" t="s">
        <v>11</v>
      </c>
      <c r="D780" s="201"/>
      <c r="E780" s="201"/>
      <c r="F780" s="145"/>
      <c r="G780" s="7">
        <f t="shared" si="172"/>
        <v>0</v>
      </c>
      <c r="H780" s="201">
        <f t="shared" si="173"/>
        <v>0</v>
      </c>
      <c r="I780" s="202"/>
      <c r="J780" s="213" t="s">
        <v>21</v>
      </c>
      <c r="K780" s="214" t="s">
        <v>108</v>
      </c>
      <c r="L780" s="214" t="s">
        <v>94</v>
      </c>
      <c r="M780" s="215" t="s">
        <v>138</v>
      </c>
      <c r="N780" s="236"/>
      <c r="P780" s="220"/>
      <c r="Q780" s="259" t="s">
        <v>138</v>
      </c>
    </row>
    <row r="781" spans="1:17" s="219" customFormat="1" ht="14" outlineLevel="3">
      <c r="A781" s="203" t="s">
        <v>8</v>
      </c>
      <c r="B781" s="260" t="s">
        <v>224</v>
      </c>
      <c r="C781" s="200" t="s">
        <v>24</v>
      </c>
      <c r="D781" s="201"/>
      <c r="E781" s="201"/>
      <c r="F781" s="145"/>
      <c r="G781" s="7">
        <f t="shared" si="172"/>
        <v>0</v>
      </c>
      <c r="H781" s="201">
        <f t="shared" si="173"/>
        <v>0</v>
      </c>
      <c r="I781" s="202"/>
      <c r="J781" s="213" t="s">
        <v>21</v>
      </c>
      <c r="K781" s="214" t="s">
        <v>108</v>
      </c>
      <c r="L781" s="214" t="s">
        <v>94</v>
      </c>
      <c r="M781" s="215" t="s">
        <v>138</v>
      </c>
      <c r="N781" s="236"/>
      <c r="P781" s="220"/>
      <c r="Q781" s="259" t="s">
        <v>138</v>
      </c>
    </row>
    <row r="782" spans="1:17" s="219" customFormat="1" ht="14" outlineLevel="3">
      <c r="A782" s="203" t="s">
        <v>8</v>
      </c>
      <c r="B782" s="260" t="s">
        <v>225</v>
      </c>
      <c r="C782" s="200" t="s">
        <v>24</v>
      </c>
      <c r="D782" s="201"/>
      <c r="E782" s="201"/>
      <c r="F782" s="201"/>
      <c r="G782" s="7">
        <f t="shared" si="172"/>
        <v>0</v>
      </c>
      <c r="H782" s="201">
        <f t="shared" si="173"/>
        <v>0</v>
      </c>
      <c r="I782" s="202"/>
      <c r="J782" s="213" t="s">
        <v>21</v>
      </c>
      <c r="K782" s="214" t="s">
        <v>108</v>
      </c>
      <c r="L782" s="214" t="s">
        <v>94</v>
      </c>
      <c r="M782" s="215" t="s">
        <v>138</v>
      </c>
      <c r="N782" s="236"/>
      <c r="P782" s="220"/>
      <c r="Q782" s="259" t="s">
        <v>138</v>
      </c>
    </row>
    <row r="783" spans="1:17" s="219" customFormat="1" ht="14" outlineLevel="3">
      <c r="A783" s="203" t="s">
        <v>8</v>
      </c>
      <c r="B783" s="260" t="s">
        <v>226</v>
      </c>
      <c r="C783" s="200" t="s">
        <v>24</v>
      </c>
      <c r="D783" s="201"/>
      <c r="E783" s="201"/>
      <c r="F783" s="201"/>
      <c r="G783" s="7">
        <f t="shared" si="172"/>
        <v>0</v>
      </c>
      <c r="H783" s="201">
        <f t="shared" si="173"/>
        <v>0</v>
      </c>
      <c r="I783" s="202"/>
      <c r="J783" s="213" t="s">
        <v>21</v>
      </c>
      <c r="K783" s="214" t="s">
        <v>108</v>
      </c>
      <c r="L783" s="214" t="s">
        <v>94</v>
      </c>
      <c r="M783" s="215" t="s">
        <v>138</v>
      </c>
      <c r="N783" s="236"/>
      <c r="P783" s="220"/>
      <c r="Q783" s="259" t="s">
        <v>138</v>
      </c>
    </row>
    <row r="784" spans="1:17" s="216" customFormat="1" ht="14" outlineLevel="3">
      <c r="A784" s="191">
        <v>2</v>
      </c>
      <c r="B784" s="153" t="s">
        <v>583</v>
      </c>
      <c r="C784" s="193"/>
      <c r="D784" s="194"/>
      <c r="E784" s="194"/>
      <c r="F784" s="194"/>
      <c r="G784" s="194"/>
      <c r="H784" s="194"/>
      <c r="I784" s="195"/>
      <c r="J784" s="213" t="s">
        <v>21</v>
      </c>
      <c r="K784" s="214"/>
      <c r="L784" s="214"/>
      <c r="M784" s="215" t="s">
        <v>138</v>
      </c>
      <c r="N784" s="215"/>
      <c r="P784" s="217"/>
      <c r="Q784" s="259" t="s">
        <v>138</v>
      </c>
    </row>
    <row r="785" spans="1:17" s="219" customFormat="1" ht="14" outlineLevel="3">
      <c r="A785" s="203" t="s">
        <v>8</v>
      </c>
      <c r="B785" s="218" t="s">
        <v>570</v>
      </c>
      <c r="C785" s="200" t="s">
        <v>48</v>
      </c>
      <c r="D785" s="201"/>
      <c r="E785" s="201"/>
      <c r="F785" s="144"/>
      <c r="G785" s="7">
        <f t="shared" ref="G785:G786" si="174">F785*D785</f>
        <v>0</v>
      </c>
      <c r="H785" s="201">
        <f t="shared" ref="H785:H786" si="175">F785*E785</f>
        <v>0</v>
      </c>
      <c r="I785" s="202"/>
      <c r="J785" s="213" t="s">
        <v>21</v>
      </c>
      <c r="K785" s="214" t="s">
        <v>108</v>
      </c>
      <c r="L785" s="214" t="s">
        <v>94</v>
      </c>
      <c r="M785" s="215" t="s">
        <v>138</v>
      </c>
      <c r="N785" s="236"/>
      <c r="P785" s="220"/>
      <c r="Q785" s="259" t="s">
        <v>138</v>
      </c>
    </row>
    <row r="786" spans="1:17" s="219" customFormat="1" ht="14" outlineLevel="3">
      <c r="A786" s="203" t="s">
        <v>8</v>
      </c>
      <c r="B786" s="218" t="s">
        <v>50</v>
      </c>
      <c r="C786" s="200" t="s">
        <v>48</v>
      </c>
      <c r="D786" s="201"/>
      <c r="E786" s="201"/>
      <c r="F786" s="201"/>
      <c r="G786" s="7">
        <f t="shared" si="174"/>
        <v>0</v>
      </c>
      <c r="H786" s="201">
        <f t="shared" si="175"/>
        <v>0</v>
      </c>
      <c r="I786" s="202"/>
      <c r="J786" s="213" t="s">
        <v>21</v>
      </c>
      <c r="K786" s="214" t="s">
        <v>108</v>
      </c>
      <c r="L786" s="214" t="s">
        <v>94</v>
      </c>
      <c r="M786" s="215" t="s">
        <v>138</v>
      </c>
      <c r="N786" s="236"/>
      <c r="P786" s="220"/>
      <c r="Q786" s="259" t="s">
        <v>138</v>
      </c>
    </row>
    <row r="787" spans="1:17" s="219" customFormat="1" ht="14" outlineLevel="2">
      <c r="A787" s="191" t="s">
        <v>37</v>
      </c>
      <c r="B787" s="192" t="s">
        <v>227</v>
      </c>
      <c r="C787" s="252"/>
      <c r="D787" s="242"/>
      <c r="E787" s="242"/>
      <c r="F787" s="242"/>
      <c r="G787" s="242"/>
      <c r="H787" s="242">
        <f>SUBTOTAL(9,H788:H813)</f>
        <v>0</v>
      </c>
      <c r="I787" s="195"/>
      <c r="J787" s="213" t="s">
        <v>21</v>
      </c>
      <c r="K787" s="214"/>
      <c r="L787" s="214"/>
      <c r="M787" s="214"/>
      <c r="N787" s="214"/>
      <c r="P787" s="220"/>
    </row>
    <row r="788" spans="1:17" s="219" customFormat="1" ht="14" outlineLevel="3">
      <c r="A788" s="191">
        <v>1</v>
      </c>
      <c r="B788" s="192" t="s">
        <v>896</v>
      </c>
      <c r="C788" s="269"/>
      <c r="D788" s="270"/>
      <c r="E788" s="270"/>
      <c r="F788" s="271"/>
      <c r="G788" s="242"/>
      <c r="H788" s="242"/>
      <c r="I788" s="202"/>
      <c r="J788" s="213" t="s">
        <v>21</v>
      </c>
      <c r="K788" s="214"/>
      <c r="L788" s="214"/>
      <c r="M788" s="215" t="s">
        <v>138</v>
      </c>
      <c r="N788" s="214"/>
      <c r="O788" s="237"/>
      <c r="P788" s="220"/>
    </row>
    <row r="789" spans="1:17" s="219" customFormat="1" ht="14" outlineLevel="4">
      <c r="A789" s="208" t="s">
        <v>125</v>
      </c>
      <c r="B789" s="272" t="s">
        <v>588</v>
      </c>
      <c r="C789" s="200" t="s">
        <v>199</v>
      </c>
      <c r="D789" s="201"/>
      <c r="E789" s="201"/>
      <c r="F789" s="201"/>
      <c r="G789" s="7">
        <f t="shared" ref="G789:G795" si="176">F789*D789</f>
        <v>0</v>
      </c>
      <c r="H789" s="201">
        <f t="shared" ref="H789" si="177">F789*E789</f>
        <v>0</v>
      </c>
      <c r="I789" s="202"/>
      <c r="J789" s="213" t="s">
        <v>21</v>
      </c>
      <c r="K789" s="227" t="s">
        <v>127</v>
      </c>
      <c r="L789" s="214" t="s">
        <v>94</v>
      </c>
      <c r="M789" s="215" t="s">
        <v>138</v>
      </c>
      <c r="N789" s="236"/>
      <c r="O789" s="237" t="e">
        <f>#REF!-#REF!</f>
        <v>#REF!</v>
      </c>
      <c r="P789" s="220"/>
    </row>
    <row r="790" spans="1:17" s="219" customFormat="1" ht="14" outlineLevel="4">
      <c r="A790" s="208" t="s">
        <v>125</v>
      </c>
      <c r="B790" s="272" t="s">
        <v>589</v>
      </c>
      <c r="C790" s="200" t="s">
        <v>594</v>
      </c>
      <c r="D790" s="201"/>
      <c r="E790" s="201"/>
      <c r="F790" s="201"/>
      <c r="G790" s="7">
        <f t="shared" si="176"/>
        <v>0</v>
      </c>
      <c r="H790" s="201">
        <f t="shared" ref="H790:H792" si="178">F790*E790</f>
        <v>0</v>
      </c>
      <c r="I790" s="202"/>
      <c r="J790" s="213" t="s">
        <v>21</v>
      </c>
      <c r="K790" s="227" t="s">
        <v>127</v>
      </c>
      <c r="L790" s="214" t="s">
        <v>94</v>
      </c>
      <c r="M790" s="215" t="s">
        <v>138</v>
      </c>
      <c r="N790" s="236"/>
      <c r="O790" s="237" t="e">
        <f>#REF!-#REF!</f>
        <v>#REF!</v>
      </c>
      <c r="P790" s="220"/>
    </row>
    <row r="791" spans="1:17" s="219" customFormat="1" ht="14" outlineLevel="4">
      <c r="A791" s="208" t="s">
        <v>125</v>
      </c>
      <c r="B791" s="272" t="s">
        <v>590</v>
      </c>
      <c r="C791" s="200" t="s">
        <v>199</v>
      </c>
      <c r="D791" s="201"/>
      <c r="E791" s="201"/>
      <c r="F791" s="201"/>
      <c r="G791" s="7">
        <f t="shared" si="176"/>
        <v>0</v>
      </c>
      <c r="H791" s="201">
        <f t="shared" si="178"/>
        <v>0</v>
      </c>
      <c r="I791" s="202"/>
      <c r="J791" s="213" t="s">
        <v>21</v>
      </c>
      <c r="K791" s="227" t="s">
        <v>127</v>
      </c>
      <c r="L791" s="214" t="s">
        <v>94</v>
      </c>
      <c r="M791" s="215" t="s">
        <v>138</v>
      </c>
      <c r="N791" s="236"/>
      <c r="O791" s="237" t="e">
        <f>#REF!-#REF!</f>
        <v>#REF!</v>
      </c>
      <c r="P791" s="220"/>
    </row>
    <row r="792" spans="1:17" s="219" customFormat="1" ht="14" outlineLevel="4">
      <c r="A792" s="191" t="s">
        <v>125</v>
      </c>
      <c r="B792" s="272" t="s">
        <v>591</v>
      </c>
      <c r="C792" s="200" t="s">
        <v>595</v>
      </c>
      <c r="D792" s="201"/>
      <c r="E792" s="201"/>
      <c r="F792" s="271"/>
      <c r="G792" s="7">
        <f t="shared" si="176"/>
        <v>0</v>
      </c>
      <c r="H792" s="201">
        <f t="shared" si="178"/>
        <v>0</v>
      </c>
      <c r="I792" s="202"/>
      <c r="J792" s="213" t="s">
        <v>21</v>
      </c>
      <c r="K792" s="227" t="s">
        <v>127</v>
      </c>
      <c r="L792" s="214" t="s">
        <v>94</v>
      </c>
      <c r="M792" s="215" t="s">
        <v>138</v>
      </c>
      <c r="N792" s="236"/>
      <c r="O792" s="237"/>
      <c r="P792" s="220"/>
    </row>
    <row r="793" spans="1:17" s="219" customFormat="1" ht="14" outlineLevel="4">
      <c r="A793" s="208" t="s">
        <v>125</v>
      </c>
      <c r="B793" s="272" t="s">
        <v>592</v>
      </c>
      <c r="C793" s="200" t="s">
        <v>595</v>
      </c>
      <c r="D793" s="201"/>
      <c r="E793" s="201"/>
      <c r="F793" s="201"/>
      <c r="G793" s="7">
        <f t="shared" si="176"/>
        <v>0</v>
      </c>
      <c r="H793" s="201">
        <f t="shared" ref="H793" si="179">F793*E793</f>
        <v>0</v>
      </c>
      <c r="I793" s="202"/>
      <c r="J793" s="213" t="s">
        <v>21</v>
      </c>
      <c r="K793" s="227" t="s">
        <v>127</v>
      </c>
      <c r="L793" s="214" t="s">
        <v>94</v>
      </c>
      <c r="M793" s="215" t="s">
        <v>138</v>
      </c>
      <c r="N793" s="236"/>
      <c r="O793" s="237" t="e">
        <f>#REF!-#REF!</f>
        <v>#REF!</v>
      </c>
      <c r="P793" s="220"/>
    </row>
    <row r="794" spans="1:17" s="219" customFormat="1" ht="14" outlineLevel="4">
      <c r="A794" s="208" t="s">
        <v>125</v>
      </c>
      <c r="B794" s="272" t="s">
        <v>593</v>
      </c>
      <c r="C794" s="200" t="s">
        <v>595</v>
      </c>
      <c r="D794" s="201"/>
      <c r="E794" s="201"/>
      <c r="F794" s="201"/>
      <c r="G794" s="7">
        <f t="shared" si="176"/>
        <v>0</v>
      </c>
      <c r="H794" s="201">
        <f t="shared" ref="H794:H795" si="180">F794*E794</f>
        <v>0</v>
      </c>
      <c r="I794" s="202"/>
      <c r="J794" s="213" t="s">
        <v>21</v>
      </c>
      <c r="K794" s="227" t="s">
        <v>127</v>
      </c>
      <c r="L794" s="214" t="s">
        <v>94</v>
      </c>
      <c r="M794" s="215" t="s">
        <v>138</v>
      </c>
      <c r="N794" s="236"/>
      <c r="O794" s="237" t="e">
        <f>#REF!-#REF!</f>
        <v>#REF!</v>
      </c>
      <c r="P794" s="220"/>
    </row>
    <row r="795" spans="1:17" s="219" customFormat="1" ht="14" outlineLevel="4">
      <c r="A795" s="191" t="s">
        <v>125</v>
      </c>
      <c r="B795" s="272" t="s">
        <v>897</v>
      </c>
      <c r="C795" s="200" t="s">
        <v>595</v>
      </c>
      <c r="D795" s="201"/>
      <c r="E795" s="146"/>
      <c r="F795" s="271"/>
      <c r="G795" s="7">
        <f t="shared" si="176"/>
        <v>0</v>
      </c>
      <c r="H795" s="201">
        <f t="shared" si="180"/>
        <v>0</v>
      </c>
      <c r="I795" s="202"/>
      <c r="J795" s="213" t="s">
        <v>21</v>
      </c>
      <c r="K795" s="227" t="s">
        <v>127</v>
      </c>
      <c r="L795" s="214" t="s">
        <v>94</v>
      </c>
      <c r="M795" s="215" t="s">
        <v>138</v>
      </c>
      <c r="N795" s="236"/>
      <c r="O795" s="237"/>
      <c r="P795" s="220"/>
    </row>
    <row r="796" spans="1:17" s="216" customFormat="1" ht="15" outlineLevel="3">
      <c r="A796" s="585" t="s">
        <v>428</v>
      </c>
      <c r="B796" s="586" t="s">
        <v>982</v>
      </c>
      <c r="C796" s="193"/>
      <c r="D796" s="194"/>
      <c r="E796" s="194"/>
      <c r="F796" s="194"/>
      <c r="G796" s="194"/>
      <c r="H796" s="194"/>
      <c r="I796" s="195"/>
      <c r="J796" s="213" t="s">
        <v>21</v>
      </c>
      <c r="K796" s="215"/>
      <c r="L796" s="215"/>
      <c r="M796" s="215" t="s">
        <v>138</v>
      </c>
      <c r="N796" s="215"/>
      <c r="O796" s="240" t="e">
        <f>#REF!-#REF!</f>
        <v>#REF!</v>
      </c>
      <c r="P796" s="217"/>
    </row>
    <row r="797" spans="1:17" s="219" customFormat="1" ht="14" outlineLevel="4">
      <c r="A797" s="208" t="s">
        <v>8</v>
      </c>
      <c r="B797" s="274" t="s">
        <v>588</v>
      </c>
      <c r="C797" s="200" t="s">
        <v>199</v>
      </c>
      <c r="D797" s="201"/>
      <c r="E797" s="201"/>
      <c r="F797" s="201"/>
      <c r="G797" s="7">
        <f t="shared" ref="G797:G800" si="181">F797*D797</f>
        <v>0</v>
      </c>
      <c r="H797" s="201">
        <f t="shared" ref="H797:H798" si="182">F797*E797</f>
        <v>0</v>
      </c>
      <c r="I797" s="202"/>
      <c r="J797" s="213" t="s">
        <v>21</v>
      </c>
      <c r="K797" s="227" t="s">
        <v>127</v>
      </c>
      <c r="L797" s="214" t="s">
        <v>94</v>
      </c>
      <c r="M797" s="215" t="s">
        <v>138</v>
      </c>
      <c r="N797" s="236"/>
      <c r="O797" s="237" t="e">
        <f>#REF!-#REF!</f>
        <v>#REF!</v>
      </c>
      <c r="P797" s="220"/>
    </row>
    <row r="798" spans="1:17" s="219" customFormat="1" ht="14" outlineLevel="4">
      <c r="A798" s="208" t="s">
        <v>8</v>
      </c>
      <c r="B798" s="274" t="s">
        <v>596</v>
      </c>
      <c r="C798" s="200" t="s">
        <v>595</v>
      </c>
      <c r="D798" s="201"/>
      <c r="E798" s="201"/>
      <c r="F798" s="271"/>
      <c r="G798" s="7">
        <f t="shared" si="181"/>
        <v>0</v>
      </c>
      <c r="H798" s="201">
        <f t="shared" si="182"/>
        <v>0</v>
      </c>
      <c r="I798" s="202"/>
      <c r="J798" s="213" t="s">
        <v>21</v>
      </c>
      <c r="K798" s="227" t="s">
        <v>127</v>
      </c>
      <c r="L798" s="214" t="s">
        <v>94</v>
      </c>
      <c r="M798" s="215" t="s">
        <v>138</v>
      </c>
      <c r="N798" s="236"/>
      <c r="P798" s="220"/>
    </row>
    <row r="799" spans="1:17" s="219" customFormat="1" ht="14" outlineLevel="4">
      <c r="A799" s="208" t="s">
        <v>8</v>
      </c>
      <c r="B799" s="274" t="s">
        <v>597</v>
      </c>
      <c r="C799" s="200" t="s">
        <v>595</v>
      </c>
      <c r="D799" s="201"/>
      <c r="E799" s="201"/>
      <c r="F799" s="201"/>
      <c r="G799" s="7">
        <f t="shared" si="181"/>
        <v>0</v>
      </c>
      <c r="H799" s="201">
        <f t="shared" ref="H799:H800" si="183">F799*E799</f>
        <v>0</v>
      </c>
      <c r="I799" s="202"/>
      <c r="J799" s="213" t="s">
        <v>21</v>
      </c>
      <c r="K799" s="227" t="s">
        <v>127</v>
      </c>
      <c r="L799" s="214" t="s">
        <v>94</v>
      </c>
      <c r="M799" s="215" t="s">
        <v>138</v>
      </c>
      <c r="N799" s="236"/>
      <c r="O799" s="237" t="e">
        <f>#REF!-#REF!</f>
        <v>#REF!</v>
      </c>
      <c r="P799" s="220"/>
    </row>
    <row r="800" spans="1:17" s="219" customFormat="1" ht="14" outlineLevel="4">
      <c r="A800" s="208" t="s">
        <v>8</v>
      </c>
      <c r="B800" s="274" t="s">
        <v>598</v>
      </c>
      <c r="C800" s="200" t="s">
        <v>595</v>
      </c>
      <c r="D800" s="201"/>
      <c r="E800" s="201"/>
      <c r="F800" s="271"/>
      <c r="G800" s="7">
        <f t="shared" si="181"/>
        <v>0</v>
      </c>
      <c r="H800" s="201">
        <f t="shared" si="183"/>
        <v>0</v>
      </c>
      <c r="I800" s="202"/>
      <c r="J800" s="213" t="s">
        <v>21</v>
      </c>
      <c r="K800" s="227" t="s">
        <v>127</v>
      </c>
      <c r="L800" s="214" t="s">
        <v>94</v>
      </c>
      <c r="M800" s="215" t="s">
        <v>138</v>
      </c>
      <c r="N800" s="236"/>
      <c r="P800" s="220"/>
    </row>
    <row r="801" spans="1:16" s="216" customFormat="1" ht="14" outlineLevel="3">
      <c r="A801" s="191">
        <v>3</v>
      </c>
      <c r="B801" s="273" t="s">
        <v>898</v>
      </c>
      <c r="C801" s="193"/>
      <c r="D801" s="194"/>
      <c r="E801" s="194"/>
      <c r="F801" s="194"/>
      <c r="G801" s="194"/>
      <c r="H801" s="194"/>
      <c r="I801" s="195"/>
      <c r="J801" s="213" t="s">
        <v>21</v>
      </c>
      <c r="K801" s="215"/>
      <c r="L801" s="215"/>
      <c r="M801" s="215" t="s">
        <v>138</v>
      </c>
      <c r="N801" s="215"/>
      <c r="O801" s="240" t="e">
        <f>#REF!-#REF!</f>
        <v>#REF!</v>
      </c>
      <c r="P801" s="217"/>
    </row>
    <row r="802" spans="1:16" s="219" customFormat="1" ht="14" outlineLevel="4">
      <c r="A802" s="208" t="s">
        <v>8</v>
      </c>
      <c r="B802" s="274" t="s">
        <v>588</v>
      </c>
      <c r="C802" s="200" t="s">
        <v>199</v>
      </c>
      <c r="D802" s="201"/>
      <c r="E802" s="201"/>
      <c r="F802" s="201"/>
      <c r="G802" s="7">
        <f t="shared" ref="G802:G807" si="184">F802*D802</f>
        <v>0</v>
      </c>
      <c r="H802" s="201">
        <f t="shared" ref="H802:H804" si="185">F802*E802</f>
        <v>0</v>
      </c>
      <c r="I802" s="202"/>
      <c r="J802" s="213" t="s">
        <v>21</v>
      </c>
      <c r="K802" s="227" t="s">
        <v>127</v>
      </c>
      <c r="L802" s="214" t="s">
        <v>94</v>
      </c>
      <c r="M802" s="215" t="s">
        <v>138</v>
      </c>
      <c r="N802" s="236"/>
      <c r="O802" s="237"/>
      <c r="P802" s="220"/>
    </row>
    <row r="803" spans="1:16" s="219" customFormat="1" ht="14" outlineLevel="4">
      <c r="A803" s="208" t="s">
        <v>8</v>
      </c>
      <c r="B803" s="274" t="s">
        <v>599</v>
      </c>
      <c r="C803" s="200" t="s">
        <v>199</v>
      </c>
      <c r="D803" s="201"/>
      <c r="E803" s="201"/>
      <c r="F803" s="201"/>
      <c r="G803" s="7">
        <f t="shared" si="184"/>
        <v>0</v>
      </c>
      <c r="H803" s="201">
        <f t="shared" si="185"/>
        <v>0</v>
      </c>
      <c r="I803" s="202"/>
      <c r="J803" s="213" t="s">
        <v>21</v>
      </c>
      <c r="K803" s="227" t="s">
        <v>127</v>
      </c>
      <c r="L803" s="214" t="s">
        <v>94</v>
      </c>
      <c r="M803" s="215" t="s">
        <v>138</v>
      </c>
      <c r="N803" s="236"/>
      <c r="O803" s="237" t="e">
        <f>#REF!-#REF!</f>
        <v>#REF!</v>
      </c>
      <c r="P803" s="220"/>
    </row>
    <row r="804" spans="1:16" s="219" customFormat="1" ht="14" outlineLevel="4">
      <c r="A804" s="208" t="s">
        <v>8</v>
      </c>
      <c r="B804" s="274" t="s">
        <v>589</v>
      </c>
      <c r="C804" s="200" t="s">
        <v>594</v>
      </c>
      <c r="D804" s="201"/>
      <c r="E804" s="146"/>
      <c r="F804" s="201"/>
      <c r="G804" s="7">
        <f t="shared" si="184"/>
        <v>0</v>
      </c>
      <c r="H804" s="201">
        <f t="shared" si="185"/>
        <v>0</v>
      </c>
      <c r="I804" s="202"/>
      <c r="J804" s="213" t="s">
        <v>21</v>
      </c>
      <c r="K804" s="227" t="s">
        <v>127</v>
      </c>
      <c r="L804" s="214" t="s">
        <v>94</v>
      </c>
      <c r="M804" s="215" t="s">
        <v>138</v>
      </c>
      <c r="N804" s="236"/>
      <c r="O804" s="237"/>
      <c r="P804" s="220"/>
    </row>
    <row r="805" spans="1:16" s="219" customFormat="1" ht="14" outlineLevel="4">
      <c r="A805" s="208" t="s">
        <v>8</v>
      </c>
      <c r="B805" s="274" t="s">
        <v>600</v>
      </c>
      <c r="C805" s="200" t="s">
        <v>595</v>
      </c>
      <c r="D805" s="201"/>
      <c r="E805" s="146"/>
      <c r="F805" s="201"/>
      <c r="G805" s="7">
        <f t="shared" si="184"/>
        <v>0</v>
      </c>
      <c r="H805" s="201">
        <f t="shared" ref="H805:H806" si="186">F805*E805</f>
        <v>0</v>
      </c>
      <c r="I805" s="202"/>
      <c r="J805" s="213" t="s">
        <v>21</v>
      </c>
      <c r="K805" s="227" t="s">
        <v>127</v>
      </c>
      <c r="L805" s="214" t="s">
        <v>94</v>
      </c>
      <c r="M805" s="215" t="s">
        <v>138</v>
      </c>
      <c r="N805" s="236"/>
      <c r="O805" s="237"/>
      <c r="P805" s="220"/>
    </row>
    <row r="806" spans="1:16" s="219" customFormat="1" ht="14" outlineLevel="4">
      <c r="A806" s="208" t="s">
        <v>8</v>
      </c>
      <c r="B806" s="274" t="s">
        <v>592</v>
      </c>
      <c r="C806" s="200" t="s">
        <v>595</v>
      </c>
      <c r="D806" s="146"/>
      <c r="E806" s="146"/>
      <c r="F806" s="201"/>
      <c r="G806" s="7">
        <f t="shared" si="184"/>
        <v>0</v>
      </c>
      <c r="H806" s="201">
        <f t="shared" si="186"/>
        <v>0</v>
      </c>
      <c r="I806" s="202"/>
      <c r="J806" s="213" t="s">
        <v>21</v>
      </c>
      <c r="K806" s="227" t="s">
        <v>127</v>
      </c>
      <c r="L806" s="214" t="s">
        <v>94</v>
      </c>
      <c r="M806" s="215" t="s">
        <v>138</v>
      </c>
      <c r="N806" s="236"/>
      <c r="O806" s="237" t="e">
        <f>#REF!-#REF!</f>
        <v>#REF!</v>
      </c>
      <c r="P806" s="220"/>
    </row>
    <row r="807" spans="1:16" s="219" customFormat="1" ht="14" outlineLevel="4">
      <c r="A807" s="208" t="s">
        <v>8</v>
      </c>
      <c r="B807" s="274" t="s">
        <v>899</v>
      </c>
      <c r="C807" s="200" t="s">
        <v>595</v>
      </c>
      <c r="D807" s="146"/>
      <c r="E807" s="146"/>
      <c r="F807" s="201"/>
      <c r="G807" s="7">
        <f t="shared" si="184"/>
        <v>0</v>
      </c>
      <c r="H807" s="201">
        <f t="shared" ref="H807" si="187">F807*E807</f>
        <v>0</v>
      </c>
      <c r="I807" s="202"/>
      <c r="J807" s="213" t="s">
        <v>21</v>
      </c>
      <c r="K807" s="227" t="s">
        <v>127</v>
      </c>
      <c r="L807" s="214" t="s">
        <v>94</v>
      </c>
      <c r="M807" s="215" t="s">
        <v>138</v>
      </c>
      <c r="N807" s="236"/>
      <c r="O807" s="237"/>
      <c r="P807" s="220"/>
    </row>
    <row r="808" spans="1:16" s="219" customFormat="1" ht="14" outlineLevel="3">
      <c r="A808" s="191">
        <v>6</v>
      </c>
      <c r="B808" s="192" t="s">
        <v>140</v>
      </c>
      <c r="C808" s="252"/>
      <c r="D808" s="201"/>
      <c r="E808" s="201"/>
      <c r="F808" s="242"/>
      <c r="G808" s="242"/>
      <c r="H808" s="242">
        <f t="shared" ref="H808" si="188">SUBTOTAL(9,H809:H810)</f>
        <v>0</v>
      </c>
      <c r="I808" s="195"/>
      <c r="J808" s="213" t="s">
        <v>21</v>
      </c>
      <c r="K808" s="214"/>
      <c r="L808" s="214"/>
      <c r="M808" s="215" t="s">
        <v>138</v>
      </c>
      <c r="N808" s="214"/>
      <c r="P808" s="220"/>
    </row>
    <row r="809" spans="1:16" s="219" customFormat="1" ht="26.25" customHeight="1" outlineLevel="4">
      <c r="A809" s="208" t="s">
        <v>8</v>
      </c>
      <c r="B809" s="275" t="s">
        <v>141</v>
      </c>
      <c r="C809" s="200" t="s">
        <v>9</v>
      </c>
      <c r="D809" s="201"/>
      <c r="E809" s="201"/>
      <c r="F809" s="201"/>
      <c r="G809" s="7">
        <f t="shared" ref="G809:G810" si="189">F809*D809</f>
        <v>0</v>
      </c>
      <c r="H809" s="201">
        <f t="shared" ref="H809:H810" si="190">F809*E809</f>
        <v>0</v>
      </c>
      <c r="I809" s="202"/>
      <c r="J809" s="213" t="s">
        <v>21</v>
      </c>
      <c r="K809" s="214" t="s">
        <v>78</v>
      </c>
      <c r="L809" s="214" t="s">
        <v>94</v>
      </c>
      <c r="M809" s="215" t="s">
        <v>138</v>
      </c>
      <c r="N809" s="236"/>
      <c r="P809" s="220"/>
    </row>
    <row r="810" spans="1:16" s="219" customFormat="1" ht="14" outlineLevel="4">
      <c r="A810" s="208" t="s">
        <v>8</v>
      </c>
      <c r="B810" s="275" t="s">
        <v>142</v>
      </c>
      <c r="C810" s="200" t="s">
        <v>9</v>
      </c>
      <c r="D810" s="201"/>
      <c r="E810" s="201"/>
      <c r="F810" s="271"/>
      <c r="G810" s="7">
        <f t="shared" si="189"/>
        <v>0</v>
      </c>
      <c r="H810" s="201">
        <f t="shared" si="190"/>
        <v>0</v>
      </c>
      <c r="I810" s="202"/>
      <c r="J810" s="213" t="s">
        <v>21</v>
      </c>
      <c r="K810" s="214" t="s">
        <v>78</v>
      </c>
      <c r="L810" s="214" t="s">
        <v>94</v>
      </c>
      <c r="M810" s="215" t="s">
        <v>138</v>
      </c>
      <c r="N810" s="236"/>
      <c r="O810" s="237" t="e">
        <f>#REF!-#REF!</f>
        <v>#REF!</v>
      </c>
      <c r="P810" s="220"/>
    </row>
    <row r="811" spans="1:16" s="219" customFormat="1" ht="14" outlineLevel="3">
      <c r="A811" s="191">
        <v>7</v>
      </c>
      <c r="B811" s="192" t="s">
        <v>156</v>
      </c>
      <c r="C811" s="252"/>
      <c r="D811" s="201"/>
      <c r="E811" s="201"/>
      <c r="F811" s="242"/>
      <c r="G811" s="242"/>
      <c r="H811" s="242">
        <f t="shared" ref="H811" si="191">SUBTOTAL(9,H812:H813)</f>
        <v>0</v>
      </c>
      <c r="I811" s="195"/>
      <c r="J811" s="213" t="s">
        <v>21</v>
      </c>
      <c r="K811" s="214"/>
      <c r="L811" s="214"/>
      <c r="M811" s="215" t="s">
        <v>138</v>
      </c>
      <c r="N811" s="214"/>
      <c r="P811" s="220"/>
    </row>
    <row r="812" spans="1:16" s="219" customFormat="1" ht="14" outlineLevel="4">
      <c r="A812" s="208" t="s">
        <v>8</v>
      </c>
      <c r="B812" s="275" t="s">
        <v>157</v>
      </c>
      <c r="C812" s="200" t="s">
        <v>9</v>
      </c>
      <c r="D812" s="201"/>
      <c r="E812" s="201"/>
      <c r="F812" s="201"/>
      <c r="G812" s="7">
        <f t="shared" ref="G812:G813" si="192">F812*D812</f>
        <v>0</v>
      </c>
      <c r="H812" s="201">
        <f t="shared" ref="H812:H813" si="193">F812*E812</f>
        <v>0</v>
      </c>
      <c r="I812" s="202"/>
      <c r="J812" s="213" t="s">
        <v>21</v>
      </c>
      <c r="K812" s="214" t="s">
        <v>78</v>
      </c>
      <c r="L812" s="214" t="s">
        <v>94</v>
      </c>
      <c r="M812" s="215" t="s">
        <v>138</v>
      </c>
      <c r="N812" s="236"/>
      <c r="P812" s="220"/>
    </row>
    <row r="813" spans="1:16" s="371" customFormat="1" ht="14" outlineLevel="4">
      <c r="A813" s="367" t="s">
        <v>8</v>
      </c>
      <c r="B813" s="382" t="s">
        <v>158</v>
      </c>
      <c r="C813" s="249" t="s">
        <v>9</v>
      </c>
      <c r="D813" s="205"/>
      <c r="E813" s="205"/>
      <c r="F813" s="205"/>
      <c r="G813" s="7">
        <f t="shared" si="192"/>
        <v>0</v>
      </c>
      <c r="H813" s="205">
        <f t="shared" si="193"/>
        <v>0</v>
      </c>
      <c r="I813" s="369"/>
      <c r="J813" s="213" t="s">
        <v>21</v>
      </c>
      <c r="K813" s="359" t="s">
        <v>78</v>
      </c>
      <c r="L813" s="359" t="s">
        <v>94</v>
      </c>
      <c r="M813" s="215" t="s">
        <v>138</v>
      </c>
      <c r="N813" s="370"/>
      <c r="O813" s="383" t="e">
        <f>#REF!-#REF!</f>
        <v>#REF!</v>
      </c>
    </row>
    <row r="814" spans="1:16" s="361" customFormat="1" ht="14" outlineLevel="1">
      <c r="A814" s="354" t="s">
        <v>235</v>
      </c>
      <c r="B814" s="355" t="s">
        <v>159</v>
      </c>
      <c r="C814" s="356"/>
      <c r="D814" s="357"/>
      <c r="E814" s="357"/>
      <c r="F814" s="357"/>
      <c r="G814" s="357">
        <f>SUBTOTAL(9,G815:G869)</f>
        <v>1270100.9285714286</v>
      </c>
      <c r="H814" s="357">
        <f>SUBTOTAL(9,H815:H869)</f>
        <v>64480</v>
      </c>
      <c r="I814" s="357"/>
      <c r="J814" s="213" t="s">
        <v>21</v>
      </c>
      <c r="K814" s="359"/>
      <c r="L814" s="359"/>
      <c r="M814" s="214" t="s">
        <v>32</v>
      </c>
      <c r="N814" s="360"/>
    </row>
    <row r="815" spans="1:16" s="361" customFormat="1" ht="14" outlineLevel="2">
      <c r="A815" s="354" t="s">
        <v>4</v>
      </c>
      <c r="B815" s="362" t="s">
        <v>32</v>
      </c>
      <c r="C815" s="356"/>
      <c r="D815" s="357"/>
      <c r="E815" s="357"/>
      <c r="F815" s="357"/>
      <c r="G815" s="284">
        <f>SUBTOTAL(9,G817:G831)</f>
        <v>1007504</v>
      </c>
      <c r="H815" s="284">
        <f>SUBTOTAL(9,H817:H831)</f>
        <v>64480</v>
      </c>
      <c r="I815" s="357"/>
      <c r="J815" s="213" t="s">
        <v>21</v>
      </c>
      <c r="K815" s="359"/>
      <c r="L815" s="359"/>
      <c r="M815" s="214" t="s">
        <v>32</v>
      </c>
      <c r="N815" s="360"/>
    </row>
    <row r="816" spans="1:16" s="371" customFormat="1" ht="14" outlineLevel="4">
      <c r="A816" s="384" t="s">
        <v>41</v>
      </c>
      <c r="B816" s="363" t="s">
        <v>892</v>
      </c>
      <c r="C816" s="249"/>
      <c r="D816" s="205"/>
      <c r="E816" s="205"/>
      <c r="F816" s="205"/>
      <c r="G816" s="205"/>
      <c r="H816" s="205"/>
      <c r="I816" s="369"/>
      <c r="J816" s="213" t="s">
        <v>21</v>
      </c>
      <c r="K816" s="359"/>
      <c r="L816" s="359"/>
      <c r="M816" s="214" t="s">
        <v>32</v>
      </c>
      <c r="N816" s="359"/>
    </row>
    <row r="817" spans="1:16" s="371" customFormat="1" ht="154" outlineLevel="4">
      <c r="A817" s="372" t="s">
        <v>8</v>
      </c>
      <c r="B817" s="377" t="s">
        <v>1312</v>
      </c>
      <c r="C817" s="249" t="s">
        <v>24</v>
      </c>
      <c r="D817" s="205">
        <v>2</v>
      </c>
      <c r="E817" s="205"/>
      <c r="F817" s="205">
        <v>135760</v>
      </c>
      <c r="G817" s="7">
        <f t="shared" ref="G817:G823" si="194">F817*D817</f>
        <v>271520</v>
      </c>
      <c r="H817" s="205">
        <f t="shared" ref="H817:H823" si="195">F817*E817</f>
        <v>0</v>
      </c>
      <c r="I817" s="369"/>
      <c r="J817" s="213" t="s">
        <v>21</v>
      </c>
      <c r="K817" s="307" t="s">
        <v>104</v>
      </c>
      <c r="L817" s="359" t="s">
        <v>94</v>
      </c>
      <c r="M817" s="214" t="s">
        <v>32</v>
      </c>
      <c r="N817" s="370"/>
    </row>
    <row r="818" spans="1:16" s="371" customFormat="1" ht="14" outlineLevel="4">
      <c r="A818" s="372" t="s">
        <v>8</v>
      </c>
      <c r="B818" s="377" t="s">
        <v>1313</v>
      </c>
      <c r="C818" s="249" t="s">
        <v>23</v>
      </c>
      <c r="D818" s="205"/>
      <c r="E818" s="205">
        <v>2</v>
      </c>
      <c r="F818" s="205">
        <v>30000</v>
      </c>
      <c r="G818" s="7">
        <f t="shared" si="194"/>
        <v>0</v>
      </c>
      <c r="H818" s="205">
        <f t="shared" si="195"/>
        <v>60000</v>
      </c>
      <c r="I818" s="369"/>
      <c r="J818" s="213" t="s">
        <v>21</v>
      </c>
      <c r="K818" s="307" t="s">
        <v>104</v>
      </c>
      <c r="L818" s="359" t="s">
        <v>94</v>
      </c>
      <c r="M818" s="214" t="s">
        <v>32</v>
      </c>
      <c r="N818" s="370"/>
    </row>
    <row r="819" spans="1:16" s="371" customFormat="1" ht="14" outlineLevel="4">
      <c r="A819" s="372" t="s">
        <v>8</v>
      </c>
      <c r="B819" s="377" t="s">
        <v>1314</v>
      </c>
      <c r="C819" s="249" t="s">
        <v>139</v>
      </c>
      <c r="D819" s="205"/>
      <c r="E819" s="205">
        <v>8</v>
      </c>
      <c r="F819" s="205">
        <v>560</v>
      </c>
      <c r="G819" s="7">
        <f t="shared" si="194"/>
        <v>0</v>
      </c>
      <c r="H819" s="205">
        <f t="shared" si="195"/>
        <v>4480</v>
      </c>
      <c r="I819" s="369"/>
      <c r="J819" s="213" t="s">
        <v>21</v>
      </c>
      <c r="K819" s="307" t="s">
        <v>104</v>
      </c>
      <c r="L819" s="359" t="s">
        <v>94</v>
      </c>
      <c r="M819" s="359" t="s">
        <v>32</v>
      </c>
      <c r="N819" s="370"/>
    </row>
    <row r="820" spans="1:16" s="371" customFormat="1" ht="140" outlineLevel="4">
      <c r="A820" s="372" t="s">
        <v>8</v>
      </c>
      <c r="B820" s="377" t="s">
        <v>1315</v>
      </c>
      <c r="C820" s="249" t="s">
        <v>24</v>
      </c>
      <c r="D820" s="205">
        <v>2</v>
      </c>
      <c r="E820" s="205"/>
      <c r="F820" s="205">
        <v>114640</v>
      </c>
      <c r="G820" s="7">
        <f t="shared" si="194"/>
        <v>229280</v>
      </c>
      <c r="H820" s="205">
        <f t="shared" si="195"/>
        <v>0</v>
      </c>
      <c r="I820" s="369"/>
      <c r="J820" s="213" t="s">
        <v>21</v>
      </c>
      <c r="K820" s="307" t="s">
        <v>104</v>
      </c>
      <c r="L820" s="359" t="s">
        <v>94</v>
      </c>
      <c r="M820" s="359" t="s">
        <v>32</v>
      </c>
      <c r="N820" s="370"/>
    </row>
    <row r="821" spans="1:16" s="371" customFormat="1" ht="126" outlineLevel="4">
      <c r="A821" s="372" t="s">
        <v>8</v>
      </c>
      <c r="B821" s="377" t="s">
        <v>1316</v>
      </c>
      <c r="C821" s="249" t="s">
        <v>24</v>
      </c>
      <c r="D821" s="205">
        <v>2</v>
      </c>
      <c r="E821" s="205"/>
      <c r="F821" s="205">
        <v>68560</v>
      </c>
      <c r="G821" s="7">
        <f t="shared" si="194"/>
        <v>137120</v>
      </c>
      <c r="H821" s="205">
        <f t="shared" si="195"/>
        <v>0</v>
      </c>
      <c r="I821" s="369"/>
      <c r="J821" s="213" t="s">
        <v>21</v>
      </c>
      <c r="K821" s="307" t="s">
        <v>104</v>
      </c>
      <c r="L821" s="359" t="s">
        <v>94</v>
      </c>
      <c r="M821" s="359" t="s">
        <v>32</v>
      </c>
      <c r="N821" s="370"/>
    </row>
    <row r="822" spans="1:16" s="371" customFormat="1" ht="14" outlineLevel="4">
      <c r="A822" s="372" t="s">
        <v>8</v>
      </c>
      <c r="B822" s="377" t="s">
        <v>1317</v>
      </c>
      <c r="C822" s="249" t="s">
        <v>24</v>
      </c>
      <c r="D822" s="205">
        <v>2</v>
      </c>
      <c r="E822" s="205"/>
      <c r="F822" s="205">
        <v>7000</v>
      </c>
      <c r="G822" s="7">
        <f t="shared" si="194"/>
        <v>14000</v>
      </c>
      <c r="H822" s="205">
        <f t="shared" si="195"/>
        <v>0</v>
      </c>
      <c r="I822" s="369"/>
      <c r="J822" s="213" t="s">
        <v>21</v>
      </c>
      <c r="K822" s="307" t="s">
        <v>104</v>
      </c>
      <c r="L822" s="359" t="s">
        <v>94</v>
      </c>
      <c r="M822" s="214" t="s">
        <v>32</v>
      </c>
      <c r="N822" s="370"/>
    </row>
    <row r="823" spans="1:16" s="371" customFormat="1" ht="14" outlineLevel="4">
      <c r="A823" s="372" t="s">
        <v>8</v>
      </c>
      <c r="B823" s="377" t="s">
        <v>1318</v>
      </c>
      <c r="C823" s="249" t="s">
        <v>139</v>
      </c>
      <c r="D823" s="205">
        <v>8</v>
      </c>
      <c r="E823" s="205"/>
      <c r="F823" s="205">
        <v>100</v>
      </c>
      <c r="G823" s="7">
        <f t="shared" si="194"/>
        <v>800</v>
      </c>
      <c r="H823" s="205">
        <f t="shared" si="195"/>
        <v>0</v>
      </c>
      <c r="I823" s="369"/>
      <c r="J823" s="213" t="s">
        <v>21</v>
      </c>
      <c r="K823" s="307" t="s">
        <v>104</v>
      </c>
      <c r="L823" s="359" t="s">
        <v>94</v>
      </c>
      <c r="M823" s="214" t="s">
        <v>32</v>
      </c>
      <c r="N823" s="370"/>
    </row>
    <row r="824" spans="1:16" s="371" customFormat="1" ht="14" outlineLevel="4">
      <c r="A824" s="372" t="s">
        <v>8</v>
      </c>
      <c r="B824" s="377" t="s">
        <v>1319</v>
      </c>
      <c r="C824" s="249" t="s">
        <v>139</v>
      </c>
      <c r="D824" s="205">
        <v>88</v>
      </c>
      <c r="E824" s="205"/>
      <c r="F824" s="205">
        <v>60</v>
      </c>
      <c r="G824" s="7">
        <f t="shared" ref="G824:G829" si="196">F824*D824</f>
        <v>5280</v>
      </c>
      <c r="H824" s="205">
        <f t="shared" ref="H824:H829" si="197">F824*E824</f>
        <v>0</v>
      </c>
      <c r="I824" s="369"/>
      <c r="J824" s="213" t="s">
        <v>21</v>
      </c>
      <c r="K824" s="307" t="s">
        <v>104</v>
      </c>
      <c r="L824" s="359" t="s">
        <v>94</v>
      </c>
      <c r="M824" s="214" t="s">
        <v>32</v>
      </c>
      <c r="N824" s="370"/>
    </row>
    <row r="825" spans="1:16" s="371" customFormat="1" ht="14" outlineLevel="4">
      <c r="A825" s="372" t="s">
        <v>8</v>
      </c>
      <c r="B825" s="377" t="s">
        <v>1320</v>
      </c>
      <c r="C825" s="249" t="s">
        <v>24</v>
      </c>
      <c r="D825" s="205">
        <v>4</v>
      </c>
      <c r="E825" s="205"/>
      <c r="F825" s="205">
        <v>7000</v>
      </c>
      <c r="G825" s="7">
        <f t="shared" si="196"/>
        <v>28000</v>
      </c>
      <c r="H825" s="205">
        <f t="shared" si="197"/>
        <v>0</v>
      </c>
      <c r="I825" s="369"/>
      <c r="J825" s="213" t="s">
        <v>21</v>
      </c>
      <c r="K825" s="307" t="s">
        <v>104</v>
      </c>
      <c r="L825" s="359" t="s">
        <v>94</v>
      </c>
      <c r="M825" s="359" t="s">
        <v>32</v>
      </c>
      <c r="N825" s="370"/>
    </row>
    <row r="826" spans="1:16" s="371" customFormat="1" ht="14" outlineLevel="4">
      <c r="A826" s="372" t="s">
        <v>8</v>
      </c>
      <c r="B826" s="377" t="s">
        <v>1310</v>
      </c>
      <c r="C826" s="249" t="s">
        <v>139</v>
      </c>
      <c r="D826" s="205">
        <v>60</v>
      </c>
      <c r="E826" s="205"/>
      <c r="F826" s="205">
        <v>25</v>
      </c>
      <c r="G826" s="7">
        <f t="shared" si="196"/>
        <v>1500</v>
      </c>
      <c r="H826" s="205">
        <f t="shared" si="197"/>
        <v>0</v>
      </c>
      <c r="I826" s="369"/>
      <c r="J826" s="213" t="s">
        <v>21</v>
      </c>
      <c r="K826" s="307" t="s">
        <v>104</v>
      </c>
      <c r="L826" s="359" t="s">
        <v>94</v>
      </c>
      <c r="M826" s="359" t="s">
        <v>32</v>
      </c>
      <c r="N826" s="370"/>
    </row>
    <row r="827" spans="1:16" s="371" customFormat="1" ht="14" outlineLevel="4">
      <c r="A827" s="372" t="s">
        <v>8</v>
      </c>
      <c r="B827" s="377" t="s">
        <v>1311</v>
      </c>
      <c r="C827" s="249" t="s">
        <v>139</v>
      </c>
      <c r="D827" s="205">
        <v>20</v>
      </c>
      <c r="E827" s="205"/>
      <c r="F827" s="205">
        <v>25</v>
      </c>
      <c r="G827" s="7">
        <f t="shared" si="196"/>
        <v>500</v>
      </c>
      <c r="H827" s="205">
        <f t="shared" si="197"/>
        <v>0</v>
      </c>
      <c r="I827" s="369"/>
      <c r="J827" s="213" t="s">
        <v>21</v>
      </c>
      <c r="K827" s="307" t="s">
        <v>104</v>
      </c>
      <c r="L827" s="359" t="s">
        <v>94</v>
      </c>
      <c r="M827" s="214" t="s">
        <v>32</v>
      </c>
      <c r="N827" s="370"/>
    </row>
    <row r="828" spans="1:16" s="371" customFormat="1" ht="14" outlineLevel="4">
      <c r="A828" s="372" t="s">
        <v>8</v>
      </c>
      <c r="B828" s="377" t="s">
        <v>1321</v>
      </c>
      <c r="C828" s="249" t="s">
        <v>139</v>
      </c>
      <c r="D828" s="205">
        <v>112</v>
      </c>
      <c r="E828" s="205"/>
      <c r="F828" s="205">
        <v>60</v>
      </c>
      <c r="G828" s="7">
        <f t="shared" si="196"/>
        <v>6720</v>
      </c>
      <c r="H828" s="205">
        <f t="shared" si="197"/>
        <v>0</v>
      </c>
      <c r="I828" s="369"/>
      <c r="J828" s="213" t="s">
        <v>21</v>
      </c>
      <c r="K828" s="307" t="s">
        <v>104</v>
      </c>
      <c r="L828" s="359" t="s">
        <v>94</v>
      </c>
      <c r="M828" s="214" t="s">
        <v>32</v>
      </c>
      <c r="N828" s="370"/>
    </row>
    <row r="829" spans="1:16" s="371" customFormat="1" ht="14" outlineLevel="4">
      <c r="A829" s="372" t="s">
        <v>8</v>
      </c>
      <c r="B829" s="377" t="s">
        <v>1303</v>
      </c>
      <c r="C829" s="249" t="s">
        <v>669</v>
      </c>
      <c r="D829" s="205">
        <v>456</v>
      </c>
      <c r="E829" s="205"/>
      <c r="F829" s="205">
        <v>4</v>
      </c>
      <c r="G829" s="7">
        <f t="shared" si="196"/>
        <v>1824</v>
      </c>
      <c r="H829" s="205">
        <f t="shared" si="197"/>
        <v>0</v>
      </c>
      <c r="I829" s="369"/>
      <c r="J829" s="213" t="s">
        <v>21</v>
      </c>
      <c r="K829" s="307" t="s">
        <v>104</v>
      </c>
      <c r="L829" s="359" t="s">
        <v>94</v>
      </c>
      <c r="M829" s="214" t="s">
        <v>32</v>
      </c>
      <c r="N829" s="370"/>
    </row>
    <row r="830" spans="1:16" s="371" customFormat="1" ht="14" outlineLevel="5">
      <c r="A830" s="367" t="s">
        <v>8</v>
      </c>
      <c r="B830" s="368" t="s">
        <v>1322</v>
      </c>
      <c r="C830" s="249" t="s">
        <v>24</v>
      </c>
      <c r="D830" s="205">
        <v>2</v>
      </c>
      <c r="E830" s="205"/>
      <c r="F830" s="205">
        <v>130480</v>
      </c>
      <c r="G830" s="7">
        <f t="shared" ref="G830:G831" si="198">F830*D830</f>
        <v>260960</v>
      </c>
      <c r="H830" s="205">
        <f t="shared" ref="H830:H831" si="199">F830*E830</f>
        <v>0</v>
      </c>
      <c r="I830" s="369"/>
      <c r="J830" s="213" t="s">
        <v>21</v>
      </c>
      <c r="K830" s="307" t="s">
        <v>104</v>
      </c>
      <c r="L830" s="359" t="s">
        <v>94</v>
      </c>
      <c r="M830" s="214" t="s">
        <v>32</v>
      </c>
      <c r="N830" s="370"/>
    </row>
    <row r="831" spans="1:16" s="371" customFormat="1" ht="28" outlineLevel="5">
      <c r="A831" s="372" t="s">
        <v>8</v>
      </c>
      <c r="B831" s="373" t="s">
        <v>1323</v>
      </c>
      <c r="C831" s="249" t="s">
        <v>24</v>
      </c>
      <c r="D831" s="205">
        <v>2</v>
      </c>
      <c r="E831" s="205"/>
      <c r="F831" s="205">
        <v>25000</v>
      </c>
      <c r="G831" s="7">
        <f t="shared" si="198"/>
        <v>50000</v>
      </c>
      <c r="H831" s="205">
        <f t="shared" si="199"/>
        <v>0</v>
      </c>
      <c r="I831" s="369"/>
      <c r="J831" s="213" t="s">
        <v>21</v>
      </c>
      <c r="K831" s="307" t="s">
        <v>104</v>
      </c>
      <c r="L831" s="359" t="s">
        <v>94</v>
      </c>
      <c r="M831" s="359" t="s">
        <v>32</v>
      </c>
      <c r="N831" s="370"/>
    </row>
    <row r="832" spans="1:16" s="219" customFormat="1" ht="14" outlineLevel="4">
      <c r="A832" s="239" t="s">
        <v>12</v>
      </c>
      <c r="B832" s="250" t="s">
        <v>981</v>
      </c>
      <c r="C832" s="200"/>
      <c r="D832" s="201"/>
      <c r="E832" s="201"/>
      <c r="F832" s="201"/>
      <c r="G832" s="194">
        <f>SUBTOTAL(9,G833:G869)</f>
        <v>262596.92857142858</v>
      </c>
      <c r="H832" s="194">
        <f>SUBTOTAL(9,H833:H869)</f>
        <v>0</v>
      </c>
      <c r="I832" s="202"/>
      <c r="J832" s="213" t="s">
        <v>21</v>
      </c>
      <c r="K832" s="214"/>
      <c r="L832" s="214"/>
      <c r="M832" s="214" t="s">
        <v>32</v>
      </c>
      <c r="N832" s="214"/>
      <c r="P832" s="220"/>
    </row>
    <row r="833" spans="1:17" s="216" customFormat="1" ht="14" outlineLevel="2">
      <c r="A833" s="191">
        <v>1</v>
      </c>
      <c r="B833" s="153" t="s">
        <v>1030</v>
      </c>
      <c r="C833" s="200"/>
      <c r="D833" s="201"/>
      <c r="E833" s="201"/>
      <c r="F833" s="201"/>
      <c r="G833" s="194">
        <f>SUBTOTAL(9,G834:G844)</f>
        <v>183300</v>
      </c>
      <c r="H833" s="194">
        <f>SUBTOTAL(9,H834:H869)</f>
        <v>0</v>
      </c>
      <c r="I833" s="195"/>
      <c r="J833" s="213" t="s">
        <v>21</v>
      </c>
      <c r="K833" s="214"/>
      <c r="L833" s="214"/>
      <c r="M833" s="215"/>
      <c r="N833" s="215"/>
      <c r="P833" s="217"/>
      <c r="Q833" s="259" t="s">
        <v>138</v>
      </c>
    </row>
    <row r="834" spans="1:17" s="219" customFormat="1" ht="14" outlineLevel="3">
      <c r="A834" s="203" t="s">
        <v>8</v>
      </c>
      <c r="B834" s="218" t="s">
        <v>51</v>
      </c>
      <c r="C834" s="200"/>
      <c r="D834" s="201"/>
      <c r="E834" s="201"/>
      <c r="F834" s="201"/>
      <c r="G834" s="201"/>
      <c r="H834" s="201">
        <f t="shared" ref="H834:H844" si="200">F834*E834</f>
        <v>0</v>
      </c>
      <c r="I834" s="202"/>
      <c r="J834" s="213" t="s">
        <v>21</v>
      </c>
      <c r="K834" s="214" t="s">
        <v>104</v>
      </c>
      <c r="L834" s="214" t="s">
        <v>94</v>
      </c>
      <c r="M834" s="215" t="s">
        <v>138</v>
      </c>
      <c r="N834" s="214"/>
      <c r="P834" s="220"/>
      <c r="Q834" s="259" t="s">
        <v>138</v>
      </c>
    </row>
    <row r="835" spans="1:17" s="219" customFormat="1" ht="14" outlineLevel="3">
      <c r="A835" s="203" t="s">
        <v>8</v>
      </c>
      <c r="B835" s="260" t="s">
        <v>204</v>
      </c>
      <c r="C835" s="200" t="s">
        <v>25</v>
      </c>
      <c r="D835" s="201"/>
      <c r="E835" s="201"/>
      <c r="F835" s="201"/>
      <c r="G835" s="7">
        <f t="shared" ref="G835:G836" si="201">F835*D835</f>
        <v>0</v>
      </c>
      <c r="H835" s="201">
        <f t="shared" si="200"/>
        <v>0</v>
      </c>
      <c r="I835" s="202"/>
      <c r="J835" s="213" t="s">
        <v>21</v>
      </c>
      <c r="K835" s="214" t="s">
        <v>104</v>
      </c>
      <c r="L835" s="214" t="s">
        <v>94</v>
      </c>
      <c r="M835" s="215" t="s">
        <v>138</v>
      </c>
      <c r="N835" s="236"/>
      <c r="P835" s="220"/>
      <c r="Q835" s="259" t="s">
        <v>138</v>
      </c>
    </row>
    <row r="836" spans="1:17" s="219" customFormat="1" ht="14" outlineLevel="3">
      <c r="A836" s="203" t="s">
        <v>8</v>
      </c>
      <c r="B836" s="260" t="s">
        <v>205</v>
      </c>
      <c r="C836" s="200" t="s">
        <v>25</v>
      </c>
      <c r="D836" s="201">
        <v>39</v>
      </c>
      <c r="E836" s="201"/>
      <c r="F836" s="201">
        <v>3100</v>
      </c>
      <c r="G836" s="7">
        <f t="shared" si="201"/>
        <v>120900</v>
      </c>
      <c r="H836" s="201">
        <f t="shared" si="200"/>
        <v>0</v>
      </c>
      <c r="I836" s="202"/>
      <c r="J836" s="213" t="s">
        <v>21</v>
      </c>
      <c r="K836" s="214" t="s">
        <v>104</v>
      </c>
      <c r="L836" s="214" t="s">
        <v>94</v>
      </c>
      <c r="M836" s="215" t="s">
        <v>138</v>
      </c>
      <c r="N836" s="236"/>
      <c r="P836" s="220"/>
      <c r="Q836" s="259" t="s">
        <v>138</v>
      </c>
    </row>
    <row r="837" spans="1:17" s="219" customFormat="1" ht="14" outlineLevel="3">
      <c r="A837" s="203" t="s">
        <v>8</v>
      </c>
      <c r="B837" s="260" t="s">
        <v>46</v>
      </c>
      <c r="C837" s="200"/>
      <c r="D837" s="201"/>
      <c r="E837" s="201"/>
      <c r="F837" s="201"/>
      <c r="G837" s="201"/>
      <c r="H837" s="201">
        <f t="shared" si="200"/>
        <v>0</v>
      </c>
      <c r="I837" s="202"/>
      <c r="J837" s="213" t="s">
        <v>21</v>
      </c>
      <c r="K837" s="214" t="s">
        <v>104</v>
      </c>
      <c r="L837" s="214" t="s">
        <v>94</v>
      </c>
      <c r="M837" s="215" t="s">
        <v>138</v>
      </c>
      <c r="N837" s="236"/>
      <c r="P837" s="220"/>
      <c r="Q837" s="259" t="s">
        <v>138</v>
      </c>
    </row>
    <row r="838" spans="1:17" s="219" customFormat="1" ht="14" outlineLevel="3">
      <c r="A838" s="203" t="s">
        <v>8</v>
      </c>
      <c r="B838" s="260" t="s">
        <v>118</v>
      </c>
      <c r="C838" s="200" t="s">
        <v>25</v>
      </c>
      <c r="D838" s="201"/>
      <c r="E838" s="201"/>
      <c r="F838" s="201"/>
      <c r="G838" s="7">
        <f t="shared" ref="G838:G844" si="202">F838*D838</f>
        <v>0</v>
      </c>
      <c r="H838" s="201">
        <f t="shared" si="200"/>
        <v>0</v>
      </c>
      <c r="I838" s="202"/>
      <c r="J838" s="213" t="s">
        <v>21</v>
      </c>
      <c r="K838" s="214" t="s">
        <v>104</v>
      </c>
      <c r="L838" s="214" t="s">
        <v>94</v>
      </c>
      <c r="M838" s="215" t="s">
        <v>138</v>
      </c>
      <c r="N838" s="236"/>
      <c r="P838" s="220"/>
      <c r="Q838" s="259" t="s">
        <v>138</v>
      </c>
    </row>
    <row r="839" spans="1:17" s="219" customFormat="1" ht="14" outlineLevel="3">
      <c r="A839" s="203" t="s">
        <v>8</v>
      </c>
      <c r="B839" s="260" t="s">
        <v>206</v>
      </c>
      <c r="C839" s="200" t="s">
        <v>25</v>
      </c>
      <c r="D839" s="201"/>
      <c r="E839" s="201"/>
      <c r="F839" s="201"/>
      <c r="G839" s="7">
        <f t="shared" si="202"/>
        <v>0</v>
      </c>
      <c r="H839" s="201">
        <f t="shared" si="200"/>
        <v>0</v>
      </c>
      <c r="I839" s="202"/>
      <c r="J839" s="213" t="s">
        <v>21</v>
      </c>
      <c r="K839" s="214" t="s">
        <v>104</v>
      </c>
      <c r="L839" s="214" t="s">
        <v>94</v>
      </c>
      <c r="M839" s="215" t="s">
        <v>138</v>
      </c>
      <c r="N839" s="236"/>
      <c r="P839" s="220"/>
      <c r="Q839" s="259" t="s">
        <v>138</v>
      </c>
    </row>
    <row r="840" spans="1:17" s="219" customFormat="1" ht="14" outlineLevel="3">
      <c r="A840" s="203" t="s">
        <v>8</v>
      </c>
      <c r="B840" s="261" t="s">
        <v>579</v>
      </c>
      <c r="C840" s="200" t="s">
        <v>25</v>
      </c>
      <c r="D840" s="201">
        <v>39</v>
      </c>
      <c r="E840" s="201"/>
      <c r="F840" s="144">
        <v>1600</v>
      </c>
      <c r="G840" s="7">
        <f t="shared" si="202"/>
        <v>62400</v>
      </c>
      <c r="H840" s="201">
        <f t="shared" si="200"/>
        <v>0</v>
      </c>
      <c r="I840" s="202"/>
      <c r="J840" s="213" t="s">
        <v>21</v>
      </c>
      <c r="K840" s="214" t="s">
        <v>104</v>
      </c>
      <c r="L840" s="214" t="s">
        <v>94</v>
      </c>
      <c r="M840" s="215" t="s">
        <v>138</v>
      </c>
      <c r="N840" s="236"/>
      <c r="P840" s="220"/>
      <c r="Q840" s="259" t="s">
        <v>138</v>
      </c>
    </row>
    <row r="841" spans="1:17" s="219" customFormat="1" ht="14" outlineLevel="3">
      <c r="A841" s="203" t="s">
        <v>8</v>
      </c>
      <c r="B841" s="260" t="s">
        <v>207</v>
      </c>
      <c r="C841" s="200" t="s">
        <v>25</v>
      </c>
      <c r="D841" s="201"/>
      <c r="E841" s="201"/>
      <c r="F841" s="201"/>
      <c r="G841" s="7">
        <f t="shared" si="202"/>
        <v>0</v>
      </c>
      <c r="H841" s="201">
        <f t="shared" si="200"/>
        <v>0</v>
      </c>
      <c r="I841" s="202"/>
      <c r="J841" s="213" t="s">
        <v>21</v>
      </c>
      <c r="K841" s="214" t="s">
        <v>104</v>
      </c>
      <c r="L841" s="214" t="s">
        <v>94</v>
      </c>
      <c r="M841" s="215" t="s">
        <v>138</v>
      </c>
      <c r="N841" s="236"/>
      <c r="P841" s="220"/>
      <c r="Q841" s="259" t="s">
        <v>138</v>
      </c>
    </row>
    <row r="842" spans="1:17" s="219" customFormat="1" ht="14" outlineLevel="3">
      <c r="A842" s="203" t="s">
        <v>8</v>
      </c>
      <c r="B842" s="260" t="s">
        <v>208</v>
      </c>
      <c r="C842" s="200" t="s">
        <v>25</v>
      </c>
      <c r="D842" s="201"/>
      <c r="E842" s="201"/>
      <c r="F842" s="201"/>
      <c r="G842" s="7">
        <f t="shared" si="202"/>
        <v>0</v>
      </c>
      <c r="H842" s="201">
        <f t="shared" si="200"/>
        <v>0</v>
      </c>
      <c r="I842" s="202"/>
      <c r="J842" s="213" t="s">
        <v>21</v>
      </c>
      <c r="K842" s="214" t="s">
        <v>104</v>
      </c>
      <c r="L842" s="214" t="s">
        <v>94</v>
      </c>
      <c r="M842" s="215" t="s">
        <v>138</v>
      </c>
      <c r="N842" s="236"/>
      <c r="P842" s="220"/>
      <c r="Q842" s="259" t="s">
        <v>138</v>
      </c>
    </row>
    <row r="843" spans="1:17" s="219" customFormat="1" ht="14" outlineLevel="3">
      <c r="A843" s="203" t="s">
        <v>8</v>
      </c>
      <c r="B843" s="260" t="s">
        <v>209</v>
      </c>
      <c r="C843" s="200" t="s">
        <v>25</v>
      </c>
      <c r="D843" s="201"/>
      <c r="E843" s="201"/>
      <c r="F843" s="201"/>
      <c r="G843" s="7">
        <f t="shared" si="202"/>
        <v>0</v>
      </c>
      <c r="H843" s="201">
        <f t="shared" si="200"/>
        <v>0</v>
      </c>
      <c r="I843" s="202"/>
      <c r="J843" s="213" t="s">
        <v>21</v>
      </c>
      <c r="K843" s="214" t="s">
        <v>104</v>
      </c>
      <c r="L843" s="214" t="s">
        <v>94</v>
      </c>
      <c r="M843" s="215" t="s">
        <v>138</v>
      </c>
      <c r="N843" s="236"/>
      <c r="P843" s="220"/>
      <c r="Q843" s="259" t="s">
        <v>138</v>
      </c>
    </row>
    <row r="844" spans="1:17" s="219" customFormat="1" ht="14" outlineLevel="3">
      <c r="A844" s="203" t="s">
        <v>8</v>
      </c>
      <c r="B844" s="260" t="s">
        <v>210</v>
      </c>
      <c r="C844" s="200" t="s">
        <v>25</v>
      </c>
      <c r="D844" s="201"/>
      <c r="E844" s="201"/>
      <c r="F844" s="201"/>
      <c r="G844" s="7">
        <f t="shared" si="202"/>
        <v>0</v>
      </c>
      <c r="H844" s="201">
        <f t="shared" si="200"/>
        <v>0</v>
      </c>
      <c r="I844" s="202"/>
      <c r="J844" s="213" t="s">
        <v>21</v>
      </c>
      <c r="K844" s="214" t="s">
        <v>104</v>
      </c>
      <c r="L844" s="214" t="s">
        <v>94</v>
      </c>
      <c r="M844" s="215" t="s">
        <v>138</v>
      </c>
      <c r="N844" s="236"/>
      <c r="P844" s="220"/>
      <c r="Q844" s="259" t="s">
        <v>138</v>
      </c>
    </row>
    <row r="845" spans="1:17" s="216" customFormat="1" ht="14" outlineLevel="2">
      <c r="A845" s="191">
        <v>2</v>
      </c>
      <c r="B845" s="153" t="s">
        <v>581</v>
      </c>
      <c r="C845" s="200"/>
      <c r="D845" s="201"/>
      <c r="E845" s="201"/>
      <c r="F845" s="201"/>
      <c r="G845" s="194">
        <f>SUBTOTAL(9,G846:G846)</f>
        <v>0</v>
      </c>
      <c r="H845" s="194">
        <f>SUBTOTAL(9,H846:H846)</f>
        <v>0</v>
      </c>
      <c r="I845" s="195"/>
      <c r="J845" s="213" t="s">
        <v>21</v>
      </c>
      <c r="K845" s="214"/>
      <c r="L845" s="214"/>
      <c r="M845" s="215" t="s">
        <v>138</v>
      </c>
      <c r="N845" s="215"/>
      <c r="P845" s="217"/>
      <c r="Q845" s="259" t="s">
        <v>138</v>
      </c>
    </row>
    <row r="846" spans="1:17" s="219" customFormat="1" ht="14" outlineLevel="3">
      <c r="A846" s="203" t="s">
        <v>8</v>
      </c>
      <c r="B846" s="262" t="s">
        <v>581</v>
      </c>
      <c r="C846" s="200" t="s">
        <v>582</v>
      </c>
      <c r="D846" s="201"/>
      <c r="E846" s="201"/>
      <c r="F846" s="201"/>
      <c r="G846" s="7">
        <f t="shared" ref="G846" si="203">F846*D846</f>
        <v>0</v>
      </c>
      <c r="H846" s="201">
        <f t="shared" ref="H846" si="204">F846*E846</f>
        <v>0</v>
      </c>
      <c r="I846" s="202"/>
      <c r="J846" s="213" t="s">
        <v>21</v>
      </c>
      <c r="K846" s="214" t="s">
        <v>104</v>
      </c>
      <c r="L846" s="214" t="s">
        <v>94</v>
      </c>
      <c r="M846" s="215" t="s">
        <v>138</v>
      </c>
      <c r="N846" s="236"/>
      <c r="P846" s="220"/>
      <c r="Q846" s="259" t="s">
        <v>138</v>
      </c>
    </row>
    <row r="847" spans="1:17" s="216" customFormat="1" ht="14" outlineLevel="2">
      <c r="A847" s="191">
        <v>3</v>
      </c>
      <c r="B847" s="153" t="s">
        <v>47</v>
      </c>
      <c r="C847" s="193"/>
      <c r="D847" s="194"/>
      <c r="E847" s="194"/>
      <c r="F847" s="194"/>
      <c r="G847" s="194">
        <f>SUBTOTAL(9,G848:G869)</f>
        <v>79296.928571428565</v>
      </c>
      <c r="H847" s="194">
        <f>SUBTOTAL(9,H848:H869)</f>
        <v>0</v>
      </c>
      <c r="I847" s="263"/>
      <c r="J847" s="213" t="s">
        <v>21</v>
      </c>
      <c r="K847" s="214"/>
      <c r="L847" s="214"/>
      <c r="M847" s="215"/>
      <c r="N847" s="215"/>
      <c r="P847" s="217"/>
      <c r="Q847" s="259" t="s">
        <v>138</v>
      </c>
    </row>
    <row r="848" spans="1:17" s="216" customFormat="1" ht="14" outlineLevel="3">
      <c r="A848" s="191">
        <v>3.1</v>
      </c>
      <c r="B848" s="153" t="s">
        <v>85</v>
      </c>
      <c r="C848" s="193"/>
      <c r="D848" s="194"/>
      <c r="E848" s="194"/>
      <c r="F848" s="194"/>
      <c r="G848" s="194"/>
      <c r="H848" s="194"/>
      <c r="I848" s="195"/>
      <c r="J848" s="213" t="s">
        <v>21</v>
      </c>
      <c r="K848" s="214"/>
      <c r="L848" s="214"/>
      <c r="M848" s="215" t="s">
        <v>138</v>
      </c>
      <c r="N848" s="215"/>
      <c r="P848" s="217"/>
      <c r="Q848" s="259" t="s">
        <v>138</v>
      </c>
    </row>
    <row r="849" spans="1:17" s="219" customFormat="1" ht="14" outlineLevel="3">
      <c r="A849" s="203" t="s">
        <v>8</v>
      </c>
      <c r="B849" s="260" t="s">
        <v>211</v>
      </c>
      <c r="C849" s="200" t="s">
        <v>24</v>
      </c>
      <c r="D849" s="201">
        <v>450</v>
      </c>
      <c r="E849" s="201"/>
      <c r="F849" s="144">
        <v>7</v>
      </c>
      <c r="G849" s="7">
        <f t="shared" ref="G849:G866" si="205">F849*D849</f>
        <v>3150</v>
      </c>
      <c r="H849" s="201">
        <f>E849*F849</f>
        <v>0</v>
      </c>
      <c r="I849" s="202"/>
      <c r="J849" s="213" t="s">
        <v>21</v>
      </c>
      <c r="K849" s="214" t="s">
        <v>104</v>
      </c>
      <c r="L849" s="214" t="s">
        <v>94</v>
      </c>
      <c r="M849" s="215" t="s">
        <v>138</v>
      </c>
      <c r="N849" s="236"/>
      <c r="P849" s="220"/>
      <c r="Q849" s="259" t="s">
        <v>138</v>
      </c>
    </row>
    <row r="850" spans="1:17" s="219" customFormat="1" ht="14" outlineLevel="3">
      <c r="A850" s="203" t="s">
        <v>8</v>
      </c>
      <c r="B850" s="260" t="s">
        <v>212</v>
      </c>
      <c r="C850" s="200" t="s">
        <v>24</v>
      </c>
      <c r="D850" s="201"/>
      <c r="E850" s="201"/>
      <c r="F850" s="201"/>
      <c r="G850" s="7">
        <f t="shared" si="205"/>
        <v>0</v>
      </c>
      <c r="H850" s="201">
        <f t="shared" ref="H850:H866" si="206">F850*E850</f>
        <v>0</v>
      </c>
      <c r="I850" s="202"/>
      <c r="J850" s="213" t="s">
        <v>21</v>
      </c>
      <c r="K850" s="214" t="s">
        <v>104</v>
      </c>
      <c r="L850" s="214" t="s">
        <v>94</v>
      </c>
      <c r="M850" s="215" t="s">
        <v>138</v>
      </c>
      <c r="N850" s="236"/>
      <c r="P850" s="220"/>
      <c r="Q850" s="259" t="s">
        <v>138</v>
      </c>
    </row>
    <row r="851" spans="1:17" s="219" customFormat="1" ht="14" outlineLevel="3">
      <c r="A851" s="203" t="s">
        <v>8</v>
      </c>
      <c r="B851" s="260" t="s">
        <v>213</v>
      </c>
      <c r="C851" s="200" t="s">
        <v>24</v>
      </c>
      <c r="D851" s="201">
        <v>150</v>
      </c>
      <c r="E851" s="201"/>
      <c r="F851" s="144">
        <v>7</v>
      </c>
      <c r="G851" s="7">
        <f t="shared" si="205"/>
        <v>1050</v>
      </c>
      <c r="H851" s="201">
        <f t="shared" si="206"/>
        <v>0</v>
      </c>
      <c r="I851" s="202"/>
      <c r="J851" s="213" t="s">
        <v>21</v>
      </c>
      <c r="K851" s="214" t="s">
        <v>104</v>
      </c>
      <c r="L851" s="214" t="s">
        <v>94</v>
      </c>
      <c r="M851" s="215" t="s">
        <v>138</v>
      </c>
      <c r="N851" s="236"/>
      <c r="P851" s="220"/>
      <c r="Q851" s="259" t="s">
        <v>138</v>
      </c>
    </row>
    <row r="852" spans="1:17" s="219" customFormat="1" ht="14" outlineLevel="3">
      <c r="A852" s="203" t="s">
        <v>8</v>
      </c>
      <c r="B852" s="260" t="s">
        <v>214</v>
      </c>
      <c r="C852" s="200" t="s">
        <v>24</v>
      </c>
      <c r="D852" s="201"/>
      <c r="E852" s="201"/>
      <c r="F852" s="201"/>
      <c r="G852" s="7">
        <f t="shared" si="205"/>
        <v>0</v>
      </c>
      <c r="H852" s="201">
        <f t="shared" si="206"/>
        <v>0</v>
      </c>
      <c r="I852" s="202"/>
      <c r="J852" s="213" t="s">
        <v>21</v>
      </c>
      <c r="K852" s="214" t="s">
        <v>104</v>
      </c>
      <c r="L852" s="214" t="s">
        <v>94</v>
      </c>
      <c r="M852" s="215" t="s">
        <v>138</v>
      </c>
      <c r="N852" s="236"/>
      <c r="P852" s="220"/>
      <c r="Q852" s="259" t="s">
        <v>138</v>
      </c>
    </row>
    <row r="853" spans="1:17" s="219" customFormat="1" ht="14" outlineLevel="3">
      <c r="A853" s="203" t="s">
        <v>8</v>
      </c>
      <c r="B853" s="260" t="s">
        <v>215</v>
      </c>
      <c r="C853" s="200" t="s">
        <v>24</v>
      </c>
      <c r="D853" s="201"/>
      <c r="E853" s="201"/>
      <c r="F853" s="201"/>
      <c r="G853" s="7">
        <f t="shared" si="205"/>
        <v>0</v>
      </c>
      <c r="H853" s="201">
        <f t="shared" si="206"/>
        <v>0</v>
      </c>
      <c r="I853" s="202"/>
      <c r="J853" s="213" t="s">
        <v>21</v>
      </c>
      <c r="K853" s="214" t="s">
        <v>104</v>
      </c>
      <c r="L853" s="214" t="s">
        <v>94</v>
      </c>
      <c r="M853" s="215" t="s">
        <v>138</v>
      </c>
      <c r="N853" s="236"/>
      <c r="P853" s="220"/>
      <c r="Q853" s="259" t="s">
        <v>138</v>
      </c>
    </row>
    <row r="854" spans="1:17" s="219" customFormat="1" ht="14" outlineLevel="3">
      <c r="A854" s="203" t="s">
        <v>8</v>
      </c>
      <c r="B854" s="260" t="s">
        <v>216</v>
      </c>
      <c r="C854" s="200" t="s">
        <v>24</v>
      </c>
      <c r="D854" s="201">
        <v>13.928571428571429</v>
      </c>
      <c r="E854" s="201"/>
      <c r="F854" s="201">
        <v>18</v>
      </c>
      <c r="G854" s="7">
        <f t="shared" si="205"/>
        <v>250.71428571428572</v>
      </c>
      <c r="H854" s="201">
        <f t="shared" si="206"/>
        <v>0</v>
      </c>
      <c r="I854" s="202"/>
      <c r="J854" s="213" t="s">
        <v>21</v>
      </c>
      <c r="K854" s="214" t="s">
        <v>104</v>
      </c>
      <c r="L854" s="214" t="s">
        <v>94</v>
      </c>
      <c r="M854" s="215" t="s">
        <v>138</v>
      </c>
      <c r="N854" s="236"/>
      <c r="P854" s="220"/>
      <c r="Q854" s="259" t="s">
        <v>138</v>
      </c>
    </row>
    <row r="855" spans="1:17" s="219" customFormat="1" ht="14" outlineLevel="3">
      <c r="A855" s="203" t="s">
        <v>8</v>
      </c>
      <c r="B855" s="260" t="s">
        <v>584</v>
      </c>
      <c r="C855" s="200" t="s">
        <v>24</v>
      </c>
      <c r="D855" s="201">
        <v>13.928571428571429</v>
      </c>
      <c r="E855" s="201"/>
      <c r="F855" s="144">
        <v>25</v>
      </c>
      <c r="G855" s="7">
        <f t="shared" si="205"/>
        <v>348.21428571428572</v>
      </c>
      <c r="H855" s="201">
        <f t="shared" si="206"/>
        <v>0</v>
      </c>
      <c r="I855" s="202"/>
      <c r="J855" s="213" t="s">
        <v>21</v>
      </c>
      <c r="K855" s="214" t="s">
        <v>104</v>
      </c>
      <c r="L855" s="214" t="s">
        <v>94</v>
      </c>
      <c r="M855" s="215" t="s">
        <v>138</v>
      </c>
      <c r="N855" s="236"/>
      <c r="P855" s="220"/>
      <c r="Q855" s="259" t="s">
        <v>138</v>
      </c>
    </row>
    <row r="856" spans="1:17" s="219" customFormat="1" ht="14" outlineLevel="3">
      <c r="A856" s="203" t="s">
        <v>8</v>
      </c>
      <c r="B856" s="260" t="s">
        <v>585</v>
      </c>
      <c r="C856" s="200" t="s">
        <v>24</v>
      </c>
      <c r="D856" s="201">
        <v>14</v>
      </c>
      <c r="E856" s="201"/>
      <c r="F856" s="144">
        <v>7</v>
      </c>
      <c r="G856" s="7">
        <f t="shared" si="205"/>
        <v>98</v>
      </c>
      <c r="H856" s="201">
        <f t="shared" si="206"/>
        <v>0</v>
      </c>
      <c r="I856" s="202"/>
      <c r="J856" s="213" t="s">
        <v>21</v>
      </c>
      <c r="K856" s="214" t="s">
        <v>104</v>
      </c>
      <c r="L856" s="214" t="s">
        <v>94</v>
      </c>
      <c r="M856" s="215" t="s">
        <v>138</v>
      </c>
      <c r="N856" s="236"/>
      <c r="P856" s="220"/>
      <c r="Q856" s="259" t="s">
        <v>138</v>
      </c>
    </row>
    <row r="857" spans="1:17" s="219" customFormat="1" ht="14" outlineLevel="3">
      <c r="A857" s="203" t="s">
        <v>8</v>
      </c>
      <c r="B857" s="260" t="s">
        <v>217</v>
      </c>
      <c r="C857" s="200" t="s">
        <v>24</v>
      </c>
      <c r="D857" s="201">
        <v>8</v>
      </c>
      <c r="E857" s="201"/>
      <c r="F857" s="201">
        <v>120</v>
      </c>
      <c r="G857" s="7">
        <f t="shared" si="205"/>
        <v>960</v>
      </c>
      <c r="H857" s="201">
        <f t="shared" si="206"/>
        <v>0</v>
      </c>
      <c r="I857" s="202"/>
      <c r="J857" s="213" t="s">
        <v>21</v>
      </c>
      <c r="K857" s="214" t="s">
        <v>104</v>
      </c>
      <c r="L857" s="214" t="s">
        <v>94</v>
      </c>
      <c r="M857" s="215" t="s">
        <v>138</v>
      </c>
      <c r="N857" s="236"/>
      <c r="P857" s="220"/>
      <c r="Q857" s="259" t="s">
        <v>138</v>
      </c>
    </row>
    <row r="858" spans="1:17" s="219" customFormat="1" ht="14" outlineLevel="3">
      <c r="A858" s="203" t="s">
        <v>8</v>
      </c>
      <c r="B858" s="152" t="s">
        <v>218</v>
      </c>
      <c r="C858" s="200" t="s">
        <v>24</v>
      </c>
      <c r="D858" s="201">
        <v>8</v>
      </c>
      <c r="E858" s="201"/>
      <c r="F858" s="144">
        <v>30</v>
      </c>
      <c r="G858" s="7">
        <f t="shared" si="205"/>
        <v>240</v>
      </c>
      <c r="H858" s="201">
        <f t="shared" si="206"/>
        <v>0</v>
      </c>
      <c r="I858" s="202"/>
      <c r="J858" s="213" t="s">
        <v>21</v>
      </c>
      <c r="K858" s="214" t="s">
        <v>104</v>
      </c>
      <c r="L858" s="214" t="s">
        <v>94</v>
      </c>
      <c r="M858" s="215" t="s">
        <v>138</v>
      </c>
      <c r="N858" s="236"/>
      <c r="P858" s="220"/>
      <c r="Q858" s="259" t="s">
        <v>138</v>
      </c>
    </row>
    <row r="859" spans="1:17" s="219" customFormat="1" ht="14" outlineLevel="3">
      <c r="A859" s="203" t="s">
        <v>8</v>
      </c>
      <c r="B859" s="260" t="s">
        <v>219</v>
      </c>
      <c r="C859" s="200" t="s">
        <v>24</v>
      </c>
      <c r="D859" s="201">
        <v>600</v>
      </c>
      <c r="E859" s="201"/>
      <c r="F859" s="201">
        <v>4</v>
      </c>
      <c r="G859" s="7">
        <f t="shared" si="205"/>
        <v>2400</v>
      </c>
      <c r="H859" s="201">
        <f t="shared" si="206"/>
        <v>0</v>
      </c>
      <c r="I859" s="202"/>
      <c r="J859" s="213" t="s">
        <v>21</v>
      </c>
      <c r="K859" s="214" t="s">
        <v>104</v>
      </c>
      <c r="L859" s="214" t="s">
        <v>94</v>
      </c>
      <c r="M859" s="215" t="s">
        <v>138</v>
      </c>
      <c r="N859" s="236"/>
      <c r="P859" s="220"/>
      <c r="Q859" s="259" t="s">
        <v>138</v>
      </c>
    </row>
    <row r="860" spans="1:17" s="219" customFormat="1" ht="14" outlineLevel="3">
      <c r="A860" s="203" t="s">
        <v>8</v>
      </c>
      <c r="B860" s="260" t="s">
        <v>220</v>
      </c>
      <c r="C860" s="200" t="s">
        <v>24</v>
      </c>
      <c r="D860" s="201"/>
      <c r="E860" s="201"/>
      <c r="F860" s="201"/>
      <c r="G860" s="7">
        <f t="shared" si="205"/>
        <v>0</v>
      </c>
      <c r="H860" s="201">
        <f t="shared" si="206"/>
        <v>0</v>
      </c>
      <c r="I860" s="202"/>
      <c r="J860" s="213" t="s">
        <v>21</v>
      </c>
      <c r="K860" s="214" t="s">
        <v>104</v>
      </c>
      <c r="L860" s="214" t="s">
        <v>94</v>
      </c>
      <c r="M860" s="215" t="s">
        <v>138</v>
      </c>
      <c r="N860" s="236"/>
      <c r="P860" s="220"/>
      <c r="Q860" s="259" t="s">
        <v>138</v>
      </c>
    </row>
    <row r="861" spans="1:17" s="219" customFormat="1" ht="14" outlineLevel="3">
      <c r="A861" s="203" t="s">
        <v>8</v>
      </c>
      <c r="B861" s="260" t="s">
        <v>221</v>
      </c>
      <c r="C861" s="200" t="s">
        <v>24</v>
      </c>
      <c r="D861" s="201"/>
      <c r="E861" s="201"/>
      <c r="F861" s="201"/>
      <c r="G861" s="7">
        <f t="shared" si="205"/>
        <v>0</v>
      </c>
      <c r="H861" s="201">
        <f t="shared" si="206"/>
        <v>0</v>
      </c>
      <c r="I861" s="202"/>
      <c r="J861" s="213" t="s">
        <v>21</v>
      </c>
      <c r="K861" s="214" t="s">
        <v>104</v>
      </c>
      <c r="L861" s="214" t="s">
        <v>94</v>
      </c>
      <c r="M861" s="215" t="s">
        <v>138</v>
      </c>
      <c r="N861" s="236"/>
      <c r="P861" s="220"/>
      <c r="Q861" s="259" t="s">
        <v>138</v>
      </c>
    </row>
    <row r="862" spans="1:17" s="219" customFormat="1" ht="14" outlineLevel="3">
      <c r="A862" s="203" t="s">
        <v>8</v>
      </c>
      <c r="B862" s="260" t="s">
        <v>222</v>
      </c>
      <c r="C862" s="200" t="s">
        <v>24</v>
      </c>
      <c r="D862" s="201"/>
      <c r="E862" s="201"/>
      <c r="F862" s="201"/>
      <c r="G862" s="7">
        <f t="shared" si="205"/>
        <v>0</v>
      </c>
      <c r="H862" s="201">
        <f t="shared" si="206"/>
        <v>0</v>
      </c>
      <c r="I862" s="202"/>
      <c r="J862" s="213" t="s">
        <v>21</v>
      </c>
      <c r="K862" s="214" t="s">
        <v>104</v>
      </c>
      <c r="L862" s="214" t="s">
        <v>94</v>
      </c>
      <c r="M862" s="215" t="s">
        <v>138</v>
      </c>
      <c r="N862" s="236"/>
      <c r="P862" s="220"/>
      <c r="Q862" s="259" t="s">
        <v>138</v>
      </c>
    </row>
    <row r="863" spans="1:17" s="219" customFormat="1" ht="14" outlineLevel="3">
      <c r="A863" s="203" t="s">
        <v>8</v>
      </c>
      <c r="B863" s="260" t="s">
        <v>223</v>
      </c>
      <c r="C863" s="200" t="s">
        <v>11</v>
      </c>
      <c r="D863" s="201"/>
      <c r="E863" s="201"/>
      <c r="F863" s="145"/>
      <c r="G863" s="7">
        <f t="shared" si="205"/>
        <v>0</v>
      </c>
      <c r="H863" s="201">
        <f t="shared" si="206"/>
        <v>0</v>
      </c>
      <c r="I863" s="202"/>
      <c r="J863" s="213" t="s">
        <v>21</v>
      </c>
      <c r="K863" s="214" t="s">
        <v>104</v>
      </c>
      <c r="L863" s="214" t="s">
        <v>94</v>
      </c>
      <c r="M863" s="215" t="s">
        <v>138</v>
      </c>
      <c r="N863" s="236"/>
      <c r="P863" s="220"/>
      <c r="Q863" s="259" t="s">
        <v>138</v>
      </c>
    </row>
    <row r="864" spans="1:17" s="219" customFormat="1" ht="14" outlineLevel="3">
      <c r="A864" s="203" t="s">
        <v>8</v>
      </c>
      <c r="B864" s="260" t="s">
        <v>224</v>
      </c>
      <c r="C864" s="200" t="s">
        <v>24</v>
      </c>
      <c r="D864" s="201"/>
      <c r="E864" s="201"/>
      <c r="F864" s="145"/>
      <c r="G864" s="7">
        <f t="shared" si="205"/>
        <v>0</v>
      </c>
      <c r="H864" s="201">
        <f t="shared" si="206"/>
        <v>0</v>
      </c>
      <c r="I864" s="202"/>
      <c r="J864" s="213" t="s">
        <v>21</v>
      </c>
      <c r="K864" s="214" t="s">
        <v>104</v>
      </c>
      <c r="L864" s="214" t="s">
        <v>94</v>
      </c>
      <c r="M864" s="215" t="s">
        <v>138</v>
      </c>
      <c r="N864" s="236"/>
      <c r="P864" s="220"/>
      <c r="Q864" s="259" t="s">
        <v>138</v>
      </c>
    </row>
    <row r="865" spans="1:17" s="219" customFormat="1" ht="14" outlineLevel="3">
      <c r="A865" s="203" t="s">
        <v>8</v>
      </c>
      <c r="B865" s="260" t="s">
        <v>225</v>
      </c>
      <c r="C865" s="200" t="s">
        <v>24</v>
      </c>
      <c r="D865" s="201"/>
      <c r="E865" s="201"/>
      <c r="F865" s="201"/>
      <c r="G865" s="7">
        <f t="shared" si="205"/>
        <v>0</v>
      </c>
      <c r="H865" s="201">
        <f t="shared" si="206"/>
        <v>0</v>
      </c>
      <c r="I865" s="202"/>
      <c r="J865" s="213" t="s">
        <v>21</v>
      </c>
      <c r="K865" s="214" t="s">
        <v>104</v>
      </c>
      <c r="L865" s="214" t="s">
        <v>94</v>
      </c>
      <c r="M865" s="215" t="s">
        <v>138</v>
      </c>
      <c r="N865" s="236"/>
      <c r="P865" s="220"/>
      <c r="Q865" s="259" t="s">
        <v>138</v>
      </c>
    </row>
    <row r="866" spans="1:17" s="219" customFormat="1" ht="14" outlineLevel="3">
      <c r="A866" s="203" t="s">
        <v>8</v>
      </c>
      <c r="B866" s="260" t="s">
        <v>226</v>
      </c>
      <c r="C866" s="200" t="s">
        <v>24</v>
      </c>
      <c r="D866" s="201"/>
      <c r="E866" s="201"/>
      <c r="F866" s="201"/>
      <c r="G866" s="7">
        <f t="shared" si="205"/>
        <v>0</v>
      </c>
      <c r="H866" s="201">
        <f t="shared" si="206"/>
        <v>0</v>
      </c>
      <c r="I866" s="202"/>
      <c r="J866" s="213" t="s">
        <v>21</v>
      </c>
      <c r="K866" s="214" t="s">
        <v>104</v>
      </c>
      <c r="L866" s="214" t="s">
        <v>94</v>
      </c>
      <c r="M866" s="215" t="s">
        <v>138</v>
      </c>
      <c r="N866" s="236"/>
      <c r="P866" s="220"/>
      <c r="Q866" s="259" t="s">
        <v>138</v>
      </c>
    </row>
    <row r="867" spans="1:17" s="216" customFormat="1" ht="14" outlineLevel="3">
      <c r="A867" s="191">
        <v>3.2</v>
      </c>
      <c r="B867" s="153" t="s">
        <v>583</v>
      </c>
      <c r="C867" s="193"/>
      <c r="D867" s="194"/>
      <c r="E867" s="194"/>
      <c r="F867" s="194"/>
      <c r="G867" s="194"/>
      <c r="H867" s="194"/>
      <c r="I867" s="195"/>
      <c r="J867" s="213" t="s">
        <v>21</v>
      </c>
      <c r="K867" s="214"/>
      <c r="L867" s="214"/>
      <c r="M867" s="215" t="s">
        <v>138</v>
      </c>
      <c r="N867" s="215"/>
      <c r="P867" s="217"/>
      <c r="Q867" s="259" t="s">
        <v>138</v>
      </c>
    </row>
    <row r="868" spans="1:17" s="219" customFormat="1" ht="14" outlineLevel="3">
      <c r="A868" s="203" t="s">
        <v>8</v>
      </c>
      <c r="B868" s="218" t="s">
        <v>570</v>
      </c>
      <c r="C868" s="200" t="s">
        <v>48</v>
      </c>
      <c r="D868" s="201">
        <v>600</v>
      </c>
      <c r="E868" s="201"/>
      <c r="F868" s="144">
        <v>118</v>
      </c>
      <c r="G868" s="7">
        <f t="shared" ref="G868:G869" si="207">F868*D868</f>
        <v>70800</v>
      </c>
      <c r="H868" s="201">
        <f t="shared" ref="H868:H869" si="208">F868*E868</f>
        <v>0</v>
      </c>
      <c r="I868" s="202"/>
      <c r="J868" s="213" t="s">
        <v>21</v>
      </c>
      <c r="K868" s="214" t="s">
        <v>104</v>
      </c>
      <c r="L868" s="214" t="s">
        <v>94</v>
      </c>
      <c r="M868" s="215" t="s">
        <v>138</v>
      </c>
      <c r="N868" s="236"/>
      <c r="P868" s="220"/>
      <c r="Q868" s="259" t="s">
        <v>138</v>
      </c>
    </row>
    <row r="869" spans="1:17" s="219" customFormat="1" ht="14" outlineLevel="3">
      <c r="A869" s="203" t="s">
        <v>8</v>
      </c>
      <c r="B869" s="218" t="s">
        <v>50</v>
      </c>
      <c r="C869" s="200" t="s">
        <v>48</v>
      </c>
      <c r="D869" s="201"/>
      <c r="E869" s="201"/>
      <c r="F869" s="201"/>
      <c r="G869" s="7">
        <f t="shared" si="207"/>
        <v>0</v>
      </c>
      <c r="H869" s="201">
        <f t="shared" si="208"/>
        <v>0</v>
      </c>
      <c r="I869" s="202"/>
      <c r="J869" s="213" t="s">
        <v>21</v>
      </c>
      <c r="K869" s="214" t="s">
        <v>104</v>
      </c>
      <c r="L869" s="214" t="s">
        <v>94</v>
      </c>
      <c r="M869" s="215" t="s">
        <v>138</v>
      </c>
      <c r="N869" s="236"/>
      <c r="P869" s="220"/>
      <c r="Q869" s="259" t="s">
        <v>138</v>
      </c>
    </row>
    <row r="870" spans="1:17" s="361" customFormat="1" ht="14" outlineLevel="1">
      <c r="A870" s="354" t="s">
        <v>236</v>
      </c>
      <c r="B870" s="355" t="s">
        <v>1000</v>
      </c>
      <c r="C870" s="356"/>
      <c r="D870" s="357"/>
      <c r="E870" s="357"/>
      <c r="F870" s="357"/>
      <c r="G870" s="357"/>
      <c r="H870" s="357">
        <f>SUBTOTAL(9,H871:H871)</f>
        <v>0</v>
      </c>
      <c r="I870" s="358"/>
      <c r="J870" s="213" t="s">
        <v>21</v>
      </c>
      <c r="K870" s="359"/>
      <c r="L870" s="359"/>
      <c r="M870" s="214" t="s">
        <v>32</v>
      </c>
      <c r="N870" s="360"/>
    </row>
    <row r="871" spans="1:17" s="361" customFormat="1" ht="14" outlineLevel="2">
      <c r="A871" s="354" t="s">
        <v>4</v>
      </c>
      <c r="B871" s="362" t="s">
        <v>32</v>
      </c>
      <c r="C871" s="356"/>
      <c r="D871" s="357"/>
      <c r="E871" s="357"/>
      <c r="F871" s="357"/>
      <c r="G871" s="357">
        <f>SUBTOTAL(9,G872)</f>
        <v>0</v>
      </c>
      <c r="H871" s="357">
        <f>SUBTOTAL(9,H872)</f>
        <v>0</v>
      </c>
      <c r="I871" s="358"/>
      <c r="J871" s="213" t="s">
        <v>21</v>
      </c>
      <c r="K871" s="359"/>
      <c r="L871" s="359"/>
      <c r="M871" s="214" t="s">
        <v>32</v>
      </c>
      <c r="N871" s="360"/>
    </row>
    <row r="872" spans="1:17" s="216" customFormat="1" ht="14" outlineLevel="1">
      <c r="A872" s="191" t="s">
        <v>242</v>
      </c>
      <c r="B872" s="153" t="s">
        <v>287</v>
      </c>
      <c r="C872" s="193"/>
      <c r="D872" s="194"/>
      <c r="E872" s="194"/>
      <c r="F872" s="194"/>
      <c r="G872" s="194">
        <f>SUBTOTAL(9,G873:G1044)</f>
        <v>125740</v>
      </c>
      <c r="H872" s="194">
        <f>SUBTOTAL(9,H873:H1044)</f>
        <v>104240</v>
      </c>
      <c r="I872" s="194"/>
      <c r="J872" s="213" t="s">
        <v>21</v>
      </c>
      <c r="K872" s="214"/>
      <c r="L872" s="214"/>
      <c r="M872" s="215"/>
      <c r="N872" s="215"/>
      <c r="P872" s="217"/>
    </row>
    <row r="873" spans="1:17" s="216" customFormat="1" ht="14" outlineLevel="1">
      <c r="A873" s="191" t="s">
        <v>41</v>
      </c>
      <c r="B873" s="153" t="s">
        <v>69</v>
      </c>
      <c r="C873" s="193"/>
      <c r="D873" s="194"/>
      <c r="E873" s="194"/>
      <c r="F873" s="194"/>
      <c r="G873" s="194">
        <f>SUBTOTAL(9,G874:G910)</f>
        <v>91500</v>
      </c>
      <c r="H873" s="194">
        <f>SUBTOTAL(9,H874:H910)</f>
        <v>70000</v>
      </c>
      <c r="I873" s="194"/>
      <c r="J873" s="213" t="s">
        <v>21</v>
      </c>
      <c r="K873" s="214"/>
      <c r="L873" s="214"/>
      <c r="M873" s="214"/>
      <c r="N873" s="215"/>
      <c r="P873" s="217"/>
    </row>
    <row r="874" spans="1:17" s="216" customFormat="1" ht="14" outlineLevel="1">
      <c r="A874" s="191">
        <v>1</v>
      </c>
      <c r="B874" s="153" t="s">
        <v>604</v>
      </c>
      <c r="C874" s="193"/>
      <c r="D874" s="194"/>
      <c r="E874" s="194"/>
      <c r="F874" s="194"/>
      <c r="G874" s="194"/>
      <c r="H874" s="194"/>
      <c r="I874" s="194"/>
      <c r="J874" s="213" t="s">
        <v>21</v>
      </c>
      <c r="K874" s="214"/>
      <c r="L874" s="214"/>
      <c r="M874" s="214" t="s">
        <v>138</v>
      </c>
      <c r="N874" s="215"/>
      <c r="P874" s="217"/>
    </row>
    <row r="875" spans="1:17" s="219" customFormat="1" ht="14" outlineLevel="2">
      <c r="A875" s="208" t="s">
        <v>8</v>
      </c>
      <c r="B875" s="278" t="s">
        <v>605</v>
      </c>
      <c r="C875" s="200" t="s">
        <v>15</v>
      </c>
      <c r="D875" s="201"/>
      <c r="E875" s="201"/>
      <c r="F875" s="201"/>
      <c r="G875" s="7">
        <f t="shared" ref="G875:G887" si="209">F875*D875</f>
        <v>0</v>
      </c>
      <c r="H875" s="201">
        <f t="shared" ref="H875:H881" si="210">F875*E875</f>
        <v>0</v>
      </c>
      <c r="I875" s="202"/>
      <c r="J875" s="213" t="s">
        <v>21</v>
      </c>
      <c r="K875" s="214" t="s">
        <v>288</v>
      </c>
      <c r="L875" s="214" t="s">
        <v>94</v>
      </c>
      <c r="M875" s="214" t="s">
        <v>138</v>
      </c>
      <c r="N875" s="214"/>
      <c r="P875" s="220"/>
    </row>
    <row r="876" spans="1:17" s="219" customFormat="1" ht="14" outlineLevel="2">
      <c r="A876" s="208" t="s">
        <v>8</v>
      </c>
      <c r="B876" s="218" t="s">
        <v>606</v>
      </c>
      <c r="C876" s="200" t="s">
        <v>15</v>
      </c>
      <c r="D876" s="201"/>
      <c r="E876" s="201"/>
      <c r="F876" s="201"/>
      <c r="G876" s="7">
        <f t="shared" si="209"/>
        <v>0</v>
      </c>
      <c r="H876" s="201">
        <f t="shared" si="210"/>
        <v>0</v>
      </c>
      <c r="I876" s="202"/>
      <c r="J876" s="213" t="s">
        <v>21</v>
      </c>
      <c r="K876" s="214" t="s">
        <v>288</v>
      </c>
      <c r="L876" s="214" t="s">
        <v>94</v>
      </c>
      <c r="M876" s="214" t="s">
        <v>138</v>
      </c>
      <c r="N876" s="214"/>
      <c r="P876" s="220"/>
    </row>
    <row r="877" spans="1:17" s="219" customFormat="1" ht="14" outlineLevel="2">
      <c r="A877" s="208" t="s">
        <v>8</v>
      </c>
      <c r="B877" s="218" t="s">
        <v>607</v>
      </c>
      <c r="C877" s="200" t="s">
        <v>15</v>
      </c>
      <c r="D877" s="201"/>
      <c r="E877" s="201"/>
      <c r="F877" s="201"/>
      <c r="G877" s="7">
        <f t="shared" si="209"/>
        <v>0</v>
      </c>
      <c r="H877" s="201">
        <f t="shared" si="210"/>
        <v>0</v>
      </c>
      <c r="I877" s="202"/>
      <c r="J877" s="213" t="s">
        <v>21</v>
      </c>
      <c r="K877" s="214" t="s">
        <v>288</v>
      </c>
      <c r="L877" s="214" t="s">
        <v>94</v>
      </c>
      <c r="M877" s="214" t="s">
        <v>138</v>
      </c>
      <c r="N877" s="214"/>
      <c r="P877" s="220"/>
    </row>
    <row r="878" spans="1:17" s="219" customFormat="1" ht="14" outlineLevel="2">
      <c r="A878" s="208" t="s">
        <v>8</v>
      </c>
      <c r="B878" s="218" t="s">
        <v>608</v>
      </c>
      <c r="C878" s="200" t="s">
        <v>15</v>
      </c>
      <c r="D878" s="201"/>
      <c r="E878" s="201"/>
      <c r="F878" s="201"/>
      <c r="G878" s="7">
        <f t="shared" si="209"/>
        <v>0</v>
      </c>
      <c r="H878" s="201">
        <f t="shared" si="210"/>
        <v>0</v>
      </c>
      <c r="I878" s="202"/>
      <c r="J878" s="213" t="s">
        <v>21</v>
      </c>
      <c r="K878" s="214" t="s">
        <v>288</v>
      </c>
      <c r="L878" s="214" t="s">
        <v>94</v>
      </c>
      <c r="M878" s="214" t="s">
        <v>138</v>
      </c>
      <c r="N878" s="214"/>
      <c r="P878" s="220"/>
    </row>
    <row r="879" spans="1:17" s="219" customFormat="1" ht="14" outlineLevel="2">
      <c r="A879" s="208" t="s">
        <v>8</v>
      </c>
      <c r="B879" s="278" t="s">
        <v>609</v>
      </c>
      <c r="C879" s="200" t="s">
        <v>15</v>
      </c>
      <c r="D879" s="201"/>
      <c r="E879" s="201"/>
      <c r="F879" s="201"/>
      <c r="G879" s="7">
        <f t="shared" si="209"/>
        <v>0</v>
      </c>
      <c r="H879" s="201">
        <f t="shared" si="210"/>
        <v>0</v>
      </c>
      <c r="I879" s="202"/>
      <c r="J879" s="213" t="s">
        <v>21</v>
      </c>
      <c r="K879" s="214" t="s">
        <v>288</v>
      </c>
      <c r="L879" s="214" t="s">
        <v>94</v>
      </c>
      <c r="M879" s="214" t="s">
        <v>138</v>
      </c>
      <c r="N879" s="214"/>
      <c r="P879" s="220"/>
    </row>
    <row r="880" spans="1:17" s="219" customFormat="1" ht="14" outlineLevel="2">
      <c r="A880" s="208" t="s">
        <v>8</v>
      </c>
      <c r="B880" s="218" t="s">
        <v>610</v>
      </c>
      <c r="C880" s="200" t="s">
        <v>15</v>
      </c>
      <c r="D880" s="201"/>
      <c r="E880" s="201"/>
      <c r="F880" s="201"/>
      <c r="G880" s="7">
        <f t="shared" si="209"/>
        <v>0</v>
      </c>
      <c r="H880" s="201">
        <f t="shared" si="210"/>
        <v>0</v>
      </c>
      <c r="I880" s="202"/>
      <c r="J880" s="213" t="s">
        <v>21</v>
      </c>
      <c r="K880" s="214" t="s">
        <v>288</v>
      </c>
      <c r="L880" s="214" t="s">
        <v>94</v>
      </c>
      <c r="M880" s="214" t="s">
        <v>138</v>
      </c>
      <c r="N880" s="214"/>
      <c r="P880" s="220"/>
    </row>
    <row r="881" spans="1:16" s="219" customFormat="1" ht="14" outlineLevel="2">
      <c r="A881" s="208" t="s">
        <v>8</v>
      </c>
      <c r="B881" s="218" t="s">
        <v>611</v>
      </c>
      <c r="C881" s="200" t="s">
        <v>15</v>
      </c>
      <c r="D881" s="201"/>
      <c r="E881" s="201"/>
      <c r="F881" s="201"/>
      <c r="G881" s="7">
        <f t="shared" si="209"/>
        <v>0</v>
      </c>
      <c r="H881" s="201">
        <f t="shared" si="210"/>
        <v>0</v>
      </c>
      <c r="I881" s="202"/>
      <c r="J881" s="213" t="s">
        <v>21</v>
      </c>
      <c r="K881" s="214" t="s">
        <v>288</v>
      </c>
      <c r="L881" s="214" t="s">
        <v>94</v>
      </c>
      <c r="M881" s="214" t="s">
        <v>138</v>
      </c>
      <c r="N881" s="214"/>
      <c r="P881" s="220"/>
    </row>
    <row r="882" spans="1:16" s="219" customFormat="1" ht="14" outlineLevel="2">
      <c r="A882" s="208" t="s">
        <v>8</v>
      </c>
      <c r="B882" s="278" t="s">
        <v>612</v>
      </c>
      <c r="C882" s="200" t="s">
        <v>15</v>
      </c>
      <c r="D882" s="201"/>
      <c r="E882" s="201"/>
      <c r="F882" s="201"/>
      <c r="G882" s="7">
        <f t="shared" si="209"/>
        <v>0</v>
      </c>
      <c r="H882" s="201">
        <f t="shared" ref="H882:H885" si="211">F882*E882</f>
        <v>0</v>
      </c>
      <c r="I882" s="202"/>
      <c r="J882" s="213" t="s">
        <v>21</v>
      </c>
      <c r="K882" s="214" t="s">
        <v>288</v>
      </c>
      <c r="L882" s="214" t="s">
        <v>94</v>
      </c>
      <c r="M882" s="214" t="s">
        <v>138</v>
      </c>
      <c r="N882" s="214"/>
      <c r="P882" s="220"/>
    </row>
    <row r="883" spans="1:16" s="219" customFormat="1" ht="14" outlineLevel="2">
      <c r="A883" s="208" t="s">
        <v>8</v>
      </c>
      <c r="B883" s="218" t="s">
        <v>613</v>
      </c>
      <c r="C883" s="200" t="s">
        <v>15</v>
      </c>
      <c r="D883" s="201"/>
      <c r="E883" s="201"/>
      <c r="F883" s="201"/>
      <c r="G883" s="7">
        <f t="shared" si="209"/>
        <v>0</v>
      </c>
      <c r="H883" s="201">
        <f t="shared" si="211"/>
        <v>0</v>
      </c>
      <c r="I883" s="202"/>
      <c r="J883" s="213" t="s">
        <v>21</v>
      </c>
      <c r="K883" s="214" t="s">
        <v>288</v>
      </c>
      <c r="L883" s="214" t="s">
        <v>94</v>
      </c>
      <c r="M883" s="214" t="s">
        <v>138</v>
      </c>
      <c r="N883" s="214"/>
      <c r="P883" s="220"/>
    </row>
    <row r="884" spans="1:16" s="219" customFormat="1" ht="14" outlineLevel="2">
      <c r="A884" s="208" t="s">
        <v>8</v>
      </c>
      <c r="B884" s="512" t="s">
        <v>1031</v>
      </c>
      <c r="C884" s="200" t="s">
        <v>15</v>
      </c>
      <c r="D884" s="201">
        <v>5</v>
      </c>
      <c r="E884" s="201"/>
      <c r="F884" s="201">
        <v>4300</v>
      </c>
      <c r="G884" s="7">
        <f t="shared" si="209"/>
        <v>21500</v>
      </c>
      <c r="H884" s="201">
        <f t="shared" si="211"/>
        <v>0</v>
      </c>
      <c r="I884" s="202"/>
      <c r="J884" s="213" t="s">
        <v>21</v>
      </c>
      <c r="K884" s="214" t="s">
        <v>288</v>
      </c>
      <c r="L884" s="214" t="s">
        <v>94</v>
      </c>
      <c r="M884" s="214" t="s">
        <v>138</v>
      </c>
      <c r="N884" s="214"/>
      <c r="P884" s="220"/>
    </row>
    <row r="885" spans="1:16" s="219" customFormat="1" ht="14" outlineLevel="2">
      <c r="A885" s="208" t="s">
        <v>8</v>
      </c>
      <c r="B885" s="218" t="s">
        <v>614</v>
      </c>
      <c r="C885" s="200" t="s">
        <v>15</v>
      </c>
      <c r="D885" s="201"/>
      <c r="E885" s="201"/>
      <c r="F885" s="201"/>
      <c r="G885" s="7">
        <f t="shared" si="209"/>
        <v>0</v>
      </c>
      <c r="H885" s="201">
        <f t="shared" si="211"/>
        <v>0</v>
      </c>
      <c r="I885" s="202"/>
      <c r="J885" s="213" t="s">
        <v>21</v>
      </c>
      <c r="K885" s="214" t="s">
        <v>288</v>
      </c>
      <c r="L885" s="214" t="s">
        <v>94</v>
      </c>
      <c r="M885" s="214" t="s">
        <v>138</v>
      </c>
      <c r="N885" s="214"/>
      <c r="P885" s="220"/>
    </row>
    <row r="886" spans="1:16" s="219" customFormat="1" ht="14" outlineLevel="2">
      <c r="A886" s="208" t="s">
        <v>8</v>
      </c>
      <c r="B886" s="278" t="s">
        <v>615</v>
      </c>
      <c r="C886" s="200" t="s">
        <v>15</v>
      </c>
      <c r="D886" s="201"/>
      <c r="E886" s="201"/>
      <c r="F886" s="201"/>
      <c r="G886" s="7">
        <f t="shared" si="209"/>
        <v>0</v>
      </c>
      <c r="H886" s="201">
        <f t="shared" ref="H886:H887" si="212">F886*E886</f>
        <v>0</v>
      </c>
      <c r="I886" s="202"/>
      <c r="J886" s="213" t="s">
        <v>21</v>
      </c>
      <c r="K886" s="214" t="s">
        <v>288</v>
      </c>
      <c r="L886" s="214" t="s">
        <v>94</v>
      </c>
      <c r="M886" s="214" t="s">
        <v>138</v>
      </c>
      <c r="N886" s="214"/>
      <c r="P886" s="220"/>
    </row>
    <row r="887" spans="1:16" s="219" customFormat="1" ht="14" outlineLevel="2">
      <c r="A887" s="208" t="s">
        <v>8</v>
      </c>
      <c r="B887" s="218" t="s">
        <v>616</v>
      </c>
      <c r="C887" s="200" t="s">
        <v>15</v>
      </c>
      <c r="D887" s="201"/>
      <c r="E887" s="201"/>
      <c r="F887" s="201"/>
      <c r="G887" s="7">
        <f t="shared" si="209"/>
        <v>0</v>
      </c>
      <c r="H887" s="201">
        <f t="shared" si="212"/>
        <v>0</v>
      </c>
      <c r="I887" s="202"/>
      <c r="J887" s="213" t="s">
        <v>21</v>
      </c>
      <c r="K887" s="214" t="s">
        <v>288</v>
      </c>
      <c r="L887" s="214" t="s">
        <v>94</v>
      </c>
      <c r="M887" s="214" t="s">
        <v>138</v>
      </c>
      <c r="N887" s="214"/>
      <c r="P887" s="220"/>
    </row>
    <row r="888" spans="1:16" s="216" customFormat="1" ht="14" outlineLevel="1">
      <c r="A888" s="191">
        <v>2</v>
      </c>
      <c r="B888" s="153" t="s">
        <v>617</v>
      </c>
      <c r="C888" s="193"/>
      <c r="D888" s="194"/>
      <c r="E888" s="194"/>
      <c r="F888" s="194"/>
      <c r="G888" s="194"/>
      <c r="H888" s="194"/>
      <c r="I888" s="194"/>
      <c r="J888" s="213" t="s">
        <v>21</v>
      </c>
      <c r="K888" s="214"/>
      <c r="L888" s="214"/>
      <c r="M888" s="214" t="s">
        <v>138</v>
      </c>
      <c r="N888" s="215"/>
      <c r="P888" s="217"/>
    </row>
    <row r="889" spans="1:16" s="219" customFormat="1" ht="14" outlineLevel="2">
      <c r="A889" s="208" t="s">
        <v>8</v>
      </c>
      <c r="B889" s="278" t="s">
        <v>618</v>
      </c>
      <c r="C889" s="200" t="s">
        <v>30</v>
      </c>
      <c r="D889" s="201">
        <v>50</v>
      </c>
      <c r="E889" s="201">
        <v>50</v>
      </c>
      <c r="F889" s="201">
        <v>600</v>
      </c>
      <c r="G889" s="7">
        <f t="shared" ref="G889:G893" si="213">F889*D889</f>
        <v>30000</v>
      </c>
      <c r="H889" s="201">
        <f t="shared" ref="H889:H893" si="214">F889*E889</f>
        <v>30000</v>
      </c>
      <c r="I889" s="202"/>
      <c r="J889" s="213" t="s">
        <v>21</v>
      </c>
      <c r="K889" s="214" t="s">
        <v>288</v>
      </c>
      <c r="L889" s="214" t="s">
        <v>94</v>
      </c>
      <c r="M889" s="214" t="s">
        <v>138</v>
      </c>
      <c r="N889" s="214"/>
      <c r="P889" s="220"/>
    </row>
    <row r="890" spans="1:16" s="219" customFormat="1" ht="14" outlineLevel="2">
      <c r="A890" s="208" t="s">
        <v>8</v>
      </c>
      <c r="B890" s="218" t="s">
        <v>619</v>
      </c>
      <c r="C890" s="200" t="s">
        <v>30</v>
      </c>
      <c r="D890" s="201">
        <v>50</v>
      </c>
      <c r="E890" s="201">
        <v>50</v>
      </c>
      <c r="F890" s="201">
        <v>800</v>
      </c>
      <c r="G890" s="7">
        <f t="shared" si="213"/>
        <v>40000</v>
      </c>
      <c r="H890" s="201">
        <f t="shared" si="214"/>
        <v>40000</v>
      </c>
      <c r="I890" s="202"/>
      <c r="J890" s="213" t="s">
        <v>21</v>
      </c>
      <c r="K890" s="214" t="s">
        <v>288</v>
      </c>
      <c r="L890" s="214" t="s">
        <v>94</v>
      </c>
      <c r="M890" s="214" t="s">
        <v>138</v>
      </c>
      <c r="N890" s="214"/>
      <c r="P890" s="220"/>
    </row>
    <row r="891" spans="1:16" s="219" customFormat="1" ht="14" outlineLevel="2">
      <c r="A891" s="208" t="s">
        <v>8</v>
      </c>
      <c r="B891" s="218" t="s">
        <v>620</v>
      </c>
      <c r="C891" s="200" t="s">
        <v>30</v>
      </c>
      <c r="D891" s="201"/>
      <c r="E891" s="201"/>
      <c r="F891" s="201"/>
      <c r="G891" s="7">
        <f t="shared" si="213"/>
        <v>0</v>
      </c>
      <c r="H891" s="201">
        <f t="shared" si="214"/>
        <v>0</v>
      </c>
      <c r="I891" s="202"/>
      <c r="J891" s="213" t="s">
        <v>21</v>
      </c>
      <c r="K891" s="214" t="s">
        <v>288</v>
      </c>
      <c r="L891" s="214" t="s">
        <v>94</v>
      </c>
      <c r="M891" s="214" t="s">
        <v>138</v>
      </c>
      <c r="N891" s="214"/>
      <c r="P891" s="220"/>
    </row>
    <row r="892" spans="1:16" s="219" customFormat="1" ht="14" outlineLevel="2">
      <c r="A892" s="208" t="s">
        <v>8</v>
      </c>
      <c r="B892" s="218" t="s">
        <v>621</v>
      </c>
      <c r="C892" s="200" t="s">
        <v>36</v>
      </c>
      <c r="D892" s="201"/>
      <c r="E892" s="201"/>
      <c r="F892" s="201"/>
      <c r="G892" s="7">
        <f t="shared" si="213"/>
        <v>0</v>
      </c>
      <c r="H892" s="201">
        <f t="shared" si="214"/>
        <v>0</v>
      </c>
      <c r="I892" s="202"/>
      <c r="J892" s="213" t="s">
        <v>21</v>
      </c>
      <c r="K892" s="214" t="s">
        <v>288</v>
      </c>
      <c r="L892" s="214" t="s">
        <v>94</v>
      </c>
      <c r="M892" s="214" t="s">
        <v>138</v>
      </c>
      <c r="N892" s="214"/>
      <c r="P892" s="220"/>
    </row>
    <row r="893" spans="1:16" s="219" customFormat="1" ht="14" outlineLevel="2">
      <c r="A893" s="208" t="s">
        <v>8</v>
      </c>
      <c r="B893" s="278" t="s">
        <v>622</v>
      </c>
      <c r="C893" s="200" t="s">
        <v>36</v>
      </c>
      <c r="D893" s="201"/>
      <c r="E893" s="201"/>
      <c r="F893" s="201"/>
      <c r="G893" s="7">
        <f t="shared" si="213"/>
        <v>0</v>
      </c>
      <c r="H893" s="201">
        <f t="shared" si="214"/>
        <v>0</v>
      </c>
      <c r="I893" s="202"/>
      <c r="J893" s="213" t="s">
        <v>21</v>
      </c>
      <c r="K893" s="214" t="s">
        <v>288</v>
      </c>
      <c r="L893" s="214" t="s">
        <v>94</v>
      </c>
      <c r="M893" s="214" t="s">
        <v>138</v>
      </c>
      <c r="N893" s="214"/>
      <c r="P893" s="220"/>
    </row>
    <row r="894" spans="1:16" s="216" customFormat="1" ht="14" outlineLevel="1">
      <c r="A894" s="191">
        <v>1</v>
      </c>
      <c r="B894" s="153" t="s">
        <v>94</v>
      </c>
      <c r="C894" s="193"/>
      <c r="D894" s="194"/>
      <c r="E894" s="194"/>
      <c r="F894" s="194"/>
      <c r="G894" s="194"/>
      <c r="H894" s="194"/>
      <c r="I894" s="194"/>
      <c r="J894" s="213" t="s">
        <v>21</v>
      </c>
      <c r="K894" s="214"/>
      <c r="L894" s="214"/>
      <c r="M894" s="214" t="s">
        <v>138</v>
      </c>
      <c r="N894" s="215"/>
      <c r="P894" s="217"/>
    </row>
    <row r="895" spans="1:16" s="219" customFormat="1" ht="14" outlineLevel="2">
      <c r="A895" s="208" t="s">
        <v>8</v>
      </c>
      <c r="B895" s="278" t="s">
        <v>623</v>
      </c>
      <c r="C895" s="200" t="s">
        <v>15</v>
      </c>
      <c r="D895" s="201"/>
      <c r="E895" s="201"/>
      <c r="F895" s="201"/>
      <c r="G895" s="7">
        <f t="shared" ref="G895:G910" si="215">F895*D895</f>
        <v>0</v>
      </c>
      <c r="H895" s="201">
        <f t="shared" ref="H895:H907" si="216">F895*E895</f>
        <v>0</v>
      </c>
      <c r="I895" s="202"/>
      <c r="J895" s="213" t="s">
        <v>21</v>
      </c>
      <c r="K895" s="214" t="s">
        <v>288</v>
      </c>
      <c r="L895" s="214" t="s">
        <v>94</v>
      </c>
      <c r="M895" s="214" t="s">
        <v>138</v>
      </c>
      <c r="N895" s="214"/>
      <c r="P895" s="220"/>
    </row>
    <row r="896" spans="1:16" s="219" customFormat="1" ht="14" outlineLevel="2">
      <c r="A896" s="208" t="s">
        <v>8</v>
      </c>
      <c r="B896" s="218" t="s">
        <v>624</v>
      </c>
      <c r="C896" s="200" t="s">
        <v>15</v>
      </c>
      <c r="D896" s="201"/>
      <c r="E896" s="201"/>
      <c r="F896" s="201"/>
      <c r="G896" s="7">
        <f t="shared" si="215"/>
        <v>0</v>
      </c>
      <c r="H896" s="201">
        <f t="shared" si="216"/>
        <v>0</v>
      </c>
      <c r="I896" s="202"/>
      <c r="J896" s="213" t="s">
        <v>21</v>
      </c>
      <c r="K896" s="214" t="s">
        <v>288</v>
      </c>
      <c r="L896" s="214" t="s">
        <v>94</v>
      </c>
      <c r="M896" s="214" t="s">
        <v>138</v>
      </c>
      <c r="N896" s="214"/>
      <c r="P896" s="220"/>
    </row>
    <row r="897" spans="1:16" s="219" customFormat="1" ht="14" outlineLevel="2">
      <c r="A897" s="208" t="s">
        <v>8</v>
      </c>
      <c r="B897" s="218" t="s">
        <v>625</v>
      </c>
      <c r="C897" s="200" t="s">
        <v>15</v>
      </c>
      <c r="D897" s="201"/>
      <c r="E897" s="201"/>
      <c r="F897" s="201"/>
      <c r="G897" s="7">
        <f t="shared" si="215"/>
        <v>0</v>
      </c>
      <c r="H897" s="201">
        <f t="shared" si="216"/>
        <v>0</v>
      </c>
      <c r="I897" s="202"/>
      <c r="J897" s="213" t="s">
        <v>21</v>
      </c>
      <c r="K897" s="214" t="s">
        <v>288</v>
      </c>
      <c r="L897" s="214" t="s">
        <v>94</v>
      </c>
      <c r="M897" s="214" t="s">
        <v>138</v>
      </c>
      <c r="N897" s="214"/>
      <c r="P897" s="220"/>
    </row>
    <row r="898" spans="1:16" s="219" customFormat="1" ht="14" outlineLevel="2">
      <c r="A898" s="208" t="s">
        <v>8</v>
      </c>
      <c r="B898" s="218" t="s">
        <v>626</v>
      </c>
      <c r="C898" s="200" t="s">
        <v>15</v>
      </c>
      <c r="D898" s="201"/>
      <c r="E898" s="201"/>
      <c r="F898" s="201"/>
      <c r="G898" s="7">
        <f t="shared" si="215"/>
        <v>0</v>
      </c>
      <c r="H898" s="201">
        <f t="shared" si="216"/>
        <v>0</v>
      </c>
      <c r="I898" s="202"/>
      <c r="J898" s="213" t="s">
        <v>21</v>
      </c>
      <c r="K898" s="214" t="s">
        <v>288</v>
      </c>
      <c r="L898" s="214" t="s">
        <v>94</v>
      </c>
      <c r="M898" s="214" t="s">
        <v>138</v>
      </c>
      <c r="N898" s="214"/>
      <c r="P898" s="220"/>
    </row>
    <row r="899" spans="1:16" s="219" customFormat="1" ht="14" outlineLevel="2">
      <c r="A899" s="208" t="s">
        <v>8</v>
      </c>
      <c r="B899" s="278" t="s">
        <v>627</v>
      </c>
      <c r="C899" s="200" t="s">
        <v>15</v>
      </c>
      <c r="D899" s="201"/>
      <c r="E899" s="201"/>
      <c r="F899" s="201"/>
      <c r="G899" s="7">
        <f t="shared" si="215"/>
        <v>0</v>
      </c>
      <c r="H899" s="201">
        <f t="shared" si="216"/>
        <v>0</v>
      </c>
      <c r="I899" s="202"/>
      <c r="J899" s="213" t="s">
        <v>21</v>
      </c>
      <c r="K899" s="214" t="s">
        <v>288</v>
      </c>
      <c r="L899" s="214" t="s">
        <v>94</v>
      </c>
      <c r="M899" s="214" t="s">
        <v>138</v>
      </c>
      <c r="N899" s="214"/>
      <c r="P899" s="220"/>
    </row>
    <row r="900" spans="1:16" s="219" customFormat="1" ht="14" outlineLevel="2">
      <c r="A900" s="208" t="s">
        <v>8</v>
      </c>
      <c r="B900" s="218" t="s">
        <v>628</v>
      </c>
      <c r="C900" s="200" t="s">
        <v>15</v>
      </c>
      <c r="D900" s="201"/>
      <c r="E900" s="201"/>
      <c r="F900" s="201"/>
      <c r="G900" s="7">
        <f t="shared" si="215"/>
        <v>0</v>
      </c>
      <c r="H900" s="201">
        <f t="shared" si="216"/>
        <v>0</v>
      </c>
      <c r="I900" s="202"/>
      <c r="J900" s="213" t="s">
        <v>21</v>
      </c>
      <c r="K900" s="214" t="s">
        <v>288</v>
      </c>
      <c r="L900" s="214" t="s">
        <v>94</v>
      </c>
      <c r="M900" s="214" t="s">
        <v>138</v>
      </c>
      <c r="N900" s="214"/>
      <c r="P900" s="220"/>
    </row>
    <row r="901" spans="1:16" s="219" customFormat="1" ht="14" outlineLevel="2">
      <c r="A901" s="208" t="s">
        <v>8</v>
      </c>
      <c r="B901" s="218" t="s">
        <v>629</v>
      </c>
      <c r="C901" s="200" t="s">
        <v>15</v>
      </c>
      <c r="D901" s="201"/>
      <c r="E901" s="201"/>
      <c r="F901" s="201"/>
      <c r="G901" s="7">
        <f t="shared" si="215"/>
        <v>0</v>
      </c>
      <c r="H901" s="201">
        <f t="shared" si="216"/>
        <v>0</v>
      </c>
      <c r="I901" s="202"/>
      <c r="J901" s="213" t="s">
        <v>21</v>
      </c>
      <c r="K901" s="214" t="s">
        <v>288</v>
      </c>
      <c r="L901" s="214" t="s">
        <v>94</v>
      </c>
      <c r="M901" s="214" t="s">
        <v>138</v>
      </c>
      <c r="N901" s="214"/>
      <c r="P901" s="220"/>
    </row>
    <row r="902" spans="1:16" s="219" customFormat="1" ht="14" outlineLevel="2">
      <c r="A902" s="208" t="s">
        <v>8</v>
      </c>
      <c r="B902" s="278" t="s">
        <v>630</v>
      </c>
      <c r="C902" s="200" t="s">
        <v>15</v>
      </c>
      <c r="D902" s="201"/>
      <c r="E902" s="201"/>
      <c r="F902" s="201"/>
      <c r="G902" s="7">
        <f t="shared" si="215"/>
        <v>0</v>
      </c>
      <c r="H902" s="201">
        <f t="shared" si="216"/>
        <v>0</v>
      </c>
      <c r="I902" s="202"/>
      <c r="J902" s="213" t="s">
        <v>21</v>
      </c>
      <c r="K902" s="214" t="s">
        <v>288</v>
      </c>
      <c r="L902" s="214" t="s">
        <v>94</v>
      </c>
      <c r="M902" s="214" t="s">
        <v>138</v>
      </c>
      <c r="N902" s="214"/>
      <c r="P902" s="220"/>
    </row>
    <row r="903" spans="1:16" s="219" customFormat="1" ht="14" outlineLevel="2">
      <c r="A903" s="208" t="s">
        <v>8</v>
      </c>
      <c r="B903" s="218" t="s">
        <v>631</v>
      </c>
      <c r="C903" s="200" t="s">
        <v>36</v>
      </c>
      <c r="D903" s="201"/>
      <c r="E903" s="201"/>
      <c r="F903" s="201"/>
      <c r="G903" s="7">
        <f t="shared" si="215"/>
        <v>0</v>
      </c>
      <c r="H903" s="201">
        <f t="shared" si="216"/>
        <v>0</v>
      </c>
      <c r="I903" s="202"/>
      <c r="J903" s="213" t="s">
        <v>21</v>
      </c>
      <c r="K903" s="214" t="s">
        <v>288</v>
      </c>
      <c r="L903" s="214" t="s">
        <v>94</v>
      </c>
      <c r="M903" s="214" t="s">
        <v>138</v>
      </c>
      <c r="N903" s="214"/>
      <c r="P903" s="220"/>
    </row>
    <row r="904" spans="1:16" s="219" customFormat="1" ht="14" outlineLevel="2">
      <c r="A904" s="208" t="s">
        <v>8</v>
      </c>
      <c r="B904" s="218" t="s">
        <v>632</v>
      </c>
      <c r="C904" s="200" t="s">
        <v>15</v>
      </c>
      <c r="D904" s="201"/>
      <c r="E904" s="201"/>
      <c r="F904" s="201"/>
      <c r="G904" s="7">
        <f t="shared" si="215"/>
        <v>0</v>
      </c>
      <c r="H904" s="201">
        <f t="shared" si="216"/>
        <v>0</v>
      </c>
      <c r="I904" s="202"/>
      <c r="J904" s="213" t="s">
        <v>21</v>
      </c>
      <c r="K904" s="214" t="s">
        <v>288</v>
      </c>
      <c r="L904" s="214" t="s">
        <v>94</v>
      </c>
      <c r="M904" s="214" t="s">
        <v>138</v>
      </c>
      <c r="N904" s="214"/>
      <c r="P904" s="220"/>
    </row>
    <row r="905" spans="1:16" s="219" customFormat="1" ht="14" outlineLevel="2">
      <c r="A905" s="208" t="s">
        <v>8</v>
      </c>
      <c r="B905" s="218" t="s">
        <v>633</v>
      </c>
      <c r="C905" s="200" t="s">
        <v>15</v>
      </c>
      <c r="D905" s="201"/>
      <c r="E905" s="201"/>
      <c r="F905" s="201"/>
      <c r="G905" s="7">
        <f t="shared" si="215"/>
        <v>0</v>
      </c>
      <c r="H905" s="201">
        <f t="shared" si="216"/>
        <v>0</v>
      </c>
      <c r="I905" s="202"/>
      <c r="J905" s="213" t="s">
        <v>21</v>
      </c>
      <c r="K905" s="214" t="s">
        <v>288</v>
      </c>
      <c r="L905" s="214" t="s">
        <v>94</v>
      </c>
      <c r="M905" s="214" t="s">
        <v>138</v>
      </c>
      <c r="N905" s="214"/>
      <c r="P905" s="220"/>
    </row>
    <row r="906" spans="1:16" s="219" customFormat="1" ht="14" outlineLevel="2">
      <c r="A906" s="208" t="s">
        <v>8</v>
      </c>
      <c r="B906" s="278" t="s">
        <v>634</v>
      </c>
      <c r="C906" s="200" t="s">
        <v>15</v>
      </c>
      <c r="D906" s="201"/>
      <c r="E906" s="201"/>
      <c r="F906" s="201"/>
      <c r="G906" s="7">
        <f t="shared" si="215"/>
        <v>0</v>
      </c>
      <c r="H906" s="201">
        <f t="shared" si="216"/>
        <v>0</v>
      </c>
      <c r="I906" s="202"/>
      <c r="J906" s="213" t="s">
        <v>21</v>
      </c>
      <c r="K906" s="214" t="s">
        <v>288</v>
      </c>
      <c r="L906" s="214" t="s">
        <v>94</v>
      </c>
      <c r="M906" s="214" t="s">
        <v>138</v>
      </c>
      <c r="N906" s="214"/>
      <c r="P906" s="220"/>
    </row>
    <row r="907" spans="1:16" s="219" customFormat="1" ht="14" outlineLevel="2">
      <c r="A907" s="208" t="s">
        <v>8</v>
      </c>
      <c r="B907" s="218" t="s">
        <v>635</v>
      </c>
      <c r="C907" s="200" t="s">
        <v>639</v>
      </c>
      <c r="D907" s="201"/>
      <c r="E907" s="201"/>
      <c r="F907" s="201"/>
      <c r="G907" s="7">
        <f t="shared" si="215"/>
        <v>0</v>
      </c>
      <c r="H907" s="201">
        <f t="shared" si="216"/>
        <v>0</v>
      </c>
      <c r="I907" s="202"/>
      <c r="J907" s="213" t="s">
        <v>21</v>
      </c>
      <c r="K907" s="214" t="s">
        <v>288</v>
      </c>
      <c r="L907" s="214" t="s">
        <v>94</v>
      </c>
      <c r="M907" s="214" t="s">
        <v>138</v>
      </c>
      <c r="N907" s="214"/>
      <c r="P907" s="220"/>
    </row>
    <row r="908" spans="1:16" s="216" customFormat="1" ht="14" outlineLevel="1">
      <c r="A908" s="208" t="s">
        <v>8</v>
      </c>
      <c r="B908" s="218" t="s">
        <v>636</v>
      </c>
      <c r="C908" s="193" t="s">
        <v>639</v>
      </c>
      <c r="D908" s="194"/>
      <c r="E908" s="194"/>
      <c r="F908" s="194"/>
      <c r="G908" s="7">
        <f t="shared" si="215"/>
        <v>0</v>
      </c>
      <c r="H908" s="201">
        <f t="shared" ref="H908" si="217">F908*E908</f>
        <v>0</v>
      </c>
      <c r="I908" s="194"/>
      <c r="J908" s="213" t="s">
        <v>21</v>
      </c>
      <c r="K908" s="214" t="s">
        <v>288</v>
      </c>
      <c r="L908" s="214" t="s">
        <v>94</v>
      </c>
      <c r="M908" s="214" t="s">
        <v>138</v>
      </c>
      <c r="N908" s="215"/>
      <c r="P908" s="217"/>
    </row>
    <row r="909" spans="1:16" s="219" customFormat="1" ht="14" outlineLevel="2">
      <c r="A909" s="208" t="s">
        <v>8</v>
      </c>
      <c r="B909" s="278" t="s">
        <v>637</v>
      </c>
      <c r="C909" s="200" t="s">
        <v>36</v>
      </c>
      <c r="D909" s="201"/>
      <c r="E909" s="201"/>
      <c r="F909" s="201"/>
      <c r="G909" s="7">
        <f t="shared" si="215"/>
        <v>0</v>
      </c>
      <c r="H909" s="201">
        <f t="shared" ref="H909:H910" si="218">F909*E909</f>
        <v>0</v>
      </c>
      <c r="I909" s="202"/>
      <c r="J909" s="213" t="s">
        <v>21</v>
      </c>
      <c r="K909" s="214" t="s">
        <v>288</v>
      </c>
      <c r="L909" s="214" t="s">
        <v>94</v>
      </c>
      <c r="M909" s="214" t="s">
        <v>138</v>
      </c>
      <c r="N909" s="214"/>
      <c r="P909" s="220"/>
    </row>
    <row r="910" spans="1:16" s="219" customFormat="1" ht="14" outlineLevel="2">
      <c r="A910" s="208" t="s">
        <v>8</v>
      </c>
      <c r="B910" s="218" t="s">
        <v>638</v>
      </c>
      <c r="C910" s="200" t="s">
        <v>15</v>
      </c>
      <c r="D910" s="201"/>
      <c r="E910" s="201"/>
      <c r="F910" s="201"/>
      <c r="G910" s="7">
        <f t="shared" si="215"/>
        <v>0</v>
      </c>
      <c r="H910" s="201">
        <f t="shared" si="218"/>
        <v>0</v>
      </c>
      <c r="I910" s="202"/>
      <c r="J910" s="213" t="s">
        <v>21</v>
      </c>
      <c r="K910" s="214" t="s">
        <v>288</v>
      </c>
      <c r="L910" s="214" t="s">
        <v>94</v>
      </c>
      <c r="M910" s="214" t="s">
        <v>138</v>
      </c>
      <c r="N910" s="214"/>
      <c r="P910" s="220"/>
    </row>
    <row r="911" spans="1:16" s="216" customFormat="1" ht="14" outlineLevel="1">
      <c r="A911" s="191" t="s">
        <v>43</v>
      </c>
      <c r="B911" s="153" t="s">
        <v>32</v>
      </c>
      <c r="C911" s="193"/>
      <c r="D911" s="194"/>
      <c r="E911" s="194"/>
      <c r="F911" s="194"/>
      <c r="G911" s="194">
        <f>SUBTOTAL(9,G912:G1044)</f>
        <v>34240</v>
      </c>
      <c r="H911" s="194">
        <f>SUBTOTAL(9,H912:H1044)</f>
        <v>34240</v>
      </c>
      <c r="I911" s="194"/>
      <c r="J911" s="213" t="s">
        <v>21</v>
      </c>
      <c r="K911" s="214"/>
      <c r="L911" s="214"/>
      <c r="M911" s="215"/>
      <c r="N911" s="215"/>
      <c r="P911" s="217"/>
    </row>
    <row r="912" spans="1:16" s="216" customFormat="1" ht="14" outlineLevel="3">
      <c r="A912" s="191">
        <v>1</v>
      </c>
      <c r="B912" s="192" t="s">
        <v>228</v>
      </c>
      <c r="C912" s="252"/>
      <c r="D912" s="242"/>
      <c r="E912" s="242"/>
      <c r="F912" s="242"/>
      <c r="G912" s="242"/>
      <c r="H912" s="242"/>
      <c r="I912" s="195"/>
      <c r="J912" s="213" t="s">
        <v>21</v>
      </c>
      <c r="K912" s="214"/>
      <c r="L912" s="214"/>
      <c r="M912" s="359" t="s">
        <v>32</v>
      </c>
      <c r="N912" s="215"/>
      <c r="P912" s="217"/>
    </row>
    <row r="913" spans="1:14" s="371" customFormat="1" ht="14" outlineLevel="4">
      <c r="A913" s="372" t="s">
        <v>8</v>
      </c>
      <c r="B913" s="377" t="s">
        <v>679</v>
      </c>
      <c r="C913" s="249" t="s">
        <v>139</v>
      </c>
      <c r="D913" s="205">
        <v>28</v>
      </c>
      <c r="E913" s="205">
        <v>28</v>
      </c>
      <c r="F913" s="205">
        <v>80</v>
      </c>
      <c r="G913" s="7">
        <f t="shared" ref="G913:G922" si="219">F913*D913</f>
        <v>2240</v>
      </c>
      <c r="H913" s="205">
        <f t="shared" ref="H913:H922" si="220">F913*E913</f>
        <v>2240</v>
      </c>
      <c r="I913" s="369"/>
      <c r="J913" s="213" t="s">
        <v>21</v>
      </c>
      <c r="K913" s="359" t="s">
        <v>288</v>
      </c>
      <c r="L913" s="359" t="s">
        <v>94</v>
      </c>
      <c r="M913" s="359" t="s">
        <v>138</v>
      </c>
      <c r="N913" s="370"/>
    </row>
    <row r="914" spans="1:14" s="371" customFormat="1" ht="14" outlineLevel="4">
      <c r="A914" s="372" t="s">
        <v>8</v>
      </c>
      <c r="B914" s="377" t="s">
        <v>680</v>
      </c>
      <c r="C914" s="249" t="s">
        <v>139</v>
      </c>
      <c r="D914" s="205">
        <v>36</v>
      </c>
      <c r="E914" s="205">
        <v>36</v>
      </c>
      <c r="F914" s="205">
        <v>100</v>
      </c>
      <c r="G914" s="7">
        <f t="shared" si="219"/>
        <v>3600</v>
      </c>
      <c r="H914" s="205">
        <f t="shared" si="220"/>
        <v>3600</v>
      </c>
      <c r="I914" s="369"/>
      <c r="J914" s="213" t="s">
        <v>21</v>
      </c>
      <c r="K914" s="359" t="s">
        <v>288</v>
      </c>
      <c r="L914" s="359" t="s">
        <v>94</v>
      </c>
      <c r="M914" s="359" t="s">
        <v>138</v>
      </c>
      <c r="N914" s="370"/>
    </row>
    <row r="915" spans="1:14" s="371" customFormat="1" ht="14" outlineLevel="4">
      <c r="A915" s="372" t="s">
        <v>8</v>
      </c>
      <c r="B915" s="377" t="s">
        <v>681</v>
      </c>
      <c r="C915" s="249" t="s">
        <v>139</v>
      </c>
      <c r="D915" s="205">
        <v>8</v>
      </c>
      <c r="E915" s="205">
        <v>8</v>
      </c>
      <c r="F915" s="205">
        <v>110</v>
      </c>
      <c r="G915" s="7">
        <f t="shared" si="219"/>
        <v>880</v>
      </c>
      <c r="H915" s="205">
        <f t="shared" si="220"/>
        <v>880</v>
      </c>
      <c r="I915" s="369"/>
      <c r="J915" s="213" t="s">
        <v>21</v>
      </c>
      <c r="K915" s="359" t="s">
        <v>288</v>
      </c>
      <c r="L915" s="359" t="s">
        <v>94</v>
      </c>
      <c r="M915" s="359" t="s">
        <v>138</v>
      </c>
      <c r="N915" s="370"/>
    </row>
    <row r="916" spans="1:14" s="371" customFormat="1" ht="14" outlineLevel="4">
      <c r="A916" s="372" t="s">
        <v>8</v>
      </c>
      <c r="B916" s="377" t="s">
        <v>682</v>
      </c>
      <c r="C916" s="249" t="s">
        <v>23</v>
      </c>
      <c r="D916" s="205"/>
      <c r="E916" s="205"/>
      <c r="F916" s="205"/>
      <c r="G916" s="7">
        <f t="shared" si="219"/>
        <v>0</v>
      </c>
      <c r="H916" s="205">
        <f t="shared" si="220"/>
        <v>0</v>
      </c>
      <c r="I916" s="369"/>
      <c r="J916" s="213" t="s">
        <v>21</v>
      </c>
      <c r="K916" s="359" t="s">
        <v>288</v>
      </c>
      <c r="L916" s="359" t="s">
        <v>94</v>
      </c>
      <c r="M916" s="359" t="s">
        <v>138</v>
      </c>
      <c r="N916" s="370"/>
    </row>
    <row r="917" spans="1:14" s="371" customFormat="1" ht="14" outlineLevel="4">
      <c r="A917" s="372" t="s">
        <v>8</v>
      </c>
      <c r="B917" s="377" t="s">
        <v>683</v>
      </c>
      <c r="C917" s="249" t="s">
        <v>139</v>
      </c>
      <c r="D917" s="205"/>
      <c r="E917" s="205"/>
      <c r="F917" s="205"/>
      <c r="G917" s="7">
        <f t="shared" si="219"/>
        <v>0</v>
      </c>
      <c r="H917" s="205">
        <f t="shared" si="220"/>
        <v>0</v>
      </c>
      <c r="I917" s="369"/>
      <c r="J917" s="213" t="s">
        <v>21</v>
      </c>
      <c r="K917" s="359" t="s">
        <v>288</v>
      </c>
      <c r="L917" s="359" t="s">
        <v>94</v>
      </c>
      <c r="M917" s="359" t="s">
        <v>138</v>
      </c>
      <c r="N917" s="370"/>
    </row>
    <row r="918" spans="1:14" s="371" customFormat="1" ht="14" outlineLevel="4">
      <c r="A918" s="372" t="s">
        <v>8</v>
      </c>
      <c r="B918" s="377" t="s">
        <v>684</v>
      </c>
      <c r="C918" s="249" t="s">
        <v>139</v>
      </c>
      <c r="D918" s="205">
        <v>28</v>
      </c>
      <c r="E918" s="205">
        <v>28</v>
      </c>
      <c r="F918" s="205">
        <v>80</v>
      </c>
      <c r="G918" s="7">
        <f t="shared" si="219"/>
        <v>2240</v>
      </c>
      <c r="H918" s="205">
        <f t="shared" si="220"/>
        <v>2240</v>
      </c>
      <c r="I918" s="369"/>
      <c r="J918" s="213" t="s">
        <v>21</v>
      </c>
      <c r="K918" s="359" t="s">
        <v>288</v>
      </c>
      <c r="L918" s="359" t="s">
        <v>94</v>
      </c>
      <c r="M918" s="359" t="s">
        <v>138</v>
      </c>
      <c r="N918" s="370"/>
    </row>
    <row r="919" spans="1:14" s="371" customFormat="1" ht="14" outlineLevel="4">
      <c r="A919" s="372" t="s">
        <v>8</v>
      </c>
      <c r="B919" s="377" t="s">
        <v>685</v>
      </c>
      <c r="C919" s="249" t="s">
        <v>139</v>
      </c>
      <c r="D919" s="205">
        <v>36</v>
      </c>
      <c r="E919" s="205">
        <v>36</v>
      </c>
      <c r="F919" s="205">
        <v>100</v>
      </c>
      <c r="G919" s="7">
        <f t="shared" si="219"/>
        <v>3600</v>
      </c>
      <c r="H919" s="205">
        <f t="shared" si="220"/>
        <v>3600</v>
      </c>
      <c r="I919" s="369"/>
      <c r="J919" s="213" t="s">
        <v>21</v>
      </c>
      <c r="K919" s="359" t="s">
        <v>288</v>
      </c>
      <c r="L919" s="359" t="s">
        <v>94</v>
      </c>
      <c r="M919" s="359" t="s">
        <v>138</v>
      </c>
      <c r="N919" s="370"/>
    </row>
    <row r="920" spans="1:14" s="371" customFormat="1" ht="14" outlineLevel="4">
      <c r="A920" s="372" t="s">
        <v>8</v>
      </c>
      <c r="B920" s="377" t="s">
        <v>686</v>
      </c>
      <c r="C920" s="249" t="s">
        <v>139</v>
      </c>
      <c r="D920" s="205">
        <v>8</v>
      </c>
      <c r="E920" s="205">
        <v>8</v>
      </c>
      <c r="F920" s="205">
        <v>110</v>
      </c>
      <c r="G920" s="7">
        <f t="shared" si="219"/>
        <v>880</v>
      </c>
      <c r="H920" s="205">
        <f t="shared" si="220"/>
        <v>880</v>
      </c>
      <c r="I920" s="369"/>
      <c r="J920" s="213" t="s">
        <v>21</v>
      </c>
      <c r="K920" s="359" t="s">
        <v>288</v>
      </c>
      <c r="L920" s="359" t="s">
        <v>94</v>
      </c>
      <c r="M920" s="359" t="s">
        <v>138</v>
      </c>
      <c r="N920" s="370"/>
    </row>
    <row r="921" spans="1:14" s="371" customFormat="1" ht="14" outlineLevel="4">
      <c r="A921" s="372" t="s">
        <v>8</v>
      </c>
      <c r="B921" s="377" t="s">
        <v>687</v>
      </c>
      <c r="C921" s="249" t="s">
        <v>715</v>
      </c>
      <c r="D921" s="205"/>
      <c r="E921" s="205"/>
      <c r="F921" s="205"/>
      <c r="G921" s="7">
        <f t="shared" si="219"/>
        <v>0</v>
      </c>
      <c r="H921" s="205">
        <f t="shared" si="220"/>
        <v>0</v>
      </c>
      <c r="I921" s="369"/>
      <c r="J921" s="213" t="s">
        <v>21</v>
      </c>
      <c r="K921" s="359" t="s">
        <v>288</v>
      </c>
      <c r="L921" s="359" t="s">
        <v>94</v>
      </c>
      <c r="M921" s="359" t="s">
        <v>138</v>
      </c>
      <c r="N921" s="370"/>
    </row>
    <row r="922" spans="1:14" s="371" customFormat="1" ht="14" outlineLevel="4">
      <c r="A922" s="372" t="s">
        <v>8</v>
      </c>
      <c r="B922" s="377" t="s">
        <v>754</v>
      </c>
      <c r="C922" s="249" t="s">
        <v>714</v>
      </c>
      <c r="D922" s="205">
        <v>16</v>
      </c>
      <c r="E922" s="205">
        <v>16</v>
      </c>
      <c r="F922" s="205">
        <v>1300</v>
      </c>
      <c r="G922" s="7">
        <f t="shared" si="219"/>
        <v>20800</v>
      </c>
      <c r="H922" s="205">
        <f t="shared" si="220"/>
        <v>20800</v>
      </c>
      <c r="I922" s="369"/>
      <c r="J922" s="213" t="s">
        <v>21</v>
      </c>
      <c r="K922" s="359" t="s">
        <v>288</v>
      </c>
      <c r="L922" s="359" t="s">
        <v>94</v>
      </c>
      <c r="M922" s="359" t="s">
        <v>138</v>
      </c>
      <c r="N922" s="370"/>
    </row>
    <row r="923" spans="1:14" s="361" customFormat="1" ht="15" customHeight="1" outlineLevel="2">
      <c r="A923" s="354">
        <v>2</v>
      </c>
      <c r="B923" s="362" t="s">
        <v>229</v>
      </c>
      <c r="C923" s="366"/>
      <c r="D923" s="284"/>
      <c r="E923" s="284"/>
      <c r="F923" s="284"/>
      <c r="G923" s="284"/>
      <c r="H923" s="284">
        <f>SUBTOTAL(9,H924:H951)</f>
        <v>0</v>
      </c>
      <c r="I923" s="284"/>
      <c r="J923" s="213" t="s">
        <v>21</v>
      </c>
      <c r="K923" s="359"/>
      <c r="L923" s="359"/>
      <c r="M923" s="359" t="s">
        <v>32</v>
      </c>
      <c r="N923" s="360"/>
    </row>
    <row r="924" spans="1:14" s="361" customFormat="1" ht="14" outlineLevel="5">
      <c r="A924" s="354">
        <v>2.1</v>
      </c>
      <c r="B924" s="378" t="s">
        <v>230</v>
      </c>
      <c r="C924" s="366"/>
      <c r="D924" s="284"/>
      <c r="E924" s="284"/>
      <c r="F924" s="284"/>
      <c r="G924" s="284"/>
      <c r="H924" s="284">
        <f>SUBTOTAL(9,H925:H940)</f>
        <v>0</v>
      </c>
      <c r="I924" s="284"/>
      <c r="J924" s="213" t="s">
        <v>21</v>
      </c>
      <c r="K924" s="359"/>
      <c r="L924" s="359"/>
      <c r="M924" s="359" t="s">
        <v>32</v>
      </c>
      <c r="N924" s="360"/>
    </row>
    <row r="925" spans="1:14" s="371" customFormat="1" ht="14" outlineLevel="5">
      <c r="A925" s="372" t="s">
        <v>8</v>
      </c>
      <c r="B925" s="373" t="s">
        <v>694</v>
      </c>
      <c r="C925" s="249" t="s">
        <v>24</v>
      </c>
      <c r="D925" s="205"/>
      <c r="E925" s="205"/>
      <c r="F925" s="205"/>
      <c r="G925" s="7">
        <f t="shared" ref="G925:G940" si="221">F925*D925</f>
        <v>0</v>
      </c>
      <c r="H925" s="205">
        <f t="shared" ref="H925:H940" si="222">F925*E925</f>
        <v>0</v>
      </c>
      <c r="I925" s="369"/>
      <c r="J925" s="213" t="s">
        <v>21</v>
      </c>
      <c r="K925" s="359" t="s">
        <v>288</v>
      </c>
      <c r="L925" s="359" t="s">
        <v>94</v>
      </c>
      <c r="M925" s="359" t="s">
        <v>32</v>
      </c>
      <c r="N925" s="370"/>
    </row>
    <row r="926" spans="1:14" s="371" customFormat="1" ht="14" outlineLevel="5">
      <c r="A926" s="372" t="s">
        <v>8</v>
      </c>
      <c r="B926" s="373" t="s">
        <v>695</v>
      </c>
      <c r="C926" s="249" t="s">
        <v>15</v>
      </c>
      <c r="D926" s="205"/>
      <c r="E926" s="205"/>
      <c r="F926" s="205"/>
      <c r="G926" s="7">
        <f t="shared" si="221"/>
        <v>0</v>
      </c>
      <c r="H926" s="205">
        <f t="shared" si="222"/>
        <v>0</v>
      </c>
      <c r="I926" s="369"/>
      <c r="J926" s="213" t="s">
        <v>21</v>
      </c>
      <c r="K926" s="359" t="s">
        <v>288</v>
      </c>
      <c r="L926" s="359" t="s">
        <v>94</v>
      </c>
      <c r="M926" s="359" t="s">
        <v>32</v>
      </c>
      <c r="N926" s="370"/>
    </row>
    <row r="927" spans="1:14" s="371" customFormat="1" ht="14" outlineLevel="5">
      <c r="A927" s="372" t="s">
        <v>8</v>
      </c>
      <c r="B927" s="373" t="s">
        <v>696</v>
      </c>
      <c r="C927" s="249" t="s">
        <v>15</v>
      </c>
      <c r="D927" s="205"/>
      <c r="E927" s="205"/>
      <c r="F927" s="205"/>
      <c r="G927" s="7">
        <f t="shared" si="221"/>
        <v>0</v>
      </c>
      <c r="H927" s="205">
        <f t="shared" si="222"/>
        <v>0</v>
      </c>
      <c r="I927" s="369"/>
      <c r="J927" s="213" t="s">
        <v>21</v>
      </c>
      <c r="K927" s="359" t="s">
        <v>288</v>
      </c>
      <c r="L927" s="359" t="s">
        <v>94</v>
      </c>
      <c r="M927" s="359" t="s">
        <v>32</v>
      </c>
      <c r="N927" s="370"/>
    </row>
    <row r="928" spans="1:14" s="371" customFormat="1" ht="14" outlineLevel="5">
      <c r="A928" s="372" t="s">
        <v>8</v>
      </c>
      <c r="B928" s="373" t="s">
        <v>682</v>
      </c>
      <c r="C928" s="249" t="s">
        <v>15</v>
      </c>
      <c r="D928" s="205"/>
      <c r="E928" s="205"/>
      <c r="F928" s="205"/>
      <c r="G928" s="7">
        <f t="shared" si="221"/>
        <v>0</v>
      </c>
      <c r="H928" s="205">
        <f t="shared" si="222"/>
        <v>0</v>
      </c>
      <c r="I928" s="369"/>
      <c r="J928" s="213" t="s">
        <v>21</v>
      </c>
      <c r="K928" s="359" t="s">
        <v>288</v>
      </c>
      <c r="L928" s="359" t="s">
        <v>94</v>
      </c>
      <c r="M928" s="359" t="s">
        <v>32</v>
      </c>
      <c r="N928" s="370"/>
    </row>
    <row r="929" spans="1:14" s="371" customFormat="1" ht="14" outlineLevel="5">
      <c r="A929" s="372" t="s">
        <v>8</v>
      </c>
      <c r="B929" s="373" t="s">
        <v>683</v>
      </c>
      <c r="C929" s="249" t="s">
        <v>24</v>
      </c>
      <c r="D929" s="205"/>
      <c r="E929" s="205"/>
      <c r="F929" s="205"/>
      <c r="G929" s="7">
        <f t="shared" si="221"/>
        <v>0</v>
      </c>
      <c r="H929" s="205">
        <f t="shared" si="222"/>
        <v>0</v>
      </c>
      <c r="I929" s="369"/>
      <c r="J929" s="213" t="s">
        <v>21</v>
      </c>
      <c r="K929" s="359" t="s">
        <v>288</v>
      </c>
      <c r="L929" s="359" t="s">
        <v>94</v>
      </c>
      <c r="M929" s="359" t="s">
        <v>32</v>
      </c>
      <c r="N929" s="370"/>
    </row>
    <row r="930" spans="1:14" s="371" customFormat="1" ht="14" outlineLevel="5">
      <c r="A930" s="372" t="s">
        <v>8</v>
      </c>
      <c r="B930" s="373" t="s">
        <v>697</v>
      </c>
      <c r="C930" s="249" t="s">
        <v>15</v>
      </c>
      <c r="D930" s="205"/>
      <c r="E930" s="205"/>
      <c r="F930" s="205"/>
      <c r="G930" s="7">
        <f t="shared" si="221"/>
        <v>0</v>
      </c>
      <c r="H930" s="205">
        <f t="shared" si="222"/>
        <v>0</v>
      </c>
      <c r="I930" s="369"/>
      <c r="J930" s="213" t="s">
        <v>21</v>
      </c>
      <c r="K930" s="359" t="s">
        <v>288</v>
      </c>
      <c r="L930" s="359" t="s">
        <v>94</v>
      </c>
      <c r="M930" s="359" t="s">
        <v>32</v>
      </c>
      <c r="N930" s="370"/>
    </row>
    <row r="931" spans="1:14" s="371" customFormat="1" ht="14" outlineLevel="5">
      <c r="A931" s="372" t="s">
        <v>8</v>
      </c>
      <c r="B931" s="373" t="s">
        <v>679</v>
      </c>
      <c r="C931" s="249" t="s">
        <v>15</v>
      </c>
      <c r="D931" s="205"/>
      <c r="E931" s="205"/>
      <c r="F931" s="205"/>
      <c r="G931" s="7">
        <f t="shared" si="221"/>
        <v>0</v>
      </c>
      <c r="H931" s="205">
        <f t="shared" si="222"/>
        <v>0</v>
      </c>
      <c r="I931" s="369"/>
      <c r="J931" s="213" t="s">
        <v>21</v>
      </c>
      <c r="K931" s="359" t="s">
        <v>288</v>
      </c>
      <c r="L931" s="359" t="s">
        <v>94</v>
      </c>
      <c r="M931" s="359" t="s">
        <v>32</v>
      </c>
      <c r="N931" s="370"/>
    </row>
    <row r="932" spans="1:14" s="371" customFormat="1" ht="14" outlineLevel="5">
      <c r="A932" s="372" t="s">
        <v>8</v>
      </c>
      <c r="B932" s="373" t="s">
        <v>680</v>
      </c>
      <c r="C932" s="249" t="s">
        <v>15</v>
      </c>
      <c r="D932" s="205"/>
      <c r="E932" s="205"/>
      <c r="F932" s="205"/>
      <c r="G932" s="7">
        <f t="shared" si="221"/>
        <v>0</v>
      </c>
      <c r="H932" s="205">
        <f t="shared" si="222"/>
        <v>0</v>
      </c>
      <c r="I932" s="369"/>
      <c r="J932" s="213" t="s">
        <v>21</v>
      </c>
      <c r="K932" s="359" t="s">
        <v>288</v>
      </c>
      <c r="L932" s="359" t="s">
        <v>94</v>
      </c>
      <c r="M932" s="359" t="s">
        <v>32</v>
      </c>
      <c r="N932" s="370"/>
    </row>
    <row r="933" spans="1:14" s="371" customFormat="1" ht="14" outlineLevel="5">
      <c r="A933" s="372" t="s">
        <v>8</v>
      </c>
      <c r="B933" s="373" t="s">
        <v>681</v>
      </c>
      <c r="C933" s="249" t="s">
        <v>24</v>
      </c>
      <c r="D933" s="205"/>
      <c r="E933" s="205"/>
      <c r="F933" s="205"/>
      <c r="G933" s="7">
        <f t="shared" si="221"/>
        <v>0</v>
      </c>
      <c r="H933" s="205">
        <f t="shared" si="222"/>
        <v>0</v>
      </c>
      <c r="I933" s="369"/>
      <c r="J933" s="213" t="s">
        <v>21</v>
      </c>
      <c r="K933" s="359" t="s">
        <v>288</v>
      </c>
      <c r="L933" s="359" t="s">
        <v>94</v>
      </c>
      <c r="M933" s="359" t="s">
        <v>32</v>
      </c>
      <c r="N933" s="370"/>
    </row>
    <row r="934" spans="1:14" s="371" customFormat="1" ht="14" outlineLevel="5">
      <c r="A934" s="372" t="s">
        <v>8</v>
      </c>
      <c r="B934" s="373" t="s">
        <v>684</v>
      </c>
      <c r="C934" s="249" t="s">
        <v>15</v>
      </c>
      <c r="D934" s="205"/>
      <c r="E934" s="205"/>
      <c r="F934" s="205"/>
      <c r="G934" s="7">
        <f t="shared" si="221"/>
        <v>0</v>
      </c>
      <c r="H934" s="205">
        <f t="shared" si="222"/>
        <v>0</v>
      </c>
      <c r="I934" s="369"/>
      <c r="J934" s="213" t="s">
        <v>21</v>
      </c>
      <c r="K934" s="359" t="s">
        <v>288</v>
      </c>
      <c r="L934" s="359" t="s">
        <v>94</v>
      </c>
      <c r="M934" s="359" t="s">
        <v>32</v>
      </c>
      <c r="N934" s="370"/>
    </row>
    <row r="935" spans="1:14" s="371" customFormat="1" ht="14" outlineLevel="5">
      <c r="A935" s="372" t="s">
        <v>8</v>
      </c>
      <c r="B935" s="373" t="s">
        <v>685</v>
      </c>
      <c r="C935" s="249" t="s">
        <v>15</v>
      </c>
      <c r="D935" s="205"/>
      <c r="E935" s="205"/>
      <c r="F935" s="205"/>
      <c r="G935" s="7">
        <f t="shared" si="221"/>
        <v>0</v>
      </c>
      <c r="H935" s="205">
        <f t="shared" si="222"/>
        <v>0</v>
      </c>
      <c r="I935" s="369"/>
      <c r="J935" s="213" t="s">
        <v>21</v>
      </c>
      <c r="K935" s="359" t="s">
        <v>288</v>
      </c>
      <c r="L935" s="359" t="s">
        <v>94</v>
      </c>
      <c r="M935" s="359" t="s">
        <v>32</v>
      </c>
      <c r="N935" s="370"/>
    </row>
    <row r="936" spans="1:14" s="371" customFormat="1" ht="14" outlineLevel="5">
      <c r="A936" s="372" t="s">
        <v>8</v>
      </c>
      <c r="B936" s="373" t="s">
        <v>686</v>
      </c>
      <c r="C936" s="249" t="s">
        <v>15</v>
      </c>
      <c r="D936" s="205"/>
      <c r="E936" s="205"/>
      <c r="F936" s="205"/>
      <c r="G936" s="7">
        <f t="shared" si="221"/>
        <v>0</v>
      </c>
      <c r="H936" s="205">
        <f t="shared" si="222"/>
        <v>0</v>
      </c>
      <c r="I936" s="369"/>
      <c r="J936" s="213" t="s">
        <v>21</v>
      </c>
      <c r="K936" s="359" t="s">
        <v>288</v>
      </c>
      <c r="L936" s="359" t="s">
        <v>94</v>
      </c>
      <c r="M936" s="359" t="s">
        <v>32</v>
      </c>
      <c r="N936" s="370"/>
    </row>
    <row r="937" spans="1:14" s="371" customFormat="1" ht="14" outlineLevel="5">
      <c r="A937" s="372" t="s">
        <v>8</v>
      </c>
      <c r="B937" s="373" t="s">
        <v>698</v>
      </c>
      <c r="C937" s="249" t="s">
        <v>24</v>
      </c>
      <c r="D937" s="205"/>
      <c r="E937" s="205"/>
      <c r="F937" s="205"/>
      <c r="G937" s="7">
        <f t="shared" si="221"/>
        <v>0</v>
      </c>
      <c r="H937" s="205">
        <f t="shared" si="222"/>
        <v>0</v>
      </c>
      <c r="I937" s="369"/>
      <c r="J937" s="213" t="s">
        <v>21</v>
      </c>
      <c r="K937" s="359" t="s">
        <v>288</v>
      </c>
      <c r="L937" s="359" t="s">
        <v>94</v>
      </c>
      <c r="M937" s="359" t="s">
        <v>32</v>
      </c>
      <c r="N937" s="370"/>
    </row>
    <row r="938" spans="1:14" s="371" customFormat="1" ht="14" outlineLevel="5">
      <c r="A938" s="372" t="s">
        <v>8</v>
      </c>
      <c r="B938" s="373" t="s">
        <v>699</v>
      </c>
      <c r="C938" s="249" t="s">
        <v>15</v>
      </c>
      <c r="D938" s="205"/>
      <c r="E938" s="205"/>
      <c r="F938" s="205"/>
      <c r="G938" s="7">
        <f t="shared" si="221"/>
        <v>0</v>
      </c>
      <c r="H938" s="205">
        <f t="shared" si="222"/>
        <v>0</v>
      </c>
      <c r="I938" s="369"/>
      <c r="J938" s="213" t="s">
        <v>21</v>
      </c>
      <c r="K938" s="359" t="s">
        <v>288</v>
      </c>
      <c r="L938" s="359" t="s">
        <v>94</v>
      </c>
      <c r="M938" s="359" t="s">
        <v>32</v>
      </c>
      <c r="N938" s="370"/>
    </row>
    <row r="939" spans="1:14" s="371" customFormat="1" ht="14" outlineLevel="5">
      <c r="A939" s="372" t="s">
        <v>8</v>
      </c>
      <c r="B939" s="373" t="s">
        <v>700</v>
      </c>
      <c r="C939" s="249" t="s">
        <v>15</v>
      </c>
      <c r="D939" s="205"/>
      <c r="E939" s="205"/>
      <c r="F939" s="205"/>
      <c r="G939" s="7">
        <f t="shared" si="221"/>
        <v>0</v>
      </c>
      <c r="H939" s="205">
        <f t="shared" si="222"/>
        <v>0</v>
      </c>
      <c r="I939" s="369"/>
      <c r="J939" s="213" t="s">
        <v>21</v>
      </c>
      <c r="K939" s="359" t="s">
        <v>288</v>
      </c>
      <c r="L939" s="359" t="s">
        <v>94</v>
      </c>
      <c r="M939" s="359" t="s">
        <v>32</v>
      </c>
      <c r="N939" s="370"/>
    </row>
    <row r="940" spans="1:14" s="371" customFormat="1" ht="14" outlineLevel="5">
      <c r="A940" s="372" t="s">
        <v>8</v>
      </c>
      <c r="B940" s="373" t="s">
        <v>687</v>
      </c>
      <c r="C940" s="249" t="s">
        <v>15</v>
      </c>
      <c r="D940" s="205"/>
      <c r="E940" s="205"/>
      <c r="F940" s="205"/>
      <c r="G940" s="7">
        <f t="shared" si="221"/>
        <v>0</v>
      </c>
      <c r="H940" s="205">
        <f t="shared" si="222"/>
        <v>0</v>
      </c>
      <c r="I940" s="369"/>
      <c r="J940" s="213" t="s">
        <v>21</v>
      </c>
      <c r="K940" s="359" t="s">
        <v>288</v>
      </c>
      <c r="L940" s="359" t="s">
        <v>94</v>
      </c>
      <c r="M940" s="359" t="s">
        <v>32</v>
      </c>
      <c r="N940" s="370"/>
    </row>
    <row r="941" spans="1:14" s="361" customFormat="1" ht="14" outlineLevel="5">
      <c r="A941" s="354">
        <v>2.2000000000000002</v>
      </c>
      <c r="B941" s="378" t="s">
        <v>231</v>
      </c>
      <c r="C941" s="366"/>
      <c r="D941" s="284"/>
      <c r="E941" s="284"/>
      <c r="F941" s="284"/>
      <c r="G941" s="284"/>
      <c r="H941" s="284">
        <f>SUBTOTAL(9,H942:H951)</f>
        <v>0</v>
      </c>
      <c r="I941" s="284"/>
      <c r="J941" s="213" t="s">
        <v>21</v>
      </c>
      <c r="K941" s="359"/>
      <c r="L941" s="359"/>
      <c r="M941" s="359" t="s">
        <v>32</v>
      </c>
      <c r="N941" s="360"/>
    </row>
    <row r="942" spans="1:14" s="371" customFormat="1" ht="14" outlineLevel="5">
      <c r="A942" s="372" t="s">
        <v>8</v>
      </c>
      <c r="B942" s="373" t="s">
        <v>701</v>
      </c>
      <c r="C942" s="249" t="s">
        <v>24</v>
      </c>
      <c r="D942" s="205"/>
      <c r="E942" s="205"/>
      <c r="F942" s="205"/>
      <c r="G942" s="7">
        <f t="shared" ref="G942:G951" si="223">F942*D942</f>
        <v>0</v>
      </c>
      <c r="H942" s="205">
        <f t="shared" ref="H942:H951" si="224">F942*E942</f>
        <v>0</v>
      </c>
      <c r="I942" s="369"/>
      <c r="J942" s="213" t="s">
        <v>21</v>
      </c>
      <c r="K942" s="359" t="s">
        <v>288</v>
      </c>
      <c r="L942" s="359" t="s">
        <v>94</v>
      </c>
      <c r="M942" s="359" t="s">
        <v>32</v>
      </c>
      <c r="N942" s="370"/>
    </row>
    <row r="943" spans="1:14" s="371" customFormat="1" ht="14" outlineLevel="5">
      <c r="A943" s="372" t="s">
        <v>8</v>
      </c>
      <c r="B943" s="373" t="s">
        <v>702</v>
      </c>
      <c r="C943" s="249" t="s">
        <v>15</v>
      </c>
      <c r="D943" s="205"/>
      <c r="E943" s="205"/>
      <c r="F943" s="205"/>
      <c r="G943" s="7">
        <f t="shared" si="223"/>
        <v>0</v>
      </c>
      <c r="H943" s="205">
        <f t="shared" si="224"/>
        <v>0</v>
      </c>
      <c r="I943" s="369"/>
      <c r="J943" s="213" t="s">
        <v>21</v>
      </c>
      <c r="K943" s="359" t="s">
        <v>288</v>
      </c>
      <c r="L943" s="359" t="s">
        <v>94</v>
      </c>
      <c r="M943" s="359" t="s">
        <v>32</v>
      </c>
      <c r="N943" s="370"/>
    </row>
    <row r="944" spans="1:14" s="371" customFormat="1" ht="14" outlineLevel="5">
      <c r="A944" s="372" t="s">
        <v>8</v>
      </c>
      <c r="B944" s="373" t="s">
        <v>703</v>
      </c>
      <c r="C944" s="249" t="s">
        <v>15</v>
      </c>
      <c r="D944" s="205"/>
      <c r="E944" s="205"/>
      <c r="F944" s="205"/>
      <c r="G944" s="7">
        <f t="shared" si="223"/>
        <v>0</v>
      </c>
      <c r="H944" s="205">
        <f t="shared" si="224"/>
        <v>0</v>
      </c>
      <c r="I944" s="369"/>
      <c r="J944" s="213" t="s">
        <v>21</v>
      </c>
      <c r="K944" s="359" t="s">
        <v>288</v>
      </c>
      <c r="L944" s="359" t="s">
        <v>94</v>
      </c>
      <c r="M944" s="359" t="s">
        <v>32</v>
      </c>
      <c r="N944" s="370"/>
    </row>
    <row r="945" spans="1:14" s="371" customFormat="1" ht="14" outlineLevel="5">
      <c r="A945" s="372" t="s">
        <v>8</v>
      </c>
      <c r="B945" s="373" t="s">
        <v>691</v>
      </c>
      <c r="C945" s="249" t="s">
        <v>15</v>
      </c>
      <c r="D945" s="205"/>
      <c r="E945" s="205"/>
      <c r="F945" s="205"/>
      <c r="G945" s="7">
        <f t="shared" si="223"/>
        <v>0</v>
      </c>
      <c r="H945" s="205">
        <f t="shared" si="224"/>
        <v>0</v>
      </c>
      <c r="I945" s="369"/>
      <c r="J945" s="213" t="s">
        <v>21</v>
      </c>
      <c r="K945" s="359" t="s">
        <v>288</v>
      </c>
      <c r="L945" s="359" t="s">
        <v>94</v>
      </c>
      <c r="M945" s="359" t="s">
        <v>32</v>
      </c>
      <c r="N945" s="370"/>
    </row>
    <row r="946" spans="1:14" s="371" customFormat="1" ht="14" outlineLevel="5">
      <c r="A946" s="372" t="s">
        <v>8</v>
      </c>
      <c r="B946" s="373" t="s">
        <v>692</v>
      </c>
      <c r="C946" s="249" t="s">
        <v>24</v>
      </c>
      <c r="D946" s="205"/>
      <c r="E946" s="205"/>
      <c r="F946" s="205"/>
      <c r="G946" s="7">
        <f t="shared" si="223"/>
        <v>0</v>
      </c>
      <c r="H946" s="205">
        <f t="shared" si="224"/>
        <v>0</v>
      </c>
      <c r="I946" s="369"/>
      <c r="J946" s="213" t="s">
        <v>21</v>
      </c>
      <c r="K946" s="359" t="s">
        <v>288</v>
      </c>
      <c r="L946" s="359" t="s">
        <v>94</v>
      </c>
      <c r="M946" s="359" t="s">
        <v>32</v>
      </c>
      <c r="N946" s="370"/>
    </row>
    <row r="947" spans="1:14" s="371" customFormat="1" ht="14" outlineLevel="5">
      <c r="A947" s="372" t="s">
        <v>8</v>
      </c>
      <c r="B947" s="373" t="s">
        <v>693</v>
      </c>
      <c r="C947" s="249" t="s">
        <v>15</v>
      </c>
      <c r="D947" s="205"/>
      <c r="E947" s="205"/>
      <c r="F947" s="205"/>
      <c r="G947" s="7">
        <f t="shared" si="223"/>
        <v>0</v>
      </c>
      <c r="H947" s="205">
        <f t="shared" si="224"/>
        <v>0</v>
      </c>
      <c r="I947" s="369"/>
      <c r="J947" s="213" t="s">
        <v>21</v>
      </c>
      <c r="K947" s="359" t="s">
        <v>288</v>
      </c>
      <c r="L947" s="359" t="s">
        <v>94</v>
      </c>
      <c r="M947" s="359" t="s">
        <v>32</v>
      </c>
      <c r="N947" s="370"/>
    </row>
    <row r="948" spans="1:14" s="371" customFormat="1" ht="14" outlineLevel="5">
      <c r="A948" s="372" t="s">
        <v>8</v>
      </c>
      <c r="B948" s="373" t="s">
        <v>704</v>
      </c>
      <c r="C948" s="249" t="s">
        <v>15</v>
      </c>
      <c r="D948" s="205"/>
      <c r="E948" s="205"/>
      <c r="F948" s="205"/>
      <c r="G948" s="7">
        <f t="shared" si="223"/>
        <v>0</v>
      </c>
      <c r="H948" s="205">
        <f t="shared" si="224"/>
        <v>0</v>
      </c>
      <c r="I948" s="369"/>
      <c r="J948" s="213" t="s">
        <v>21</v>
      </c>
      <c r="K948" s="359" t="s">
        <v>288</v>
      </c>
      <c r="L948" s="359" t="s">
        <v>94</v>
      </c>
      <c r="M948" s="359" t="s">
        <v>32</v>
      </c>
      <c r="N948" s="370"/>
    </row>
    <row r="949" spans="1:14" s="371" customFormat="1" ht="14" outlineLevel="5">
      <c r="A949" s="372" t="s">
        <v>8</v>
      </c>
      <c r="B949" s="373" t="s">
        <v>705</v>
      </c>
      <c r="C949" s="249" t="s">
        <v>15</v>
      </c>
      <c r="D949" s="205"/>
      <c r="E949" s="205"/>
      <c r="F949" s="205"/>
      <c r="G949" s="7">
        <f t="shared" si="223"/>
        <v>0</v>
      </c>
      <c r="H949" s="205">
        <f t="shared" si="224"/>
        <v>0</v>
      </c>
      <c r="I949" s="369"/>
      <c r="J949" s="213" t="s">
        <v>21</v>
      </c>
      <c r="K949" s="359" t="s">
        <v>288</v>
      </c>
      <c r="L949" s="359" t="s">
        <v>94</v>
      </c>
      <c r="M949" s="359" t="s">
        <v>32</v>
      </c>
      <c r="N949" s="370"/>
    </row>
    <row r="950" spans="1:14" s="371" customFormat="1" ht="14" outlineLevel="5">
      <c r="A950" s="372" t="s">
        <v>8</v>
      </c>
      <c r="B950" s="373" t="s">
        <v>706</v>
      </c>
      <c r="C950" s="249" t="s">
        <v>24</v>
      </c>
      <c r="D950" s="205"/>
      <c r="E950" s="205"/>
      <c r="F950" s="205"/>
      <c r="G950" s="7">
        <f t="shared" si="223"/>
        <v>0</v>
      </c>
      <c r="H950" s="205">
        <f t="shared" si="224"/>
        <v>0</v>
      </c>
      <c r="I950" s="369"/>
      <c r="J950" s="213" t="s">
        <v>21</v>
      </c>
      <c r="K950" s="359" t="s">
        <v>288</v>
      </c>
      <c r="L950" s="359" t="s">
        <v>94</v>
      </c>
      <c r="M950" s="359" t="s">
        <v>32</v>
      </c>
      <c r="N950" s="370"/>
    </row>
    <row r="951" spans="1:14" s="371" customFormat="1" ht="14" outlineLevel="5">
      <c r="A951" s="372" t="s">
        <v>8</v>
      </c>
      <c r="B951" s="373" t="s">
        <v>687</v>
      </c>
      <c r="C951" s="249" t="s">
        <v>15</v>
      </c>
      <c r="D951" s="205"/>
      <c r="E951" s="205"/>
      <c r="F951" s="205"/>
      <c r="G951" s="7">
        <f t="shared" si="223"/>
        <v>0</v>
      </c>
      <c r="H951" s="205">
        <f t="shared" si="224"/>
        <v>0</v>
      </c>
      <c r="I951" s="369"/>
      <c r="J951" s="213" t="s">
        <v>21</v>
      </c>
      <c r="K951" s="359" t="s">
        <v>288</v>
      </c>
      <c r="L951" s="359" t="s">
        <v>94</v>
      </c>
      <c r="M951" s="359" t="s">
        <v>32</v>
      </c>
      <c r="N951" s="370"/>
    </row>
    <row r="952" spans="1:14" s="361" customFormat="1" ht="15" customHeight="1" outlineLevel="3">
      <c r="A952" s="354">
        <v>3</v>
      </c>
      <c r="B952" s="362" t="s">
        <v>232</v>
      </c>
      <c r="C952" s="366"/>
      <c r="D952" s="284"/>
      <c r="E952" s="284"/>
      <c r="F952" s="284"/>
      <c r="G952" s="284"/>
      <c r="H952" s="284">
        <f>SUBTOTAL(9,H953:H967)</f>
        <v>0</v>
      </c>
      <c r="I952" s="284"/>
      <c r="J952" s="213" t="s">
        <v>21</v>
      </c>
      <c r="K952" s="359"/>
      <c r="L952" s="359"/>
      <c r="M952" s="359" t="s">
        <v>32</v>
      </c>
      <c r="N952" s="360"/>
    </row>
    <row r="953" spans="1:14" s="361" customFormat="1" ht="14" outlineLevel="5">
      <c r="A953" s="379">
        <v>3.1</v>
      </c>
      <c r="B953" s="378" t="s">
        <v>89</v>
      </c>
      <c r="C953" s="366"/>
      <c r="D953" s="284"/>
      <c r="E953" s="284"/>
      <c r="F953" s="284"/>
      <c r="G953" s="284"/>
      <c r="H953" s="284">
        <f>SUBTOTAL(9,H954:H967)</f>
        <v>0</v>
      </c>
      <c r="I953" s="284"/>
      <c r="J953" s="213" t="s">
        <v>21</v>
      </c>
      <c r="K953" s="359"/>
      <c r="L953" s="359"/>
      <c r="M953" s="359" t="s">
        <v>32</v>
      </c>
      <c r="N953" s="360"/>
    </row>
    <row r="954" spans="1:14" s="371" customFormat="1" ht="14" outlineLevel="5">
      <c r="A954" s="372" t="s">
        <v>8</v>
      </c>
      <c r="B954" s="373" t="s">
        <v>707</v>
      </c>
      <c r="C954" s="249" t="s">
        <v>24</v>
      </c>
      <c r="D954" s="205"/>
      <c r="E954" s="205"/>
      <c r="F954" s="205"/>
      <c r="G954" s="7">
        <f t="shared" ref="G954:G967" si="225">F954*D954</f>
        <v>0</v>
      </c>
      <c r="H954" s="205">
        <f t="shared" ref="H954:H967" si="226">F954*E954</f>
        <v>0</v>
      </c>
      <c r="I954" s="369"/>
      <c r="J954" s="213" t="s">
        <v>21</v>
      </c>
      <c r="K954" s="359" t="s">
        <v>288</v>
      </c>
      <c r="L954" s="359" t="s">
        <v>94</v>
      </c>
      <c r="M954" s="359" t="s">
        <v>32</v>
      </c>
      <c r="N954" s="370"/>
    </row>
    <row r="955" spans="1:14" s="371" customFormat="1" ht="14" outlineLevel="5">
      <c r="A955" s="372" t="s">
        <v>8</v>
      </c>
      <c r="B955" s="373" t="s">
        <v>695</v>
      </c>
      <c r="C955" s="249" t="s">
        <v>15</v>
      </c>
      <c r="D955" s="205"/>
      <c r="E955" s="205"/>
      <c r="F955" s="205"/>
      <c r="G955" s="7">
        <f t="shared" si="225"/>
        <v>0</v>
      </c>
      <c r="H955" s="205">
        <f t="shared" si="226"/>
        <v>0</v>
      </c>
      <c r="I955" s="369"/>
      <c r="J955" s="213" t="s">
        <v>21</v>
      </c>
      <c r="K955" s="359" t="s">
        <v>288</v>
      </c>
      <c r="L955" s="359" t="s">
        <v>94</v>
      </c>
      <c r="M955" s="359" t="s">
        <v>32</v>
      </c>
      <c r="N955" s="370"/>
    </row>
    <row r="956" spans="1:14" s="371" customFormat="1" ht="14" outlineLevel="5">
      <c r="A956" s="372" t="s">
        <v>8</v>
      </c>
      <c r="B956" s="373" t="s">
        <v>696</v>
      </c>
      <c r="C956" s="249" t="s">
        <v>15</v>
      </c>
      <c r="D956" s="205"/>
      <c r="E956" s="205"/>
      <c r="F956" s="205"/>
      <c r="G956" s="7">
        <f t="shared" si="225"/>
        <v>0</v>
      </c>
      <c r="H956" s="205">
        <f t="shared" si="226"/>
        <v>0</v>
      </c>
      <c r="I956" s="369"/>
      <c r="J956" s="213" t="s">
        <v>21</v>
      </c>
      <c r="K956" s="359" t="s">
        <v>288</v>
      </c>
      <c r="L956" s="359" t="s">
        <v>94</v>
      </c>
      <c r="M956" s="359" t="s">
        <v>32</v>
      </c>
      <c r="N956" s="370"/>
    </row>
    <row r="957" spans="1:14" s="371" customFormat="1" ht="14" outlineLevel="5">
      <c r="A957" s="372" t="s">
        <v>8</v>
      </c>
      <c r="B957" s="373" t="s">
        <v>682</v>
      </c>
      <c r="C957" s="249" t="s">
        <v>15</v>
      </c>
      <c r="D957" s="205"/>
      <c r="E957" s="205"/>
      <c r="F957" s="205"/>
      <c r="G957" s="7">
        <f t="shared" si="225"/>
        <v>0</v>
      </c>
      <c r="H957" s="205">
        <f t="shared" si="226"/>
        <v>0</v>
      </c>
      <c r="I957" s="369"/>
      <c r="J957" s="213" t="s">
        <v>21</v>
      </c>
      <c r="K957" s="359" t="s">
        <v>288</v>
      </c>
      <c r="L957" s="359" t="s">
        <v>94</v>
      </c>
      <c r="M957" s="359" t="s">
        <v>32</v>
      </c>
      <c r="N957" s="370"/>
    </row>
    <row r="958" spans="1:14" s="371" customFormat="1" ht="14" outlineLevel="5">
      <c r="A958" s="372" t="s">
        <v>8</v>
      </c>
      <c r="B958" s="373" t="s">
        <v>683</v>
      </c>
      <c r="C958" s="249" t="s">
        <v>15</v>
      </c>
      <c r="D958" s="205"/>
      <c r="E958" s="205"/>
      <c r="F958" s="205"/>
      <c r="G958" s="7">
        <f t="shared" si="225"/>
        <v>0</v>
      </c>
      <c r="H958" s="205">
        <f t="shared" si="226"/>
        <v>0</v>
      </c>
      <c r="I958" s="369"/>
      <c r="J958" s="213" t="s">
        <v>21</v>
      </c>
      <c r="K958" s="359" t="s">
        <v>288</v>
      </c>
      <c r="L958" s="359" t="s">
        <v>94</v>
      </c>
      <c r="M958" s="359" t="s">
        <v>32</v>
      </c>
      <c r="N958" s="370"/>
    </row>
    <row r="959" spans="1:14" s="371" customFormat="1" ht="14" outlineLevel="5">
      <c r="A959" s="372" t="s">
        <v>8</v>
      </c>
      <c r="B959" s="373" t="s">
        <v>708</v>
      </c>
      <c r="C959" s="249" t="s">
        <v>15</v>
      </c>
      <c r="D959" s="205"/>
      <c r="E959" s="205"/>
      <c r="F959" s="205"/>
      <c r="G959" s="7">
        <f t="shared" si="225"/>
        <v>0</v>
      </c>
      <c r="H959" s="205">
        <f t="shared" si="226"/>
        <v>0</v>
      </c>
      <c r="I959" s="369"/>
      <c r="J959" s="213" t="s">
        <v>21</v>
      </c>
      <c r="K959" s="359" t="s">
        <v>288</v>
      </c>
      <c r="L959" s="359" t="s">
        <v>94</v>
      </c>
      <c r="M959" s="359" t="s">
        <v>32</v>
      </c>
      <c r="N959" s="370"/>
    </row>
    <row r="960" spans="1:14" s="371" customFormat="1" ht="14" outlineLevel="5">
      <c r="A960" s="372" t="s">
        <v>8</v>
      </c>
      <c r="B960" s="373" t="s">
        <v>697</v>
      </c>
      <c r="C960" s="249" t="s">
        <v>15</v>
      </c>
      <c r="D960" s="205"/>
      <c r="E960" s="205"/>
      <c r="F960" s="205"/>
      <c r="G960" s="7">
        <f t="shared" si="225"/>
        <v>0</v>
      </c>
      <c r="H960" s="205">
        <f t="shared" si="226"/>
        <v>0</v>
      </c>
      <c r="I960" s="369"/>
      <c r="J960" s="213" t="s">
        <v>21</v>
      </c>
      <c r="K960" s="359" t="s">
        <v>288</v>
      </c>
      <c r="L960" s="359" t="s">
        <v>94</v>
      </c>
      <c r="M960" s="359" t="s">
        <v>32</v>
      </c>
      <c r="N960" s="370"/>
    </row>
    <row r="961" spans="1:14" s="371" customFormat="1" ht="14" outlineLevel="5">
      <c r="A961" s="372" t="s">
        <v>8</v>
      </c>
      <c r="B961" s="373" t="s">
        <v>709</v>
      </c>
      <c r="C961" s="249" t="s">
        <v>15</v>
      </c>
      <c r="D961" s="205"/>
      <c r="E961" s="205"/>
      <c r="F961" s="205"/>
      <c r="G961" s="7">
        <f t="shared" si="225"/>
        <v>0</v>
      </c>
      <c r="H961" s="205">
        <f t="shared" si="226"/>
        <v>0</v>
      </c>
      <c r="I961" s="369"/>
      <c r="J961" s="213" t="s">
        <v>21</v>
      </c>
      <c r="K961" s="359" t="s">
        <v>288</v>
      </c>
      <c r="L961" s="359" t="s">
        <v>94</v>
      </c>
      <c r="M961" s="359" t="s">
        <v>32</v>
      </c>
      <c r="N961" s="370"/>
    </row>
    <row r="962" spans="1:14" s="371" customFormat="1" ht="14" outlineLevel="5">
      <c r="A962" s="372" t="s">
        <v>8</v>
      </c>
      <c r="B962" s="373" t="s">
        <v>684</v>
      </c>
      <c r="C962" s="249" t="s">
        <v>15</v>
      </c>
      <c r="D962" s="205"/>
      <c r="E962" s="205"/>
      <c r="F962" s="205"/>
      <c r="G962" s="7">
        <f t="shared" si="225"/>
        <v>0</v>
      </c>
      <c r="H962" s="205">
        <f t="shared" si="226"/>
        <v>0</v>
      </c>
      <c r="I962" s="369"/>
      <c r="J962" s="213" t="s">
        <v>21</v>
      </c>
      <c r="K962" s="359" t="s">
        <v>288</v>
      </c>
      <c r="L962" s="359" t="s">
        <v>94</v>
      </c>
      <c r="M962" s="359" t="s">
        <v>32</v>
      </c>
      <c r="N962" s="370"/>
    </row>
    <row r="963" spans="1:14" s="371" customFormat="1" ht="14" outlineLevel="5">
      <c r="A963" s="372" t="s">
        <v>8</v>
      </c>
      <c r="B963" s="373" t="s">
        <v>685</v>
      </c>
      <c r="C963" s="249" t="s">
        <v>15</v>
      </c>
      <c r="D963" s="205"/>
      <c r="E963" s="205"/>
      <c r="F963" s="205"/>
      <c r="G963" s="7">
        <f t="shared" si="225"/>
        <v>0</v>
      </c>
      <c r="H963" s="205">
        <f t="shared" si="226"/>
        <v>0</v>
      </c>
      <c r="I963" s="369"/>
      <c r="J963" s="213" t="s">
        <v>21</v>
      </c>
      <c r="K963" s="359" t="s">
        <v>288</v>
      </c>
      <c r="L963" s="359" t="s">
        <v>94</v>
      </c>
      <c r="M963" s="359" t="s">
        <v>32</v>
      </c>
      <c r="N963" s="370"/>
    </row>
    <row r="964" spans="1:14" s="371" customFormat="1" ht="14" outlineLevel="5">
      <c r="A964" s="372" t="s">
        <v>8</v>
      </c>
      <c r="B964" s="373" t="s">
        <v>686</v>
      </c>
      <c r="C964" s="249" t="s">
        <v>15</v>
      </c>
      <c r="D964" s="205"/>
      <c r="E964" s="205"/>
      <c r="F964" s="205"/>
      <c r="G964" s="7">
        <f t="shared" si="225"/>
        <v>0</v>
      </c>
      <c r="H964" s="205">
        <f t="shared" si="226"/>
        <v>0</v>
      </c>
      <c r="I964" s="369"/>
      <c r="J964" s="213" t="s">
        <v>21</v>
      </c>
      <c r="K964" s="359" t="s">
        <v>288</v>
      </c>
      <c r="L964" s="359" t="s">
        <v>94</v>
      </c>
      <c r="M964" s="359" t="s">
        <v>32</v>
      </c>
      <c r="N964" s="370"/>
    </row>
    <row r="965" spans="1:14" s="371" customFormat="1" ht="14" outlineLevel="5">
      <c r="A965" s="372" t="s">
        <v>8</v>
      </c>
      <c r="B965" s="373" t="s">
        <v>698</v>
      </c>
      <c r="C965" s="249" t="s">
        <v>15</v>
      </c>
      <c r="D965" s="205"/>
      <c r="E965" s="205"/>
      <c r="F965" s="205"/>
      <c r="G965" s="7">
        <f t="shared" si="225"/>
        <v>0</v>
      </c>
      <c r="H965" s="205">
        <f t="shared" si="226"/>
        <v>0</v>
      </c>
      <c r="I965" s="369"/>
      <c r="J965" s="213" t="s">
        <v>21</v>
      </c>
      <c r="K965" s="359" t="s">
        <v>288</v>
      </c>
      <c r="L965" s="359" t="s">
        <v>94</v>
      </c>
      <c r="M965" s="359" t="s">
        <v>32</v>
      </c>
      <c r="N965" s="370"/>
    </row>
    <row r="966" spans="1:14" s="371" customFormat="1" ht="14" outlineLevel="5">
      <c r="A966" s="372" t="s">
        <v>8</v>
      </c>
      <c r="B966" s="373" t="s">
        <v>710</v>
      </c>
      <c r="C966" s="249" t="s">
        <v>15</v>
      </c>
      <c r="D966" s="205"/>
      <c r="E966" s="205"/>
      <c r="F966" s="205"/>
      <c r="G966" s="7">
        <f t="shared" si="225"/>
        <v>0</v>
      </c>
      <c r="H966" s="205">
        <f t="shared" si="226"/>
        <v>0</v>
      </c>
      <c r="I966" s="369"/>
      <c r="J966" s="213" t="s">
        <v>21</v>
      </c>
      <c r="K966" s="359" t="s">
        <v>288</v>
      </c>
      <c r="L966" s="359" t="s">
        <v>94</v>
      </c>
      <c r="M966" s="359" t="s">
        <v>32</v>
      </c>
      <c r="N966" s="370"/>
    </row>
    <row r="967" spans="1:14" s="371" customFormat="1" ht="14" outlineLevel="5">
      <c r="A967" s="372" t="s">
        <v>8</v>
      </c>
      <c r="B967" s="373" t="s">
        <v>687</v>
      </c>
      <c r="C967" s="249" t="s">
        <v>15</v>
      </c>
      <c r="D967" s="205"/>
      <c r="E967" s="205"/>
      <c r="F967" s="205"/>
      <c r="G967" s="7">
        <f t="shared" si="225"/>
        <v>0</v>
      </c>
      <c r="H967" s="205">
        <f t="shared" si="226"/>
        <v>0</v>
      </c>
      <c r="I967" s="369"/>
      <c r="J967" s="213" t="s">
        <v>21</v>
      </c>
      <c r="K967" s="359" t="s">
        <v>288</v>
      </c>
      <c r="L967" s="359" t="s">
        <v>94</v>
      </c>
      <c r="M967" s="359" t="s">
        <v>32</v>
      </c>
      <c r="N967" s="370"/>
    </row>
    <row r="968" spans="1:14" s="361" customFormat="1" ht="15" customHeight="1" outlineLevel="3">
      <c r="A968" s="354">
        <v>4</v>
      </c>
      <c r="B968" s="362" t="s">
        <v>234</v>
      </c>
      <c r="C968" s="366"/>
      <c r="D968" s="284"/>
      <c r="E968" s="284"/>
      <c r="F968" s="284"/>
      <c r="G968" s="284"/>
      <c r="H968" s="284">
        <f>SUBTOTAL(9,H969:H1044)</f>
        <v>0</v>
      </c>
      <c r="I968" s="284"/>
      <c r="J968" s="213" t="s">
        <v>21</v>
      </c>
      <c r="K968" s="359"/>
      <c r="L968" s="359"/>
      <c r="M968" s="359" t="s">
        <v>32</v>
      </c>
      <c r="N968" s="360"/>
    </row>
    <row r="969" spans="1:14" s="361" customFormat="1" ht="13" customHeight="1" outlineLevel="4">
      <c r="A969" s="354">
        <v>4.0999999999999996</v>
      </c>
      <c r="B969" s="362" t="s">
        <v>711</v>
      </c>
      <c r="C969" s="366"/>
      <c r="D969" s="284"/>
      <c r="E969" s="284"/>
      <c r="F969" s="284"/>
      <c r="G969" s="284"/>
      <c r="H969" s="284">
        <f>SUBTOTAL(9,H970:H980)</f>
        <v>0</v>
      </c>
      <c r="I969" s="284"/>
      <c r="J969" s="213" t="s">
        <v>21</v>
      </c>
      <c r="K969" s="359"/>
      <c r="L969" s="359"/>
      <c r="M969" s="359" t="s">
        <v>32</v>
      </c>
      <c r="N969" s="360"/>
    </row>
    <row r="970" spans="1:14" s="371" customFormat="1" ht="14" outlineLevel="5">
      <c r="A970" s="367" t="s">
        <v>8</v>
      </c>
      <c r="B970" s="368" t="s">
        <v>707</v>
      </c>
      <c r="C970" s="249" t="s">
        <v>714</v>
      </c>
      <c r="D970" s="205"/>
      <c r="E970" s="205"/>
      <c r="F970" s="205"/>
      <c r="G970" s="7">
        <f t="shared" ref="G970:G980" si="227">F970*D970</f>
        <v>0</v>
      </c>
      <c r="H970" s="205">
        <f t="shared" ref="H970:H980" si="228">F970*E970</f>
        <v>0</v>
      </c>
      <c r="I970" s="369"/>
      <c r="J970" s="213" t="s">
        <v>21</v>
      </c>
      <c r="K970" s="359" t="s">
        <v>288</v>
      </c>
      <c r="L970" s="359" t="s">
        <v>94</v>
      </c>
      <c r="M970" s="359" t="s">
        <v>32</v>
      </c>
      <c r="N970" s="370"/>
    </row>
    <row r="971" spans="1:14" s="371" customFormat="1" ht="14" outlineLevel="5">
      <c r="A971" s="372" t="s">
        <v>8</v>
      </c>
      <c r="B971" s="373" t="s">
        <v>695</v>
      </c>
      <c r="C971" s="249" t="s">
        <v>23</v>
      </c>
      <c r="D971" s="205"/>
      <c r="E971" s="205"/>
      <c r="F971" s="205"/>
      <c r="G971" s="7">
        <f t="shared" si="227"/>
        <v>0</v>
      </c>
      <c r="H971" s="205">
        <f t="shared" si="228"/>
        <v>0</v>
      </c>
      <c r="I971" s="369"/>
      <c r="J971" s="213" t="s">
        <v>21</v>
      </c>
      <c r="K971" s="359" t="s">
        <v>288</v>
      </c>
      <c r="L971" s="359" t="s">
        <v>94</v>
      </c>
      <c r="M971" s="359" t="s">
        <v>32</v>
      </c>
      <c r="N971" s="370"/>
    </row>
    <row r="972" spans="1:14" s="371" customFormat="1" ht="14" outlineLevel="5">
      <c r="A972" s="372" t="s">
        <v>8</v>
      </c>
      <c r="B972" s="373" t="s">
        <v>696</v>
      </c>
      <c r="C972" s="249" t="s">
        <v>23</v>
      </c>
      <c r="D972" s="205"/>
      <c r="E972" s="205"/>
      <c r="F972" s="205"/>
      <c r="G972" s="7">
        <f t="shared" si="227"/>
        <v>0</v>
      </c>
      <c r="H972" s="205">
        <f t="shared" si="228"/>
        <v>0</v>
      </c>
      <c r="I972" s="369"/>
      <c r="J972" s="213" t="s">
        <v>21</v>
      </c>
      <c r="K972" s="359" t="s">
        <v>288</v>
      </c>
      <c r="L972" s="359" t="s">
        <v>94</v>
      </c>
      <c r="M972" s="359" t="s">
        <v>32</v>
      </c>
      <c r="N972" s="370"/>
    </row>
    <row r="973" spans="1:14" s="371" customFormat="1" ht="14" outlineLevel="5">
      <c r="A973" s="367" t="s">
        <v>8</v>
      </c>
      <c r="B973" s="368" t="s">
        <v>682</v>
      </c>
      <c r="C973" s="249" t="s">
        <v>23</v>
      </c>
      <c r="D973" s="205"/>
      <c r="E973" s="205"/>
      <c r="F973" s="205"/>
      <c r="G973" s="7">
        <f t="shared" si="227"/>
        <v>0</v>
      </c>
      <c r="H973" s="205">
        <f t="shared" si="228"/>
        <v>0</v>
      </c>
      <c r="I973" s="369"/>
      <c r="J973" s="213" t="s">
        <v>21</v>
      </c>
      <c r="K973" s="359" t="s">
        <v>288</v>
      </c>
      <c r="L973" s="359" t="s">
        <v>94</v>
      </c>
      <c r="M973" s="359" t="s">
        <v>32</v>
      </c>
      <c r="N973" s="370"/>
    </row>
    <row r="974" spans="1:14" s="371" customFormat="1" ht="14" outlineLevel="5">
      <c r="A974" s="372" t="s">
        <v>8</v>
      </c>
      <c r="B974" s="373" t="s">
        <v>712</v>
      </c>
      <c r="C974" s="249" t="s">
        <v>23</v>
      </c>
      <c r="D974" s="205"/>
      <c r="E974" s="205"/>
      <c r="F974" s="205"/>
      <c r="G974" s="7">
        <f t="shared" si="227"/>
        <v>0</v>
      </c>
      <c r="H974" s="205">
        <f t="shared" si="228"/>
        <v>0</v>
      </c>
      <c r="I974" s="369"/>
      <c r="J974" s="213" t="s">
        <v>21</v>
      </c>
      <c r="K974" s="359" t="s">
        <v>288</v>
      </c>
      <c r="L974" s="359" t="s">
        <v>94</v>
      </c>
      <c r="M974" s="359" t="s">
        <v>32</v>
      </c>
      <c r="N974" s="370"/>
    </row>
    <row r="975" spans="1:14" s="371" customFormat="1" ht="14" outlineLevel="5">
      <c r="A975" s="372" t="s">
        <v>8</v>
      </c>
      <c r="B975" s="373" t="s">
        <v>697</v>
      </c>
      <c r="C975" s="249" t="s">
        <v>23</v>
      </c>
      <c r="D975" s="205"/>
      <c r="E975" s="205"/>
      <c r="F975" s="205"/>
      <c r="G975" s="7">
        <f t="shared" si="227"/>
        <v>0</v>
      </c>
      <c r="H975" s="205">
        <f t="shared" si="228"/>
        <v>0</v>
      </c>
      <c r="I975" s="369"/>
      <c r="J975" s="213" t="s">
        <v>21</v>
      </c>
      <c r="K975" s="359" t="s">
        <v>288</v>
      </c>
      <c r="L975" s="359" t="s">
        <v>94</v>
      </c>
      <c r="M975" s="359" t="s">
        <v>32</v>
      </c>
      <c r="N975" s="370"/>
    </row>
    <row r="976" spans="1:14" s="371" customFormat="1" ht="14" outlineLevel="5">
      <c r="A976" s="372" t="s">
        <v>8</v>
      </c>
      <c r="B976" s="373" t="s">
        <v>709</v>
      </c>
      <c r="C976" s="249" t="s">
        <v>23</v>
      </c>
      <c r="D976" s="205"/>
      <c r="E976" s="205"/>
      <c r="F976" s="205"/>
      <c r="G976" s="7">
        <f t="shared" si="227"/>
        <v>0</v>
      </c>
      <c r="H976" s="205">
        <f t="shared" si="228"/>
        <v>0</v>
      </c>
      <c r="I976" s="369"/>
      <c r="J976" s="213" t="s">
        <v>21</v>
      </c>
      <c r="K976" s="359" t="s">
        <v>288</v>
      </c>
      <c r="L976" s="359" t="s">
        <v>94</v>
      </c>
      <c r="M976" s="359" t="s">
        <v>32</v>
      </c>
      <c r="N976" s="370"/>
    </row>
    <row r="977" spans="1:14" s="371" customFormat="1" ht="14" outlineLevel="5">
      <c r="A977" s="367" t="s">
        <v>8</v>
      </c>
      <c r="B977" s="368" t="s">
        <v>713</v>
      </c>
      <c r="C977" s="249" t="s">
        <v>139</v>
      </c>
      <c r="D977" s="205"/>
      <c r="E977" s="205"/>
      <c r="F977" s="205"/>
      <c r="G977" s="7">
        <f t="shared" si="227"/>
        <v>0</v>
      </c>
      <c r="H977" s="205">
        <f t="shared" si="228"/>
        <v>0</v>
      </c>
      <c r="I977" s="369"/>
      <c r="J977" s="213" t="s">
        <v>21</v>
      </c>
      <c r="K977" s="359" t="s">
        <v>288</v>
      </c>
      <c r="L977" s="359" t="s">
        <v>94</v>
      </c>
      <c r="M977" s="359" t="s">
        <v>32</v>
      </c>
      <c r="N977" s="370"/>
    </row>
    <row r="978" spans="1:14" s="371" customFormat="1" ht="14" outlineLevel="5">
      <c r="A978" s="372" t="s">
        <v>8</v>
      </c>
      <c r="B978" s="373" t="s">
        <v>698</v>
      </c>
      <c r="C978" s="249" t="s">
        <v>139</v>
      </c>
      <c r="D978" s="205"/>
      <c r="E978" s="205"/>
      <c r="F978" s="205"/>
      <c r="G978" s="7">
        <f t="shared" si="227"/>
        <v>0</v>
      </c>
      <c r="H978" s="205">
        <f t="shared" si="228"/>
        <v>0</v>
      </c>
      <c r="I978" s="369"/>
      <c r="J978" s="213" t="s">
        <v>21</v>
      </c>
      <c r="K978" s="359" t="s">
        <v>288</v>
      </c>
      <c r="L978" s="359" t="s">
        <v>94</v>
      </c>
      <c r="M978" s="359" t="s">
        <v>32</v>
      </c>
      <c r="N978" s="370"/>
    </row>
    <row r="979" spans="1:14" s="371" customFormat="1" ht="14" outlineLevel="5">
      <c r="A979" s="372" t="s">
        <v>8</v>
      </c>
      <c r="B979" s="373" t="s">
        <v>710</v>
      </c>
      <c r="C979" s="249" t="s">
        <v>139</v>
      </c>
      <c r="D979" s="205"/>
      <c r="E979" s="205"/>
      <c r="F979" s="205"/>
      <c r="G979" s="7">
        <f t="shared" si="227"/>
        <v>0</v>
      </c>
      <c r="H979" s="205">
        <f t="shared" si="228"/>
        <v>0</v>
      </c>
      <c r="I979" s="369"/>
      <c r="J979" s="213" t="s">
        <v>21</v>
      </c>
      <c r="K979" s="359" t="s">
        <v>288</v>
      </c>
      <c r="L979" s="359" t="s">
        <v>94</v>
      </c>
      <c r="M979" s="359" t="s">
        <v>32</v>
      </c>
      <c r="N979" s="370"/>
    </row>
    <row r="980" spans="1:14" s="371" customFormat="1" ht="14" outlineLevel="5">
      <c r="A980" s="372" t="s">
        <v>8</v>
      </c>
      <c r="B980" s="373" t="s">
        <v>687</v>
      </c>
      <c r="C980" s="249" t="s">
        <v>715</v>
      </c>
      <c r="D980" s="205"/>
      <c r="E980" s="205"/>
      <c r="F980" s="205"/>
      <c r="G980" s="7">
        <f t="shared" si="227"/>
        <v>0</v>
      </c>
      <c r="H980" s="205">
        <f t="shared" si="228"/>
        <v>0</v>
      </c>
      <c r="I980" s="369"/>
      <c r="J980" s="213" t="s">
        <v>21</v>
      </c>
      <c r="K980" s="359" t="s">
        <v>288</v>
      </c>
      <c r="L980" s="359" t="s">
        <v>94</v>
      </c>
      <c r="M980" s="359" t="s">
        <v>32</v>
      </c>
      <c r="N980" s="370"/>
    </row>
    <row r="981" spans="1:14" s="361" customFormat="1" ht="13" customHeight="1" outlineLevel="4">
      <c r="A981" s="354">
        <v>4.2</v>
      </c>
      <c r="B981" s="363" t="s">
        <v>716</v>
      </c>
      <c r="C981" s="366"/>
      <c r="D981" s="284"/>
      <c r="E981" s="284"/>
      <c r="F981" s="284"/>
      <c r="G981" s="284"/>
      <c r="H981" s="284">
        <f>SUBTOTAL(9,H982:H989)</f>
        <v>0</v>
      </c>
      <c r="I981" s="284"/>
      <c r="J981" s="213" t="s">
        <v>21</v>
      </c>
      <c r="K981" s="359"/>
      <c r="L981" s="359"/>
      <c r="M981" s="359" t="s">
        <v>32</v>
      </c>
      <c r="N981" s="360"/>
    </row>
    <row r="982" spans="1:14" s="371" customFormat="1" ht="14" outlineLevel="5">
      <c r="A982" s="367" t="s">
        <v>8</v>
      </c>
      <c r="B982" s="368" t="s">
        <v>717</v>
      </c>
      <c r="C982" s="249" t="s">
        <v>714</v>
      </c>
      <c r="D982" s="205"/>
      <c r="E982" s="205"/>
      <c r="F982" s="205"/>
      <c r="G982" s="7">
        <f t="shared" ref="G982:G989" si="229">F982*D982</f>
        <v>0</v>
      </c>
      <c r="H982" s="205">
        <f t="shared" ref="H982:H989" si="230">F982*E982</f>
        <v>0</v>
      </c>
      <c r="I982" s="369"/>
      <c r="J982" s="213" t="s">
        <v>21</v>
      </c>
      <c r="K982" s="359" t="s">
        <v>288</v>
      </c>
      <c r="L982" s="359" t="s">
        <v>94</v>
      </c>
      <c r="M982" s="359" t="s">
        <v>32</v>
      </c>
      <c r="N982" s="370"/>
    </row>
    <row r="983" spans="1:14" s="371" customFormat="1" ht="14" outlineLevel="5">
      <c r="A983" s="372" t="s">
        <v>8</v>
      </c>
      <c r="B983" s="373" t="s">
        <v>718</v>
      </c>
      <c r="C983" s="249" t="s">
        <v>23</v>
      </c>
      <c r="D983" s="205"/>
      <c r="E983" s="205"/>
      <c r="F983" s="205"/>
      <c r="G983" s="7">
        <f t="shared" si="229"/>
        <v>0</v>
      </c>
      <c r="H983" s="205">
        <f t="shared" si="230"/>
        <v>0</v>
      </c>
      <c r="I983" s="369"/>
      <c r="J983" s="213" t="s">
        <v>21</v>
      </c>
      <c r="K983" s="359" t="s">
        <v>288</v>
      </c>
      <c r="L983" s="359" t="s">
        <v>94</v>
      </c>
      <c r="M983" s="359" t="s">
        <v>32</v>
      </c>
      <c r="N983" s="370"/>
    </row>
    <row r="984" spans="1:14" s="371" customFormat="1" ht="14" outlineLevel="5">
      <c r="A984" s="372" t="s">
        <v>8</v>
      </c>
      <c r="B984" s="373" t="s">
        <v>719</v>
      </c>
      <c r="C984" s="249" t="s">
        <v>23</v>
      </c>
      <c r="D984" s="205"/>
      <c r="E984" s="205"/>
      <c r="F984" s="205"/>
      <c r="G984" s="7">
        <f t="shared" si="229"/>
        <v>0</v>
      </c>
      <c r="H984" s="205">
        <f t="shared" si="230"/>
        <v>0</v>
      </c>
      <c r="I984" s="369"/>
      <c r="J984" s="213" t="s">
        <v>21</v>
      </c>
      <c r="K984" s="359" t="s">
        <v>288</v>
      </c>
      <c r="L984" s="359" t="s">
        <v>94</v>
      </c>
      <c r="M984" s="359" t="s">
        <v>32</v>
      </c>
      <c r="N984" s="370"/>
    </row>
    <row r="985" spans="1:14" s="371" customFormat="1" ht="14" outlineLevel="5">
      <c r="A985" s="367" t="s">
        <v>8</v>
      </c>
      <c r="B985" s="368" t="s">
        <v>720</v>
      </c>
      <c r="C985" s="249" t="s">
        <v>23</v>
      </c>
      <c r="D985" s="205"/>
      <c r="E985" s="205"/>
      <c r="F985" s="205"/>
      <c r="G985" s="7">
        <f t="shared" si="229"/>
        <v>0</v>
      </c>
      <c r="H985" s="205">
        <f t="shared" si="230"/>
        <v>0</v>
      </c>
      <c r="I985" s="369"/>
      <c r="J985" s="213" t="s">
        <v>21</v>
      </c>
      <c r="K985" s="359" t="s">
        <v>288</v>
      </c>
      <c r="L985" s="359" t="s">
        <v>94</v>
      </c>
      <c r="M985" s="359" t="s">
        <v>32</v>
      </c>
      <c r="N985" s="370"/>
    </row>
    <row r="986" spans="1:14" s="371" customFormat="1" ht="14" outlineLevel="5">
      <c r="A986" s="372" t="s">
        <v>8</v>
      </c>
      <c r="B986" s="373" t="s">
        <v>721</v>
      </c>
      <c r="C986" s="249" t="s">
        <v>23</v>
      </c>
      <c r="D986" s="205"/>
      <c r="E986" s="205"/>
      <c r="F986" s="205"/>
      <c r="G986" s="7">
        <f t="shared" si="229"/>
        <v>0</v>
      </c>
      <c r="H986" s="205">
        <f t="shared" si="230"/>
        <v>0</v>
      </c>
      <c r="I986" s="369"/>
      <c r="J986" s="213" t="s">
        <v>21</v>
      </c>
      <c r="K986" s="359" t="s">
        <v>288</v>
      </c>
      <c r="L986" s="359" t="s">
        <v>94</v>
      </c>
      <c r="M986" s="359" t="s">
        <v>32</v>
      </c>
      <c r="N986" s="370"/>
    </row>
    <row r="987" spans="1:14" s="371" customFormat="1" ht="14" outlineLevel="5">
      <c r="A987" s="372" t="s">
        <v>8</v>
      </c>
      <c r="B987" s="373" t="s">
        <v>691</v>
      </c>
      <c r="C987" s="249" t="s">
        <v>139</v>
      </c>
      <c r="D987" s="205"/>
      <c r="E987" s="205"/>
      <c r="F987" s="205"/>
      <c r="G987" s="7">
        <f t="shared" si="229"/>
        <v>0</v>
      </c>
      <c r="H987" s="205">
        <f t="shared" si="230"/>
        <v>0</v>
      </c>
      <c r="I987" s="369"/>
      <c r="J987" s="213" t="s">
        <v>21</v>
      </c>
      <c r="K987" s="359" t="s">
        <v>288</v>
      </c>
      <c r="L987" s="359" t="s">
        <v>94</v>
      </c>
      <c r="M987" s="359" t="s">
        <v>32</v>
      </c>
      <c r="N987" s="370"/>
    </row>
    <row r="988" spans="1:14" s="371" customFormat="1" ht="14" outlineLevel="5">
      <c r="A988" s="372" t="s">
        <v>8</v>
      </c>
      <c r="B988" s="373" t="s">
        <v>698</v>
      </c>
      <c r="C988" s="249" t="s">
        <v>139</v>
      </c>
      <c r="D988" s="205"/>
      <c r="E988" s="205"/>
      <c r="F988" s="205"/>
      <c r="G988" s="7">
        <f t="shared" si="229"/>
        <v>0</v>
      </c>
      <c r="H988" s="205">
        <f t="shared" si="230"/>
        <v>0</v>
      </c>
      <c r="I988" s="369"/>
      <c r="J988" s="213" t="s">
        <v>21</v>
      </c>
      <c r="K988" s="359" t="s">
        <v>288</v>
      </c>
      <c r="L988" s="359" t="s">
        <v>94</v>
      </c>
      <c r="M988" s="359" t="s">
        <v>32</v>
      </c>
      <c r="N988" s="370"/>
    </row>
    <row r="989" spans="1:14" s="371" customFormat="1" ht="14" outlineLevel="5">
      <c r="A989" s="367" t="s">
        <v>8</v>
      </c>
      <c r="B989" s="368" t="s">
        <v>687</v>
      </c>
      <c r="C989" s="249" t="s">
        <v>715</v>
      </c>
      <c r="D989" s="205"/>
      <c r="E989" s="205"/>
      <c r="F989" s="205"/>
      <c r="G989" s="7">
        <f t="shared" si="229"/>
        <v>0</v>
      </c>
      <c r="H989" s="205">
        <f t="shared" si="230"/>
        <v>0</v>
      </c>
      <c r="I989" s="369"/>
      <c r="J989" s="213" t="s">
        <v>21</v>
      </c>
      <c r="K989" s="359" t="s">
        <v>288</v>
      </c>
      <c r="L989" s="359" t="s">
        <v>94</v>
      </c>
      <c r="M989" s="359" t="s">
        <v>32</v>
      </c>
      <c r="N989" s="370"/>
    </row>
    <row r="990" spans="1:14" s="361" customFormat="1" ht="13" customHeight="1" outlineLevel="4">
      <c r="A990" s="354">
        <v>4.3</v>
      </c>
      <c r="B990" s="363" t="s">
        <v>722</v>
      </c>
      <c r="C990" s="366"/>
      <c r="D990" s="284"/>
      <c r="E990" s="284"/>
      <c r="F990" s="284"/>
      <c r="G990" s="284"/>
      <c r="H990" s="284">
        <f>SUBTOTAL(9,H991:H998)</f>
        <v>0</v>
      </c>
      <c r="I990" s="284"/>
      <c r="J990" s="213" t="s">
        <v>21</v>
      </c>
      <c r="K990" s="359"/>
      <c r="L990" s="359"/>
      <c r="M990" s="359" t="s">
        <v>32</v>
      </c>
      <c r="N990" s="360"/>
    </row>
    <row r="991" spans="1:14" s="371" customFormat="1" ht="14" outlineLevel="5">
      <c r="A991" s="367" t="s">
        <v>8</v>
      </c>
      <c r="B991" s="368" t="s">
        <v>723</v>
      </c>
      <c r="C991" s="249" t="s">
        <v>714</v>
      </c>
      <c r="D991" s="205"/>
      <c r="E991" s="205"/>
      <c r="F991" s="205"/>
      <c r="G991" s="7">
        <f t="shared" ref="G991:G998" si="231">F991*D991</f>
        <v>0</v>
      </c>
      <c r="H991" s="205">
        <f t="shared" ref="H991:H998" si="232">F991*E991</f>
        <v>0</v>
      </c>
      <c r="I991" s="369"/>
      <c r="J991" s="213" t="s">
        <v>21</v>
      </c>
      <c r="K991" s="359" t="s">
        <v>288</v>
      </c>
      <c r="L991" s="359" t="s">
        <v>94</v>
      </c>
      <c r="M991" s="359" t="s">
        <v>32</v>
      </c>
      <c r="N991" s="370"/>
    </row>
    <row r="992" spans="1:14" s="371" customFormat="1" ht="14" outlineLevel="5">
      <c r="A992" s="372" t="s">
        <v>8</v>
      </c>
      <c r="B992" s="373" t="s">
        <v>720</v>
      </c>
      <c r="C992" s="249" t="s">
        <v>23</v>
      </c>
      <c r="D992" s="205"/>
      <c r="E992" s="205"/>
      <c r="F992" s="205"/>
      <c r="G992" s="7">
        <f t="shared" si="231"/>
        <v>0</v>
      </c>
      <c r="H992" s="205">
        <f t="shared" si="232"/>
        <v>0</v>
      </c>
      <c r="I992" s="369"/>
      <c r="J992" s="213" t="s">
        <v>21</v>
      </c>
      <c r="K992" s="359" t="s">
        <v>288</v>
      </c>
      <c r="L992" s="359" t="s">
        <v>94</v>
      </c>
      <c r="M992" s="359" t="s">
        <v>32</v>
      </c>
      <c r="N992" s="370"/>
    </row>
    <row r="993" spans="1:14" s="371" customFormat="1" ht="14" outlineLevel="5">
      <c r="A993" s="372" t="s">
        <v>8</v>
      </c>
      <c r="B993" s="373" t="s">
        <v>721</v>
      </c>
      <c r="C993" s="249" t="s">
        <v>23</v>
      </c>
      <c r="D993" s="205"/>
      <c r="E993" s="205"/>
      <c r="F993" s="205"/>
      <c r="G993" s="7">
        <f t="shared" si="231"/>
        <v>0</v>
      </c>
      <c r="H993" s="205">
        <f t="shared" si="232"/>
        <v>0</v>
      </c>
      <c r="I993" s="369"/>
      <c r="J993" s="213" t="s">
        <v>21</v>
      </c>
      <c r="K993" s="359" t="s">
        <v>288</v>
      </c>
      <c r="L993" s="359" t="s">
        <v>94</v>
      </c>
      <c r="M993" s="359" t="s">
        <v>32</v>
      </c>
      <c r="N993" s="370"/>
    </row>
    <row r="994" spans="1:14" s="371" customFormat="1" ht="14" outlineLevel="5">
      <c r="A994" s="367" t="s">
        <v>8</v>
      </c>
      <c r="B994" s="368" t="s">
        <v>724</v>
      </c>
      <c r="C994" s="249" t="s">
        <v>23</v>
      </c>
      <c r="D994" s="205"/>
      <c r="E994" s="205"/>
      <c r="F994" s="205"/>
      <c r="G994" s="7">
        <f t="shared" si="231"/>
        <v>0</v>
      </c>
      <c r="H994" s="205">
        <f t="shared" si="232"/>
        <v>0</v>
      </c>
      <c r="I994" s="369"/>
      <c r="J994" s="213" t="s">
        <v>21</v>
      </c>
      <c r="K994" s="359" t="s">
        <v>288</v>
      </c>
      <c r="L994" s="359" t="s">
        <v>94</v>
      </c>
      <c r="M994" s="359" t="s">
        <v>32</v>
      </c>
      <c r="N994" s="370"/>
    </row>
    <row r="995" spans="1:14" s="371" customFormat="1" ht="14" outlineLevel="5">
      <c r="A995" s="372" t="s">
        <v>8</v>
      </c>
      <c r="B995" s="373" t="s">
        <v>691</v>
      </c>
      <c r="C995" s="249" t="s">
        <v>139</v>
      </c>
      <c r="D995" s="205"/>
      <c r="E995" s="205"/>
      <c r="F995" s="205"/>
      <c r="G995" s="7">
        <f t="shared" si="231"/>
        <v>0</v>
      </c>
      <c r="H995" s="205">
        <f t="shared" si="232"/>
        <v>0</v>
      </c>
      <c r="I995" s="369"/>
      <c r="J995" s="213" t="s">
        <v>21</v>
      </c>
      <c r="K995" s="359" t="s">
        <v>288</v>
      </c>
      <c r="L995" s="359" t="s">
        <v>94</v>
      </c>
      <c r="M995" s="359" t="s">
        <v>32</v>
      </c>
      <c r="N995" s="370"/>
    </row>
    <row r="996" spans="1:14" s="371" customFormat="1" ht="14" outlineLevel="5">
      <c r="A996" s="372" t="s">
        <v>8</v>
      </c>
      <c r="B996" s="373" t="s">
        <v>698</v>
      </c>
      <c r="C996" s="249" t="s">
        <v>139</v>
      </c>
      <c r="D996" s="205"/>
      <c r="E996" s="205"/>
      <c r="F996" s="205"/>
      <c r="G996" s="7">
        <f t="shared" si="231"/>
        <v>0</v>
      </c>
      <c r="H996" s="205">
        <f t="shared" si="232"/>
        <v>0</v>
      </c>
      <c r="I996" s="369"/>
      <c r="J996" s="213" t="s">
        <v>21</v>
      </c>
      <c r="K996" s="359" t="s">
        <v>288</v>
      </c>
      <c r="L996" s="359" t="s">
        <v>94</v>
      </c>
      <c r="M996" s="359" t="s">
        <v>32</v>
      </c>
      <c r="N996" s="370"/>
    </row>
    <row r="997" spans="1:14" s="371" customFormat="1" ht="14" outlineLevel="5">
      <c r="A997" s="372" t="s">
        <v>8</v>
      </c>
      <c r="B997" s="373" t="s">
        <v>710</v>
      </c>
      <c r="C997" s="249" t="s">
        <v>139</v>
      </c>
      <c r="D997" s="205"/>
      <c r="E997" s="205"/>
      <c r="F997" s="205"/>
      <c r="G997" s="7">
        <f t="shared" si="231"/>
        <v>0</v>
      </c>
      <c r="H997" s="205">
        <f t="shared" si="232"/>
        <v>0</v>
      </c>
      <c r="I997" s="369"/>
      <c r="J997" s="213" t="s">
        <v>21</v>
      </c>
      <c r="K997" s="359" t="s">
        <v>288</v>
      </c>
      <c r="L997" s="359" t="s">
        <v>94</v>
      </c>
      <c r="M997" s="359" t="s">
        <v>32</v>
      </c>
      <c r="N997" s="370"/>
    </row>
    <row r="998" spans="1:14" s="371" customFormat="1" ht="14" outlineLevel="5">
      <c r="A998" s="367" t="s">
        <v>8</v>
      </c>
      <c r="B998" s="368" t="s">
        <v>687</v>
      </c>
      <c r="C998" s="249" t="s">
        <v>715</v>
      </c>
      <c r="D998" s="205"/>
      <c r="E998" s="205"/>
      <c r="F998" s="205"/>
      <c r="G998" s="7">
        <f t="shared" si="231"/>
        <v>0</v>
      </c>
      <c r="H998" s="205">
        <f t="shared" si="232"/>
        <v>0</v>
      </c>
      <c r="I998" s="369"/>
      <c r="J998" s="213" t="s">
        <v>21</v>
      </c>
      <c r="K998" s="359" t="s">
        <v>288</v>
      </c>
      <c r="L998" s="359" t="s">
        <v>94</v>
      </c>
      <c r="M998" s="359" t="s">
        <v>32</v>
      </c>
      <c r="N998" s="370"/>
    </row>
    <row r="999" spans="1:14" s="361" customFormat="1" ht="13" customHeight="1" outlineLevel="4">
      <c r="A999" s="354">
        <v>4.4000000000000004</v>
      </c>
      <c r="B999" s="363" t="s">
        <v>725</v>
      </c>
      <c r="C999" s="366"/>
      <c r="D999" s="284"/>
      <c r="E999" s="284"/>
      <c r="F999" s="284"/>
      <c r="G999" s="284"/>
      <c r="H999" s="284">
        <f>SUBTOTAL(9,H1000:H1011)</f>
        <v>0</v>
      </c>
      <c r="I999" s="284"/>
      <c r="J999" s="213" t="s">
        <v>21</v>
      </c>
      <c r="K999" s="359"/>
      <c r="L999" s="359"/>
      <c r="M999" s="359" t="s">
        <v>32</v>
      </c>
      <c r="N999" s="360"/>
    </row>
    <row r="1000" spans="1:14" s="371" customFormat="1" ht="14" outlineLevel="5">
      <c r="A1000" s="367" t="s">
        <v>8</v>
      </c>
      <c r="B1000" s="368" t="s">
        <v>726</v>
      </c>
      <c r="C1000" s="249" t="s">
        <v>714</v>
      </c>
      <c r="D1000" s="207"/>
      <c r="E1000" s="205"/>
      <c r="F1000" s="205"/>
      <c r="G1000" s="7">
        <f t="shared" ref="G1000:G1011" si="233">F1000*D1000</f>
        <v>0</v>
      </c>
      <c r="H1000" s="205">
        <f t="shared" ref="H1000:H1011" si="234">F1000*E1000</f>
        <v>0</v>
      </c>
      <c r="I1000" s="369"/>
      <c r="J1000" s="213" t="s">
        <v>21</v>
      </c>
      <c r="K1000" s="359" t="s">
        <v>288</v>
      </c>
      <c r="L1000" s="359" t="s">
        <v>94</v>
      </c>
      <c r="M1000" s="359" t="s">
        <v>32</v>
      </c>
      <c r="N1000" s="370"/>
    </row>
    <row r="1001" spans="1:14" s="371" customFormat="1" ht="14" outlineLevel="5">
      <c r="A1001" s="372" t="s">
        <v>8</v>
      </c>
      <c r="B1001" s="373" t="s">
        <v>727</v>
      </c>
      <c r="C1001" s="249" t="s">
        <v>23</v>
      </c>
      <c r="D1001" s="207"/>
      <c r="E1001" s="205"/>
      <c r="F1001" s="205"/>
      <c r="G1001" s="7">
        <f t="shared" si="233"/>
        <v>0</v>
      </c>
      <c r="H1001" s="205">
        <f t="shared" si="234"/>
        <v>0</v>
      </c>
      <c r="I1001" s="369"/>
      <c r="J1001" s="213" t="s">
        <v>21</v>
      </c>
      <c r="K1001" s="359" t="s">
        <v>288</v>
      </c>
      <c r="L1001" s="359" t="s">
        <v>94</v>
      </c>
      <c r="M1001" s="359" t="s">
        <v>32</v>
      </c>
      <c r="N1001" s="370"/>
    </row>
    <row r="1002" spans="1:14" s="371" customFormat="1" ht="14" outlineLevel="5">
      <c r="A1002" s="372" t="s">
        <v>8</v>
      </c>
      <c r="B1002" s="373" t="s">
        <v>718</v>
      </c>
      <c r="C1002" s="249" t="s">
        <v>23</v>
      </c>
      <c r="D1002" s="207"/>
      <c r="E1002" s="205"/>
      <c r="F1002" s="205"/>
      <c r="G1002" s="7">
        <f t="shared" si="233"/>
        <v>0</v>
      </c>
      <c r="H1002" s="205">
        <f t="shared" si="234"/>
        <v>0</v>
      </c>
      <c r="I1002" s="369"/>
      <c r="J1002" s="213" t="s">
        <v>21</v>
      </c>
      <c r="K1002" s="359" t="s">
        <v>288</v>
      </c>
      <c r="L1002" s="359" t="s">
        <v>94</v>
      </c>
      <c r="M1002" s="359" t="s">
        <v>32</v>
      </c>
      <c r="N1002" s="370"/>
    </row>
    <row r="1003" spans="1:14" s="371" customFormat="1" ht="14" outlineLevel="5">
      <c r="A1003" s="367" t="s">
        <v>8</v>
      </c>
      <c r="B1003" s="368" t="s">
        <v>720</v>
      </c>
      <c r="C1003" s="249" t="s">
        <v>23</v>
      </c>
      <c r="D1003" s="207"/>
      <c r="E1003" s="205"/>
      <c r="F1003" s="205"/>
      <c r="G1003" s="7">
        <f t="shared" si="233"/>
        <v>0</v>
      </c>
      <c r="H1003" s="205">
        <f t="shared" si="234"/>
        <v>0</v>
      </c>
      <c r="I1003" s="369"/>
      <c r="J1003" s="213" t="s">
        <v>21</v>
      </c>
      <c r="K1003" s="359" t="s">
        <v>288</v>
      </c>
      <c r="L1003" s="359" t="s">
        <v>94</v>
      </c>
      <c r="M1003" s="359" t="s">
        <v>32</v>
      </c>
      <c r="N1003" s="370"/>
    </row>
    <row r="1004" spans="1:14" s="371" customFormat="1" ht="14" outlineLevel="5">
      <c r="A1004" s="367" t="s">
        <v>8</v>
      </c>
      <c r="B1004" s="368" t="s">
        <v>721</v>
      </c>
      <c r="C1004" s="249" t="s">
        <v>23</v>
      </c>
      <c r="D1004" s="207"/>
      <c r="E1004" s="205"/>
      <c r="F1004" s="205"/>
      <c r="G1004" s="7">
        <f t="shared" si="233"/>
        <v>0</v>
      </c>
      <c r="H1004" s="205">
        <f t="shared" si="234"/>
        <v>0</v>
      </c>
      <c r="I1004" s="369"/>
      <c r="J1004" s="213" t="s">
        <v>21</v>
      </c>
      <c r="K1004" s="359" t="s">
        <v>288</v>
      </c>
      <c r="L1004" s="359" t="s">
        <v>94</v>
      </c>
      <c r="M1004" s="359" t="s">
        <v>32</v>
      </c>
      <c r="N1004" s="370"/>
    </row>
    <row r="1005" spans="1:14" s="371" customFormat="1" ht="14" outlineLevel="5">
      <c r="A1005" s="372" t="s">
        <v>8</v>
      </c>
      <c r="B1005" s="373" t="s">
        <v>728</v>
      </c>
      <c r="C1005" s="249" t="s">
        <v>139</v>
      </c>
      <c r="D1005" s="207"/>
      <c r="E1005" s="205"/>
      <c r="F1005" s="205"/>
      <c r="G1005" s="7">
        <f t="shared" si="233"/>
        <v>0</v>
      </c>
      <c r="H1005" s="205">
        <f t="shared" si="234"/>
        <v>0</v>
      </c>
      <c r="I1005" s="369"/>
      <c r="J1005" s="213" t="s">
        <v>21</v>
      </c>
      <c r="K1005" s="359" t="s">
        <v>288</v>
      </c>
      <c r="L1005" s="359" t="s">
        <v>94</v>
      </c>
      <c r="M1005" s="359" t="s">
        <v>32</v>
      </c>
      <c r="N1005" s="370"/>
    </row>
    <row r="1006" spans="1:14" s="371" customFormat="1" ht="14" outlineLevel="5">
      <c r="A1006" s="372" t="s">
        <v>8</v>
      </c>
      <c r="B1006" s="373" t="s">
        <v>729</v>
      </c>
      <c r="C1006" s="249" t="s">
        <v>139</v>
      </c>
      <c r="D1006" s="207"/>
      <c r="E1006" s="205"/>
      <c r="F1006" s="205"/>
      <c r="G1006" s="7">
        <f t="shared" si="233"/>
        <v>0</v>
      </c>
      <c r="H1006" s="205">
        <f t="shared" si="234"/>
        <v>0</v>
      </c>
      <c r="I1006" s="369"/>
      <c r="J1006" s="213" t="s">
        <v>21</v>
      </c>
      <c r="K1006" s="359" t="s">
        <v>288</v>
      </c>
      <c r="L1006" s="359" t="s">
        <v>94</v>
      </c>
      <c r="M1006" s="359" t="s">
        <v>32</v>
      </c>
      <c r="N1006" s="370"/>
    </row>
    <row r="1007" spans="1:14" s="371" customFormat="1" ht="14" outlineLevel="5">
      <c r="A1007" s="367" t="s">
        <v>8</v>
      </c>
      <c r="B1007" s="368" t="s">
        <v>691</v>
      </c>
      <c r="C1007" s="249" t="s">
        <v>139</v>
      </c>
      <c r="D1007" s="207"/>
      <c r="E1007" s="205"/>
      <c r="F1007" s="205"/>
      <c r="G1007" s="7">
        <f t="shared" si="233"/>
        <v>0</v>
      </c>
      <c r="H1007" s="205">
        <f t="shared" si="234"/>
        <v>0</v>
      </c>
      <c r="I1007" s="369"/>
      <c r="J1007" s="213" t="s">
        <v>21</v>
      </c>
      <c r="K1007" s="359" t="s">
        <v>288</v>
      </c>
      <c r="L1007" s="359" t="s">
        <v>94</v>
      </c>
      <c r="M1007" s="359" t="s">
        <v>32</v>
      </c>
      <c r="N1007" s="370"/>
    </row>
    <row r="1008" spans="1:14" s="371" customFormat="1" ht="14" outlineLevel="5">
      <c r="A1008" s="372" t="s">
        <v>8</v>
      </c>
      <c r="B1008" s="373" t="s">
        <v>698</v>
      </c>
      <c r="C1008" s="249" t="s">
        <v>139</v>
      </c>
      <c r="D1008" s="207"/>
      <c r="E1008" s="205"/>
      <c r="F1008" s="205"/>
      <c r="G1008" s="7">
        <f t="shared" si="233"/>
        <v>0</v>
      </c>
      <c r="H1008" s="205">
        <f t="shared" si="234"/>
        <v>0</v>
      </c>
      <c r="I1008" s="369"/>
      <c r="J1008" s="213" t="s">
        <v>21</v>
      </c>
      <c r="K1008" s="359" t="s">
        <v>288</v>
      </c>
      <c r="L1008" s="359" t="s">
        <v>94</v>
      </c>
      <c r="M1008" s="359" t="s">
        <v>32</v>
      </c>
      <c r="N1008" s="370"/>
    </row>
    <row r="1009" spans="1:14" s="371" customFormat="1" ht="14" outlineLevel="5">
      <c r="A1009" s="372" t="s">
        <v>8</v>
      </c>
      <c r="B1009" s="373" t="s">
        <v>341</v>
      </c>
      <c r="C1009" s="249" t="s">
        <v>715</v>
      </c>
      <c r="D1009" s="207"/>
      <c r="E1009" s="205"/>
      <c r="F1009" s="205"/>
      <c r="G1009" s="7">
        <f t="shared" si="233"/>
        <v>0</v>
      </c>
      <c r="H1009" s="205">
        <f t="shared" si="234"/>
        <v>0</v>
      </c>
      <c r="I1009" s="369"/>
      <c r="J1009" s="213" t="s">
        <v>21</v>
      </c>
      <c r="K1009" s="359" t="s">
        <v>288</v>
      </c>
      <c r="L1009" s="359" t="s">
        <v>94</v>
      </c>
      <c r="M1009" s="359" t="s">
        <v>32</v>
      </c>
      <c r="N1009" s="370"/>
    </row>
    <row r="1010" spans="1:14" s="371" customFormat="1" ht="14" outlineLevel="5">
      <c r="A1010" s="372" t="s">
        <v>8</v>
      </c>
      <c r="B1010" s="373" t="s">
        <v>343</v>
      </c>
      <c r="C1010" s="249" t="s">
        <v>715</v>
      </c>
      <c r="D1010" s="207"/>
      <c r="E1010" s="205"/>
      <c r="F1010" s="205"/>
      <c r="G1010" s="7">
        <f t="shared" si="233"/>
        <v>0</v>
      </c>
      <c r="H1010" s="205">
        <f t="shared" si="234"/>
        <v>0</v>
      </c>
      <c r="I1010" s="369"/>
      <c r="J1010" s="213" t="s">
        <v>21</v>
      </c>
      <c r="K1010" s="359" t="s">
        <v>288</v>
      </c>
      <c r="L1010" s="359" t="s">
        <v>94</v>
      </c>
      <c r="M1010" s="359" t="s">
        <v>32</v>
      </c>
      <c r="N1010" s="370"/>
    </row>
    <row r="1011" spans="1:14" s="371" customFormat="1" ht="14" outlineLevel="5">
      <c r="A1011" s="367" t="s">
        <v>8</v>
      </c>
      <c r="B1011" s="368" t="s">
        <v>687</v>
      </c>
      <c r="C1011" s="249" t="s">
        <v>715</v>
      </c>
      <c r="D1011" s="207"/>
      <c r="E1011" s="205"/>
      <c r="F1011" s="205"/>
      <c r="G1011" s="7">
        <f t="shared" si="233"/>
        <v>0</v>
      </c>
      <c r="H1011" s="205">
        <f t="shared" si="234"/>
        <v>0</v>
      </c>
      <c r="I1011" s="369"/>
      <c r="J1011" s="213" t="s">
        <v>21</v>
      </c>
      <c r="K1011" s="359" t="s">
        <v>288</v>
      </c>
      <c r="L1011" s="359" t="s">
        <v>94</v>
      </c>
      <c r="M1011" s="359" t="s">
        <v>32</v>
      </c>
      <c r="N1011" s="370"/>
    </row>
    <row r="1012" spans="1:14" s="361" customFormat="1" ht="13" customHeight="1" outlineLevel="4">
      <c r="A1012" s="354">
        <v>4.5</v>
      </c>
      <c r="B1012" s="363" t="s">
        <v>730</v>
      </c>
      <c r="C1012" s="366"/>
      <c r="D1012" s="284"/>
      <c r="E1012" s="284"/>
      <c r="F1012" s="284"/>
      <c r="G1012" s="284"/>
      <c r="H1012" s="284">
        <f>SUBTOTAL(9,H1013:H1025)</f>
        <v>0</v>
      </c>
      <c r="I1012" s="284"/>
      <c r="J1012" s="213" t="s">
        <v>21</v>
      </c>
      <c r="K1012" s="359"/>
      <c r="L1012" s="359"/>
      <c r="M1012" s="359" t="s">
        <v>32</v>
      </c>
      <c r="N1012" s="360"/>
    </row>
    <row r="1013" spans="1:14" s="371" customFormat="1" ht="14" outlineLevel="5">
      <c r="A1013" s="367" t="s">
        <v>8</v>
      </c>
      <c r="B1013" s="368" t="s">
        <v>726</v>
      </c>
      <c r="C1013" s="249" t="s">
        <v>714</v>
      </c>
      <c r="D1013" s="205"/>
      <c r="E1013" s="205"/>
      <c r="F1013" s="205"/>
      <c r="G1013" s="7">
        <f t="shared" ref="G1013:G1025" si="235">F1013*D1013</f>
        <v>0</v>
      </c>
      <c r="H1013" s="205">
        <f t="shared" ref="H1013:H1025" si="236">F1013*E1013</f>
        <v>0</v>
      </c>
      <c r="I1013" s="369"/>
      <c r="J1013" s="213" t="s">
        <v>21</v>
      </c>
      <c r="K1013" s="359" t="s">
        <v>288</v>
      </c>
      <c r="L1013" s="359" t="s">
        <v>94</v>
      </c>
      <c r="M1013" s="359" t="s">
        <v>32</v>
      </c>
      <c r="N1013" s="370"/>
    </row>
    <row r="1014" spans="1:14" s="371" customFormat="1" ht="14" outlineLevel="5">
      <c r="A1014" s="367" t="s">
        <v>8</v>
      </c>
      <c r="B1014" s="368" t="s">
        <v>731</v>
      </c>
      <c r="C1014" s="249" t="s">
        <v>23</v>
      </c>
      <c r="D1014" s="205"/>
      <c r="E1014" s="205"/>
      <c r="F1014" s="205"/>
      <c r="G1014" s="7">
        <f t="shared" si="235"/>
        <v>0</v>
      </c>
      <c r="H1014" s="205">
        <f t="shared" si="236"/>
        <v>0</v>
      </c>
      <c r="I1014" s="369"/>
      <c r="J1014" s="213" t="s">
        <v>21</v>
      </c>
      <c r="K1014" s="359" t="s">
        <v>288</v>
      </c>
      <c r="L1014" s="359" t="s">
        <v>94</v>
      </c>
      <c r="M1014" s="359" t="s">
        <v>32</v>
      </c>
      <c r="N1014" s="370"/>
    </row>
    <row r="1015" spans="1:14" s="371" customFormat="1" ht="14" outlineLevel="5">
      <c r="A1015" s="372" t="s">
        <v>8</v>
      </c>
      <c r="B1015" s="373" t="s">
        <v>732</v>
      </c>
      <c r="C1015" s="249" t="s">
        <v>23</v>
      </c>
      <c r="D1015" s="205"/>
      <c r="E1015" s="205"/>
      <c r="F1015" s="205"/>
      <c r="G1015" s="7">
        <f t="shared" si="235"/>
        <v>0</v>
      </c>
      <c r="H1015" s="205">
        <f t="shared" si="236"/>
        <v>0</v>
      </c>
      <c r="I1015" s="369"/>
      <c r="J1015" s="213" t="s">
        <v>21</v>
      </c>
      <c r="K1015" s="359" t="s">
        <v>288</v>
      </c>
      <c r="L1015" s="359" t="s">
        <v>94</v>
      </c>
      <c r="M1015" s="359" t="s">
        <v>32</v>
      </c>
      <c r="N1015" s="370"/>
    </row>
    <row r="1016" spans="1:14" s="371" customFormat="1" ht="14" outlineLevel="5">
      <c r="A1016" s="372" t="s">
        <v>8</v>
      </c>
      <c r="B1016" s="373" t="s">
        <v>733</v>
      </c>
      <c r="C1016" s="249" t="s">
        <v>23</v>
      </c>
      <c r="D1016" s="205"/>
      <c r="E1016" s="205"/>
      <c r="F1016" s="205"/>
      <c r="G1016" s="7">
        <f t="shared" si="235"/>
        <v>0</v>
      </c>
      <c r="H1016" s="205">
        <f t="shared" si="236"/>
        <v>0</v>
      </c>
      <c r="I1016" s="369"/>
      <c r="J1016" s="213" t="s">
        <v>21</v>
      </c>
      <c r="K1016" s="359" t="s">
        <v>288</v>
      </c>
      <c r="L1016" s="359" t="s">
        <v>94</v>
      </c>
      <c r="M1016" s="359" t="s">
        <v>32</v>
      </c>
      <c r="N1016" s="370"/>
    </row>
    <row r="1017" spans="1:14" s="371" customFormat="1" ht="14" outlineLevel="5">
      <c r="A1017" s="367" t="s">
        <v>8</v>
      </c>
      <c r="B1017" s="368" t="s">
        <v>734</v>
      </c>
      <c r="C1017" s="249" t="s">
        <v>23</v>
      </c>
      <c r="D1017" s="205"/>
      <c r="E1017" s="205"/>
      <c r="F1017" s="205"/>
      <c r="G1017" s="7">
        <f t="shared" si="235"/>
        <v>0</v>
      </c>
      <c r="H1017" s="205">
        <f t="shared" si="236"/>
        <v>0</v>
      </c>
      <c r="I1017" s="369"/>
      <c r="J1017" s="213" t="s">
        <v>21</v>
      </c>
      <c r="K1017" s="359" t="s">
        <v>288</v>
      </c>
      <c r="L1017" s="359" t="s">
        <v>94</v>
      </c>
      <c r="M1017" s="359" t="s">
        <v>32</v>
      </c>
      <c r="N1017" s="370"/>
    </row>
    <row r="1018" spans="1:14" s="371" customFormat="1" ht="14" outlineLevel="5">
      <c r="A1018" s="367" t="s">
        <v>8</v>
      </c>
      <c r="B1018" s="368" t="s">
        <v>727</v>
      </c>
      <c r="C1018" s="249" t="s">
        <v>23</v>
      </c>
      <c r="D1018" s="205"/>
      <c r="E1018" s="205"/>
      <c r="F1018" s="205"/>
      <c r="G1018" s="7">
        <f t="shared" si="235"/>
        <v>0</v>
      </c>
      <c r="H1018" s="205">
        <f t="shared" si="236"/>
        <v>0</v>
      </c>
      <c r="I1018" s="369"/>
      <c r="J1018" s="213" t="s">
        <v>21</v>
      </c>
      <c r="K1018" s="359" t="s">
        <v>288</v>
      </c>
      <c r="L1018" s="359" t="s">
        <v>94</v>
      </c>
      <c r="M1018" s="359" t="s">
        <v>32</v>
      </c>
      <c r="N1018" s="370"/>
    </row>
    <row r="1019" spans="1:14" s="371" customFormat="1" ht="14" outlineLevel="5">
      <c r="A1019" s="372" t="s">
        <v>8</v>
      </c>
      <c r="B1019" s="373" t="s">
        <v>728</v>
      </c>
      <c r="C1019" s="249" t="s">
        <v>139</v>
      </c>
      <c r="D1019" s="205"/>
      <c r="E1019" s="205"/>
      <c r="F1019" s="205"/>
      <c r="G1019" s="7">
        <f t="shared" si="235"/>
        <v>0</v>
      </c>
      <c r="H1019" s="205">
        <f t="shared" si="236"/>
        <v>0</v>
      </c>
      <c r="I1019" s="369"/>
      <c r="J1019" s="213" t="s">
        <v>21</v>
      </c>
      <c r="K1019" s="359" t="s">
        <v>288</v>
      </c>
      <c r="L1019" s="359" t="s">
        <v>94</v>
      </c>
      <c r="M1019" s="359" t="s">
        <v>32</v>
      </c>
      <c r="N1019" s="370"/>
    </row>
    <row r="1020" spans="1:14" s="371" customFormat="1" ht="14" outlineLevel="5">
      <c r="A1020" s="372" t="s">
        <v>8</v>
      </c>
      <c r="B1020" s="373" t="s">
        <v>729</v>
      </c>
      <c r="C1020" s="249" t="s">
        <v>139</v>
      </c>
      <c r="D1020" s="205"/>
      <c r="E1020" s="205"/>
      <c r="F1020" s="205"/>
      <c r="G1020" s="7">
        <f t="shared" si="235"/>
        <v>0</v>
      </c>
      <c r="H1020" s="205">
        <f t="shared" si="236"/>
        <v>0</v>
      </c>
      <c r="I1020" s="369"/>
      <c r="J1020" s="213" t="s">
        <v>21</v>
      </c>
      <c r="K1020" s="359" t="s">
        <v>288</v>
      </c>
      <c r="L1020" s="359" t="s">
        <v>94</v>
      </c>
      <c r="M1020" s="359" t="s">
        <v>32</v>
      </c>
      <c r="N1020" s="370"/>
    </row>
    <row r="1021" spans="1:14" s="371" customFormat="1" ht="14" outlineLevel="5">
      <c r="A1021" s="367" t="s">
        <v>8</v>
      </c>
      <c r="B1021" s="368" t="s">
        <v>691</v>
      </c>
      <c r="C1021" s="249" t="s">
        <v>139</v>
      </c>
      <c r="D1021" s="205"/>
      <c r="E1021" s="205"/>
      <c r="F1021" s="205"/>
      <c r="G1021" s="7">
        <f t="shared" si="235"/>
        <v>0</v>
      </c>
      <c r="H1021" s="205">
        <f t="shared" si="236"/>
        <v>0</v>
      </c>
      <c r="I1021" s="369"/>
      <c r="J1021" s="213" t="s">
        <v>21</v>
      </c>
      <c r="K1021" s="359" t="s">
        <v>288</v>
      </c>
      <c r="L1021" s="359" t="s">
        <v>94</v>
      </c>
      <c r="M1021" s="359" t="s">
        <v>32</v>
      </c>
      <c r="N1021" s="370"/>
    </row>
    <row r="1022" spans="1:14" s="371" customFormat="1" ht="14" outlineLevel="5">
      <c r="A1022" s="372" t="s">
        <v>8</v>
      </c>
      <c r="B1022" s="373" t="s">
        <v>698</v>
      </c>
      <c r="C1022" s="249" t="s">
        <v>139</v>
      </c>
      <c r="D1022" s="205"/>
      <c r="E1022" s="205"/>
      <c r="F1022" s="205"/>
      <c r="G1022" s="7">
        <f t="shared" si="235"/>
        <v>0</v>
      </c>
      <c r="H1022" s="205">
        <f t="shared" si="236"/>
        <v>0</v>
      </c>
      <c r="I1022" s="369"/>
      <c r="J1022" s="213" t="s">
        <v>21</v>
      </c>
      <c r="K1022" s="359" t="s">
        <v>288</v>
      </c>
      <c r="L1022" s="359" t="s">
        <v>94</v>
      </c>
      <c r="M1022" s="359" t="s">
        <v>32</v>
      </c>
      <c r="N1022" s="370"/>
    </row>
    <row r="1023" spans="1:14" s="371" customFormat="1" ht="14" outlineLevel="5">
      <c r="A1023" s="372" t="s">
        <v>8</v>
      </c>
      <c r="B1023" s="373" t="s">
        <v>341</v>
      </c>
      <c r="C1023" s="249" t="s">
        <v>715</v>
      </c>
      <c r="D1023" s="205"/>
      <c r="E1023" s="205"/>
      <c r="F1023" s="205"/>
      <c r="G1023" s="7">
        <f t="shared" si="235"/>
        <v>0</v>
      </c>
      <c r="H1023" s="205">
        <f t="shared" si="236"/>
        <v>0</v>
      </c>
      <c r="I1023" s="369"/>
      <c r="J1023" s="213" t="s">
        <v>21</v>
      </c>
      <c r="K1023" s="359" t="s">
        <v>288</v>
      </c>
      <c r="L1023" s="359" t="s">
        <v>94</v>
      </c>
      <c r="M1023" s="359" t="s">
        <v>32</v>
      </c>
      <c r="N1023" s="370"/>
    </row>
    <row r="1024" spans="1:14" s="371" customFormat="1" ht="14" outlineLevel="5">
      <c r="A1024" s="372" t="s">
        <v>8</v>
      </c>
      <c r="B1024" s="373" t="s">
        <v>343</v>
      </c>
      <c r="C1024" s="249" t="s">
        <v>715</v>
      </c>
      <c r="D1024" s="205"/>
      <c r="E1024" s="205"/>
      <c r="F1024" s="205"/>
      <c r="G1024" s="7">
        <f t="shared" si="235"/>
        <v>0</v>
      </c>
      <c r="H1024" s="205">
        <f t="shared" si="236"/>
        <v>0</v>
      </c>
      <c r="I1024" s="369"/>
      <c r="J1024" s="213" t="s">
        <v>21</v>
      </c>
      <c r="K1024" s="359" t="s">
        <v>288</v>
      </c>
      <c r="L1024" s="359" t="s">
        <v>94</v>
      </c>
      <c r="M1024" s="359" t="s">
        <v>32</v>
      </c>
      <c r="N1024" s="370"/>
    </row>
    <row r="1025" spans="1:14" s="371" customFormat="1" ht="14" outlineLevel="5">
      <c r="A1025" s="367" t="s">
        <v>8</v>
      </c>
      <c r="B1025" s="368" t="s">
        <v>687</v>
      </c>
      <c r="C1025" s="249" t="s">
        <v>715</v>
      </c>
      <c r="D1025" s="205"/>
      <c r="E1025" s="205"/>
      <c r="F1025" s="205"/>
      <c r="G1025" s="7">
        <f t="shared" si="235"/>
        <v>0</v>
      </c>
      <c r="H1025" s="205">
        <f t="shared" si="236"/>
        <v>0</v>
      </c>
      <c r="I1025" s="369"/>
      <c r="J1025" s="213" t="s">
        <v>21</v>
      </c>
      <c r="K1025" s="359" t="s">
        <v>288</v>
      </c>
      <c r="L1025" s="359" t="s">
        <v>94</v>
      </c>
      <c r="M1025" s="359" t="s">
        <v>32</v>
      </c>
      <c r="N1025" s="370"/>
    </row>
    <row r="1026" spans="1:14" s="361" customFormat="1" ht="13" customHeight="1" outlineLevel="4">
      <c r="A1026" s="354">
        <v>4.5999999999999996</v>
      </c>
      <c r="B1026" s="365" t="s">
        <v>735</v>
      </c>
      <c r="C1026" s="366"/>
      <c r="D1026" s="284"/>
      <c r="E1026" s="284"/>
      <c r="F1026" s="284"/>
      <c r="G1026" s="284"/>
      <c r="H1026" s="284">
        <f>SUBTOTAL(9,H1027:H1033)</f>
        <v>0</v>
      </c>
      <c r="I1026" s="284"/>
      <c r="J1026" s="213" t="s">
        <v>21</v>
      </c>
      <c r="K1026" s="359"/>
      <c r="L1026" s="359"/>
      <c r="M1026" s="359" t="s">
        <v>32</v>
      </c>
      <c r="N1026" s="360"/>
    </row>
    <row r="1027" spans="1:14" s="371" customFormat="1" ht="14" outlineLevel="5">
      <c r="A1027" s="367" t="s">
        <v>8</v>
      </c>
      <c r="B1027" s="368" t="s">
        <v>736</v>
      </c>
      <c r="C1027" s="249" t="s">
        <v>714</v>
      </c>
      <c r="D1027" s="205"/>
      <c r="E1027" s="205"/>
      <c r="F1027" s="205"/>
      <c r="G1027" s="7">
        <f t="shared" ref="G1027:G1033" si="237">F1027*D1027</f>
        <v>0</v>
      </c>
      <c r="H1027" s="205">
        <f t="shared" ref="H1027:H1033" si="238">F1027*E1027</f>
        <v>0</v>
      </c>
      <c r="I1027" s="369"/>
      <c r="J1027" s="213" t="s">
        <v>21</v>
      </c>
      <c r="K1027" s="359" t="s">
        <v>288</v>
      </c>
      <c r="L1027" s="359" t="s">
        <v>94</v>
      </c>
      <c r="M1027" s="359" t="s">
        <v>32</v>
      </c>
      <c r="N1027" s="370"/>
    </row>
    <row r="1028" spans="1:14" s="371" customFormat="1" ht="14" outlineLevel="5">
      <c r="A1028" s="367" t="s">
        <v>8</v>
      </c>
      <c r="B1028" s="368" t="s">
        <v>728</v>
      </c>
      <c r="C1028" s="249" t="s">
        <v>139</v>
      </c>
      <c r="D1028" s="205"/>
      <c r="E1028" s="205"/>
      <c r="F1028" s="205"/>
      <c r="G1028" s="7">
        <f t="shared" si="237"/>
        <v>0</v>
      </c>
      <c r="H1028" s="205">
        <f t="shared" si="238"/>
        <v>0</v>
      </c>
      <c r="I1028" s="369"/>
      <c r="J1028" s="213" t="s">
        <v>21</v>
      </c>
      <c r="K1028" s="359" t="s">
        <v>288</v>
      </c>
      <c r="L1028" s="359" t="s">
        <v>94</v>
      </c>
      <c r="M1028" s="359" t="s">
        <v>32</v>
      </c>
      <c r="N1028" s="370"/>
    </row>
    <row r="1029" spans="1:14" s="371" customFormat="1" ht="14" outlineLevel="5">
      <c r="A1029" s="372" t="s">
        <v>8</v>
      </c>
      <c r="B1029" s="373" t="s">
        <v>729</v>
      </c>
      <c r="C1029" s="249" t="s">
        <v>139</v>
      </c>
      <c r="D1029" s="205"/>
      <c r="E1029" s="205"/>
      <c r="F1029" s="205"/>
      <c r="G1029" s="7">
        <f t="shared" si="237"/>
        <v>0</v>
      </c>
      <c r="H1029" s="205">
        <f t="shared" si="238"/>
        <v>0</v>
      </c>
      <c r="I1029" s="369"/>
      <c r="J1029" s="213" t="s">
        <v>21</v>
      </c>
      <c r="K1029" s="359" t="s">
        <v>288</v>
      </c>
      <c r="L1029" s="359" t="s">
        <v>94</v>
      </c>
      <c r="M1029" s="359" t="s">
        <v>32</v>
      </c>
      <c r="N1029" s="370"/>
    </row>
    <row r="1030" spans="1:14" s="371" customFormat="1" ht="14" outlineLevel="5">
      <c r="A1030" s="372" t="s">
        <v>8</v>
      </c>
      <c r="B1030" s="373" t="s">
        <v>691</v>
      </c>
      <c r="C1030" s="249" t="s">
        <v>139</v>
      </c>
      <c r="D1030" s="205"/>
      <c r="E1030" s="205"/>
      <c r="F1030" s="205"/>
      <c r="G1030" s="7">
        <f t="shared" si="237"/>
        <v>0</v>
      </c>
      <c r="H1030" s="205">
        <f t="shared" si="238"/>
        <v>0</v>
      </c>
      <c r="I1030" s="369"/>
      <c r="J1030" s="213" t="s">
        <v>21</v>
      </c>
      <c r="K1030" s="359" t="s">
        <v>288</v>
      </c>
      <c r="L1030" s="359" t="s">
        <v>94</v>
      </c>
      <c r="M1030" s="359" t="s">
        <v>32</v>
      </c>
      <c r="N1030" s="370"/>
    </row>
    <row r="1031" spans="1:14" s="371" customFormat="1" ht="14" outlineLevel="5">
      <c r="A1031" s="367" t="s">
        <v>8</v>
      </c>
      <c r="B1031" s="368" t="s">
        <v>341</v>
      </c>
      <c r="C1031" s="249" t="s">
        <v>139</v>
      </c>
      <c r="D1031" s="205"/>
      <c r="E1031" s="205"/>
      <c r="F1031" s="205"/>
      <c r="G1031" s="7">
        <f t="shared" si="237"/>
        <v>0</v>
      </c>
      <c r="H1031" s="205">
        <f t="shared" si="238"/>
        <v>0</v>
      </c>
      <c r="I1031" s="369"/>
      <c r="J1031" s="213" t="s">
        <v>21</v>
      </c>
      <c r="K1031" s="359" t="s">
        <v>288</v>
      </c>
      <c r="L1031" s="359" t="s">
        <v>94</v>
      </c>
      <c r="M1031" s="359" t="s">
        <v>32</v>
      </c>
      <c r="N1031" s="370"/>
    </row>
    <row r="1032" spans="1:14" s="371" customFormat="1" ht="14" outlineLevel="5">
      <c r="A1032" s="367" t="s">
        <v>8</v>
      </c>
      <c r="B1032" s="368" t="s">
        <v>343</v>
      </c>
      <c r="C1032" s="249" t="s">
        <v>139</v>
      </c>
      <c r="D1032" s="205"/>
      <c r="E1032" s="205"/>
      <c r="F1032" s="205"/>
      <c r="G1032" s="7">
        <f t="shared" si="237"/>
        <v>0</v>
      </c>
      <c r="H1032" s="205">
        <f t="shared" si="238"/>
        <v>0</v>
      </c>
      <c r="I1032" s="369"/>
      <c r="J1032" s="213" t="s">
        <v>21</v>
      </c>
      <c r="K1032" s="359" t="s">
        <v>288</v>
      </c>
      <c r="L1032" s="359" t="s">
        <v>94</v>
      </c>
      <c r="M1032" s="359" t="s">
        <v>32</v>
      </c>
      <c r="N1032" s="370"/>
    </row>
    <row r="1033" spans="1:14" s="371" customFormat="1" ht="14" outlineLevel="5">
      <c r="A1033" s="372" t="s">
        <v>8</v>
      </c>
      <c r="B1033" s="373" t="s">
        <v>737</v>
      </c>
      <c r="C1033" s="249" t="s">
        <v>715</v>
      </c>
      <c r="D1033" s="205"/>
      <c r="E1033" s="205"/>
      <c r="F1033" s="205"/>
      <c r="G1033" s="7">
        <f t="shared" si="237"/>
        <v>0</v>
      </c>
      <c r="H1033" s="205">
        <f t="shared" si="238"/>
        <v>0</v>
      </c>
      <c r="I1033" s="369"/>
      <c r="J1033" s="213" t="s">
        <v>21</v>
      </c>
      <c r="K1033" s="359" t="s">
        <v>288</v>
      </c>
      <c r="L1033" s="359" t="s">
        <v>94</v>
      </c>
      <c r="M1033" s="359" t="s">
        <v>32</v>
      </c>
      <c r="N1033" s="370"/>
    </row>
    <row r="1034" spans="1:14" s="361" customFormat="1" ht="13" customHeight="1" outlineLevel="4">
      <c r="A1034" s="354">
        <v>4.7</v>
      </c>
      <c r="B1034" s="365" t="s">
        <v>738</v>
      </c>
      <c r="C1034" s="366"/>
      <c r="D1034" s="284"/>
      <c r="E1034" s="284"/>
      <c r="F1034" s="284"/>
      <c r="G1034" s="284"/>
      <c r="H1034" s="284">
        <f>SUBTOTAL(9,H1035:H1041)</f>
        <v>0</v>
      </c>
      <c r="I1034" s="284"/>
      <c r="J1034" s="213" t="s">
        <v>21</v>
      </c>
      <c r="K1034" s="359"/>
      <c r="L1034" s="359"/>
      <c r="M1034" s="359" t="s">
        <v>32</v>
      </c>
      <c r="N1034" s="360"/>
    </row>
    <row r="1035" spans="1:14" s="371" customFormat="1" ht="14" outlineLevel="5">
      <c r="A1035" s="367" t="s">
        <v>8</v>
      </c>
      <c r="B1035" s="368" t="s">
        <v>739</v>
      </c>
      <c r="C1035" s="249" t="s">
        <v>23</v>
      </c>
      <c r="D1035" s="205"/>
      <c r="E1035" s="205"/>
      <c r="F1035" s="205"/>
      <c r="G1035" s="7">
        <f t="shared" ref="G1035:G1041" si="239">F1035*D1035</f>
        <v>0</v>
      </c>
      <c r="H1035" s="205">
        <f t="shared" ref="H1035:H1041" si="240">F1035*E1035</f>
        <v>0</v>
      </c>
      <c r="I1035" s="369"/>
      <c r="J1035" s="213" t="s">
        <v>21</v>
      </c>
      <c r="K1035" s="359" t="s">
        <v>288</v>
      </c>
      <c r="L1035" s="359" t="s">
        <v>94</v>
      </c>
      <c r="M1035" s="359" t="s">
        <v>32</v>
      </c>
      <c r="N1035" s="370"/>
    </row>
    <row r="1036" spans="1:14" s="371" customFormat="1" ht="14" outlineLevel="5">
      <c r="A1036" s="367" t="s">
        <v>8</v>
      </c>
      <c r="B1036" s="368" t="s">
        <v>720</v>
      </c>
      <c r="C1036" s="249" t="s">
        <v>23</v>
      </c>
      <c r="D1036" s="205"/>
      <c r="E1036" s="205"/>
      <c r="F1036" s="205"/>
      <c r="G1036" s="7">
        <f t="shared" si="239"/>
        <v>0</v>
      </c>
      <c r="H1036" s="205">
        <f t="shared" si="240"/>
        <v>0</v>
      </c>
      <c r="I1036" s="369"/>
      <c r="J1036" s="213" t="s">
        <v>21</v>
      </c>
      <c r="K1036" s="359" t="s">
        <v>288</v>
      </c>
      <c r="L1036" s="359" t="s">
        <v>94</v>
      </c>
      <c r="M1036" s="359" t="s">
        <v>32</v>
      </c>
      <c r="N1036" s="370"/>
    </row>
    <row r="1037" spans="1:14" s="371" customFormat="1" ht="14" outlineLevel="5">
      <c r="A1037" s="372" t="s">
        <v>8</v>
      </c>
      <c r="B1037" s="373" t="s">
        <v>740</v>
      </c>
      <c r="C1037" s="249" t="s">
        <v>23</v>
      </c>
      <c r="D1037" s="205"/>
      <c r="E1037" s="205"/>
      <c r="F1037" s="205"/>
      <c r="G1037" s="7">
        <f t="shared" si="239"/>
        <v>0</v>
      </c>
      <c r="H1037" s="205">
        <f t="shared" si="240"/>
        <v>0</v>
      </c>
      <c r="I1037" s="369"/>
      <c r="J1037" s="213" t="s">
        <v>21</v>
      </c>
      <c r="K1037" s="359" t="s">
        <v>288</v>
      </c>
      <c r="L1037" s="359" t="s">
        <v>94</v>
      </c>
      <c r="M1037" s="359" t="s">
        <v>32</v>
      </c>
      <c r="N1037" s="370"/>
    </row>
    <row r="1038" spans="1:14" s="371" customFormat="1" ht="14" outlineLevel="5">
      <c r="A1038" s="372" t="s">
        <v>8</v>
      </c>
      <c r="B1038" s="373" t="s">
        <v>688</v>
      </c>
      <c r="C1038" s="249" t="s">
        <v>139</v>
      </c>
      <c r="D1038" s="205"/>
      <c r="E1038" s="205"/>
      <c r="F1038" s="205"/>
      <c r="G1038" s="7">
        <f t="shared" si="239"/>
        <v>0</v>
      </c>
      <c r="H1038" s="205">
        <f t="shared" si="240"/>
        <v>0</v>
      </c>
      <c r="I1038" s="369"/>
      <c r="J1038" s="213" t="s">
        <v>21</v>
      </c>
      <c r="K1038" s="359" t="s">
        <v>288</v>
      </c>
      <c r="L1038" s="359" t="s">
        <v>94</v>
      </c>
      <c r="M1038" s="359" t="s">
        <v>32</v>
      </c>
      <c r="N1038" s="370"/>
    </row>
    <row r="1039" spans="1:14" s="371" customFormat="1" ht="14" outlineLevel="5">
      <c r="A1039" s="367" t="s">
        <v>8</v>
      </c>
      <c r="B1039" s="368" t="s">
        <v>729</v>
      </c>
      <c r="C1039" s="249" t="s">
        <v>139</v>
      </c>
      <c r="D1039" s="205"/>
      <c r="E1039" s="205"/>
      <c r="F1039" s="205"/>
      <c r="G1039" s="7">
        <f t="shared" si="239"/>
        <v>0</v>
      </c>
      <c r="H1039" s="205">
        <f t="shared" si="240"/>
        <v>0</v>
      </c>
      <c r="I1039" s="369"/>
      <c r="J1039" s="213" t="s">
        <v>21</v>
      </c>
      <c r="K1039" s="359" t="s">
        <v>288</v>
      </c>
      <c r="L1039" s="359" t="s">
        <v>94</v>
      </c>
      <c r="M1039" s="359" t="s">
        <v>32</v>
      </c>
      <c r="N1039" s="370"/>
    </row>
    <row r="1040" spans="1:14" s="371" customFormat="1" ht="14" outlineLevel="5">
      <c r="A1040" s="367" t="s">
        <v>8</v>
      </c>
      <c r="B1040" s="368" t="s">
        <v>691</v>
      </c>
      <c r="C1040" s="249" t="s">
        <v>139</v>
      </c>
      <c r="D1040" s="205"/>
      <c r="E1040" s="205"/>
      <c r="F1040" s="205"/>
      <c r="G1040" s="7">
        <f t="shared" si="239"/>
        <v>0</v>
      </c>
      <c r="H1040" s="205">
        <f t="shared" si="240"/>
        <v>0</v>
      </c>
      <c r="I1040" s="369"/>
      <c r="J1040" s="213" t="s">
        <v>21</v>
      </c>
      <c r="K1040" s="359" t="s">
        <v>288</v>
      </c>
      <c r="L1040" s="359" t="s">
        <v>94</v>
      </c>
      <c r="M1040" s="359" t="s">
        <v>32</v>
      </c>
      <c r="N1040" s="370"/>
    </row>
    <row r="1041" spans="1:14" s="371" customFormat="1" ht="14" outlineLevel="5">
      <c r="A1041" s="372" t="s">
        <v>8</v>
      </c>
      <c r="B1041" s="373" t="s">
        <v>687</v>
      </c>
      <c r="C1041" s="249" t="s">
        <v>715</v>
      </c>
      <c r="D1041" s="205"/>
      <c r="E1041" s="205"/>
      <c r="F1041" s="205"/>
      <c r="G1041" s="7">
        <f t="shared" si="239"/>
        <v>0</v>
      </c>
      <c r="H1041" s="205">
        <f t="shared" si="240"/>
        <v>0</v>
      </c>
      <c r="I1041" s="369"/>
      <c r="J1041" s="213" t="s">
        <v>21</v>
      </c>
      <c r="K1041" s="359" t="s">
        <v>288</v>
      </c>
      <c r="L1041" s="359" t="s">
        <v>94</v>
      </c>
      <c r="M1041" s="359" t="s">
        <v>32</v>
      </c>
      <c r="N1041" s="370"/>
    </row>
    <row r="1042" spans="1:14" s="361" customFormat="1" ht="13" customHeight="1" outlineLevel="4">
      <c r="A1042" s="354">
        <v>4.8</v>
      </c>
      <c r="B1042" s="365" t="s">
        <v>894</v>
      </c>
      <c r="C1042" s="366"/>
      <c r="D1042" s="284"/>
      <c r="E1042" s="284"/>
      <c r="F1042" s="284"/>
      <c r="G1042" s="284"/>
      <c r="H1042" s="284">
        <f>SUBTOTAL(9,H1043:H1044)</f>
        <v>0</v>
      </c>
      <c r="I1042" s="284"/>
      <c r="J1042" s="213" t="s">
        <v>21</v>
      </c>
      <c r="K1042" s="359"/>
      <c r="L1042" s="359"/>
      <c r="M1042" s="359" t="s">
        <v>32</v>
      </c>
      <c r="N1042" s="360"/>
    </row>
    <row r="1043" spans="1:14" s="371" customFormat="1" ht="14" outlineLevel="5">
      <c r="A1043" s="367" t="s">
        <v>8</v>
      </c>
      <c r="B1043" s="368" t="s">
        <v>895</v>
      </c>
      <c r="C1043" s="249" t="s">
        <v>379</v>
      </c>
      <c r="D1043" s="205"/>
      <c r="E1043" s="205"/>
      <c r="F1043" s="205"/>
      <c r="G1043" s="7">
        <f t="shared" ref="G1043:G1044" si="241">F1043*D1043</f>
        <v>0</v>
      </c>
      <c r="H1043" s="205">
        <f t="shared" ref="H1043:H1044" si="242">F1043*E1043</f>
        <v>0</v>
      </c>
      <c r="I1043" s="369"/>
      <c r="J1043" s="213" t="s">
        <v>21</v>
      </c>
      <c r="K1043" s="359" t="s">
        <v>288</v>
      </c>
      <c r="L1043" s="359" t="s">
        <v>94</v>
      </c>
      <c r="M1043" s="359" t="s">
        <v>32</v>
      </c>
      <c r="N1043" s="370"/>
    </row>
    <row r="1044" spans="1:14" s="371" customFormat="1" ht="14" outlineLevel="5">
      <c r="A1044" s="367" t="s">
        <v>8</v>
      </c>
      <c r="B1044" s="368" t="s">
        <v>576</v>
      </c>
      <c r="C1044" s="249" t="s">
        <v>379</v>
      </c>
      <c r="D1044" s="205"/>
      <c r="E1044" s="205"/>
      <c r="F1044" s="205"/>
      <c r="G1044" s="7">
        <f t="shared" si="241"/>
        <v>0</v>
      </c>
      <c r="H1044" s="205">
        <f t="shared" si="242"/>
        <v>0</v>
      </c>
      <c r="I1044" s="369"/>
      <c r="J1044" s="213" t="s">
        <v>21</v>
      </c>
      <c r="K1044" s="359" t="s">
        <v>288</v>
      </c>
      <c r="L1044" s="359" t="s">
        <v>94</v>
      </c>
      <c r="M1044" s="359" t="s">
        <v>32</v>
      </c>
      <c r="N1044" s="370"/>
    </row>
    <row r="1045" spans="1:14" s="361" customFormat="1" ht="14" outlineLevel="2">
      <c r="A1045" s="354" t="s">
        <v>119</v>
      </c>
      <c r="B1045" s="362" t="s">
        <v>159</v>
      </c>
      <c r="C1045" s="356"/>
      <c r="D1045" s="357"/>
      <c r="E1045" s="357"/>
      <c r="F1045" s="357"/>
      <c r="G1045" s="284">
        <f>SUBTOTAL(9,G1046:G1149)</f>
        <v>108000</v>
      </c>
      <c r="H1045" s="284">
        <f>SUBTOTAL(9,H1046:H1149)</f>
        <v>0</v>
      </c>
      <c r="I1045" s="357"/>
      <c r="J1045" s="213" t="s">
        <v>21</v>
      </c>
      <c r="K1045" s="359"/>
      <c r="L1045" s="359"/>
      <c r="M1045" s="214" t="s">
        <v>32</v>
      </c>
      <c r="N1045" s="360"/>
    </row>
    <row r="1046" spans="1:14" s="371" customFormat="1" ht="14" outlineLevel="4">
      <c r="A1046" s="384">
        <v>1</v>
      </c>
      <c r="B1046" s="385" t="s">
        <v>893</v>
      </c>
      <c r="C1046" s="249"/>
      <c r="D1046" s="205"/>
      <c r="E1046" s="205"/>
      <c r="F1046" s="205"/>
      <c r="G1046" s="284">
        <f>SUBTOTAL(9,G1047:G1053)</f>
        <v>0</v>
      </c>
      <c r="H1046" s="284">
        <f>SUBTOTAL(9,H1047:H1053)</f>
        <v>0</v>
      </c>
      <c r="I1046" s="369"/>
      <c r="J1046" s="213" t="s">
        <v>21</v>
      </c>
      <c r="K1046" s="359"/>
      <c r="L1046" s="359"/>
      <c r="M1046" s="214" t="s">
        <v>32</v>
      </c>
      <c r="N1046" s="359"/>
    </row>
    <row r="1047" spans="1:14" s="371" customFormat="1" ht="14" outlineLevel="4">
      <c r="A1047" s="372" t="s">
        <v>8</v>
      </c>
      <c r="B1047" s="377" t="s">
        <v>739</v>
      </c>
      <c r="C1047" s="249" t="s">
        <v>23</v>
      </c>
      <c r="D1047" s="205"/>
      <c r="E1047" s="205"/>
      <c r="F1047" s="205"/>
      <c r="G1047" s="7">
        <f t="shared" ref="G1047:G1053" si="243">F1047*D1047</f>
        <v>0</v>
      </c>
      <c r="H1047" s="205">
        <f t="shared" ref="H1047:H1053" si="244">F1047*E1047</f>
        <v>0</v>
      </c>
      <c r="I1047" s="369"/>
      <c r="J1047" s="213" t="s">
        <v>21</v>
      </c>
      <c r="K1047" s="307" t="s">
        <v>104</v>
      </c>
      <c r="L1047" s="359" t="s">
        <v>94</v>
      </c>
      <c r="M1047" s="214" t="s">
        <v>32</v>
      </c>
      <c r="N1047" s="370"/>
    </row>
    <row r="1048" spans="1:14" s="371" customFormat="1" ht="14" outlineLevel="4">
      <c r="A1048" s="372" t="s">
        <v>8</v>
      </c>
      <c r="B1048" s="377" t="s">
        <v>720</v>
      </c>
      <c r="C1048" s="249" t="s">
        <v>23</v>
      </c>
      <c r="D1048" s="205"/>
      <c r="E1048" s="205"/>
      <c r="F1048" s="205"/>
      <c r="G1048" s="7">
        <f t="shared" si="243"/>
        <v>0</v>
      </c>
      <c r="H1048" s="205">
        <f t="shared" si="244"/>
        <v>0</v>
      </c>
      <c r="I1048" s="369"/>
      <c r="J1048" s="213" t="s">
        <v>21</v>
      </c>
      <c r="K1048" s="307" t="s">
        <v>104</v>
      </c>
      <c r="L1048" s="359" t="s">
        <v>94</v>
      </c>
      <c r="M1048" s="214" t="s">
        <v>32</v>
      </c>
      <c r="N1048" s="370"/>
    </row>
    <row r="1049" spans="1:14" s="371" customFormat="1" ht="14" outlineLevel="4">
      <c r="A1049" s="372" t="s">
        <v>8</v>
      </c>
      <c r="B1049" s="377" t="s">
        <v>740</v>
      </c>
      <c r="C1049" s="249" t="s">
        <v>23</v>
      </c>
      <c r="D1049" s="205"/>
      <c r="E1049" s="205"/>
      <c r="F1049" s="205"/>
      <c r="G1049" s="7">
        <f t="shared" si="243"/>
        <v>0</v>
      </c>
      <c r="H1049" s="205">
        <f t="shared" si="244"/>
        <v>0</v>
      </c>
      <c r="I1049" s="369"/>
      <c r="J1049" s="213" t="s">
        <v>21</v>
      </c>
      <c r="K1049" s="307" t="s">
        <v>104</v>
      </c>
      <c r="L1049" s="359" t="s">
        <v>94</v>
      </c>
      <c r="M1049" s="359" t="s">
        <v>32</v>
      </c>
      <c r="N1049" s="370"/>
    </row>
    <row r="1050" spans="1:14" s="371" customFormat="1" ht="14" outlineLevel="4">
      <c r="A1050" s="372" t="s">
        <v>8</v>
      </c>
      <c r="B1050" s="377" t="s">
        <v>688</v>
      </c>
      <c r="C1050" s="249" t="s">
        <v>139</v>
      </c>
      <c r="D1050" s="205"/>
      <c r="E1050" s="205"/>
      <c r="F1050" s="205"/>
      <c r="G1050" s="7">
        <f t="shared" si="243"/>
        <v>0</v>
      </c>
      <c r="H1050" s="205">
        <f t="shared" si="244"/>
        <v>0</v>
      </c>
      <c r="I1050" s="369"/>
      <c r="J1050" s="213" t="s">
        <v>21</v>
      </c>
      <c r="K1050" s="307" t="s">
        <v>104</v>
      </c>
      <c r="L1050" s="359" t="s">
        <v>94</v>
      </c>
      <c r="M1050" s="359" t="s">
        <v>32</v>
      </c>
      <c r="N1050" s="370"/>
    </row>
    <row r="1051" spans="1:14" s="371" customFormat="1" ht="14" outlineLevel="4">
      <c r="A1051" s="372" t="s">
        <v>8</v>
      </c>
      <c r="B1051" s="377" t="s">
        <v>729</v>
      </c>
      <c r="C1051" s="249" t="s">
        <v>139</v>
      </c>
      <c r="D1051" s="205"/>
      <c r="E1051" s="205"/>
      <c r="F1051" s="205"/>
      <c r="G1051" s="7">
        <f t="shared" si="243"/>
        <v>0</v>
      </c>
      <c r="H1051" s="205">
        <f t="shared" si="244"/>
        <v>0</v>
      </c>
      <c r="I1051" s="369"/>
      <c r="J1051" s="213" t="s">
        <v>21</v>
      </c>
      <c r="K1051" s="307" t="s">
        <v>104</v>
      </c>
      <c r="L1051" s="359" t="s">
        <v>94</v>
      </c>
      <c r="M1051" s="359" t="s">
        <v>32</v>
      </c>
      <c r="N1051" s="370"/>
    </row>
    <row r="1052" spans="1:14" s="371" customFormat="1" ht="14" outlineLevel="4">
      <c r="A1052" s="372" t="s">
        <v>8</v>
      </c>
      <c r="B1052" s="377" t="s">
        <v>691</v>
      </c>
      <c r="C1052" s="249" t="s">
        <v>139</v>
      </c>
      <c r="D1052" s="205"/>
      <c r="E1052" s="205"/>
      <c r="F1052" s="205"/>
      <c r="G1052" s="7">
        <f t="shared" si="243"/>
        <v>0</v>
      </c>
      <c r="H1052" s="205">
        <f t="shared" si="244"/>
        <v>0</v>
      </c>
      <c r="I1052" s="369"/>
      <c r="J1052" s="213" t="s">
        <v>21</v>
      </c>
      <c r="K1052" s="307" t="s">
        <v>104</v>
      </c>
      <c r="L1052" s="359" t="s">
        <v>94</v>
      </c>
      <c r="M1052" s="214" t="s">
        <v>32</v>
      </c>
      <c r="N1052" s="370"/>
    </row>
    <row r="1053" spans="1:14" s="371" customFormat="1" ht="14" outlineLevel="4">
      <c r="A1053" s="372" t="s">
        <v>8</v>
      </c>
      <c r="B1053" s="377" t="s">
        <v>687</v>
      </c>
      <c r="C1053" s="249" t="s">
        <v>715</v>
      </c>
      <c r="D1053" s="205"/>
      <c r="E1053" s="205"/>
      <c r="F1053" s="205"/>
      <c r="G1053" s="7">
        <f t="shared" si="243"/>
        <v>0</v>
      </c>
      <c r="H1053" s="205">
        <f t="shared" si="244"/>
        <v>0</v>
      </c>
      <c r="I1053" s="369"/>
      <c r="J1053" s="213" t="s">
        <v>21</v>
      </c>
      <c r="K1053" s="307" t="s">
        <v>104</v>
      </c>
      <c r="L1053" s="359" t="s">
        <v>94</v>
      </c>
      <c r="M1053" s="214" t="s">
        <v>32</v>
      </c>
      <c r="N1053" s="370"/>
    </row>
    <row r="1054" spans="1:14" s="371" customFormat="1" ht="14" outlineLevel="4">
      <c r="A1054" s="384">
        <v>2</v>
      </c>
      <c r="B1054" s="362" t="s">
        <v>716</v>
      </c>
      <c r="C1054" s="249"/>
      <c r="D1054" s="205"/>
      <c r="E1054" s="205"/>
      <c r="F1054" s="205"/>
      <c r="G1054" s="284">
        <f>SUBTOTAL(9,G1055:G1061)</f>
        <v>0</v>
      </c>
      <c r="H1054" s="284">
        <f>SUBTOTAL(9,H1055:H1061)</f>
        <v>0</v>
      </c>
      <c r="I1054" s="369"/>
      <c r="J1054" s="213" t="s">
        <v>21</v>
      </c>
      <c r="K1054" s="307"/>
      <c r="L1054" s="359"/>
      <c r="M1054" s="214" t="s">
        <v>32</v>
      </c>
      <c r="N1054" s="359"/>
    </row>
    <row r="1055" spans="1:14" s="371" customFormat="1" ht="14" outlineLevel="4">
      <c r="A1055" s="372" t="s">
        <v>8</v>
      </c>
      <c r="B1055" s="377" t="s">
        <v>717</v>
      </c>
      <c r="C1055" s="249" t="s">
        <v>714</v>
      </c>
      <c r="D1055" s="205"/>
      <c r="E1055" s="205"/>
      <c r="F1055" s="205"/>
      <c r="G1055" s="7">
        <f t="shared" ref="G1055:G1061" si="245">F1055*D1055</f>
        <v>0</v>
      </c>
      <c r="H1055" s="205">
        <f t="shared" ref="H1055:H1061" si="246">F1055*E1055</f>
        <v>0</v>
      </c>
      <c r="I1055" s="369"/>
      <c r="J1055" s="213" t="s">
        <v>21</v>
      </c>
      <c r="K1055" s="307" t="s">
        <v>104</v>
      </c>
      <c r="L1055" s="359" t="s">
        <v>94</v>
      </c>
      <c r="M1055" s="214" t="s">
        <v>32</v>
      </c>
      <c r="N1055" s="370"/>
    </row>
    <row r="1056" spans="1:14" s="371" customFormat="1" ht="14" outlineLevel="4">
      <c r="A1056" s="372" t="s">
        <v>8</v>
      </c>
      <c r="B1056" s="377" t="s">
        <v>991</v>
      </c>
      <c r="C1056" s="249" t="s">
        <v>23</v>
      </c>
      <c r="D1056" s="205"/>
      <c r="E1056" s="205"/>
      <c r="F1056" s="205"/>
      <c r="G1056" s="7">
        <f t="shared" si="245"/>
        <v>0</v>
      </c>
      <c r="H1056" s="205">
        <f t="shared" si="246"/>
        <v>0</v>
      </c>
      <c r="I1056" s="369"/>
      <c r="J1056" s="213" t="s">
        <v>21</v>
      </c>
      <c r="K1056" s="307" t="s">
        <v>104</v>
      </c>
      <c r="L1056" s="359" t="s">
        <v>94</v>
      </c>
      <c r="M1056" s="359" t="s">
        <v>32</v>
      </c>
      <c r="N1056" s="370"/>
    </row>
    <row r="1057" spans="1:14" s="371" customFormat="1" ht="14" outlineLevel="4">
      <c r="A1057" s="372" t="s">
        <v>8</v>
      </c>
      <c r="B1057" s="377" t="s">
        <v>720</v>
      </c>
      <c r="C1057" s="249" t="s">
        <v>23</v>
      </c>
      <c r="D1057" s="205"/>
      <c r="E1057" s="205"/>
      <c r="F1057" s="205"/>
      <c r="G1057" s="7">
        <f t="shared" si="245"/>
        <v>0</v>
      </c>
      <c r="H1057" s="205">
        <f t="shared" si="246"/>
        <v>0</v>
      </c>
      <c r="I1057" s="369"/>
      <c r="J1057" s="213" t="s">
        <v>21</v>
      </c>
      <c r="K1057" s="307" t="s">
        <v>104</v>
      </c>
      <c r="L1057" s="359" t="s">
        <v>94</v>
      </c>
      <c r="M1057" s="359" t="s">
        <v>32</v>
      </c>
      <c r="N1057" s="370"/>
    </row>
    <row r="1058" spans="1:14" s="371" customFormat="1" ht="14" outlineLevel="4">
      <c r="A1058" s="372" t="s">
        <v>8</v>
      </c>
      <c r="B1058" s="377" t="s">
        <v>721</v>
      </c>
      <c r="C1058" s="249" t="s">
        <v>23</v>
      </c>
      <c r="D1058" s="205"/>
      <c r="E1058" s="205"/>
      <c r="F1058" s="205"/>
      <c r="G1058" s="7">
        <f t="shared" si="245"/>
        <v>0</v>
      </c>
      <c r="H1058" s="205">
        <f t="shared" si="246"/>
        <v>0</v>
      </c>
      <c r="I1058" s="369"/>
      <c r="J1058" s="213" t="s">
        <v>21</v>
      </c>
      <c r="K1058" s="307" t="s">
        <v>104</v>
      </c>
      <c r="L1058" s="359" t="s">
        <v>94</v>
      </c>
      <c r="M1058" s="214" t="s">
        <v>32</v>
      </c>
      <c r="N1058" s="370"/>
    </row>
    <row r="1059" spans="1:14" s="371" customFormat="1" ht="14" outlineLevel="4">
      <c r="A1059" s="372" t="s">
        <v>8</v>
      </c>
      <c r="B1059" s="377" t="s">
        <v>992</v>
      </c>
      <c r="C1059" s="249" t="s">
        <v>23</v>
      </c>
      <c r="D1059" s="205"/>
      <c r="E1059" s="205"/>
      <c r="F1059" s="205"/>
      <c r="G1059" s="7">
        <f t="shared" si="245"/>
        <v>0</v>
      </c>
      <c r="H1059" s="205">
        <f t="shared" si="246"/>
        <v>0</v>
      </c>
      <c r="I1059" s="369"/>
      <c r="J1059" s="213" t="s">
        <v>21</v>
      </c>
      <c r="K1059" s="307" t="s">
        <v>104</v>
      </c>
      <c r="L1059" s="359" t="s">
        <v>94</v>
      </c>
      <c r="M1059" s="214" t="s">
        <v>32</v>
      </c>
      <c r="N1059" s="370"/>
    </row>
    <row r="1060" spans="1:14" s="371" customFormat="1" ht="14" outlineLevel="4">
      <c r="A1060" s="372" t="s">
        <v>8</v>
      </c>
      <c r="B1060" s="377" t="s">
        <v>993</v>
      </c>
      <c r="C1060" s="249" t="s">
        <v>139</v>
      </c>
      <c r="D1060" s="205"/>
      <c r="E1060" s="205"/>
      <c r="F1060" s="205"/>
      <c r="G1060" s="7">
        <f t="shared" si="245"/>
        <v>0</v>
      </c>
      <c r="H1060" s="205">
        <f t="shared" si="246"/>
        <v>0</v>
      </c>
      <c r="I1060" s="369"/>
      <c r="J1060" s="213" t="s">
        <v>21</v>
      </c>
      <c r="K1060" s="307" t="s">
        <v>104</v>
      </c>
      <c r="L1060" s="359" t="s">
        <v>94</v>
      </c>
      <c r="M1060" s="214" t="s">
        <v>32</v>
      </c>
      <c r="N1060" s="370"/>
    </row>
    <row r="1061" spans="1:14" s="371" customFormat="1" ht="14" outlineLevel="4">
      <c r="A1061" s="372" t="s">
        <v>8</v>
      </c>
      <c r="B1061" s="377" t="s">
        <v>687</v>
      </c>
      <c r="C1061" s="249" t="s">
        <v>139</v>
      </c>
      <c r="D1061" s="205"/>
      <c r="E1061" s="205"/>
      <c r="F1061" s="205"/>
      <c r="G1061" s="7">
        <f t="shared" si="245"/>
        <v>0</v>
      </c>
      <c r="H1061" s="205">
        <f t="shared" si="246"/>
        <v>0</v>
      </c>
      <c r="I1061" s="369"/>
      <c r="J1061" s="213" t="s">
        <v>21</v>
      </c>
      <c r="K1061" s="307" t="s">
        <v>104</v>
      </c>
      <c r="L1061" s="359" t="s">
        <v>94</v>
      </c>
      <c r="M1061" s="214" t="s">
        <v>32</v>
      </c>
      <c r="N1061" s="370"/>
    </row>
    <row r="1062" spans="1:14" s="361" customFormat="1" ht="13" customHeight="1" outlineLevel="4">
      <c r="A1062" s="354">
        <v>3</v>
      </c>
      <c r="B1062" s="363" t="s">
        <v>722</v>
      </c>
      <c r="C1062" s="366"/>
      <c r="D1062" s="284"/>
      <c r="E1062" s="284"/>
      <c r="F1062" s="284"/>
      <c r="G1062" s="284">
        <f>SUBTOTAL(9,G1063:G1070)</f>
        <v>0</v>
      </c>
      <c r="H1062" s="284">
        <f>SUBTOTAL(9,H1063:H1070)</f>
        <v>0</v>
      </c>
      <c r="I1062" s="284"/>
      <c r="J1062" s="213" t="s">
        <v>21</v>
      </c>
      <c r="K1062" s="359"/>
      <c r="L1062" s="359"/>
      <c r="M1062" s="214" t="s">
        <v>32</v>
      </c>
      <c r="N1062" s="360"/>
    </row>
    <row r="1063" spans="1:14" s="371" customFormat="1" ht="14" outlineLevel="5">
      <c r="A1063" s="367" t="s">
        <v>8</v>
      </c>
      <c r="B1063" s="368" t="s">
        <v>723</v>
      </c>
      <c r="C1063" s="249" t="s">
        <v>714</v>
      </c>
      <c r="D1063" s="205"/>
      <c r="E1063" s="205"/>
      <c r="F1063" s="205"/>
      <c r="G1063" s="7">
        <f t="shared" ref="G1063:G1070" si="247">F1063*D1063</f>
        <v>0</v>
      </c>
      <c r="H1063" s="205">
        <f t="shared" ref="H1063:H1070" si="248">F1063*E1063</f>
        <v>0</v>
      </c>
      <c r="I1063" s="369"/>
      <c r="J1063" s="213" t="s">
        <v>21</v>
      </c>
      <c r="K1063" s="307" t="s">
        <v>104</v>
      </c>
      <c r="L1063" s="359" t="s">
        <v>94</v>
      </c>
      <c r="M1063" s="214" t="s">
        <v>32</v>
      </c>
      <c r="N1063" s="370"/>
    </row>
    <row r="1064" spans="1:14" s="371" customFormat="1" ht="14" outlineLevel="5">
      <c r="A1064" s="372" t="s">
        <v>8</v>
      </c>
      <c r="B1064" s="373" t="s">
        <v>720</v>
      </c>
      <c r="C1064" s="249" t="s">
        <v>23</v>
      </c>
      <c r="D1064" s="205"/>
      <c r="E1064" s="205"/>
      <c r="F1064" s="205"/>
      <c r="G1064" s="7">
        <f t="shared" si="247"/>
        <v>0</v>
      </c>
      <c r="H1064" s="205">
        <f t="shared" si="248"/>
        <v>0</v>
      </c>
      <c r="I1064" s="369"/>
      <c r="J1064" s="213" t="s">
        <v>21</v>
      </c>
      <c r="K1064" s="307" t="s">
        <v>104</v>
      </c>
      <c r="L1064" s="359" t="s">
        <v>94</v>
      </c>
      <c r="M1064" s="359" t="s">
        <v>32</v>
      </c>
      <c r="N1064" s="370"/>
    </row>
    <row r="1065" spans="1:14" s="371" customFormat="1" ht="14" outlineLevel="5">
      <c r="A1065" s="372" t="s">
        <v>8</v>
      </c>
      <c r="B1065" s="373" t="s">
        <v>721</v>
      </c>
      <c r="C1065" s="249" t="s">
        <v>23</v>
      </c>
      <c r="D1065" s="205"/>
      <c r="E1065" s="205"/>
      <c r="F1065" s="205"/>
      <c r="G1065" s="7">
        <f t="shared" si="247"/>
        <v>0</v>
      </c>
      <c r="H1065" s="205">
        <f t="shared" si="248"/>
        <v>0</v>
      </c>
      <c r="I1065" s="369"/>
      <c r="J1065" s="213" t="s">
        <v>21</v>
      </c>
      <c r="K1065" s="307" t="s">
        <v>104</v>
      </c>
      <c r="L1065" s="359" t="s">
        <v>94</v>
      </c>
      <c r="M1065" s="359" t="s">
        <v>32</v>
      </c>
      <c r="N1065" s="370"/>
    </row>
    <row r="1066" spans="1:14" s="371" customFormat="1" ht="14" outlineLevel="5">
      <c r="A1066" s="367" t="s">
        <v>8</v>
      </c>
      <c r="B1066" s="368" t="s">
        <v>724</v>
      </c>
      <c r="C1066" s="249" t="s">
        <v>23</v>
      </c>
      <c r="D1066" s="205"/>
      <c r="E1066" s="205"/>
      <c r="F1066" s="205"/>
      <c r="G1066" s="7">
        <f t="shared" si="247"/>
        <v>0</v>
      </c>
      <c r="H1066" s="205">
        <f t="shared" si="248"/>
        <v>0</v>
      </c>
      <c r="I1066" s="369"/>
      <c r="J1066" s="213" t="s">
        <v>21</v>
      </c>
      <c r="K1066" s="307" t="s">
        <v>104</v>
      </c>
      <c r="L1066" s="359" t="s">
        <v>94</v>
      </c>
      <c r="M1066" s="359" t="s">
        <v>32</v>
      </c>
      <c r="N1066" s="370"/>
    </row>
    <row r="1067" spans="1:14" s="371" customFormat="1" ht="14" outlineLevel="5">
      <c r="A1067" s="372" t="s">
        <v>8</v>
      </c>
      <c r="B1067" s="373" t="s">
        <v>691</v>
      </c>
      <c r="C1067" s="249" t="s">
        <v>139</v>
      </c>
      <c r="D1067" s="205"/>
      <c r="E1067" s="205"/>
      <c r="F1067" s="205"/>
      <c r="G1067" s="7">
        <f t="shared" si="247"/>
        <v>0</v>
      </c>
      <c r="H1067" s="205">
        <f t="shared" si="248"/>
        <v>0</v>
      </c>
      <c r="I1067" s="369"/>
      <c r="J1067" s="213" t="s">
        <v>21</v>
      </c>
      <c r="K1067" s="307" t="s">
        <v>104</v>
      </c>
      <c r="L1067" s="359" t="s">
        <v>94</v>
      </c>
      <c r="M1067" s="359" t="s">
        <v>32</v>
      </c>
      <c r="N1067" s="370"/>
    </row>
    <row r="1068" spans="1:14" s="371" customFormat="1" ht="14" outlineLevel="5">
      <c r="A1068" s="372" t="s">
        <v>8</v>
      </c>
      <c r="B1068" s="373" t="s">
        <v>698</v>
      </c>
      <c r="C1068" s="249" t="s">
        <v>139</v>
      </c>
      <c r="D1068" s="205"/>
      <c r="E1068" s="205"/>
      <c r="F1068" s="205"/>
      <c r="G1068" s="7">
        <f t="shared" si="247"/>
        <v>0</v>
      </c>
      <c r="H1068" s="205">
        <f t="shared" si="248"/>
        <v>0</v>
      </c>
      <c r="I1068" s="369"/>
      <c r="J1068" s="213" t="s">
        <v>21</v>
      </c>
      <c r="K1068" s="307" t="s">
        <v>104</v>
      </c>
      <c r="L1068" s="359" t="s">
        <v>94</v>
      </c>
      <c r="M1068" s="359" t="s">
        <v>32</v>
      </c>
      <c r="N1068" s="370"/>
    </row>
    <row r="1069" spans="1:14" s="371" customFormat="1" ht="14" outlineLevel="5">
      <c r="A1069" s="372" t="s">
        <v>8</v>
      </c>
      <c r="B1069" s="373" t="s">
        <v>710</v>
      </c>
      <c r="C1069" s="249" t="s">
        <v>139</v>
      </c>
      <c r="D1069" s="205"/>
      <c r="E1069" s="205"/>
      <c r="F1069" s="205"/>
      <c r="G1069" s="7">
        <f t="shared" si="247"/>
        <v>0</v>
      </c>
      <c r="H1069" s="205">
        <f t="shared" si="248"/>
        <v>0</v>
      </c>
      <c r="I1069" s="369"/>
      <c r="J1069" s="213" t="s">
        <v>21</v>
      </c>
      <c r="K1069" s="307" t="s">
        <v>104</v>
      </c>
      <c r="L1069" s="359" t="s">
        <v>94</v>
      </c>
      <c r="M1069" s="214" t="s">
        <v>32</v>
      </c>
      <c r="N1069" s="370"/>
    </row>
    <row r="1070" spans="1:14" s="371" customFormat="1" ht="14" outlineLevel="5">
      <c r="A1070" s="367" t="s">
        <v>8</v>
      </c>
      <c r="B1070" s="368" t="s">
        <v>687</v>
      </c>
      <c r="C1070" s="249" t="s">
        <v>715</v>
      </c>
      <c r="D1070" s="205"/>
      <c r="E1070" s="205"/>
      <c r="F1070" s="205"/>
      <c r="G1070" s="7">
        <f t="shared" si="247"/>
        <v>0</v>
      </c>
      <c r="H1070" s="205">
        <f t="shared" si="248"/>
        <v>0</v>
      </c>
      <c r="I1070" s="369"/>
      <c r="J1070" s="213" t="s">
        <v>21</v>
      </c>
      <c r="K1070" s="307" t="s">
        <v>104</v>
      </c>
      <c r="L1070" s="359" t="s">
        <v>94</v>
      </c>
      <c r="M1070" s="214" t="s">
        <v>32</v>
      </c>
      <c r="N1070" s="370"/>
    </row>
    <row r="1071" spans="1:14" s="361" customFormat="1" ht="13" customHeight="1" outlineLevel="4">
      <c r="A1071" s="354">
        <v>4</v>
      </c>
      <c r="B1071" s="363" t="s">
        <v>725</v>
      </c>
      <c r="C1071" s="366"/>
      <c r="D1071" s="284"/>
      <c r="E1071" s="284"/>
      <c r="F1071" s="284"/>
      <c r="G1071" s="284">
        <f>SUBTOTAL(9,G1072:G1082)</f>
        <v>0</v>
      </c>
      <c r="H1071" s="284">
        <f>SUBTOTAL(9,H1072:H1082)</f>
        <v>0</v>
      </c>
      <c r="I1071" s="284"/>
      <c r="J1071" s="213" t="s">
        <v>21</v>
      </c>
      <c r="K1071" s="359"/>
      <c r="L1071" s="359"/>
      <c r="M1071" s="214" t="s">
        <v>32</v>
      </c>
      <c r="N1071" s="360"/>
    </row>
    <row r="1072" spans="1:14" s="371" customFormat="1" ht="14" outlineLevel="5">
      <c r="A1072" s="367" t="s">
        <v>8</v>
      </c>
      <c r="B1072" s="368" t="s">
        <v>726</v>
      </c>
      <c r="C1072" s="249" t="s">
        <v>714</v>
      </c>
      <c r="D1072" s="207"/>
      <c r="E1072" s="205"/>
      <c r="F1072" s="205"/>
      <c r="G1072" s="7">
        <f t="shared" ref="G1072:G1082" si="249">F1072*D1072</f>
        <v>0</v>
      </c>
      <c r="H1072" s="205">
        <f t="shared" ref="H1072:H1082" si="250">F1072*E1072</f>
        <v>0</v>
      </c>
      <c r="I1072" s="369"/>
      <c r="J1072" s="213" t="s">
        <v>21</v>
      </c>
      <c r="K1072" s="307" t="s">
        <v>104</v>
      </c>
      <c r="L1072" s="359" t="s">
        <v>94</v>
      </c>
      <c r="M1072" s="214" t="s">
        <v>32</v>
      </c>
      <c r="N1072" s="370"/>
    </row>
    <row r="1073" spans="1:14" s="371" customFormat="1" ht="14" outlineLevel="5">
      <c r="A1073" s="372" t="s">
        <v>8</v>
      </c>
      <c r="B1073" s="373" t="s">
        <v>994</v>
      </c>
      <c r="C1073" s="249" t="s">
        <v>23</v>
      </c>
      <c r="D1073" s="207"/>
      <c r="E1073" s="205"/>
      <c r="F1073" s="205"/>
      <c r="G1073" s="7">
        <f t="shared" si="249"/>
        <v>0</v>
      </c>
      <c r="H1073" s="205">
        <f t="shared" si="250"/>
        <v>0</v>
      </c>
      <c r="I1073" s="369"/>
      <c r="J1073" s="213" t="s">
        <v>21</v>
      </c>
      <c r="K1073" s="307" t="s">
        <v>104</v>
      </c>
      <c r="L1073" s="359" t="s">
        <v>94</v>
      </c>
      <c r="M1073" s="214" t="s">
        <v>32</v>
      </c>
      <c r="N1073" s="370"/>
    </row>
    <row r="1074" spans="1:14" s="371" customFormat="1" ht="14" outlineLevel="5">
      <c r="A1074" s="372" t="s">
        <v>8</v>
      </c>
      <c r="B1074" s="373" t="s">
        <v>720</v>
      </c>
      <c r="C1074" s="249" t="s">
        <v>23</v>
      </c>
      <c r="D1074" s="207"/>
      <c r="E1074" s="205"/>
      <c r="F1074" s="205"/>
      <c r="G1074" s="7">
        <f t="shared" si="249"/>
        <v>0</v>
      </c>
      <c r="H1074" s="205">
        <f t="shared" si="250"/>
        <v>0</v>
      </c>
      <c r="I1074" s="369"/>
      <c r="J1074" s="213" t="s">
        <v>21</v>
      </c>
      <c r="K1074" s="307" t="s">
        <v>104</v>
      </c>
      <c r="L1074" s="359" t="s">
        <v>94</v>
      </c>
      <c r="M1074" s="359" t="s">
        <v>32</v>
      </c>
      <c r="N1074" s="370"/>
    </row>
    <row r="1075" spans="1:14" s="371" customFormat="1" ht="14" outlineLevel="5">
      <c r="A1075" s="367" t="s">
        <v>8</v>
      </c>
      <c r="B1075" s="368" t="s">
        <v>721</v>
      </c>
      <c r="C1075" s="249" t="s">
        <v>23</v>
      </c>
      <c r="D1075" s="207"/>
      <c r="E1075" s="205"/>
      <c r="F1075" s="205"/>
      <c r="G1075" s="7">
        <f t="shared" si="249"/>
        <v>0</v>
      </c>
      <c r="H1075" s="205">
        <f t="shared" si="250"/>
        <v>0</v>
      </c>
      <c r="I1075" s="369"/>
      <c r="J1075" s="213" t="s">
        <v>21</v>
      </c>
      <c r="K1075" s="307" t="s">
        <v>104</v>
      </c>
      <c r="L1075" s="359" t="s">
        <v>94</v>
      </c>
      <c r="M1075" s="359" t="s">
        <v>32</v>
      </c>
      <c r="N1075" s="370"/>
    </row>
    <row r="1076" spans="1:14" s="371" customFormat="1" ht="14" outlineLevel="5">
      <c r="A1076" s="367" t="s">
        <v>8</v>
      </c>
      <c r="B1076" s="368" t="s">
        <v>728</v>
      </c>
      <c r="C1076" s="249" t="s">
        <v>23</v>
      </c>
      <c r="D1076" s="207"/>
      <c r="E1076" s="205"/>
      <c r="F1076" s="205"/>
      <c r="G1076" s="7">
        <f t="shared" si="249"/>
        <v>0</v>
      </c>
      <c r="H1076" s="205">
        <f t="shared" si="250"/>
        <v>0</v>
      </c>
      <c r="I1076" s="369"/>
      <c r="J1076" s="213" t="s">
        <v>21</v>
      </c>
      <c r="K1076" s="307" t="s">
        <v>104</v>
      </c>
      <c r="L1076" s="359" t="s">
        <v>94</v>
      </c>
      <c r="M1076" s="359" t="s">
        <v>32</v>
      </c>
      <c r="N1076" s="370"/>
    </row>
    <row r="1077" spans="1:14" s="371" customFormat="1" ht="14" outlineLevel="5">
      <c r="A1077" s="372" t="s">
        <v>8</v>
      </c>
      <c r="B1077" s="373" t="s">
        <v>995</v>
      </c>
      <c r="C1077" s="249" t="s">
        <v>139</v>
      </c>
      <c r="D1077" s="207"/>
      <c r="E1077" s="205"/>
      <c r="F1077" s="205"/>
      <c r="G1077" s="7">
        <f t="shared" si="249"/>
        <v>0</v>
      </c>
      <c r="H1077" s="205">
        <f t="shared" si="250"/>
        <v>0</v>
      </c>
      <c r="I1077" s="369"/>
      <c r="J1077" s="213" t="s">
        <v>21</v>
      </c>
      <c r="K1077" s="307" t="s">
        <v>104</v>
      </c>
      <c r="L1077" s="359" t="s">
        <v>94</v>
      </c>
      <c r="M1077" s="359" t="s">
        <v>32</v>
      </c>
      <c r="N1077" s="370"/>
    </row>
    <row r="1078" spans="1:14" s="371" customFormat="1" ht="14" outlineLevel="5">
      <c r="A1078" s="372" t="s">
        <v>8</v>
      </c>
      <c r="B1078" s="373" t="s">
        <v>992</v>
      </c>
      <c r="C1078" s="249" t="s">
        <v>139</v>
      </c>
      <c r="D1078" s="207"/>
      <c r="E1078" s="205"/>
      <c r="F1078" s="205"/>
      <c r="G1078" s="7">
        <f t="shared" si="249"/>
        <v>0</v>
      </c>
      <c r="H1078" s="205">
        <f t="shared" si="250"/>
        <v>0</v>
      </c>
      <c r="I1078" s="369"/>
      <c r="J1078" s="213" t="s">
        <v>21</v>
      </c>
      <c r="K1078" s="307" t="s">
        <v>104</v>
      </c>
      <c r="L1078" s="359" t="s">
        <v>94</v>
      </c>
      <c r="M1078" s="359" t="s">
        <v>32</v>
      </c>
      <c r="N1078" s="370"/>
    </row>
    <row r="1079" spans="1:14" s="371" customFormat="1" ht="14" outlineLevel="5">
      <c r="A1079" s="367" t="s">
        <v>8</v>
      </c>
      <c r="B1079" s="368" t="s">
        <v>993</v>
      </c>
      <c r="C1079" s="249" t="s">
        <v>139</v>
      </c>
      <c r="D1079" s="207"/>
      <c r="E1079" s="205"/>
      <c r="F1079" s="205"/>
      <c r="G1079" s="7">
        <f t="shared" si="249"/>
        <v>0</v>
      </c>
      <c r="H1079" s="205">
        <f t="shared" si="250"/>
        <v>0</v>
      </c>
      <c r="I1079" s="369"/>
      <c r="J1079" s="213" t="s">
        <v>21</v>
      </c>
      <c r="K1079" s="307" t="s">
        <v>104</v>
      </c>
      <c r="L1079" s="359" t="s">
        <v>94</v>
      </c>
      <c r="M1079" s="359" t="s">
        <v>32</v>
      </c>
      <c r="N1079" s="370"/>
    </row>
    <row r="1080" spans="1:14" s="371" customFormat="1" ht="14" outlineLevel="5">
      <c r="A1080" s="372" t="s">
        <v>8</v>
      </c>
      <c r="B1080" s="373" t="s">
        <v>341</v>
      </c>
      <c r="C1080" s="249" t="s">
        <v>139</v>
      </c>
      <c r="D1080" s="207"/>
      <c r="E1080" s="205"/>
      <c r="F1080" s="205"/>
      <c r="G1080" s="7">
        <f t="shared" si="249"/>
        <v>0</v>
      </c>
      <c r="H1080" s="205">
        <f t="shared" si="250"/>
        <v>0</v>
      </c>
      <c r="I1080" s="369"/>
      <c r="J1080" s="213" t="s">
        <v>21</v>
      </c>
      <c r="K1080" s="307" t="s">
        <v>104</v>
      </c>
      <c r="L1080" s="359" t="s">
        <v>94</v>
      </c>
      <c r="M1080" s="359" t="s">
        <v>32</v>
      </c>
      <c r="N1080" s="370"/>
    </row>
    <row r="1081" spans="1:14" s="371" customFormat="1" ht="14" outlineLevel="5">
      <c r="A1081" s="372" t="s">
        <v>8</v>
      </c>
      <c r="B1081" s="373" t="s">
        <v>343</v>
      </c>
      <c r="C1081" s="249" t="s">
        <v>715</v>
      </c>
      <c r="D1081" s="207"/>
      <c r="E1081" s="205"/>
      <c r="F1081" s="205"/>
      <c r="G1081" s="7">
        <f t="shared" si="249"/>
        <v>0</v>
      </c>
      <c r="H1081" s="205">
        <f t="shared" si="250"/>
        <v>0</v>
      </c>
      <c r="I1081" s="369"/>
      <c r="J1081" s="213" t="s">
        <v>21</v>
      </c>
      <c r="K1081" s="307" t="s">
        <v>104</v>
      </c>
      <c r="L1081" s="359" t="s">
        <v>94</v>
      </c>
      <c r="M1081" s="214" t="s">
        <v>32</v>
      </c>
      <c r="N1081" s="370"/>
    </row>
    <row r="1082" spans="1:14" s="371" customFormat="1" ht="14" outlineLevel="5">
      <c r="A1082" s="372" t="s">
        <v>8</v>
      </c>
      <c r="B1082" s="373" t="s">
        <v>687</v>
      </c>
      <c r="C1082" s="249" t="s">
        <v>715</v>
      </c>
      <c r="D1082" s="207"/>
      <c r="E1082" s="205"/>
      <c r="F1082" s="205"/>
      <c r="G1082" s="7">
        <f t="shared" si="249"/>
        <v>0</v>
      </c>
      <c r="H1082" s="205">
        <f t="shared" si="250"/>
        <v>0</v>
      </c>
      <c r="I1082" s="369"/>
      <c r="J1082" s="213" t="s">
        <v>21</v>
      </c>
      <c r="K1082" s="307" t="s">
        <v>104</v>
      </c>
      <c r="L1082" s="359" t="s">
        <v>94</v>
      </c>
      <c r="M1082" s="214" t="s">
        <v>32</v>
      </c>
      <c r="N1082" s="370"/>
    </row>
    <row r="1083" spans="1:14" s="361" customFormat="1" ht="13" customHeight="1" outlineLevel="4">
      <c r="A1083" s="354">
        <v>5</v>
      </c>
      <c r="B1083" s="363" t="s">
        <v>730</v>
      </c>
      <c r="C1083" s="366"/>
      <c r="D1083" s="284"/>
      <c r="E1083" s="284"/>
      <c r="F1083" s="284"/>
      <c r="G1083" s="284">
        <f>SUBTOTAL(9,G1084:G1093)</f>
        <v>0</v>
      </c>
      <c r="H1083" s="284">
        <f>SUBTOTAL(9,H1084:H1093)</f>
        <v>0</v>
      </c>
      <c r="I1083" s="284"/>
      <c r="J1083" s="213" t="s">
        <v>21</v>
      </c>
      <c r="K1083" s="359"/>
      <c r="L1083" s="359"/>
      <c r="M1083" s="214" t="s">
        <v>32</v>
      </c>
      <c r="N1083" s="360"/>
    </row>
    <row r="1084" spans="1:14" s="371" customFormat="1" ht="14" outlineLevel="5">
      <c r="A1084" s="367" t="s">
        <v>8</v>
      </c>
      <c r="B1084" s="368" t="s">
        <v>726</v>
      </c>
      <c r="C1084" s="249" t="s">
        <v>714</v>
      </c>
      <c r="D1084" s="205"/>
      <c r="E1084" s="205"/>
      <c r="F1084" s="205"/>
      <c r="G1084" s="7">
        <f t="shared" ref="G1084:G1093" si="251">F1084*D1084</f>
        <v>0</v>
      </c>
      <c r="H1084" s="205">
        <f t="shared" ref="H1084:H1093" si="252">F1084*E1084</f>
        <v>0</v>
      </c>
      <c r="I1084" s="369"/>
      <c r="J1084" s="213" t="s">
        <v>21</v>
      </c>
      <c r="K1084" s="307" t="s">
        <v>104</v>
      </c>
      <c r="L1084" s="359" t="s">
        <v>94</v>
      </c>
      <c r="M1084" s="214" t="s">
        <v>32</v>
      </c>
      <c r="N1084" s="370"/>
    </row>
    <row r="1085" spans="1:14" s="371" customFormat="1" ht="14" outlineLevel="5">
      <c r="A1085" s="367" t="s">
        <v>8</v>
      </c>
      <c r="B1085" s="368" t="s">
        <v>996</v>
      </c>
      <c r="C1085" s="249" t="s">
        <v>23</v>
      </c>
      <c r="D1085" s="205"/>
      <c r="E1085" s="205"/>
      <c r="F1085" s="205"/>
      <c r="G1085" s="7">
        <f t="shared" si="251"/>
        <v>0</v>
      </c>
      <c r="H1085" s="205">
        <f t="shared" si="252"/>
        <v>0</v>
      </c>
      <c r="I1085" s="369"/>
      <c r="J1085" s="213" t="s">
        <v>21</v>
      </c>
      <c r="K1085" s="307" t="s">
        <v>104</v>
      </c>
      <c r="L1085" s="359" t="s">
        <v>94</v>
      </c>
      <c r="M1085" s="214" t="s">
        <v>32</v>
      </c>
      <c r="N1085" s="370"/>
    </row>
    <row r="1086" spans="1:14" s="371" customFormat="1" ht="14" outlineLevel="5">
      <c r="A1086" s="372" t="s">
        <v>8</v>
      </c>
      <c r="B1086" s="373" t="s">
        <v>721</v>
      </c>
      <c r="C1086" s="249" t="s">
        <v>23</v>
      </c>
      <c r="D1086" s="205"/>
      <c r="E1086" s="205"/>
      <c r="F1086" s="205"/>
      <c r="G1086" s="7">
        <f t="shared" si="251"/>
        <v>0</v>
      </c>
      <c r="H1086" s="205">
        <f t="shared" si="252"/>
        <v>0</v>
      </c>
      <c r="I1086" s="369"/>
      <c r="J1086" s="213" t="s">
        <v>21</v>
      </c>
      <c r="K1086" s="307" t="s">
        <v>104</v>
      </c>
      <c r="L1086" s="359" t="s">
        <v>94</v>
      </c>
      <c r="M1086" s="359" t="s">
        <v>32</v>
      </c>
      <c r="N1086" s="370"/>
    </row>
    <row r="1087" spans="1:14" s="371" customFormat="1" ht="14" outlineLevel="5">
      <c r="A1087" s="372" t="s">
        <v>8</v>
      </c>
      <c r="B1087" s="373" t="s">
        <v>728</v>
      </c>
      <c r="C1087" s="249" t="s">
        <v>23</v>
      </c>
      <c r="D1087" s="205"/>
      <c r="E1087" s="205"/>
      <c r="F1087" s="205"/>
      <c r="G1087" s="7">
        <f t="shared" si="251"/>
        <v>0</v>
      </c>
      <c r="H1087" s="205">
        <f t="shared" si="252"/>
        <v>0</v>
      </c>
      <c r="I1087" s="369"/>
      <c r="J1087" s="213" t="s">
        <v>21</v>
      </c>
      <c r="K1087" s="307" t="s">
        <v>104</v>
      </c>
      <c r="L1087" s="359" t="s">
        <v>94</v>
      </c>
      <c r="M1087" s="359" t="s">
        <v>32</v>
      </c>
      <c r="N1087" s="370"/>
    </row>
    <row r="1088" spans="1:14" s="371" customFormat="1" ht="14" outlineLevel="5">
      <c r="A1088" s="367" t="s">
        <v>8</v>
      </c>
      <c r="B1088" s="368" t="s">
        <v>995</v>
      </c>
      <c r="C1088" s="249" t="s">
        <v>23</v>
      </c>
      <c r="D1088" s="205"/>
      <c r="E1088" s="205"/>
      <c r="F1088" s="205"/>
      <c r="G1088" s="7">
        <f t="shared" si="251"/>
        <v>0</v>
      </c>
      <c r="H1088" s="205">
        <f t="shared" si="252"/>
        <v>0</v>
      </c>
      <c r="I1088" s="369"/>
      <c r="J1088" s="213" t="s">
        <v>21</v>
      </c>
      <c r="K1088" s="307" t="s">
        <v>104</v>
      </c>
      <c r="L1088" s="359" t="s">
        <v>94</v>
      </c>
      <c r="M1088" s="359" t="s">
        <v>32</v>
      </c>
      <c r="N1088" s="370"/>
    </row>
    <row r="1089" spans="1:14" s="371" customFormat="1" ht="14" outlineLevel="5">
      <c r="A1089" s="367" t="s">
        <v>8</v>
      </c>
      <c r="B1089" s="368" t="s">
        <v>992</v>
      </c>
      <c r="C1089" s="249" t="s">
        <v>23</v>
      </c>
      <c r="D1089" s="205"/>
      <c r="E1089" s="205"/>
      <c r="F1089" s="205"/>
      <c r="G1089" s="7">
        <f t="shared" si="251"/>
        <v>0</v>
      </c>
      <c r="H1089" s="205">
        <f t="shared" si="252"/>
        <v>0</v>
      </c>
      <c r="I1089" s="369"/>
      <c r="J1089" s="213" t="s">
        <v>21</v>
      </c>
      <c r="K1089" s="307" t="s">
        <v>104</v>
      </c>
      <c r="L1089" s="359" t="s">
        <v>94</v>
      </c>
      <c r="M1089" s="214" t="s">
        <v>32</v>
      </c>
      <c r="N1089" s="370"/>
    </row>
    <row r="1090" spans="1:14" s="371" customFormat="1" ht="14" outlineLevel="5">
      <c r="A1090" s="372" t="s">
        <v>8</v>
      </c>
      <c r="B1090" s="373" t="s">
        <v>993</v>
      </c>
      <c r="C1090" s="249" t="s">
        <v>139</v>
      </c>
      <c r="D1090" s="205"/>
      <c r="E1090" s="205"/>
      <c r="F1090" s="205"/>
      <c r="G1090" s="7">
        <f t="shared" si="251"/>
        <v>0</v>
      </c>
      <c r="H1090" s="205">
        <f t="shared" si="252"/>
        <v>0</v>
      </c>
      <c r="I1090" s="369"/>
      <c r="J1090" s="213" t="s">
        <v>21</v>
      </c>
      <c r="K1090" s="307" t="s">
        <v>104</v>
      </c>
      <c r="L1090" s="359" t="s">
        <v>94</v>
      </c>
      <c r="M1090" s="214" t="s">
        <v>32</v>
      </c>
      <c r="N1090" s="370"/>
    </row>
    <row r="1091" spans="1:14" s="371" customFormat="1" ht="14" outlineLevel="5">
      <c r="A1091" s="372" t="s">
        <v>8</v>
      </c>
      <c r="B1091" s="373" t="s">
        <v>341</v>
      </c>
      <c r="C1091" s="249" t="s">
        <v>139</v>
      </c>
      <c r="D1091" s="205"/>
      <c r="E1091" s="205"/>
      <c r="F1091" s="205"/>
      <c r="G1091" s="7">
        <f t="shared" si="251"/>
        <v>0</v>
      </c>
      <c r="H1091" s="205">
        <f t="shared" si="252"/>
        <v>0</v>
      </c>
      <c r="I1091" s="369"/>
      <c r="J1091" s="213" t="s">
        <v>21</v>
      </c>
      <c r="K1091" s="307" t="s">
        <v>104</v>
      </c>
      <c r="L1091" s="359" t="s">
        <v>94</v>
      </c>
      <c r="M1091" s="214" t="s">
        <v>32</v>
      </c>
      <c r="N1091" s="370"/>
    </row>
    <row r="1092" spans="1:14" s="371" customFormat="1" ht="14" outlineLevel="5">
      <c r="A1092" s="367" t="s">
        <v>8</v>
      </c>
      <c r="B1092" s="368" t="s">
        <v>343</v>
      </c>
      <c r="C1092" s="249" t="s">
        <v>139</v>
      </c>
      <c r="D1092" s="205"/>
      <c r="E1092" s="205"/>
      <c r="F1092" s="205"/>
      <c r="G1092" s="7">
        <f t="shared" si="251"/>
        <v>0</v>
      </c>
      <c r="H1092" s="205">
        <f t="shared" si="252"/>
        <v>0</v>
      </c>
      <c r="I1092" s="369"/>
      <c r="J1092" s="213" t="s">
        <v>21</v>
      </c>
      <c r="K1092" s="307" t="s">
        <v>104</v>
      </c>
      <c r="L1092" s="359" t="s">
        <v>94</v>
      </c>
      <c r="M1092" s="214" t="s">
        <v>32</v>
      </c>
      <c r="N1092" s="370"/>
    </row>
    <row r="1093" spans="1:14" s="371" customFormat="1" ht="14" outlineLevel="5">
      <c r="A1093" s="372" t="s">
        <v>8</v>
      </c>
      <c r="B1093" s="373" t="s">
        <v>687</v>
      </c>
      <c r="C1093" s="249" t="s">
        <v>139</v>
      </c>
      <c r="D1093" s="205"/>
      <c r="E1093" s="205"/>
      <c r="F1093" s="205"/>
      <c r="G1093" s="7">
        <f t="shared" si="251"/>
        <v>0</v>
      </c>
      <c r="H1093" s="205">
        <f t="shared" si="252"/>
        <v>0</v>
      </c>
      <c r="I1093" s="369"/>
      <c r="J1093" s="213" t="s">
        <v>21</v>
      </c>
      <c r="K1093" s="307" t="s">
        <v>104</v>
      </c>
      <c r="L1093" s="359" t="s">
        <v>94</v>
      </c>
      <c r="M1093" s="214" t="s">
        <v>32</v>
      </c>
      <c r="N1093" s="370"/>
    </row>
    <row r="1094" spans="1:14" s="361" customFormat="1" ht="13" customHeight="1" outlineLevel="4">
      <c r="A1094" s="354">
        <v>6</v>
      </c>
      <c r="B1094" s="365" t="s">
        <v>735</v>
      </c>
      <c r="C1094" s="366"/>
      <c r="D1094" s="284"/>
      <c r="E1094" s="284"/>
      <c r="F1094" s="284"/>
      <c r="G1094" s="284">
        <f>SUBTOTAL(9,G1095:G1097)</f>
        <v>108000</v>
      </c>
      <c r="H1094" s="284">
        <f>SUBTOTAL(9,H1095:H1097)</f>
        <v>0</v>
      </c>
      <c r="I1094" s="284"/>
      <c r="J1094" s="213" t="s">
        <v>21</v>
      </c>
      <c r="K1094" s="359"/>
      <c r="L1094" s="359"/>
      <c r="M1094" s="214" t="s">
        <v>32</v>
      </c>
      <c r="N1094" s="360"/>
    </row>
    <row r="1095" spans="1:14" s="371" customFormat="1" ht="14" outlineLevel="5">
      <c r="A1095" s="367" t="s">
        <v>8</v>
      </c>
      <c r="B1095" s="368" t="s">
        <v>1323</v>
      </c>
      <c r="C1095" s="249" t="s">
        <v>24</v>
      </c>
      <c r="D1095" s="205">
        <v>1</v>
      </c>
      <c r="E1095" s="205"/>
      <c r="F1095" s="205">
        <v>25000</v>
      </c>
      <c r="G1095" s="7">
        <f t="shared" ref="G1095:G1097" si="253">F1095*D1095</f>
        <v>25000</v>
      </c>
      <c r="H1095" s="205">
        <f t="shared" ref="H1095:H1097" si="254">F1095*E1095</f>
        <v>0</v>
      </c>
      <c r="I1095" s="369"/>
      <c r="J1095" s="213" t="s">
        <v>21</v>
      </c>
      <c r="K1095" s="307" t="s">
        <v>104</v>
      </c>
      <c r="L1095" s="359" t="s">
        <v>94</v>
      </c>
      <c r="M1095" s="214" t="s">
        <v>32</v>
      </c>
      <c r="N1095" s="370"/>
    </row>
    <row r="1096" spans="1:14" s="371" customFormat="1" ht="14" outlineLevel="5">
      <c r="A1096" s="367" t="s">
        <v>8</v>
      </c>
      <c r="B1096" s="368" t="s">
        <v>1324</v>
      </c>
      <c r="C1096" s="249" t="s">
        <v>24</v>
      </c>
      <c r="D1096" s="205">
        <v>1</v>
      </c>
      <c r="E1096" s="205"/>
      <c r="F1096" s="205">
        <v>76000</v>
      </c>
      <c r="G1096" s="7">
        <f t="shared" si="253"/>
        <v>76000</v>
      </c>
      <c r="H1096" s="205">
        <f t="shared" si="254"/>
        <v>0</v>
      </c>
      <c r="I1096" s="369"/>
      <c r="J1096" s="213" t="s">
        <v>21</v>
      </c>
      <c r="K1096" s="307" t="s">
        <v>104</v>
      </c>
      <c r="L1096" s="359" t="s">
        <v>94</v>
      </c>
      <c r="M1096" s="214" t="s">
        <v>32</v>
      </c>
      <c r="N1096" s="370"/>
    </row>
    <row r="1097" spans="1:14" s="371" customFormat="1" ht="14" outlineLevel="5">
      <c r="A1097" s="372" t="s">
        <v>8</v>
      </c>
      <c r="B1097" s="373" t="s">
        <v>1320</v>
      </c>
      <c r="C1097" s="249" t="s">
        <v>24</v>
      </c>
      <c r="D1097" s="205">
        <v>1</v>
      </c>
      <c r="E1097" s="205"/>
      <c r="F1097" s="205">
        <v>7000</v>
      </c>
      <c r="G1097" s="7">
        <f t="shared" si="253"/>
        <v>7000</v>
      </c>
      <c r="H1097" s="205">
        <f t="shared" si="254"/>
        <v>0</v>
      </c>
      <c r="I1097" s="369"/>
      <c r="J1097" s="213" t="s">
        <v>21</v>
      </c>
      <c r="K1097" s="307" t="s">
        <v>104</v>
      </c>
      <c r="L1097" s="359" t="s">
        <v>94</v>
      </c>
      <c r="M1097" s="359" t="s">
        <v>32</v>
      </c>
      <c r="N1097" s="370"/>
    </row>
    <row r="1098" spans="1:14" s="361" customFormat="1" ht="13" customHeight="1" outlineLevel="4">
      <c r="A1098" s="354">
        <v>7</v>
      </c>
      <c r="B1098" s="365" t="s">
        <v>894</v>
      </c>
      <c r="C1098" s="366"/>
      <c r="D1098" s="284"/>
      <c r="E1098" s="284"/>
      <c r="F1098" s="284"/>
      <c r="G1098" s="284">
        <f>SUBTOTAL(9,G1099:G1145)</f>
        <v>0</v>
      </c>
      <c r="H1098" s="284">
        <f>SUBTOTAL(9,H1099:H1145)</f>
        <v>0</v>
      </c>
      <c r="I1098" s="284"/>
      <c r="J1098" s="213" t="s">
        <v>21</v>
      </c>
      <c r="K1098" s="359"/>
      <c r="L1098" s="359"/>
      <c r="M1098" s="214" t="s">
        <v>32</v>
      </c>
      <c r="N1098" s="360"/>
    </row>
    <row r="1099" spans="1:14" s="371" customFormat="1" ht="14" outlineLevel="5">
      <c r="A1099" s="367" t="s">
        <v>8</v>
      </c>
      <c r="B1099" s="368" t="s">
        <v>895</v>
      </c>
      <c r="C1099" s="249" t="s">
        <v>379</v>
      </c>
      <c r="D1099" s="205"/>
      <c r="E1099" s="205"/>
      <c r="F1099" s="205"/>
      <c r="G1099" s="7">
        <f t="shared" ref="G1099:G1100" si="255">F1099*D1099</f>
        <v>0</v>
      </c>
      <c r="H1099" s="205">
        <f t="shared" ref="H1099:H1100" si="256">F1099*E1099</f>
        <v>0</v>
      </c>
      <c r="I1099" s="369"/>
      <c r="J1099" s="213" t="s">
        <v>21</v>
      </c>
      <c r="K1099" s="307" t="s">
        <v>104</v>
      </c>
      <c r="L1099" s="359" t="s">
        <v>94</v>
      </c>
      <c r="M1099" s="214" t="s">
        <v>32</v>
      </c>
      <c r="N1099" s="370"/>
    </row>
    <row r="1100" spans="1:14" s="371" customFormat="1" ht="14" outlineLevel="5">
      <c r="A1100" s="367" t="s">
        <v>8</v>
      </c>
      <c r="B1100" s="368" t="s">
        <v>576</v>
      </c>
      <c r="C1100" s="249" t="s">
        <v>379</v>
      </c>
      <c r="D1100" s="205"/>
      <c r="E1100" s="205"/>
      <c r="F1100" s="205"/>
      <c r="G1100" s="7">
        <f t="shared" si="255"/>
        <v>0</v>
      </c>
      <c r="H1100" s="205">
        <f t="shared" si="256"/>
        <v>0</v>
      </c>
      <c r="I1100" s="369"/>
      <c r="J1100" s="213" t="s">
        <v>21</v>
      </c>
      <c r="K1100" s="307" t="s">
        <v>288</v>
      </c>
      <c r="L1100" s="359" t="s">
        <v>94</v>
      </c>
      <c r="M1100" s="214" t="s">
        <v>32</v>
      </c>
      <c r="N1100" s="370"/>
    </row>
    <row r="1101" spans="1:14" s="361" customFormat="1" ht="13" customHeight="1" outlineLevel="4">
      <c r="A1101" s="354">
        <v>8</v>
      </c>
      <c r="B1101" s="362" t="s">
        <v>997</v>
      </c>
      <c r="C1101" s="366"/>
      <c r="D1101" s="284"/>
      <c r="E1101" s="284"/>
      <c r="F1101" s="284"/>
      <c r="G1101" s="284">
        <f>SUBTOTAL(9,G1102:G1108)</f>
        <v>0</v>
      </c>
      <c r="H1101" s="284">
        <f>SUBTOTAL(9,H1102:H1108)</f>
        <v>0</v>
      </c>
      <c r="I1101" s="284"/>
      <c r="J1101" s="213" t="s">
        <v>21</v>
      </c>
      <c r="K1101" s="359"/>
      <c r="L1101" s="359"/>
      <c r="M1101" s="214" t="s">
        <v>32</v>
      </c>
      <c r="N1101" s="360"/>
    </row>
    <row r="1102" spans="1:14" s="371" customFormat="1" ht="14" outlineLevel="5">
      <c r="A1102" s="367" t="s">
        <v>8</v>
      </c>
      <c r="B1102" s="368" t="s">
        <v>707</v>
      </c>
      <c r="C1102" s="249" t="s">
        <v>714</v>
      </c>
      <c r="D1102" s="205"/>
      <c r="E1102" s="205"/>
      <c r="F1102" s="205"/>
      <c r="G1102" s="7">
        <f t="shared" ref="G1102:G1108" si="257">F1102*D1102</f>
        <v>0</v>
      </c>
      <c r="H1102" s="205">
        <f t="shared" ref="H1102:H1108" si="258">F1102*E1102</f>
        <v>0</v>
      </c>
      <c r="I1102" s="369"/>
      <c r="J1102" s="213" t="s">
        <v>21</v>
      </c>
      <c r="K1102" s="307" t="s">
        <v>288</v>
      </c>
      <c r="L1102" s="359" t="s">
        <v>94</v>
      </c>
      <c r="M1102" s="214" t="s">
        <v>32</v>
      </c>
      <c r="N1102" s="370"/>
    </row>
    <row r="1103" spans="1:14" s="371" customFormat="1" ht="14" outlineLevel="5">
      <c r="A1103" s="372" t="s">
        <v>8</v>
      </c>
      <c r="B1103" s="373" t="s">
        <v>720</v>
      </c>
      <c r="C1103" s="249" t="s">
        <v>23</v>
      </c>
      <c r="D1103" s="205"/>
      <c r="E1103" s="205"/>
      <c r="F1103" s="205"/>
      <c r="G1103" s="7">
        <f t="shared" si="257"/>
        <v>0</v>
      </c>
      <c r="H1103" s="205">
        <f t="shared" si="258"/>
        <v>0</v>
      </c>
      <c r="I1103" s="369"/>
      <c r="J1103" s="213" t="s">
        <v>21</v>
      </c>
      <c r="K1103" s="307" t="s">
        <v>288</v>
      </c>
      <c r="L1103" s="359" t="s">
        <v>94</v>
      </c>
      <c r="M1103" s="359" t="s">
        <v>32</v>
      </c>
      <c r="N1103" s="370"/>
    </row>
    <row r="1104" spans="1:14" s="371" customFormat="1" ht="14" outlineLevel="5">
      <c r="A1104" s="372" t="s">
        <v>8</v>
      </c>
      <c r="B1104" s="373" t="s">
        <v>697</v>
      </c>
      <c r="C1104" s="249" t="s">
        <v>23</v>
      </c>
      <c r="D1104" s="205"/>
      <c r="E1104" s="205"/>
      <c r="F1104" s="205"/>
      <c r="G1104" s="7">
        <f t="shared" si="257"/>
        <v>0</v>
      </c>
      <c r="H1104" s="205">
        <f t="shared" si="258"/>
        <v>0</v>
      </c>
      <c r="I1104" s="369"/>
      <c r="J1104" s="213" t="s">
        <v>21</v>
      </c>
      <c r="K1104" s="307" t="s">
        <v>288</v>
      </c>
      <c r="L1104" s="359" t="s">
        <v>94</v>
      </c>
      <c r="M1104" s="359" t="s">
        <v>32</v>
      </c>
      <c r="N1104" s="370"/>
    </row>
    <row r="1105" spans="1:16" s="371" customFormat="1" ht="14" outlineLevel="5">
      <c r="A1105" s="367" t="s">
        <v>8</v>
      </c>
      <c r="B1105" s="368" t="s">
        <v>709</v>
      </c>
      <c r="C1105" s="249" t="s">
        <v>23</v>
      </c>
      <c r="D1105" s="205"/>
      <c r="E1105" s="205"/>
      <c r="F1105" s="205"/>
      <c r="G1105" s="7">
        <f t="shared" si="257"/>
        <v>0</v>
      </c>
      <c r="H1105" s="205">
        <f t="shared" si="258"/>
        <v>0</v>
      </c>
      <c r="I1105" s="369"/>
      <c r="J1105" s="213" t="s">
        <v>21</v>
      </c>
      <c r="K1105" s="307" t="s">
        <v>288</v>
      </c>
      <c r="L1105" s="359" t="s">
        <v>94</v>
      </c>
      <c r="M1105" s="359" t="s">
        <v>32</v>
      </c>
      <c r="N1105" s="370"/>
    </row>
    <row r="1106" spans="1:16" s="371" customFormat="1" ht="14" outlineLevel="5">
      <c r="A1106" s="372" t="s">
        <v>8</v>
      </c>
      <c r="B1106" s="373" t="s">
        <v>992</v>
      </c>
      <c r="C1106" s="249" t="s">
        <v>23</v>
      </c>
      <c r="D1106" s="205"/>
      <c r="E1106" s="205"/>
      <c r="F1106" s="205"/>
      <c r="G1106" s="7">
        <f t="shared" si="257"/>
        <v>0</v>
      </c>
      <c r="H1106" s="205">
        <f t="shared" si="258"/>
        <v>0</v>
      </c>
      <c r="I1106" s="369"/>
      <c r="J1106" s="213" t="s">
        <v>21</v>
      </c>
      <c r="K1106" s="307" t="s">
        <v>288</v>
      </c>
      <c r="L1106" s="359" t="s">
        <v>94</v>
      </c>
      <c r="M1106" s="359" t="s">
        <v>32</v>
      </c>
      <c r="N1106" s="370"/>
    </row>
    <row r="1107" spans="1:16" s="371" customFormat="1" ht="14" outlineLevel="5">
      <c r="A1107" s="372" t="s">
        <v>8</v>
      </c>
      <c r="B1107" s="373" t="s">
        <v>993</v>
      </c>
      <c r="C1107" s="249" t="s">
        <v>23</v>
      </c>
      <c r="D1107" s="205"/>
      <c r="E1107" s="205"/>
      <c r="F1107" s="205"/>
      <c r="G1107" s="7">
        <f t="shared" si="257"/>
        <v>0</v>
      </c>
      <c r="H1107" s="205">
        <f t="shared" si="258"/>
        <v>0</v>
      </c>
      <c r="I1107" s="369"/>
      <c r="J1107" s="213" t="s">
        <v>21</v>
      </c>
      <c r="K1107" s="307" t="s">
        <v>288</v>
      </c>
      <c r="L1107" s="359" t="s">
        <v>94</v>
      </c>
      <c r="M1107" s="359" t="s">
        <v>32</v>
      </c>
      <c r="N1107" s="370"/>
    </row>
    <row r="1108" spans="1:16" s="371" customFormat="1" ht="14" outlineLevel="5">
      <c r="A1108" s="372" t="s">
        <v>8</v>
      </c>
      <c r="B1108" s="373" t="s">
        <v>998</v>
      </c>
      <c r="C1108" s="249" t="s">
        <v>23</v>
      </c>
      <c r="D1108" s="205"/>
      <c r="E1108" s="205"/>
      <c r="F1108" s="205"/>
      <c r="G1108" s="7">
        <f t="shared" si="257"/>
        <v>0</v>
      </c>
      <c r="H1108" s="205">
        <f t="shared" si="258"/>
        <v>0</v>
      </c>
      <c r="I1108" s="369"/>
      <c r="J1108" s="213" t="s">
        <v>21</v>
      </c>
      <c r="K1108" s="307" t="s">
        <v>288</v>
      </c>
      <c r="L1108" s="359" t="s">
        <v>94</v>
      </c>
      <c r="M1108" s="359" t="s">
        <v>32</v>
      </c>
      <c r="N1108" s="370"/>
    </row>
    <row r="1109" spans="1:16" s="188" customFormat="1" ht="14" outlineLevel="1">
      <c r="A1109" s="191" t="s">
        <v>296</v>
      </c>
      <c r="B1109" s="276" t="s">
        <v>243</v>
      </c>
      <c r="C1109" s="252"/>
      <c r="D1109" s="242"/>
      <c r="E1109" s="242"/>
      <c r="F1109" s="242"/>
      <c r="G1109" s="242">
        <f>SUBTOTAL(9,G1110:G1228)</f>
        <v>232100</v>
      </c>
      <c r="H1109" s="242">
        <f>SUBTOTAL(9,H1110:H1228)</f>
        <v>232100</v>
      </c>
      <c r="I1109" s="195"/>
      <c r="J1109" s="213" t="s">
        <v>21</v>
      </c>
      <c r="K1109" s="165"/>
      <c r="L1109" s="165"/>
      <c r="M1109" s="186"/>
      <c r="N1109" s="186"/>
      <c r="P1109" s="189"/>
    </row>
    <row r="1110" spans="1:16" s="188" customFormat="1" ht="14" outlineLevel="2">
      <c r="A1110" s="191" t="s">
        <v>4</v>
      </c>
      <c r="B1110" s="192" t="s">
        <v>32</v>
      </c>
      <c r="C1110" s="252"/>
      <c r="D1110" s="242"/>
      <c r="E1110" s="242"/>
      <c r="F1110" s="242"/>
      <c r="G1110" s="242"/>
      <c r="H1110" s="194"/>
      <c r="I1110" s="195"/>
      <c r="J1110" s="213" t="s">
        <v>21</v>
      </c>
      <c r="K1110" s="165"/>
      <c r="L1110" s="165"/>
      <c r="M1110" s="186"/>
      <c r="N1110" s="186"/>
      <c r="P1110" s="189"/>
    </row>
    <row r="1111" spans="1:16" s="361" customFormat="1" ht="14" outlineLevel="5">
      <c r="A1111" s="379">
        <v>1</v>
      </c>
      <c r="B1111" s="378" t="s">
        <v>89</v>
      </c>
      <c r="C1111" s="366"/>
      <c r="D1111" s="284"/>
      <c r="E1111" s="284"/>
      <c r="F1111" s="284"/>
      <c r="G1111" s="284"/>
      <c r="H1111" s="284">
        <f>SUBTOTAL(9,H1112:H1125)</f>
        <v>0</v>
      </c>
      <c r="I1111" s="284"/>
      <c r="J1111" s="213" t="s">
        <v>21</v>
      </c>
      <c r="K1111" s="359"/>
      <c r="L1111" s="359"/>
      <c r="M1111" s="359" t="s">
        <v>32</v>
      </c>
      <c r="N1111" s="360"/>
    </row>
    <row r="1112" spans="1:16" s="371" customFormat="1" ht="14" outlineLevel="5">
      <c r="A1112" s="372" t="s">
        <v>8</v>
      </c>
      <c r="B1112" s="373" t="s">
        <v>707</v>
      </c>
      <c r="C1112" s="249" t="s">
        <v>24</v>
      </c>
      <c r="D1112" s="205"/>
      <c r="E1112" s="205"/>
      <c r="F1112" s="205"/>
      <c r="G1112" s="7">
        <f t="shared" ref="G1112:G1125" si="259">F1112*D1112</f>
        <v>0</v>
      </c>
      <c r="H1112" s="205">
        <f t="shared" ref="H1112:H1125" si="260">F1112*E1112</f>
        <v>0</v>
      </c>
      <c r="I1112" s="369"/>
      <c r="J1112" s="213" t="s">
        <v>21</v>
      </c>
      <c r="K1112" s="359" t="s">
        <v>196</v>
      </c>
      <c r="L1112" s="359" t="s">
        <v>94</v>
      </c>
      <c r="M1112" s="359" t="s">
        <v>32</v>
      </c>
      <c r="N1112" s="370"/>
    </row>
    <row r="1113" spans="1:16" s="371" customFormat="1" ht="14" outlineLevel="5">
      <c r="A1113" s="372" t="s">
        <v>8</v>
      </c>
      <c r="B1113" s="373" t="s">
        <v>695</v>
      </c>
      <c r="C1113" s="249" t="s">
        <v>15</v>
      </c>
      <c r="D1113" s="205"/>
      <c r="E1113" s="205"/>
      <c r="F1113" s="205"/>
      <c r="G1113" s="7">
        <f t="shared" si="259"/>
        <v>0</v>
      </c>
      <c r="H1113" s="205">
        <f t="shared" si="260"/>
        <v>0</v>
      </c>
      <c r="I1113" s="369"/>
      <c r="J1113" s="213" t="s">
        <v>21</v>
      </c>
      <c r="K1113" s="359" t="s">
        <v>196</v>
      </c>
      <c r="L1113" s="359" t="s">
        <v>94</v>
      </c>
      <c r="M1113" s="359" t="s">
        <v>32</v>
      </c>
      <c r="N1113" s="370"/>
    </row>
    <row r="1114" spans="1:16" s="371" customFormat="1" ht="14" outlineLevel="5">
      <c r="A1114" s="372" t="s">
        <v>8</v>
      </c>
      <c r="B1114" s="373" t="s">
        <v>696</v>
      </c>
      <c r="C1114" s="249" t="s">
        <v>15</v>
      </c>
      <c r="D1114" s="205"/>
      <c r="E1114" s="205"/>
      <c r="F1114" s="205"/>
      <c r="G1114" s="7">
        <f t="shared" si="259"/>
        <v>0</v>
      </c>
      <c r="H1114" s="205">
        <f t="shared" si="260"/>
        <v>0</v>
      </c>
      <c r="I1114" s="369"/>
      <c r="J1114" s="213" t="s">
        <v>21</v>
      </c>
      <c r="K1114" s="359" t="s">
        <v>196</v>
      </c>
      <c r="L1114" s="359" t="s">
        <v>94</v>
      </c>
      <c r="M1114" s="359" t="s">
        <v>32</v>
      </c>
      <c r="N1114" s="370"/>
    </row>
    <row r="1115" spans="1:16" s="371" customFormat="1" ht="14" outlineLevel="5">
      <c r="A1115" s="372" t="s">
        <v>8</v>
      </c>
      <c r="B1115" s="373" t="s">
        <v>682</v>
      </c>
      <c r="C1115" s="249" t="s">
        <v>15</v>
      </c>
      <c r="D1115" s="205"/>
      <c r="E1115" s="205"/>
      <c r="F1115" s="205"/>
      <c r="G1115" s="7">
        <f t="shared" si="259"/>
        <v>0</v>
      </c>
      <c r="H1115" s="205">
        <f t="shared" si="260"/>
        <v>0</v>
      </c>
      <c r="I1115" s="369"/>
      <c r="J1115" s="213" t="s">
        <v>21</v>
      </c>
      <c r="K1115" s="359" t="s">
        <v>196</v>
      </c>
      <c r="L1115" s="359" t="s">
        <v>94</v>
      </c>
      <c r="M1115" s="359" t="s">
        <v>32</v>
      </c>
      <c r="N1115" s="370"/>
    </row>
    <row r="1116" spans="1:16" s="371" customFormat="1" ht="14" outlineLevel="5">
      <c r="A1116" s="372" t="s">
        <v>8</v>
      </c>
      <c r="B1116" s="373" t="s">
        <v>683</v>
      </c>
      <c r="C1116" s="249" t="s">
        <v>15</v>
      </c>
      <c r="D1116" s="205"/>
      <c r="E1116" s="205"/>
      <c r="F1116" s="205"/>
      <c r="G1116" s="7">
        <f t="shared" si="259"/>
        <v>0</v>
      </c>
      <c r="H1116" s="205">
        <f t="shared" si="260"/>
        <v>0</v>
      </c>
      <c r="I1116" s="369"/>
      <c r="J1116" s="213" t="s">
        <v>21</v>
      </c>
      <c r="K1116" s="359" t="s">
        <v>196</v>
      </c>
      <c r="L1116" s="359" t="s">
        <v>94</v>
      </c>
      <c r="M1116" s="359" t="s">
        <v>32</v>
      </c>
      <c r="N1116" s="370"/>
    </row>
    <row r="1117" spans="1:16" s="371" customFormat="1" ht="14" outlineLevel="5">
      <c r="A1117" s="372" t="s">
        <v>8</v>
      </c>
      <c r="B1117" s="373" t="s">
        <v>708</v>
      </c>
      <c r="C1117" s="249" t="s">
        <v>15</v>
      </c>
      <c r="D1117" s="205"/>
      <c r="E1117" s="205"/>
      <c r="F1117" s="205"/>
      <c r="G1117" s="7">
        <f t="shared" si="259"/>
        <v>0</v>
      </c>
      <c r="H1117" s="205">
        <f t="shared" si="260"/>
        <v>0</v>
      </c>
      <c r="I1117" s="369"/>
      <c r="J1117" s="213" t="s">
        <v>21</v>
      </c>
      <c r="K1117" s="359" t="s">
        <v>196</v>
      </c>
      <c r="L1117" s="359" t="s">
        <v>94</v>
      </c>
      <c r="M1117" s="359" t="s">
        <v>32</v>
      </c>
      <c r="N1117" s="370"/>
    </row>
    <row r="1118" spans="1:16" s="371" customFormat="1" ht="14" outlineLevel="5">
      <c r="A1118" s="372" t="s">
        <v>8</v>
      </c>
      <c r="B1118" s="373" t="s">
        <v>697</v>
      </c>
      <c r="C1118" s="249" t="s">
        <v>15</v>
      </c>
      <c r="D1118" s="205"/>
      <c r="E1118" s="205"/>
      <c r="F1118" s="205"/>
      <c r="G1118" s="7">
        <f t="shared" si="259"/>
        <v>0</v>
      </c>
      <c r="H1118" s="205">
        <f t="shared" si="260"/>
        <v>0</v>
      </c>
      <c r="I1118" s="369"/>
      <c r="J1118" s="213" t="s">
        <v>21</v>
      </c>
      <c r="K1118" s="359" t="s">
        <v>196</v>
      </c>
      <c r="L1118" s="359" t="s">
        <v>94</v>
      </c>
      <c r="M1118" s="359" t="s">
        <v>32</v>
      </c>
      <c r="N1118" s="370"/>
    </row>
    <row r="1119" spans="1:16" s="371" customFormat="1" ht="14" outlineLevel="5">
      <c r="A1119" s="372" t="s">
        <v>8</v>
      </c>
      <c r="B1119" s="373" t="s">
        <v>709</v>
      </c>
      <c r="C1119" s="249" t="s">
        <v>15</v>
      </c>
      <c r="D1119" s="205"/>
      <c r="E1119" s="205"/>
      <c r="F1119" s="205"/>
      <c r="G1119" s="7">
        <f t="shared" si="259"/>
        <v>0</v>
      </c>
      <c r="H1119" s="205">
        <f t="shared" si="260"/>
        <v>0</v>
      </c>
      <c r="I1119" s="369"/>
      <c r="J1119" s="213" t="s">
        <v>21</v>
      </c>
      <c r="K1119" s="359" t="s">
        <v>196</v>
      </c>
      <c r="L1119" s="359" t="s">
        <v>94</v>
      </c>
      <c r="M1119" s="359" t="s">
        <v>32</v>
      </c>
      <c r="N1119" s="370"/>
    </row>
    <row r="1120" spans="1:16" s="371" customFormat="1" ht="14" outlineLevel="5">
      <c r="A1120" s="372" t="s">
        <v>8</v>
      </c>
      <c r="B1120" s="373" t="s">
        <v>684</v>
      </c>
      <c r="C1120" s="249" t="s">
        <v>15</v>
      </c>
      <c r="D1120" s="205"/>
      <c r="E1120" s="205"/>
      <c r="F1120" s="205"/>
      <c r="G1120" s="7">
        <f t="shared" si="259"/>
        <v>0</v>
      </c>
      <c r="H1120" s="205">
        <f t="shared" si="260"/>
        <v>0</v>
      </c>
      <c r="I1120" s="369"/>
      <c r="J1120" s="213" t="s">
        <v>21</v>
      </c>
      <c r="K1120" s="359" t="s">
        <v>196</v>
      </c>
      <c r="L1120" s="359" t="s">
        <v>94</v>
      </c>
      <c r="M1120" s="359" t="s">
        <v>32</v>
      </c>
      <c r="N1120" s="370"/>
    </row>
    <row r="1121" spans="1:14" s="371" customFormat="1" ht="14" outlineLevel="5">
      <c r="A1121" s="372" t="s">
        <v>8</v>
      </c>
      <c r="B1121" s="373" t="s">
        <v>685</v>
      </c>
      <c r="C1121" s="249" t="s">
        <v>15</v>
      </c>
      <c r="D1121" s="205"/>
      <c r="E1121" s="205"/>
      <c r="F1121" s="205"/>
      <c r="G1121" s="7">
        <f t="shared" si="259"/>
        <v>0</v>
      </c>
      <c r="H1121" s="205">
        <f t="shared" si="260"/>
        <v>0</v>
      </c>
      <c r="I1121" s="369"/>
      <c r="J1121" s="213" t="s">
        <v>21</v>
      </c>
      <c r="K1121" s="359" t="s">
        <v>196</v>
      </c>
      <c r="L1121" s="359" t="s">
        <v>94</v>
      </c>
      <c r="M1121" s="359" t="s">
        <v>32</v>
      </c>
      <c r="N1121" s="370"/>
    </row>
    <row r="1122" spans="1:14" s="371" customFormat="1" ht="14" outlineLevel="5">
      <c r="A1122" s="372" t="s">
        <v>8</v>
      </c>
      <c r="B1122" s="373" t="s">
        <v>686</v>
      </c>
      <c r="C1122" s="249" t="s">
        <v>15</v>
      </c>
      <c r="D1122" s="205"/>
      <c r="E1122" s="205"/>
      <c r="F1122" s="205"/>
      <c r="G1122" s="7">
        <f t="shared" si="259"/>
        <v>0</v>
      </c>
      <c r="H1122" s="205">
        <f t="shared" si="260"/>
        <v>0</v>
      </c>
      <c r="I1122" s="369"/>
      <c r="J1122" s="213" t="s">
        <v>21</v>
      </c>
      <c r="K1122" s="359" t="s">
        <v>196</v>
      </c>
      <c r="L1122" s="359" t="s">
        <v>94</v>
      </c>
      <c r="M1122" s="359" t="s">
        <v>32</v>
      </c>
      <c r="N1122" s="370"/>
    </row>
    <row r="1123" spans="1:14" s="371" customFormat="1" ht="14" outlineLevel="5">
      <c r="A1123" s="372" t="s">
        <v>8</v>
      </c>
      <c r="B1123" s="373" t="s">
        <v>698</v>
      </c>
      <c r="C1123" s="249" t="s">
        <v>15</v>
      </c>
      <c r="D1123" s="205"/>
      <c r="E1123" s="205"/>
      <c r="F1123" s="205"/>
      <c r="G1123" s="7">
        <f t="shared" si="259"/>
        <v>0</v>
      </c>
      <c r="H1123" s="205">
        <f t="shared" si="260"/>
        <v>0</v>
      </c>
      <c r="I1123" s="369"/>
      <c r="J1123" s="213" t="s">
        <v>21</v>
      </c>
      <c r="K1123" s="359" t="s">
        <v>196</v>
      </c>
      <c r="L1123" s="359" t="s">
        <v>94</v>
      </c>
      <c r="M1123" s="359" t="s">
        <v>32</v>
      </c>
      <c r="N1123" s="370"/>
    </row>
    <row r="1124" spans="1:14" s="371" customFormat="1" ht="14" outlineLevel="5">
      <c r="A1124" s="372" t="s">
        <v>8</v>
      </c>
      <c r="B1124" s="373" t="s">
        <v>710</v>
      </c>
      <c r="C1124" s="249" t="s">
        <v>15</v>
      </c>
      <c r="D1124" s="205"/>
      <c r="E1124" s="205"/>
      <c r="F1124" s="205"/>
      <c r="G1124" s="7">
        <f t="shared" si="259"/>
        <v>0</v>
      </c>
      <c r="H1124" s="205">
        <f t="shared" si="260"/>
        <v>0</v>
      </c>
      <c r="I1124" s="369"/>
      <c r="J1124" s="213" t="s">
        <v>21</v>
      </c>
      <c r="K1124" s="359" t="s">
        <v>196</v>
      </c>
      <c r="L1124" s="359" t="s">
        <v>94</v>
      </c>
      <c r="M1124" s="359" t="s">
        <v>32</v>
      </c>
      <c r="N1124" s="370"/>
    </row>
    <row r="1125" spans="1:14" s="371" customFormat="1" ht="14" outlineLevel="5">
      <c r="A1125" s="372" t="s">
        <v>8</v>
      </c>
      <c r="B1125" s="373" t="s">
        <v>687</v>
      </c>
      <c r="C1125" s="249" t="s">
        <v>15</v>
      </c>
      <c r="D1125" s="205"/>
      <c r="E1125" s="205"/>
      <c r="F1125" s="205"/>
      <c r="G1125" s="7">
        <f t="shared" si="259"/>
        <v>0</v>
      </c>
      <c r="H1125" s="205">
        <f t="shared" si="260"/>
        <v>0</v>
      </c>
      <c r="I1125" s="369"/>
      <c r="J1125" s="213" t="s">
        <v>21</v>
      </c>
      <c r="K1125" s="359" t="s">
        <v>196</v>
      </c>
      <c r="L1125" s="359" t="s">
        <v>94</v>
      </c>
      <c r="M1125" s="359" t="s">
        <v>32</v>
      </c>
      <c r="N1125" s="370"/>
    </row>
    <row r="1126" spans="1:14" s="361" customFormat="1" ht="14" outlineLevel="5">
      <c r="A1126" s="354">
        <v>2</v>
      </c>
      <c r="B1126" s="378" t="s">
        <v>230</v>
      </c>
      <c r="C1126" s="366"/>
      <c r="D1126" s="284"/>
      <c r="E1126" s="284"/>
      <c r="F1126" s="284"/>
      <c r="G1126" s="284">
        <f>SUBTOTAL(9,G1127:G1142)</f>
        <v>0</v>
      </c>
      <c r="H1126" s="284">
        <f>SUBTOTAL(9,H1127:H1142)</f>
        <v>0</v>
      </c>
      <c r="I1126" s="284"/>
      <c r="J1126" s="213" t="s">
        <v>21</v>
      </c>
      <c r="K1126" s="359"/>
      <c r="L1126" s="359"/>
      <c r="M1126" s="359" t="s">
        <v>32</v>
      </c>
      <c r="N1126" s="360"/>
    </row>
    <row r="1127" spans="1:14" s="371" customFormat="1" ht="14" outlineLevel="5">
      <c r="A1127" s="372" t="s">
        <v>8</v>
      </c>
      <c r="B1127" s="373" t="s">
        <v>694</v>
      </c>
      <c r="C1127" s="249" t="s">
        <v>24</v>
      </c>
      <c r="D1127" s="205"/>
      <c r="E1127" s="205"/>
      <c r="F1127" s="205"/>
      <c r="G1127" s="7">
        <f t="shared" ref="G1127:G1142" si="261">F1127*D1127</f>
        <v>0</v>
      </c>
      <c r="H1127" s="205">
        <f t="shared" ref="H1127:H1142" si="262">F1127*E1127</f>
        <v>0</v>
      </c>
      <c r="I1127" s="369"/>
      <c r="J1127" s="213" t="s">
        <v>21</v>
      </c>
      <c r="K1127" s="359" t="s">
        <v>196</v>
      </c>
      <c r="L1127" s="359" t="s">
        <v>94</v>
      </c>
      <c r="M1127" s="359" t="s">
        <v>32</v>
      </c>
      <c r="N1127" s="370"/>
    </row>
    <row r="1128" spans="1:14" s="371" customFormat="1" ht="14" outlineLevel="5">
      <c r="A1128" s="372" t="s">
        <v>8</v>
      </c>
      <c r="B1128" s="373" t="s">
        <v>695</v>
      </c>
      <c r="C1128" s="249" t="s">
        <v>15</v>
      </c>
      <c r="D1128" s="205"/>
      <c r="E1128" s="205"/>
      <c r="F1128" s="205"/>
      <c r="G1128" s="7">
        <f t="shared" si="261"/>
        <v>0</v>
      </c>
      <c r="H1128" s="205">
        <f t="shared" si="262"/>
        <v>0</v>
      </c>
      <c r="I1128" s="369"/>
      <c r="J1128" s="213" t="s">
        <v>21</v>
      </c>
      <c r="K1128" s="359" t="s">
        <v>196</v>
      </c>
      <c r="L1128" s="359" t="s">
        <v>94</v>
      </c>
      <c r="M1128" s="359" t="s">
        <v>32</v>
      </c>
      <c r="N1128" s="370"/>
    </row>
    <row r="1129" spans="1:14" s="371" customFormat="1" ht="14" outlineLevel="5">
      <c r="A1129" s="372" t="s">
        <v>8</v>
      </c>
      <c r="B1129" s="373" t="s">
        <v>696</v>
      </c>
      <c r="C1129" s="249" t="s">
        <v>15</v>
      </c>
      <c r="D1129" s="205"/>
      <c r="E1129" s="205"/>
      <c r="F1129" s="205"/>
      <c r="G1129" s="7">
        <f t="shared" si="261"/>
        <v>0</v>
      </c>
      <c r="H1129" s="205">
        <f t="shared" si="262"/>
        <v>0</v>
      </c>
      <c r="I1129" s="369"/>
      <c r="J1129" s="213" t="s">
        <v>21</v>
      </c>
      <c r="K1129" s="359" t="s">
        <v>196</v>
      </c>
      <c r="L1129" s="359" t="s">
        <v>94</v>
      </c>
      <c r="M1129" s="359" t="s">
        <v>32</v>
      </c>
      <c r="N1129" s="370"/>
    </row>
    <row r="1130" spans="1:14" s="371" customFormat="1" ht="14" outlineLevel="5">
      <c r="A1130" s="372" t="s">
        <v>8</v>
      </c>
      <c r="B1130" s="373" t="s">
        <v>682</v>
      </c>
      <c r="C1130" s="249" t="s">
        <v>15</v>
      </c>
      <c r="D1130" s="205"/>
      <c r="E1130" s="205"/>
      <c r="F1130" s="205"/>
      <c r="G1130" s="7">
        <f t="shared" si="261"/>
        <v>0</v>
      </c>
      <c r="H1130" s="205">
        <f t="shared" si="262"/>
        <v>0</v>
      </c>
      <c r="I1130" s="369"/>
      <c r="J1130" s="213" t="s">
        <v>21</v>
      </c>
      <c r="K1130" s="359" t="s">
        <v>196</v>
      </c>
      <c r="L1130" s="359" t="s">
        <v>94</v>
      </c>
      <c r="M1130" s="359" t="s">
        <v>32</v>
      </c>
      <c r="N1130" s="370"/>
    </row>
    <row r="1131" spans="1:14" s="371" customFormat="1" ht="14" outlineLevel="5">
      <c r="A1131" s="372" t="s">
        <v>8</v>
      </c>
      <c r="B1131" s="373" t="s">
        <v>683</v>
      </c>
      <c r="C1131" s="249" t="s">
        <v>24</v>
      </c>
      <c r="D1131" s="205"/>
      <c r="E1131" s="205"/>
      <c r="F1131" s="205"/>
      <c r="G1131" s="7">
        <f t="shared" si="261"/>
        <v>0</v>
      </c>
      <c r="H1131" s="205">
        <f t="shared" si="262"/>
        <v>0</v>
      </c>
      <c r="I1131" s="369"/>
      <c r="J1131" s="213" t="s">
        <v>21</v>
      </c>
      <c r="K1131" s="359" t="s">
        <v>196</v>
      </c>
      <c r="L1131" s="359" t="s">
        <v>94</v>
      </c>
      <c r="M1131" s="359" t="s">
        <v>32</v>
      </c>
      <c r="N1131" s="370"/>
    </row>
    <row r="1132" spans="1:14" s="371" customFormat="1" ht="14" outlineLevel="5">
      <c r="A1132" s="372" t="s">
        <v>8</v>
      </c>
      <c r="B1132" s="373" t="s">
        <v>697</v>
      </c>
      <c r="C1132" s="249" t="s">
        <v>15</v>
      </c>
      <c r="D1132" s="205"/>
      <c r="E1132" s="205"/>
      <c r="F1132" s="205"/>
      <c r="G1132" s="7">
        <f t="shared" si="261"/>
        <v>0</v>
      </c>
      <c r="H1132" s="205">
        <f t="shared" si="262"/>
        <v>0</v>
      </c>
      <c r="I1132" s="369"/>
      <c r="J1132" s="213" t="s">
        <v>21</v>
      </c>
      <c r="K1132" s="359" t="s">
        <v>196</v>
      </c>
      <c r="L1132" s="359" t="s">
        <v>94</v>
      </c>
      <c r="M1132" s="359" t="s">
        <v>32</v>
      </c>
      <c r="N1132" s="370"/>
    </row>
    <row r="1133" spans="1:14" s="371" customFormat="1" ht="14" outlineLevel="5">
      <c r="A1133" s="372" t="s">
        <v>8</v>
      </c>
      <c r="B1133" s="373" t="s">
        <v>679</v>
      </c>
      <c r="C1133" s="249" t="s">
        <v>15</v>
      </c>
      <c r="D1133" s="205"/>
      <c r="E1133" s="205"/>
      <c r="F1133" s="205"/>
      <c r="G1133" s="7">
        <f t="shared" si="261"/>
        <v>0</v>
      </c>
      <c r="H1133" s="205">
        <f t="shared" si="262"/>
        <v>0</v>
      </c>
      <c r="I1133" s="369"/>
      <c r="J1133" s="213" t="s">
        <v>21</v>
      </c>
      <c r="K1133" s="359" t="s">
        <v>196</v>
      </c>
      <c r="L1133" s="359" t="s">
        <v>94</v>
      </c>
      <c r="M1133" s="359" t="s">
        <v>32</v>
      </c>
      <c r="N1133" s="370"/>
    </row>
    <row r="1134" spans="1:14" s="371" customFormat="1" ht="14" outlineLevel="5">
      <c r="A1134" s="372" t="s">
        <v>8</v>
      </c>
      <c r="B1134" s="373" t="s">
        <v>680</v>
      </c>
      <c r="C1134" s="249" t="s">
        <v>15</v>
      </c>
      <c r="D1134" s="205"/>
      <c r="E1134" s="205"/>
      <c r="F1134" s="205"/>
      <c r="G1134" s="7">
        <f t="shared" si="261"/>
        <v>0</v>
      </c>
      <c r="H1134" s="205">
        <f t="shared" si="262"/>
        <v>0</v>
      </c>
      <c r="I1134" s="369"/>
      <c r="J1134" s="213" t="s">
        <v>21</v>
      </c>
      <c r="K1134" s="359" t="s">
        <v>196</v>
      </c>
      <c r="L1134" s="359" t="s">
        <v>94</v>
      </c>
      <c r="M1134" s="359" t="s">
        <v>32</v>
      </c>
      <c r="N1134" s="370"/>
    </row>
    <row r="1135" spans="1:14" s="371" customFormat="1" ht="14" outlineLevel="5">
      <c r="A1135" s="372" t="s">
        <v>8</v>
      </c>
      <c r="B1135" s="373" t="s">
        <v>681</v>
      </c>
      <c r="C1135" s="249" t="s">
        <v>24</v>
      </c>
      <c r="D1135" s="205"/>
      <c r="E1135" s="205"/>
      <c r="F1135" s="205"/>
      <c r="G1135" s="7">
        <f t="shared" si="261"/>
        <v>0</v>
      </c>
      <c r="H1135" s="205">
        <f t="shared" si="262"/>
        <v>0</v>
      </c>
      <c r="I1135" s="369"/>
      <c r="J1135" s="213" t="s">
        <v>21</v>
      </c>
      <c r="K1135" s="359" t="s">
        <v>196</v>
      </c>
      <c r="L1135" s="359" t="s">
        <v>94</v>
      </c>
      <c r="M1135" s="359" t="s">
        <v>32</v>
      </c>
      <c r="N1135" s="370"/>
    </row>
    <row r="1136" spans="1:14" s="371" customFormat="1" ht="14" outlineLevel="5">
      <c r="A1136" s="372" t="s">
        <v>8</v>
      </c>
      <c r="B1136" s="373" t="s">
        <v>684</v>
      </c>
      <c r="C1136" s="249" t="s">
        <v>15</v>
      </c>
      <c r="D1136" s="205"/>
      <c r="E1136" s="205"/>
      <c r="F1136" s="205"/>
      <c r="G1136" s="7">
        <f t="shared" si="261"/>
        <v>0</v>
      </c>
      <c r="H1136" s="205">
        <f t="shared" si="262"/>
        <v>0</v>
      </c>
      <c r="I1136" s="369"/>
      <c r="J1136" s="213" t="s">
        <v>21</v>
      </c>
      <c r="K1136" s="359" t="s">
        <v>196</v>
      </c>
      <c r="L1136" s="359" t="s">
        <v>94</v>
      </c>
      <c r="M1136" s="359" t="s">
        <v>32</v>
      </c>
      <c r="N1136" s="370"/>
    </row>
    <row r="1137" spans="1:17" s="371" customFormat="1" ht="14" outlineLevel="5">
      <c r="A1137" s="372" t="s">
        <v>8</v>
      </c>
      <c r="B1137" s="373" t="s">
        <v>685</v>
      </c>
      <c r="C1137" s="249" t="s">
        <v>15</v>
      </c>
      <c r="D1137" s="205"/>
      <c r="E1137" s="205"/>
      <c r="F1137" s="205"/>
      <c r="G1137" s="7">
        <f t="shared" si="261"/>
        <v>0</v>
      </c>
      <c r="H1137" s="205">
        <f t="shared" si="262"/>
        <v>0</v>
      </c>
      <c r="I1137" s="369"/>
      <c r="J1137" s="213" t="s">
        <v>21</v>
      </c>
      <c r="K1137" s="359" t="s">
        <v>196</v>
      </c>
      <c r="L1137" s="359" t="s">
        <v>94</v>
      </c>
      <c r="M1137" s="359" t="s">
        <v>32</v>
      </c>
      <c r="N1137" s="370"/>
    </row>
    <row r="1138" spans="1:17" s="371" customFormat="1" ht="14" outlineLevel="5">
      <c r="A1138" s="372" t="s">
        <v>8</v>
      </c>
      <c r="B1138" s="373" t="s">
        <v>686</v>
      </c>
      <c r="C1138" s="249" t="s">
        <v>15</v>
      </c>
      <c r="D1138" s="205"/>
      <c r="E1138" s="205"/>
      <c r="F1138" s="205"/>
      <c r="G1138" s="7">
        <f t="shared" si="261"/>
        <v>0</v>
      </c>
      <c r="H1138" s="205">
        <f t="shared" si="262"/>
        <v>0</v>
      </c>
      <c r="I1138" s="369"/>
      <c r="J1138" s="213" t="s">
        <v>21</v>
      </c>
      <c r="K1138" s="359" t="s">
        <v>196</v>
      </c>
      <c r="L1138" s="359" t="s">
        <v>94</v>
      </c>
      <c r="M1138" s="359" t="s">
        <v>32</v>
      </c>
      <c r="N1138" s="370"/>
    </row>
    <row r="1139" spans="1:17" s="371" customFormat="1" ht="14" outlineLevel="5">
      <c r="A1139" s="372" t="s">
        <v>8</v>
      </c>
      <c r="B1139" s="373" t="s">
        <v>698</v>
      </c>
      <c r="C1139" s="249" t="s">
        <v>24</v>
      </c>
      <c r="D1139" s="205"/>
      <c r="E1139" s="205"/>
      <c r="F1139" s="205"/>
      <c r="G1139" s="7">
        <f t="shared" si="261"/>
        <v>0</v>
      </c>
      <c r="H1139" s="205">
        <f t="shared" si="262"/>
        <v>0</v>
      </c>
      <c r="I1139" s="369"/>
      <c r="J1139" s="213" t="s">
        <v>21</v>
      </c>
      <c r="K1139" s="359" t="s">
        <v>196</v>
      </c>
      <c r="L1139" s="359" t="s">
        <v>94</v>
      </c>
      <c r="M1139" s="359" t="s">
        <v>32</v>
      </c>
      <c r="N1139" s="370"/>
    </row>
    <row r="1140" spans="1:17" s="371" customFormat="1" ht="14" outlineLevel="5">
      <c r="A1140" s="372" t="s">
        <v>8</v>
      </c>
      <c r="B1140" s="373" t="s">
        <v>699</v>
      </c>
      <c r="C1140" s="249" t="s">
        <v>15</v>
      </c>
      <c r="D1140" s="205"/>
      <c r="E1140" s="205"/>
      <c r="F1140" s="205"/>
      <c r="G1140" s="7">
        <f t="shared" si="261"/>
        <v>0</v>
      </c>
      <c r="H1140" s="205">
        <f t="shared" si="262"/>
        <v>0</v>
      </c>
      <c r="I1140" s="369"/>
      <c r="J1140" s="213" t="s">
        <v>21</v>
      </c>
      <c r="K1140" s="359" t="s">
        <v>196</v>
      </c>
      <c r="L1140" s="359" t="s">
        <v>94</v>
      </c>
      <c r="M1140" s="359" t="s">
        <v>32</v>
      </c>
      <c r="N1140" s="370"/>
    </row>
    <row r="1141" spans="1:17" s="371" customFormat="1" ht="14" outlineLevel="5">
      <c r="A1141" s="372" t="s">
        <v>8</v>
      </c>
      <c r="B1141" s="373" t="s">
        <v>700</v>
      </c>
      <c r="C1141" s="249" t="s">
        <v>15</v>
      </c>
      <c r="D1141" s="205"/>
      <c r="E1141" s="205"/>
      <c r="F1141" s="205"/>
      <c r="G1141" s="7">
        <f t="shared" si="261"/>
        <v>0</v>
      </c>
      <c r="H1141" s="205">
        <f t="shared" si="262"/>
        <v>0</v>
      </c>
      <c r="I1141" s="369"/>
      <c r="J1141" s="213" t="s">
        <v>21</v>
      </c>
      <c r="K1141" s="359" t="s">
        <v>196</v>
      </c>
      <c r="L1141" s="359" t="s">
        <v>94</v>
      </c>
      <c r="M1141" s="359" t="s">
        <v>32</v>
      </c>
      <c r="N1141" s="370"/>
    </row>
    <row r="1142" spans="1:17" s="371" customFormat="1" ht="14" outlineLevel="5">
      <c r="A1142" s="372" t="s">
        <v>8</v>
      </c>
      <c r="B1142" s="373" t="s">
        <v>687</v>
      </c>
      <c r="C1142" s="249" t="s">
        <v>15</v>
      </c>
      <c r="D1142" s="205"/>
      <c r="E1142" s="205"/>
      <c r="F1142" s="205"/>
      <c r="G1142" s="7">
        <f t="shared" si="261"/>
        <v>0</v>
      </c>
      <c r="H1142" s="205">
        <f t="shared" si="262"/>
        <v>0</v>
      </c>
      <c r="I1142" s="369"/>
      <c r="J1142" s="213" t="s">
        <v>21</v>
      </c>
      <c r="K1142" s="359" t="s">
        <v>196</v>
      </c>
      <c r="L1142" s="359" t="s">
        <v>94</v>
      </c>
      <c r="M1142" s="359" t="s">
        <v>32</v>
      </c>
      <c r="N1142" s="370"/>
    </row>
    <row r="1143" spans="1:17" s="188" customFormat="1" ht="14" outlineLevel="1">
      <c r="A1143" s="191" t="s">
        <v>12</v>
      </c>
      <c r="B1143" s="153" t="s">
        <v>279</v>
      </c>
      <c r="C1143" s="252"/>
      <c r="D1143" s="242"/>
      <c r="E1143" s="242"/>
      <c r="F1143" s="242"/>
      <c r="G1143" s="242"/>
      <c r="H1143" s="194"/>
      <c r="I1143" s="242"/>
      <c r="J1143" s="213" t="s">
        <v>21</v>
      </c>
      <c r="K1143" s="165"/>
      <c r="L1143" s="165"/>
      <c r="M1143" s="186"/>
      <c r="N1143" s="186"/>
      <c r="P1143" s="189"/>
      <c r="Q1143" s="251" t="s">
        <v>138</v>
      </c>
    </row>
    <row r="1144" spans="1:17" s="175" customFormat="1" ht="14" outlineLevel="4">
      <c r="A1144" s="195"/>
      <c r="B1144" s="218" t="s">
        <v>275</v>
      </c>
      <c r="C1144" s="201" t="s">
        <v>280</v>
      </c>
      <c r="D1144" s="201"/>
      <c r="E1144" s="201"/>
      <c r="F1144" s="201"/>
      <c r="G1144" s="7">
        <f t="shared" ref="G1144:G1147" si="263">F1144*D1144</f>
        <v>0</v>
      </c>
      <c r="H1144" s="201">
        <f t="shared" ref="H1144:H1147" si="264">F1144*E1144</f>
        <v>0</v>
      </c>
      <c r="I1144" s="202"/>
      <c r="J1144" s="213" t="s">
        <v>21</v>
      </c>
      <c r="K1144" s="165" t="s">
        <v>174</v>
      </c>
      <c r="L1144" s="165"/>
      <c r="M1144" s="165" t="s">
        <v>138</v>
      </c>
      <c r="N1144" s="279"/>
      <c r="P1144" s="174"/>
      <c r="Q1144" s="251" t="s">
        <v>138</v>
      </c>
    </row>
    <row r="1145" spans="1:17" s="175" customFormat="1" ht="14" outlineLevel="4">
      <c r="A1145" s="195" t="s">
        <v>8</v>
      </c>
      <c r="B1145" s="218" t="s">
        <v>276</v>
      </c>
      <c r="C1145" s="201" t="s">
        <v>280</v>
      </c>
      <c r="D1145" s="201"/>
      <c r="E1145" s="201"/>
      <c r="F1145" s="201"/>
      <c r="G1145" s="7">
        <f t="shared" si="263"/>
        <v>0</v>
      </c>
      <c r="H1145" s="201">
        <f t="shared" si="264"/>
        <v>0</v>
      </c>
      <c r="I1145" s="202"/>
      <c r="J1145" s="213" t="s">
        <v>21</v>
      </c>
      <c r="K1145" s="165" t="s">
        <v>174</v>
      </c>
      <c r="L1145" s="165"/>
      <c r="M1145" s="165" t="s">
        <v>138</v>
      </c>
      <c r="N1145" s="279"/>
      <c r="P1145" s="174"/>
      <c r="Q1145" s="251" t="s">
        <v>138</v>
      </c>
    </row>
    <row r="1146" spans="1:17" s="175" customFormat="1" ht="14" outlineLevel="4">
      <c r="A1146" s="195" t="s">
        <v>8</v>
      </c>
      <c r="B1146" s="218" t="s">
        <v>277</v>
      </c>
      <c r="C1146" s="201" t="s">
        <v>280</v>
      </c>
      <c r="D1146" s="201"/>
      <c r="E1146" s="201"/>
      <c r="F1146" s="201"/>
      <c r="G1146" s="7">
        <f t="shared" si="263"/>
        <v>0</v>
      </c>
      <c r="H1146" s="201">
        <f t="shared" si="264"/>
        <v>0</v>
      </c>
      <c r="I1146" s="202"/>
      <c r="J1146" s="213" t="s">
        <v>21</v>
      </c>
      <c r="K1146" s="165" t="s">
        <v>174</v>
      </c>
      <c r="L1146" s="165"/>
      <c r="M1146" s="165" t="s">
        <v>138</v>
      </c>
      <c r="N1146" s="279"/>
      <c r="P1146" s="174"/>
      <c r="Q1146" s="251" t="s">
        <v>138</v>
      </c>
    </row>
    <row r="1147" spans="1:17" s="175" customFormat="1" ht="14" outlineLevel="4">
      <c r="A1147" s="203" t="s">
        <v>8</v>
      </c>
      <c r="B1147" s="218" t="s">
        <v>278</v>
      </c>
      <c r="C1147" s="201" t="s">
        <v>182</v>
      </c>
      <c r="D1147" s="201"/>
      <c r="E1147" s="201"/>
      <c r="F1147" s="201"/>
      <c r="G1147" s="7">
        <f t="shared" si="263"/>
        <v>0</v>
      </c>
      <c r="H1147" s="201">
        <f t="shared" si="264"/>
        <v>0</v>
      </c>
      <c r="I1147" s="202"/>
      <c r="J1147" s="213" t="s">
        <v>21</v>
      </c>
      <c r="K1147" s="165" t="s">
        <v>174</v>
      </c>
      <c r="L1147" s="165"/>
      <c r="M1147" s="165" t="s">
        <v>138</v>
      </c>
      <c r="N1147" s="279"/>
      <c r="P1147" s="174"/>
      <c r="Q1147" s="251" t="s">
        <v>138</v>
      </c>
    </row>
    <row r="1148" spans="1:17" s="188" customFormat="1" ht="14" outlineLevel="1">
      <c r="A1148" s="191" t="s">
        <v>19</v>
      </c>
      <c r="B1148" s="153" t="s">
        <v>281</v>
      </c>
      <c r="C1148" s="252"/>
      <c r="D1148" s="242"/>
      <c r="E1148" s="242"/>
      <c r="F1148" s="242"/>
      <c r="G1148" s="242"/>
      <c r="H1148" s="194"/>
      <c r="I1148" s="242"/>
      <c r="J1148" s="213" t="s">
        <v>21</v>
      </c>
      <c r="K1148" s="165"/>
      <c r="L1148" s="165"/>
      <c r="M1148" s="186"/>
      <c r="N1148" s="186"/>
      <c r="P1148" s="189"/>
      <c r="Q1148" s="251" t="s">
        <v>138</v>
      </c>
    </row>
    <row r="1149" spans="1:17" s="175" customFormat="1" ht="14" outlineLevel="4">
      <c r="A1149" s="195"/>
      <c r="B1149" s="274" t="s">
        <v>282</v>
      </c>
      <c r="C1149" s="200" t="s">
        <v>9</v>
      </c>
      <c r="D1149" s="201"/>
      <c r="E1149" s="201"/>
      <c r="F1149" s="201"/>
      <c r="G1149" s="7">
        <f t="shared" ref="G1149:G1150" si="265">F1149*D1149</f>
        <v>0</v>
      </c>
      <c r="H1149" s="201">
        <f t="shared" ref="H1149:H1150" si="266">F1149*E1149</f>
        <v>0</v>
      </c>
      <c r="I1149" s="202"/>
      <c r="J1149" s="213" t="s">
        <v>21</v>
      </c>
      <c r="K1149" s="165" t="s">
        <v>174</v>
      </c>
      <c r="L1149" s="165"/>
      <c r="M1149" s="165" t="s">
        <v>138</v>
      </c>
      <c r="N1149" s="279"/>
      <c r="P1149" s="174"/>
      <c r="Q1149" s="251" t="s">
        <v>138</v>
      </c>
    </row>
    <row r="1150" spans="1:17" s="175" customFormat="1" ht="28" outlineLevel="4">
      <c r="A1150" s="195"/>
      <c r="B1150" s="272" t="s">
        <v>283</v>
      </c>
      <c r="C1150" s="200" t="s">
        <v>9</v>
      </c>
      <c r="D1150" s="201"/>
      <c r="E1150" s="201"/>
      <c r="F1150" s="201"/>
      <c r="G1150" s="7">
        <f t="shared" si="265"/>
        <v>0</v>
      </c>
      <c r="H1150" s="201">
        <f t="shared" si="266"/>
        <v>0</v>
      </c>
      <c r="I1150" s="202"/>
      <c r="J1150" s="213" t="s">
        <v>21</v>
      </c>
      <c r="K1150" s="165" t="s">
        <v>174</v>
      </c>
      <c r="L1150" s="165"/>
      <c r="M1150" s="165" t="s">
        <v>138</v>
      </c>
      <c r="N1150" s="279"/>
      <c r="P1150" s="174"/>
      <c r="Q1150" s="251" t="s">
        <v>138</v>
      </c>
    </row>
    <row r="1151" spans="1:17" s="188" customFormat="1" ht="14" outlineLevel="1">
      <c r="A1151" s="191" t="s">
        <v>19</v>
      </c>
      <c r="B1151" s="153" t="s">
        <v>244</v>
      </c>
      <c r="C1151" s="252"/>
      <c r="D1151" s="242"/>
      <c r="E1151" s="242"/>
      <c r="F1151" s="242"/>
      <c r="G1151" s="242">
        <f>SUBTOTAL(9,G1152:G1228)</f>
        <v>232100</v>
      </c>
      <c r="H1151" s="242">
        <f>SUBTOTAL(9,H1152:H1228)</f>
        <v>232100</v>
      </c>
      <c r="I1151" s="195"/>
      <c r="J1151" s="213" t="s">
        <v>21</v>
      </c>
      <c r="K1151" s="165"/>
      <c r="L1151" s="165"/>
      <c r="M1151" s="186"/>
      <c r="N1151" s="186"/>
      <c r="P1151" s="189"/>
      <c r="Q1151" s="251" t="s">
        <v>138</v>
      </c>
    </row>
    <row r="1152" spans="1:17" s="219" customFormat="1" ht="14" outlineLevel="4">
      <c r="A1152" s="239">
        <v>1</v>
      </c>
      <c r="B1152" s="153" t="s">
        <v>640</v>
      </c>
      <c r="C1152" s="200"/>
      <c r="D1152" s="201"/>
      <c r="E1152" s="201"/>
      <c r="F1152" s="201"/>
      <c r="G1152" s="194">
        <f>SUBTOTAL(9,G1153:G1155)</f>
        <v>0</v>
      </c>
      <c r="H1152" s="194">
        <f>SUBTOTAL(9,H1153:H1155)</f>
        <v>0</v>
      </c>
      <c r="I1152" s="202"/>
      <c r="J1152" s="213" t="s">
        <v>21</v>
      </c>
      <c r="K1152" s="277"/>
      <c r="L1152" s="214"/>
      <c r="M1152" s="214"/>
      <c r="N1152" s="214"/>
      <c r="P1152" s="220"/>
    </row>
    <row r="1153" spans="1:16" s="219" customFormat="1" ht="14" outlineLevel="4">
      <c r="A1153" s="203"/>
      <c r="B1153" s="280" t="s">
        <v>983</v>
      </c>
      <c r="C1153" s="200" t="s">
        <v>641</v>
      </c>
      <c r="D1153" s="201"/>
      <c r="E1153" s="201"/>
      <c r="F1153" s="201"/>
      <c r="G1153" s="7">
        <f t="shared" ref="G1153:G1155" si="267">F1153*D1153</f>
        <v>0</v>
      </c>
      <c r="H1153" s="201">
        <f t="shared" ref="H1153" si="268">F1153*E1153</f>
        <v>0</v>
      </c>
      <c r="I1153" s="202"/>
      <c r="J1153" s="213" t="s">
        <v>21</v>
      </c>
      <c r="K1153" s="277" t="s">
        <v>196</v>
      </c>
      <c r="L1153" s="214"/>
      <c r="M1153" s="214" t="s">
        <v>138</v>
      </c>
      <c r="N1153" s="236"/>
      <c r="P1153" s="220"/>
    </row>
    <row r="1154" spans="1:16" s="219" customFormat="1" ht="14" outlineLevel="4">
      <c r="A1154" s="203"/>
      <c r="B1154" s="280" t="s">
        <v>984</v>
      </c>
      <c r="C1154" s="200" t="s">
        <v>582</v>
      </c>
      <c r="D1154" s="201"/>
      <c r="E1154" s="201"/>
      <c r="F1154" s="201"/>
      <c r="G1154" s="7">
        <f t="shared" si="267"/>
        <v>0</v>
      </c>
      <c r="H1154" s="201">
        <f t="shared" ref="H1154:H1155" si="269">F1154*E1154</f>
        <v>0</v>
      </c>
      <c r="I1154" s="202"/>
      <c r="J1154" s="213" t="s">
        <v>21</v>
      </c>
      <c r="K1154" s="277" t="s">
        <v>196</v>
      </c>
      <c r="L1154" s="214"/>
      <c r="M1154" s="214" t="s">
        <v>138</v>
      </c>
      <c r="N1154" s="236"/>
      <c r="P1154" s="220"/>
    </row>
    <row r="1155" spans="1:16" s="219" customFormat="1" ht="14" outlineLevel="4">
      <c r="A1155" s="203"/>
      <c r="B1155" s="281" t="s">
        <v>985</v>
      </c>
      <c r="C1155" s="200" t="s">
        <v>582</v>
      </c>
      <c r="D1155" s="201"/>
      <c r="E1155" s="201"/>
      <c r="F1155" s="201"/>
      <c r="G1155" s="7">
        <f t="shared" si="267"/>
        <v>0</v>
      </c>
      <c r="H1155" s="201">
        <f t="shared" si="269"/>
        <v>0</v>
      </c>
      <c r="I1155" s="202"/>
      <c r="J1155" s="213" t="s">
        <v>21</v>
      </c>
      <c r="K1155" s="277" t="s">
        <v>196</v>
      </c>
      <c r="L1155" s="214"/>
      <c r="M1155" s="214" t="s">
        <v>138</v>
      </c>
      <c r="N1155" s="236"/>
      <c r="P1155" s="220"/>
    </row>
    <row r="1156" spans="1:16" s="219" customFormat="1" ht="14" outlineLevel="4">
      <c r="A1156" s="239">
        <v>2</v>
      </c>
      <c r="B1156" s="153" t="s">
        <v>642</v>
      </c>
      <c r="C1156" s="200"/>
      <c r="D1156" s="201"/>
      <c r="E1156" s="201"/>
      <c r="F1156" s="201"/>
      <c r="G1156" s="194">
        <f>SUBTOTAL(9,G1157:G1159)</f>
        <v>0</v>
      </c>
      <c r="H1156" s="194">
        <f>SUBTOTAL(9,H1157:H1159)</f>
        <v>0</v>
      </c>
      <c r="I1156" s="202"/>
      <c r="J1156" s="213" t="s">
        <v>21</v>
      </c>
      <c r="K1156" s="277"/>
      <c r="L1156" s="214"/>
      <c r="M1156" s="214"/>
      <c r="N1156" s="214"/>
      <c r="P1156" s="220"/>
    </row>
    <row r="1157" spans="1:16" s="219" customFormat="1" ht="14" outlineLevel="4">
      <c r="A1157" s="203"/>
      <c r="B1157" s="280" t="s">
        <v>620</v>
      </c>
      <c r="C1157" s="200" t="s">
        <v>30</v>
      </c>
      <c r="D1157" s="201"/>
      <c r="E1157" s="201"/>
      <c r="F1157" s="201"/>
      <c r="G1157" s="7">
        <f t="shared" ref="G1157:G1159" si="270">F1157*D1157</f>
        <v>0</v>
      </c>
      <c r="H1157" s="201">
        <f t="shared" ref="H1157:H1159" si="271">F1157*E1157</f>
        <v>0</v>
      </c>
      <c r="I1157" s="202"/>
      <c r="J1157" s="213" t="s">
        <v>21</v>
      </c>
      <c r="K1157" s="277" t="s">
        <v>196</v>
      </c>
      <c r="L1157" s="214"/>
      <c r="M1157" s="214" t="s">
        <v>138</v>
      </c>
      <c r="N1157" s="236"/>
      <c r="P1157" s="220"/>
    </row>
    <row r="1158" spans="1:16" s="219" customFormat="1" ht="14" outlineLevel="4">
      <c r="A1158" s="203"/>
      <c r="B1158" s="280" t="s">
        <v>643</v>
      </c>
      <c r="C1158" s="200" t="s">
        <v>30</v>
      </c>
      <c r="D1158" s="201"/>
      <c r="E1158" s="201"/>
      <c r="F1158" s="201"/>
      <c r="G1158" s="7">
        <f t="shared" si="270"/>
        <v>0</v>
      </c>
      <c r="H1158" s="201">
        <f t="shared" si="271"/>
        <v>0</v>
      </c>
      <c r="I1158" s="202"/>
      <c r="J1158" s="213" t="s">
        <v>21</v>
      </c>
      <c r="K1158" s="277" t="s">
        <v>196</v>
      </c>
      <c r="L1158" s="214"/>
      <c r="M1158" s="214" t="s">
        <v>138</v>
      </c>
      <c r="N1158" s="236"/>
      <c r="P1158" s="220"/>
    </row>
    <row r="1159" spans="1:16" s="219" customFormat="1" ht="14" outlineLevel="4">
      <c r="A1159" s="203"/>
      <c r="B1159" s="281" t="s">
        <v>644</v>
      </c>
      <c r="C1159" s="200" t="s">
        <v>30</v>
      </c>
      <c r="D1159" s="201"/>
      <c r="E1159" s="201"/>
      <c r="F1159" s="201"/>
      <c r="G1159" s="7">
        <f t="shared" si="270"/>
        <v>0</v>
      </c>
      <c r="H1159" s="201">
        <f t="shared" si="271"/>
        <v>0</v>
      </c>
      <c r="I1159" s="202"/>
      <c r="J1159" s="213" t="s">
        <v>21</v>
      </c>
      <c r="K1159" s="277" t="s">
        <v>196</v>
      </c>
      <c r="L1159" s="214"/>
      <c r="M1159" s="214" t="s">
        <v>138</v>
      </c>
      <c r="N1159" s="236"/>
      <c r="P1159" s="220"/>
    </row>
    <row r="1160" spans="1:16" s="219" customFormat="1" ht="14" outlineLevel="4">
      <c r="A1160" s="239">
        <v>3</v>
      </c>
      <c r="B1160" s="153" t="s">
        <v>645</v>
      </c>
      <c r="C1160" s="200"/>
      <c r="D1160" s="201"/>
      <c r="E1160" s="201"/>
      <c r="F1160" s="201"/>
      <c r="G1160" s="194">
        <f>SUBTOTAL(9,G1161:G1189)</f>
        <v>232100</v>
      </c>
      <c r="H1160" s="194">
        <f>SUBTOTAL(9,H1161:H1189)</f>
        <v>232100</v>
      </c>
      <c r="I1160" s="202"/>
      <c r="J1160" s="213" t="s">
        <v>21</v>
      </c>
      <c r="K1160" s="277"/>
      <c r="L1160" s="214"/>
      <c r="M1160" s="214"/>
      <c r="N1160" s="214"/>
      <c r="P1160" s="220"/>
    </row>
    <row r="1161" spans="1:16" s="219" customFormat="1" ht="14" outlineLevel="4">
      <c r="A1161" s="203"/>
      <c r="B1161" s="280" t="s">
        <v>618</v>
      </c>
      <c r="C1161" s="200" t="s">
        <v>30</v>
      </c>
      <c r="D1161" s="201">
        <v>200</v>
      </c>
      <c r="E1161" s="201">
        <v>200</v>
      </c>
      <c r="F1161" s="201">
        <v>800</v>
      </c>
      <c r="G1161" s="7">
        <f t="shared" ref="G1161:G1189" si="272">F1161*D1161</f>
        <v>160000</v>
      </c>
      <c r="H1161" s="205">
        <f t="shared" ref="H1161:H1165" si="273">F1161*E1161</f>
        <v>160000</v>
      </c>
      <c r="I1161" s="202"/>
      <c r="J1161" s="213" t="s">
        <v>21</v>
      </c>
      <c r="K1161" s="277" t="s">
        <v>196</v>
      </c>
      <c r="L1161" s="214"/>
      <c r="M1161" s="214" t="s">
        <v>138</v>
      </c>
      <c r="N1161" s="236"/>
      <c r="P1161" s="220"/>
    </row>
    <row r="1162" spans="1:16" s="219" customFormat="1" ht="14" outlineLevel="4">
      <c r="A1162" s="203"/>
      <c r="B1162" s="280" t="s">
        <v>619</v>
      </c>
      <c r="C1162" s="200" t="s">
        <v>30</v>
      </c>
      <c r="D1162" s="201"/>
      <c r="E1162" s="201"/>
      <c r="F1162" s="201"/>
      <c r="G1162" s="7">
        <f t="shared" si="272"/>
        <v>0</v>
      </c>
      <c r="H1162" s="205">
        <f t="shared" si="273"/>
        <v>0</v>
      </c>
      <c r="I1162" s="202"/>
      <c r="J1162" s="213" t="s">
        <v>21</v>
      </c>
      <c r="K1162" s="277" t="s">
        <v>196</v>
      </c>
      <c r="L1162" s="214"/>
      <c r="M1162" s="214" t="s">
        <v>138</v>
      </c>
      <c r="N1162" s="236"/>
      <c r="P1162" s="220"/>
    </row>
    <row r="1163" spans="1:16" s="219" customFormat="1" ht="14" outlineLevel="4">
      <c r="A1163" s="203"/>
      <c r="B1163" s="281" t="s">
        <v>620</v>
      </c>
      <c r="C1163" s="200" t="s">
        <v>30</v>
      </c>
      <c r="D1163" s="201"/>
      <c r="E1163" s="201"/>
      <c r="F1163" s="201"/>
      <c r="G1163" s="7">
        <f t="shared" si="272"/>
        <v>0</v>
      </c>
      <c r="H1163" s="205">
        <f t="shared" si="273"/>
        <v>0</v>
      </c>
      <c r="I1163" s="202"/>
      <c r="J1163" s="213" t="s">
        <v>21</v>
      </c>
      <c r="K1163" s="277" t="s">
        <v>196</v>
      </c>
      <c r="L1163" s="214"/>
      <c r="M1163" s="214" t="s">
        <v>138</v>
      </c>
      <c r="N1163" s="236"/>
      <c r="P1163" s="220"/>
    </row>
    <row r="1164" spans="1:16" s="219" customFormat="1" ht="14" outlineLevel="4">
      <c r="A1164" s="203"/>
      <c r="B1164" s="280" t="s">
        <v>646</v>
      </c>
      <c r="C1164" s="200" t="s">
        <v>30</v>
      </c>
      <c r="D1164" s="201"/>
      <c r="E1164" s="201"/>
      <c r="F1164" s="201"/>
      <c r="G1164" s="7">
        <f t="shared" si="272"/>
        <v>0</v>
      </c>
      <c r="H1164" s="205">
        <f t="shared" si="273"/>
        <v>0</v>
      </c>
      <c r="I1164" s="202"/>
      <c r="J1164" s="213" t="s">
        <v>21</v>
      </c>
      <c r="K1164" s="277" t="s">
        <v>196</v>
      </c>
      <c r="L1164" s="214"/>
      <c r="M1164" s="214" t="s">
        <v>138</v>
      </c>
      <c r="N1164" s="236"/>
      <c r="P1164" s="220"/>
    </row>
    <row r="1165" spans="1:16" s="219" customFormat="1" ht="28" outlineLevel="4">
      <c r="A1165" s="203"/>
      <c r="B1165" s="280" t="s">
        <v>647</v>
      </c>
      <c r="C1165" s="200" t="s">
        <v>182</v>
      </c>
      <c r="D1165" s="201"/>
      <c r="E1165" s="201"/>
      <c r="F1165" s="201"/>
      <c r="G1165" s="7">
        <f t="shared" si="272"/>
        <v>0</v>
      </c>
      <c r="H1165" s="205">
        <f t="shared" si="273"/>
        <v>0</v>
      </c>
      <c r="I1165" s="202"/>
      <c r="J1165" s="213" t="s">
        <v>21</v>
      </c>
      <c r="K1165" s="277" t="s">
        <v>196</v>
      </c>
      <c r="L1165" s="214"/>
      <c r="M1165" s="214" t="s">
        <v>138</v>
      </c>
      <c r="N1165" s="236"/>
      <c r="P1165" s="220"/>
    </row>
    <row r="1166" spans="1:16" s="219" customFormat="1" ht="28" outlineLevel="4">
      <c r="A1166" s="203"/>
      <c r="B1166" s="280" t="s">
        <v>648</v>
      </c>
      <c r="C1166" s="200" t="s">
        <v>182</v>
      </c>
      <c r="D1166" s="201"/>
      <c r="E1166" s="201"/>
      <c r="F1166" s="201"/>
      <c r="G1166" s="7">
        <f t="shared" si="272"/>
        <v>0</v>
      </c>
      <c r="H1166" s="205">
        <f t="shared" ref="H1166:H1177" si="274">F1166*E1166</f>
        <v>0</v>
      </c>
      <c r="I1166" s="202"/>
      <c r="J1166" s="213" t="s">
        <v>21</v>
      </c>
      <c r="K1166" s="277" t="s">
        <v>196</v>
      </c>
      <c r="L1166" s="214"/>
      <c r="M1166" s="214" t="s">
        <v>138</v>
      </c>
      <c r="N1166" s="236"/>
      <c r="P1166" s="220"/>
    </row>
    <row r="1167" spans="1:16" s="219" customFormat="1" ht="28" outlineLevel="4">
      <c r="A1167" s="203"/>
      <c r="B1167" s="280" t="s">
        <v>649</v>
      </c>
      <c r="C1167" s="200" t="s">
        <v>182</v>
      </c>
      <c r="D1167" s="201"/>
      <c r="E1167" s="201"/>
      <c r="F1167" s="201"/>
      <c r="G1167" s="7">
        <f t="shared" si="272"/>
        <v>0</v>
      </c>
      <c r="H1167" s="201">
        <f t="shared" si="274"/>
        <v>0</v>
      </c>
      <c r="I1167" s="202"/>
      <c r="J1167" s="213" t="s">
        <v>21</v>
      </c>
      <c r="K1167" s="277" t="s">
        <v>196</v>
      </c>
      <c r="L1167" s="214"/>
      <c r="M1167" s="214" t="s">
        <v>138</v>
      </c>
      <c r="N1167" s="236"/>
      <c r="P1167" s="220"/>
    </row>
    <row r="1168" spans="1:16" s="219" customFormat="1" ht="14" outlineLevel="4">
      <c r="A1168" s="203"/>
      <c r="B1168" s="281" t="s">
        <v>650</v>
      </c>
      <c r="C1168" s="200" t="s">
        <v>339</v>
      </c>
      <c r="D1168" s="201"/>
      <c r="E1168" s="201"/>
      <c r="F1168" s="225"/>
      <c r="G1168" s="7">
        <f t="shared" si="272"/>
        <v>0</v>
      </c>
      <c r="H1168" s="205">
        <f t="shared" si="274"/>
        <v>0</v>
      </c>
      <c r="I1168" s="202"/>
      <c r="J1168" s="213" t="s">
        <v>21</v>
      </c>
      <c r="K1168" s="277" t="s">
        <v>196</v>
      </c>
      <c r="L1168" s="214"/>
      <c r="M1168" s="214" t="s">
        <v>138</v>
      </c>
      <c r="N1168" s="236"/>
      <c r="P1168" s="220"/>
    </row>
    <row r="1169" spans="1:16" s="219" customFormat="1" ht="14" outlineLevel="4">
      <c r="A1169" s="203"/>
      <c r="B1169" s="280" t="s">
        <v>651</v>
      </c>
      <c r="C1169" s="200" t="s">
        <v>36</v>
      </c>
      <c r="D1169" s="201"/>
      <c r="E1169" s="201"/>
      <c r="F1169" s="225"/>
      <c r="G1169" s="7">
        <f t="shared" si="272"/>
        <v>0</v>
      </c>
      <c r="H1169" s="205">
        <f t="shared" si="274"/>
        <v>0</v>
      </c>
      <c r="I1169" s="202"/>
      <c r="J1169" s="213" t="s">
        <v>21</v>
      </c>
      <c r="K1169" s="277" t="s">
        <v>196</v>
      </c>
      <c r="L1169" s="214"/>
      <c r="M1169" s="214" t="s">
        <v>138</v>
      </c>
      <c r="N1169" s="236"/>
      <c r="P1169" s="220"/>
    </row>
    <row r="1170" spans="1:16" s="219" customFormat="1" ht="14" outlineLevel="4">
      <c r="A1170" s="203"/>
      <c r="B1170" s="280" t="s">
        <v>224</v>
      </c>
      <c r="C1170" s="200" t="s">
        <v>15</v>
      </c>
      <c r="D1170" s="201"/>
      <c r="E1170" s="201"/>
      <c r="F1170" s="225"/>
      <c r="G1170" s="7">
        <f t="shared" si="272"/>
        <v>0</v>
      </c>
      <c r="H1170" s="205">
        <f t="shared" si="274"/>
        <v>0</v>
      </c>
      <c r="I1170" s="202"/>
      <c r="J1170" s="213" t="s">
        <v>21</v>
      </c>
      <c r="K1170" s="277" t="s">
        <v>196</v>
      </c>
      <c r="L1170" s="214"/>
      <c r="M1170" s="214" t="s">
        <v>138</v>
      </c>
      <c r="N1170" s="236"/>
      <c r="P1170" s="220"/>
    </row>
    <row r="1171" spans="1:16" s="219" customFormat="1" ht="14" outlineLevel="4">
      <c r="A1171" s="203"/>
      <c r="B1171" s="281" t="s">
        <v>652</v>
      </c>
      <c r="C1171" s="200" t="s">
        <v>24</v>
      </c>
      <c r="D1171" s="201"/>
      <c r="E1171" s="201"/>
      <c r="F1171" s="201"/>
      <c r="G1171" s="7">
        <f t="shared" si="272"/>
        <v>0</v>
      </c>
      <c r="H1171" s="201">
        <f t="shared" si="274"/>
        <v>0</v>
      </c>
      <c r="I1171" s="202"/>
      <c r="J1171" s="213" t="s">
        <v>21</v>
      </c>
      <c r="K1171" s="277" t="s">
        <v>196</v>
      </c>
      <c r="L1171" s="214"/>
      <c r="M1171" s="214" t="s">
        <v>138</v>
      </c>
      <c r="N1171" s="236"/>
      <c r="P1171" s="220"/>
    </row>
    <row r="1172" spans="1:16" s="219" customFormat="1" ht="14" outlineLevel="4">
      <c r="A1172" s="203"/>
      <c r="B1172" s="280" t="s">
        <v>653</v>
      </c>
      <c r="C1172" s="200" t="s">
        <v>182</v>
      </c>
      <c r="D1172" s="201"/>
      <c r="E1172" s="201"/>
      <c r="F1172" s="201"/>
      <c r="G1172" s="7">
        <f t="shared" si="272"/>
        <v>0</v>
      </c>
      <c r="H1172" s="201">
        <f t="shared" si="274"/>
        <v>0</v>
      </c>
      <c r="I1172" s="202"/>
      <c r="J1172" s="213" t="s">
        <v>21</v>
      </c>
      <c r="K1172" s="277" t="s">
        <v>196</v>
      </c>
      <c r="L1172" s="214"/>
      <c r="M1172" s="214" t="s">
        <v>138</v>
      </c>
      <c r="N1172" s="236"/>
      <c r="P1172" s="220"/>
    </row>
    <row r="1173" spans="1:16" s="219" customFormat="1" ht="14" outlineLevel="4">
      <c r="A1173" s="203"/>
      <c r="B1173" s="280" t="s">
        <v>621</v>
      </c>
      <c r="C1173" s="200" t="s">
        <v>182</v>
      </c>
      <c r="D1173" s="201"/>
      <c r="E1173" s="201"/>
      <c r="F1173" s="201"/>
      <c r="G1173" s="7">
        <f t="shared" si="272"/>
        <v>0</v>
      </c>
      <c r="H1173" s="201">
        <f t="shared" si="274"/>
        <v>0</v>
      </c>
      <c r="I1173" s="202"/>
      <c r="J1173" s="213" t="s">
        <v>21</v>
      </c>
      <c r="K1173" s="277" t="s">
        <v>196</v>
      </c>
      <c r="L1173" s="214"/>
      <c r="M1173" s="214" t="s">
        <v>138</v>
      </c>
      <c r="N1173" s="236"/>
      <c r="P1173" s="220"/>
    </row>
    <row r="1174" spans="1:16" s="219" customFormat="1" ht="14" outlineLevel="4">
      <c r="A1174" s="203"/>
      <c r="B1174" s="281" t="s">
        <v>654</v>
      </c>
      <c r="C1174" s="200" t="s">
        <v>182</v>
      </c>
      <c r="D1174" s="201"/>
      <c r="E1174" s="201"/>
      <c r="F1174" s="201"/>
      <c r="G1174" s="7">
        <f t="shared" si="272"/>
        <v>0</v>
      </c>
      <c r="H1174" s="201">
        <f t="shared" si="274"/>
        <v>0</v>
      </c>
      <c r="I1174" s="202"/>
      <c r="J1174" s="213" t="s">
        <v>21</v>
      </c>
      <c r="K1174" s="277" t="s">
        <v>196</v>
      </c>
      <c r="L1174" s="214"/>
      <c r="M1174" s="214" t="s">
        <v>138</v>
      </c>
      <c r="N1174" s="236"/>
      <c r="P1174" s="220"/>
    </row>
    <row r="1175" spans="1:16" s="219" customFormat="1" ht="14" outlineLevel="4">
      <c r="A1175" s="203"/>
      <c r="B1175" s="280" t="s">
        <v>655</v>
      </c>
      <c r="C1175" s="200" t="s">
        <v>182</v>
      </c>
      <c r="D1175" s="201">
        <v>100</v>
      </c>
      <c r="E1175" s="201">
        <v>100</v>
      </c>
      <c r="F1175" s="201">
        <v>13</v>
      </c>
      <c r="G1175" s="7">
        <f t="shared" si="272"/>
        <v>1300</v>
      </c>
      <c r="H1175" s="201">
        <f t="shared" si="274"/>
        <v>1300</v>
      </c>
      <c r="I1175" s="202"/>
      <c r="J1175" s="213" t="s">
        <v>21</v>
      </c>
      <c r="K1175" s="277" t="s">
        <v>196</v>
      </c>
      <c r="L1175" s="214"/>
      <c r="M1175" s="214" t="s">
        <v>138</v>
      </c>
      <c r="N1175" s="236"/>
      <c r="P1175" s="220"/>
    </row>
    <row r="1176" spans="1:16" s="219" customFormat="1" ht="14" outlineLevel="4">
      <c r="A1176" s="203"/>
      <c r="B1176" s="280" t="s">
        <v>656</v>
      </c>
      <c r="C1176" s="200" t="s">
        <v>182</v>
      </c>
      <c r="D1176" s="201"/>
      <c r="E1176" s="201"/>
      <c r="F1176" s="201"/>
      <c r="G1176" s="7">
        <f t="shared" si="272"/>
        <v>0</v>
      </c>
      <c r="H1176" s="201">
        <f t="shared" si="274"/>
        <v>0</v>
      </c>
      <c r="I1176" s="202"/>
      <c r="J1176" s="213" t="s">
        <v>21</v>
      </c>
      <c r="K1176" s="277" t="s">
        <v>196</v>
      </c>
      <c r="L1176" s="214"/>
      <c r="M1176" s="214" t="s">
        <v>138</v>
      </c>
      <c r="N1176" s="236"/>
      <c r="P1176" s="220"/>
    </row>
    <row r="1177" spans="1:16" s="219" customFormat="1" ht="14" outlineLevel="4">
      <c r="A1177" s="203"/>
      <c r="B1177" s="281" t="s">
        <v>657</v>
      </c>
      <c r="C1177" s="200" t="s">
        <v>182</v>
      </c>
      <c r="D1177" s="201"/>
      <c r="E1177" s="201"/>
      <c r="F1177" s="201"/>
      <c r="G1177" s="7">
        <f t="shared" si="272"/>
        <v>0</v>
      </c>
      <c r="H1177" s="201">
        <f t="shared" si="274"/>
        <v>0</v>
      </c>
      <c r="I1177" s="202"/>
      <c r="J1177" s="213" t="s">
        <v>21</v>
      </c>
      <c r="K1177" s="277" t="s">
        <v>196</v>
      </c>
      <c r="L1177" s="214"/>
      <c r="M1177" s="214" t="s">
        <v>138</v>
      </c>
      <c r="N1177" s="236"/>
      <c r="P1177" s="220"/>
    </row>
    <row r="1178" spans="1:16" s="219" customFormat="1" ht="14" outlineLevel="4">
      <c r="A1178" s="203"/>
      <c r="B1178" s="280" t="s">
        <v>570</v>
      </c>
      <c r="C1178" s="200" t="s">
        <v>48</v>
      </c>
      <c r="D1178" s="201">
        <v>600</v>
      </c>
      <c r="E1178" s="201">
        <v>600</v>
      </c>
      <c r="F1178" s="201">
        <v>118</v>
      </c>
      <c r="G1178" s="7">
        <f t="shared" si="272"/>
        <v>70800</v>
      </c>
      <c r="H1178" s="201">
        <f t="shared" ref="H1178:H1183" si="275">F1178*E1178</f>
        <v>70800</v>
      </c>
      <c r="I1178" s="202"/>
      <c r="J1178" s="213" t="s">
        <v>21</v>
      </c>
      <c r="K1178" s="277" t="s">
        <v>196</v>
      </c>
      <c r="L1178" s="214"/>
      <c r="M1178" s="214" t="s">
        <v>138</v>
      </c>
      <c r="N1178" s="236"/>
      <c r="P1178" s="220"/>
    </row>
    <row r="1179" spans="1:16" s="219" customFormat="1" ht="14" outlineLevel="4">
      <c r="A1179" s="203"/>
      <c r="B1179" s="280" t="s">
        <v>658</v>
      </c>
      <c r="C1179" s="200" t="s">
        <v>182</v>
      </c>
      <c r="D1179" s="201"/>
      <c r="E1179" s="201"/>
      <c r="F1179" s="201"/>
      <c r="G1179" s="7">
        <f t="shared" si="272"/>
        <v>0</v>
      </c>
      <c r="H1179" s="201">
        <f t="shared" si="275"/>
        <v>0</v>
      </c>
      <c r="I1179" s="202"/>
      <c r="J1179" s="213" t="s">
        <v>21</v>
      </c>
      <c r="K1179" s="277" t="s">
        <v>196</v>
      </c>
      <c r="L1179" s="214"/>
      <c r="M1179" s="214" t="s">
        <v>138</v>
      </c>
      <c r="N1179" s="236"/>
      <c r="P1179" s="220"/>
    </row>
    <row r="1180" spans="1:16" s="219" customFormat="1" ht="14" outlineLevel="4">
      <c r="A1180" s="203"/>
      <c r="B1180" s="281" t="s">
        <v>659</v>
      </c>
      <c r="C1180" s="200" t="s">
        <v>669</v>
      </c>
      <c r="D1180" s="201"/>
      <c r="E1180" s="201"/>
      <c r="F1180" s="201"/>
      <c r="G1180" s="7">
        <f t="shared" si="272"/>
        <v>0</v>
      </c>
      <c r="H1180" s="201">
        <f t="shared" si="275"/>
        <v>0</v>
      </c>
      <c r="I1180" s="202"/>
      <c r="J1180" s="213" t="s">
        <v>21</v>
      </c>
      <c r="K1180" s="277" t="s">
        <v>196</v>
      </c>
      <c r="L1180" s="214"/>
      <c r="M1180" s="214" t="s">
        <v>138</v>
      </c>
      <c r="N1180" s="236"/>
      <c r="P1180" s="220"/>
    </row>
    <row r="1181" spans="1:16" s="219" customFormat="1" ht="14" outlineLevel="4">
      <c r="A1181" s="203"/>
      <c r="B1181" s="280" t="s">
        <v>660</v>
      </c>
      <c r="C1181" s="200" t="s">
        <v>669</v>
      </c>
      <c r="D1181" s="201"/>
      <c r="E1181" s="201"/>
      <c r="F1181" s="201"/>
      <c r="G1181" s="7">
        <f t="shared" si="272"/>
        <v>0</v>
      </c>
      <c r="H1181" s="201">
        <f t="shared" si="275"/>
        <v>0</v>
      </c>
      <c r="I1181" s="202"/>
      <c r="J1181" s="213" t="s">
        <v>21</v>
      </c>
      <c r="K1181" s="277" t="s">
        <v>196</v>
      </c>
      <c r="L1181" s="214"/>
      <c r="M1181" s="214" t="s">
        <v>138</v>
      </c>
      <c r="N1181" s="236"/>
      <c r="P1181" s="220"/>
    </row>
    <row r="1182" spans="1:16" s="219" customFormat="1" ht="14" outlineLevel="4">
      <c r="A1182" s="203"/>
      <c r="B1182" s="280" t="s">
        <v>661</v>
      </c>
      <c r="C1182" s="200" t="s">
        <v>36</v>
      </c>
      <c r="D1182" s="201"/>
      <c r="E1182" s="201"/>
      <c r="F1182" s="201"/>
      <c r="G1182" s="7">
        <f t="shared" si="272"/>
        <v>0</v>
      </c>
      <c r="H1182" s="201">
        <f t="shared" si="275"/>
        <v>0</v>
      </c>
      <c r="I1182" s="202"/>
      <c r="J1182" s="213" t="s">
        <v>21</v>
      </c>
      <c r="K1182" s="277" t="s">
        <v>196</v>
      </c>
      <c r="L1182" s="214"/>
      <c r="M1182" s="214" t="s">
        <v>138</v>
      </c>
      <c r="N1182" s="236"/>
      <c r="P1182" s="220"/>
    </row>
    <row r="1183" spans="1:16" s="219" customFormat="1" ht="14" outlineLevel="4">
      <c r="A1183" s="203"/>
      <c r="B1183" s="281" t="s">
        <v>662</v>
      </c>
      <c r="C1183" s="200" t="s">
        <v>15</v>
      </c>
      <c r="D1183" s="201"/>
      <c r="E1183" s="201"/>
      <c r="F1183" s="201"/>
      <c r="G1183" s="7">
        <f t="shared" si="272"/>
        <v>0</v>
      </c>
      <c r="H1183" s="201">
        <f t="shared" si="275"/>
        <v>0</v>
      </c>
      <c r="I1183" s="202"/>
      <c r="J1183" s="213" t="s">
        <v>21</v>
      </c>
      <c r="K1183" s="277" t="s">
        <v>196</v>
      </c>
      <c r="L1183" s="214"/>
      <c r="M1183" s="214" t="s">
        <v>138</v>
      </c>
      <c r="N1183" s="236"/>
      <c r="P1183" s="220"/>
    </row>
    <row r="1184" spans="1:16" s="219" customFormat="1" ht="14" outlineLevel="4">
      <c r="A1184" s="203"/>
      <c r="B1184" s="280" t="s">
        <v>663</v>
      </c>
      <c r="C1184" s="200" t="s">
        <v>15</v>
      </c>
      <c r="D1184" s="201"/>
      <c r="E1184" s="201"/>
      <c r="F1184" s="201"/>
      <c r="G1184" s="7">
        <f t="shared" si="272"/>
        <v>0</v>
      </c>
      <c r="H1184" s="201">
        <f t="shared" ref="H1184:H1186" si="276">F1184*E1184</f>
        <v>0</v>
      </c>
      <c r="I1184" s="202"/>
      <c r="J1184" s="213" t="s">
        <v>21</v>
      </c>
      <c r="K1184" s="277" t="s">
        <v>196</v>
      </c>
      <c r="L1184" s="214"/>
      <c r="M1184" s="214" t="s">
        <v>138</v>
      </c>
      <c r="N1184" s="236"/>
      <c r="P1184" s="220"/>
    </row>
    <row r="1185" spans="1:16" s="219" customFormat="1" ht="14" outlineLevel="4">
      <c r="A1185" s="203"/>
      <c r="B1185" s="280" t="s">
        <v>664</v>
      </c>
      <c r="C1185" s="200" t="s">
        <v>15</v>
      </c>
      <c r="D1185" s="201"/>
      <c r="E1185" s="201"/>
      <c r="F1185" s="201"/>
      <c r="G1185" s="7">
        <f t="shared" si="272"/>
        <v>0</v>
      </c>
      <c r="H1185" s="201">
        <f t="shared" si="276"/>
        <v>0</v>
      </c>
      <c r="I1185" s="202"/>
      <c r="J1185" s="213" t="s">
        <v>21</v>
      </c>
      <c r="K1185" s="277" t="s">
        <v>196</v>
      </c>
      <c r="L1185" s="214"/>
      <c r="M1185" s="214" t="s">
        <v>138</v>
      </c>
      <c r="N1185" s="236"/>
      <c r="P1185" s="220"/>
    </row>
    <row r="1186" spans="1:16" s="219" customFormat="1" ht="14" outlineLevel="4">
      <c r="A1186" s="203"/>
      <c r="B1186" s="281" t="s">
        <v>665</v>
      </c>
      <c r="C1186" s="200" t="s">
        <v>24</v>
      </c>
      <c r="D1186" s="201"/>
      <c r="E1186" s="201"/>
      <c r="F1186" s="201"/>
      <c r="G1186" s="7">
        <f t="shared" si="272"/>
        <v>0</v>
      </c>
      <c r="H1186" s="201">
        <f t="shared" si="276"/>
        <v>0</v>
      </c>
      <c r="I1186" s="202"/>
      <c r="J1186" s="213" t="s">
        <v>21</v>
      </c>
      <c r="K1186" s="277" t="s">
        <v>196</v>
      </c>
      <c r="L1186" s="214"/>
      <c r="M1186" s="214" t="s">
        <v>138</v>
      </c>
      <c r="N1186" s="236"/>
      <c r="P1186" s="220"/>
    </row>
    <row r="1187" spans="1:16" s="219" customFormat="1" ht="14" outlineLevel="4">
      <c r="A1187" s="203"/>
      <c r="B1187" s="280" t="s">
        <v>666</v>
      </c>
      <c r="C1187" s="200" t="s">
        <v>15</v>
      </c>
      <c r="D1187" s="201"/>
      <c r="E1187" s="201"/>
      <c r="F1187" s="201"/>
      <c r="G1187" s="7">
        <f t="shared" si="272"/>
        <v>0</v>
      </c>
      <c r="H1187" s="201">
        <f t="shared" ref="H1187:H1189" si="277">F1187*E1187</f>
        <v>0</v>
      </c>
      <c r="I1187" s="202"/>
      <c r="J1187" s="213" t="s">
        <v>21</v>
      </c>
      <c r="K1187" s="277" t="s">
        <v>196</v>
      </c>
      <c r="L1187" s="214"/>
      <c r="M1187" s="214" t="s">
        <v>138</v>
      </c>
      <c r="N1187" s="236"/>
      <c r="P1187" s="220"/>
    </row>
    <row r="1188" spans="1:16" s="219" customFormat="1" ht="14" outlineLevel="4">
      <c r="A1188" s="203"/>
      <c r="B1188" s="280" t="s">
        <v>667</v>
      </c>
      <c r="C1188" s="200" t="s">
        <v>24</v>
      </c>
      <c r="D1188" s="201"/>
      <c r="E1188" s="201"/>
      <c r="F1188" s="201"/>
      <c r="G1188" s="7">
        <f t="shared" si="272"/>
        <v>0</v>
      </c>
      <c r="H1188" s="201">
        <f t="shared" si="277"/>
        <v>0</v>
      </c>
      <c r="I1188" s="202"/>
      <c r="J1188" s="213" t="s">
        <v>21</v>
      </c>
      <c r="K1188" s="277" t="s">
        <v>196</v>
      </c>
      <c r="L1188" s="214"/>
      <c r="M1188" s="214" t="s">
        <v>138</v>
      </c>
      <c r="N1188" s="236"/>
      <c r="P1188" s="220"/>
    </row>
    <row r="1189" spans="1:16" s="219" customFormat="1" ht="14" outlineLevel="4">
      <c r="A1189" s="203"/>
      <c r="B1189" s="281" t="s">
        <v>668</v>
      </c>
      <c r="C1189" s="200" t="s">
        <v>24</v>
      </c>
      <c r="D1189" s="201"/>
      <c r="E1189" s="201"/>
      <c r="F1189" s="201"/>
      <c r="G1189" s="7">
        <f t="shared" si="272"/>
        <v>0</v>
      </c>
      <c r="H1189" s="201">
        <f t="shared" si="277"/>
        <v>0</v>
      </c>
      <c r="I1189" s="202"/>
      <c r="J1189" s="213" t="s">
        <v>21</v>
      </c>
      <c r="K1189" s="277" t="s">
        <v>196</v>
      </c>
      <c r="L1189" s="214"/>
      <c r="M1189" s="214" t="s">
        <v>138</v>
      </c>
      <c r="N1189" s="236"/>
      <c r="P1189" s="220"/>
    </row>
    <row r="1190" spans="1:16" s="219" customFormat="1" ht="14" outlineLevel="4">
      <c r="A1190" s="239">
        <v>4</v>
      </c>
      <c r="B1190" s="153" t="s">
        <v>601</v>
      </c>
      <c r="C1190" s="200"/>
      <c r="D1190" s="201"/>
      <c r="E1190" s="201"/>
      <c r="F1190" s="201"/>
      <c r="G1190" s="194">
        <f>SUBTOTAL(9,G1191:G1228)</f>
        <v>0</v>
      </c>
      <c r="H1190" s="194">
        <f>SUBTOTAL(9,H1191:H1228)</f>
        <v>0</v>
      </c>
      <c r="I1190" s="202"/>
      <c r="J1190" s="213" t="s">
        <v>21</v>
      </c>
      <c r="K1190" s="277"/>
      <c r="L1190" s="214"/>
      <c r="M1190" s="214"/>
      <c r="N1190" s="214"/>
      <c r="P1190" s="220"/>
    </row>
    <row r="1191" spans="1:16" s="219" customFormat="1" ht="14" outlineLevel="4">
      <c r="A1191" s="203"/>
      <c r="B1191" s="153" t="s">
        <v>51</v>
      </c>
      <c r="C1191" s="200"/>
      <c r="D1191" s="201"/>
      <c r="E1191" s="201"/>
      <c r="F1191" s="201"/>
      <c r="G1191" s="201"/>
      <c r="H1191" s="201"/>
      <c r="I1191" s="202"/>
      <c r="J1191" s="213" t="s">
        <v>21</v>
      </c>
      <c r="K1191" s="277"/>
      <c r="L1191" s="214"/>
      <c r="M1191" s="214"/>
      <c r="N1191" s="214"/>
      <c r="P1191" s="220"/>
    </row>
    <row r="1192" spans="1:16" s="219" customFormat="1" ht="14" outlineLevel="4">
      <c r="A1192" s="203"/>
      <c r="B1192" s="280" t="s">
        <v>237</v>
      </c>
      <c r="C1192" s="200" t="s">
        <v>25</v>
      </c>
      <c r="D1192" s="201"/>
      <c r="E1192" s="201"/>
      <c r="F1192" s="201"/>
      <c r="G1192" s="7">
        <f t="shared" ref="G1192:G1193" si="278">F1192*D1192</f>
        <v>0</v>
      </c>
      <c r="H1192" s="201">
        <f t="shared" ref="H1192:H1193" si="279">F1192*E1192</f>
        <v>0</v>
      </c>
      <c r="I1192" s="202"/>
      <c r="J1192" s="213" t="s">
        <v>21</v>
      </c>
      <c r="K1192" s="277" t="s">
        <v>196</v>
      </c>
      <c r="L1192" s="214"/>
      <c r="M1192" s="214" t="s">
        <v>138</v>
      </c>
      <c r="N1192" s="236"/>
      <c r="P1192" s="220"/>
    </row>
    <row r="1193" spans="1:16" s="219" customFormat="1" ht="14" outlineLevel="4">
      <c r="A1193" s="203"/>
      <c r="B1193" s="281" t="s">
        <v>238</v>
      </c>
      <c r="C1193" s="200" t="s">
        <v>25</v>
      </c>
      <c r="D1193" s="201"/>
      <c r="E1193" s="201"/>
      <c r="F1193" s="201"/>
      <c r="G1193" s="7">
        <f t="shared" si="278"/>
        <v>0</v>
      </c>
      <c r="H1193" s="201">
        <f t="shared" si="279"/>
        <v>0</v>
      </c>
      <c r="I1193" s="202"/>
      <c r="J1193" s="213" t="s">
        <v>21</v>
      </c>
      <c r="K1193" s="277" t="s">
        <v>196</v>
      </c>
      <c r="L1193" s="214"/>
      <c r="M1193" s="214" t="s">
        <v>138</v>
      </c>
      <c r="N1193" s="236"/>
      <c r="P1193" s="220"/>
    </row>
    <row r="1194" spans="1:16" s="219" customFormat="1" ht="14" outlineLevel="4">
      <c r="A1194" s="203"/>
      <c r="B1194" s="153" t="s">
        <v>46</v>
      </c>
      <c r="C1194" s="200"/>
      <c r="D1194" s="201"/>
      <c r="E1194" s="201"/>
      <c r="F1194" s="201"/>
      <c r="G1194" s="201"/>
      <c r="H1194" s="201"/>
      <c r="I1194" s="202"/>
      <c r="J1194" s="213" t="s">
        <v>21</v>
      </c>
      <c r="K1194" s="277"/>
      <c r="L1194" s="214"/>
      <c r="M1194" s="214"/>
      <c r="N1194" s="214"/>
      <c r="P1194" s="220"/>
    </row>
    <row r="1195" spans="1:16" s="219" customFormat="1" ht="14" outlineLevel="4">
      <c r="A1195" s="203"/>
      <c r="B1195" s="218" t="s">
        <v>118</v>
      </c>
      <c r="C1195" s="200" t="s">
        <v>25</v>
      </c>
      <c r="D1195" s="201"/>
      <c r="E1195" s="201"/>
      <c r="F1195" s="201"/>
      <c r="G1195" s="7">
        <f t="shared" ref="G1195:G1201" si="280">F1195*D1195</f>
        <v>0</v>
      </c>
      <c r="H1195" s="201">
        <f t="shared" ref="H1195:H1201" si="281">F1195*E1195</f>
        <v>0</v>
      </c>
      <c r="I1195" s="202"/>
      <c r="J1195" s="213" t="s">
        <v>21</v>
      </c>
      <c r="K1195" s="277" t="s">
        <v>196</v>
      </c>
      <c r="L1195" s="214"/>
      <c r="M1195" s="214" t="s">
        <v>138</v>
      </c>
      <c r="N1195" s="236"/>
      <c r="P1195" s="220"/>
    </row>
    <row r="1196" spans="1:16" s="219" customFormat="1" ht="14" outlineLevel="4">
      <c r="A1196" s="203"/>
      <c r="B1196" s="218" t="s">
        <v>206</v>
      </c>
      <c r="C1196" s="200" t="s">
        <v>25</v>
      </c>
      <c r="D1196" s="201"/>
      <c r="E1196" s="201"/>
      <c r="F1196" s="201"/>
      <c r="G1196" s="7">
        <f t="shared" si="280"/>
        <v>0</v>
      </c>
      <c r="H1196" s="201">
        <f t="shared" si="281"/>
        <v>0</v>
      </c>
      <c r="I1196" s="202"/>
      <c r="J1196" s="213" t="s">
        <v>21</v>
      </c>
      <c r="K1196" s="277" t="s">
        <v>196</v>
      </c>
      <c r="L1196" s="214"/>
      <c r="M1196" s="214" t="s">
        <v>138</v>
      </c>
      <c r="N1196" s="236"/>
      <c r="P1196" s="220"/>
    </row>
    <row r="1197" spans="1:16" s="219" customFormat="1" ht="14" outlineLevel="4">
      <c r="A1197" s="203"/>
      <c r="B1197" s="218" t="s">
        <v>602</v>
      </c>
      <c r="C1197" s="200" t="s">
        <v>25</v>
      </c>
      <c r="D1197" s="201"/>
      <c r="E1197" s="201"/>
      <c r="F1197" s="144"/>
      <c r="G1197" s="7">
        <f t="shared" si="280"/>
        <v>0</v>
      </c>
      <c r="H1197" s="201">
        <f t="shared" si="281"/>
        <v>0</v>
      </c>
      <c r="I1197" s="202"/>
      <c r="J1197" s="213" t="s">
        <v>21</v>
      </c>
      <c r="K1197" s="277" t="s">
        <v>196</v>
      </c>
      <c r="L1197" s="214"/>
      <c r="M1197" s="214" t="s">
        <v>138</v>
      </c>
      <c r="N1197" s="236"/>
      <c r="P1197" s="220"/>
    </row>
    <row r="1198" spans="1:16" s="219" customFormat="1" ht="14" outlineLevel="4">
      <c r="A1198" s="203"/>
      <c r="B1198" s="218" t="s">
        <v>239</v>
      </c>
      <c r="C1198" s="200" t="s">
        <v>25</v>
      </c>
      <c r="D1198" s="201"/>
      <c r="E1198" s="201"/>
      <c r="F1198" s="201"/>
      <c r="G1198" s="7">
        <f t="shared" si="280"/>
        <v>0</v>
      </c>
      <c r="H1198" s="201">
        <f t="shared" si="281"/>
        <v>0</v>
      </c>
      <c r="I1198" s="202"/>
      <c r="J1198" s="213" t="s">
        <v>21</v>
      </c>
      <c r="K1198" s="277" t="s">
        <v>196</v>
      </c>
      <c r="L1198" s="214"/>
      <c r="M1198" s="214" t="s">
        <v>138</v>
      </c>
      <c r="N1198" s="236"/>
      <c r="P1198" s="220"/>
    </row>
    <row r="1199" spans="1:16" s="219" customFormat="1" ht="14" outlineLevel="4">
      <c r="A1199" s="203"/>
      <c r="B1199" s="218" t="s">
        <v>208</v>
      </c>
      <c r="C1199" s="200" t="s">
        <v>25</v>
      </c>
      <c r="D1199" s="201"/>
      <c r="E1199" s="201"/>
      <c r="F1199" s="201"/>
      <c r="G1199" s="7">
        <f t="shared" si="280"/>
        <v>0</v>
      </c>
      <c r="H1199" s="201">
        <f t="shared" si="281"/>
        <v>0</v>
      </c>
      <c r="I1199" s="202"/>
      <c r="J1199" s="213" t="s">
        <v>21</v>
      </c>
      <c r="K1199" s="277" t="s">
        <v>196</v>
      </c>
      <c r="L1199" s="214"/>
      <c r="M1199" s="214" t="s">
        <v>138</v>
      </c>
      <c r="N1199" s="236"/>
      <c r="P1199" s="220"/>
    </row>
    <row r="1200" spans="1:16" s="219" customFormat="1" ht="14" outlineLevel="4">
      <c r="A1200" s="203"/>
      <c r="B1200" s="218" t="s">
        <v>209</v>
      </c>
      <c r="C1200" s="200" t="s">
        <v>25</v>
      </c>
      <c r="D1200" s="201"/>
      <c r="E1200" s="201"/>
      <c r="F1200" s="201"/>
      <c r="G1200" s="7">
        <f t="shared" si="280"/>
        <v>0</v>
      </c>
      <c r="H1200" s="201">
        <f t="shared" si="281"/>
        <v>0</v>
      </c>
      <c r="I1200" s="202"/>
      <c r="J1200" s="213" t="s">
        <v>21</v>
      </c>
      <c r="K1200" s="277" t="s">
        <v>196</v>
      </c>
      <c r="L1200" s="214"/>
      <c r="M1200" s="214" t="s">
        <v>138</v>
      </c>
      <c r="N1200" s="236"/>
      <c r="P1200" s="220"/>
    </row>
    <row r="1201" spans="1:16" s="219" customFormat="1" ht="14" outlineLevel="4">
      <c r="A1201" s="203"/>
      <c r="B1201" s="218" t="s">
        <v>210</v>
      </c>
      <c r="C1201" s="200" t="s">
        <v>25</v>
      </c>
      <c r="D1201" s="201"/>
      <c r="E1201" s="201"/>
      <c r="F1201" s="201"/>
      <c r="G1201" s="7">
        <f t="shared" si="280"/>
        <v>0</v>
      </c>
      <c r="H1201" s="201">
        <f t="shared" si="281"/>
        <v>0</v>
      </c>
      <c r="I1201" s="202"/>
      <c r="J1201" s="213" t="s">
        <v>21</v>
      </c>
      <c r="K1201" s="277" t="s">
        <v>196</v>
      </c>
      <c r="L1201" s="214"/>
      <c r="M1201" s="214" t="s">
        <v>138</v>
      </c>
      <c r="N1201" s="236"/>
      <c r="P1201" s="220"/>
    </row>
    <row r="1202" spans="1:16" s="219" customFormat="1" ht="14" outlineLevel="4">
      <c r="A1202" s="203"/>
      <c r="B1202" s="153" t="s">
        <v>47</v>
      </c>
      <c r="C1202" s="200"/>
      <c r="D1202" s="201"/>
      <c r="E1202" s="201"/>
      <c r="F1202" s="201"/>
      <c r="G1202" s="201"/>
      <c r="H1202" s="201"/>
      <c r="I1202" s="202"/>
      <c r="J1202" s="213" t="s">
        <v>21</v>
      </c>
      <c r="K1202" s="277"/>
      <c r="L1202" s="214"/>
      <c r="M1202" s="214"/>
      <c r="N1202" s="214"/>
      <c r="P1202" s="220"/>
    </row>
    <row r="1203" spans="1:16" s="219" customFormat="1" ht="14" outlineLevel="4">
      <c r="A1203" s="203"/>
      <c r="B1203" s="153" t="s">
        <v>85</v>
      </c>
      <c r="C1203" s="200"/>
      <c r="D1203" s="201"/>
      <c r="E1203" s="201"/>
      <c r="F1203" s="201"/>
      <c r="G1203" s="201"/>
      <c r="H1203" s="201"/>
      <c r="I1203" s="202"/>
      <c r="J1203" s="213" t="s">
        <v>21</v>
      </c>
      <c r="K1203" s="277"/>
      <c r="L1203" s="214"/>
      <c r="M1203" s="214"/>
      <c r="N1203" s="214"/>
      <c r="P1203" s="220"/>
    </row>
    <row r="1204" spans="1:16" s="219" customFormat="1" ht="14" outlineLevel="4">
      <c r="A1204" s="203"/>
      <c r="B1204" s="218" t="s">
        <v>211</v>
      </c>
      <c r="C1204" s="200" t="s">
        <v>24</v>
      </c>
      <c r="D1204" s="146"/>
      <c r="E1204" s="146"/>
      <c r="F1204" s="144"/>
      <c r="G1204" s="7">
        <f t="shared" ref="G1204:G1222" si="282">F1204*D1204</f>
        <v>0</v>
      </c>
      <c r="H1204" s="201">
        <f t="shared" ref="H1204:H1222" si="283">F1204*E1204</f>
        <v>0</v>
      </c>
      <c r="I1204" s="202"/>
      <c r="J1204" s="213" t="s">
        <v>21</v>
      </c>
      <c r="K1204" s="277" t="s">
        <v>196</v>
      </c>
      <c r="L1204" s="214"/>
      <c r="M1204" s="214" t="s">
        <v>138</v>
      </c>
      <c r="N1204" s="236"/>
      <c r="P1204" s="220"/>
    </row>
    <row r="1205" spans="1:16" s="219" customFormat="1" ht="14" outlineLevel="4">
      <c r="A1205" s="203"/>
      <c r="B1205" s="218" t="s">
        <v>212</v>
      </c>
      <c r="C1205" s="200" t="s">
        <v>24</v>
      </c>
      <c r="D1205" s="201"/>
      <c r="E1205" s="201"/>
      <c r="F1205" s="201"/>
      <c r="G1205" s="7">
        <f t="shared" si="282"/>
        <v>0</v>
      </c>
      <c r="H1205" s="201">
        <f t="shared" si="283"/>
        <v>0</v>
      </c>
      <c r="I1205" s="202"/>
      <c r="J1205" s="213" t="s">
        <v>21</v>
      </c>
      <c r="K1205" s="277" t="s">
        <v>196</v>
      </c>
      <c r="L1205" s="214"/>
      <c r="M1205" s="214" t="s">
        <v>138</v>
      </c>
      <c r="N1205" s="236"/>
      <c r="P1205" s="220"/>
    </row>
    <row r="1206" spans="1:16" s="219" customFormat="1" ht="14" outlineLevel="4">
      <c r="A1206" s="203"/>
      <c r="B1206" s="218" t="s">
        <v>213</v>
      </c>
      <c r="C1206" s="200" t="s">
        <v>24</v>
      </c>
      <c r="D1206" s="201"/>
      <c r="E1206" s="201"/>
      <c r="F1206" s="144"/>
      <c r="G1206" s="7">
        <f t="shared" si="282"/>
        <v>0</v>
      </c>
      <c r="H1206" s="201">
        <f t="shared" si="283"/>
        <v>0</v>
      </c>
      <c r="I1206" s="202"/>
      <c r="J1206" s="213" t="s">
        <v>21</v>
      </c>
      <c r="K1206" s="277" t="s">
        <v>196</v>
      </c>
      <c r="L1206" s="214"/>
      <c r="M1206" s="214" t="s">
        <v>138</v>
      </c>
      <c r="N1206" s="236"/>
      <c r="P1206" s="220"/>
    </row>
    <row r="1207" spans="1:16" s="219" customFormat="1" ht="14" outlineLevel="4">
      <c r="A1207" s="203"/>
      <c r="B1207" s="218" t="s">
        <v>214</v>
      </c>
      <c r="C1207" s="200" t="s">
        <v>24</v>
      </c>
      <c r="D1207" s="201"/>
      <c r="E1207" s="201"/>
      <c r="F1207" s="201"/>
      <c r="G1207" s="7">
        <f t="shared" si="282"/>
        <v>0</v>
      </c>
      <c r="H1207" s="201">
        <f t="shared" si="283"/>
        <v>0</v>
      </c>
      <c r="I1207" s="202"/>
      <c r="J1207" s="213" t="s">
        <v>21</v>
      </c>
      <c r="K1207" s="277" t="s">
        <v>196</v>
      </c>
      <c r="L1207" s="214"/>
      <c r="M1207" s="214" t="s">
        <v>138</v>
      </c>
      <c r="N1207" s="236"/>
      <c r="P1207" s="220"/>
    </row>
    <row r="1208" spans="1:16" s="219" customFormat="1" ht="14" outlineLevel="4">
      <c r="A1208" s="203"/>
      <c r="B1208" s="218" t="s">
        <v>215</v>
      </c>
      <c r="C1208" s="200" t="s">
        <v>24</v>
      </c>
      <c r="D1208" s="201"/>
      <c r="E1208" s="201"/>
      <c r="F1208" s="201"/>
      <c r="G1208" s="7">
        <f t="shared" si="282"/>
        <v>0</v>
      </c>
      <c r="H1208" s="201">
        <f t="shared" si="283"/>
        <v>0</v>
      </c>
      <c r="I1208" s="202"/>
      <c r="J1208" s="213" t="s">
        <v>21</v>
      </c>
      <c r="K1208" s="277" t="s">
        <v>196</v>
      </c>
      <c r="L1208" s="214"/>
      <c r="M1208" s="214" t="s">
        <v>138</v>
      </c>
      <c r="N1208" s="236"/>
      <c r="P1208" s="220"/>
    </row>
    <row r="1209" spans="1:16" s="219" customFormat="1" ht="14" outlineLevel="4">
      <c r="A1209" s="203"/>
      <c r="B1209" s="218" t="s">
        <v>216</v>
      </c>
      <c r="C1209" s="200" t="s">
        <v>24</v>
      </c>
      <c r="D1209" s="201"/>
      <c r="E1209" s="201"/>
      <c r="F1209" s="201"/>
      <c r="G1209" s="7">
        <f t="shared" si="282"/>
        <v>0</v>
      </c>
      <c r="H1209" s="201">
        <f t="shared" si="283"/>
        <v>0</v>
      </c>
      <c r="I1209" s="202"/>
      <c r="J1209" s="213" t="s">
        <v>21</v>
      </c>
      <c r="K1209" s="277" t="s">
        <v>196</v>
      </c>
      <c r="L1209" s="214"/>
      <c r="M1209" s="214" t="s">
        <v>138</v>
      </c>
      <c r="N1209" s="236"/>
      <c r="P1209" s="220"/>
    </row>
    <row r="1210" spans="1:16" s="219" customFormat="1" ht="14" outlineLevel="4">
      <c r="A1210" s="203"/>
      <c r="B1210" s="218" t="s">
        <v>584</v>
      </c>
      <c r="C1210" s="200" t="s">
        <v>24</v>
      </c>
      <c r="D1210" s="201"/>
      <c r="E1210" s="201"/>
      <c r="F1210" s="144"/>
      <c r="G1210" s="7">
        <f t="shared" si="282"/>
        <v>0</v>
      </c>
      <c r="H1210" s="201">
        <f t="shared" si="283"/>
        <v>0</v>
      </c>
      <c r="I1210" s="202"/>
      <c r="J1210" s="213" t="s">
        <v>21</v>
      </c>
      <c r="K1210" s="277" t="s">
        <v>196</v>
      </c>
      <c r="L1210" s="214"/>
      <c r="M1210" s="214" t="s">
        <v>138</v>
      </c>
      <c r="N1210" s="236"/>
      <c r="P1210" s="220"/>
    </row>
    <row r="1211" spans="1:16" s="219" customFormat="1" ht="14" outlineLevel="4">
      <c r="A1211" s="203"/>
      <c r="B1211" s="218" t="s">
        <v>240</v>
      </c>
      <c r="C1211" s="200" t="s">
        <v>24</v>
      </c>
      <c r="D1211" s="201"/>
      <c r="E1211" s="201"/>
      <c r="F1211" s="201"/>
      <c r="G1211" s="7">
        <f t="shared" si="282"/>
        <v>0</v>
      </c>
      <c r="H1211" s="201">
        <f t="shared" si="283"/>
        <v>0</v>
      </c>
      <c r="I1211" s="202"/>
      <c r="J1211" s="213" t="s">
        <v>21</v>
      </c>
      <c r="K1211" s="277" t="s">
        <v>196</v>
      </c>
      <c r="L1211" s="214"/>
      <c r="M1211" s="214" t="s">
        <v>138</v>
      </c>
      <c r="N1211" s="236"/>
      <c r="P1211" s="220"/>
    </row>
    <row r="1212" spans="1:16" s="219" customFormat="1" ht="14" outlineLevel="4">
      <c r="A1212" s="203"/>
      <c r="B1212" s="218" t="s">
        <v>241</v>
      </c>
      <c r="C1212" s="200" t="s">
        <v>24</v>
      </c>
      <c r="D1212" s="201"/>
      <c r="E1212" s="201"/>
      <c r="F1212" s="201"/>
      <c r="G1212" s="7">
        <f t="shared" si="282"/>
        <v>0</v>
      </c>
      <c r="H1212" s="201">
        <f t="shared" si="283"/>
        <v>0</v>
      </c>
      <c r="I1212" s="202"/>
      <c r="J1212" s="213" t="s">
        <v>21</v>
      </c>
      <c r="K1212" s="277" t="s">
        <v>196</v>
      </c>
      <c r="L1212" s="214"/>
      <c r="M1212" s="214" t="s">
        <v>138</v>
      </c>
      <c r="N1212" s="236"/>
      <c r="P1212" s="220"/>
    </row>
    <row r="1213" spans="1:16" s="219" customFormat="1" ht="14" outlineLevel="4">
      <c r="A1213" s="203"/>
      <c r="B1213" s="218" t="s">
        <v>217</v>
      </c>
      <c r="C1213" s="200" t="s">
        <v>24</v>
      </c>
      <c r="D1213" s="201"/>
      <c r="E1213" s="201"/>
      <c r="F1213" s="201"/>
      <c r="G1213" s="7">
        <f t="shared" si="282"/>
        <v>0</v>
      </c>
      <c r="H1213" s="201">
        <f t="shared" si="283"/>
        <v>0</v>
      </c>
      <c r="I1213" s="202"/>
      <c r="J1213" s="213" t="s">
        <v>21</v>
      </c>
      <c r="K1213" s="277" t="s">
        <v>196</v>
      </c>
      <c r="L1213" s="214"/>
      <c r="M1213" s="214" t="s">
        <v>138</v>
      </c>
      <c r="N1213" s="236"/>
      <c r="P1213" s="220"/>
    </row>
    <row r="1214" spans="1:16" s="219" customFormat="1" ht="14" outlineLevel="4">
      <c r="A1214" s="203"/>
      <c r="B1214" s="218" t="s">
        <v>603</v>
      </c>
      <c r="C1214" s="200" t="s">
        <v>24</v>
      </c>
      <c r="D1214" s="201"/>
      <c r="E1214" s="201"/>
      <c r="F1214" s="144"/>
      <c r="G1214" s="7">
        <f t="shared" si="282"/>
        <v>0</v>
      </c>
      <c r="H1214" s="201">
        <f t="shared" si="283"/>
        <v>0</v>
      </c>
      <c r="I1214" s="202"/>
      <c r="J1214" s="213" t="s">
        <v>21</v>
      </c>
      <c r="K1214" s="277" t="s">
        <v>196</v>
      </c>
      <c r="L1214" s="214"/>
      <c r="M1214" s="214" t="s">
        <v>138</v>
      </c>
      <c r="N1214" s="236"/>
      <c r="P1214" s="220"/>
    </row>
    <row r="1215" spans="1:16" s="219" customFormat="1" ht="14" outlineLevel="4">
      <c r="A1215" s="203"/>
      <c r="B1215" s="218" t="s">
        <v>219</v>
      </c>
      <c r="C1215" s="200" t="s">
        <v>24</v>
      </c>
      <c r="D1215" s="201"/>
      <c r="E1215" s="201"/>
      <c r="F1215" s="144"/>
      <c r="G1215" s="7">
        <f t="shared" si="282"/>
        <v>0</v>
      </c>
      <c r="H1215" s="201">
        <f t="shared" si="283"/>
        <v>0</v>
      </c>
      <c r="I1215" s="202"/>
      <c r="J1215" s="213" t="s">
        <v>21</v>
      </c>
      <c r="K1215" s="277" t="s">
        <v>196</v>
      </c>
      <c r="L1215" s="214"/>
      <c r="M1215" s="214" t="s">
        <v>138</v>
      </c>
      <c r="N1215" s="236"/>
      <c r="P1215" s="220"/>
    </row>
    <row r="1216" spans="1:16" s="219" customFormat="1" ht="14" outlineLevel="4">
      <c r="A1216" s="203"/>
      <c r="B1216" s="218" t="s">
        <v>220</v>
      </c>
      <c r="C1216" s="200" t="s">
        <v>24</v>
      </c>
      <c r="D1216" s="201"/>
      <c r="E1216" s="201"/>
      <c r="F1216" s="201"/>
      <c r="G1216" s="7">
        <f t="shared" si="282"/>
        <v>0</v>
      </c>
      <c r="H1216" s="201">
        <f t="shared" si="283"/>
        <v>0</v>
      </c>
      <c r="I1216" s="202"/>
      <c r="J1216" s="213" t="s">
        <v>21</v>
      </c>
      <c r="K1216" s="277" t="s">
        <v>196</v>
      </c>
      <c r="L1216" s="214"/>
      <c r="M1216" s="214" t="s">
        <v>138</v>
      </c>
      <c r="N1216" s="236"/>
      <c r="P1216" s="220"/>
    </row>
    <row r="1217" spans="1:16" s="219" customFormat="1" ht="14" outlineLevel="4">
      <c r="A1217" s="203"/>
      <c r="B1217" s="218" t="s">
        <v>221</v>
      </c>
      <c r="C1217" s="200" t="s">
        <v>24</v>
      </c>
      <c r="D1217" s="201"/>
      <c r="E1217" s="201"/>
      <c r="F1217" s="201"/>
      <c r="G1217" s="7">
        <f t="shared" si="282"/>
        <v>0</v>
      </c>
      <c r="H1217" s="201">
        <f t="shared" si="283"/>
        <v>0</v>
      </c>
      <c r="I1217" s="202"/>
      <c r="J1217" s="213" t="s">
        <v>21</v>
      </c>
      <c r="K1217" s="277" t="s">
        <v>196</v>
      </c>
      <c r="L1217" s="214"/>
      <c r="M1217" s="214" t="s">
        <v>138</v>
      </c>
      <c r="N1217" s="236"/>
      <c r="P1217" s="220"/>
    </row>
    <row r="1218" spans="1:16" s="219" customFormat="1" ht="14" outlineLevel="4">
      <c r="A1218" s="203"/>
      <c r="B1218" s="218" t="s">
        <v>222</v>
      </c>
      <c r="C1218" s="200" t="s">
        <v>24</v>
      </c>
      <c r="D1218" s="201"/>
      <c r="E1218" s="201"/>
      <c r="F1218" s="201"/>
      <c r="G1218" s="7">
        <f t="shared" si="282"/>
        <v>0</v>
      </c>
      <c r="H1218" s="201">
        <f t="shared" si="283"/>
        <v>0</v>
      </c>
      <c r="I1218" s="202"/>
      <c r="J1218" s="213" t="s">
        <v>21</v>
      </c>
      <c r="K1218" s="277" t="s">
        <v>196</v>
      </c>
      <c r="L1218" s="214"/>
      <c r="M1218" s="214" t="s">
        <v>138</v>
      </c>
      <c r="N1218" s="236"/>
      <c r="P1218" s="220"/>
    </row>
    <row r="1219" spans="1:16" s="219" customFormat="1" ht="14" outlineLevel="4">
      <c r="A1219" s="203"/>
      <c r="B1219" s="218" t="s">
        <v>223</v>
      </c>
      <c r="C1219" s="200" t="s">
        <v>11</v>
      </c>
      <c r="D1219" s="201"/>
      <c r="E1219" s="201"/>
      <c r="F1219" s="144"/>
      <c r="G1219" s="7">
        <f t="shared" si="282"/>
        <v>0</v>
      </c>
      <c r="H1219" s="201">
        <f t="shared" si="283"/>
        <v>0</v>
      </c>
      <c r="I1219" s="202"/>
      <c r="J1219" s="213" t="s">
        <v>21</v>
      </c>
      <c r="K1219" s="277" t="s">
        <v>196</v>
      </c>
      <c r="L1219" s="214"/>
      <c r="M1219" s="214" t="s">
        <v>138</v>
      </c>
      <c r="N1219" s="236"/>
      <c r="P1219" s="220"/>
    </row>
    <row r="1220" spans="1:16" s="219" customFormat="1" ht="14" outlineLevel="4">
      <c r="A1220" s="203"/>
      <c r="B1220" s="218" t="s">
        <v>224</v>
      </c>
      <c r="C1220" s="200" t="s">
        <v>24</v>
      </c>
      <c r="D1220" s="201"/>
      <c r="E1220" s="201"/>
      <c r="F1220" s="144"/>
      <c r="G1220" s="7">
        <f t="shared" si="282"/>
        <v>0</v>
      </c>
      <c r="H1220" s="201">
        <f t="shared" si="283"/>
        <v>0</v>
      </c>
      <c r="I1220" s="202"/>
      <c r="J1220" s="213" t="s">
        <v>21</v>
      </c>
      <c r="K1220" s="277" t="s">
        <v>196</v>
      </c>
      <c r="L1220" s="214"/>
      <c r="M1220" s="214" t="s">
        <v>138</v>
      </c>
      <c r="N1220" s="236"/>
      <c r="P1220" s="220"/>
    </row>
    <row r="1221" spans="1:16" s="219" customFormat="1" ht="14" outlineLevel="4">
      <c r="A1221" s="203"/>
      <c r="B1221" s="218" t="s">
        <v>225</v>
      </c>
      <c r="C1221" s="200" t="s">
        <v>24</v>
      </c>
      <c r="D1221" s="201"/>
      <c r="E1221" s="201"/>
      <c r="F1221" s="201"/>
      <c r="G1221" s="7">
        <f t="shared" si="282"/>
        <v>0</v>
      </c>
      <c r="H1221" s="201">
        <f t="shared" si="283"/>
        <v>0</v>
      </c>
      <c r="I1221" s="202"/>
      <c r="J1221" s="213" t="s">
        <v>21</v>
      </c>
      <c r="K1221" s="277" t="s">
        <v>196</v>
      </c>
      <c r="L1221" s="214"/>
      <c r="M1221" s="214" t="s">
        <v>138</v>
      </c>
      <c r="N1221" s="236"/>
      <c r="P1221" s="220"/>
    </row>
    <row r="1222" spans="1:16" s="219" customFormat="1" ht="14" outlineLevel="4">
      <c r="A1222" s="203"/>
      <c r="B1222" s="218" t="s">
        <v>226</v>
      </c>
      <c r="C1222" s="200" t="s">
        <v>24</v>
      </c>
      <c r="D1222" s="201"/>
      <c r="E1222" s="201"/>
      <c r="F1222" s="201"/>
      <c r="G1222" s="7">
        <f t="shared" si="282"/>
        <v>0</v>
      </c>
      <c r="H1222" s="201">
        <f t="shared" si="283"/>
        <v>0</v>
      </c>
      <c r="I1222" s="202"/>
      <c r="J1222" s="213" t="s">
        <v>21</v>
      </c>
      <c r="K1222" s="277" t="s">
        <v>196</v>
      </c>
      <c r="L1222" s="214"/>
      <c r="M1222" s="214" t="s">
        <v>138</v>
      </c>
      <c r="N1222" s="236"/>
      <c r="P1222" s="220"/>
    </row>
    <row r="1223" spans="1:16" s="219" customFormat="1" ht="14" outlineLevel="4">
      <c r="A1223" s="203"/>
      <c r="B1223" s="153" t="s">
        <v>86</v>
      </c>
      <c r="C1223" s="200"/>
      <c r="D1223" s="201"/>
      <c r="E1223" s="201"/>
      <c r="F1223" s="201"/>
      <c r="G1223" s="201"/>
      <c r="H1223" s="201">
        <f>F1223*E1223</f>
        <v>0</v>
      </c>
      <c r="I1223" s="202"/>
      <c r="J1223" s="213" t="s">
        <v>21</v>
      </c>
      <c r="K1223" s="277"/>
      <c r="L1223" s="214"/>
      <c r="M1223" s="214"/>
      <c r="N1223" s="214"/>
      <c r="P1223" s="220"/>
    </row>
    <row r="1224" spans="1:16" s="219" customFormat="1" ht="14" outlineLevel="4">
      <c r="A1224" s="203"/>
      <c r="B1224" s="282" t="s">
        <v>87</v>
      </c>
      <c r="C1224" s="200" t="s">
        <v>11</v>
      </c>
      <c r="D1224" s="201"/>
      <c r="E1224" s="201"/>
      <c r="F1224" s="201"/>
      <c r="G1224" s="7">
        <f t="shared" ref="G1224:G1225" si="284">F1224*D1224</f>
        <v>0</v>
      </c>
      <c r="H1224" s="201">
        <f t="shared" ref="H1224:H1228" si="285">F1224*E1224</f>
        <v>0</v>
      </c>
      <c r="I1224" s="202"/>
      <c r="J1224" s="213" t="s">
        <v>21</v>
      </c>
      <c r="K1224" s="277" t="s">
        <v>196</v>
      </c>
      <c r="L1224" s="214"/>
      <c r="M1224" s="214" t="s">
        <v>138</v>
      </c>
      <c r="N1224" s="236"/>
      <c r="P1224" s="220"/>
    </row>
    <row r="1225" spans="1:16" s="219" customFormat="1" ht="14" outlineLevel="4">
      <c r="A1225" s="203"/>
      <c r="B1225" s="282" t="s">
        <v>88</v>
      </c>
      <c r="C1225" s="200" t="s">
        <v>11</v>
      </c>
      <c r="D1225" s="201"/>
      <c r="E1225" s="201"/>
      <c r="F1225" s="201"/>
      <c r="G1225" s="7">
        <f t="shared" si="284"/>
        <v>0</v>
      </c>
      <c r="H1225" s="201">
        <f t="shared" si="285"/>
        <v>0</v>
      </c>
      <c r="I1225" s="202"/>
      <c r="J1225" s="213" t="s">
        <v>21</v>
      </c>
      <c r="K1225" s="277" t="s">
        <v>196</v>
      </c>
      <c r="L1225" s="214"/>
      <c r="M1225" s="214" t="s">
        <v>138</v>
      </c>
      <c r="N1225" s="236"/>
      <c r="P1225" s="220"/>
    </row>
    <row r="1226" spans="1:16" s="219" customFormat="1" ht="14" outlineLevel="4">
      <c r="A1226" s="203"/>
      <c r="B1226" s="283" t="s">
        <v>48</v>
      </c>
      <c r="C1226" s="200"/>
      <c r="D1226" s="201"/>
      <c r="E1226" s="201"/>
      <c r="F1226" s="201"/>
      <c r="G1226" s="201"/>
      <c r="H1226" s="201">
        <f t="shared" si="285"/>
        <v>0</v>
      </c>
      <c r="I1226" s="202"/>
      <c r="J1226" s="213" t="s">
        <v>21</v>
      </c>
      <c r="K1226" s="277"/>
      <c r="L1226" s="214"/>
      <c r="M1226" s="214"/>
      <c r="N1226" s="236"/>
      <c r="P1226" s="220"/>
    </row>
    <row r="1227" spans="1:16" s="219" customFormat="1" ht="14" outlineLevel="4">
      <c r="A1227" s="203"/>
      <c r="B1227" s="218" t="s">
        <v>570</v>
      </c>
      <c r="C1227" s="200" t="s">
        <v>48</v>
      </c>
      <c r="D1227" s="201"/>
      <c r="E1227" s="201"/>
      <c r="F1227" s="144"/>
      <c r="G1227" s="7">
        <f t="shared" ref="G1227:G1228" si="286">F1227*D1227</f>
        <v>0</v>
      </c>
      <c r="H1227" s="201">
        <f t="shared" si="285"/>
        <v>0</v>
      </c>
      <c r="I1227" s="202"/>
      <c r="J1227" s="213" t="s">
        <v>21</v>
      </c>
      <c r="K1227" s="277" t="s">
        <v>196</v>
      </c>
      <c r="L1227" s="214"/>
      <c r="M1227" s="214" t="s">
        <v>138</v>
      </c>
      <c r="N1227" s="236"/>
      <c r="P1227" s="220"/>
    </row>
    <row r="1228" spans="1:16" s="219" customFormat="1" ht="14" outlineLevel="4">
      <c r="A1228" s="203"/>
      <c r="B1228" s="218" t="s">
        <v>50</v>
      </c>
      <c r="C1228" s="200" t="s">
        <v>48</v>
      </c>
      <c r="D1228" s="201"/>
      <c r="E1228" s="201"/>
      <c r="F1228" s="201"/>
      <c r="G1228" s="7">
        <f t="shared" si="286"/>
        <v>0</v>
      </c>
      <c r="H1228" s="201">
        <f t="shared" si="285"/>
        <v>0</v>
      </c>
      <c r="I1228" s="202"/>
      <c r="J1228" s="213" t="s">
        <v>21</v>
      </c>
      <c r="K1228" s="277" t="s">
        <v>196</v>
      </c>
      <c r="L1228" s="214"/>
      <c r="M1228" s="214" t="s">
        <v>138</v>
      </c>
      <c r="N1228" s="236"/>
      <c r="P1228" s="220"/>
    </row>
    <row r="1229" spans="1:16" s="216" customFormat="1" ht="14" outlineLevel="1">
      <c r="A1229" s="191" t="s">
        <v>755</v>
      </c>
      <c r="B1229" s="153" t="s">
        <v>999</v>
      </c>
      <c r="C1229" s="193"/>
      <c r="D1229" s="194"/>
      <c r="E1229" s="194"/>
      <c r="F1229" s="194"/>
      <c r="G1229" s="194"/>
      <c r="H1229" s="194">
        <f>SUBTOTAL(9,H1230:H1346)</f>
        <v>0</v>
      </c>
      <c r="I1229" s="194"/>
      <c r="J1229" s="213" t="s">
        <v>21</v>
      </c>
      <c r="K1229" s="214"/>
      <c r="L1229" s="214"/>
      <c r="M1229" s="215"/>
      <c r="N1229" s="215"/>
      <c r="P1229" s="217"/>
    </row>
    <row r="1230" spans="1:16" s="216" customFormat="1" ht="14" outlineLevel="3">
      <c r="A1230" s="191">
        <v>1</v>
      </c>
      <c r="B1230" s="192" t="s">
        <v>228</v>
      </c>
      <c r="C1230" s="252"/>
      <c r="D1230" s="242"/>
      <c r="E1230" s="242"/>
      <c r="F1230" s="242"/>
      <c r="G1230" s="242"/>
      <c r="H1230" s="242">
        <f>SUBTOTAL(9,H1231:H1242)</f>
        <v>0</v>
      </c>
      <c r="I1230" s="195"/>
      <c r="J1230" s="213" t="s">
        <v>21</v>
      </c>
      <c r="K1230" s="214"/>
      <c r="L1230" s="214"/>
      <c r="M1230" s="215"/>
      <c r="N1230" s="215"/>
      <c r="P1230" s="217"/>
    </row>
    <row r="1231" spans="1:16" s="216" customFormat="1" ht="14" outlineLevel="3">
      <c r="A1231" s="191">
        <v>1.1000000000000001</v>
      </c>
      <c r="B1231" s="250" t="s">
        <v>677</v>
      </c>
      <c r="C1231" s="252"/>
      <c r="D1231" s="242"/>
      <c r="E1231" s="242"/>
      <c r="F1231" s="242"/>
      <c r="G1231" s="242"/>
      <c r="H1231" s="242"/>
      <c r="I1231" s="264"/>
      <c r="J1231" s="213" t="s">
        <v>21</v>
      </c>
      <c r="K1231" s="214"/>
      <c r="L1231" s="214"/>
      <c r="M1231" s="215"/>
      <c r="N1231" s="215"/>
      <c r="P1231" s="217"/>
    </row>
    <row r="1232" spans="1:16" s="361" customFormat="1" ht="14" outlineLevel="3">
      <c r="A1232" s="354">
        <v>1.2</v>
      </c>
      <c r="B1232" s="363" t="s">
        <v>891</v>
      </c>
      <c r="C1232" s="356"/>
      <c r="D1232" s="357"/>
      <c r="E1232" s="357"/>
      <c r="F1232" s="357"/>
      <c r="G1232" s="357"/>
      <c r="H1232" s="357">
        <f>SUBTOTAL(9,H1233:H1242)</f>
        <v>0</v>
      </c>
      <c r="I1232" s="364"/>
      <c r="J1232" s="213" t="s">
        <v>21</v>
      </c>
      <c r="K1232" s="359"/>
      <c r="L1232" s="359"/>
      <c r="M1232" s="359" t="s">
        <v>32</v>
      </c>
      <c r="N1232" s="360"/>
    </row>
    <row r="1233" spans="1:14" s="371" customFormat="1" ht="14" outlineLevel="4">
      <c r="A1233" s="372" t="s">
        <v>8</v>
      </c>
      <c r="B1233" s="377" t="s">
        <v>678</v>
      </c>
      <c r="C1233" s="249" t="s">
        <v>24</v>
      </c>
      <c r="D1233" s="205"/>
      <c r="E1233" s="205"/>
      <c r="F1233" s="205"/>
      <c r="G1233" s="7">
        <f t="shared" ref="G1233:G1242" si="287">F1233*D1233</f>
        <v>0</v>
      </c>
      <c r="H1233" s="205">
        <f t="shared" ref="H1233:H1242" si="288">F1233*E1233</f>
        <v>0</v>
      </c>
      <c r="I1233" s="369"/>
      <c r="J1233" s="213" t="s">
        <v>21</v>
      </c>
      <c r="K1233" s="359" t="s">
        <v>122</v>
      </c>
      <c r="L1233" s="359" t="s">
        <v>94</v>
      </c>
      <c r="M1233" s="359" t="s">
        <v>32</v>
      </c>
      <c r="N1233" s="370"/>
    </row>
    <row r="1234" spans="1:14" s="371" customFormat="1" ht="14" outlineLevel="4">
      <c r="A1234" s="372" t="s">
        <v>8</v>
      </c>
      <c r="B1234" s="377" t="s">
        <v>679</v>
      </c>
      <c r="C1234" s="249" t="s">
        <v>15</v>
      </c>
      <c r="D1234" s="205"/>
      <c r="E1234" s="205"/>
      <c r="F1234" s="205"/>
      <c r="G1234" s="7">
        <f t="shared" si="287"/>
        <v>0</v>
      </c>
      <c r="H1234" s="205">
        <f t="shared" si="288"/>
        <v>0</v>
      </c>
      <c r="I1234" s="369"/>
      <c r="J1234" s="213" t="s">
        <v>21</v>
      </c>
      <c r="K1234" s="359" t="s">
        <v>122</v>
      </c>
      <c r="L1234" s="359" t="s">
        <v>94</v>
      </c>
      <c r="M1234" s="359" t="s">
        <v>32</v>
      </c>
      <c r="N1234" s="370"/>
    </row>
    <row r="1235" spans="1:14" s="371" customFormat="1" ht="14" outlineLevel="4">
      <c r="A1235" s="372" t="s">
        <v>8</v>
      </c>
      <c r="B1235" s="377" t="s">
        <v>680</v>
      </c>
      <c r="C1235" s="249" t="s">
        <v>15</v>
      </c>
      <c r="D1235" s="205"/>
      <c r="E1235" s="205"/>
      <c r="F1235" s="205"/>
      <c r="G1235" s="7">
        <f t="shared" si="287"/>
        <v>0</v>
      </c>
      <c r="H1235" s="205">
        <f t="shared" si="288"/>
        <v>0</v>
      </c>
      <c r="I1235" s="369"/>
      <c r="J1235" s="213" t="s">
        <v>21</v>
      </c>
      <c r="K1235" s="359" t="s">
        <v>122</v>
      </c>
      <c r="L1235" s="359" t="s">
        <v>94</v>
      </c>
      <c r="M1235" s="359" t="s">
        <v>32</v>
      </c>
      <c r="N1235" s="370"/>
    </row>
    <row r="1236" spans="1:14" s="371" customFormat="1" ht="14" outlineLevel="4">
      <c r="A1236" s="372" t="s">
        <v>8</v>
      </c>
      <c r="B1236" s="377" t="s">
        <v>681</v>
      </c>
      <c r="C1236" s="249" t="s">
        <v>15</v>
      </c>
      <c r="D1236" s="205"/>
      <c r="E1236" s="205"/>
      <c r="F1236" s="205"/>
      <c r="G1236" s="7">
        <f t="shared" si="287"/>
        <v>0</v>
      </c>
      <c r="H1236" s="205">
        <f t="shared" si="288"/>
        <v>0</v>
      </c>
      <c r="I1236" s="369"/>
      <c r="J1236" s="213" t="s">
        <v>21</v>
      </c>
      <c r="K1236" s="359" t="s">
        <v>122</v>
      </c>
      <c r="L1236" s="359" t="s">
        <v>94</v>
      </c>
      <c r="M1236" s="359" t="s">
        <v>32</v>
      </c>
      <c r="N1236" s="370"/>
    </row>
    <row r="1237" spans="1:14" s="371" customFormat="1" ht="14" outlineLevel="4">
      <c r="A1237" s="372" t="s">
        <v>8</v>
      </c>
      <c r="B1237" s="377" t="s">
        <v>682</v>
      </c>
      <c r="C1237" s="249" t="s">
        <v>24</v>
      </c>
      <c r="D1237" s="205"/>
      <c r="E1237" s="205"/>
      <c r="F1237" s="205"/>
      <c r="G1237" s="7">
        <f t="shared" si="287"/>
        <v>0</v>
      </c>
      <c r="H1237" s="205">
        <f t="shared" si="288"/>
        <v>0</v>
      </c>
      <c r="I1237" s="369"/>
      <c r="J1237" s="213" t="s">
        <v>21</v>
      </c>
      <c r="K1237" s="359" t="s">
        <v>122</v>
      </c>
      <c r="L1237" s="359" t="s">
        <v>94</v>
      </c>
      <c r="M1237" s="359" t="s">
        <v>32</v>
      </c>
      <c r="N1237" s="370"/>
    </row>
    <row r="1238" spans="1:14" s="371" customFormat="1" ht="14" outlineLevel="4">
      <c r="A1238" s="372" t="s">
        <v>8</v>
      </c>
      <c r="B1238" s="377" t="s">
        <v>683</v>
      </c>
      <c r="C1238" s="249" t="s">
        <v>15</v>
      </c>
      <c r="D1238" s="205"/>
      <c r="E1238" s="205"/>
      <c r="F1238" s="205"/>
      <c r="G1238" s="7">
        <f t="shared" si="287"/>
        <v>0</v>
      </c>
      <c r="H1238" s="205">
        <f t="shared" si="288"/>
        <v>0</v>
      </c>
      <c r="I1238" s="369"/>
      <c r="J1238" s="213" t="s">
        <v>21</v>
      </c>
      <c r="K1238" s="359" t="s">
        <v>122</v>
      </c>
      <c r="L1238" s="359" t="s">
        <v>94</v>
      </c>
      <c r="M1238" s="359" t="s">
        <v>32</v>
      </c>
      <c r="N1238" s="370"/>
    </row>
    <row r="1239" spans="1:14" s="371" customFormat="1" ht="14" outlineLevel="4">
      <c r="A1239" s="372" t="s">
        <v>8</v>
      </c>
      <c r="B1239" s="377" t="s">
        <v>684</v>
      </c>
      <c r="C1239" s="249" t="s">
        <v>15</v>
      </c>
      <c r="D1239" s="205"/>
      <c r="E1239" s="205"/>
      <c r="F1239" s="205"/>
      <c r="G1239" s="7">
        <f t="shared" si="287"/>
        <v>0</v>
      </c>
      <c r="H1239" s="205">
        <f t="shared" si="288"/>
        <v>0</v>
      </c>
      <c r="I1239" s="369"/>
      <c r="J1239" s="213" t="s">
        <v>21</v>
      </c>
      <c r="K1239" s="359" t="s">
        <v>122</v>
      </c>
      <c r="L1239" s="359" t="s">
        <v>94</v>
      </c>
      <c r="M1239" s="359" t="s">
        <v>32</v>
      </c>
      <c r="N1239" s="370"/>
    </row>
    <row r="1240" spans="1:14" s="371" customFormat="1" ht="14" outlineLevel="4">
      <c r="A1240" s="372" t="s">
        <v>8</v>
      </c>
      <c r="B1240" s="377" t="s">
        <v>685</v>
      </c>
      <c r="C1240" s="249" t="s">
        <v>15</v>
      </c>
      <c r="D1240" s="205"/>
      <c r="E1240" s="205"/>
      <c r="F1240" s="205"/>
      <c r="G1240" s="7">
        <f t="shared" si="287"/>
        <v>0</v>
      </c>
      <c r="H1240" s="205">
        <f t="shared" si="288"/>
        <v>0</v>
      </c>
      <c r="I1240" s="369"/>
      <c r="J1240" s="213" t="s">
        <v>21</v>
      </c>
      <c r="K1240" s="359" t="s">
        <v>122</v>
      </c>
      <c r="L1240" s="359" t="s">
        <v>94</v>
      </c>
      <c r="M1240" s="359" t="s">
        <v>32</v>
      </c>
      <c r="N1240" s="370"/>
    </row>
    <row r="1241" spans="1:14" s="371" customFormat="1" ht="14" outlineLevel="4">
      <c r="A1241" s="372" t="s">
        <v>8</v>
      </c>
      <c r="B1241" s="377" t="s">
        <v>686</v>
      </c>
      <c r="C1241" s="249" t="s">
        <v>15</v>
      </c>
      <c r="D1241" s="205"/>
      <c r="E1241" s="205"/>
      <c r="F1241" s="205"/>
      <c r="G1241" s="7">
        <f t="shared" si="287"/>
        <v>0</v>
      </c>
      <c r="H1241" s="205">
        <f t="shared" si="288"/>
        <v>0</v>
      </c>
      <c r="I1241" s="369"/>
      <c r="J1241" s="213" t="s">
        <v>21</v>
      </c>
      <c r="K1241" s="359" t="s">
        <v>122</v>
      </c>
      <c r="L1241" s="359" t="s">
        <v>94</v>
      </c>
      <c r="M1241" s="359" t="s">
        <v>32</v>
      </c>
      <c r="N1241" s="370"/>
    </row>
    <row r="1242" spans="1:14" s="371" customFormat="1" ht="14" outlineLevel="4">
      <c r="A1242" s="372" t="s">
        <v>8</v>
      </c>
      <c r="B1242" s="377" t="s">
        <v>687</v>
      </c>
      <c r="C1242" s="249" t="s">
        <v>15</v>
      </c>
      <c r="D1242" s="205"/>
      <c r="E1242" s="205"/>
      <c r="F1242" s="205"/>
      <c r="G1242" s="7">
        <f t="shared" si="287"/>
        <v>0</v>
      </c>
      <c r="H1242" s="205">
        <f t="shared" si="288"/>
        <v>0</v>
      </c>
      <c r="I1242" s="369"/>
      <c r="J1242" s="213" t="s">
        <v>21</v>
      </c>
      <c r="K1242" s="359" t="s">
        <v>122</v>
      </c>
      <c r="L1242" s="359" t="s">
        <v>94</v>
      </c>
      <c r="M1242" s="359" t="s">
        <v>32</v>
      </c>
      <c r="N1242" s="370"/>
    </row>
    <row r="1243" spans="1:14" s="361" customFormat="1" ht="14" outlineLevel="3">
      <c r="A1243" s="354">
        <v>1.3</v>
      </c>
      <c r="B1243" s="363" t="s">
        <v>990</v>
      </c>
      <c r="C1243" s="356"/>
      <c r="D1243" s="357"/>
      <c r="E1243" s="357"/>
      <c r="F1243" s="357"/>
      <c r="G1243" s="357"/>
      <c r="H1243" s="357">
        <f>SUBTOTAL(9,H1244:H1253)</f>
        <v>0</v>
      </c>
      <c r="I1243" s="364"/>
      <c r="J1243" s="213" t="s">
        <v>21</v>
      </c>
      <c r="K1243" s="359"/>
      <c r="L1243" s="359"/>
      <c r="M1243" s="359" t="s">
        <v>32</v>
      </c>
      <c r="N1243" s="360"/>
    </row>
    <row r="1244" spans="1:14" s="371" customFormat="1" ht="14" outlineLevel="4">
      <c r="A1244" s="372" t="s">
        <v>8</v>
      </c>
      <c r="B1244" s="377" t="s">
        <v>986</v>
      </c>
      <c r="C1244" s="249" t="s">
        <v>24</v>
      </c>
      <c r="D1244" s="205"/>
      <c r="E1244" s="205"/>
      <c r="F1244" s="205"/>
      <c r="G1244" s="7">
        <f t="shared" ref="G1244:G1253" si="289">F1244*D1244</f>
        <v>0</v>
      </c>
      <c r="H1244" s="205">
        <f t="shared" ref="H1244:H1253" si="290">F1244*E1244</f>
        <v>0</v>
      </c>
      <c r="I1244" s="369"/>
      <c r="J1244" s="213" t="s">
        <v>21</v>
      </c>
      <c r="K1244" s="359" t="s">
        <v>122</v>
      </c>
      <c r="L1244" s="359" t="s">
        <v>94</v>
      </c>
      <c r="M1244" s="359" t="s">
        <v>32</v>
      </c>
      <c r="N1244" s="370"/>
    </row>
    <row r="1245" spans="1:14" s="371" customFormat="1" ht="14" outlineLevel="4">
      <c r="A1245" s="372" t="s">
        <v>8</v>
      </c>
      <c r="B1245" s="377" t="s">
        <v>688</v>
      </c>
      <c r="C1245" s="249" t="s">
        <v>15</v>
      </c>
      <c r="D1245" s="205"/>
      <c r="E1245" s="205"/>
      <c r="F1245" s="205"/>
      <c r="G1245" s="7">
        <f t="shared" si="289"/>
        <v>0</v>
      </c>
      <c r="H1245" s="205">
        <f t="shared" si="290"/>
        <v>0</v>
      </c>
      <c r="I1245" s="369"/>
      <c r="J1245" s="213" t="s">
        <v>21</v>
      </c>
      <c r="K1245" s="359" t="s">
        <v>122</v>
      </c>
      <c r="L1245" s="359" t="s">
        <v>94</v>
      </c>
      <c r="M1245" s="359" t="s">
        <v>32</v>
      </c>
      <c r="N1245" s="370"/>
    </row>
    <row r="1246" spans="1:14" s="371" customFormat="1" ht="14" outlineLevel="4">
      <c r="A1246" s="372" t="s">
        <v>8</v>
      </c>
      <c r="B1246" s="377" t="s">
        <v>987</v>
      </c>
      <c r="C1246" s="249" t="s">
        <v>15</v>
      </c>
      <c r="D1246" s="205"/>
      <c r="E1246" s="205"/>
      <c r="F1246" s="205"/>
      <c r="G1246" s="7">
        <f t="shared" si="289"/>
        <v>0</v>
      </c>
      <c r="H1246" s="205">
        <f t="shared" si="290"/>
        <v>0</v>
      </c>
      <c r="I1246" s="369"/>
      <c r="J1246" s="213" t="s">
        <v>21</v>
      </c>
      <c r="K1246" s="359" t="s">
        <v>122</v>
      </c>
      <c r="L1246" s="359" t="s">
        <v>94</v>
      </c>
      <c r="M1246" s="359" t="s">
        <v>32</v>
      </c>
      <c r="N1246" s="370"/>
    </row>
    <row r="1247" spans="1:14" s="371" customFormat="1" ht="14" outlineLevel="4">
      <c r="A1247" s="372" t="s">
        <v>8</v>
      </c>
      <c r="B1247" s="377" t="s">
        <v>988</v>
      </c>
      <c r="C1247" s="249" t="s">
        <v>15</v>
      </c>
      <c r="D1247" s="205"/>
      <c r="E1247" s="205"/>
      <c r="F1247" s="205"/>
      <c r="G1247" s="7">
        <f t="shared" si="289"/>
        <v>0</v>
      </c>
      <c r="H1247" s="205">
        <f t="shared" si="290"/>
        <v>0</v>
      </c>
      <c r="I1247" s="369"/>
      <c r="J1247" s="213" t="s">
        <v>21</v>
      </c>
      <c r="K1247" s="359" t="s">
        <v>122</v>
      </c>
      <c r="L1247" s="359" t="s">
        <v>94</v>
      </c>
      <c r="M1247" s="359" t="s">
        <v>32</v>
      </c>
      <c r="N1247" s="370"/>
    </row>
    <row r="1248" spans="1:14" s="371" customFormat="1" ht="14" outlineLevel="4">
      <c r="A1248" s="372" t="s">
        <v>8</v>
      </c>
      <c r="B1248" s="377" t="s">
        <v>689</v>
      </c>
      <c r="C1248" s="249" t="s">
        <v>24</v>
      </c>
      <c r="D1248" s="205"/>
      <c r="E1248" s="205"/>
      <c r="F1248" s="205"/>
      <c r="G1248" s="7">
        <f t="shared" si="289"/>
        <v>0</v>
      </c>
      <c r="H1248" s="205">
        <f t="shared" si="290"/>
        <v>0</v>
      </c>
      <c r="I1248" s="369"/>
      <c r="J1248" s="213" t="s">
        <v>21</v>
      </c>
      <c r="K1248" s="359" t="s">
        <v>122</v>
      </c>
      <c r="L1248" s="359" t="s">
        <v>94</v>
      </c>
      <c r="M1248" s="359" t="s">
        <v>32</v>
      </c>
      <c r="N1248" s="370"/>
    </row>
    <row r="1249" spans="1:16" s="371" customFormat="1" ht="14" outlineLevel="4">
      <c r="A1249" s="372" t="s">
        <v>8</v>
      </c>
      <c r="B1249" s="377" t="s">
        <v>690</v>
      </c>
      <c r="C1249" s="249" t="s">
        <v>15</v>
      </c>
      <c r="D1249" s="205"/>
      <c r="E1249" s="205"/>
      <c r="F1249" s="205"/>
      <c r="G1249" s="7">
        <f t="shared" si="289"/>
        <v>0</v>
      </c>
      <c r="H1249" s="205">
        <f t="shared" si="290"/>
        <v>0</v>
      </c>
      <c r="I1249" s="369"/>
      <c r="J1249" s="213" t="s">
        <v>21</v>
      </c>
      <c r="K1249" s="359" t="s">
        <v>122</v>
      </c>
      <c r="L1249" s="359" t="s">
        <v>94</v>
      </c>
      <c r="M1249" s="359" t="s">
        <v>32</v>
      </c>
      <c r="N1249" s="370"/>
    </row>
    <row r="1250" spans="1:16" s="371" customFormat="1" ht="14" outlineLevel="4">
      <c r="A1250" s="372" t="s">
        <v>8</v>
      </c>
      <c r="B1250" s="377" t="s">
        <v>691</v>
      </c>
      <c r="C1250" s="249" t="s">
        <v>15</v>
      </c>
      <c r="D1250" s="205"/>
      <c r="E1250" s="205"/>
      <c r="F1250" s="205"/>
      <c r="G1250" s="7">
        <f t="shared" si="289"/>
        <v>0</v>
      </c>
      <c r="H1250" s="205">
        <f t="shared" si="290"/>
        <v>0</v>
      </c>
      <c r="I1250" s="369"/>
      <c r="J1250" s="213" t="s">
        <v>21</v>
      </c>
      <c r="K1250" s="359" t="s">
        <v>122</v>
      </c>
      <c r="L1250" s="359" t="s">
        <v>94</v>
      </c>
      <c r="M1250" s="359" t="s">
        <v>32</v>
      </c>
      <c r="N1250" s="370"/>
    </row>
    <row r="1251" spans="1:16" s="371" customFormat="1" ht="14" outlineLevel="4">
      <c r="A1251" s="372" t="s">
        <v>8</v>
      </c>
      <c r="B1251" s="377" t="s">
        <v>692</v>
      </c>
      <c r="C1251" s="249" t="s">
        <v>15</v>
      </c>
      <c r="D1251" s="205"/>
      <c r="E1251" s="205"/>
      <c r="F1251" s="205"/>
      <c r="G1251" s="7">
        <f t="shared" si="289"/>
        <v>0</v>
      </c>
      <c r="H1251" s="205">
        <f t="shared" si="290"/>
        <v>0</v>
      </c>
      <c r="I1251" s="369"/>
      <c r="J1251" s="213" t="s">
        <v>21</v>
      </c>
      <c r="K1251" s="359" t="s">
        <v>122</v>
      </c>
      <c r="L1251" s="359" t="s">
        <v>94</v>
      </c>
      <c r="M1251" s="359" t="s">
        <v>32</v>
      </c>
      <c r="N1251" s="370"/>
    </row>
    <row r="1252" spans="1:16" s="371" customFormat="1" ht="14" outlineLevel="4">
      <c r="A1252" s="372" t="s">
        <v>8</v>
      </c>
      <c r="B1252" s="377" t="s">
        <v>693</v>
      </c>
      <c r="C1252" s="249" t="s">
        <v>15</v>
      </c>
      <c r="D1252" s="205"/>
      <c r="E1252" s="205"/>
      <c r="F1252" s="205"/>
      <c r="G1252" s="7">
        <f t="shared" si="289"/>
        <v>0</v>
      </c>
      <c r="H1252" s="205">
        <f t="shared" si="290"/>
        <v>0</v>
      </c>
      <c r="I1252" s="369"/>
      <c r="J1252" s="213" t="s">
        <v>21</v>
      </c>
      <c r="K1252" s="359" t="s">
        <v>122</v>
      </c>
      <c r="L1252" s="359" t="s">
        <v>94</v>
      </c>
      <c r="M1252" s="359" t="s">
        <v>32</v>
      </c>
      <c r="N1252" s="370"/>
    </row>
    <row r="1253" spans="1:16" s="371" customFormat="1" ht="14" outlineLevel="4">
      <c r="A1253" s="372" t="s">
        <v>8</v>
      </c>
      <c r="B1253" s="377" t="s">
        <v>687</v>
      </c>
      <c r="C1253" s="249" t="s">
        <v>15</v>
      </c>
      <c r="D1253" s="205"/>
      <c r="E1253" s="205"/>
      <c r="F1253" s="205"/>
      <c r="G1253" s="7">
        <f t="shared" si="289"/>
        <v>0</v>
      </c>
      <c r="H1253" s="205">
        <f t="shared" si="290"/>
        <v>0</v>
      </c>
      <c r="I1253" s="369"/>
      <c r="J1253" s="213" t="s">
        <v>21</v>
      </c>
      <c r="K1253" s="359" t="s">
        <v>122</v>
      </c>
      <c r="L1253" s="359" t="s">
        <v>94</v>
      </c>
      <c r="M1253" s="359" t="s">
        <v>32</v>
      </c>
      <c r="N1253" s="370"/>
    </row>
    <row r="1254" spans="1:16" s="216" customFormat="1" ht="15" customHeight="1" outlineLevel="2">
      <c r="A1254" s="191">
        <v>2</v>
      </c>
      <c r="B1254" s="192" t="s">
        <v>229</v>
      </c>
      <c r="C1254" s="193"/>
      <c r="D1254" s="194"/>
      <c r="E1254" s="194"/>
      <c r="F1254" s="194"/>
      <c r="G1254" s="194">
        <f>SUBTOTAL(9,G1255:G1265)</f>
        <v>0</v>
      </c>
      <c r="H1254" s="194">
        <f>SUBTOTAL(9,H1255:H1265)</f>
        <v>0</v>
      </c>
      <c r="I1254" s="194"/>
      <c r="J1254" s="213" t="s">
        <v>21</v>
      </c>
      <c r="K1254" s="214"/>
      <c r="L1254" s="214"/>
      <c r="M1254" s="215"/>
      <c r="N1254" s="215"/>
      <c r="P1254" s="217"/>
    </row>
    <row r="1255" spans="1:16" s="216" customFormat="1" ht="14" outlineLevel="5">
      <c r="A1255" s="191">
        <v>2.2000000000000002</v>
      </c>
      <c r="B1255" s="211" t="s">
        <v>231</v>
      </c>
      <c r="C1255" s="193"/>
      <c r="D1255" s="194"/>
      <c r="E1255" s="194"/>
      <c r="F1255" s="194"/>
      <c r="G1255" s="194">
        <f>SUBTOTAL(9,G1256:G1265)</f>
        <v>0</v>
      </c>
      <c r="H1255" s="194">
        <f>SUBTOTAL(9,H1256:H1265)</f>
        <v>0</v>
      </c>
      <c r="I1255" s="194"/>
      <c r="J1255" s="213" t="s">
        <v>21</v>
      </c>
      <c r="K1255" s="214"/>
      <c r="L1255" s="214"/>
      <c r="M1255" s="215"/>
      <c r="N1255" s="215"/>
      <c r="P1255" s="217"/>
    </row>
    <row r="1256" spans="1:16" s="371" customFormat="1" ht="14" outlineLevel="5">
      <c r="A1256" s="372" t="s">
        <v>8</v>
      </c>
      <c r="B1256" s="373" t="s">
        <v>701</v>
      </c>
      <c r="C1256" s="249" t="s">
        <v>24</v>
      </c>
      <c r="D1256" s="205"/>
      <c r="E1256" s="205"/>
      <c r="F1256" s="205"/>
      <c r="G1256" s="7">
        <f t="shared" ref="G1256:G1265" si="291">F1256*D1256</f>
        <v>0</v>
      </c>
      <c r="H1256" s="205">
        <f t="shared" ref="H1256:H1265" si="292">F1256*E1256</f>
        <v>0</v>
      </c>
      <c r="I1256" s="369"/>
      <c r="J1256" s="213" t="s">
        <v>21</v>
      </c>
      <c r="K1256" s="359" t="s">
        <v>122</v>
      </c>
      <c r="L1256" s="359" t="s">
        <v>94</v>
      </c>
      <c r="M1256" s="359" t="s">
        <v>32</v>
      </c>
      <c r="N1256" s="370"/>
    </row>
    <row r="1257" spans="1:16" s="371" customFormat="1" ht="14" outlineLevel="5">
      <c r="A1257" s="372" t="s">
        <v>8</v>
      </c>
      <c r="B1257" s="373" t="s">
        <v>702</v>
      </c>
      <c r="C1257" s="249" t="s">
        <v>15</v>
      </c>
      <c r="D1257" s="205"/>
      <c r="E1257" s="205"/>
      <c r="F1257" s="205"/>
      <c r="G1257" s="7">
        <f t="shared" si="291"/>
        <v>0</v>
      </c>
      <c r="H1257" s="205">
        <f t="shared" si="292"/>
        <v>0</v>
      </c>
      <c r="I1257" s="369"/>
      <c r="J1257" s="213" t="s">
        <v>21</v>
      </c>
      <c r="K1257" s="359" t="s">
        <v>122</v>
      </c>
      <c r="L1257" s="359" t="s">
        <v>94</v>
      </c>
      <c r="M1257" s="359" t="s">
        <v>32</v>
      </c>
      <c r="N1257" s="370"/>
    </row>
    <row r="1258" spans="1:16" s="371" customFormat="1" ht="14" outlineLevel="5">
      <c r="A1258" s="372" t="s">
        <v>8</v>
      </c>
      <c r="B1258" s="373" t="s">
        <v>703</v>
      </c>
      <c r="C1258" s="249" t="s">
        <v>15</v>
      </c>
      <c r="D1258" s="205"/>
      <c r="E1258" s="205"/>
      <c r="F1258" s="205"/>
      <c r="G1258" s="7">
        <f t="shared" si="291"/>
        <v>0</v>
      </c>
      <c r="H1258" s="205">
        <f t="shared" si="292"/>
        <v>0</v>
      </c>
      <c r="I1258" s="369"/>
      <c r="J1258" s="213" t="s">
        <v>21</v>
      </c>
      <c r="K1258" s="359" t="s">
        <v>122</v>
      </c>
      <c r="L1258" s="359" t="s">
        <v>94</v>
      </c>
      <c r="M1258" s="359" t="s">
        <v>32</v>
      </c>
      <c r="N1258" s="370"/>
    </row>
    <row r="1259" spans="1:16" s="371" customFormat="1" ht="14" outlineLevel="5">
      <c r="A1259" s="372" t="s">
        <v>8</v>
      </c>
      <c r="B1259" s="373" t="s">
        <v>691</v>
      </c>
      <c r="C1259" s="249" t="s">
        <v>15</v>
      </c>
      <c r="D1259" s="205"/>
      <c r="E1259" s="205"/>
      <c r="F1259" s="205"/>
      <c r="G1259" s="7">
        <f t="shared" si="291"/>
        <v>0</v>
      </c>
      <c r="H1259" s="205">
        <f t="shared" si="292"/>
        <v>0</v>
      </c>
      <c r="I1259" s="369"/>
      <c r="J1259" s="213" t="s">
        <v>21</v>
      </c>
      <c r="K1259" s="359" t="s">
        <v>122</v>
      </c>
      <c r="L1259" s="359" t="s">
        <v>94</v>
      </c>
      <c r="M1259" s="359" t="s">
        <v>32</v>
      </c>
      <c r="N1259" s="370"/>
    </row>
    <row r="1260" spans="1:16" s="371" customFormat="1" ht="14" outlineLevel="5">
      <c r="A1260" s="372" t="s">
        <v>8</v>
      </c>
      <c r="B1260" s="373" t="s">
        <v>692</v>
      </c>
      <c r="C1260" s="249" t="s">
        <v>24</v>
      </c>
      <c r="D1260" s="205"/>
      <c r="E1260" s="205"/>
      <c r="F1260" s="205"/>
      <c r="G1260" s="7">
        <f t="shared" si="291"/>
        <v>0</v>
      </c>
      <c r="H1260" s="205">
        <f t="shared" si="292"/>
        <v>0</v>
      </c>
      <c r="I1260" s="369"/>
      <c r="J1260" s="213" t="s">
        <v>21</v>
      </c>
      <c r="K1260" s="359" t="s">
        <v>122</v>
      </c>
      <c r="L1260" s="359" t="s">
        <v>94</v>
      </c>
      <c r="M1260" s="359" t="s">
        <v>32</v>
      </c>
      <c r="N1260" s="370"/>
    </row>
    <row r="1261" spans="1:16" s="371" customFormat="1" ht="14" outlineLevel="5">
      <c r="A1261" s="372" t="s">
        <v>8</v>
      </c>
      <c r="B1261" s="373" t="s">
        <v>693</v>
      </c>
      <c r="C1261" s="249" t="s">
        <v>15</v>
      </c>
      <c r="D1261" s="205"/>
      <c r="E1261" s="205"/>
      <c r="F1261" s="205"/>
      <c r="G1261" s="7">
        <f t="shared" si="291"/>
        <v>0</v>
      </c>
      <c r="H1261" s="205">
        <f t="shared" si="292"/>
        <v>0</v>
      </c>
      <c r="I1261" s="369"/>
      <c r="J1261" s="213" t="s">
        <v>21</v>
      </c>
      <c r="K1261" s="359" t="s">
        <v>122</v>
      </c>
      <c r="L1261" s="359" t="s">
        <v>94</v>
      </c>
      <c r="M1261" s="359" t="s">
        <v>32</v>
      </c>
      <c r="N1261" s="370"/>
    </row>
    <row r="1262" spans="1:16" s="371" customFormat="1" ht="14" outlineLevel="5">
      <c r="A1262" s="372" t="s">
        <v>8</v>
      </c>
      <c r="B1262" s="373" t="s">
        <v>704</v>
      </c>
      <c r="C1262" s="249" t="s">
        <v>15</v>
      </c>
      <c r="D1262" s="205"/>
      <c r="E1262" s="205"/>
      <c r="F1262" s="205"/>
      <c r="G1262" s="7">
        <f t="shared" si="291"/>
        <v>0</v>
      </c>
      <c r="H1262" s="205">
        <f t="shared" si="292"/>
        <v>0</v>
      </c>
      <c r="I1262" s="369"/>
      <c r="J1262" s="213" t="s">
        <v>21</v>
      </c>
      <c r="K1262" s="359" t="s">
        <v>122</v>
      </c>
      <c r="L1262" s="359" t="s">
        <v>94</v>
      </c>
      <c r="M1262" s="359" t="s">
        <v>32</v>
      </c>
      <c r="N1262" s="370"/>
    </row>
    <row r="1263" spans="1:16" s="371" customFormat="1" ht="14" outlineLevel="5">
      <c r="A1263" s="372" t="s">
        <v>8</v>
      </c>
      <c r="B1263" s="373" t="s">
        <v>705</v>
      </c>
      <c r="C1263" s="249" t="s">
        <v>15</v>
      </c>
      <c r="D1263" s="205"/>
      <c r="E1263" s="205"/>
      <c r="F1263" s="205"/>
      <c r="G1263" s="7">
        <f t="shared" si="291"/>
        <v>0</v>
      </c>
      <c r="H1263" s="205">
        <f t="shared" si="292"/>
        <v>0</v>
      </c>
      <c r="I1263" s="369"/>
      <c r="J1263" s="213" t="s">
        <v>21</v>
      </c>
      <c r="K1263" s="359" t="s">
        <v>122</v>
      </c>
      <c r="L1263" s="359" t="s">
        <v>94</v>
      </c>
      <c r="M1263" s="359" t="s">
        <v>32</v>
      </c>
      <c r="N1263" s="370"/>
    </row>
    <row r="1264" spans="1:16" s="371" customFormat="1" ht="14" outlineLevel="5">
      <c r="A1264" s="372" t="s">
        <v>8</v>
      </c>
      <c r="B1264" s="373" t="s">
        <v>706</v>
      </c>
      <c r="C1264" s="249" t="s">
        <v>24</v>
      </c>
      <c r="D1264" s="205"/>
      <c r="E1264" s="205"/>
      <c r="F1264" s="205"/>
      <c r="G1264" s="7">
        <f t="shared" si="291"/>
        <v>0</v>
      </c>
      <c r="H1264" s="205">
        <f t="shared" si="292"/>
        <v>0</v>
      </c>
      <c r="I1264" s="369"/>
      <c r="J1264" s="213" t="s">
        <v>21</v>
      </c>
      <c r="K1264" s="359" t="s">
        <v>122</v>
      </c>
      <c r="L1264" s="359" t="s">
        <v>94</v>
      </c>
      <c r="M1264" s="359" t="s">
        <v>32</v>
      </c>
      <c r="N1264" s="370"/>
    </row>
    <row r="1265" spans="1:16" s="371" customFormat="1" ht="14" outlineLevel="5">
      <c r="A1265" s="372" t="s">
        <v>8</v>
      </c>
      <c r="B1265" s="373" t="s">
        <v>687</v>
      </c>
      <c r="C1265" s="249" t="s">
        <v>15</v>
      </c>
      <c r="D1265" s="205"/>
      <c r="E1265" s="205"/>
      <c r="F1265" s="205"/>
      <c r="G1265" s="7">
        <f t="shared" si="291"/>
        <v>0</v>
      </c>
      <c r="H1265" s="205">
        <f t="shared" si="292"/>
        <v>0</v>
      </c>
      <c r="I1265" s="369"/>
      <c r="J1265" s="213" t="s">
        <v>21</v>
      </c>
      <c r="K1265" s="359" t="s">
        <v>122</v>
      </c>
      <c r="L1265" s="359" t="s">
        <v>94</v>
      </c>
      <c r="M1265" s="359" t="s">
        <v>32</v>
      </c>
      <c r="N1265" s="370"/>
    </row>
    <row r="1266" spans="1:16" s="216" customFormat="1" ht="15" customHeight="1" outlineLevel="3">
      <c r="A1266" s="191">
        <v>3</v>
      </c>
      <c r="B1266" s="192" t="s">
        <v>232</v>
      </c>
      <c r="C1266" s="193"/>
      <c r="D1266" s="194"/>
      <c r="E1266" s="194"/>
      <c r="F1266" s="194"/>
      <c r="G1266" s="194"/>
      <c r="H1266" s="194"/>
      <c r="I1266" s="194"/>
      <c r="J1266" s="213" t="s">
        <v>21</v>
      </c>
      <c r="K1266" s="214"/>
      <c r="L1266" s="214"/>
      <c r="M1266" s="215"/>
      <c r="N1266" s="215"/>
      <c r="P1266" s="217"/>
    </row>
    <row r="1267" spans="1:16" s="361" customFormat="1" ht="14" outlineLevel="5">
      <c r="A1267" s="379">
        <v>3.1</v>
      </c>
      <c r="B1267" s="378" t="s">
        <v>89</v>
      </c>
      <c r="C1267" s="366"/>
      <c r="D1267" s="284"/>
      <c r="E1267" s="284"/>
      <c r="F1267" s="284"/>
      <c r="G1267" s="284"/>
      <c r="H1267" s="284">
        <f>SUBTOTAL(9,H1268:H1281)</f>
        <v>0</v>
      </c>
      <c r="I1267" s="284"/>
      <c r="J1267" s="213" t="s">
        <v>21</v>
      </c>
      <c r="K1267" s="359"/>
      <c r="L1267" s="359"/>
      <c r="M1267" s="359" t="s">
        <v>32</v>
      </c>
      <c r="N1267" s="360"/>
    </row>
    <row r="1268" spans="1:16" s="371" customFormat="1" ht="14" outlineLevel="5">
      <c r="A1268" s="372" t="s">
        <v>8</v>
      </c>
      <c r="B1268" s="373" t="s">
        <v>707</v>
      </c>
      <c r="C1268" s="249" t="s">
        <v>24</v>
      </c>
      <c r="D1268" s="205"/>
      <c r="E1268" s="205"/>
      <c r="F1268" s="205"/>
      <c r="G1268" s="7">
        <f t="shared" ref="G1268:G1281" si="293">F1268*D1268</f>
        <v>0</v>
      </c>
      <c r="H1268" s="205">
        <f t="shared" ref="H1268:H1281" si="294">F1268*E1268</f>
        <v>0</v>
      </c>
      <c r="I1268" s="369"/>
      <c r="J1268" s="213" t="s">
        <v>21</v>
      </c>
      <c r="K1268" s="359" t="s">
        <v>196</v>
      </c>
      <c r="L1268" s="359" t="s">
        <v>94</v>
      </c>
      <c r="M1268" s="359" t="s">
        <v>32</v>
      </c>
      <c r="N1268" s="370"/>
    </row>
    <row r="1269" spans="1:16" s="371" customFormat="1" ht="14" outlineLevel="5">
      <c r="A1269" s="372" t="s">
        <v>8</v>
      </c>
      <c r="B1269" s="373" t="s">
        <v>695</v>
      </c>
      <c r="C1269" s="249" t="s">
        <v>15</v>
      </c>
      <c r="D1269" s="205"/>
      <c r="E1269" s="205"/>
      <c r="F1269" s="205"/>
      <c r="G1269" s="7">
        <f t="shared" si="293"/>
        <v>0</v>
      </c>
      <c r="H1269" s="205">
        <f t="shared" si="294"/>
        <v>0</v>
      </c>
      <c r="I1269" s="369"/>
      <c r="J1269" s="213" t="s">
        <v>21</v>
      </c>
      <c r="K1269" s="359" t="s">
        <v>196</v>
      </c>
      <c r="L1269" s="359" t="s">
        <v>94</v>
      </c>
      <c r="M1269" s="359" t="s">
        <v>32</v>
      </c>
      <c r="N1269" s="370"/>
    </row>
    <row r="1270" spans="1:16" s="371" customFormat="1" ht="14" outlineLevel="5">
      <c r="A1270" s="372" t="s">
        <v>8</v>
      </c>
      <c r="B1270" s="373" t="s">
        <v>696</v>
      </c>
      <c r="C1270" s="249" t="s">
        <v>15</v>
      </c>
      <c r="D1270" s="205"/>
      <c r="E1270" s="205"/>
      <c r="F1270" s="205"/>
      <c r="G1270" s="7">
        <f t="shared" si="293"/>
        <v>0</v>
      </c>
      <c r="H1270" s="205">
        <f t="shared" si="294"/>
        <v>0</v>
      </c>
      <c r="I1270" s="369"/>
      <c r="J1270" s="213" t="s">
        <v>21</v>
      </c>
      <c r="K1270" s="359" t="s">
        <v>196</v>
      </c>
      <c r="L1270" s="359" t="s">
        <v>94</v>
      </c>
      <c r="M1270" s="359" t="s">
        <v>32</v>
      </c>
      <c r="N1270" s="370"/>
    </row>
    <row r="1271" spans="1:16" s="371" customFormat="1" ht="14" outlineLevel="5">
      <c r="A1271" s="372" t="s">
        <v>8</v>
      </c>
      <c r="B1271" s="373" t="s">
        <v>682</v>
      </c>
      <c r="C1271" s="249" t="s">
        <v>15</v>
      </c>
      <c r="D1271" s="205"/>
      <c r="E1271" s="205"/>
      <c r="F1271" s="205"/>
      <c r="G1271" s="7">
        <f t="shared" si="293"/>
        <v>0</v>
      </c>
      <c r="H1271" s="205">
        <f t="shared" si="294"/>
        <v>0</v>
      </c>
      <c r="I1271" s="369"/>
      <c r="J1271" s="213" t="s">
        <v>21</v>
      </c>
      <c r="K1271" s="359" t="s">
        <v>196</v>
      </c>
      <c r="L1271" s="359" t="s">
        <v>94</v>
      </c>
      <c r="M1271" s="359" t="s">
        <v>32</v>
      </c>
      <c r="N1271" s="370"/>
    </row>
    <row r="1272" spans="1:16" s="371" customFormat="1" ht="14" outlineLevel="5">
      <c r="A1272" s="372" t="s">
        <v>8</v>
      </c>
      <c r="B1272" s="373" t="s">
        <v>683</v>
      </c>
      <c r="C1272" s="249" t="s">
        <v>15</v>
      </c>
      <c r="D1272" s="205"/>
      <c r="E1272" s="205"/>
      <c r="F1272" s="205"/>
      <c r="G1272" s="7">
        <f t="shared" si="293"/>
        <v>0</v>
      </c>
      <c r="H1272" s="205">
        <f t="shared" si="294"/>
        <v>0</v>
      </c>
      <c r="I1272" s="369"/>
      <c r="J1272" s="213" t="s">
        <v>21</v>
      </c>
      <c r="K1272" s="359" t="s">
        <v>196</v>
      </c>
      <c r="L1272" s="359" t="s">
        <v>94</v>
      </c>
      <c r="M1272" s="359" t="s">
        <v>32</v>
      </c>
      <c r="N1272" s="370"/>
    </row>
    <row r="1273" spans="1:16" s="371" customFormat="1" ht="14" outlineLevel="5">
      <c r="A1273" s="372" t="s">
        <v>8</v>
      </c>
      <c r="B1273" s="373" t="s">
        <v>708</v>
      </c>
      <c r="C1273" s="249" t="s">
        <v>15</v>
      </c>
      <c r="D1273" s="205"/>
      <c r="E1273" s="205"/>
      <c r="F1273" s="205"/>
      <c r="G1273" s="7">
        <f t="shared" si="293"/>
        <v>0</v>
      </c>
      <c r="H1273" s="205">
        <f t="shared" si="294"/>
        <v>0</v>
      </c>
      <c r="I1273" s="369"/>
      <c r="J1273" s="213" t="s">
        <v>21</v>
      </c>
      <c r="K1273" s="359" t="s">
        <v>196</v>
      </c>
      <c r="L1273" s="359" t="s">
        <v>94</v>
      </c>
      <c r="M1273" s="359" t="s">
        <v>32</v>
      </c>
      <c r="N1273" s="370"/>
    </row>
    <row r="1274" spans="1:16" s="371" customFormat="1" ht="14" outlineLevel="5">
      <c r="A1274" s="372" t="s">
        <v>8</v>
      </c>
      <c r="B1274" s="373" t="s">
        <v>697</v>
      </c>
      <c r="C1274" s="249" t="s">
        <v>15</v>
      </c>
      <c r="D1274" s="205"/>
      <c r="E1274" s="205"/>
      <c r="F1274" s="205"/>
      <c r="G1274" s="7">
        <f t="shared" si="293"/>
        <v>0</v>
      </c>
      <c r="H1274" s="205">
        <f t="shared" si="294"/>
        <v>0</v>
      </c>
      <c r="I1274" s="369"/>
      <c r="J1274" s="213" t="s">
        <v>21</v>
      </c>
      <c r="K1274" s="359" t="s">
        <v>196</v>
      </c>
      <c r="L1274" s="359" t="s">
        <v>94</v>
      </c>
      <c r="M1274" s="359" t="s">
        <v>32</v>
      </c>
      <c r="N1274" s="370"/>
    </row>
    <row r="1275" spans="1:16" s="371" customFormat="1" ht="14" outlineLevel="5">
      <c r="A1275" s="372" t="s">
        <v>8</v>
      </c>
      <c r="B1275" s="373" t="s">
        <v>709</v>
      </c>
      <c r="C1275" s="249" t="s">
        <v>15</v>
      </c>
      <c r="D1275" s="205"/>
      <c r="E1275" s="205"/>
      <c r="F1275" s="205"/>
      <c r="G1275" s="7">
        <f t="shared" si="293"/>
        <v>0</v>
      </c>
      <c r="H1275" s="205">
        <f t="shared" si="294"/>
        <v>0</v>
      </c>
      <c r="I1275" s="369"/>
      <c r="J1275" s="213" t="s">
        <v>21</v>
      </c>
      <c r="K1275" s="359" t="s">
        <v>196</v>
      </c>
      <c r="L1275" s="359" t="s">
        <v>94</v>
      </c>
      <c r="M1275" s="359" t="s">
        <v>32</v>
      </c>
      <c r="N1275" s="370"/>
    </row>
    <row r="1276" spans="1:16" s="371" customFormat="1" ht="14" outlineLevel="5">
      <c r="A1276" s="372" t="s">
        <v>8</v>
      </c>
      <c r="B1276" s="373" t="s">
        <v>684</v>
      </c>
      <c r="C1276" s="249" t="s">
        <v>15</v>
      </c>
      <c r="D1276" s="205"/>
      <c r="E1276" s="205"/>
      <c r="F1276" s="205"/>
      <c r="G1276" s="7">
        <f t="shared" si="293"/>
        <v>0</v>
      </c>
      <c r="H1276" s="205">
        <f t="shared" si="294"/>
        <v>0</v>
      </c>
      <c r="I1276" s="369"/>
      <c r="J1276" s="213" t="s">
        <v>21</v>
      </c>
      <c r="K1276" s="359" t="s">
        <v>196</v>
      </c>
      <c r="L1276" s="359" t="s">
        <v>94</v>
      </c>
      <c r="M1276" s="359" t="s">
        <v>32</v>
      </c>
      <c r="N1276" s="370"/>
    </row>
    <row r="1277" spans="1:16" s="371" customFormat="1" ht="14" outlineLevel="5">
      <c r="A1277" s="372" t="s">
        <v>8</v>
      </c>
      <c r="B1277" s="373" t="s">
        <v>685</v>
      </c>
      <c r="C1277" s="249" t="s">
        <v>15</v>
      </c>
      <c r="D1277" s="205"/>
      <c r="E1277" s="205"/>
      <c r="F1277" s="205"/>
      <c r="G1277" s="7">
        <f t="shared" si="293"/>
        <v>0</v>
      </c>
      <c r="H1277" s="205">
        <f t="shared" si="294"/>
        <v>0</v>
      </c>
      <c r="I1277" s="369"/>
      <c r="J1277" s="213" t="s">
        <v>21</v>
      </c>
      <c r="K1277" s="359" t="s">
        <v>196</v>
      </c>
      <c r="L1277" s="359" t="s">
        <v>94</v>
      </c>
      <c r="M1277" s="359" t="s">
        <v>32</v>
      </c>
      <c r="N1277" s="370"/>
    </row>
    <row r="1278" spans="1:16" s="371" customFormat="1" ht="14" outlineLevel="5">
      <c r="A1278" s="372" t="s">
        <v>8</v>
      </c>
      <c r="B1278" s="373" t="s">
        <v>686</v>
      </c>
      <c r="C1278" s="249" t="s">
        <v>15</v>
      </c>
      <c r="D1278" s="205"/>
      <c r="E1278" s="205"/>
      <c r="F1278" s="205"/>
      <c r="G1278" s="7">
        <f t="shared" si="293"/>
        <v>0</v>
      </c>
      <c r="H1278" s="205">
        <f t="shared" si="294"/>
        <v>0</v>
      </c>
      <c r="I1278" s="369"/>
      <c r="J1278" s="213" t="s">
        <v>21</v>
      </c>
      <c r="K1278" s="359" t="s">
        <v>196</v>
      </c>
      <c r="L1278" s="359" t="s">
        <v>94</v>
      </c>
      <c r="M1278" s="359" t="s">
        <v>32</v>
      </c>
      <c r="N1278" s="370"/>
    </row>
    <row r="1279" spans="1:16" s="371" customFormat="1" ht="14" outlineLevel="5">
      <c r="A1279" s="372" t="s">
        <v>8</v>
      </c>
      <c r="B1279" s="373" t="s">
        <v>698</v>
      </c>
      <c r="C1279" s="249" t="s">
        <v>15</v>
      </c>
      <c r="D1279" s="205"/>
      <c r="E1279" s="205"/>
      <c r="F1279" s="205"/>
      <c r="G1279" s="7">
        <f t="shared" si="293"/>
        <v>0</v>
      </c>
      <c r="H1279" s="205">
        <f t="shared" si="294"/>
        <v>0</v>
      </c>
      <c r="I1279" s="369"/>
      <c r="J1279" s="213" t="s">
        <v>21</v>
      </c>
      <c r="K1279" s="359" t="s">
        <v>196</v>
      </c>
      <c r="L1279" s="359" t="s">
        <v>94</v>
      </c>
      <c r="M1279" s="359" t="s">
        <v>32</v>
      </c>
      <c r="N1279" s="370"/>
    </row>
    <row r="1280" spans="1:16" s="371" customFormat="1" ht="14" outlineLevel="5">
      <c r="A1280" s="372" t="s">
        <v>8</v>
      </c>
      <c r="B1280" s="373" t="s">
        <v>710</v>
      </c>
      <c r="C1280" s="249" t="s">
        <v>15</v>
      </c>
      <c r="D1280" s="205"/>
      <c r="E1280" s="205"/>
      <c r="F1280" s="205"/>
      <c r="G1280" s="7">
        <f t="shared" si="293"/>
        <v>0</v>
      </c>
      <c r="H1280" s="205">
        <f t="shared" si="294"/>
        <v>0</v>
      </c>
      <c r="I1280" s="369"/>
      <c r="J1280" s="213" t="s">
        <v>21</v>
      </c>
      <c r="K1280" s="359" t="s">
        <v>196</v>
      </c>
      <c r="L1280" s="359" t="s">
        <v>94</v>
      </c>
      <c r="M1280" s="359" t="s">
        <v>32</v>
      </c>
      <c r="N1280" s="370"/>
    </row>
    <row r="1281" spans="1:16" s="371" customFormat="1" ht="14" outlineLevel="5">
      <c r="A1281" s="372" t="s">
        <v>8</v>
      </c>
      <c r="B1281" s="373" t="s">
        <v>687</v>
      </c>
      <c r="C1281" s="249" t="s">
        <v>15</v>
      </c>
      <c r="D1281" s="205"/>
      <c r="E1281" s="205"/>
      <c r="F1281" s="205"/>
      <c r="G1281" s="7">
        <f t="shared" si="293"/>
        <v>0</v>
      </c>
      <c r="H1281" s="205">
        <f t="shared" si="294"/>
        <v>0</v>
      </c>
      <c r="I1281" s="369"/>
      <c r="J1281" s="213" t="s">
        <v>21</v>
      </c>
      <c r="K1281" s="359" t="s">
        <v>196</v>
      </c>
      <c r="L1281" s="359" t="s">
        <v>94</v>
      </c>
      <c r="M1281" s="359" t="s">
        <v>32</v>
      </c>
      <c r="N1281" s="370"/>
    </row>
    <row r="1282" spans="1:16" s="216" customFormat="1" ht="15" customHeight="1" outlineLevel="3">
      <c r="A1282" s="191">
        <v>4</v>
      </c>
      <c r="B1282" s="192" t="s">
        <v>234</v>
      </c>
      <c r="C1282" s="193"/>
      <c r="D1282" s="194"/>
      <c r="E1282" s="194"/>
      <c r="F1282" s="194"/>
      <c r="G1282" s="194"/>
      <c r="H1282" s="194">
        <f>SUBTOTAL(9,H1283:H1343)</f>
        <v>0</v>
      </c>
      <c r="I1282" s="194"/>
      <c r="J1282" s="213" t="s">
        <v>21</v>
      </c>
      <c r="K1282" s="214"/>
      <c r="L1282" s="214"/>
      <c r="M1282" s="215"/>
      <c r="N1282" s="215"/>
      <c r="P1282" s="217"/>
    </row>
    <row r="1283" spans="1:16" s="216" customFormat="1" ht="13" customHeight="1" outlineLevel="4">
      <c r="A1283" s="191">
        <v>4.2</v>
      </c>
      <c r="B1283" s="250" t="s">
        <v>716</v>
      </c>
      <c r="C1283" s="193"/>
      <c r="D1283" s="194"/>
      <c r="E1283" s="194"/>
      <c r="F1283" s="194"/>
      <c r="G1283" s="194"/>
      <c r="H1283" s="194">
        <f>SUBTOTAL(9,H1284:H1291)</f>
        <v>0</v>
      </c>
      <c r="I1283" s="194"/>
      <c r="J1283" s="213" t="s">
        <v>21</v>
      </c>
      <c r="K1283" s="214"/>
      <c r="L1283" s="214"/>
      <c r="M1283" s="215"/>
      <c r="N1283" s="215"/>
      <c r="P1283" s="217"/>
    </row>
    <row r="1284" spans="1:16" s="219" customFormat="1" ht="14" outlineLevel="5">
      <c r="A1284" s="208" t="s">
        <v>8</v>
      </c>
      <c r="B1284" s="267" t="s">
        <v>717</v>
      </c>
      <c r="C1284" s="200" t="s">
        <v>714</v>
      </c>
      <c r="D1284" s="201"/>
      <c r="E1284" s="201"/>
      <c r="F1284" s="201"/>
      <c r="G1284" s="7">
        <f t="shared" ref="G1284:G1291" si="295">F1284*D1284</f>
        <v>0</v>
      </c>
      <c r="H1284" s="201">
        <f t="shared" ref="H1284:H1291" si="296">F1284*E1284</f>
        <v>0</v>
      </c>
      <c r="I1284" s="202"/>
      <c r="J1284" s="213" t="s">
        <v>21</v>
      </c>
      <c r="K1284" s="214" t="s">
        <v>122</v>
      </c>
      <c r="L1284" s="214" t="s">
        <v>94</v>
      </c>
      <c r="M1284" s="214" t="s">
        <v>32</v>
      </c>
      <c r="N1284" s="236"/>
      <c r="P1284" s="220"/>
    </row>
    <row r="1285" spans="1:16" s="219" customFormat="1" ht="14" outlineLevel="5">
      <c r="A1285" s="203" t="s">
        <v>8</v>
      </c>
      <c r="B1285" s="266" t="s">
        <v>718</v>
      </c>
      <c r="C1285" s="200" t="s">
        <v>23</v>
      </c>
      <c r="D1285" s="201"/>
      <c r="E1285" s="201"/>
      <c r="F1285" s="201"/>
      <c r="G1285" s="7">
        <f t="shared" si="295"/>
        <v>0</v>
      </c>
      <c r="H1285" s="201">
        <f t="shared" si="296"/>
        <v>0</v>
      </c>
      <c r="I1285" s="202"/>
      <c r="J1285" s="213" t="s">
        <v>21</v>
      </c>
      <c r="K1285" s="214" t="s">
        <v>122</v>
      </c>
      <c r="L1285" s="214" t="s">
        <v>94</v>
      </c>
      <c r="M1285" s="214" t="s">
        <v>32</v>
      </c>
      <c r="N1285" s="236"/>
      <c r="P1285" s="220"/>
    </row>
    <row r="1286" spans="1:16" s="219" customFormat="1" ht="14" outlineLevel="5">
      <c r="A1286" s="203" t="s">
        <v>8</v>
      </c>
      <c r="B1286" s="266" t="s">
        <v>719</v>
      </c>
      <c r="C1286" s="200" t="s">
        <v>23</v>
      </c>
      <c r="D1286" s="201"/>
      <c r="E1286" s="201"/>
      <c r="F1286" s="201"/>
      <c r="G1286" s="7">
        <f t="shared" si="295"/>
        <v>0</v>
      </c>
      <c r="H1286" s="201">
        <f t="shared" si="296"/>
        <v>0</v>
      </c>
      <c r="I1286" s="202"/>
      <c r="J1286" s="213" t="s">
        <v>21</v>
      </c>
      <c r="K1286" s="214" t="s">
        <v>122</v>
      </c>
      <c r="L1286" s="214" t="s">
        <v>94</v>
      </c>
      <c r="M1286" s="214" t="s">
        <v>32</v>
      </c>
      <c r="N1286" s="236"/>
      <c r="P1286" s="220"/>
    </row>
    <row r="1287" spans="1:16" s="219" customFormat="1" ht="14" outlineLevel="5">
      <c r="A1287" s="208" t="s">
        <v>8</v>
      </c>
      <c r="B1287" s="267" t="s">
        <v>720</v>
      </c>
      <c r="C1287" s="200" t="s">
        <v>23</v>
      </c>
      <c r="D1287" s="201"/>
      <c r="E1287" s="201"/>
      <c r="F1287" s="201"/>
      <c r="G1287" s="7">
        <f t="shared" si="295"/>
        <v>0</v>
      </c>
      <c r="H1287" s="201">
        <f t="shared" si="296"/>
        <v>0</v>
      </c>
      <c r="I1287" s="202"/>
      <c r="J1287" s="213" t="s">
        <v>21</v>
      </c>
      <c r="K1287" s="214" t="s">
        <v>122</v>
      </c>
      <c r="L1287" s="214" t="s">
        <v>94</v>
      </c>
      <c r="M1287" s="214" t="s">
        <v>32</v>
      </c>
      <c r="N1287" s="236"/>
      <c r="P1287" s="220"/>
    </row>
    <row r="1288" spans="1:16" s="219" customFormat="1" ht="14" outlineLevel="5">
      <c r="A1288" s="203" t="s">
        <v>8</v>
      </c>
      <c r="B1288" s="266" t="s">
        <v>721</v>
      </c>
      <c r="C1288" s="200" t="s">
        <v>23</v>
      </c>
      <c r="D1288" s="201"/>
      <c r="E1288" s="201"/>
      <c r="F1288" s="201"/>
      <c r="G1288" s="7">
        <f t="shared" si="295"/>
        <v>0</v>
      </c>
      <c r="H1288" s="201">
        <f t="shared" si="296"/>
        <v>0</v>
      </c>
      <c r="I1288" s="202"/>
      <c r="J1288" s="213" t="s">
        <v>21</v>
      </c>
      <c r="K1288" s="214" t="s">
        <v>122</v>
      </c>
      <c r="L1288" s="214" t="s">
        <v>94</v>
      </c>
      <c r="M1288" s="214" t="s">
        <v>32</v>
      </c>
      <c r="N1288" s="236"/>
      <c r="P1288" s="220"/>
    </row>
    <row r="1289" spans="1:16" s="219" customFormat="1" ht="14" outlineLevel="5">
      <c r="A1289" s="203" t="s">
        <v>8</v>
      </c>
      <c r="B1289" s="266" t="s">
        <v>691</v>
      </c>
      <c r="C1289" s="200" t="s">
        <v>139</v>
      </c>
      <c r="D1289" s="201"/>
      <c r="E1289" s="201"/>
      <c r="F1289" s="201"/>
      <c r="G1289" s="7">
        <f t="shared" si="295"/>
        <v>0</v>
      </c>
      <c r="H1289" s="201">
        <f t="shared" si="296"/>
        <v>0</v>
      </c>
      <c r="I1289" s="202"/>
      <c r="J1289" s="213" t="s">
        <v>21</v>
      </c>
      <c r="K1289" s="214" t="s">
        <v>122</v>
      </c>
      <c r="L1289" s="214" t="s">
        <v>94</v>
      </c>
      <c r="M1289" s="214" t="s">
        <v>32</v>
      </c>
      <c r="N1289" s="236"/>
      <c r="P1289" s="220"/>
    </row>
    <row r="1290" spans="1:16" s="219" customFormat="1" ht="14" outlineLevel="5">
      <c r="A1290" s="203" t="s">
        <v>8</v>
      </c>
      <c r="B1290" s="266" t="s">
        <v>698</v>
      </c>
      <c r="C1290" s="200" t="s">
        <v>139</v>
      </c>
      <c r="D1290" s="201"/>
      <c r="E1290" s="201"/>
      <c r="F1290" s="201"/>
      <c r="G1290" s="7">
        <f t="shared" si="295"/>
        <v>0</v>
      </c>
      <c r="H1290" s="201">
        <f t="shared" si="296"/>
        <v>0</v>
      </c>
      <c r="I1290" s="202"/>
      <c r="J1290" s="213" t="s">
        <v>21</v>
      </c>
      <c r="K1290" s="214" t="s">
        <v>122</v>
      </c>
      <c r="L1290" s="214" t="s">
        <v>94</v>
      </c>
      <c r="M1290" s="214" t="s">
        <v>32</v>
      </c>
      <c r="N1290" s="236"/>
      <c r="P1290" s="220"/>
    </row>
    <row r="1291" spans="1:16" s="219" customFormat="1" ht="14" outlineLevel="5">
      <c r="A1291" s="208" t="s">
        <v>8</v>
      </c>
      <c r="B1291" s="267" t="s">
        <v>687</v>
      </c>
      <c r="C1291" s="200" t="s">
        <v>715</v>
      </c>
      <c r="D1291" s="201"/>
      <c r="E1291" s="201"/>
      <c r="F1291" s="201"/>
      <c r="G1291" s="7">
        <f t="shared" si="295"/>
        <v>0</v>
      </c>
      <c r="H1291" s="201">
        <f t="shared" si="296"/>
        <v>0</v>
      </c>
      <c r="I1291" s="202"/>
      <c r="J1291" s="213" t="s">
        <v>21</v>
      </c>
      <c r="K1291" s="214" t="s">
        <v>122</v>
      </c>
      <c r="L1291" s="214" t="s">
        <v>94</v>
      </c>
      <c r="M1291" s="214" t="s">
        <v>32</v>
      </c>
      <c r="N1291" s="236"/>
      <c r="P1291" s="220"/>
    </row>
    <row r="1292" spans="1:16" s="216" customFormat="1" ht="13" customHeight="1" outlineLevel="4">
      <c r="A1292" s="191">
        <v>4.3</v>
      </c>
      <c r="B1292" s="250" t="s">
        <v>722</v>
      </c>
      <c r="C1292" s="193"/>
      <c r="D1292" s="194"/>
      <c r="E1292" s="194"/>
      <c r="F1292" s="194"/>
      <c r="G1292" s="194"/>
      <c r="H1292" s="194">
        <f>SUBTOTAL(9,H1293:H1300)</f>
        <v>0</v>
      </c>
      <c r="I1292" s="194"/>
      <c r="J1292" s="213" t="s">
        <v>21</v>
      </c>
      <c r="K1292" s="214"/>
      <c r="L1292" s="214"/>
      <c r="M1292" s="215"/>
      <c r="N1292" s="215"/>
      <c r="P1292" s="217"/>
    </row>
    <row r="1293" spans="1:16" s="219" customFormat="1" ht="14" outlineLevel="5">
      <c r="A1293" s="208" t="s">
        <v>8</v>
      </c>
      <c r="B1293" s="267" t="s">
        <v>723</v>
      </c>
      <c r="C1293" s="200" t="s">
        <v>714</v>
      </c>
      <c r="D1293" s="201"/>
      <c r="E1293" s="201"/>
      <c r="F1293" s="201"/>
      <c r="G1293" s="7">
        <f t="shared" ref="G1293:G1300" si="297">F1293*D1293</f>
        <v>0</v>
      </c>
      <c r="H1293" s="201">
        <f t="shared" ref="H1293:H1300" si="298">F1293*E1293</f>
        <v>0</v>
      </c>
      <c r="I1293" s="202"/>
      <c r="J1293" s="213" t="s">
        <v>21</v>
      </c>
      <c r="K1293" s="214" t="s">
        <v>122</v>
      </c>
      <c r="L1293" s="214" t="s">
        <v>94</v>
      </c>
      <c r="M1293" s="214" t="s">
        <v>32</v>
      </c>
      <c r="N1293" s="236"/>
      <c r="P1293" s="220"/>
    </row>
    <row r="1294" spans="1:16" s="219" customFormat="1" ht="14" outlineLevel="5">
      <c r="A1294" s="203" t="s">
        <v>8</v>
      </c>
      <c r="B1294" s="266" t="s">
        <v>720</v>
      </c>
      <c r="C1294" s="200" t="s">
        <v>23</v>
      </c>
      <c r="D1294" s="201"/>
      <c r="E1294" s="201"/>
      <c r="F1294" s="201"/>
      <c r="G1294" s="7">
        <f t="shared" si="297"/>
        <v>0</v>
      </c>
      <c r="H1294" s="201">
        <f t="shared" si="298"/>
        <v>0</v>
      </c>
      <c r="I1294" s="202"/>
      <c r="J1294" s="213" t="s">
        <v>21</v>
      </c>
      <c r="K1294" s="214" t="s">
        <v>122</v>
      </c>
      <c r="L1294" s="214" t="s">
        <v>94</v>
      </c>
      <c r="M1294" s="214" t="s">
        <v>32</v>
      </c>
      <c r="N1294" s="236"/>
      <c r="P1294" s="220"/>
    </row>
    <row r="1295" spans="1:16" s="219" customFormat="1" ht="14" outlineLevel="5">
      <c r="A1295" s="203" t="s">
        <v>8</v>
      </c>
      <c r="B1295" s="266" t="s">
        <v>721</v>
      </c>
      <c r="C1295" s="200" t="s">
        <v>23</v>
      </c>
      <c r="D1295" s="201"/>
      <c r="E1295" s="201"/>
      <c r="F1295" s="201"/>
      <c r="G1295" s="7">
        <f t="shared" si="297"/>
        <v>0</v>
      </c>
      <c r="H1295" s="201">
        <f t="shared" si="298"/>
        <v>0</v>
      </c>
      <c r="I1295" s="202"/>
      <c r="J1295" s="213" t="s">
        <v>21</v>
      </c>
      <c r="K1295" s="214" t="s">
        <v>122</v>
      </c>
      <c r="L1295" s="214" t="s">
        <v>94</v>
      </c>
      <c r="M1295" s="214" t="s">
        <v>32</v>
      </c>
      <c r="N1295" s="236"/>
      <c r="P1295" s="220"/>
    </row>
    <row r="1296" spans="1:16" s="219" customFormat="1" ht="14" outlineLevel="5">
      <c r="A1296" s="208" t="s">
        <v>8</v>
      </c>
      <c r="B1296" s="267" t="s">
        <v>724</v>
      </c>
      <c r="C1296" s="200" t="s">
        <v>23</v>
      </c>
      <c r="D1296" s="201"/>
      <c r="E1296" s="201"/>
      <c r="F1296" s="201"/>
      <c r="G1296" s="7">
        <f t="shared" si="297"/>
        <v>0</v>
      </c>
      <c r="H1296" s="201">
        <f t="shared" si="298"/>
        <v>0</v>
      </c>
      <c r="I1296" s="202"/>
      <c r="J1296" s="213" t="s">
        <v>21</v>
      </c>
      <c r="K1296" s="214" t="s">
        <v>122</v>
      </c>
      <c r="L1296" s="214" t="s">
        <v>94</v>
      </c>
      <c r="M1296" s="214" t="s">
        <v>32</v>
      </c>
      <c r="N1296" s="236"/>
      <c r="P1296" s="220"/>
    </row>
    <row r="1297" spans="1:16" s="219" customFormat="1" ht="14" outlineLevel="5">
      <c r="A1297" s="203" t="s">
        <v>8</v>
      </c>
      <c r="B1297" s="266" t="s">
        <v>691</v>
      </c>
      <c r="C1297" s="200" t="s">
        <v>139</v>
      </c>
      <c r="D1297" s="201"/>
      <c r="E1297" s="201"/>
      <c r="F1297" s="201"/>
      <c r="G1297" s="7">
        <f t="shared" si="297"/>
        <v>0</v>
      </c>
      <c r="H1297" s="201">
        <f t="shared" si="298"/>
        <v>0</v>
      </c>
      <c r="I1297" s="202"/>
      <c r="J1297" s="213" t="s">
        <v>21</v>
      </c>
      <c r="K1297" s="214" t="s">
        <v>122</v>
      </c>
      <c r="L1297" s="214" t="s">
        <v>94</v>
      </c>
      <c r="M1297" s="214" t="s">
        <v>32</v>
      </c>
      <c r="N1297" s="236"/>
      <c r="P1297" s="220"/>
    </row>
    <row r="1298" spans="1:16" s="219" customFormat="1" ht="14" outlineLevel="5">
      <c r="A1298" s="203" t="s">
        <v>8</v>
      </c>
      <c r="B1298" s="266" t="s">
        <v>698</v>
      </c>
      <c r="C1298" s="200" t="s">
        <v>139</v>
      </c>
      <c r="D1298" s="201"/>
      <c r="E1298" s="201"/>
      <c r="F1298" s="201"/>
      <c r="G1298" s="7">
        <f t="shared" si="297"/>
        <v>0</v>
      </c>
      <c r="H1298" s="201">
        <f t="shared" si="298"/>
        <v>0</v>
      </c>
      <c r="I1298" s="202"/>
      <c r="J1298" s="213" t="s">
        <v>21</v>
      </c>
      <c r="K1298" s="214" t="s">
        <v>122</v>
      </c>
      <c r="L1298" s="214" t="s">
        <v>94</v>
      </c>
      <c r="M1298" s="214" t="s">
        <v>32</v>
      </c>
      <c r="N1298" s="236"/>
      <c r="P1298" s="220"/>
    </row>
    <row r="1299" spans="1:16" s="219" customFormat="1" ht="14" outlineLevel="5">
      <c r="A1299" s="203" t="s">
        <v>8</v>
      </c>
      <c r="B1299" s="266" t="s">
        <v>710</v>
      </c>
      <c r="C1299" s="200" t="s">
        <v>139</v>
      </c>
      <c r="D1299" s="201"/>
      <c r="E1299" s="201"/>
      <c r="F1299" s="201"/>
      <c r="G1299" s="7">
        <f t="shared" si="297"/>
        <v>0</v>
      </c>
      <c r="H1299" s="201">
        <f t="shared" si="298"/>
        <v>0</v>
      </c>
      <c r="I1299" s="202"/>
      <c r="J1299" s="213" t="s">
        <v>21</v>
      </c>
      <c r="K1299" s="214" t="s">
        <v>122</v>
      </c>
      <c r="L1299" s="214" t="s">
        <v>94</v>
      </c>
      <c r="M1299" s="214" t="s">
        <v>32</v>
      </c>
      <c r="N1299" s="236"/>
      <c r="P1299" s="220"/>
    </row>
    <row r="1300" spans="1:16" s="219" customFormat="1" ht="14" outlineLevel="5">
      <c r="A1300" s="208" t="s">
        <v>8</v>
      </c>
      <c r="B1300" s="267" t="s">
        <v>687</v>
      </c>
      <c r="C1300" s="200" t="s">
        <v>715</v>
      </c>
      <c r="D1300" s="201"/>
      <c r="E1300" s="201"/>
      <c r="F1300" s="201"/>
      <c r="G1300" s="7">
        <f t="shared" si="297"/>
        <v>0</v>
      </c>
      <c r="H1300" s="201">
        <f t="shared" si="298"/>
        <v>0</v>
      </c>
      <c r="I1300" s="202"/>
      <c r="J1300" s="213" t="s">
        <v>21</v>
      </c>
      <c r="K1300" s="214" t="s">
        <v>122</v>
      </c>
      <c r="L1300" s="214" t="s">
        <v>94</v>
      </c>
      <c r="M1300" s="214" t="s">
        <v>32</v>
      </c>
      <c r="N1300" s="236"/>
      <c r="P1300" s="220"/>
    </row>
    <row r="1301" spans="1:16" s="216" customFormat="1" ht="13" customHeight="1" outlineLevel="4">
      <c r="A1301" s="191">
        <v>4.4000000000000004</v>
      </c>
      <c r="B1301" s="250" t="s">
        <v>725</v>
      </c>
      <c r="C1301" s="193"/>
      <c r="D1301" s="194"/>
      <c r="E1301" s="194"/>
      <c r="F1301" s="194"/>
      <c r="G1301" s="194"/>
      <c r="H1301" s="194">
        <f>SUBTOTAL(9,H1302:H1313)</f>
        <v>0</v>
      </c>
      <c r="I1301" s="194"/>
      <c r="J1301" s="213" t="s">
        <v>21</v>
      </c>
      <c r="K1301" s="214"/>
      <c r="L1301" s="214"/>
      <c r="M1301" s="215"/>
      <c r="N1301" s="215"/>
      <c r="P1301" s="217"/>
    </row>
    <row r="1302" spans="1:16" s="219" customFormat="1" ht="14" outlineLevel="5">
      <c r="A1302" s="208" t="s">
        <v>8</v>
      </c>
      <c r="B1302" s="267" t="s">
        <v>726</v>
      </c>
      <c r="C1302" s="200" t="s">
        <v>714</v>
      </c>
      <c r="D1302" s="265"/>
      <c r="E1302" s="201"/>
      <c r="F1302" s="201"/>
      <c r="G1302" s="7">
        <f t="shared" ref="G1302:G1313" si="299">F1302*D1302</f>
        <v>0</v>
      </c>
      <c r="H1302" s="201">
        <f t="shared" ref="H1302:H1313" si="300">F1302*E1302</f>
        <v>0</v>
      </c>
      <c r="I1302" s="202"/>
      <c r="J1302" s="213" t="s">
        <v>21</v>
      </c>
      <c r="K1302" s="214" t="s">
        <v>122</v>
      </c>
      <c r="L1302" s="214" t="s">
        <v>94</v>
      </c>
      <c r="M1302" s="214" t="s">
        <v>32</v>
      </c>
      <c r="N1302" s="236"/>
      <c r="P1302" s="220"/>
    </row>
    <row r="1303" spans="1:16" s="219" customFormat="1" ht="14" outlineLevel="5">
      <c r="A1303" s="203" t="s">
        <v>8</v>
      </c>
      <c r="B1303" s="266" t="s">
        <v>727</v>
      </c>
      <c r="C1303" s="200" t="s">
        <v>23</v>
      </c>
      <c r="D1303" s="265"/>
      <c r="E1303" s="201"/>
      <c r="F1303" s="201"/>
      <c r="G1303" s="7">
        <f t="shared" si="299"/>
        <v>0</v>
      </c>
      <c r="H1303" s="201">
        <f t="shared" si="300"/>
        <v>0</v>
      </c>
      <c r="I1303" s="202"/>
      <c r="J1303" s="213" t="s">
        <v>21</v>
      </c>
      <c r="K1303" s="214" t="s">
        <v>122</v>
      </c>
      <c r="L1303" s="214" t="s">
        <v>94</v>
      </c>
      <c r="M1303" s="214" t="s">
        <v>32</v>
      </c>
      <c r="N1303" s="236"/>
      <c r="P1303" s="220"/>
    </row>
    <row r="1304" spans="1:16" s="219" customFormat="1" ht="14" outlineLevel="5">
      <c r="A1304" s="203" t="s">
        <v>8</v>
      </c>
      <c r="B1304" s="266" t="s">
        <v>718</v>
      </c>
      <c r="C1304" s="200" t="s">
        <v>23</v>
      </c>
      <c r="D1304" s="265"/>
      <c r="E1304" s="201"/>
      <c r="F1304" s="201"/>
      <c r="G1304" s="7">
        <f t="shared" si="299"/>
        <v>0</v>
      </c>
      <c r="H1304" s="201">
        <f t="shared" si="300"/>
        <v>0</v>
      </c>
      <c r="I1304" s="202"/>
      <c r="J1304" s="213" t="s">
        <v>21</v>
      </c>
      <c r="K1304" s="214" t="s">
        <v>122</v>
      </c>
      <c r="L1304" s="214" t="s">
        <v>94</v>
      </c>
      <c r="M1304" s="214" t="s">
        <v>32</v>
      </c>
      <c r="N1304" s="236"/>
      <c r="P1304" s="220"/>
    </row>
    <row r="1305" spans="1:16" s="219" customFormat="1" ht="14" outlineLevel="5">
      <c r="A1305" s="208" t="s">
        <v>8</v>
      </c>
      <c r="B1305" s="267" t="s">
        <v>720</v>
      </c>
      <c r="C1305" s="200" t="s">
        <v>23</v>
      </c>
      <c r="D1305" s="265"/>
      <c r="E1305" s="201"/>
      <c r="F1305" s="201"/>
      <c r="G1305" s="7">
        <f t="shared" si="299"/>
        <v>0</v>
      </c>
      <c r="H1305" s="201">
        <f t="shared" si="300"/>
        <v>0</v>
      </c>
      <c r="I1305" s="202"/>
      <c r="J1305" s="213" t="s">
        <v>21</v>
      </c>
      <c r="K1305" s="214" t="s">
        <v>122</v>
      </c>
      <c r="L1305" s="214" t="s">
        <v>94</v>
      </c>
      <c r="M1305" s="214" t="s">
        <v>32</v>
      </c>
      <c r="N1305" s="236"/>
      <c r="P1305" s="220"/>
    </row>
    <row r="1306" spans="1:16" s="219" customFormat="1" ht="14" outlineLevel="5">
      <c r="A1306" s="208" t="s">
        <v>8</v>
      </c>
      <c r="B1306" s="267" t="s">
        <v>721</v>
      </c>
      <c r="C1306" s="200" t="s">
        <v>23</v>
      </c>
      <c r="D1306" s="265"/>
      <c r="E1306" s="201"/>
      <c r="F1306" s="201"/>
      <c r="G1306" s="7">
        <f t="shared" si="299"/>
        <v>0</v>
      </c>
      <c r="H1306" s="201">
        <f t="shared" si="300"/>
        <v>0</v>
      </c>
      <c r="I1306" s="202"/>
      <c r="J1306" s="213" t="s">
        <v>21</v>
      </c>
      <c r="K1306" s="214" t="s">
        <v>122</v>
      </c>
      <c r="L1306" s="214" t="s">
        <v>94</v>
      </c>
      <c r="M1306" s="214" t="s">
        <v>32</v>
      </c>
      <c r="N1306" s="236"/>
      <c r="P1306" s="220"/>
    </row>
    <row r="1307" spans="1:16" s="219" customFormat="1" ht="14" outlineLevel="5">
      <c r="A1307" s="203" t="s">
        <v>8</v>
      </c>
      <c r="B1307" s="266" t="s">
        <v>728</v>
      </c>
      <c r="C1307" s="200" t="s">
        <v>139</v>
      </c>
      <c r="D1307" s="265"/>
      <c r="E1307" s="201"/>
      <c r="F1307" s="201"/>
      <c r="G1307" s="7">
        <f t="shared" si="299"/>
        <v>0</v>
      </c>
      <c r="H1307" s="201">
        <f t="shared" si="300"/>
        <v>0</v>
      </c>
      <c r="I1307" s="202"/>
      <c r="J1307" s="213" t="s">
        <v>21</v>
      </c>
      <c r="K1307" s="214" t="s">
        <v>122</v>
      </c>
      <c r="L1307" s="214" t="s">
        <v>94</v>
      </c>
      <c r="M1307" s="214" t="s">
        <v>32</v>
      </c>
      <c r="N1307" s="236"/>
      <c r="P1307" s="220"/>
    </row>
    <row r="1308" spans="1:16" s="219" customFormat="1" ht="14" outlineLevel="5">
      <c r="A1308" s="203" t="s">
        <v>8</v>
      </c>
      <c r="B1308" s="266" t="s">
        <v>729</v>
      </c>
      <c r="C1308" s="200" t="s">
        <v>139</v>
      </c>
      <c r="D1308" s="265"/>
      <c r="E1308" s="201"/>
      <c r="F1308" s="201"/>
      <c r="G1308" s="7">
        <f t="shared" si="299"/>
        <v>0</v>
      </c>
      <c r="H1308" s="201">
        <f t="shared" si="300"/>
        <v>0</v>
      </c>
      <c r="I1308" s="202"/>
      <c r="J1308" s="213" t="s">
        <v>21</v>
      </c>
      <c r="K1308" s="214" t="s">
        <v>122</v>
      </c>
      <c r="L1308" s="214" t="s">
        <v>94</v>
      </c>
      <c r="M1308" s="214" t="s">
        <v>32</v>
      </c>
      <c r="N1308" s="236"/>
      <c r="P1308" s="220"/>
    </row>
    <row r="1309" spans="1:16" s="219" customFormat="1" ht="14" outlineLevel="5">
      <c r="A1309" s="208" t="s">
        <v>8</v>
      </c>
      <c r="B1309" s="267" t="s">
        <v>691</v>
      </c>
      <c r="C1309" s="200" t="s">
        <v>139</v>
      </c>
      <c r="D1309" s="265"/>
      <c r="E1309" s="201"/>
      <c r="F1309" s="201"/>
      <c r="G1309" s="7">
        <f t="shared" si="299"/>
        <v>0</v>
      </c>
      <c r="H1309" s="201">
        <f t="shared" si="300"/>
        <v>0</v>
      </c>
      <c r="I1309" s="202"/>
      <c r="J1309" s="213" t="s">
        <v>21</v>
      </c>
      <c r="K1309" s="214" t="s">
        <v>122</v>
      </c>
      <c r="L1309" s="214" t="s">
        <v>94</v>
      </c>
      <c r="M1309" s="214" t="s">
        <v>32</v>
      </c>
      <c r="N1309" s="236"/>
      <c r="P1309" s="220"/>
    </row>
    <row r="1310" spans="1:16" s="219" customFormat="1" ht="14" outlineLevel="5">
      <c r="A1310" s="203" t="s">
        <v>8</v>
      </c>
      <c r="B1310" s="266" t="s">
        <v>698</v>
      </c>
      <c r="C1310" s="200" t="s">
        <v>139</v>
      </c>
      <c r="D1310" s="265"/>
      <c r="E1310" s="201"/>
      <c r="F1310" s="201"/>
      <c r="G1310" s="7">
        <f t="shared" si="299"/>
        <v>0</v>
      </c>
      <c r="H1310" s="201">
        <f t="shared" si="300"/>
        <v>0</v>
      </c>
      <c r="I1310" s="202"/>
      <c r="J1310" s="213" t="s">
        <v>21</v>
      </c>
      <c r="K1310" s="214" t="s">
        <v>122</v>
      </c>
      <c r="L1310" s="214" t="s">
        <v>94</v>
      </c>
      <c r="M1310" s="214" t="s">
        <v>32</v>
      </c>
      <c r="N1310" s="236"/>
      <c r="P1310" s="220"/>
    </row>
    <row r="1311" spans="1:16" s="219" customFormat="1" ht="14" outlineLevel="5">
      <c r="A1311" s="203" t="s">
        <v>8</v>
      </c>
      <c r="B1311" s="266" t="s">
        <v>341</v>
      </c>
      <c r="C1311" s="200" t="s">
        <v>715</v>
      </c>
      <c r="D1311" s="265"/>
      <c r="E1311" s="201"/>
      <c r="F1311" s="201"/>
      <c r="G1311" s="7">
        <f t="shared" si="299"/>
        <v>0</v>
      </c>
      <c r="H1311" s="201">
        <f t="shared" si="300"/>
        <v>0</v>
      </c>
      <c r="I1311" s="202"/>
      <c r="J1311" s="213" t="s">
        <v>21</v>
      </c>
      <c r="K1311" s="214" t="s">
        <v>122</v>
      </c>
      <c r="L1311" s="214" t="s">
        <v>94</v>
      </c>
      <c r="M1311" s="214" t="s">
        <v>32</v>
      </c>
      <c r="N1311" s="236"/>
      <c r="P1311" s="220"/>
    </row>
    <row r="1312" spans="1:16" s="219" customFormat="1" ht="14" outlineLevel="5">
      <c r="A1312" s="203" t="s">
        <v>8</v>
      </c>
      <c r="B1312" s="266" t="s">
        <v>343</v>
      </c>
      <c r="C1312" s="200" t="s">
        <v>715</v>
      </c>
      <c r="D1312" s="265"/>
      <c r="E1312" s="201"/>
      <c r="F1312" s="201"/>
      <c r="G1312" s="7">
        <f t="shared" si="299"/>
        <v>0</v>
      </c>
      <c r="H1312" s="201">
        <f t="shared" si="300"/>
        <v>0</v>
      </c>
      <c r="I1312" s="202"/>
      <c r="J1312" s="213" t="s">
        <v>21</v>
      </c>
      <c r="K1312" s="214" t="s">
        <v>122</v>
      </c>
      <c r="L1312" s="214" t="s">
        <v>94</v>
      </c>
      <c r="M1312" s="214" t="s">
        <v>32</v>
      </c>
      <c r="N1312" s="236"/>
      <c r="P1312" s="220"/>
    </row>
    <row r="1313" spans="1:16" s="219" customFormat="1" ht="14" outlineLevel="5">
      <c r="A1313" s="208" t="s">
        <v>8</v>
      </c>
      <c r="B1313" s="267" t="s">
        <v>687</v>
      </c>
      <c r="C1313" s="200" t="s">
        <v>715</v>
      </c>
      <c r="D1313" s="265"/>
      <c r="E1313" s="201"/>
      <c r="F1313" s="201"/>
      <c r="G1313" s="7">
        <f t="shared" si="299"/>
        <v>0</v>
      </c>
      <c r="H1313" s="201">
        <f t="shared" si="300"/>
        <v>0</v>
      </c>
      <c r="I1313" s="202"/>
      <c r="J1313" s="213" t="s">
        <v>21</v>
      </c>
      <c r="K1313" s="214" t="s">
        <v>122</v>
      </c>
      <c r="L1313" s="214" t="s">
        <v>94</v>
      </c>
      <c r="M1313" s="214" t="s">
        <v>32</v>
      </c>
      <c r="N1313" s="236"/>
      <c r="P1313" s="220"/>
    </row>
    <row r="1314" spans="1:16" s="216" customFormat="1" ht="13" customHeight="1" outlineLevel="4">
      <c r="A1314" s="191">
        <v>4.5</v>
      </c>
      <c r="B1314" s="250" t="s">
        <v>730</v>
      </c>
      <c r="C1314" s="193"/>
      <c r="D1314" s="194"/>
      <c r="E1314" s="194"/>
      <c r="F1314" s="194"/>
      <c r="G1314" s="194"/>
      <c r="H1314" s="194">
        <f>SUBTOTAL(9,H1315:H1327)</f>
        <v>0</v>
      </c>
      <c r="I1314" s="194"/>
      <c r="J1314" s="213" t="s">
        <v>21</v>
      </c>
      <c r="K1314" s="214"/>
      <c r="L1314" s="214"/>
      <c r="M1314" s="215"/>
      <c r="N1314" s="215"/>
      <c r="P1314" s="217"/>
    </row>
    <row r="1315" spans="1:16" s="219" customFormat="1" ht="14" outlineLevel="5">
      <c r="A1315" s="208" t="s">
        <v>8</v>
      </c>
      <c r="B1315" s="267" t="s">
        <v>726</v>
      </c>
      <c r="C1315" s="200" t="s">
        <v>714</v>
      </c>
      <c r="D1315" s="201"/>
      <c r="E1315" s="201"/>
      <c r="F1315" s="201"/>
      <c r="G1315" s="7">
        <f t="shared" ref="G1315:G1327" si="301">F1315*D1315</f>
        <v>0</v>
      </c>
      <c r="H1315" s="201">
        <f t="shared" ref="H1315:H1327" si="302">F1315*E1315</f>
        <v>0</v>
      </c>
      <c r="I1315" s="202"/>
      <c r="J1315" s="213" t="s">
        <v>21</v>
      </c>
      <c r="K1315" s="214" t="s">
        <v>122</v>
      </c>
      <c r="L1315" s="214" t="s">
        <v>94</v>
      </c>
      <c r="M1315" s="214" t="s">
        <v>32</v>
      </c>
      <c r="N1315" s="236"/>
      <c r="P1315" s="220"/>
    </row>
    <row r="1316" spans="1:16" s="219" customFormat="1" ht="14" outlineLevel="5">
      <c r="A1316" s="208" t="s">
        <v>8</v>
      </c>
      <c r="B1316" s="267" t="s">
        <v>731</v>
      </c>
      <c r="C1316" s="200" t="s">
        <v>23</v>
      </c>
      <c r="D1316" s="201"/>
      <c r="E1316" s="201"/>
      <c r="F1316" s="201"/>
      <c r="G1316" s="7">
        <f t="shared" si="301"/>
        <v>0</v>
      </c>
      <c r="H1316" s="201">
        <f t="shared" si="302"/>
        <v>0</v>
      </c>
      <c r="I1316" s="202"/>
      <c r="J1316" s="213" t="s">
        <v>21</v>
      </c>
      <c r="K1316" s="214" t="s">
        <v>122</v>
      </c>
      <c r="L1316" s="214" t="s">
        <v>94</v>
      </c>
      <c r="M1316" s="214" t="s">
        <v>32</v>
      </c>
      <c r="N1316" s="236"/>
      <c r="P1316" s="220"/>
    </row>
    <row r="1317" spans="1:16" s="219" customFormat="1" ht="14" outlineLevel="5">
      <c r="A1317" s="203" t="s">
        <v>8</v>
      </c>
      <c r="B1317" s="266" t="s">
        <v>732</v>
      </c>
      <c r="C1317" s="200" t="s">
        <v>23</v>
      </c>
      <c r="D1317" s="201"/>
      <c r="E1317" s="201"/>
      <c r="F1317" s="201"/>
      <c r="G1317" s="7">
        <f t="shared" si="301"/>
        <v>0</v>
      </c>
      <c r="H1317" s="201">
        <f t="shared" si="302"/>
        <v>0</v>
      </c>
      <c r="I1317" s="202"/>
      <c r="J1317" s="213" t="s">
        <v>21</v>
      </c>
      <c r="K1317" s="214" t="s">
        <v>122</v>
      </c>
      <c r="L1317" s="214" t="s">
        <v>94</v>
      </c>
      <c r="M1317" s="214" t="s">
        <v>32</v>
      </c>
      <c r="N1317" s="236"/>
      <c r="P1317" s="220"/>
    </row>
    <row r="1318" spans="1:16" s="219" customFormat="1" ht="14" outlineLevel="5">
      <c r="A1318" s="203" t="s">
        <v>8</v>
      </c>
      <c r="B1318" s="266" t="s">
        <v>733</v>
      </c>
      <c r="C1318" s="200" t="s">
        <v>23</v>
      </c>
      <c r="D1318" s="201"/>
      <c r="E1318" s="201"/>
      <c r="F1318" s="201"/>
      <c r="G1318" s="7">
        <f t="shared" si="301"/>
        <v>0</v>
      </c>
      <c r="H1318" s="201">
        <f t="shared" si="302"/>
        <v>0</v>
      </c>
      <c r="I1318" s="202"/>
      <c r="J1318" s="213" t="s">
        <v>21</v>
      </c>
      <c r="K1318" s="214" t="s">
        <v>122</v>
      </c>
      <c r="L1318" s="214" t="s">
        <v>94</v>
      </c>
      <c r="M1318" s="214" t="s">
        <v>32</v>
      </c>
      <c r="N1318" s="236"/>
      <c r="P1318" s="220"/>
    </row>
    <row r="1319" spans="1:16" s="219" customFormat="1" ht="14" outlineLevel="5">
      <c r="A1319" s="208" t="s">
        <v>8</v>
      </c>
      <c r="B1319" s="267" t="s">
        <v>734</v>
      </c>
      <c r="C1319" s="200" t="s">
        <v>23</v>
      </c>
      <c r="D1319" s="201"/>
      <c r="E1319" s="201"/>
      <c r="F1319" s="201"/>
      <c r="G1319" s="7">
        <f t="shared" si="301"/>
        <v>0</v>
      </c>
      <c r="H1319" s="201">
        <f t="shared" si="302"/>
        <v>0</v>
      </c>
      <c r="I1319" s="202"/>
      <c r="J1319" s="213" t="s">
        <v>21</v>
      </c>
      <c r="K1319" s="214" t="s">
        <v>122</v>
      </c>
      <c r="L1319" s="214" t="s">
        <v>94</v>
      </c>
      <c r="M1319" s="214" t="s">
        <v>32</v>
      </c>
      <c r="N1319" s="236"/>
      <c r="P1319" s="220"/>
    </row>
    <row r="1320" spans="1:16" s="219" customFormat="1" ht="14" outlineLevel="5">
      <c r="A1320" s="208" t="s">
        <v>8</v>
      </c>
      <c r="B1320" s="267" t="s">
        <v>727</v>
      </c>
      <c r="C1320" s="200" t="s">
        <v>23</v>
      </c>
      <c r="D1320" s="201"/>
      <c r="E1320" s="201"/>
      <c r="F1320" s="201"/>
      <c r="G1320" s="7">
        <f t="shared" si="301"/>
        <v>0</v>
      </c>
      <c r="H1320" s="201">
        <f t="shared" si="302"/>
        <v>0</v>
      </c>
      <c r="I1320" s="202"/>
      <c r="J1320" s="213" t="s">
        <v>21</v>
      </c>
      <c r="K1320" s="214" t="s">
        <v>122</v>
      </c>
      <c r="L1320" s="214" t="s">
        <v>94</v>
      </c>
      <c r="M1320" s="214" t="s">
        <v>32</v>
      </c>
      <c r="N1320" s="236"/>
      <c r="P1320" s="220"/>
    </row>
    <row r="1321" spans="1:16" s="219" customFormat="1" ht="14" outlineLevel="5">
      <c r="A1321" s="203" t="s">
        <v>8</v>
      </c>
      <c r="B1321" s="266" t="s">
        <v>728</v>
      </c>
      <c r="C1321" s="200" t="s">
        <v>139</v>
      </c>
      <c r="D1321" s="201"/>
      <c r="E1321" s="201"/>
      <c r="F1321" s="201"/>
      <c r="G1321" s="7">
        <f t="shared" si="301"/>
        <v>0</v>
      </c>
      <c r="H1321" s="201">
        <f t="shared" si="302"/>
        <v>0</v>
      </c>
      <c r="I1321" s="202"/>
      <c r="J1321" s="213" t="s">
        <v>21</v>
      </c>
      <c r="K1321" s="214" t="s">
        <v>122</v>
      </c>
      <c r="L1321" s="214" t="s">
        <v>94</v>
      </c>
      <c r="M1321" s="214" t="s">
        <v>32</v>
      </c>
      <c r="N1321" s="236"/>
      <c r="P1321" s="220"/>
    </row>
    <row r="1322" spans="1:16" s="219" customFormat="1" ht="14" outlineLevel="5">
      <c r="A1322" s="203" t="s">
        <v>8</v>
      </c>
      <c r="B1322" s="266" t="s">
        <v>729</v>
      </c>
      <c r="C1322" s="200" t="s">
        <v>139</v>
      </c>
      <c r="D1322" s="201"/>
      <c r="E1322" s="201"/>
      <c r="F1322" s="201"/>
      <c r="G1322" s="7">
        <f t="shared" si="301"/>
        <v>0</v>
      </c>
      <c r="H1322" s="201">
        <f t="shared" si="302"/>
        <v>0</v>
      </c>
      <c r="I1322" s="202"/>
      <c r="J1322" s="213" t="s">
        <v>21</v>
      </c>
      <c r="K1322" s="214" t="s">
        <v>122</v>
      </c>
      <c r="L1322" s="214" t="s">
        <v>94</v>
      </c>
      <c r="M1322" s="214" t="s">
        <v>32</v>
      </c>
      <c r="N1322" s="236"/>
      <c r="P1322" s="220"/>
    </row>
    <row r="1323" spans="1:16" s="219" customFormat="1" ht="14" outlineLevel="5">
      <c r="A1323" s="208" t="s">
        <v>8</v>
      </c>
      <c r="B1323" s="267" t="s">
        <v>691</v>
      </c>
      <c r="C1323" s="200" t="s">
        <v>139</v>
      </c>
      <c r="D1323" s="201"/>
      <c r="E1323" s="201"/>
      <c r="F1323" s="201"/>
      <c r="G1323" s="7">
        <f t="shared" si="301"/>
        <v>0</v>
      </c>
      <c r="H1323" s="201">
        <f t="shared" si="302"/>
        <v>0</v>
      </c>
      <c r="I1323" s="202"/>
      <c r="J1323" s="213" t="s">
        <v>21</v>
      </c>
      <c r="K1323" s="214" t="s">
        <v>122</v>
      </c>
      <c r="L1323" s="214" t="s">
        <v>94</v>
      </c>
      <c r="M1323" s="214" t="s">
        <v>32</v>
      </c>
      <c r="N1323" s="236"/>
      <c r="P1323" s="220"/>
    </row>
    <row r="1324" spans="1:16" s="219" customFormat="1" ht="14" outlineLevel="5">
      <c r="A1324" s="203" t="s">
        <v>8</v>
      </c>
      <c r="B1324" s="266" t="s">
        <v>698</v>
      </c>
      <c r="C1324" s="200" t="s">
        <v>139</v>
      </c>
      <c r="D1324" s="201"/>
      <c r="E1324" s="201"/>
      <c r="F1324" s="201"/>
      <c r="G1324" s="7">
        <f t="shared" si="301"/>
        <v>0</v>
      </c>
      <c r="H1324" s="201">
        <f t="shared" si="302"/>
        <v>0</v>
      </c>
      <c r="I1324" s="202"/>
      <c r="J1324" s="213" t="s">
        <v>21</v>
      </c>
      <c r="K1324" s="214" t="s">
        <v>122</v>
      </c>
      <c r="L1324" s="214" t="s">
        <v>94</v>
      </c>
      <c r="M1324" s="214" t="s">
        <v>32</v>
      </c>
      <c r="N1324" s="236"/>
      <c r="P1324" s="220"/>
    </row>
    <row r="1325" spans="1:16" s="219" customFormat="1" ht="14" outlineLevel="5">
      <c r="A1325" s="203" t="s">
        <v>8</v>
      </c>
      <c r="B1325" s="266" t="s">
        <v>341</v>
      </c>
      <c r="C1325" s="200" t="s">
        <v>715</v>
      </c>
      <c r="D1325" s="201"/>
      <c r="E1325" s="201"/>
      <c r="F1325" s="201"/>
      <c r="G1325" s="7">
        <f t="shared" si="301"/>
        <v>0</v>
      </c>
      <c r="H1325" s="201">
        <f t="shared" si="302"/>
        <v>0</v>
      </c>
      <c r="I1325" s="202"/>
      <c r="J1325" s="213" t="s">
        <v>21</v>
      </c>
      <c r="K1325" s="214" t="s">
        <v>122</v>
      </c>
      <c r="L1325" s="214" t="s">
        <v>94</v>
      </c>
      <c r="M1325" s="214" t="s">
        <v>32</v>
      </c>
      <c r="N1325" s="236"/>
      <c r="P1325" s="220"/>
    </row>
    <row r="1326" spans="1:16" s="219" customFormat="1" ht="14" outlineLevel="5">
      <c r="A1326" s="203" t="s">
        <v>8</v>
      </c>
      <c r="B1326" s="266" t="s">
        <v>343</v>
      </c>
      <c r="C1326" s="200" t="s">
        <v>715</v>
      </c>
      <c r="D1326" s="201"/>
      <c r="E1326" s="201"/>
      <c r="F1326" s="201"/>
      <c r="G1326" s="7">
        <f t="shared" si="301"/>
        <v>0</v>
      </c>
      <c r="H1326" s="201">
        <f t="shared" si="302"/>
        <v>0</v>
      </c>
      <c r="I1326" s="202"/>
      <c r="J1326" s="213" t="s">
        <v>21</v>
      </c>
      <c r="K1326" s="214" t="s">
        <v>122</v>
      </c>
      <c r="L1326" s="214" t="s">
        <v>94</v>
      </c>
      <c r="M1326" s="214" t="s">
        <v>32</v>
      </c>
      <c r="N1326" s="236"/>
      <c r="P1326" s="220"/>
    </row>
    <row r="1327" spans="1:16" s="219" customFormat="1" ht="14" outlineLevel="5">
      <c r="A1327" s="208" t="s">
        <v>8</v>
      </c>
      <c r="B1327" s="267" t="s">
        <v>687</v>
      </c>
      <c r="C1327" s="200" t="s">
        <v>715</v>
      </c>
      <c r="D1327" s="201"/>
      <c r="E1327" s="201"/>
      <c r="F1327" s="201"/>
      <c r="G1327" s="7">
        <f t="shared" si="301"/>
        <v>0</v>
      </c>
      <c r="H1327" s="201">
        <f t="shared" si="302"/>
        <v>0</v>
      </c>
      <c r="I1327" s="202"/>
      <c r="J1327" s="213" t="s">
        <v>21</v>
      </c>
      <c r="K1327" s="214" t="s">
        <v>122</v>
      </c>
      <c r="L1327" s="214" t="s">
        <v>94</v>
      </c>
      <c r="M1327" s="214" t="s">
        <v>32</v>
      </c>
      <c r="N1327" s="236"/>
      <c r="P1327" s="220"/>
    </row>
    <row r="1328" spans="1:16" s="361" customFormat="1" ht="13" customHeight="1" outlineLevel="4">
      <c r="A1328" s="354">
        <v>4.5999999999999996</v>
      </c>
      <c r="B1328" s="365" t="s">
        <v>735</v>
      </c>
      <c r="C1328" s="366"/>
      <c r="D1328" s="284"/>
      <c r="E1328" s="284"/>
      <c r="F1328" s="284"/>
      <c r="G1328" s="284"/>
      <c r="H1328" s="284">
        <f>SUBTOTAL(9,H1329:H1335)</f>
        <v>0</v>
      </c>
      <c r="I1328" s="284"/>
      <c r="J1328" s="213" t="s">
        <v>21</v>
      </c>
      <c r="K1328" s="359"/>
      <c r="L1328" s="359"/>
      <c r="M1328" s="360"/>
      <c r="N1328" s="360"/>
    </row>
    <row r="1329" spans="1:16" s="371" customFormat="1" ht="14" outlineLevel="5">
      <c r="A1329" s="367" t="s">
        <v>8</v>
      </c>
      <c r="B1329" s="368" t="s">
        <v>736</v>
      </c>
      <c r="C1329" s="249" t="s">
        <v>714</v>
      </c>
      <c r="D1329" s="205"/>
      <c r="E1329" s="205"/>
      <c r="F1329" s="205"/>
      <c r="G1329" s="7">
        <f t="shared" ref="G1329:G1335" si="303">F1329*D1329</f>
        <v>0</v>
      </c>
      <c r="H1329" s="205">
        <f t="shared" ref="H1329:H1335" si="304">F1329*E1329</f>
        <v>0</v>
      </c>
      <c r="I1329" s="369"/>
      <c r="J1329" s="213" t="s">
        <v>21</v>
      </c>
      <c r="K1329" s="359" t="s">
        <v>122</v>
      </c>
      <c r="L1329" s="359" t="s">
        <v>94</v>
      </c>
      <c r="M1329" s="359" t="s">
        <v>32</v>
      </c>
      <c r="N1329" s="370"/>
    </row>
    <row r="1330" spans="1:16" s="371" customFormat="1" ht="14" outlineLevel="5">
      <c r="A1330" s="367" t="s">
        <v>8</v>
      </c>
      <c r="B1330" s="368" t="s">
        <v>728</v>
      </c>
      <c r="C1330" s="249" t="s">
        <v>139</v>
      </c>
      <c r="D1330" s="205"/>
      <c r="E1330" s="205"/>
      <c r="F1330" s="205"/>
      <c r="G1330" s="7">
        <f t="shared" si="303"/>
        <v>0</v>
      </c>
      <c r="H1330" s="205">
        <f t="shared" si="304"/>
        <v>0</v>
      </c>
      <c r="I1330" s="369"/>
      <c r="J1330" s="213" t="s">
        <v>21</v>
      </c>
      <c r="K1330" s="359" t="s">
        <v>122</v>
      </c>
      <c r="L1330" s="359" t="s">
        <v>94</v>
      </c>
      <c r="M1330" s="359" t="s">
        <v>32</v>
      </c>
      <c r="N1330" s="370"/>
    </row>
    <row r="1331" spans="1:16" s="371" customFormat="1" ht="14" outlineLevel="5">
      <c r="A1331" s="372" t="s">
        <v>8</v>
      </c>
      <c r="B1331" s="373" t="s">
        <v>729</v>
      </c>
      <c r="C1331" s="249" t="s">
        <v>139</v>
      </c>
      <c r="D1331" s="205"/>
      <c r="E1331" s="205"/>
      <c r="F1331" s="205"/>
      <c r="G1331" s="7">
        <f t="shared" si="303"/>
        <v>0</v>
      </c>
      <c r="H1331" s="205">
        <f t="shared" si="304"/>
        <v>0</v>
      </c>
      <c r="I1331" s="369"/>
      <c r="J1331" s="213" t="s">
        <v>21</v>
      </c>
      <c r="K1331" s="359" t="s">
        <v>122</v>
      </c>
      <c r="L1331" s="359" t="s">
        <v>94</v>
      </c>
      <c r="M1331" s="359" t="s">
        <v>32</v>
      </c>
      <c r="N1331" s="370"/>
    </row>
    <row r="1332" spans="1:16" s="371" customFormat="1" ht="14" outlineLevel="5">
      <c r="A1332" s="372" t="s">
        <v>8</v>
      </c>
      <c r="B1332" s="373" t="s">
        <v>691</v>
      </c>
      <c r="C1332" s="249" t="s">
        <v>139</v>
      </c>
      <c r="D1332" s="205"/>
      <c r="E1332" s="205"/>
      <c r="F1332" s="205"/>
      <c r="G1332" s="7">
        <f t="shared" si="303"/>
        <v>0</v>
      </c>
      <c r="H1332" s="205">
        <f t="shared" si="304"/>
        <v>0</v>
      </c>
      <c r="I1332" s="369"/>
      <c r="J1332" s="213" t="s">
        <v>21</v>
      </c>
      <c r="K1332" s="359" t="s">
        <v>122</v>
      </c>
      <c r="L1332" s="359" t="s">
        <v>94</v>
      </c>
      <c r="M1332" s="359" t="s">
        <v>32</v>
      </c>
      <c r="N1332" s="370"/>
    </row>
    <row r="1333" spans="1:16" s="371" customFormat="1" ht="14" outlineLevel="5">
      <c r="A1333" s="367" t="s">
        <v>8</v>
      </c>
      <c r="B1333" s="368" t="s">
        <v>341</v>
      </c>
      <c r="C1333" s="249" t="s">
        <v>139</v>
      </c>
      <c r="D1333" s="205"/>
      <c r="E1333" s="205"/>
      <c r="F1333" s="205"/>
      <c r="G1333" s="7">
        <f t="shared" si="303"/>
        <v>0</v>
      </c>
      <c r="H1333" s="205">
        <f t="shared" si="304"/>
        <v>0</v>
      </c>
      <c r="I1333" s="369"/>
      <c r="J1333" s="213" t="s">
        <v>21</v>
      </c>
      <c r="K1333" s="359" t="s">
        <v>122</v>
      </c>
      <c r="L1333" s="359" t="s">
        <v>94</v>
      </c>
      <c r="M1333" s="359" t="s">
        <v>32</v>
      </c>
      <c r="N1333" s="370"/>
    </row>
    <row r="1334" spans="1:16" s="371" customFormat="1" ht="14" outlineLevel="5">
      <c r="A1334" s="367" t="s">
        <v>8</v>
      </c>
      <c r="B1334" s="368" t="s">
        <v>343</v>
      </c>
      <c r="C1334" s="249" t="s">
        <v>139</v>
      </c>
      <c r="D1334" s="205"/>
      <c r="E1334" s="205"/>
      <c r="F1334" s="205"/>
      <c r="G1334" s="7">
        <f t="shared" si="303"/>
        <v>0</v>
      </c>
      <c r="H1334" s="205">
        <f t="shared" si="304"/>
        <v>0</v>
      </c>
      <c r="I1334" s="369"/>
      <c r="J1334" s="213" t="s">
        <v>21</v>
      </c>
      <c r="K1334" s="359" t="s">
        <v>122</v>
      </c>
      <c r="L1334" s="359" t="s">
        <v>94</v>
      </c>
      <c r="M1334" s="359" t="s">
        <v>32</v>
      </c>
      <c r="N1334" s="370"/>
    </row>
    <row r="1335" spans="1:16" s="371" customFormat="1" ht="14" outlineLevel="5">
      <c r="A1335" s="372" t="s">
        <v>8</v>
      </c>
      <c r="B1335" s="373" t="s">
        <v>737</v>
      </c>
      <c r="C1335" s="249" t="s">
        <v>715</v>
      </c>
      <c r="D1335" s="205"/>
      <c r="E1335" s="205"/>
      <c r="F1335" s="205"/>
      <c r="G1335" s="7">
        <f t="shared" si="303"/>
        <v>0</v>
      </c>
      <c r="H1335" s="205">
        <f t="shared" si="304"/>
        <v>0</v>
      </c>
      <c r="I1335" s="369"/>
      <c r="J1335" s="213" t="s">
        <v>21</v>
      </c>
      <c r="K1335" s="359" t="s">
        <v>122</v>
      </c>
      <c r="L1335" s="359" t="s">
        <v>94</v>
      </c>
      <c r="M1335" s="359" t="s">
        <v>32</v>
      </c>
      <c r="N1335" s="370"/>
    </row>
    <row r="1336" spans="1:16" s="216" customFormat="1" ht="13" customHeight="1" outlineLevel="4">
      <c r="A1336" s="191">
        <v>4.7</v>
      </c>
      <c r="B1336" s="268" t="s">
        <v>738</v>
      </c>
      <c r="C1336" s="193"/>
      <c r="D1336" s="194"/>
      <c r="E1336" s="194"/>
      <c r="F1336" s="194"/>
      <c r="G1336" s="194"/>
      <c r="H1336" s="194">
        <f>SUBTOTAL(9,H1337:H1343)</f>
        <v>0</v>
      </c>
      <c r="I1336" s="194"/>
      <c r="J1336" s="213" t="s">
        <v>21</v>
      </c>
      <c r="K1336" s="214"/>
      <c r="L1336" s="214"/>
      <c r="M1336" s="215"/>
      <c r="N1336" s="215"/>
      <c r="P1336" s="217"/>
    </row>
    <row r="1337" spans="1:16" s="219" customFormat="1" ht="14" outlineLevel="5">
      <c r="A1337" s="208" t="s">
        <v>8</v>
      </c>
      <c r="B1337" s="267" t="s">
        <v>739</v>
      </c>
      <c r="C1337" s="200" t="s">
        <v>23</v>
      </c>
      <c r="D1337" s="201"/>
      <c r="E1337" s="201"/>
      <c r="F1337" s="201"/>
      <c r="G1337" s="7">
        <f t="shared" ref="G1337:G1343" si="305">F1337*D1337</f>
        <v>0</v>
      </c>
      <c r="H1337" s="201">
        <f t="shared" ref="H1337:H1343" si="306">F1337*E1337</f>
        <v>0</v>
      </c>
      <c r="I1337" s="202"/>
      <c r="J1337" s="213" t="s">
        <v>21</v>
      </c>
      <c r="K1337" s="214" t="s">
        <v>122</v>
      </c>
      <c r="L1337" s="214" t="s">
        <v>94</v>
      </c>
      <c r="M1337" s="214" t="s">
        <v>32</v>
      </c>
      <c r="N1337" s="236"/>
      <c r="P1337" s="220"/>
    </row>
    <row r="1338" spans="1:16" s="219" customFormat="1" ht="14" outlineLevel="5">
      <c r="A1338" s="208" t="s">
        <v>8</v>
      </c>
      <c r="B1338" s="267" t="s">
        <v>720</v>
      </c>
      <c r="C1338" s="200" t="s">
        <v>23</v>
      </c>
      <c r="D1338" s="201"/>
      <c r="E1338" s="201"/>
      <c r="F1338" s="201"/>
      <c r="G1338" s="7">
        <f t="shared" si="305"/>
        <v>0</v>
      </c>
      <c r="H1338" s="201">
        <f t="shared" si="306"/>
        <v>0</v>
      </c>
      <c r="I1338" s="202"/>
      <c r="J1338" s="213" t="s">
        <v>21</v>
      </c>
      <c r="K1338" s="214" t="s">
        <v>122</v>
      </c>
      <c r="L1338" s="214" t="s">
        <v>94</v>
      </c>
      <c r="M1338" s="214" t="s">
        <v>32</v>
      </c>
      <c r="N1338" s="236"/>
      <c r="P1338" s="220"/>
    </row>
    <row r="1339" spans="1:16" s="219" customFormat="1" ht="14" outlineLevel="5">
      <c r="A1339" s="203" t="s">
        <v>8</v>
      </c>
      <c r="B1339" s="266" t="s">
        <v>740</v>
      </c>
      <c r="C1339" s="200" t="s">
        <v>23</v>
      </c>
      <c r="D1339" s="201"/>
      <c r="E1339" s="201"/>
      <c r="F1339" s="201"/>
      <c r="G1339" s="7">
        <f t="shared" si="305"/>
        <v>0</v>
      </c>
      <c r="H1339" s="201">
        <f t="shared" si="306"/>
        <v>0</v>
      </c>
      <c r="I1339" s="202"/>
      <c r="J1339" s="213" t="s">
        <v>21</v>
      </c>
      <c r="K1339" s="214" t="s">
        <v>122</v>
      </c>
      <c r="L1339" s="214" t="s">
        <v>94</v>
      </c>
      <c r="M1339" s="214" t="s">
        <v>32</v>
      </c>
      <c r="N1339" s="236"/>
      <c r="P1339" s="220"/>
    </row>
    <row r="1340" spans="1:16" s="219" customFormat="1" ht="14" outlineLevel="5">
      <c r="A1340" s="203" t="s">
        <v>8</v>
      </c>
      <c r="B1340" s="266" t="s">
        <v>688</v>
      </c>
      <c r="C1340" s="200" t="s">
        <v>139</v>
      </c>
      <c r="D1340" s="201"/>
      <c r="E1340" s="201"/>
      <c r="F1340" s="201"/>
      <c r="G1340" s="7">
        <f t="shared" si="305"/>
        <v>0</v>
      </c>
      <c r="H1340" s="201">
        <f t="shared" si="306"/>
        <v>0</v>
      </c>
      <c r="I1340" s="202"/>
      <c r="J1340" s="213" t="s">
        <v>21</v>
      </c>
      <c r="K1340" s="214" t="s">
        <v>122</v>
      </c>
      <c r="L1340" s="214" t="s">
        <v>94</v>
      </c>
      <c r="M1340" s="214" t="s">
        <v>32</v>
      </c>
      <c r="N1340" s="236"/>
      <c r="P1340" s="220"/>
    </row>
    <row r="1341" spans="1:16" s="219" customFormat="1" ht="14" outlineLevel="5">
      <c r="A1341" s="208" t="s">
        <v>8</v>
      </c>
      <c r="B1341" s="267" t="s">
        <v>729</v>
      </c>
      <c r="C1341" s="200" t="s">
        <v>139</v>
      </c>
      <c r="D1341" s="201"/>
      <c r="E1341" s="201"/>
      <c r="F1341" s="201"/>
      <c r="G1341" s="7">
        <f t="shared" si="305"/>
        <v>0</v>
      </c>
      <c r="H1341" s="201">
        <f t="shared" si="306"/>
        <v>0</v>
      </c>
      <c r="I1341" s="202"/>
      <c r="J1341" s="213" t="s">
        <v>21</v>
      </c>
      <c r="K1341" s="214" t="s">
        <v>122</v>
      </c>
      <c r="L1341" s="214" t="s">
        <v>94</v>
      </c>
      <c r="M1341" s="214" t="s">
        <v>32</v>
      </c>
      <c r="N1341" s="236"/>
      <c r="P1341" s="220"/>
    </row>
    <row r="1342" spans="1:16" s="219" customFormat="1" ht="14" outlineLevel="5">
      <c r="A1342" s="208" t="s">
        <v>8</v>
      </c>
      <c r="B1342" s="267" t="s">
        <v>691</v>
      </c>
      <c r="C1342" s="200" t="s">
        <v>139</v>
      </c>
      <c r="D1342" s="201"/>
      <c r="E1342" s="201"/>
      <c r="F1342" s="201"/>
      <c r="G1342" s="7">
        <f t="shared" si="305"/>
        <v>0</v>
      </c>
      <c r="H1342" s="201">
        <f t="shared" si="306"/>
        <v>0</v>
      </c>
      <c r="I1342" s="202"/>
      <c r="J1342" s="213" t="s">
        <v>21</v>
      </c>
      <c r="K1342" s="214" t="s">
        <v>122</v>
      </c>
      <c r="L1342" s="214" t="s">
        <v>94</v>
      </c>
      <c r="M1342" s="214" t="s">
        <v>32</v>
      </c>
      <c r="N1342" s="236"/>
      <c r="P1342" s="220"/>
    </row>
    <row r="1343" spans="1:16" s="219" customFormat="1" ht="14" outlineLevel="5">
      <c r="A1343" s="203" t="s">
        <v>8</v>
      </c>
      <c r="B1343" s="266" t="s">
        <v>687</v>
      </c>
      <c r="C1343" s="200" t="s">
        <v>715</v>
      </c>
      <c r="D1343" s="201"/>
      <c r="E1343" s="201"/>
      <c r="F1343" s="201"/>
      <c r="G1343" s="7">
        <f t="shared" si="305"/>
        <v>0</v>
      </c>
      <c r="H1343" s="201">
        <f t="shared" si="306"/>
        <v>0</v>
      </c>
      <c r="I1343" s="202"/>
      <c r="J1343" s="213" t="s">
        <v>21</v>
      </c>
      <c r="K1343" s="214" t="s">
        <v>122</v>
      </c>
      <c r="L1343" s="214" t="s">
        <v>94</v>
      </c>
      <c r="M1343" s="214" t="s">
        <v>32</v>
      </c>
      <c r="N1343" s="236"/>
      <c r="P1343" s="220"/>
    </row>
    <row r="1344" spans="1:16" s="361" customFormat="1" ht="13" customHeight="1" outlineLevel="4">
      <c r="A1344" s="354">
        <v>5</v>
      </c>
      <c r="B1344" s="365" t="s">
        <v>760</v>
      </c>
      <c r="C1344" s="366"/>
      <c r="D1344" s="284"/>
      <c r="E1344" s="284"/>
      <c r="F1344" s="284"/>
      <c r="G1344" s="284">
        <f>SUBTOTAL(9,G1345:G1346)</f>
        <v>0</v>
      </c>
      <c r="H1344" s="284">
        <f>SUBTOTAL(9,H1345:H1346)</f>
        <v>0</v>
      </c>
      <c r="I1344" s="284"/>
      <c r="J1344" s="213" t="s">
        <v>21</v>
      </c>
      <c r="K1344" s="359"/>
      <c r="L1344" s="359"/>
      <c r="M1344" s="360"/>
      <c r="N1344" s="360"/>
    </row>
    <row r="1345" spans="1:17" s="371" customFormat="1" ht="14" outlineLevel="5">
      <c r="A1345" s="367" t="s">
        <v>8</v>
      </c>
      <c r="B1345" s="368" t="s">
        <v>758</v>
      </c>
      <c r="C1345" s="249" t="s">
        <v>33</v>
      </c>
      <c r="D1345" s="587"/>
      <c r="E1345" s="205"/>
      <c r="F1345" s="205"/>
      <c r="G1345" s="7">
        <f t="shared" ref="G1345:G1346" si="307">F1345*D1345</f>
        <v>0</v>
      </c>
      <c r="H1345" s="205">
        <f t="shared" ref="H1345:H1346" si="308">F1345*E1345</f>
        <v>0</v>
      </c>
      <c r="I1345" s="369"/>
      <c r="J1345" s="213" t="s">
        <v>21</v>
      </c>
      <c r="K1345" s="359" t="s">
        <v>122</v>
      </c>
      <c r="L1345" s="359" t="s">
        <v>94</v>
      </c>
      <c r="M1345" s="359" t="s">
        <v>32</v>
      </c>
      <c r="N1345" s="370"/>
    </row>
    <row r="1346" spans="1:17" s="371" customFormat="1" ht="14" outlineLevel="5">
      <c r="A1346" s="367" t="s">
        <v>8</v>
      </c>
      <c r="B1346" s="368" t="s">
        <v>759</v>
      </c>
      <c r="C1346" s="249" t="s">
        <v>33</v>
      </c>
      <c r="D1346" s="587"/>
      <c r="E1346" s="205"/>
      <c r="F1346" s="205"/>
      <c r="G1346" s="7">
        <f t="shared" si="307"/>
        <v>0</v>
      </c>
      <c r="H1346" s="205">
        <f t="shared" si="308"/>
        <v>0</v>
      </c>
      <c r="I1346" s="369"/>
      <c r="J1346" s="213" t="s">
        <v>21</v>
      </c>
      <c r="K1346" s="359" t="s">
        <v>122</v>
      </c>
      <c r="L1346" s="359" t="s">
        <v>94</v>
      </c>
      <c r="M1346" s="359" t="s">
        <v>32</v>
      </c>
      <c r="N1346" s="370"/>
    </row>
    <row r="1347" spans="1:17" s="361" customFormat="1" ht="14">
      <c r="A1347" s="386" t="s">
        <v>56</v>
      </c>
      <c r="B1347" s="387" t="s">
        <v>5</v>
      </c>
      <c r="C1347" s="584"/>
      <c r="D1347" s="284"/>
      <c r="E1347" s="284"/>
      <c r="F1347" s="285"/>
      <c r="G1347" s="284">
        <f>SUBTOTAL(9,G1348:G1904)</f>
        <v>5473831.7949999999</v>
      </c>
      <c r="H1347" s="284">
        <f>SUBTOTAL(9,H1348:H1904)</f>
        <v>3843512.94</v>
      </c>
      <c r="I1347" s="374"/>
      <c r="J1347" s="359"/>
      <c r="K1347" s="360"/>
      <c r="L1347" s="360"/>
      <c r="M1347" s="360"/>
      <c r="N1347" s="375"/>
      <c r="O1347" s="376"/>
    </row>
    <row r="1348" spans="1:17" s="452" customFormat="1">
      <c r="A1348" s="444" t="s">
        <v>4</v>
      </c>
      <c r="B1348" s="445" t="s">
        <v>53</v>
      </c>
      <c r="C1348" s="446"/>
      <c r="D1348" s="447"/>
      <c r="E1348" s="447"/>
      <c r="F1348" s="596"/>
      <c r="G1348" s="447">
        <f>SUBTOTAL(9,G1350:G1462)</f>
        <v>1647332</v>
      </c>
      <c r="H1348" s="447">
        <f>SUBTOTAL(9,H1350:H1462)</f>
        <v>970122</v>
      </c>
      <c r="I1348" s="448"/>
      <c r="J1348" s="449"/>
      <c r="K1348" s="449"/>
      <c r="L1348" s="449"/>
      <c r="N1348" s="597"/>
      <c r="P1348" s="450"/>
    </row>
    <row r="1349" spans="1:17" s="396" customFormat="1">
      <c r="A1349" s="403" t="s">
        <v>41</v>
      </c>
      <c r="B1349" s="423" t="s">
        <v>1032</v>
      </c>
      <c r="C1349" s="439"/>
      <c r="D1349" s="2"/>
      <c r="E1349" s="2"/>
      <c r="F1349" s="598"/>
      <c r="G1349" s="2">
        <f>SUBTOTAL(9,G1350:G1455)</f>
        <v>333688</v>
      </c>
      <c r="H1349" s="2">
        <f>SUBTOTAL(9,H1350:H1455)</f>
        <v>134250</v>
      </c>
      <c r="I1349" s="21"/>
      <c r="J1349" s="440"/>
      <c r="K1349" s="440"/>
      <c r="L1349" s="440"/>
      <c r="N1349" s="442"/>
      <c r="P1349" s="441"/>
    </row>
    <row r="1350" spans="1:17" s="396" customFormat="1">
      <c r="A1350" s="403">
        <v>1</v>
      </c>
      <c r="B1350" s="423" t="s">
        <v>39</v>
      </c>
      <c r="C1350" s="439"/>
      <c r="D1350" s="2"/>
      <c r="E1350" s="2"/>
      <c r="F1350" s="598"/>
      <c r="G1350" s="2">
        <f>SUBTOTAL(9,G1351:G1361)</f>
        <v>110480</v>
      </c>
      <c r="H1350" s="2">
        <f>SUBTOTAL(9,H1351:H1361)</f>
        <v>0</v>
      </c>
      <c r="I1350" s="21"/>
      <c r="J1350" s="440"/>
      <c r="K1350" s="440"/>
      <c r="L1350" s="440"/>
      <c r="N1350" s="424"/>
      <c r="P1350" s="441"/>
    </row>
    <row r="1351" spans="1:17" s="396" customFormat="1" ht="14">
      <c r="A1351" s="121" t="s">
        <v>418</v>
      </c>
      <c r="B1351" s="122" t="s">
        <v>419</v>
      </c>
      <c r="C1351" s="123"/>
      <c r="D1351" s="2"/>
      <c r="E1351" s="2"/>
      <c r="F1351" s="598"/>
      <c r="G1351" s="2">
        <f>SUBTOTAL(9,G1352:G1353)</f>
        <v>60480</v>
      </c>
      <c r="H1351" s="2">
        <f>SUBTOTAL(9,H1352:H1353)</f>
        <v>0</v>
      </c>
      <c r="I1351" s="21"/>
      <c r="J1351" s="440"/>
      <c r="K1351" s="440"/>
      <c r="L1351" s="440"/>
      <c r="N1351" s="424"/>
      <c r="P1351" s="441"/>
      <c r="Q1351" s="599">
        <f>19*10^9/5000*130/26000*1.25</f>
        <v>23750</v>
      </c>
    </row>
    <row r="1352" spans="1:17" s="396" customFormat="1" ht="14">
      <c r="A1352" s="124" t="s">
        <v>8</v>
      </c>
      <c r="B1352" s="125" t="s">
        <v>420</v>
      </c>
      <c r="C1352" s="126" t="s">
        <v>27</v>
      </c>
      <c r="D1352" s="2"/>
      <c r="E1352" s="2"/>
      <c r="F1352" s="600">
        <v>12406.800000000001</v>
      </c>
      <c r="G1352" s="2">
        <f>D1352*$F1352</f>
        <v>0</v>
      </c>
      <c r="H1352" s="2">
        <f>E1352*$F1352</f>
        <v>0</v>
      </c>
      <c r="I1352" s="21"/>
      <c r="J1352" s="440" t="s">
        <v>6</v>
      </c>
      <c r="K1352" s="440" t="s">
        <v>122</v>
      </c>
      <c r="L1352" s="440" t="s">
        <v>94</v>
      </c>
      <c r="N1352" s="424"/>
      <c r="P1352" s="441"/>
    </row>
    <row r="1353" spans="1:17" s="396" customFormat="1" ht="14">
      <c r="A1353" s="124" t="s">
        <v>8</v>
      </c>
      <c r="B1353" s="125" t="s">
        <v>421</v>
      </c>
      <c r="C1353" s="126" t="s">
        <v>27</v>
      </c>
      <c r="D1353" s="338">
        <v>4</v>
      </c>
      <c r="E1353" s="2"/>
      <c r="F1353" s="600">
        <v>15120</v>
      </c>
      <c r="G1353" s="7">
        <f>D1353*$F1353</f>
        <v>60480</v>
      </c>
      <c r="H1353" s="7">
        <f>E1353*$F1353</f>
        <v>0</v>
      </c>
      <c r="I1353" s="21"/>
      <c r="J1353" s="440" t="s">
        <v>6</v>
      </c>
      <c r="K1353" s="440" t="s">
        <v>122</v>
      </c>
      <c r="L1353" s="440" t="s">
        <v>94</v>
      </c>
      <c r="N1353" s="424"/>
      <c r="P1353" s="441"/>
      <c r="Q1353" s="599">
        <f>19*10^9/5000*252/26000*1.25</f>
        <v>46038.461538461546</v>
      </c>
    </row>
    <row r="1354" spans="1:17" s="396" customFormat="1" ht="14">
      <c r="A1354" s="121" t="s">
        <v>422</v>
      </c>
      <c r="B1354" s="122" t="s">
        <v>423</v>
      </c>
      <c r="C1354" s="123"/>
      <c r="D1354" s="2"/>
      <c r="E1354" s="2"/>
      <c r="F1354" s="601"/>
      <c r="G1354" s="2">
        <f>SUBTOTAL(9,G1355:G1359)</f>
        <v>0</v>
      </c>
      <c r="H1354" s="2">
        <f>SUBTOTAL(9,H1355:H1359)</f>
        <v>0</v>
      </c>
      <c r="I1354" s="21"/>
      <c r="J1354" s="440"/>
      <c r="K1354" s="440"/>
      <c r="L1354" s="440"/>
      <c r="N1354" s="424"/>
      <c r="P1354" s="441"/>
    </row>
    <row r="1355" spans="1:17" s="396" customFormat="1" ht="14">
      <c r="A1355" s="128" t="s">
        <v>8</v>
      </c>
      <c r="B1355" s="127" t="s">
        <v>424</v>
      </c>
      <c r="C1355" s="129" t="s">
        <v>10</v>
      </c>
      <c r="D1355" s="2"/>
      <c r="E1355" s="2"/>
      <c r="F1355" s="600">
        <v>110000</v>
      </c>
      <c r="G1355" s="7">
        <f t="shared" ref="G1355:H1357" si="309">D1355*$F1355</f>
        <v>0</v>
      </c>
      <c r="H1355" s="7">
        <f t="shared" si="309"/>
        <v>0</v>
      </c>
      <c r="I1355" s="21"/>
      <c r="J1355" s="440" t="s">
        <v>6</v>
      </c>
      <c r="K1355" s="440" t="s">
        <v>122</v>
      </c>
      <c r="L1355" s="440" t="s">
        <v>94</v>
      </c>
      <c r="N1355" s="424"/>
      <c r="P1355" s="441"/>
    </row>
    <row r="1356" spans="1:17" s="396" customFormat="1" ht="14">
      <c r="A1356" s="128" t="s">
        <v>8</v>
      </c>
      <c r="B1356" s="127" t="s">
        <v>425</v>
      </c>
      <c r="C1356" s="129" t="s">
        <v>10</v>
      </c>
      <c r="D1356" s="2"/>
      <c r="E1356" s="2"/>
      <c r="F1356" s="600">
        <v>105000</v>
      </c>
      <c r="G1356" s="7">
        <f t="shared" si="309"/>
        <v>0</v>
      </c>
      <c r="H1356" s="7">
        <f t="shared" si="309"/>
        <v>0</v>
      </c>
      <c r="I1356" s="21"/>
      <c r="J1356" s="440" t="s">
        <v>6</v>
      </c>
      <c r="K1356" s="440" t="s">
        <v>122</v>
      </c>
      <c r="L1356" s="440" t="s">
        <v>94</v>
      </c>
      <c r="N1356" s="424"/>
      <c r="P1356" s="441"/>
    </row>
    <row r="1357" spans="1:17" s="396" customFormat="1" ht="14">
      <c r="A1357" s="128" t="s">
        <v>8</v>
      </c>
      <c r="B1357" s="127" t="s">
        <v>1033</v>
      </c>
      <c r="C1357" s="129" t="s">
        <v>10</v>
      </c>
      <c r="D1357" s="2"/>
      <c r="E1357" s="2"/>
      <c r="F1357" s="600">
        <v>62500</v>
      </c>
      <c r="G1357" s="7">
        <f t="shared" si="309"/>
        <v>0</v>
      </c>
      <c r="H1357" s="7">
        <f t="shared" si="309"/>
        <v>0</v>
      </c>
      <c r="I1357" s="21"/>
      <c r="J1357" s="440" t="s">
        <v>6</v>
      </c>
      <c r="K1357" s="440" t="s">
        <v>122</v>
      </c>
      <c r="L1357" s="440" t="s">
        <v>94</v>
      </c>
      <c r="N1357" s="424"/>
      <c r="P1357" s="441"/>
    </row>
    <row r="1358" spans="1:17" s="396" customFormat="1" ht="14">
      <c r="A1358" s="128" t="s">
        <v>8</v>
      </c>
      <c r="B1358" s="127" t="s">
        <v>1034</v>
      </c>
      <c r="C1358" s="129" t="s">
        <v>24</v>
      </c>
      <c r="D1358" s="2"/>
      <c r="E1358" s="2"/>
      <c r="F1358" s="600">
        <v>5000</v>
      </c>
      <c r="G1358" s="7">
        <f>D1358*$F1358</f>
        <v>0</v>
      </c>
      <c r="H1358" s="7">
        <f>E1358*$F1358</f>
        <v>0</v>
      </c>
      <c r="I1358" s="21"/>
      <c r="J1358" s="440" t="s">
        <v>6</v>
      </c>
      <c r="K1358" s="440" t="s">
        <v>122</v>
      </c>
      <c r="L1358" s="440" t="s">
        <v>94</v>
      </c>
      <c r="N1358" s="424"/>
      <c r="P1358" s="441"/>
    </row>
    <row r="1359" spans="1:17" s="396" customFormat="1" ht="14">
      <c r="A1359" s="128" t="s">
        <v>8</v>
      </c>
      <c r="B1359" s="127" t="s">
        <v>1035</v>
      </c>
      <c r="C1359" s="129" t="s">
        <v>24</v>
      </c>
      <c r="D1359" s="2"/>
      <c r="E1359" s="2"/>
      <c r="F1359" s="600">
        <v>1000</v>
      </c>
      <c r="G1359" s="7">
        <f>D1359*$F1359</f>
        <v>0</v>
      </c>
      <c r="H1359" s="7">
        <f>E1359*$F1359</f>
        <v>0</v>
      </c>
      <c r="I1359" s="21"/>
      <c r="J1359" s="440" t="s">
        <v>6</v>
      </c>
      <c r="K1359" s="440" t="s">
        <v>122</v>
      </c>
      <c r="L1359" s="440" t="s">
        <v>94</v>
      </c>
      <c r="N1359" s="424"/>
      <c r="P1359" s="441"/>
    </row>
    <row r="1360" spans="1:17" s="396" customFormat="1" ht="14">
      <c r="A1360" s="130" t="s">
        <v>426</v>
      </c>
      <c r="B1360" s="132" t="s">
        <v>1036</v>
      </c>
      <c r="C1360" s="129"/>
      <c r="D1360" s="2"/>
      <c r="E1360" s="2"/>
      <c r="F1360" s="600"/>
      <c r="G1360" s="2">
        <f>SUBTOTAL(9,G1361:G1361)</f>
        <v>50000</v>
      </c>
      <c r="H1360" s="2">
        <f>SUBTOTAL(9,H1361:H1361)</f>
        <v>0</v>
      </c>
      <c r="I1360" s="21"/>
      <c r="J1360" s="440"/>
      <c r="K1360" s="440"/>
      <c r="L1360" s="440"/>
      <c r="N1360" s="424"/>
      <c r="P1360" s="441"/>
    </row>
    <row r="1361" spans="1:16" s="396" customFormat="1" ht="14">
      <c r="A1361" s="128" t="s">
        <v>8</v>
      </c>
      <c r="B1361" s="127" t="s">
        <v>427</v>
      </c>
      <c r="C1361" s="129" t="s">
        <v>9</v>
      </c>
      <c r="D1361" s="7">
        <v>1</v>
      </c>
      <c r="E1361" s="2"/>
      <c r="F1361" s="602">
        <v>50000</v>
      </c>
      <c r="G1361" s="7">
        <f t="shared" ref="G1361:H1361" si="310">D1361*$F1361</f>
        <v>50000</v>
      </c>
      <c r="H1361" s="7">
        <f t="shared" si="310"/>
        <v>0</v>
      </c>
      <c r="I1361" s="21"/>
      <c r="J1361" s="440" t="s">
        <v>6</v>
      </c>
      <c r="K1361" s="440" t="s">
        <v>122</v>
      </c>
      <c r="L1361" s="440" t="s">
        <v>94</v>
      </c>
      <c r="N1361" s="424"/>
      <c r="P1361" s="603" t="s">
        <v>1037</v>
      </c>
    </row>
    <row r="1362" spans="1:16" s="396" customFormat="1" ht="14">
      <c r="A1362" s="121" t="s">
        <v>428</v>
      </c>
      <c r="B1362" s="122" t="s">
        <v>951</v>
      </c>
      <c r="C1362" s="123"/>
      <c r="D1362" s="7"/>
      <c r="E1362" s="7"/>
      <c r="F1362" s="600"/>
      <c r="G1362" s="2">
        <f>SUBTOTAL(9,G1363:G1448)</f>
        <v>81458</v>
      </c>
      <c r="H1362" s="2">
        <f>SUBTOTAL(9,H1363:H1448)</f>
        <v>82000</v>
      </c>
      <c r="I1362" s="21"/>
      <c r="J1362" s="13"/>
      <c r="K1362" s="440"/>
      <c r="L1362" s="440"/>
      <c r="N1362" s="424"/>
      <c r="P1362" s="603"/>
    </row>
    <row r="1363" spans="1:16" s="396" customFormat="1" ht="14">
      <c r="A1363" s="121" t="s">
        <v>952</v>
      </c>
      <c r="B1363" s="122" t="s">
        <v>429</v>
      </c>
      <c r="C1363" s="123" t="s">
        <v>9</v>
      </c>
      <c r="D1363" s="7"/>
      <c r="E1363" s="7">
        <v>1</v>
      </c>
      <c r="F1363" s="600">
        <v>82000</v>
      </c>
      <c r="G1363" s="7">
        <f t="shared" ref="G1363:H1378" si="311">D1363*$F1363</f>
        <v>0</v>
      </c>
      <c r="H1363" s="7">
        <f t="shared" si="311"/>
        <v>82000</v>
      </c>
      <c r="I1363" s="21"/>
      <c r="J1363" s="440" t="s">
        <v>6</v>
      </c>
      <c r="K1363" s="440" t="s">
        <v>288</v>
      </c>
      <c r="L1363" s="440" t="s">
        <v>94</v>
      </c>
      <c r="N1363" s="424"/>
      <c r="P1363" s="603" t="s">
        <v>1038</v>
      </c>
    </row>
    <row r="1364" spans="1:16" s="396" customFormat="1" ht="14">
      <c r="A1364" s="121" t="s">
        <v>952</v>
      </c>
      <c r="B1364" s="122" t="s">
        <v>1039</v>
      </c>
      <c r="C1364" s="123"/>
      <c r="D1364" s="7"/>
      <c r="E1364" s="7"/>
      <c r="F1364" s="600"/>
      <c r="G1364" s="7">
        <f t="shared" si="311"/>
        <v>0</v>
      </c>
      <c r="H1364" s="7">
        <f t="shared" si="311"/>
        <v>0</v>
      </c>
      <c r="I1364" s="21"/>
      <c r="J1364" s="13"/>
      <c r="K1364" s="440"/>
      <c r="L1364" s="440"/>
      <c r="N1364" s="424"/>
      <c r="P1364" s="603"/>
    </row>
    <row r="1365" spans="1:16" s="396" customFormat="1" ht="14">
      <c r="A1365" s="604" t="s">
        <v>392</v>
      </c>
      <c r="B1365" s="605" t="s">
        <v>1040</v>
      </c>
      <c r="E1365" s="7"/>
      <c r="G1365" s="7">
        <f t="shared" si="311"/>
        <v>0</v>
      </c>
      <c r="H1365" s="7">
        <f t="shared" si="311"/>
        <v>0</v>
      </c>
      <c r="I1365" s="21"/>
      <c r="J1365" s="13"/>
      <c r="K1365" s="440"/>
      <c r="L1365" s="440"/>
      <c r="N1365" s="424"/>
      <c r="P1365" s="603"/>
    </row>
    <row r="1366" spans="1:16" s="396" customFormat="1" ht="14">
      <c r="A1366" s="606" t="s">
        <v>8</v>
      </c>
      <c r="B1366" s="607" t="s">
        <v>1041</v>
      </c>
      <c r="C1366" s="608" t="s">
        <v>1042</v>
      </c>
      <c r="D1366" s="202">
        <v>630</v>
      </c>
      <c r="E1366" s="7"/>
      <c r="F1366" s="609">
        <v>25</v>
      </c>
      <c r="G1366" s="7">
        <f t="shared" si="311"/>
        <v>15750</v>
      </c>
      <c r="H1366" s="7">
        <f t="shared" si="311"/>
        <v>0</v>
      </c>
      <c r="I1366" s="21"/>
      <c r="J1366" s="440" t="s">
        <v>6</v>
      </c>
      <c r="K1366" s="440" t="s">
        <v>288</v>
      </c>
      <c r="L1366" s="440" t="s">
        <v>94</v>
      </c>
      <c r="N1366" s="424"/>
      <c r="P1366" s="603" t="s">
        <v>1043</v>
      </c>
    </row>
    <row r="1367" spans="1:16" s="396" customFormat="1" ht="14">
      <c r="A1367" s="128" t="s">
        <v>8</v>
      </c>
      <c r="B1367" s="610" t="s">
        <v>1044</v>
      </c>
      <c r="C1367" s="611" t="s">
        <v>15</v>
      </c>
      <c r="D1367" s="612">
        <v>10</v>
      </c>
      <c r="E1367" s="7"/>
      <c r="F1367" s="613">
        <v>110</v>
      </c>
      <c r="G1367" s="7">
        <f t="shared" si="311"/>
        <v>1100</v>
      </c>
      <c r="H1367" s="7">
        <f t="shared" si="311"/>
        <v>0</v>
      </c>
      <c r="I1367" s="21"/>
      <c r="J1367" s="440" t="s">
        <v>6</v>
      </c>
      <c r="K1367" s="440" t="s">
        <v>288</v>
      </c>
      <c r="L1367" s="440" t="s">
        <v>94</v>
      </c>
      <c r="N1367" s="424"/>
      <c r="P1367" s="603" t="s">
        <v>1043</v>
      </c>
    </row>
    <row r="1368" spans="1:16" s="396" customFormat="1" ht="14">
      <c r="A1368" s="128" t="s">
        <v>8</v>
      </c>
      <c r="B1368" s="260" t="s">
        <v>1045</v>
      </c>
      <c r="C1368" s="611" t="s">
        <v>15</v>
      </c>
      <c r="D1368" s="612">
        <v>2</v>
      </c>
      <c r="E1368" s="7"/>
      <c r="F1368" s="613">
        <v>230</v>
      </c>
      <c r="G1368" s="7">
        <f t="shared" si="311"/>
        <v>460</v>
      </c>
      <c r="H1368" s="7">
        <f t="shared" si="311"/>
        <v>0</v>
      </c>
      <c r="I1368" s="21"/>
      <c r="J1368" s="440" t="s">
        <v>6</v>
      </c>
      <c r="K1368" s="440" t="s">
        <v>288</v>
      </c>
      <c r="L1368" s="440" t="s">
        <v>94</v>
      </c>
      <c r="N1368" s="424"/>
      <c r="P1368" s="603" t="s">
        <v>1043</v>
      </c>
    </row>
    <row r="1369" spans="1:16" s="396" customFormat="1" ht="14">
      <c r="A1369" s="128" t="s">
        <v>8</v>
      </c>
      <c r="B1369" s="260" t="s">
        <v>1046</v>
      </c>
      <c r="C1369" s="611" t="s">
        <v>15</v>
      </c>
      <c r="D1369" s="612">
        <v>2</v>
      </c>
      <c r="E1369" s="7"/>
      <c r="F1369" s="613">
        <v>32</v>
      </c>
      <c r="G1369" s="7">
        <f t="shared" si="311"/>
        <v>64</v>
      </c>
      <c r="H1369" s="7">
        <f t="shared" si="311"/>
        <v>0</v>
      </c>
      <c r="I1369" s="21"/>
      <c r="J1369" s="440" t="s">
        <v>6</v>
      </c>
      <c r="K1369" s="440" t="s">
        <v>288</v>
      </c>
      <c r="L1369" s="440" t="s">
        <v>94</v>
      </c>
      <c r="N1369" s="424"/>
      <c r="P1369" s="603" t="s">
        <v>1043</v>
      </c>
    </row>
    <row r="1370" spans="1:16" s="396" customFormat="1" ht="14">
      <c r="A1370" s="128" t="s">
        <v>8</v>
      </c>
      <c r="B1370" s="260" t="s">
        <v>1047</v>
      </c>
      <c r="C1370" s="611" t="s">
        <v>15</v>
      </c>
      <c r="D1370" s="612">
        <v>8</v>
      </c>
      <c r="E1370" s="7"/>
      <c r="F1370" s="613">
        <v>200</v>
      </c>
      <c r="G1370" s="7">
        <f t="shared" si="311"/>
        <v>1600</v>
      </c>
      <c r="H1370" s="7">
        <f t="shared" si="311"/>
        <v>0</v>
      </c>
      <c r="I1370" s="21"/>
      <c r="J1370" s="440" t="s">
        <v>6</v>
      </c>
      <c r="K1370" s="440" t="s">
        <v>288</v>
      </c>
      <c r="L1370" s="440" t="s">
        <v>94</v>
      </c>
      <c r="N1370" s="424"/>
      <c r="P1370" s="603" t="s">
        <v>1043</v>
      </c>
    </row>
    <row r="1371" spans="1:16" s="396" customFormat="1" ht="14">
      <c r="A1371" s="128" t="s">
        <v>8</v>
      </c>
      <c r="B1371" s="614" t="s">
        <v>1048</v>
      </c>
      <c r="C1371" s="611" t="s">
        <v>15</v>
      </c>
      <c r="D1371" s="202">
        <v>4</v>
      </c>
      <c r="E1371" s="7"/>
      <c r="F1371" s="609">
        <v>54</v>
      </c>
      <c r="G1371" s="7">
        <f t="shared" si="311"/>
        <v>216</v>
      </c>
      <c r="H1371" s="7">
        <f t="shared" si="311"/>
        <v>0</v>
      </c>
      <c r="I1371" s="21"/>
      <c r="J1371" s="440" t="s">
        <v>6</v>
      </c>
      <c r="K1371" s="440" t="s">
        <v>288</v>
      </c>
      <c r="L1371" s="440" t="s">
        <v>94</v>
      </c>
      <c r="N1371" s="424"/>
      <c r="P1371" s="603" t="s">
        <v>1043</v>
      </c>
    </row>
    <row r="1372" spans="1:16" s="396" customFormat="1" ht="14">
      <c r="A1372" s="128" t="s">
        <v>8</v>
      </c>
      <c r="B1372" s="614" t="s">
        <v>1049</v>
      </c>
      <c r="C1372" s="611" t="s">
        <v>15</v>
      </c>
      <c r="D1372" s="202">
        <v>4</v>
      </c>
      <c r="E1372" s="7"/>
      <c r="F1372" s="609">
        <v>72</v>
      </c>
      <c r="G1372" s="7">
        <f t="shared" si="311"/>
        <v>288</v>
      </c>
      <c r="H1372" s="7">
        <f t="shared" si="311"/>
        <v>0</v>
      </c>
      <c r="I1372" s="21"/>
      <c r="J1372" s="440" t="s">
        <v>6</v>
      </c>
      <c r="K1372" s="440" t="s">
        <v>288</v>
      </c>
      <c r="L1372" s="440" t="s">
        <v>94</v>
      </c>
      <c r="N1372" s="424"/>
      <c r="P1372" s="603" t="s">
        <v>1043</v>
      </c>
    </row>
    <row r="1373" spans="1:16" s="396" customFormat="1" ht="14">
      <c r="A1373" s="128" t="s">
        <v>8</v>
      </c>
      <c r="B1373" s="614" t="s">
        <v>1050</v>
      </c>
      <c r="C1373" s="611" t="s">
        <v>15</v>
      </c>
      <c r="D1373" s="202">
        <v>4</v>
      </c>
      <c r="E1373" s="7"/>
      <c r="F1373" s="609">
        <v>17</v>
      </c>
      <c r="G1373" s="7">
        <f t="shared" si="311"/>
        <v>68</v>
      </c>
      <c r="H1373" s="7">
        <f t="shared" si="311"/>
        <v>0</v>
      </c>
      <c r="I1373" s="21"/>
      <c r="J1373" s="440" t="s">
        <v>6</v>
      </c>
      <c r="K1373" s="440" t="s">
        <v>288</v>
      </c>
      <c r="L1373" s="440" t="s">
        <v>94</v>
      </c>
      <c r="N1373" s="424"/>
      <c r="P1373" s="603" t="s">
        <v>1043</v>
      </c>
    </row>
    <row r="1374" spans="1:16" s="396" customFormat="1" ht="14">
      <c r="A1374" s="128" t="s">
        <v>8</v>
      </c>
      <c r="B1374" s="615" t="s">
        <v>1051</v>
      </c>
      <c r="C1374" s="611" t="s">
        <v>15</v>
      </c>
      <c r="D1374" s="612">
        <v>4</v>
      </c>
      <c r="E1374" s="7"/>
      <c r="F1374" s="613">
        <v>62</v>
      </c>
      <c r="G1374" s="7">
        <f t="shared" si="311"/>
        <v>248</v>
      </c>
      <c r="H1374" s="7">
        <f t="shared" si="311"/>
        <v>0</v>
      </c>
      <c r="I1374" s="21"/>
      <c r="J1374" s="440" t="s">
        <v>6</v>
      </c>
      <c r="K1374" s="440" t="s">
        <v>288</v>
      </c>
      <c r="L1374" s="440" t="s">
        <v>94</v>
      </c>
      <c r="N1374" s="424"/>
      <c r="P1374" s="603" t="s">
        <v>1043</v>
      </c>
    </row>
    <row r="1375" spans="1:16" s="396" customFormat="1" ht="14">
      <c r="A1375" s="128" t="s">
        <v>8</v>
      </c>
      <c r="B1375" s="615" t="s">
        <v>1052</v>
      </c>
      <c r="C1375" s="611" t="s">
        <v>15</v>
      </c>
      <c r="D1375" s="612">
        <v>8</v>
      </c>
      <c r="E1375" s="7"/>
      <c r="F1375" s="613">
        <v>8</v>
      </c>
      <c r="G1375" s="7">
        <f t="shared" si="311"/>
        <v>64</v>
      </c>
      <c r="H1375" s="7">
        <f t="shared" si="311"/>
        <v>0</v>
      </c>
      <c r="I1375" s="21"/>
      <c r="J1375" s="440" t="s">
        <v>6</v>
      </c>
      <c r="K1375" s="440" t="s">
        <v>288</v>
      </c>
      <c r="L1375" s="440" t="s">
        <v>94</v>
      </c>
      <c r="N1375" s="424"/>
      <c r="P1375" s="603" t="s">
        <v>1043</v>
      </c>
    </row>
    <row r="1376" spans="1:16" s="396" customFormat="1" ht="14">
      <c r="A1376" s="128" t="s">
        <v>8</v>
      </c>
      <c r="B1376" s="615" t="s">
        <v>1052</v>
      </c>
      <c r="C1376" s="611" t="s">
        <v>15</v>
      </c>
      <c r="D1376" s="612">
        <v>4</v>
      </c>
      <c r="E1376" s="7"/>
      <c r="F1376" s="613">
        <v>20</v>
      </c>
      <c r="G1376" s="7">
        <f t="shared" si="311"/>
        <v>80</v>
      </c>
      <c r="H1376" s="7">
        <f t="shared" si="311"/>
        <v>0</v>
      </c>
      <c r="I1376" s="21"/>
      <c r="J1376" s="440" t="s">
        <v>6</v>
      </c>
      <c r="K1376" s="440" t="s">
        <v>288</v>
      </c>
      <c r="L1376" s="440" t="s">
        <v>94</v>
      </c>
      <c r="N1376" s="424"/>
      <c r="P1376" s="603" t="s">
        <v>1043</v>
      </c>
    </row>
    <row r="1377" spans="1:16" s="396" customFormat="1" ht="14">
      <c r="A1377" s="128" t="s">
        <v>8</v>
      </c>
      <c r="B1377" s="615" t="s">
        <v>1052</v>
      </c>
      <c r="C1377" s="611" t="s">
        <v>15</v>
      </c>
      <c r="D1377" s="612">
        <v>12</v>
      </c>
      <c r="E1377" s="7"/>
      <c r="F1377" s="613">
        <v>70</v>
      </c>
      <c r="G1377" s="7">
        <f t="shared" si="311"/>
        <v>840</v>
      </c>
      <c r="H1377" s="7">
        <f t="shared" si="311"/>
        <v>0</v>
      </c>
      <c r="I1377" s="21"/>
      <c r="J1377" s="440" t="s">
        <v>6</v>
      </c>
      <c r="K1377" s="440" t="s">
        <v>288</v>
      </c>
      <c r="L1377" s="440" t="s">
        <v>94</v>
      </c>
      <c r="N1377" s="424"/>
      <c r="P1377" s="603" t="s">
        <v>1043</v>
      </c>
    </row>
    <row r="1378" spans="1:16" s="396" customFormat="1" ht="14">
      <c r="A1378" s="604" t="s">
        <v>393</v>
      </c>
      <c r="B1378" s="616" t="s">
        <v>1053</v>
      </c>
      <c r="C1378" s="617"/>
      <c r="D1378" s="617"/>
      <c r="E1378" s="7"/>
      <c r="F1378" s="618"/>
      <c r="G1378" s="7">
        <f t="shared" si="311"/>
        <v>0</v>
      </c>
      <c r="H1378" s="7">
        <f t="shared" si="311"/>
        <v>0</v>
      </c>
      <c r="I1378" s="21"/>
      <c r="J1378" s="440" t="s">
        <v>6</v>
      </c>
      <c r="K1378" s="440" t="s">
        <v>288</v>
      </c>
      <c r="L1378" s="440" t="s">
        <v>94</v>
      </c>
      <c r="N1378" s="424"/>
      <c r="P1378" s="603" t="s">
        <v>1043</v>
      </c>
    </row>
    <row r="1379" spans="1:16" s="396" customFormat="1" ht="14">
      <c r="A1379" s="128" t="s">
        <v>8</v>
      </c>
      <c r="B1379" s="127" t="s">
        <v>1054</v>
      </c>
      <c r="C1379" s="611" t="s">
        <v>15</v>
      </c>
      <c r="D1379" s="612">
        <v>24</v>
      </c>
      <c r="E1379" s="7"/>
      <c r="F1379" s="613">
        <v>20</v>
      </c>
      <c r="G1379" s="7">
        <f t="shared" ref="G1379:H1438" si="312">D1379*$F1379</f>
        <v>480</v>
      </c>
      <c r="H1379" s="7">
        <f t="shared" si="312"/>
        <v>0</v>
      </c>
      <c r="I1379" s="21"/>
      <c r="J1379" s="440" t="s">
        <v>6</v>
      </c>
      <c r="K1379" s="440" t="s">
        <v>288</v>
      </c>
      <c r="L1379" s="440" t="s">
        <v>94</v>
      </c>
      <c r="N1379" s="424"/>
      <c r="P1379" s="603" t="s">
        <v>1043</v>
      </c>
    </row>
    <row r="1380" spans="1:16" s="396" customFormat="1" ht="14">
      <c r="A1380" s="128" t="s">
        <v>8</v>
      </c>
      <c r="B1380" s="151" t="s">
        <v>1055</v>
      </c>
      <c r="C1380" s="611" t="s">
        <v>15</v>
      </c>
      <c r="D1380" s="612">
        <v>48</v>
      </c>
      <c r="E1380" s="7"/>
      <c r="F1380" s="613">
        <v>7</v>
      </c>
      <c r="G1380" s="7">
        <f t="shared" si="312"/>
        <v>336</v>
      </c>
      <c r="H1380" s="7">
        <f t="shared" si="312"/>
        <v>0</v>
      </c>
      <c r="I1380" s="21"/>
      <c r="J1380" s="440" t="s">
        <v>6</v>
      </c>
      <c r="K1380" s="440" t="s">
        <v>288</v>
      </c>
      <c r="L1380" s="440" t="s">
        <v>94</v>
      </c>
      <c r="N1380" s="424"/>
      <c r="P1380" s="603" t="s">
        <v>1043</v>
      </c>
    </row>
    <row r="1381" spans="1:16" s="396" customFormat="1" ht="14">
      <c r="A1381" s="128" t="s">
        <v>8</v>
      </c>
      <c r="B1381" s="151" t="s">
        <v>1056</v>
      </c>
      <c r="C1381" s="611" t="s">
        <v>15</v>
      </c>
      <c r="D1381" s="612">
        <v>24</v>
      </c>
      <c r="E1381" s="7"/>
      <c r="F1381" s="613">
        <v>10</v>
      </c>
      <c r="G1381" s="7">
        <f t="shared" si="312"/>
        <v>240</v>
      </c>
      <c r="H1381" s="7">
        <f t="shared" si="312"/>
        <v>0</v>
      </c>
      <c r="I1381" s="21"/>
      <c r="J1381" s="440" t="s">
        <v>6</v>
      </c>
      <c r="K1381" s="440" t="s">
        <v>288</v>
      </c>
      <c r="L1381" s="440" t="s">
        <v>94</v>
      </c>
      <c r="N1381" s="424"/>
      <c r="P1381" s="603" t="s">
        <v>1043</v>
      </c>
    </row>
    <row r="1382" spans="1:16" s="396" customFormat="1" ht="14">
      <c r="A1382" s="128" t="s">
        <v>8</v>
      </c>
      <c r="B1382" s="619" t="s">
        <v>1057</v>
      </c>
      <c r="C1382" s="611" t="s">
        <v>15</v>
      </c>
      <c r="D1382" s="612">
        <v>24</v>
      </c>
      <c r="E1382" s="7"/>
      <c r="F1382" s="613">
        <v>300</v>
      </c>
      <c r="G1382" s="7">
        <f t="shared" si="312"/>
        <v>7200</v>
      </c>
      <c r="H1382" s="7">
        <f t="shared" si="312"/>
        <v>0</v>
      </c>
      <c r="I1382" s="21"/>
      <c r="J1382" s="440" t="s">
        <v>6</v>
      </c>
      <c r="K1382" s="440" t="s">
        <v>288</v>
      </c>
      <c r="L1382" s="440" t="s">
        <v>94</v>
      </c>
      <c r="N1382" s="424"/>
      <c r="P1382" s="603" t="s">
        <v>1043</v>
      </c>
    </row>
    <row r="1383" spans="1:16" s="396" customFormat="1" ht="14">
      <c r="A1383" s="128" t="s">
        <v>8</v>
      </c>
      <c r="B1383" s="260" t="s">
        <v>1058</v>
      </c>
      <c r="C1383" s="611" t="s">
        <v>15</v>
      </c>
      <c r="D1383" s="612">
        <v>1</v>
      </c>
      <c r="E1383" s="7"/>
      <c r="F1383" s="613">
        <v>600</v>
      </c>
      <c r="G1383" s="7">
        <f t="shared" si="312"/>
        <v>600</v>
      </c>
      <c r="H1383" s="7">
        <f t="shared" si="312"/>
        <v>0</v>
      </c>
      <c r="I1383" s="21"/>
      <c r="J1383" s="440" t="s">
        <v>6</v>
      </c>
      <c r="K1383" s="440" t="s">
        <v>288</v>
      </c>
      <c r="L1383" s="440" t="s">
        <v>94</v>
      </c>
      <c r="N1383" s="424"/>
      <c r="P1383" s="603" t="s">
        <v>1043</v>
      </c>
    </row>
    <row r="1384" spans="1:16" s="396" customFormat="1" ht="14">
      <c r="A1384" s="128" t="s">
        <v>8</v>
      </c>
      <c r="B1384" s="260" t="s">
        <v>1059</v>
      </c>
      <c r="C1384" s="611" t="s">
        <v>15</v>
      </c>
      <c r="D1384" s="612">
        <v>2</v>
      </c>
      <c r="E1384" s="7"/>
      <c r="F1384" s="613">
        <v>320</v>
      </c>
      <c r="G1384" s="7">
        <f t="shared" si="312"/>
        <v>640</v>
      </c>
      <c r="H1384" s="7">
        <f t="shared" si="312"/>
        <v>0</v>
      </c>
      <c r="I1384" s="21"/>
      <c r="J1384" s="440" t="s">
        <v>6</v>
      </c>
      <c r="K1384" s="440" t="s">
        <v>288</v>
      </c>
      <c r="L1384" s="440" t="s">
        <v>94</v>
      </c>
      <c r="N1384" s="424"/>
      <c r="P1384" s="603" t="s">
        <v>1043</v>
      </c>
    </row>
    <row r="1385" spans="1:16" s="396" customFormat="1" ht="14">
      <c r="A1385" s="128" t="s">
        <v>8</v>
      </c>
      <c r="B1385" s="260" t="s">
        <v>1060</v>
      </c>
      <c r="C1385" s="611" t="s">
        <v>15</v>
      </c>
      <c r="D1385" s="612">
        <v>1</v>
      </c>
      <c r="E1385" s="7"/>
      <c r="F1385" s="613">
        <v>858</v>
      </c>
      <c r="G1385" s="7">
        <f t="shared" si="312"/>
        <v>858</v>
      </c>
      <c r="H1385" s="7">
        <f t="shared" si="312"/>
        <v>0</v>
      </c>
      <c r="I1385" s="21"/>
      <c r="J1385" s="440" t="s">
        <v>6</v>
      </c>
      <c r="K1385" s="440" t="s">
        <v>288</v>
      </c>
      <c r="L1385" s="440" t="s">
        <v>94</v>
      </c>
      <c r="N1385" s="424"/>
      <c r="P1385" s="603" t="s">
        <v>1043</v>
      </c>
    </row>
    <row r="1386" spans="1:16" s="396" customFormat="1" ht="14">
      <c r="A1386" s="128" t="s">
        <v>8</v>
      </c>
      <c r="B1386" s="260" t="s">
        <v>1061</v>
      </c>
      <c r="C1386" s="611" t="s">
        <v>15</v>
      </c>
      <c r="D1386" s="612">
        <v>2</v>
      </c>
      <c r="E1386" s="7"/>
      <c r="F1386" s="613">
        <v>210</v>
      </c>
      <c r="G1386" s="7">
        <f t="shared" si="312"/>
        <v>420</v>
      </c>
      <c r="H1386" s="7">
        <f t="shared" si="312"/>
        <v>0</v>
      </c>
      <c r="I1386" s="21"/>
      <c r="J1386" s="440" t="s">
        <v>6</v>
      </c>
      <c r="K1386" s="440" t="s">
        <v>288</v>
      </c>
      <c r="L1386" s="440" t="s">
        <v>94</v>
      </c>
      <c r="N1386" s="424"/>
      <c r="P1386" s="603" t="s">
        <v>1043</v>
      </c>
    </row>
    <row r="1387" spans="1:16" s="396" customFormat="1" ht="15.5">
      <c r="A1387" s="128" t="s">
        <v>8</v>
      </c>
      <c r="B1387" s="620" t="s">
        <v>1062</v>
      </c>
      <c r="C1387" s="611" t="s">
        <v>15</v>
      </c>
      <c r="D1387" s="612">
        <v>2</v>
      </c>
      <c r="E1387" s="7"/>
      <c r="F1387" s="613">
        <v>500</v>
      </c>
      <c r="G1387" s="7">
        <f t="shared" si="312"/>
        <v>1000</v>
      </c>
      <c r="H1387" s="7">
        <f t="shared" si="312"/>
        <v>0</v>
      </c>
      <c r="I1387" s="21"/>
      <c r="J1387" s="440" t="s">
        <v>6</v>
      </c>
      <c r="K1387" s="440" t="s">
        <v>288</v>
      </c>
      <c r="L1387" s="440" t="s">
        <v>94</v>
      </c>
      <c r="N1387" s="424"/>
      <c r="P1387" s="603" t="s">
        <v>1043</v>
      </c>
    </row>
    <row r="1388" spans="1:16" s="396" customFormat="1" ht="14">
      <c r="A1388" s="128" t="s">
        <v>8</v>
      </c>
      <c r="B1388" s="260" t="s">
        <v>1063</v>
      </c>
      <c r="C1388" s="611" t="s">
        <v>15</v>
      </c>
      <c r="D1388" s="612">
        <v>1</v>
      </c>
      <c r="E1388" s="7"/>
      <c r="F1388" s="613">
        <v>650</v>
      </c>
      <c r="G1388" s="7">
        <f t="shared" si="312"/>
        <v>650</v>
      </c>
      <c r="H1388" s="7">
        <f t="shared" si="312"/>
        <v>0</v>
      </c>
      <c r="I1388" s="21"/>
      <c r="J1388" s="440" t="s">
        <v>6</v>
      </c>
      <c r="K1388" s="440" t="s">
        <v>288</v>
      </c>
      <c r="L1388" s="440" t="s">
        <v>94</v>
      </c>
      <c r="N1388" s="424"/>
      <c r="P1388" s="603" t="s">
        <v>1043</v>
      </c>
    </row>
    <row r="1389" spans="1:16" s="396" customFormat="1" ht="14">
      <c r="A1389" s="606" t="s">
        <v>8</v>
      </c>
      <c r="B1389" s="251" t="s">
        <v>1064</v>
      </c>
      <c r="C1389" s="608" t="s">
        <v>15</v>
      </c>
      <c r="D1389" s="202">
        <v>4</v>
      </c>
      <c r="E1389" s="7"/>
      <c r="F1389" s="609">
        <v>550</v>
      </c>
      <c r="G1389" s="7">
        <f t="shared" si="312"/>
        <v>2200</v>
      </c>
      <c r="H1389" s="7">
        <f t="shared" si="312"/>
        <v>0</v>
      </c>
      <c r="I1389" s="21"/>
      <c r="J1389" s="440" t="s">
        <v>6</v>
      </c>
      <c r="K1389" s="440" t="s">
        <v>288</v>
      </c>
      <c r="L1389" s="440" t="s">
        <v>94</v>
      </c>
      <c r="N1389" s="424"/>
      <c r="P1389" s="603" t="s">
        <v>1043</v>
      </c>
    </row>
    <row r="1390" spans="1:16" s="396" customFormat="1" ht="14">
      <c r="A1390" s="604" t="s">
        <v>394</v>
      </c>
      <c r="B1390" s="616" t="s">
        <v>1065</v>
      </c>
      <c r="C1390" s="621"/>
      <c r="D1390" s="621"/>
      <c r="E1390" s="7"/>
      <c r="F1390" s="622"/>
      <c r="G1390" s="7">
        <f t="shared" si="312"/>
        <v>0</v>
      </c>
      <c r="H1390" s="7">
        <f t="shared" si="312"/>
        <v>0</v>
      </c>
      <c r="I1390" s="21"/>
      <c r="J1390" s="440" t="s">
        <v>6</v>
      </c>
      <c r="K1390" s="440" t="s">
        <v>288</v>
      </c>
      <c r="L1390" s="440" t="s">
        <v>94</v>
      </c>
      <c r="N1390" s="424"/>
      <c r="P1390" s="603" t="s">
        <v>1043</v>
      </c>
    </row>
    <row r="1391" spans="1:16" s="396" customFormat="1" ht="14">
      <c r="A1391" s="128" t="s">
        <v>8</v>
      </c>
      <c r="B1391" s="615" t="s">
        <v>1066</v>
      </c>
      <c r="C1391" s="611" t="s">
        <v>15</v>
      </c>
      <c r="D1391" s="612">
        <v>24</v>
      </c>
      <c r="E1391" s="7"/>
      <c r="F1391" s="613">
        <v>113</v>
      </c>
      <c r="G1391" s="7">
        <f t="shared" si="312"/>
        <v>2712</v>
      </c>
      <c r="H1391" s="7">
        <f t="shared" si="312"/>
        <v>0</v>
      </c>
      <c r="I1391" s="21"/>
      <c r="J1391" s="440" t="s">
        <v>6</v>
      </c>
      <c r="K1391" s="440" t="s">
        <v>288</v>
      </c>
      <c r="L1391" s="440" t="s">
        <v>94</v>
      </c>
      <c r="N1391" s="424"/>
      <c r="P1391" s="603" t="s">
        <v>1043</v>
      </c>
    </row>
    <row r="1392" spans="1:16" s="396" customFormat="1" ht="14">
      <c r="A1392" s="128" t="s">
        <v>8</v>
      </c>
      <c r="B1392" s="615" t="s">
        <v>1067</v>
      </c>
      <c r="C1392" s="611" t="s">
        <v>15</v>
      </c>
      <c r="D1392" s="612">
        <v>24</v>
      </c>
      <c r="E1392" s="7"/>
      <c r="F1392" s="613">
        <v>152</v>
      </c>
      <c r="G1392" s="7">
        <f t="shared" si="312"/>
        <v>3648</v>
      </c>
      <c r="H1392" s="7">
        <f t="shared" si="312"/>
        <v>0</v>
      </c>
      <c r="I1392" s="21"/>
      <c r="J1392" s="440" t="s">
        <v>6</v>
      </c>
      <c r="K1392" s="440" t="s">
        <v>288</v>
      </c>
      <c r="L1392" s="440" t="s">
        <v>94</v>
      </c>
      <c r="N1392" s="424"/>
      <c r="P1392" s="603" t="s">
        <v>1043</v>
      </c>
    </row>
    <row r="1393" spans="1:16" s="396" customFormat="1" ht="14">
      <c r="A1393" s="128" t="s">
        <v>8</v>
      </c>
      <c r="B1393" s="615" t="s">
        <v>1052</v>
      </c>
      <c r="C1393" s="611" t="s">
        <v>15</v>
      </c>
      <c r="D1393" s="612">
        <v>24</v>
      </c>
      <c r="E1393" s="7"/>
      <c r="F1393" s="613">
        <v>6</v>
      </c>
      <c r="G1393" s="7">
        <f t="shared" si="312"/>
        <v>144</v>
      </c>
      <c r="H1393" s="7">
        <f t="shared" si="312"/>
        <v>0</v>
      </c>
      <c r="I1393" s="21"/>
      <c r="J1393" s="440" t="s">
        <v>6</v>
      </c>
      <c r="K1393" s="440" t="s">
        <v>288</v>
      </c>
      <c r="L1393" s="440" t="s">
        <v>94</v>
      </c>
      <c r="N1393" s="424"/>
      <c r="P1393" s="603" t="s">
        <v>1043</v>
      </c>
    </row>
    <row r="1394" spans="1:16" s="396" customFormat="1" ht="14">
      <c r="A1394" s="128" t="s">
        <v>8</v>
      </c>
      <c r="B1394" s="615" t="s">
        <v>1068</v>
      </c>
      <c r="C1394" s="611" t="s">
        <v>15</v>
      </c>
      <c r="D1394" s="612">
        <v>6</v>
      </c>
      <c r="E1394" s="7"/>
      <c r="F1394" s="613">
        <v>64</v>
      </c>
      <c r="G1394" s="7">
        <f t="shared" si="312"/>
        <v>384</v>
      </c>
      <c r="H1394" s="7">
        <f t="shared" si="312"/>
        <v>0</v>
      </c>
      <c r="I1394" s="21"/>
      <c r="J1394" s="440" t="s">
        <v>6</v>
      </c>
      <c r="K1394" s="440" t="s">
        <v>288</v>
      </c>
      <c r="L1394" s="440" t="s">
        <v>94</v>
      </c>
      <c r="N1394" s="424"/>
      <c r="P1394" s="603" t="s">
        <v>1043</v>
      </c>
    </row>
    <row r="1395" spans="1:16" s="396" customFormat="1" ht="14">
      <c r="A1395" s="128" t="s">
        <v>8</v>
      </c>
      <c r="B1395" s="615" t="s">
        <v>1052</v>
      </c>
      <c r="C1395" s="611" t="s">
        <v>15</v>
      </c>
      <c r="D1395" s="612">
        <v>12</v>
      </c>
      <c r="E1395" s="7"/>
      <c r="F1395" s="613">
        <v>44</v>
      </c>
      <c r="G1395" s="7">
        <f t="shared" si="312"/>
        <v>528</v>
      </c>
      <c r="H1395" s="7">
        <f t="shared" si="312"/>
        <v>0</v>
      </c>
      <c r="I1395" s="21"/>
      <c r="J1395" s="440" t="s">
        <v>6</v>
      </c>
      <c r="K1395" s="440" t="s">
        <v>288</v>
      </c>
      <c r="L1395" s="440" t="s">
        <v>94</v>
      </c>
      <c r="N1395" s="424"/>
      <c r="P1395" s="603" t="s">
        <v>1043</v>
      </c>
    </row>
    <row r="1396" spans="1:16" s="396" customFormat="1" ht="14">
      <c r="A1396" s="128" t="s">
        <v>8</v>
      </c>
      <c r="B1396" s="615" t="s">
        <v>1050</v>
      </c>
      <c r="C1396" s="611" t="s">
        <v>15</v>
      </c>
      <c r="D1396" s="612">
        <v>24</v>
      </c>
      <c r="E1396" s="7"/>
      <c r="F1396" s="613">
        <v>14</v>
      </c>
      <c r="G1396" s="7">
        <f t="shared" si="312"/>
        <v>336</v>
      </c>
      <c r="H1396" s="7">
        <f t="shared" si="312"/>
        <v>0</v>
      </c>
      <c r="I1396" s="21"/>
      <c r="J1396" s="440" t="s">
        <v>6</v>
      </c>
      <c r="K1396" s="440" t="s">
        <v>288</v>
      </c>
      <c r="L1396" s="440" t="s">
        <v>94</v>
      </c>
      <c r="N1396" s="424"/>
      <c r="P1396" s="603" t="s">
        <v>1043</v>
      </c>
    </row>
    <row r="1397" spans="1:16" s="396" customFormat="1" ht="14">
      <c r="A1397" s="128" t="s">
        <v>8</v>
      </c>
      <c r="B1397" s="615" t="s">
        <v>1069</v>
      </c>
      <c r="C1397" s="611" t="s">
        <v>15</v>
      </c>
      <c r="D1397" s="612">
        <v>16</v>
      </c>
      <c r="E1397" s="7"/>
      <c r="F1397" s="613">
        <v>42</v>
      </c>
      <c r="G1397" s="7">
        <f t="shared" si="312"/>
        <v>672</v>
      </c>
      <c r="H1397" s="7">
        <f t="shared" si="312"/>
        <v>0</v>
      </c>
      <c r="I1397" s="21"/>
      <c r="J1397" s="440" t="s">
        <v>6</v>
      </c>
      <c r="K1397" s="440" t="s">
        <v>288</v>
      </c>
      <c r="L1397" s="440" t="s">
        <v>94</v>
      </c>
      <c r="N1397" s="424"/>
      <c r="P1397" s="603" t="s">
        <v>1043</v>
      </c>
    </row>
    <row r="1398" spans="1:16" s="396" customFormat="1" ht="14">
      <c r="A1398" s="128" t="s">
        <v>8</v>
      </c>
      <c r="B1398" s="615" t="s">
        <v>1050</v>
      </c>
      <c r="C1398" s="611" t="s">
        <v>15</v>
      </c>
      <c r="D1398" s="612">
        <v>24</v>
      </c>
      <c r="E1398" s="7"/>
      <c r="F1398" s="613">
        <v>75</v>
      </c>
      <c r="G1398" s="7">
        <f t="shared" si="312"/>
        <v>1800</v>
      </c>
      <c r="H1398" s="7">
        <f t="shared" si="312"/>
        <v>0</v>
      </c>
      <c r="I1398" s="21"/>
      <c r="J1398" s="440" t="s">
        <v>6</v>
      </c>
      <c r="K1398" s="440" t="s">
        <v>288</v>
      </c>
      <c r="L1398" s="440" t="s">
        <v>94</v>
      </c>
      <c r="N1398" s="424"/>
      <c r="P1398" s="603" t="s">
        <v>1043</v>
      </c>
    </row>
    <row r="1399" spans="1:16" s="396" customFormat="1" ht="14">
      <c r="A1399" s="128" t="s">
        <v>8</v>
      </c>
      <c r="B1399" s="615" t="s">
        <v>1052</v>
      </c>
      <c r="C1399" s="611" t="s">
        <v>15</v>
      </c>
      <c r="D1399" s="612">
        <v>24</v>
      </c>
      <c r="E1399" s="7"/>
      <c r="F1399" s="613">
        <v>18</v>
      </c>
      <c r="G1399" s="7">
        <f t="shared" si="312"/>
        <v>432</v>
      </c>
      <c r="H1399" s="7">
        <f t="shared" si="312"/>
        <v>0</v>
      </c>
      <c r="I1399" s="21"/>
      <c r="J1399" s="440" t="s">
        <v>6</v>
      </c>
      <c r="K1399" s="440" t="s">
        <v>288</v>
      </c>
      <c r="L1399" s="440" t="s">
        <v>94</v>
      </c>
      <c r="N1399" s="424"/>
      <c r="P1399" s="603" t="s">
        <v>1043</v>
      </c>
    </row>
    <row r="1400" spans="1:16" s="396" customFormat="1" ht="14">
      <c r="A1400" s="128" t="s">
        <v>8</v>
      </c>
      <c r="B1400" s="615" t="s">
        <v>1052</v>
      </c>
      <c r="C1400" s="611" t="s">
        <v>15</v>
      </c>
      <c r="D1400" s="612">
        <v>8</v>
      </c>
      <c r="E1400" s="7"/>
      <c r="F1400" s="613">
        <v>18</v>
      </c>
      <c r="G1400" s="7">
        <f t="shared" si="312"/>
        <v>144</v>
      </c>
      <c r="H1400" s="7">
        <f t="shared" si="312"/>
        <v>0</v>
      </c>
      <c r="I1400" s="21"/>
      <c r="J1400" s="440" t="s">
        <v>6</v>
      </c>
      <c r="K1400" s="440" t="s">
        <v>288</v>
      </c>
      <c r="L1400" s="440" t="s">
        <v>94</v>
      </c>
      <c r="N1400" s="424"/>
      <c r="P1400" s="603" t="s">
        <v>1043</v>
      </c>
    </row>
    <row r="1401" spans="1:16" s="396" customFormat="1" ht="14">
      <c r="A1401" s="128" t="s">
        <v>8</v>
      </c>
      <c r="B1401" s="615" t="s">
        <v>1052</v>
      </c>
      <c r="C1401" s="611" t="s">
        <v>15</v>
      </c>
      <c r="D1401" s="612">
        <v>4</v>
      </c>
      <c r="E1401" s="7"/>
      <c r="F1401" s="613">
        <v>17</v>
      </c>
      <c r="G1401" s="7">
        <f t="shared" si="312"/>
        <v>68</v>
      </c>
      <c r="H1401" s="7">
        <f t="shared" si="312"/>
        <v>0</v>
      </c>
      <c r="I1401" s="21"/>
      <c r="J1401" s="440" t="s">
        <v>6</v>
      </c>
      <c r="K1401" s="440" t="s">
        <v>288</v>
      </c>
      <c r="L1401" s="440" t="s">
        <v>94</v>
      </c>
      <c r="N1401" s="424"/>
      <c r="P1401" s="603" t="s">
        <v>1043</v>
      </c>
    </row>
    <row r="1402" spans="1:16" s="396" customFormat="1" ht="14">
      <c r="A1402" s="128" t="s">
        <v>8</v>
      </c>
      <c r="B1402" s="615" t="s">
        <v>1052</v>
      </c>
      <c r="C1402" s="611" t="s">
        <v>15</v>
      </c>
      <c r="D1402" s="612">
        <v>4</v>
      </c>
      <c r="E1402" s="7"/>
      <c r="F1402" s="613">
        <v>20</v>
      </c>
      <c r="G1402" s="7">
        <f t="shared" si="312"/>
        <v>80</v>
      </c>
      <c r="H1402" s="7">
        <f t="shared" si="312"/>
        <v>0</v>
      </c>
      <c r="I1402" s="21"/>
      <c r="J1402" s="440" t="s">
        <v>6</v>
      </c>
      <c r="K1402" s="440" t="s">
        <v>288</v>
      </c>
      <c r="L1402" s="440" t="s">
        <v>94</v>
      </c>
      <c r="N1402" s="424"/>
      <c r="P1402" s="603" t="s">
        <v>1043</v>
      </c>
    </row>
    <row r="1403" spans="1:16" s="396" customFormat="1" ht="14">
      <c r="A1403" s="604" t="s">
        <v>468</v>
      </c>
      <c r="B1403" s="623" t="s">
        <v>1070</v>
      </c>
      <c r="C1403" s="624"/>
      <c r="D1403" s="624"/>
      <c r="E1403" s="7"/>
      <c r="F1403" s="613"/>
      <c r="G1403" s="7">
        <f t="shared" si="312"/>
        <v>0</v>
      </c>
      <c r="H1403" s="7">
        <f t="shared" si="312"/>
        <v>0</v>
      </c>
      <c r="I1403" s="21"/>
      <c r="J1403" s="440" t="s">
        <v>6</v>
      </c>
      <c r="K1403" s="440" t="s">
        <v>288</v>
      </c>
      <c r="L1403" s="440" t="s">
        <v>94</v>
      </c>
      <c r="N1403" s="424"/>
      <c r="P1403" s="603" t="s">
        <v>1043</v>
      </c>
    </row>
    <row r="1404" spans="1:16" s="396" customFormat="1" ht="14">
      <c r="A1404" s="128" t="s">
        <v>8</v>
      </c>
      <c r="B1404" s="615" t="s">
        <v>1052</v>
      </c>
      <c r="C1404" s="611" t="s">
        <v>15</v>
      </c>
      <c r="D1404" s="612">
        <v>2</v>
      </c>
      <c r="E1404" s="7"/>
      <c r="F1404" s="613">
        <v>22</v>
      </c>
      <c r="G1404" s="7">
        <f t="shared" si="312"/>
        <v>44</v>
      </c>
      <c r="H1404" s="7">
        <f t="shared" si="312"/>
        <v>0</v>
      </c>
      <c r="I1404" s="21"/>
      <c r="J1404" s="440" t="s">
        <v>6</v>
      </c>
      <c r="K1404" s="440" t="s">
        <v>288</v>
      </c>
      <c r="L1404" s="440" t="s">
        <v>94</v>
      </c>
      <c r="N1404" s="424"/>
      <c r="P1404" s="603" t="s">
        <v>1043</v>
      </c>
    </row>
    <row r="1405" spans="1:16" s="396" customFormat="1" ht="14">
      <c r="A1405" s="128" t="s">
        <v>8</v>
      </c>
      <c r="B1405" s="615" t="s">
        <v>1052</v>
      </c>
      <c r="C1405" s="611" t="s">
        <v>15</v>
      </c>
      <c r="D1405" s="612">
        <v>2</v>
      </c>
      <c r="E1405" s="7"/>
      <c r="F1405" s="613">
        <v>28</v>
      </c>
      <c r="G1405" s="7">
        <f t="shared" si="312"/>
        <v>56</v>
      </c>
      <c r="H1405" s="7">
        <f t="shared" si="312"/>
        <v>0</v>
      </c>
      <c r="I1405" s="21"/>
      <c r="J1405" s="440" t="s">
        <v>6</v>
      </c>
      <c r="K1405" s="440" t="s">
        <v>288</v>
      </c>
      <c r="L1405" s="440" t="s">
        <v>94</v>
      </c>
      <c r="N1405" s="424"/>
      <c r="P1405" s="603" t="s">
        <v>1043</v>
      </c>
    </row>
    <row r="1406" spans="1:16" s="396" customFormat="1" ht="14">
      <c r="A1406" s="128" t="s">
        <v>8</v>
      </c>
      <c r="B1406" s="615" t="s">
        <v>1071</v>
      </c>
      <c r="C1406" s="611" t="s">
        <v>15</v>
      </c>
      <c r="D1406" s="612">
        <v>2</v>
      </c>
      <c r="E1406" s="7"/>
      <c r="F1406" s="613">
        <v>369</v>
      </c>
      <c r="G1406" s="7">
        <f t="shared" si="312"/>
        <v>738</v>
      </c>
      <c r="H1406" s="7">
        <f t="shared" si="312"/>
        <v>0</v>
      </c>
      <c r="I1406" s="21"/>
      <c r="J1406" s="440" t="s">
        <v>6</v>
      </c>
      <c r="K1406" s="440" t="s">
        <v>288</v>
      </c>
      <c r="L1406" s="440" t="s">
        <v>94</v>
      </c>
      <c r="N1406" s="424"/>
      <c r="P1406" s="603" t="s">
        <v>1043</v>
      </c>
    </row>
    <row r="1407" spans="1:16" s="396" customFormat="1" ht="14">
      <c r="A1407" s="128" t="s">
        <v>8</v>
      </c>
      <c r="B1407" s="615" t="s">
        <v>1052</v>
      </c>
      <c r="C1407" s="611" t="s">
        <v>15</v>
      </c>
      <c r="D1407" s="612">
        <v>2</v>
      </c>
      <c r="E1407" s="7"/>
      <c r="F1407" s="613">
        <v>22</v>
      </c>
      <c r="G1407" s="7">
        <f t="shared" si="312"/>
        <v>44</v>
      </c>
      <c r="H1407" s="7">
        <f t="shared" si="312"/>
        <v>0</v>
      </c>
      <c r="I1407" s="21"/>
      <c r="J1407" s="440" t="s">
        <v>6</v>
      </c>
      <c r="K1407" s="440" t="s">
        <v>288</v>
      </c>
      <c r="L1407" s="440" t="s">
        <v>94</v>
      </c>
      <c r="N1407" s="424"/>
      <c r="P1407" s="603" t="s">
        <v>1043</v>
      </c>
    </row>
    <row r="1408" spans="1:16" s="396" customFormat="1" ht="14">
      <c r="A1408" s="128" t="s">
        <v>8</v>
      </c>
      <c r="B1408" s="615" t="s">
        <v>1052</v>
      </c>
      <c r="C1408" s="611" t="s">
        <v>15</v>
      </c>
      <c r="D1408" s="612">
        <v>2</v>
      </c>
      <c r="E1408" s="7"/>
      <c r="F1408" s="613">
        <v>33</v>
      </c>
      <c r="G1408" s="7">
        <f t="shared" si="312"/>
        <v>66</v>
      </c>
      <c r="H1408" s="7">
        <f t="shared" si="312"/>
        <v>0</v>
      </c>
      <c r="I1408" s="21"/>
      <c r="J1408" s="440" t="s">
        <v>6</v>
      </c>
      <c r="K1408" s="440" t="s">
        <v>288</v>
      </c>
      <c r="L1408" s="440" t="s">
        <v>94</v>
      </c>
      <c r="N1408" s="424"/>
      <c r="P1408" s="603" t="s">
        <v>1043</v>
      </c>
    </row>
    <row r="1409" spans="1:16" s="396" customFormat="1" ht="14">
      <c r="A1409" s="128" t="s">
        <v>8</v>
      </c>
      <c r="B1409" s="615" t="s">
        <v>1072</v>
      </c>
      <c r="C1409" s="611" t="s">
        <v>15</v>
      </c>
      <c r="D1409" s="612">
        <v>2</v>
      </c>
      <c r="E1409" s="7"/>
      <c r="F1409" s="613">
        <v>276</v>
      </c>
      <c r="G1409" s="7">
        <f t="shared" si="312"/>
        <v>552</v>
      </c>
      <c r="H1409" s="7">
        <f t="shared" si="312"/>
        <v>0</v>
      </c>
      <c r="I1409" s="21"/>
      <c r="J1409" s="440" t="s">
        <v>6</v>
      </c>
      <c r="K1409" s="440" t="s">
        <v>288</v>
      </c>
      <c r="L1409" s="440" t="s">
        <v>94</v>
      </c>
      <c r="N1409" s="424"/>
      <c r="P1409" s="603" t="s">
        <v>1043</v>
      </c>
    </row>
    <row r="1410" spans="1:16" s="396" customFormat="1" ht="14">
      <c r="A1410" s="128" t="s">
        <v>8</v>
      </c>
      <c r="B1410" s="615" t="s">
        <v>1073</v>
      </c>
      <c r="C1410" s="611" t="s">
        <v>15</v>
      </c>
      <c r="D1410" s="612">
        <v>2</v>
      </c>
      <c r="E1410" s="7"/>
      <c r="F1410" s="613">
        <v>425</v>
      </c>
      <c r="G1410" s="7">
        <f t="shared" si="312"/>
        <v>850</v>
      </c>
      <c r="H1410" s="7">
        <f t="shared" si="312"/>
        <v>0</v>
      </c>
      <c r="I1410" s="21"/>
      <c r="J1410" s="440" t="s">
        <v>6</v>
      </c>
      <c r="K1410" s="440" t="s">
        <v>288</v>
      </c>
      <c r="L1410" s="440" t="s">
        <v>94</v>
      </c>
      <c r="N1410" s="424"/>
      <c r="P1410" s="603" t="s">
        <v>1043</v>
      </c>
    </row>
    <row r="1411" spans="1:16" s="396" customFormat="1" ht="14">
      <c r="A1411" s="128" t="s">
        <v>8</v>
      </c>
      <c r="B1411" s="615" t="s">
        <v>1074</v>
      </c>
      <c r="C1411" s="611" t="s">
        <v>15</v>
      </c>
      <c r="D1411" s="612">
        <v>2</v>
      </c>
      <c r="E1411" s="7"/>
      <c r="F1411" s="613">
        <v>142</v>
      </c>
      <c r="G1411" s="7">
        <f t="shared" si="312"/>
        <v>284</v>
      </c>
      <c r="H1411" s="7">
        <f t="shared" si="312"/>
        <v>0</v>
      </c>
      <c r="I1411" s="21"/>
      <c r="J1411" s="440" t="s">
        <v>6</v>
      </c>
      <c r="K1411" s="440" t="s">
        <v>288</v>
      </c>
      <c r="L1411" s="440" t="s">
        <v>94</v>
      </c>
      <c r="N1411" s="424"/>
      <c r="P1411" s="603" t="s">
        <v>1043</v>
      </c>
    </row>
    <row r="1412" spans="1:16" s="396" customFormat="1" ht="14">
      <c r="A1412" s="128" t="s">
        <v>8</v>
      </c>
      <c r="B1412" s="615" t="s">
        <v>1075</v>
      </c>
      <c r="C1412" s="611" t="s">
        <v>15</v>
      </c>
      <c r="D1412" s="612">
        <v>2</v>
      </c>
      <c r="E1412" s="7"/>
      <c r="F1412" s="613">
        <v>4</v>
      </c>
      <c r="G1412" s="7">
        <f t="shared" si="312"/>
        <v>8</v>
      </c>
      <c r="H1412" s="7">
        <f t="shared" si="312"/>
        <v>0</v>
      </c>
      <c r="I1412" s="21"/>
      <c r="J1412" s="440" t="s">
        <v>6</v>
      </c>
      <c r="K1412" s="440" t="s">
        <v>288</v>
      </c>
      <c r="L1412" s="440" t="s">
        <v>94</v>
      </c>
      <c r="N1412" s="424"/>
      <c r="P1412" s="603" t="s">
        <v>1043</v>
      </c>
    </row>
    <row r="1413" spans="1:16" s="396" customFormat="1" ht="14">
      <c r="A1413" s="604" t="s">
        <v>469</v>
      </c>
      <c r="B1413" s="616" t="s">
        <v>1076</v>
      </c>
      <c r="C1413" s="621"/>
      <c r="D1413" s="621"/>
      <c r="E1413" s="7"/>
      <c r="F1413" s="613">
        <v>0</v>
      </c>
      <c r="G1413" s="7">
        <f t="shared" si="312"/>
        <v>0</v>
      </c>
      <c r="H1413" s="7">
        <f t="shared" si="312"/>
        <v>0</v>
      </c>
      <c r="I1413" s="21"/>
      <c r="J1413" s="440" t="s">
        <v>6</v>
      </c>
      <c r="K1413" s="440" t="s">
        <v>288</v>
      </c>
      <c r="L1413" s="440" t="s">
        <v>94</v>
      </c>
      <c r="N1413" s="424"/>
      <c r="P1413" s="603" t="s">
        <v>1043</v>
      </c>
    </row>
    <row r="1414" spans="1:16" s="396" customFormat="1" ht="14">
      <c r="A1414" s="128" t="s">
        <v>8</v>
      </c>
      <c r="B1414" s="615" t="s">
        <v>1052</v>
      </c>
      <c r="C1414" s="611" t="s">
        <v>15</v>
      </c>
      <c r="D1414" s="612">
        <v>8</v>
      </c>
      <c r="E1414" s="7"/>
      <c r="F1414" s="613">
        <v>17</v>
      </c>
      <c r="G1414" s="7">
        <f t="shared" si="312"/>
        <v>136</v>
      </c>
      <c r="H1414" s="7">
        <f t="shared" si="312"/>
        <v>0</v>
      </c>
      <c r="I1414" s="21"/>
      <c r="J1414" s="440" t="s">
        <v>6</v>
      </c>
      <c r="K1414" s="440" t="s">
        <v>288</v>
      </c>
      <c r="L1414" s="440" t="s">
        <v>94</v>
      </c>
      <c r="N1414" s="424"/>
      <c r="P1414" s="603" t="s">
        <v>1043</v>
      </c>
    </row>
    <row r="1415" spans="1:16" s="396" customFormat="1" ht="14">
      <c r="A1415" s="128" t="s">
        <v>8</v>
      </c>
      <c r="B1415" s="615" t="s">
        <v>1052</v>
      </c>
      <c r="C1415" s="611" t="s">
        <v>15</v>
      </c>
      <c r="D1415" s="612">
        <v>4</v>
      </c>
      <c r="E1415" s="7"/>
      <c r="F1415" s="613">
        <v>18</v>
      </c>
      <c r="G1415" s="7">
        <f t="shared" si="312"/>
        <v>72</v>
      </c>
      <c r="H1415" s="7">
        <f t="shared" si="312"/>
        <v>0</v>
      </c>
      <c r="I1415" s="21"/>
      <c r="J1415" s="440" t="s">
        <v>6</v>
      </c>
      <c r="K1415" s="440" t="s">
        <v>288</v>
      </c>
      <c r="L1415" s="440" t="s">
        <v>94</v>
      </c>
      <c r="N1415" s="424"/>
      <c r="P1415" s="603" t="s">
        <v>1043</v>
      </c>
    </row>
    <row r="1416" spans="1:16" s="396" customFormat="1" ht="14">
      <c r="A1416" s="128" t="s">
        <v>8</v>
      </c>
      <c r="B1416" s="615" t="s">
        <v>1052</v>
      </c>
      <c r="C1416" s="611" t="s">
        <v>15</v>
      </c>
      <c r="D1416" s="612">
        <v>8</v>
      </c>
      <c r="E1416" s="7"/>
      <c r="F1416" s="613">
        <v>13</v>
      </c>
      <c r="G1416" s="7">
        <f t="shared" si="312"/>
        <v>104</v>
      </c>
      <c r="H1416" s="7">
        <f t="shared" si="312"/>
        <v>0</v>
      </c>
      <c r="I1416" s="21"/>
      <c r="J1416" s="440" t="s">
        <v>6</v>
      </c>
      <c r="K1416" s="440" t="s">
        <v>288</v>
      </c>
      <c r="L1416" s="440" t="s">
        <v>94</v>
      </c>
      <c r="N1416" s="424"/>
      <c r="P1416" s="603" t="s">
        <v>1043</v>
      </c>
    </row>
    <row r="1417" spans="1:16" s="396" customFormat="1" ht="14">
      <c r="A1417" s="128" t="s">
        <v>8</v>
      </c>
      <c r="B1417" s="615" t="s">
        <v>1052</v>
      </c>
      <c r="C1417" s="611" t="s">
        <v>15</v>
      </c>
      <c r="D1417" s="612">
        <v>4</v>
      </c>
      <c r="E1417" s="7"/>
      <c r="F1417" s="613">
        <v>15</v>
      </c>
      <c r="G1417" s="7">
        <f t="shared" si="312"/>
        <v>60</v>
      </c>
      <c r="H1417" s="7">
        <f t="shared" si="312"/>
        <v>0</v>
      </c>
      <c r="I1417" s="21"/>
      <c r="J1417" s="440" t="s">
        <v>6</v>
      </c>
      <c r="K1417" s="440" t="s">
        <v>288</v>
      </c>
      <c r="L1417" s="440" t="s">
        <v>94</v>
      </c>
      <c r="N1417" s="424"/>
      <c r="P1417" s="603" t="s">
        <v>1043</v>
      </c>
    </row>
    <row r="1418" spans="1:16" s="396" customFormat="1" ht="14">
      <c r="A1418" s="128" t="s">
        <v>8</v>
      </c>
      <c r="B1418" s="615" t="s">
        <v>1077</v>
      </c>
      <c r="C1418" s="611" t="s">
        <v>15</v>
      </c>
      <c r="D1418" s="612">
        <v>10</v>
      </c>
      <c r="E1418" s="7"/>
      <c r="F1418" s="613">
        <v>17</v>
      </c>
      <c r="G1418" s="7">
        <f t="shared" si="312"/>
        <v>170</v>
      </c>
      <c r="H1418" s="7">
        <f t="shared" si="312"/>
        <v>0</v>
      </c>
      <c r="I1418" s="21"/>
      <c r="J1418" s="440" t="s">
        <v>6</v>
      </c>
      <c r="K1418" s="440" t="s">
        <v>288</v>
      </c>
      <c r="L1418" s="440" t="s">
        <v>94</v>
      </c>
      <c r="N1418" s="424"/>
      <c r="P1418" s="603" t="s">
        <v>1043</v>
      </c>
    </row>
    <row r="1419" spans="1:16" s="396" customFormat="1" ht="14">
      <c r="A1419" s="128" t="s">
        <v>8</v>
      </c>
      <c r="B1419" s="615" t="s">
        <v>1052</v>
      </c>
      <c r="C1419" s="611" t="s">
        <v>15</v>
      </c>
      <c r="D1419" s="612">
        <v>4</v>
      </c>
      <c r="E1419" s="7"/>
      <c r="F1419" s="613">
        <v>17</v>
      </c>
      <c r="G1419" s="7">
        <f t="shared" si="312"/>
        <v>68</v>
      </c>
      <c r="H1419" s="7">
        <f t="shared" si="312"/>
        <v>0</v>
      </c>
      <c r="I1419" s="21"/>
      <c r="J1419" s="440" t="s">
        <v>6</v>
      </c>
      <c r="K1419" s="440" t="s">
        <v>288</v>
      </c>
      <c r="L1419" s="440" t="s">
        <v>94</v>
      </c>
      <c r="N1419" s="424"/>
      <c r="P1419" s="603" t="s">
        <v>1043</v>
      </c>
    </row>
    <row r="1420" spans="1:16" s="396" customFormat="1" ht="14">
      <c r="A1420" s="128" t="s">
        <v>8</v>
      </c>
      <c r="B1420" s="615" t="s">
        <v>1052</v>
      </c>
      <c r="C1420" s="611" t="s">
        <v>15</v>
      </c>
      <c r="D1420" s="612">
        <v>2</v>
      </c>
      <c r="E1420" s="7"/>
      <c r="F1420" s="613">
        <v>18</v>
      </c>
      <c r="G1420" s="7">
        <f t="shared" si="312"/>
        <v>36</v>
      </c>
      <c r="H1420" s="7">
        <f t="shared" si="312"/>
        <v>0</v>
      </c>
      <c r="I1420" s="21"/>
      <c r="J1420" s="440" t="s">
        <v>6</v>
      </c>
      <c r="K1420" s="440" t="s">
        <v>288</v>
      </c>
      <c r="L1420" s="440" t="s">
        <v>94</v>
      </c>
      <c r="N1420" s="424"/>
      <c r="P1420" s="603" t="s">
        <v>1043</v>
      </c>
    </row>
    <row r="1421" spans="1:16" s="396" customFormat="1" ht="14">
      <c r="A1421" s="128" t="s">
        <v>8</v>
      </c>
      <c r="B1421" s="615" t="s">
        <v>1078</v>
      </c>
      <c r="C1421" s="611" t="s">
        <v>15</v>
      </c>
      <c r="D1421" s="612">
        <v>4</v>
      </c>
      <c r="E1421" s="7"/>
      <c r="F1421" s="613">
        <v>153</v>
      </c>
      <c r="G1421" s="7">
        <f t="shared" si="312"/>
        <v>612</v>
      </c>
      <c r="H1421" s="7">
        <f t="shared" si="312"/>
        <v>0</v>
      </c>
      <c r="I1421" s="21"/>
      <c r="J1421" s="440" t="s">
        <v>6</v>
      </c>
      <c r="K1421" s="440" t="s">
        <v>288</v>
      </c>
      <c r="L1421" s="440" t="s">
        <v>94</v>
      </c>
      <c r="N1421" s="424"/>
      <c r="P1421" s="603" t="s">
        <v>1043</v>
      </c>
    </row>
    <row r="1422" spans="1:16" s="396" customFormat="1" ht="14">
      <c r="A1422" s="128" t="s">
        <v>8</v>
      </c>
      <c r="B1422" s="625" t="s">
        <v>1070</v>
      </c>
      <c r="C1422" s="626"/>
      <c r="D1422" s="626"/>
      <c r="E1422" s="7"/>
      <c r="F1422" s="613">
        <v>0</v>
      </c>
      <c r="G1422" s="7">
        <f t="shared" si="312"/>
        <v>0</v>
      </c>
      <c r="H1422" s="7">
        <f t="shared" si="312"/>
        <v>0</v>
      </c>
      <c r="I1422" s="21"/>
      <c r="J1422" s="440" t="s">
        <v>6</v>
      </c>
      <c r="K1422" s="440" t="s">
        <v>288</v>
      </c>
      <c r="L1422" s="440" t="s">
        <v>94</v>
      </c>
      <c r="N1422" s="424"/>
      <c r="P1422" s="603" t="s">
        <v>1043</v>
      </c>
    </row>
    <row r="1423" spans="1:16" s="396" customFormat="1" ht="14">
      <c r="A1423" s="604" t="s">
        <v>470</v>
      </c>
      <c r="B1423" s="615" t="s">
        <v>1052</v>
      </c>
      <c r="C1423" s="611" t="s">
        <v>15</v>
      </c>
      <c r="D1423" s="612">
        <v>2</v>
      </c>
      <c r="E1423" s="7"/>
      <c r="F1423" s="613">
        <v>22</v>
      </c>
      <c r="G1423" s="7">
        <f t="shared" si="312"/>
        <v>44</v>
      </c>
      <c r="H1423" s="7">
        <f t="shared" si="312"/>
        <v>0</v>
      </c>
      <c r="I1423" s="21"/>
      <c r="J1423" s="440" t="s">
        <v>6</v>
      </c>
      <c r="K1423" s="440" t="s">
        <v>288</v>
      </c>
      <c r="L1423" s="440" t="s">
        <v>94</v>
      </c>
      <c r="N1423" s="424"/>
      <c r="P1423" s="603" t="s">
        <v>1043</v>
      </c>
    </row>
    <row r="1424" spans="1:16" s="396" customFormat="1" ht="14">
      <c r="A1424" s="128" t="s">
        <v>8</v>
      </c>
      <c r="B1424" s="615" t="s">
        <v>1079</v>
      </c>
      <c r="C1424" s="611" t="s">
        <v>15</v>
      </c>
      <c r="D1424" s="612">
        <v>2</v>
      </c>
      <c r="E1424" s="7"/>
      <c r="F1424" s="613">
        <v>276</v>
      </c>
      <c r="G1424" s="7">
        <f t="shared" si="312"/>
        <v>552</v>
      </c>
      <c r="H1424" s="7">
        <f t="shared" si="312"/>
        <v>0</v>
      </c>
      <c r="I1424" s="21"/>
      <c r="J1424" s="440" t="s">
        <v>6</v>
      </c>
      <c r="K1424" s="440" t="s">
        <v>288</v>
      </c>
      <c r="L1424" s="440" t="s">
        <v>94</v>
      </c>
      <c r="N1424" s="424"/>
      <c r="P1424" s="603" t="s">
        <v>1043</v>
      </c>
    </row>
    <row r="1425" spans="1:16" s="396" customFormat="1" ht="14">
      <c r="A1425" s="128" t="s">
        <v>8</v>
      </c>
      <c r="B1425" s="615" t="s">
        <v>1073</v>
      </c>
      <c r="C1425" s="611" t="s">
        <v>15</v>
      </c>
      <c r="D1425" s="612">
        <v>2</v>
      </c>
      <c r="E1425" s="7"/>
      <c r="F1425" s="613">
        <v>425</v>
      </c>
      <c r="G1425" s="7">
        <f t="shared" si="312"/>
        <v>850</v>
      </c>
      <c r="H1425" s="7">
        <f t="shared" si="312"/>
        <v>0</v>
      </c>
      <c r="I1425" s="21"/>
      <c r="J1425" s="440" t="s">
        <v>6</v>
      </c>
      <c r="K1425" s="440" t="s">
        <v>288</v>
      </c>
      <c r="L1425" s="440" t="s">
        <v>94</v>
      </c>
      <c r="N1425" s="424"/>
      <c r="P1425" s="603" t="s">
        <v>1043</v>
      </c>
    </row>
    <row r="1426" spans="1:16" s="396" customFormat="1" ht="14">
      <c r="A1426" s="128" t="s">
        <v>8</v>
      </c>
      <c r="B1426" s="615" t="s">
        <v>1080</v>
      </c>
      <c r="C1426" s="611" t="s">
        <v>15</v>
      </c>
      <c r="D1426" s="612">
        <v>2</v>
      </c>
      <c r="E1426" s="7"/>
      <c r="F1426" s="613">
        <v>4</v>
      </c>
      <c r="G1426" s="7">
        <f t="shared" si="312"/>
        <v>8</v>
      </c>
      <c r="H1426" s="7">
        <f t="shared" si="312"/>
        <v>0</v>
      </c>
      <c r="I1426" s="21"/>
      <c r="J1426" s="440" t="s">
        <v>6</v>
      </c>
      <c r="K1426" s="440" t="s">
        <v>288</v>
      </c>
      <c r="L1426" s="440" t="s">
        <v>94</v>
      </c>
      <c r="N1426" s="424"/>
      <c r="P1426" s="603" t="s">
        <v>1043</v>
      </c>
    </row>
    <row r="1427" spans="1:16" s="396" customFormat="1" ht="14">
      <c r="A1427" s="128" t="s">
        <v>8</v>
      </c>
      <c r="B1427" s="615" t="s">
        <v>1081</v>
      </c>
      <c r="C1427" s="611" t="s">
        <v>15</v>
      </c>
      <c r="D1427" s="612">
        <v>2</v>
      </c>
      <c r="E1427" s="7"/>
      <c r="F1427" s="613">
        <v>142</v>
      </c>
      <c r="G1427" s="7">
        <f t="shared" si="312"/>
        <v>284</v>
      </c>
      <c r="H1427" s="7">
        <f t="shared" si="312"/>
        <v>0</v>
      </c>
      <c r="I1427" s="21"/>
      <c r="J1427" s="440" t="s">
        <v>6</v>
      </c>
      <c r="K1427" s="440" t="s">
        <v>288</v>
      </c>
      <c r="L1427" s="440" t="s">
        <v>94</v>
      </c>
      <c r="N1427" s="424"/>
      <c r="P1427" s="603" t="s">
        <v>1043</v>
      </c>
    </row>
    <row r="1428" spans="1:16" s="396" customFormat="1" ht="14">
      <c r="A1428" s="128" t="s">
        <v>8</v>
      </c>
      <c r="B1428" s="615" t="s">
        <v>1071</v>
      </c>
      <c r="C1428" s="611" t="s">
        <v>15</v>
      </c>
      <c r="D1428" s="612">
        <v>2</v>
      </c>
      <c r="E1428" s="7"/>
      <c r="F1428" s="613">
        <v>369</v>
      </c>
      <c r="G1428" s="7">
        <f t="shared" si="312"/>
        <v>738</v>
      </c>
      <c r="H1428" s="7">
        <f t="shared" si="312"/>
        <v>0</v>
      </c>
      <c r="I1428" s="21"/>
      <c r="J1428" s="440" t="s">
        <v>6</v>
      </c>
      <c r="K1428" s="440" t="s">
        <v>288</v>
      </c>
      <c r="L1428" s="440" t="s">
        <v>94</v>
      </c>
      <c r="N1428" s="424"/>
      <c r="P1428" s="603" t="s">
        <v>1043</v>
      </c>
    </row>
    <row r="1429" spans="1:16" s="396" customFormat="1" ht="14">
      <c r="A1429" s="128" t="s">
        <v>8</v>
      </c>
      <c r="B1429" s="615" t="s">
        <v>1052</v>
      </c>
      <c r="C1429" s="611" t="s">
        <v>15</v>
      </c>
      <c r="D1429" s="612">
        <v>2</v>
      </c>
      <c r="E1429" s="7"/>
      <c r="F1429" s="613">
        <v>22</v>
      </c>
      <c r="G1429" s="7">
        <f t="shared" si="312"/>
        <v>44</v>
      </c>
      <c r="H1429" s="7">
        <f t="shared" si="312"/>
        <v>0</v>
      </c>
      <c r="I1429" s="21"/>
      <c r="J1429" s="440" t="s">
        <v>6</v>
      </c>
      <c r="K1429" s="440" t="s">
        <v>288</v>
      </c>
      <c r="L1429" s="440" t="s">
        <v>94</v>
      </c>
      <c r="N1429" s="424"/>
      <c r="P1429" s="603" t="s">
        <v>1043</v>
      </c>
    </row>
    <row r="1430" spans="1:16" s="396" customFormat="1" ht="14">
      <c r="A1430" s="128" t="s">
        <v>8</v>
      </c>
      <c r="B1430" s="615" t="s">
        <v>1052</v>
      </c>
      <c r="C1430" s="611" t="s">
        <v>15</v>
      </c>
      <c r="D1430" s="612">
        <v>2</v>
      </c>
      <c r="E1430" s="7"/>
      <c r="F1430" s="613">
        <v>22</v>
      </c>
      <c r="G1430" s="7">
        <f t="shared" si="312"/>
        <v>44</v>
      </c>
      <c r="H1430" s="7">
        <f t="shared" si="312"/>
        <v>0</v>
      </c>
      <c r="I1430" s="21"/>
      <c r="J1430" s="440" t="s">
        <v>6</v>
      </c>
      <c r="K1430" s="440" t="s">
        <v>288</v>
      </c>
      <c r="L1430" s="440" t="s">
        <v>94</v>
      </c>
      <c r="N1430" s="424"/>
      <c r="P1430" s="603" t="s">
        <v>1043</v>
      </c>
    </row>
    <row r="1431" spans="1:16" s="396" customFormat="1" ht="14">
      <c r="A1431" s="604" t="s">
        <v>470</v>
      </c>
      <c r="B1431" s="625" t="s">
        <v>1082</v>
      </c>
      <c r="C1431" s="626"/>
      <c r="D1431" s="626"/>
      <c r="E1431" s="7"/>
      <c r="F1431" s="613">
        <v>0</v>
      </c>
      <c r="G1431" s="7">
        <f t="shared" si="312"/>
        <v>0</v>
      </c>
      <c r="H1431" s="7">
        <f t="shared" si="312"/>
        <v>0</v>
      </c>
      <c r="I1431" s="21"/>
      <c r="J1431" s="440" t="s">
        <v>6</v>
      </c>
      <c r="K1431" s="440" t="s">
        <v>288</v>
      </c>
      <c r="L1431" s="440" t="s">
        <v>94</v>
      </c>
      <c r="N1431" s="424"/>
      <c r="P1431" s="603" t="s">
        <v>1043</v>
      </c>
    </row>
    <row r="1432" spans="1:16" s="396" customFormat="1" ht="14">
      <c r="A1432" s="128" t="s">
        <v>8</v>
      </c>
      <c r="B1432" s="615" t="s">
        <v>1052</v>
      </c>
      <c r="C1432" s="611" t="s">
        <v>15</v>
      </c>
      <c r="D1432" s="612">
        <v>4</v>
      </c>
      <c r="E1432" s="7"/>
      <c r="F1432" s="613">
        <v>9</v>
      </c>
      <c r="G1432" s="7">
        <f t="shared" si="312"/>
        <v>36</v>
      </c>
      <c r="H1432" s="7">
        <f t="shared" si="312"/>
        <v>0</v>
      </c>
      <c r="I1432" s="21"/>
      <c r="J1432" s="440" t="s">
        <v>6</v>
      </c>
      <c r="K1432" s="440" t="s">
        <v>288</v>
      </c>
      <c r="L1432" s="440" t="s">
        <v>94</v>
      </c>
      <c r="N1432" s="424"/>
      <c r="P1432" s="603" t="s">
        <v>1043</v>
      </c>
    </row>
    <row r="1433" spans="1:16" s="396" customFormat="1" ht="14">
      <c r="A1433" s="128" t="s">
        <v>8</v>
      </c>
      <c r="B1433" s="615" t="s">
        <v>1077</v>
      </c>
      <c r="C1433" s="611" t="s">
        <v>15</v>
      </c>
      <c r="D1433" s="612">
        <v>4</v>
      </c>
      <c r="E1433" s="7"/>
      <c r="F1433" s="613">
        <v>17</v>
      </c>
      <c r="G1433" s="7">
        <f t="shared" si="312"/>
        <v>68</v>
      </c>
      <c r="H1433" s="7">
        <f t="shared" si="312"/>
        <v>0</v>
      </c>
      <c r="I1433" s="21"/>
      <c r="J1433" s="440" t="s">
        <v>6</v>
      </c>
      <c r="K1433" s="440" t="s">
        <v>288</v>
      </c>
      <c r="L1433" s="440" t="s">
        <v>94</v>
      </c>
      <c r="N1433" s="424"/>
      <c r="P1433" s="603" t="s">
        <v>1043</v>
      </c>
    </row>
    <row r="1434" spans="1:16" s="396" customFormat="1" ht="14">
      <c r="A1434" s="128" t="s">
        <v>8</v>
      </c>
      <c r="B1434" s="615" t="s">
        <v>1052</v>
      </c>
      <c r="C1434" s="611" t="s">
        <v>15</v>
      </c>
      <c r="D1434" s="612">
        <v>2</v>
      </c>
      <c r="E1434" s="7"/>
      <c r="F1434" s="613">
        <v>9</v>
      </c>
      <c r="G1434" s="7">
        <f t="shared" si="312"/>
        <v>18</v>
      </c>
      <c r="H1434" s="7">
        <f t="shared" si="312"/>
        <v>0</v>
      </c>
      <c r="I1434" s="21"/>
      <c r="J1434" s="440" t="s">
        <v>6</v>
      </c>
      <c r="K1434" s="440" t="s">
        <v>288</v>
      </c>
      <c r="L1434" s="440" t="s">
        <v>94</v>
      </c>
      <c r="N1434" s="424"/>
      <c r="P1434" s="603" t="s">
        <v>1043</v>
      </c>
    </row>
    <row r="1435" spans="1:16" s="396" customFormat="1" ht="14">
      <c r="A1435" s="128" t="s">
        <v>8</v>
      </c>
      <c r="B1435" s="615" t="s">
        <v>1050</v>
      </c>
      <c r="C1435" s="611" t="s">
        <v>15</v>
      </c>
      <c r="D1435" s="612">
        <v>2</v>
      </c>
      <c r="E1435" s="7"/>
      <c r="F1435" s="613">
        <v>9</v>
      </c>
      <c r="G1435" s="7">
        <f t="shared" si="312"/>
        <v>18</v>
      </c>
      <c r="H1435" s="7">
        <f t="shared" si="312"/>
        <v>0</v>
      </c>
      <c r="I1435" s="21"/>
      <c r="J1435" s="440" t="s">
        <v>6</v>
      </c>
      <c r="K1435" s="440" t="s">
        <v>288</v>
      </c>
      <c r="L1435" s="440" t="s">
        <v>94</v>
      </c>
      <c r="N1435" s="424"/>
      <c r="P1435" s="603" t="s">
        <v>1043</v>
      </c>
    </row>
    <row r="1436" spans="1:16" s="396" customFormat="1" ht="14">
      <c r="A1436" s="128" t="s">
        <v>8</v>
      </c>
      <c r="B1436" s="615" t="s">
        <v>1052</v>
      </c>
      <c r="C1436" s="611" t="s">
        <v>15</v>
      </c>
      <c r="D1436" s="612">
        <v>8</v>
      </c>
      <c r="E1436" s="7"/>
      <c r="F1436" s="613">
        <v>13</v>
      </c>
      <c r="G1436" s="7">
        <f t="shared" si="312"/>
        <v>104</v>
      </c>
      <c r="H1436" s="7">
        <f t="shared" si="312"/>
        <v>0</v>
      </c>
      <c r="I1436" s="21"/>
      <c r="J1436" s="440" t="s">
        <v>6</v>
      </c>
      <c r="K1436" s="440" t="s">
        <v>288</v>
      </c>
      <c r="L1436" s="440" t="s">
        <v>94</v>
      </c>
      <c r="N1436" s="424"/>
      <c r="P1436" s="603" t="s">
        <v>1043</v>
      </c>
    </row>
    <row r="1437" spans="1:16" s="396" customFormat="1" ht="14">
      <c r="A1437" s="128" t="s">
        <v>8</v>
      </c>
      <c r="B1437" s="615" t="s">
        <v>1052</v>
      </c>
      <c r="C1437" s="611" t="s">
        <v>15</v>
      </c>
      <c r="D1437" s="612">
        <v>4</v>
      </c>
      <c r="E1437" s="7"/>
      <c r="F1437" s="613">
        <v>14</v>
      </c>
      <c r="G1437" s="7">
        <f t="shared" si="312"/>
        <v>56</v>
      </c>
      <c r="H1437" s="7">
        <f t="shared" si="312"/>
        <v>0</v>
      </c>
      <c r="I1437" s="21"/>
      <c r="J1437" s="440" t="s">
        <v>6</v>
      </c>
      <c r="K1437" s="440" t="s">
        <v>288</v>
      </c>
      <c r="L1437" s="440" t="s">
        <v>94</v>
      </c>
      <c r="N1437" s="424"/>
      <c r="P1437" s="603" t="s">
        <v>1043</v>
      </c>
    </row>
    <row r="1438" spans="1:16" s="396" customFormat="1" ht="14">
      <c r="A1438" s="128" t="s">
        <v>8</v>
      </c>
      <c r="B1438" s="615" t="s">
        <v>1078</v>
      </c>
      <c r="C1438" s="611" t="s">
        <v>15</v>
      </c>
      <c r="D1438" s="612">
        <v>2</v>
      </c>
      <c r="E1438" s="7"/>
      <c r="F1438" s="613">
        <v>222</v>
      </c>
      <c r="G1438" s="7">
        <f t="shared" si="312"/>
        <v>444</v>
      </c>
      <c r="H1438" s="7">
        <f t="shared" si="312"/>
        <v>0</v>
      </c>
      <c r="I1438" s="21"/>
      <c r="J1438" s="440" t="s">
        <v>6</v>
      </c>
      <c r="K1438" s="440" t="s">
        <v>288</v>
      </c>
      <c r="L1438" s="440" t="s">
        <v>94</v>
      </c>
      <c r="N1438" s="424"/>
      <c r="P1438" s="603" t="s">
        <v>1043</v>
      </c>
    </row>
    <row r="1439" spans="1:16" s="396" customFormat="1" ht="14">
      <c r="A1439" s="604" t="s">
        <v>471</v>
      </c>
      <c r="B1439" s="122" t="s">
        <v>1083</v>
      </c>
      <c r="C1439" s="123"/>
      <c r="D1439" s="7"/>
      <c r="E1439" s="7"/>
      <c r="F1439" s="600"/>
      <c r="G1439" s="7"/>
      <c r="H1439" s="7"/>
      <c r="I1439" s="21"/>
      <c r="J1439" s="440" t="s">
        <v>6</v>
      </c>
      <c r="K1439" s="440" t="s">
        <v>288</v>
      </c>
      <c r="L1439" s="440" t="s">
        <v>94</v>
      </c>
      <c r="N1439" s="424"/>
      <c r="P1439" s="603" t="s">
        <v>1043</v>
      </c>
    </row>
    <row r="1440" spans="1:16" s="396" customFormat="1" ht="14.5">
      <c r="A1440" s="128" t="s">
        <v>8</v>
      </c>
      <c r="B1440" s="615" t="s">
        <v>1084</v>
      </c>
      <c r="C1440" s="611" t="s">
        <v>15</v>
      </c>
      <c r="D1440" s="612">
        <v>2</v>
      </c>
      <c r="E1440" s="7"/>
      <c r="F1440" s="627">
        <v>4000</v>
      </c>
      <c r="G1440" s="7">
        <f t="shared" ref="G1440:H1448" si="313">D1440*$F1440</f>
        <v>8000</v>
      </c>
      <c r="H1440" s="7">
        <f t="shared" si="313"/>
        <v>0</v>
      </c>
      <c r="I1440" s="21"/>
      <c r="J1440" s="440" t="s">
        <v>6</v>
      </c>
      <c r="K1440" s="440" t="s">
        <v>288</v>
      </c>
      <c r="L1440" s="440" t="s">
        <v>94</v>
      </c>
      <c r="N1440" s="424"/>
      <c r="P1440" s="603" t="s">
        <v>1043</v>
      </c>
    </row>
    <row r="1441" spans="1:16" s="396" customFormat="1" ht="14.5">
      <c r="A1441" s="128" t="s">
        <v>8</v>
      </c>
      <c r="B1441" s="615" t="s">
        <v>1085</v>
      </c>
      <c r="C1441" s="611" t="s">
        <v>15</v>
      </c>
      <c r="D1441" s="612">
        <v>3</v>
      </c>
      <c r="E1441" s="7"/>
      <c r="F1441" s="627">
        <v>200</v>
      </c>
      <c r="G1441" s="7">
        <f t="shared" si="313"/>
        <v>600</v>
      </c>
      <c r="H1441" s="7">
        <f t="shared" si="313"/>
        <v>0</v>
      </c>
      <c r="I1441" s="21"/>
      <c r="J1441" s="440" t="s">
        <v>6</v>
      </c>
      <c r="K1441" s="440" t="s">
        <v>288</v>
      </c>
      <c r="L1441" s="440" t="s">
        <v>94</v>
      </c>
      <c r="N1441" s="424"/>
      <c r="P1441" s="603" t="s">
        <v>1043</v>
      </c>
    </row>
    <row r="1442" spans="1:16" s="396" customFormat="1" ht="14.5">
      <c r="A1442" s="128" t="s">
        <v>8</v>
      </c>
      <c r="B1442" s="615" t="s">
        <v>1086</v>
      </c>
      <c r="C1442" s="611" t="s">
        <v>15</v>
      </c>
      <c r="D1442" s="612">
        <v>2</v>
      </c>
      <c r="E1442" s="7"/>
      <c r="F1442" s="627">
        <v>1500</v>
      </c>
      <c r="G1442" s="7">
        <f t="shared" si="313"/>
        <v>3000</v>
      </c>
      <c r="H1442" s="7">
        <f t="shared" si="313"/>
        <v>0</v>
      </c>
      <c r="I1442" s="21"/>
      <c r="J1442" s="440" t="s">
        <v>6</v>
      </c>
      <c r="K1442" s="440" t="s">
        <v>288</v>
      </c>
      <c r="L1442" s="440" t="s">
        <v>94</v>
      </c>
      <c r="N1442" s="424"/>
      <c r="P1442" s="603" t="s">
        <v>1043</v>
      </c>
    </row>
    <row r="1443" spans="1:16" s="396" customFormat="1" ht="14.5">
      <c r="A1443" s="128" t="s">
        <v>8</v>
      </c>
      <c r="B1443" s="615" t="s">
        <v>1087</v>
      </c>
      <c r="C1443" s="611" t="s">
        <v>15</v>
      </c>
      <c r="D1443" s="612">
        <v>2</v>
      </c>
      <c r="E1443" s="7"/>
      <c r="F1443" s="627">
        <v>650</v>
      </c>
      <c r="G1443" s="7">
        <f t="shared" si="313"/>
        <v>1300</v>
      </c>
      <c r="H1443" s="7">
        <f t="shared" si="313"/>
        <v>0</v>
      </c>
      <c r="I1443" s="21"/>
      <c r="J1443" s="440" t="s">
        <v>6</v>
      </c>
      <c r="K1443" s="440" t="s">
        <v>288</v>
      </c>
      <c r="L1443" s="440" t="s">
        <v>94</v>
      </c>
      <c r="N1443" s="424"/>
      <c r="P1443" s="603" t="s">
        <v>1043</v>
      </c>
    </row>
    <row r="1444" spans="1:16" s="396" customFormat="1" ht="14">
      <c r="A1444" s="121" t="s">
        <v>1088</v>
      </c>
      <c r="B1444" s="122" t="s">
        <v>1089</v>
      </c>
      <c r="C1444" s="611"/>
      <c r="D1444" s="612"/>
      <c r="E1444" s="7"/>
      <c r="F1444" s="600"/>
      <c r="G1444" s="7">
        <f t="shared" si="313"/>
        <v>0</v>
      </c>
      <c r="H1444" s="7">
        <f t="shared" si="313"/>
        <v>0</v>
      </c>
      <c r="I1444" s="21"/>
      <c r="J1444" s="440" t="s">
        <v>6</v>
      </c>
      <c r="K1444" s="440" t="s">
        <v>288</v>
      </c>
      <c r="L1444" s="440" t="s">
        <v>94</v>
      </c>
      <c r="N1444" s="424"/>
      <c r="P1444" s="603" t="s">
        <v>1043</v>
      </c>
    </row>
    <row r="1445" spans="1:16" s="396" customFormat="1" ht="14.5">
      <c r="A1445" s="128" t="s">
        <v>8</v>
      </c>
      <c r="B1445" s="615" t="s">
        <v>1090</v>
      </c>
      <c r="C1445" s="611" t="s">
        <v>15</v>
      </c>
      <c r="D1445" s="612">
        <v>2</v>
      </c>
      <c r="E1445" s="7"/>
      <c r="F1445" s="627">
        <v>3000</v>
      </c>
      <c r="G1445" s="7">
        <f t="shared" si="313"/>
        <v>6000</v>
      </c>
      <c r="H1445" s="7">
        <f t="shared" si="313"/>
        <v>0</v>
      </c>
      <c r="I1445" s="21"/>
      <c r="J1445" s="440" t="s">
        <v>6</v>
      </c>
      <c r="K1445" s="440" t="s">
        <v>288</v>
      </c>
      <c r="L1445" s="440" t="s">
        <v>94</v>
      </c>
      <c r="N1445" s="424"/>
      <c r="P1445" s="603" t="s">
        <v>1043</v>
      </c>
    </row>
    <row r="1446" spans="1:16" s="396" customFormat="1" ht="14.5">
      <c r="A1446" s="128" t="s">
        <v>8</v>
      </c>
      <c r="B1446" s="615" t="s">
        <v>1091</v>
      </c>
      <c r="C1446" s="611" t="s">
        <v>15</v>
      </c>
      <c r="D1446" s="612">
        <v>2</v>
      </c>
      <c r="E1446" s="7"/>
      <c r="F1446" s="627">
        <v>4000</v>
      </c>
      <c r="G1446" s="7">
        <f t="shared" si="313"/>
        <v>8000</v>
      </c>
      <c r="H1446" s="7">
        <f t="shared" si="313"/>
        <v>0</v>
      </c>
      <c r="I1446" s="21"/>
      <c r="J1446" s="440" t="s">
        <v>6</v>
      </c>
      <c r="K1446" s="440" t="s">
        <v>288</v>
      </c>
      <c r="L1446" s="440" t="s">
        <v>94</v>
      </c>
      <c r="N1446" s="424"/>
      <c r="P1446" s="603" t="s">
        <v>1043</v>
      </c>
    </row>
    <row r="1447" spans="1:16" s="396" customFormat="1" ht="14">
      <c r="A1447" s="121" t="s">
        <v>1092</v>
      </c>
      <c r="B1447" s="122" t="s">
        <v>1093</v>
      </c>
      <c r="C1447" s="611"/>
      <c r="D1447" s="612"/>
      <c r="E1447" s="7"/>
      <c r="F1447" s="600"/>
      <c r="G1447" s="7">
        <f t="shared" si="313"/>
        <v>0</v>
      </c>
      <c r="H1447" s="7">
        <f t="shared" si="313"/>
        <v>0</v>
      </c>
      <c r="I1447" s="21"/>
      <c r="J1447" s="440" t="s">
        <v>6</v>
      </c>
      <c r="K1447" s="440" t="s">
        <v>288</v>
      </c>
      <c r="L1447" s="440" t="s">
        <v>94</v>
      </c>
      <c r="N1447" s="424"/>
      <c r="P1447" s="603" t="s">
        <v>1043</v>
      </c>
    </row>
    <row r="1448" spans="1:16" s="396" customFormat="1" ht="14.5">
      <c r="A1448" s="128" t="s">
        <v>8</v>
      </c>
      <c r="B1448" s="615" t="s">
        <v>1094</v>
      </c>
      <c r="C1448" s="611" t="s">
        <v>15</v>
      </c>
      <c r="D1448" s="612">
        <v>5</v>
      </c>
      <c r="E1448" s="7"/>
      <c r="F1448" s="627">
        <v>200</v>
      </c>
      <c r="G1448" s="7">
        <f t="shared" si="313"/>
        <v>1000</v>
      </c>
      <c r="H1448" s="7">
        <f t="shared" si="313"/>
        <v>0</v>
      </c>
      <c r="I1448" s="21"/>
      <c r="J1448" s="440" t="s">
        <v>6</v>
      </c>
      <c r="K1448" s="440" t="s">
        <v>288</v>
      </c>
      <c r="L1448" s="440" t="s">
        <v>94</v>
      </c>
      <c r="N1448" s="424"/>
      <c r="P1448" s="603" t="s">
        <v>1043</v>
      </c>
    </row>
    <row r="1449" spans="1:16" s="396" customFormat="1">
      <c r="A1449" s="403">
        <v>3</v>
      </c>
      <c r="B1449" s="423" t="s">
        <v>431</v>
      </c>
      <c r="C1449" s="439"/>
      <c r="D1449" s="2"/>
      <c r="E1449" s="2"/>
      <c r="F1449" s="601"/>
      <c r="G1449" s="2">
        <f>SUBTOTAL(9,G1450:G1453)</f>
        <v>96750</v>
      </c>
      <c r="H1449" s="2">
        <f>SUBTOTAL(9,H1450:H1453)</f>
        <v>52250</v>
      </c>
      <c r="I1449" s="21"/>
      <c r="J1449" s="440"/>
      <c r="K1449" s="440"/>
      <c r="L1449" s="440"/>
      <c r="N1449" s="424"/>
      <c r="P1449" s="441"/>
    </row>
    <row r="1450" spans="1:16" s="396" customFormat="1" ht="14">
      <c r="A1450" s="128" t="s">
        <v>8</v>
      </c>
      <c r="B1450" s="131" t="s">
        <v>432</v>
      </c>
      <c r="C1450" s="443" t="s">
        <v>9</v>
      </c>
      <c r="D1450" s="338">
        <v>1</v>
      </c>
      <c r="E1450" s="338">
        <v>1</v>
      </c>
      <c r="F1450" s="531">
        <v>30000</v>
      </c>
      <c r="G1450" s="7">
        <f t="shared" ref="G1450:H1453" si="314">D1450*$F1450</f>
        <v>30000</v>
      </c>
      <c r="H1450" s="7">
        <f t="shared" si="314"/>
        <v>30000</v>
      </c>
      <c r="I1450" s="21"/>
      <c r="J1450" s="440" t="s">
        <v>6</v>
      </c>
      <c r="K1450" s="440" t="s">
        <v>122</v>
      </c>
      <c r="L1450" s="440" t="s">
        <v>94</v>
      </c>
      <c r="N1450" s="424"/>
      <c r="P1450" s="603" t="s">
        <v>1095</v>
      </c>
    </row>
    <row r="1451" spans="1:16" s="396" customFormat="1" ht="14">
      <c r="A1451" s="128" t="s">
        <v>8</v>
      </c>
      <c r="B1451" s="131" t="s">
        <v>433</v>
      </c>
      <c r="C1451" s="443" t="s">
        <v>9</v>
      </c>
      <c r="D1451" s="338">
        <v>1</v>
      </c>
      <c r="E1451" s="338">
        <v>1</v>
      </c>
      <c r="F1451" s="531">
        <v>22250</v>
      </c>
      <c r="G1451" s="7">
        <f t="shared" si="314"/>
        <v>22250</v>
      </c>
      <c r="H1451" s="7">
        <f t="shared" si="314"/>
        <v>22250</v>
      </c>
      <c r="I1451" s="21"/>
      <c r="J1451" s="440" t="s">
        <v>6</v>
      </c>
      <c r="K1451" s="440" t="s">
        <v>122</v>
      </c>
      <c r="L1451" s="440" t="s">
        <v>94</v>
      </c>
      <c r="N1451" s="424"/>
      <c r="P1451" s="603" t="s">
        <v>1096</v>
      </c>
    </row>
    <row r="1452" spans="1:16" s="396" customFormat="1" ht="14">
      <c r="A1452" s="128" t="s">
        <v>8</v>
      </c>
      <c r="B1452" s="131" t="s">
        <v>1097</v>
      </c>
      <c r="C1452" s="443" t="s">
        <v>9</v>
      </c>
      <c r="D1452" s="338">
        <v>1</v>
      </c>
      <c r="E1452" s="338">
        <v>0</v>
      </c>
      <c r="F1452" s="531">
        <v>22250</v>
      </c>
      <c r="G1452" s="7">
        <f t="shared" si="314"/>
        <v>22250</v>
      </c>
      <c r="H1452" s="7">
        <f t="shared" si="314"/>
        <v>0</v>
      </c>
      <c r="I1452" s="21"/>
      <c r="J1452" s="440" t="s">
        <v>6</v>
      </c>
      <c r="K1452" s="440" t="s">
        <v>122</v>
      </c>
      <c r="L1452" s="440" t="s">
        <v>94</v>
      </c>
      <c r="N1452" s="424"/>
      <c r="P1452" s="603" t="s">
        <v>1098</v>
      </c>
    </row>
    <row r="1453" spans="1:16" s="396" customFormat="1" ht="14">
      <c r="A1453" s="128" t="s">
        <v>8</v>
      </c>
      <c r="B1453" s="131" t="s">
        <v>1099</v>
      </c>
      <c r="C1453" s="443"/>
      <c r="D1453" s="338">
        <v>1</v>
      </c>
      <c r="E1453" s="338">
        <v>0</v>
      </c>
      <c r="F1453" s="531">
        <v>22250</v>
      </c>
      <c r="G1453" s="7">
        <f t="shared" si="314"/>
        <v>22250</v>
      </c>
      <c r="H1453" s="7">
        <f t="shared" si="314"/>
        <v>0</v>
      </c>
      <c r="I1453" s="21"/>
      <c r="J1453" s="440" t="s">
        <v>6</v>
      </c>
      <c r="K1453" s="440" t="s">
        <v>122</v>
      </c>
      <c r="L1453" s="440" t="s">
        <v>94</v>
      </c>
      <c r="N1453" s="424"/>
      <c r="P1453" s="603" t="s">
        <v>1100</v>
      </c>
    </row>
    <row r="1454" spans="1:16" s="396" customFormat="1" ht="14">
      <c r="A1454" s="628">
        <v>4</v>
      </c>
      <c r="B1454" s="134" t="s">
        <v>430</v>
      </c>
      <c r="C1454" s="443"/>
      <c r="D1454" s="338"/>
      <c r="E1454" s="338"/>
      <c r="F1454" s="531"/>
      <c r="G1454" s="2">
        <f>SUBTOTAL(9,G1455:G1455)</f>
        <v>45000</v>
      </c>
      <c r="H1454" s="2">
        <f>SUBTOTAL(9,H1455:H1455)</f>
        <v>0</v>
      </c>
      <c r="I1454" s="21"/>
      <c r="J1454" s="440"/>
      <c r="K1454" s="440"/>
      <c r="L1454" s="440"/>
      <c r="N1454" s="424"/>
      <c r="P1454" s="603"/>
    </row>
    <row r="1455" spans="1:16" s="396" customFormat="1" ht="14">
      <c r="A1455" s="128" t="s">
        <v>8</v>
      </c>
      <c r="B1455" s="131" t="s">
        <v>1101</v>
      </c>
      <c r="C1455" s="443" t="s">
        <v>24</v>
      </c>
      <c r="D1455" s="338">
        <v>1</v>
      </c>
      <c r="E1455" s="338"/>
      <c r="F1455" s="629">
        <v>45000</v>
      </c>
      <c r="G1455" s="7">
        <f t="shared" ref="G1455:H1455" si="315">D1455*$F1455</f>
        <v>45000</v>
      </c>
      <c r="H1455" s="7">
        <f t="shared" si="315"/>
        <v>0</v>
      </c>
      <c r="I1455" s="21"/>
      <c r="J1455" s="440" t="s">
        <v>6</v>
      </c>
      <c r="K1455" s="440" t="s">
        <v>122</v>
      </c>
      <c r="L1455" s="440" t="s">
        <v>94</v>
      </c>
      <c r="N1455" s="424"/>
      <c r="P1455" s="603" t="s">
        <v>1102</v>
      </c>
    </row>
    <row r="1456" spans="1:16" s="396" customFormat="1" ht="14">
      <c r="A1456" s="628" t="s">
        <v>43</v>
      </c>
      <c r="B1456" s="134" t="s">
        <v>159</v>
      </c>
      <c r="C1456" s="443"/>
      <c r="D1456" s="401"/>
      <c r="E1456" s="401"/>
      <c r="F1456" s="531"/>
      <c r="G1456" s="2">
        <f>SUBTOTAL(9,G1457:G1462)</f>
        <v>1313644</v>
      </c>
      <c r="H1456" s="2">
        <f>SUBTOTAL(9,H1457:H1462)</f>
        <v>835872</v>
      </c>
      <c r="I1456" s="21"/>
      <c r="J1456" s="440"/>
      <c r="K1456" s="440"/>
      <c r="L1456" s="440"/>
      <c r="N1456" s="424"/>
      <c r="P1456" s="441"/>
    </row>
    <row r="1457" spans="1:16" s="396" customFormat="1" ht="14">
      <c r="A1457" s="628" t="s">
        <v>8</v>
      </c>
      <c r="B1457" s="131" t="s">
        <v>1103</v>
      </c>
      <c r="C1457" s="443" t="s">
        <v>10</v>
      </c>
      <c r="D1457" s="338">
        <v>2</v>
      </c>
      <c r="E1457" s="401"/>
      <c r="F1457" s="531">
        <v>187635</v>
      </c>
      <c r="G1457" s="7">
        <f t="shared" ref="G1457:H1462" si="316">D1457*$F1457</f>
        <v>375270</v>
      </c>
      <c r="H1457" s="7">
        <f t="shared" si="316"/>
        <v>0</v>
      </c>
      <c r="I1457" s="21"/>
      <c r="J1457" s="440" t="s">
        <v>6</v>
      </c>
      <c r="K1457" s="440" t="s">
        <v>104</v>
      </c>
      <c r="L1457" s="440" t="s">
        <v>94</v>
      </c>
      <c r="N1457" s="424"/>
      <c r="P1457" s="603" t="s">
        <v>1104</v>
      </c>
    </row>
    <row r="1458" spans="1:16" s="396" customFormat="1" ht="14">
      <c r="A1458" s="628" t="s">
        <v>8</v>
      </c>
      <c r="B1458" s="131" t="s">
        <v>1105</v>
      </c>
      <c r="C1458" s="443" t="s">
        <v>10</v>
      </c>
      <c r="D1458" s="338">
        <v>2</v>
      </c>
      <c r="E1458" s="401"/>
      <c r="F1458" s="531">
        <v>244187</v>
      </c>
      <c r="G1458" s="7">
        <f t="shared" si="316"/>
        <v>488374</v>
      </c>
      <c r="H1458" s="7">
        <f t="shared" si="316"/>
        <v>0</v>
      </c>
      <c r="I1458" s="21"/>
      <c r="J1458" s="440" t="s">
        <v>6</v>
      </c>
      <c r="K1458" s="440" t="s">
        <v>104</v>
      </c>
      <c r="L1458" s="440" t="s">
        <v>94</v>
      </c>
      <c r="N1458" s="424"/>
      <c r="P1458" s="603" t="s">
        <v>1106</v>
      </c>
    </row>
    <row r="1459" spans="1:16" s="396" customFormat="1" ht="14">
      <c r="A1459" s="628" t="s">
        <v>8</v>
      </c>
      <c r="B1459" s="131" t="s">
        <v>1107</v>
      </c>
      <c r="C1459" s="443" t="s">
        <v>10</v>
      </c>
      <c r="D1459" s="338"/>
      <c r="E1459" s="338">
        <v>2</v>
      </c>
      <c r="F1459" s="531">
        <v>121125</v>
      </c>
      <c r="G1459" s="7">
        <f t="shared" si="316"/>
        <v>0</v>
      </c>
      <c r="H1459" s="7">
        <f t="shared" si="316"/>
        <v>242250</v>
      </c>
      <c r="I1459" s="21"/>
      <c r="J1459" s="440" t="s">
        <v>6</v>
      </c>
      <c r="K1459" s="440" t="s">
        <v>104</v>
      </c>
      <c r="L1459" s="440" t="s">
        <v>94</v>
      </c>
      <c r="N1459" s="424"/>
      <c r="P1459" s="603" t="s">
        <v>1108</v>
      </c>
    </row>
    <row r="1460" spans="1:16" s="396" customFormat="1" ht="14">
      <c r="A1460" s="628" t="s">
        <v>8</v>
      </c>
      <c r="B1460" s="131" t="s">
        <v>1109</v>
      </c>
      <c r="C1460" s="443" t="s">
        <v>10</v>
      </c>
      <c r="D1460" s="338"/>
      <c r="E1460" s="338">
        <v>18</v>
      </c>
      <c r="F1460" s="531">
        <v>32979</v>
      </c>
      <c r="G1460" s="7">
        <f t="shared" si="316"/>
        <v>0</v>
      </c>
      <c r="H1460" s="7">
        <f t="shared" si="316"/>
        <v>593622</v>
      </c>
      <c r="I1460" s="21"/>
      <c r="J1460" s="440" t="s">
        <v>6</v>
      </c>
      <c r="K1460" s="440" t="s">
        <v>104</v>
      </c>
      <c r="L1460" s="440" t="s">
        <v>94</v>
      </c>
      <c r="N1460" s="424"/>
      <c r="P1460" s="603" t="s">
        <v>1110</v>
      </c>
    </row>
    <row r="1461" spans="1:16" s="396" customFormat="1" ht="14">
      <c r="A1461" s="128" t="s">
        <v>8</v>
      </c>
      <c r="B1461" s="630" t="s">
        <v>1111</v>
      </c>
      <c r="C1461" s="443" t="s">
        <v>9</v>
      </c>
      <c r="D1461" s="338">
        <v>1</v>
      </c>
      <c r="E1461" s="401"/>
      <c r="F1461" s="531">
        <v>400000</v>
      </c>
      <c r="G1461" s="7">
        <f t="shared" si="316"/>
        <v>400000</v>
      </c>
      <c r="H1461" s="7">
        <f t="shared" si="316"/>
        <v>0</v>
      </c>
      <c r="I1461" s="21"/>
      <c r="J1461" s="440" t="s">
        <v>6</v>
      </c>
      <c r="K1461" s="440" t="s">
        <v>104</v>
      </c>
      <c r="L1461" s="440" t="s">
        <v>94</v>
      </c>
      <c r="N1461" s="424"/>
      <c r="P1461" s="603" t="s">
        <v>1112</v>
      </c>
    </row>
    <row r="1462" spans="1:16" s="396" customFormat="1" ht="14">
      <c r="A1462" s="128" t="s">
        <v>8</v>
      </c>
      <c r="B1462" s="127" t="s">
        <v>1113</v>
      </c>
      <c r="C1462" s="129" t="s">
        <v>9</v>
      </c>
      <c r="D1462" s="338">
        <v>1</v>
      </c>
      <c r="E1462" s="401"/>
      <c r="F1462" s="602">
        <v>50000</v>
      </c>
      <c r="G1462" s="7">
        <f t="shared" si="316"/>
        <v>50000</v>
      </c>
      <c r="H1462" s="7">
        <f t="shared" si="316"/>
        <v>0</v>
      </c>
      <c r="I1462" s="21"/>
      <c r="J1462" s="440" t="s">
        <v>6</v>
      </c>
      <c r="K1462" s="440" t="s">
        <v>104</v>
      </c>
      <c r="L1462" s="440" t="s">
        <v>94</v>
      </c>
      <c r="N1462" s="424"/>
      <c r="P1462" s="603" t="s">
        <v>1037</v>
      </c>
    </row>
    <row r="1463" spans="1:16" s="452" customFormat="1">
      <c r="A1463" s="444" t="s">
        <v>12</v>
      </c>
      <c r="B1463" s="445" t="s">
        <v>54</v>
      </c>
      <c r="C1463" s="631"/>
      <c r="D1463" s="632">
        <v>65</v>
      </c>
      <c r="E1463" s="632">
        <v>90</v>
      </c>
      <c r="F1463" s="632"/>
      <c r="G1463" s="447">
        <f>SUBTOTAL(9,G1464:G1701)</f>
        <v>3826499.7949999995</v>
      </c>
      <c r="H1463" s="447">
        <f>SUBTOTAL(9,H1464:H1701)</f>
        <v>2873390.94</v>
      </c>
      <c r="I1463" s="459"/>
      <c r="J1463" s="449"/>
      <c r="K1463" s="449"/>
      <c r="L1463" s="449"/>
      <c r="N1463" s="451"/>
      <c r="P1463" s="450"/>
    </row>
    <row r="1464" spans="1:16" s="452" customFormat="1">
      <c r="A1464" s="444">
        <v>1</v>
      </c>
      <c r="B1464" s="445" t="s">
        <v>435</v>
      </c>
      <c r="C1464" s="446"/>
      <c r="D1464" s="447">
        <v>57</v>
      </c>
      <c r="E1464" s="447">
        <v>33</v>
      </c>
      <c r="F1464" s="447"/>
      <c r="G1464" s="447">
        <f>SUBTOTAL(9,G1465:G1506)</f>
        <v>1470076.4149999998</v>
      </c>
      <c r="H1464" s="447">
        <f>SUBTOTAL(9,H1465:H1506)</f>
        <v>970216.70000000007</v>
      </c>
      <c r="I1464" s="448"/>
      <c r="J1464" s="449"/>
      <c r="K1464" s="449"/>
      <c r="L1464" s="449"/>
      <c r="N1464" s="451"/>
      <c r="P1464" s="450"/>
    </row>
    <row r="1465" spans="1:16" s="396" customFormat="1">
      <c r="A1465" s="444">
        <v>1.1000000000000001</v>
      </c>
      <c r="B1465" s="445" t="s">
        <v>436</v>
      </c>
      <c r="C1465" s="446"/>
      <c r="D1465" s="447">
        <v>6</v>
      </c>
      <c r="E1465" s="447">
        <v>1</v>
      </c>
      <c r="F1465" s="447"/>
      <c r="G1465" s="447">
        <f>SUBTOTAL(9,G1467:G1482)</f>
        <v>78852.579999999987</v>
      </c>
      <c r="H1465" s="447">
        <f>SUBTOTAL(9,H1467:H1482)</f>
        <v>19487.02</v>
      </c>
      <c r="I1465" s="448"/>
      <c r="J1465" s="449"/>
      <c r="K1465" s="449"/>
      <c r="L1465" s="449"/>
      <c r="N1465" s="424"/>
      <c r="P1465" s="450"/>
    </row>
    <row r="1466" spans="1:16" s="398" customFormat="1" ht="14">
      <c r="A1466" s="133" t="s">
        <v>437</v>
      </c>
      <c r="B1466" s="134" t="s">
        <v>438</v>
      </c>
      <c r="C1466" s="135"/>
      <c r="D1466" s="453"/>
      <c r="E1466" s="453"/>
      <c r="F1466" s="601"/>
      <c r="G1466" s="62"/>
      <c r="H1466" s="62"/>
      <c r="I1466" s="402"/>
      <c r="J1466" s="454"/>
      <c r="K1466" s="454"/>
      <c r="L1466" s="454"/>
      <c r="N1466" s="395"/>
      <c r="P1466" s="455"/>
    </row>
    <row r="1467" spans="1:16" s="398" customFormat="1" ht="14">
      <c r="A1467" s="136" t="s">
        <v>8</v>
      </c>
      <c r="B1467" s="131" t="s">
        <v>439</v>
      </c>
      <c r="C1467" s="137" t="s">
        <v>126</v>
      </c>
      <c r="D1467" s="62">
        <v>35</v>
      </c>
      <c r="E1467" s="62">
        <v>10</v>
      </c>
      <c r="F1467" s="600">
        <v>495.5</v>
      </c>
      <c r="G1467" s="7">
        <f t="shared" ref="G1467:H1468" si="317">D1467*$F1467</f>
        <v>17342.5</v>
      </c>
      <c r="H1467" s="7">
        <f t="shared" si="317"/>
        <v>4955</v>
      </c>
      <c r="I1467" s="402"/>
      <c r="J1467" s="454" t="s">
        <v>6</v>
      </c>
      <c r="K1467" s="454" t="s">
        <v>107</v>
      </c>
      <c r="L1467" s="454" t="s">
        <v>94</v>
      </c>
      <c r="N1467" s="395"/>
      <c r="P1467" s="455"/>
    </row>
    <row r="1468" spans="1:16" s="398" customFormat="1" ht="14">
      <c r="A1468" s="136" t="s">
        <v>8</v>
      </c>
      <c r="B1468" s="131" t="s">
        <v>440</v>
      </c>
      <c r="C1468" s="137" t="s">
        <v>31</v>
      </c>
      <c r="D1468" s="62">
        <v>6</v>
      </c>
      <c r="E1468" s="62">
        <v>1</v>
      </c>
      <c r="F1468" s="600">
        <v>756</v>
      </c>
      <c r="G1468" s="7">
        <f t="shared" si="317"/>
        <v>4536</v>
      </c>
      <c r="H1468" s="7">
        <f t="shared" si="317"/>
        <v>756</v>
      </c>
      <c r="I1468" s="402"/>
      <c r="J1468" s="454" t="s">
        <v>6</v>
      </c>
      <c r="K1468" s="454" t="s">
        <v>107</v>
      </c>
      <c r="L1468" s="454" t="s">
        <v>94</v>
      </c>
      <c r="N1468" s="395"/>
      <c r="P1468" s="455"/>
    </row>
    <row r="1469" spans="1:16" s="398" customFormat="1" ht="14">
      <c r="A1469" s="133" t="s">
        <v>441</v>
      </c>
      <c r="B1469" s="134" t="s">
        <v>442</v>
      </c>
      <c r="C1469" s="135"/>
      <c r="D1469" s="62"/>
      <c r="E1469" s="62"/>
      <c r="F1469" s="601"/>
      <c r="G1469" s="62"/>
      <c r="H1469" s="62"/>
      <c r="I1469" s="402"/>
      <c r="J1469" s="454"/>
      <c r="K1469" s="454"/>
      <c r="L1469" s="454"/>
      <c r="N1469" s="395"/>
      <c r="P1469" s="455"/>
    </row>
    <row r="1470" spans="1:16" s="398" customFormat="1" ht="14">
      <c r="A1470" s="136" t="s">
        <v>8</v>
      </c>
      <c r="B1470" s="131" t="s">
        <v>443</v>
      </c>
      <c r="C1470" s="137" t="s">
        <v>544</v>
      </c>
      <c r="D1470" s="62">
        <v>6</v>
      </c>
      <c r="E1470" s="62"/>
      <c r="F1470" s="600">
        <v>5420</v>
      </c>
      <c r="G1470" s="7">
        <f t="shared" ref="G1470:H1471" si="318">D1470*$F1470</f>
        <v>32520</v>
      </c>
      <c r="H1470" s="7">
        <f t="shared" si="318"/>
        <v>0</v>
      </c>
      <c r="I1470" s="402"/>
      <c r="J1470" s="454" t="s">
        <v>6</v>
      </c>
      <c r="K1470" s="454" t="s">
        <v>107</v>
      </c>
      <c r="L1470" s="454" t="s">
        <v>94</v>
      </c>
      <c r="N1470" s="395"/>
      <c r="P1470" s="455"/>
    </row>
    <row r="1471" spans="1:16" s="398" customFormat="1" ht="14">
      <c r="A1471" s="128" t="s">
        <v>8</v>
      </c>
      <c r="B1471" s="633" t="s">
        <v>1114</v>
      </c>
      <c r="C1471" s="137" t="s">
        <v>544</v>
      </c>
      <c r="D1471" s="62"/>
      <c r="E1471" s="62">
        <v>1</v>
      </c>
      <c r="F1471" s="634">
        <v>9350</v>
      </c>
      <c r="G1471" s="7">
        <f t="shared" si="318"/>
        <v>0</v>
      </c>
      <c r="H1471" s="7">
        <f t="shared" si="318"/>
        <v>9350</v>
      </c>
      <c r="I1471" s="402"/>
      <c r="J1471" s="454" t="s">
        <v>6</v>
      </c>
      <c r="K1471" s="454" t="s">
        <v>107</v>
      </c>
      <c r="L1471" s="454" t="s">
        <v>94</v>
      </c>
      <c r="N1471" s="395"/>
      <c r="P1471" s="455"/>
    </row>
    <row r="1472" spans="1:16" s="398" customFormat="1" ht="14">
      <c r="A1472" s="133" t="s">
        <v>444</v>
      </c>
      <c r="B1472" s="134" t="s">
        <v>445</v>
      </c>
      <c r="C1472" s="135"/>
      <c r="D1472" s="62"/>
      <c r="E1472" s="62"/>
      <c r="F1472" s="601"/>
      <c r="G1472" s="62"/>
      <c r="H1472" s="62"/>
      <c r="I1472" s="402"/>
      <c r="J1472" s="454"/>
      <c r="K1472" s="454"/>
      <c r="L1472" s="454"/>
      <c r="N1472" s="395"/>
      <c r="P1472" s="455"/>
    </row>
    <row r="1473" spans="1:16" s="398" customFormat="1" ht="14">
      <c r="A1473" s="136" t="s">
        <v>8</v>
      </c>
      <c r="B1473" s="131" t="s">
        <v>446</v>
      </c>
      <c r="C1473" s="137" t="s">
        <v>24</v>
      </c>
      <c r="D1473" s="62">
        <v>6</v>
      </c>
      <c r="E1473" s="62">
        <v>1</v>
      </c>
      <c r="F1473" s="600">
        <v>781</v>
      </c>
      <c r="G1473" s="7">
        <f t="shared" ref="G1473:H1473" si="319">D1473*$F1473</f>
        <v>4686</v>
      </c>
      <c r="H1473" s="7">
        <f t="shared" si="319"/>
        <v>781</v>
      </c>
      <c r="I1473" s="402"/>
      <c r="J1473" s="454" t="s">
        <v>6</v>
      </c>
      <c r="K1473" s="454" t="s">
        <v>107</v>
      </c>
      <c r="L1473" s="454" t="s">
        <v>94</v>
      </c>
      <c r="N1473" s="395"/>
      <c r="P1473" s="455"/>
    </row>
    <row r="1474" spans="1:16" s="398" customFormat="1" ht="14">
      <c r="A1474" s="133" t="s">
        <v>447</v>
      </c>
      <c r="B1474" s="635" t="s">
        <v>1115</v>
      </c>
      <c r="C1474" s="135"/>
      <c r="D1474" s="62"/>
      <c r="E1474" s="62"/>
      <c r="F1474" s="601"/>
      <c r="G1474" s="62"/>
      <c r="H1474" s="62"/>
      <c r="I1474" s="402"/>
      <c r="J1474" s="454"/>
      <c r="K1474" s="454"/>
      <c r="L1474" s="454"/>
      <c r="N1474" s="395"/>
      <c r="P1474" s="455"/>
    </row>
    <row r="1475" spans="1:16" s="398" customFormat="1" ht="14">
      <c r="A1475" s="136" t="s">
        <v>8</v>
      </c>
      <c r="B1475" s="131" t="s">
        <v>450</v>
      </c>
      <c r="C1475" s="137" t="s">
        <v>31</v>
      </c>
      <c r="D1475" s="62">
        <v>6</v>
      </c>
      <c r="E1475" s="62">
        <v>1</v>
      </c>
      <c r="F1475" s="600">
        <v>1437.67</v>
      </c>
      <c r="G1475" s="7">
        <f t="shared" ref="G1475:H1476" si="320">D1475*$F1475</f>
        <v>8626.02</v>
      </c>
      <c r="H1475" s="7">
        <f t="shared" si="320"/>
        <v>1437.67</v>
      </c>
      <c r="I1475" s="402"/>
      <c r="J1475" s="454" t="s">
        <v>6</v>
      </c>
      <c r="K1475" s="454" t="s">
        <v>107</v>
      </c>
      <c r="L1475" s="454" t="s">
        <v>94</v>
      </c>
      <c r="N1475" s="395"/>
      <c r="P1475" s="455"/>
    </row>
    <row r="1476" spans="1:16" s="398" customFormat="1" ht="14">
      <c r="A1476" s="136" t="s">
        <v>8</v>
      </c>
      <c r="B1476" s="131" t="s">
        <v>451</v>
      </c>
      <c r="C1476" s="137" t="s">
        <v>15</v>
      </c>
      <c r="D1476" s="62">
        <v>18</v>
      </c>
      <c r="E1476" s="62">
        <v>6</v>
      </c>
      <c r="F1476" s="600">
        <v>116.78</v>
      </c>
      <c r="G1476" s="7">
        <f t="shared" si="320"/>
        <v>2102.04</v>
      </c>
      <c r="H1476" s="7">
        <f t="shared" si="320"/>
        <v>700.68000000000006</v>
      </c>
      <c r="I1476" s="402"/>
      <c r="J1476" s="454" t="s">
        <v>6</v>
      </c>
      <c r="K1476" s="454" t="s">
        <v>107</v>
      </c>
      <c r="L1476" s="454" t="s">
        <v>94</v>
      </c>
      <c r="N1476" s="395"/>
      <c r="P1476" s="455"/>
    </row>
    <row r="1477" spans="1:16" s="398" customFormat="1" ht="14">
      <c r="A1477" s="133" t="s">
        <v>452</v>
      </c>
      <c r="B1477" s="134" t="s">
        <v>455</v>
      </c>
      <c r="C1477" s="135"/>
      <c r="D1477" s="62"/>
      <c r="E1477" s="62"/>
      <c r="F1477" s="601"/>
      <c r="G1477" s="62"/>
      <c r="H1477" s="62"/>
      <c r="I1477" s="402"/>
      <c r="J1477" s="454"/>
      <c r="K1477" s="454"/>
      <c r="L1477" s="454"/>
      <c r="N1477" s="395"/>
      <c r="P1477" s="455"/>
    </row>
    <row r="1478" spans="1:16" s="398" customFormat="1" ht="14">
      <c r="A1478" s="136" t="s">
        <v>8</v>
      </c>
      <c r="B1478" s="131" t="s">
        <v>456</v>
      </c>
      <c r="C1478" s="137" t="s">
        <v>15</v>
      </c>
      <c r="D1478" s="62">
        <v>6</v>
      </c>
      <c r="E1478" s="62">
        <v>1</v>
      </c>
      <c r="F1478" s="636">
        <v>6.27</v>
      </c>
      <c r="G1478" s="7">
        <f t="shared" ref="G1478:H1482" si="321">D1478*$F1478</f>
        <v>37.619999999999997</v>
      </c>
      <c r="H1478" s="7">
        <f t="shared" si="321"/>
        <v>6.27</v>
      </c>
      <c r="I1478" s="402"/>
      <c r="J1478" s="454" t="s">
        <v>6</v>
      </c>
      <c r="K1478" s="454" t="s">
        <v>107</v>
      </c>
      <c r="L1478" s="454" t="s">
        <v>94</v>
      </c>
      <c r="N1478" s="395"/>
      <c r="P1478" s="455"/>
    </row>
    <row r="1479" spans="1:16" s="398" customFormat="1" ht="14">
      <c r="A1479" s="136" t="s">
        <v>8</v>
      </c>
      <c r="B1479" s="131" t="s">
        <v>457</v>
      </c>
      <c r="C1479" s="137" t="s">
        <v>15</v>
      </c>
      <c r="D1479" s="62">
        <v>6</v>
      </c>
      <c r="E1479" s="62">
        <v>1</v>
      </c>
      <c r="F1479" s="600">
        <v>147</v>
      </c>
      <c r="G1479" s="7">
        <f t="shared" si="321"/>
        <v>882</v>
      </c>
      <c r="H1479" s="7">
        <f t="shared" si="321"/>
        <v>147</v>
      </c>
      <c r="I1479" s="402"/>
      <c r="J1479" s="454" t="s">
        <v>6</v>
      </c>
      <c r="K1479" s="454" t="s">
        <v>107</v>
      </c>
      <c r="L1479" s="454" t="s">
        <v>94</v>
      </c>
      <c r="N1479" s="395"/>
      <c r="P1479" s="455"/>
    </row>
    <row r="1480" spans="1:16" s="398" customFormat="1" ht="14">
      <c r="A1480" s="124" t="s">
        <v>8</v>
      </c>
      <c r="B1480" s="125" t="s">
        <v>458</v>
      </c>
      <c r="C1480" s="126" t="s">
        <v>15</v>
      </c>
      <c r="D1480" s="62">
        <v>6</v>
      </c>
      <c r="E1480" s="62">
        <v>1</v>
      </c>
      <c r="F1480" s="600">
        <v>10.5</v>
      </c>
      <c r="G1480" s="7">
        <f t="shared" si="321"/>
        <v>63</v>
      </c>
      <c r="H1480" s="7">
        <f t="shared" si="321"/>
        <v>10.5</v>
      </c>
      <c r="I1480" s="402"/>
      <c r="J1480" s="454" t="s">
        <v>6</v>
      </c>
      <c r="K1480" s="454" t="s">
        <v>107</v>
      </c>
      <c r="L1480" s="454" t="s">
        <v>94</v>
      </c>
      <c r="N1480" s="395"/>
      <c r="P1480" s="455"/>
    </row>
    <row r="1481" spans="1:16" s="398" customFormat="1" ht="14">
      <c r="A1481" s="124" t="s">
        <v>8</v>
      </c>
      <c r="B1481" s="125" t="s">
        <v>459</v>
      </c>
      <c r="C1481" s="126" t="s">
        <v>15</v>
      </c>
      <c r="D1481" s="62">
        <v>6</v>
      </c>
      <c r="E1481" s="62">
        <v>1</v>
      </c>
      <c r="F1481" s="600">
        <v>2.9</v>
      </c>
      <c r="G1481" s="7">
        <f t="shared" si="321"/>
        <v>17.399999999999999</v>
      </c>
      <c r="H1481" s="7">
        <f t="shared" si="321"/>
        <v>2.9</v>
      </c>
      <c r="I1481" s="402"/>
      <c r="J1481" s="454" t="s">
        <v>6</v>
      </c>
      <c r="K1481" s="454" t="s">
        <v>107</v>
      </c>
      <c r="L1481" s="454" t="s">
        <v>94</v>
      </c>
      <c r="N1481" s="395"/>
      <c r="P1481" s="455"/>
    </row>
    <row r="1482" spans="1:16" s="398" customFormat="1" ht="14">
      <c r="A1482" s="121" t="s">
        <v>454</v>
      </c>
      <c r="B1482" s="637" t="s">
        <v>1116</v>
      </c>
      <c r="C1482" s="638" t="s">
        <v>1117</v>
      </c>
      <c r="D1482" s="62">
        <v>6</v>
      </c>
      <c r="E1482" s="62">
        <v>1</v>
      </c>
      <c r="F1482" s="600">
        <v>1340</v>
      </c>
      <c r="G1482" s="7">
        <f t="shared" si="321"/>
        <v>8040</v>
      </c>
      <c r="H1482" s="7">
        <f t="shared" si="321"/>
        <v>1340</v>
      </c>
      <c r="I1482" s="402"/>
      <c r="J1482" s="454" t="s">
        <v>6</v>
      </c>
      <c r="K1482" s="454" t="s">
        <v>107</v>
      </c>
      <c r="L1482" s="454" t="s">
        <v>94</v>
      </c>
      <c r="N1482" s="395"/>
      <c r="P1482" s="455"/>
    </row>
    <row r="1483" spans="1:16" s="452" customFormat="1" ht="14">
      <c r="A1483" s="138" t="s">
        <v>422</v>
      </c>
      <c r="B1483" s="139" t="s">
        <v>460</v>
      </c>
      <c r="C1483" s="140"/>
      <c r="D1483" s="447">
        <v>51</v>
      </c>
      <c r="E1483" s="447">
        <v>32</v>
      </c>
      <c r="F1483" s="447"/>
      <c r="G1483" s="447">
        <f>SUBTOTAL(9,G1485:G1506)</f>
        <v>1391223.835</v>
      </c>
      <c r="H1483" s="447">
        <f>SUBTOTAL(9,H1485:H1506)</f>
        <v>950729.68</v>
      </c>
      <c r="I1483" s="448"/>
      <c r="J1483" s="449"/>
      <c r="K1483" s="449"/>
      <c r="L1483" s="449"/>
      <c r="N1483" s="451"/>
      <c r="P1483" s="450"/>
    </row>
    <row r="1484" spans="1:16" s="398" customFormat="1" ht="14">
      <c r="A1484" s="133" t="s">
        <v>461</v>
      </c>
      <c r="B1484" s="134" t="s">
        <v>438</v>
      </c>
      <c r="C1484" s="135"/>
      <c r="D1484" s="453"/>
      <c r="E1484" s="453"/>
      <c r="F1484" s="601"/>
      <c r="G1484" s="62"/>
      <c r="H1484" s="62"/>
      <c r="I1484" s="402"/>
      <c r="J1484" s="454"/>
      <c r="K1484" s="454"/>
      <c r="L1484" s="454"/>
      <c r="N1484" s="395"/>
      <c r="P1484" s="455"/>
    </row>
    <row r="1485" spans="1:16" s="398" customFormat="1" ht="14">
      <c r="A1485" s="136" t="s">
        <v>8</v>
      </c>
      <c r="B1485" s="131" t="s">
        <v>439</v>
      </c>
      <c r="C1485" s="137" t="s">
        <v>126</v>
      </c>
      <c r="D1485" s="62">
        <v>887</v>
      </c>
      <c r="E1485" s="62">
        <v>410</v>
      </c>
      <c r="F1485" s="600">
        <v>495.5</v>
      </c>
      <c r="G1485" s="7">
        <f t="shared" ref="G1485:H1486" si="322">D1485*$F1485</f>
        <v>439508.5</v>
      </c>
      <c r="H1485" s="7">
        <f t="shared" si="322"/>
        <v>203155</v>
      </c>
      <c r="I1485" s="402"/>
      <c r="J1485" s="454" t="s">
        <v>6</v>
      </c>
      <c r="K1485" s="454" t="s">
        <v>107</v>
      </c>
      <c r="L1485" s="454" t="s">
        <v>94</v>
      </c>
      <c r="N1485" s="395"/>
      <c r="P1485" s="455"/>
    </row>
    <row r="1486" spans="1:16" s="398" customFormat="1" ht="14">
      <c r="A1486" s="136" t="s">
        <v>8</v>
      </c>
      <c r="B1486" s="131" t="s">
        <v>440</v>
      </c>
      <c r="C1486" s="137" t="s">
        <v>31</v>
      </c>
      <c r="D1486" s="62">
        <v>102</v>
      </c>
      <c r="E1486" s="62">
        <v>64</v>
      </c>
      <c r="F1486" s="600">
        <v>756</v>
      </c>
      <c r="G1486" s="7">
        <f t="shared" si="322"/>
        <v>77112</v>
      </c>
      <c r="H1486" s="7">
        <f t="shared" si="322"/>
        <v>48384</v>
      </c>
      <c r="I1486" s="402"/>
      <c r="J1486" s="454" t="s">
        <v>6</v>
      </c>
      <c r="K1486" s="454" t="s">
        <v>107</v>
      </c>
      <c r="L1486" s="454" t="s">
        <v>94</v>
      </c>
      <c r="N1486" s="395"/>
      <c r="P1486" s="455"/>
    </row>
    <row r="1487" spans="1:16" s="398" customFormat="1" ht="14">
      <c r="A1487" s="133" t="s">
        <v>462</v>
      </c>
      <c r="B1487" s="134" t="s">
        <v>442</v>
      </c>
      <c r="C1487" s="135"/>
      <c r="D1487" s="62"/>
      <c r="E1487" s="62"/>
      <c r="F1487" s="601"/>
      <c r="G1487" s="62"/>
      <c r="H1487" s="62"/>
      <c r="I1487" s="402"/>
      <c r="J1487" s="454"/>
      <c r="K1487" s="454"/>
      <c r="L1487" s="454"/>
      <c r="N1487" s="395"/>
      <c r="P1487" s="455"/>
    </row>
    <row r="1488" spans="1:16" s="398" customFormat="1" ht="14">
      <c r="A1488" s="136" t="s">
        <v>8</v>
      </c>
      <c r="B1488" s="131" t="s">
        <v>443</v>
      </c>
      <c r="C1488" s="137" t="s">
        <v>544</v>
      </c>
      <c r="D1488" s="62">
        <v>51</v>
      </c>
      <c r="E1488" s="62">
        <v>6</v>
      </c>
      <c r="F1488" s="600">
        <v>5420</v>
      </c>
      <c r="G1488" s="7">
        <f t="shared" ref="G1488:H1489" si="323">D1488*$F1488</f>
        <v>276420</v>
      </c>
      <c r="H1488" s="7">
        <f t="shared" si="323"/>
        <v>32520</v>
      </c>
      <c r="I1488" s="402"/>
      <c r="J1488" s="454" t="s">
        <v>6</v>
      </c>
      <c r="K1488" s="454" t="s">
        <v>107</v>
      </c>
      <c r="L1488" s="454" t="s">
        <v>94</v>
      </c>
      <c r="N1488" s="395"/>
      <c r="P1488" s="455"/>
    </row>
    <row r="1489" spans="1:16" s="398" customFormat="1" ht="14">
      <c r="A1489" s="128" t="s">
        <v>8</v>
      </c>
      <c r="B1489" s="633" t="s">
        <v>1114</v>
      </c>
      <c r="C1489" s="137" t="s">
        <v>544</v>
      </c>
      <c r="D1489" s="62">
        <v>0</v>
      </c>
      <c r="E1489" s="62">
        <v>26</v>
      </c>
      <c r="F1489" s="634">
        <v>9350</v>
      </c>
      <c r="G1489" s="7">
        <f t="shared" si="323"/>
        <v>0</v>
      </c>
      <c r="H1489" s="7">
        <f t="shared" si="323"/>
        <v>243100</v>
      </c>
      <c r="I1489" s="402"/>
      <c r="J1489" s="454" t="s">
        <v>6</v>
      </c>
      <c r="K1489" s="454" t="s">
        <v>107</v>
      </c>
      <c r="L1489" s="454" t="s">
        <v>94</v>
      </c>
      <c r="N1489" s="395"/>
      <c r="P1489" s="455"/>
    </row>
    <row r="1490" spans="1:16" s="398" customFormat="1" ht="14">
      <c r="A1490" s="133" t="s">
        <v>463</v>
      </c>
      <c r="B1490" s="134" t="s">
        <v>449</v>
      </c>
      <c r="C1490" s="135"/>
      <c r="D1490" s="62"/>
      <c r="E1490" s="62"/>
      <c r="F1490" s="601"/>
      <c r="G1490" s="62"/>
      <c r="H1490" s="62"/>
      <c r="I1490" s="402"/>
      <c r="J1490" s="454"/>
      <c r="K1490" s="454"/>
      <c r="L1490" s="454"/>
      <c r="N1490" s="395"/>
      <c r="P1490" s="455"/>
    </row>
    <row r="1491" spans="1:16" s="398" customFormat="1" ht="14">
      <c r="A1491" s="136" t="s">
        <v>8</v>
      </c>
      <c r="B1491" s="131" t="s">
        <v>450</v>
      </c>
      <c r="C1491" s="137" t="s">
        <v>31</v>
      </c>
      <c r="D1491" s="62">
        <v>51</v>
      </c>
      <c r="E1491" s="62">
        <v>58</v>
      </c>
      <c r="F1491" s="600">
        <v>1437.67</v>
      </c>
      <c r="G1491" s="7">
        <f t="shared" ref="G1491:H1493" si="324">D1491*$F1491</f>
        <v>73321.17</v>
      </c>
      <c r="H1491" s="7">
        <f t="shared" si="324"/>
        <v>83384.86</v>
      </c>
      <c r="I1491" s="402"/>
      <c r="J1491" s="454" t="s">
        <v>6</v>
      </c>
      <c r="K1491" s="454" t="s">
        <v>107</v>
      </c>
      <c r="L1491" s="454" t="s">
        <v>94</v>
      </c>
      <c r="N1491" s="395"/>
      <c r="P1491" s="455"/>
    </row>
    <row r="1492" spans="1:16" s="398" customFormat="1" ht="14">
      <c r="A1492" s="136" t="s">
        <v>8</v>
      </c>
      <c r="B1492" s="131" t="s">
        <v>451</v>
      </c>
      <c r="C1492" s="137" t="s">
        <v>15</v>
      </c>
      <c r="D1492" s="62">
        <v>153</v>
      </c>
      <c r="E1492" s="62">
        <v>189</v>
      </c>
      <c r="F1492" s="600">
        <v>116.78</v>
      </c>
      <c r="G1492" s="7">
        <f t="shared" si="324"/>
        <v>17867.34</v>
      </c>
      <c r="H1492" s="7">
        <f t="shared" si="324"/>
        <v>22071.420000000002</v>
      </c>
      <c r="I1492" s="402"/>
      <c r="J1492" s="454" t="s">
        <v>6</v>
      </c>
      <c r="K1492" s="454" t="s">
        <v>107</v>
      </c>
      <c r="L1492" s="454" t="s">
        <v>94</v>
      </c>
      <c r="N1492" s="395"/>
      <c r="P1492" s="455"/>
    </row>
    <row r="1493" spans="1:16" s="398" customFormat="1" ht="14">
      <c r="A1493" s="136" t="s">
        <v>8</v>
      </c>
      <c r="B1493" s="131" t="s">
        <v>1118</v>
      </c>
      <c r="C1493" s="137" t="s">
        <v>15</v>
      </c>
      <c r="D1493" s="62">
        <v>255</v>
      </c>
      <c r="E1493" s="62">
        <v>160</v>
      </c>
      <c r="F1493" s="600">
        <v>248.47</v>
      </c>
      <c r="G1493" s="7">
        <f t="shared" si="324"/>
        <v>63359.85</v>
      </c>
      <c r="H1493" s="7">
        <f t="shared" si="324"/>
        <v>39755.199999999997</v>
      </c>
      <c r="I1493" s="402"/>
      <c r="J1493" s="454" t="s">
        <v>6</v>
      </c>
      <c r="K1493" s="454" t="s">
        <v>107</v>
      </c>
      <c r="L1493" s="454" t="s">
        <v>94</v>
      </c>
      <c r="N1493" s="395"/>
      <c r="P1493" s="455"/>
    </row>
    <row r="1494" spans="1:16" s="398" customFormat="1" ht="14">
      <c r="A1494" s="133" t="s">
        <v>464</v>
      </c>
      <c r="B1494" s="134" t="s">
        <v>453</v>
      </c>
      <c r="C1494" s="135"/>
      <c r="D1494" s="62"/>
      <c r="E1494" s="62"/>
      <c r="F1494" s="601"/>
      <c r="G1494" s="62"/>
      <c r="H1494" s="62"/>
      <c r="I1494" s="402"/>
      <c r="J1494" s="454"/>
      <c r="K1494" s="454"/>
      <c r="L1494" s="454"/>
      <c r="N1494" s="395"/>
      <c r="P1494" s="455"/>
    </row>
    <row r="1495" spans="1:16" s="398" customFormat="1" ht="14">
      <c r="A1495" s="136" t="s">
        <v>8</v>
      </c>
      <c r="B1495" s="131" t="s">
        <v>1119</v>
      </c>
      <c r="C1495" s="137" t="s">
        <v>10</v>
      </c>
      <c r="D1495" s="62"/>
      <c r="E1495" s="62"/>
      <c r="F1495" s="600">
        <v>2784.29</v>
      </c>
      <c r="G1495" s="7">
        <f t="shared" ref="G1495:H1501" si="325">D1495*$F1495</f>
        <v>0</v>
      </c>
      <c r="H1495" s="7">
        <f t="shared" si="325"/>
        <v>0</v>
      </c>
      <c r="I1495" s="402"/>
      <c r="J1495" s="454" t="s">
        <v>6</v>
      </c>
      <c r="K1495" s="454" t="s">
        <v>107</v>
      </c>
      <c r="L1495" s="454" t="s">
        <v>94</v>
      </c>
      <c r="N1495" s="395"/>
      <c r="P1495" s="455"/>
    </row>
    <row r="1496" spans="1:16" s="398" customFormat="1" ht="14">
      <c r="A1496" s="136" t="s">
        <v>8</v>
      </c>
      <c r="B1496" s="131" t="s">
        <v>1120</v>
      </c>
      <c r="C1496" s="137" t="s">
        <v>10</v>
      </c>
      <c r="D1496" s="62"/>
      <c r="E1496" s="62"/>
      <c r="F1496" s="600">
        <v>3670.27</v>
      </c>
      <c r="G1496" s="7">
        <f t="shared" si="325"/>
        <v>0</v>
      </c>
      <c r="H1496" s="7">
        <f t="shared" si="325"/>
        <v>0</v>
      </c>
      <c r="I1496" s="402"/>
      <c r="J1496" s="454" t="s">
        <v>6</v>
      </c>
      <c r="K1496" s="454" t="s">
        <v>107</v>
      </c>
      <c r="L1496" s="454" t="s">
        <v>94</v>
      </c>
      <c r="N1496" s="395"/>
      <c r="P1496" s="455"/>
    </row>
    <row r="1497" spans="1:16" s="398" customFormat="1" ht="14">
      <c r="A1497" s="136" t="s">
        <v>8</v>
      </c>
      <c r="B1497" s="637" t="s">
        <v>1121</v>
      </c>
      <c r="C1497" s="137" t="s">
        <v>10</v>
      </c>
      <c r="D1497" s="62"/>
      <c r="E1497" s="62"/>
      <c r="F1497" s="600">
        <v>4854.03</v>
      </c>
      <c r="G1497" s="7">
        <f t="shared" si="325"/>
        <v>0</v>
      </c>
      <c r="H1497" s="7">
        <f t="shared" si="325"/>
        <v>0</v>
      </c>
      <c r="I1497" s="402"/>
      <c r="J1497" s="454" t="s">
        <v>6</v>
      </c>
      <c r="K1497" s="454" t="s">
        <v>107</v>
      </c>
      <c r="L1497" s="454" t="s">
        <v>94</v>
      </c>
      <c r="N1497" s="395"/>
      <c r="P1497" s="455"/>
    </row>
    <row r="1498" spans="1:16" s="398" customFormat="1" ht="14">
      <c r="A1498" s="136" t="s">
        <v>8</v>
      </c>
      <c r="B1498" s="637" t="s">
        <v>1122</v>
      </c>
      <c r="C1498" s="137" t="s">
        <v>10</v>
      </c>
      <c r="D1498" s="62"/>
      <c r="E1498" s="62"/>
      <c r="F1498" s="600">
        <v>6184.6900000000005</v>
      </c>
      <c r="G1498" s="7">
        <f t="shared" si="325"/>
        <v>0</v>
      </c>
      <c r="H1498" s="7">
        <f t="shared" si="325"/>
        <v>0</v>
      </c>
      <c r="I1498" s="402"/>
      <c r="J1498" s="454" t="s">
        <v>6</v>
      </c>
      <c r="K1498" s="454" t="s">
        <v>107</v>
      </c>
      <c r="L1498" s="454" t="s">
        <v>94</v>
      </c>
      <c r="N1498" s="395"/>
      <c r="P1498" s="455"/>
    </row>
    <row r="1499" spans="1:16" s="398" customFormat="1" ht="14">
      <c r="A1499" s="136" t="s">
        <v>8</v>
      </c>
      <c r="B1499" s="637" t="s">
        <v>1123</v>
      </c>
      <c r="C1499" s="137" t="s">
        <v>10</v>
      </c>
      <c r="D1499" s="62"/>
      <c r="E1499" s="62"/>
      <c r="F1499" s="600">
        <v>6992.91</v>
      </c>
      <c r="G1499" s="7">
        <f t="shared" si="325"/>
        <v>0</v>
      </c>
      <c r="H1499" s="7">
        <f t="shared" si="325"/>
        <v>0</v>
      </c>
      <c r="I1499" s="402"/>
      <c r="J1499" s="454" t="s">
        <v>6</v>
      </c>
      <c r="K1499" s="454" t="s">
        <v>107</v>
      </c>
      <c r="L1499" s="454" t="s">
        <v>94</v>
      </c>
      <c r="N1499" s="395"/>
      <c r="P1499" s="455"/>
    </row>
    <row r="1500" spans="1:16" s="398" customFormat="1" ht="14">
      <c r="A1500" s="136" t="s">
        <v>8</v>
      </c>
      <c r="B1500" s="637" t="s">
        <v>1124</v>
      </c>
      <c r="C1500" s="137" t="s">
        <v>10</v>
      </c>
      <c r="D1500" s="62">
        <v>51</v>
      </c>
      <c r="E1500" s="62">
        <v>32</v>
      </c>
      <c r="F1500" s="600">
        <v>8385.0550000000003</v>
      </c>
      <c r="G1500" s="7">
        <f t="shared" si="325"/>
        <v>427637.80499999999</v>
      </c>
      <c r="H1500" s="7">
        <f t="shared" si="325"/>
        <v>268321.76</v>
      </c>
      <c r="I1500" s="402"/>
      <c r="J1500" s="454" t="s">
        <v>6</v>
      </c>
      <c r="K1500" s="454" t="s">
        <v>107</v>
      </c>
      <c r="L1500" s="454" t="s">
        <v>94</v>
      </c>
      <c r="N1500" s="395"/>
      <c r="P1500" s="455"/>
    </row>
    <row r="1501" spans="1:16" s="398" customFormat="1" ht="14">
      <c r="A1501" s="136" t="s">
        <v>8</v>
      </c>
      <c r="B1501" s="637" t="s">
        <v>1125</v>
      </c>
      <c r="C1501" s="137" t="s">
        <v>10</v>
      </c>
      <c r="D1501" s="62"/>
      <c r="E1501" s="62"/>
      <c r="F1501" s="600">
        <v>9777.2000000000007</v>
      </c>
      <c r="G1501" s="7">
        <f t="shared" si="325"/>
        <v>0</v>
      </c>
      <c r="H1501" s="7">
        <f t="shared" si="325"/>
        <v>0</v>
      </c>
      <c r="I1501" s="402"/>
      <c r="J1501" s="454" t="s">
        <v>6</v>
      </c>
      <c r="K1501" s="454" t="s">
        <v>107</v>
      </c>
      <c r="L1501" s="454" t="s">
        <v>94</v>
      </c>
      <c r="N1501" s="395"/>
      <c r="P1501" s="455"/>
    </row>
    <row r="1502" spans="1:16" s="398" customFormat="1" ht="14">
      <c r="A1502" s="133" t="s">
        <v>465</v>
      </c>
      <c r="B1502" s="134" t="s">
        <v>455</v>
      </c>
      <c r="C1502" s="135"/>
      <c r="D1502" s="62"/>
      <c r="E1502" s="62"/>
      <c r="F1502" s="601"/>
      <c r="G1502" s="62"/>
      <c r="H1502" s="62"/>
      <c r="I1502" s="402"/>
      <c r="J1502" s="454"/>
      <c r="K1502" s="454"/>
      <c r="L1502" s="454"/>
      <c r="N1502" s="395"/>
      <c r="P1502" s="455"/>
    </row>
    <row r="1503" spans="1:16" s="398" customFormat="1" ht="14">
      <c r="A1503" s="136" t="s">
        <v>8</v>
      </c>
      <c r="B1503" s="131" t="s">
        <v>456</v>
      </c>
      <c r="C1503" s="137" t="s">
        <v>15</v>
      </c>
      <c r="D1503" s="62">
        <v>51</v>
      </c>
      <c r="E1503" s="62">
        <v>32</v>
      </c>
      <c r="F1503" s="600">
        <v>6.27</v>
      </c>
      <c r="G1503" s="7">
        <f t="shared" ref="G1503:H1506" si="326">D1503*$F1503</f>
        <v>319.77</v>
      </c>
      <c r="H1503" s="7">
        <f t="shared" si="326"/>
        <v>200.64</v>
      </c>
      <c r="I1503" s="402"/>
      <c r="J1503" s="454" t="s">
        <v>6</v>
      </c>
      <c r="K1503" s="454" t="s">
        <v>107</v>
      </c>
      <c r="L1503" s="454" t="s">
        <v>94</v>
      </c>
      <c r="N1503" s="395"/>
      <c r="P1503" s="455"/>
    </row>
    <row r="1504" spans="1:16" s="398" customFormat="1" ht="14">
      <c r="A1504" s="136" t="s">
        <v>8</v>
      </c>
      <c r="B1504" s="131" t="s">
        <v>457</v>
      </c>
      <c r="C1504" s="137" t="s">
        <v>15</v>
      </c>
      <c r="D1504" s="62">
        <v>102</v>
      </c>
      <c r="E1504" s="62">
        <v>64</v>
      </c>
      <c r="F1504" s="600">
        <v>147</v>
      </c>
      <c r="G1504" s="7">
        <f t="shared" si="326"/>
        <v>14994</v>
      </c>
      <c r="H1504" s="7">
        <f t="shared" si="326"/>
        <v>9408</v>
      </c>
      <c r="I1504" s="402"/>
      <c r="J1504" s="454" t="s">
        <v>6</v>
      </c>
      <c r="K1504" s="454" t="s">
        <v>107</v>
      </c>
      <c r="L1504" s="454" t="s">
        <v>94</v>
      </c>
      <c r="N1504" s="395"/>
      <c r="P1504" s="455"/>
    </row>
    <row r="1505" spans="1:16" s="398" customFormat="1" ht="14">
      <c r="A1505" s="124" t="s">
        <v>8</v>
      </c>
      <c r="B1505" s="125" t="s">
        <v>458</v>
      </c>
      <c r="C1505" s="126" t="s">
        <v>15</v>
      </c>
      <c r="D1505" s="62">
        <v>51</v>
      </c>
      <c r="E1505" s="62">
        <v>32</v>
      </c>
      <c r="F1505" s="600">
        <v>10.5</v>
      </c>
      <c r="G1505" s="7">
        <f t="shared" si="326"/>
        <v>535.5</v>
      </c>
      <c r="H1505" s="7">
        <f t="shared" si="326"/>
        <v>336</v>
      </c>
      <c r="I1505" s="402"/>
      <c r="J1505" s="454" t="s">
        <v>6</v>
      </c>
      <c r="K1505" s="454" t="s">
        <v>107</v>
      </c>
      <c r="L1505" s="454" t="s">
        <v>94</v>
      </c>
      <c r="N1505" s="395"/>
      <c r="P1505" s="455"/>
    </row>
    <row r="1506" spans="1:16" s="398" customFormat="1" ht="14">
      <c r="A1506" s="124" t="s">
        <v>8</v>
      </c>
      <c r="B1506" s="125" t="s">
        <v>459</v>
      </c>
      <c r="C1506" s="126" t="s">
        <v>15</v>
      </c>
      <c r="D1506" s="62">
        <v>51</v>
      </c>
      <c r="E1506" s="62">
        <v>32</v>
      </c>
      <c r="F1506" s="600">
        <v>2.9</v>
      </c>
      <c r="G1506" s="7">
        <f t="shared" si="326"/>
        <v>147.9</v>
      </c>
      <c r="H1506" s="7">
        <f t="shared" si="326"/>
        <v>92.8</v>
      </c>
      <c r="I1506" s="402"/>
      <c r="J1506" s="454" t="s">
        <v>6</v>
      </c>
      <c r="K1506" s="454" t="s">
        <v>107</v>
      </c>
      <c r="L1506" s="454" t="s">
        <v>94</v>
      </c>
      <c r="N1506" s="395"/>
      <c r="P1506" s="455"/>
    </row>
    <row r="1507" spans="1:16" s="452" customFormat="1">
      <c r="A1507" s="444">
        <v>2</v>
      </c>
      <c r="B1507" s="445" t="s">
        <v>466</v>
      </c>
      <c r="C1507" s="446"/>
      <c r="D1507" s="447">
        <v>8</v>
      </c>
      <c r="E1507" s="447">
        <v>57</v>
      </c>
      <c r="F1507" s="447"/>
      <c r="G1507" s="447">
        <f>SUBTOTAL(9,G1508:G1549)</f>
        <v>96935.2</v>
      </c>
      <c r="H1507" s="447">
        <f>SUBTOTAL(9,H1508:H1549)</f>
        <v>690663.3</v>
      </c>
      <c r="I1507" s="448"/>
      <c r="J1507" s="449"/>
      <c r="K1507" s="449"/>
      <c r="L1507" s="449"/>
      <c r="N1507" s="451"/>
      <c r="P1507" s="450"/>
    </row>
    <row r="1508" spans="1:16" s="452" customFormat="1">
      <c r="A1508" s="444">
        <v>2.1</v>
      </c>
      <c r="B1508" s="445" t="s">
        <v>467</v>
      </c>
      <c r="C1508" s="446"/>
      <c r="D1508" s="447">
        <v>8</v>
      </c>
      <c r="E1508" s="447">
        <v>57</v>
      </c>
      <c r="F1508" s="447"/>
      <c r="G1508" s="447">
        <f>SUBTOTAL(9,G1509:G1524)</f>
        <v>96935.2</v>
      </c>
      <c r="H1508" s="447">
        <f>SUBTOTAL(9,H1509:H1524)</f>
        <v>690663.3</v>
      </c>
      <c r="I1508" s="448"/>
      <c r="J1508" s="449"/>
      <c r="K1508" s="449"/>
      <c r="L1508" s="449"/>
      <c r="N1508" s="451"/>
      <c r="P1508" s="450"/>
    </row>
    <row r="1509" spans="1:16" s="398" customFormat="1" ht="14">
      <c r="A1509" s="133" t="s">
        <v>392</v>
      </c>
      <c r="B1509" s="134" t="s">
        <v>438</v>
      </c>
      <c r="C1509" s="135"/>
      <c r="D1509" s="453"/>
      <c r="E1509" s="453"/>
      <c r="F1509" s="601"/>
      <c r="G1509" s="62"/>
      <c r="H1509" s="62"/>
      <c r="I1509" s="402"/>
      <c r="J1509" s="454"/>
      <c r="K1509" s="454"/>
      <c r="L1509" s="454"/>
      <c r="N1509" s="395"/>
      <c r="P1509" s="455"/>
    </row>
    <row r="1510" spans="1:16" s="398" customFormat="1" ht="14">
      <c r="A1510" s="136" t="s">
        <v>8</v>
      </c>
      <c r="B1510" s="131" t="s">
        <v>439</v>
      </c>
      <c r="C1510" s="137" t="s">
        <v>126</v>
      </c>
      <c r="D1510" s="62">
        <v>32</v>
      </c>
      <c r="E1510" s="62">
        <v>228</v>
      </c>
      <c r="F1510" s="600">
        <v>495.5</v>
      </c>
      <c r="G1510" s="7">
        <f t="shared" ref="G1510:H1511" si="327">D1510*$F1510</f>
        <v>15856</v>
      </c>
      <c r="H1510" s="7">
        <f t="shared" si="327"/>
        <v>112974</v>
      </c>
      <c r="I1510" s="13"/>
      <c r="J1510" s="454" t="s">
        <v>6</v>
      </c>
      <c r="K1510" s="454" t="s">
        <v>108</v>
      </c>
      <c r="L1510" s="454" t="s">
        <v>94</v>
      </c>
      <c r="N1510" s="395"/>
      <c r="P1510" s="455"/>
    </row>
    <row r="1511" spans="1:16" s="398" customFormat="1" ht="14">
      <c r="A1511" s="136" t="s">
        <v>8</v>
      </c>
      <c r="B1511" s="131" t="s">
        <v>440</v>
      </c>
      <c r="C1511" s="137" t="s">
        <v>31</v>
      </c>
      <c r="D1511" s="62">
        <v>8</v>
      </c>
      <c r="E1511" s="62">
        <v>57</v>
      </c>
      <c r="F1511" s="600">
        <v>756</v>
      </c>
      <c r="G1511" s="7">
        <f t="shared" si="327"/>
        <v>6048</v>
      </c>
      <c r="H1511" s="7">
        <f t="shared" si="327"/>
        <v>43092</v>
      </c>
      <c r="I1511" s="13"/>
      <c r="J1511" s="454" t="s">
        <v>6</v>
      </c>
      <c r="K1511" s="454" t="s">
        <v>108</v>
      </c>
      <c r="L1511" s="454" t="s">
        <v>94</v>
      </c>
      <c r="N1511" s="395"/>
      <c r="P1511" s="455"/>
    </row>
    <row r="1512" spans="1:16" s="398" customFormat="1" ht="14">
      <c r="A1512" s="133" t="s">
        <v>393</v>
      </c>
      <c r="B1512" s="134" t="s">
        <v>442</v>
      </c>
      <c r="C1512" s="135"/>
      <c r="D1512" s="62"/>
      <c r="E1512" s="62"/>
      <c r="F1512" s="601"/>
      <c r="G1512" s="62"/>
      <c r="H1512" s="62"/>
      <c r="I1512" s="13"/>
      <c r="J1512" s="454"/>
      <c r="K1512" s="454"/>
      <c r="L1512" s="454"/>
      <c r="N1512" s="395"/>
      <c r="P1512" s="455"/>
    </row>
    <row r="1513" spans="1:16" s="398" customFormat="1" ht="14">
      <c r="A1513" s="136" t="s">
        <v>8</v>
      </c>
      <c r="B1513" s="131" t="s">
        <v>443</v>
      </c>
      <c r="C1513" s="137" t="s">
        <v>544</v>
      </c>
      <c r="D1513" s="62">
        <v>8</v>
      </c>
      <c r="E1513" s="62">
        <v>57</v>
      </c>
      <c r="F1513" s="600">
        <v>5420</v>
      </c>
      <c r="G1513" s="7">
        <f t="shared" ref="G1513:H1513" si="328">D1513*$F1513</f>
        <v>43360</v>
      </c>
      <c r="H1513" s="7">
        <f t="shared" si="328"/>
        <v>308940</v>
      </c>
      <c r="I1513" s="13"/>
      <c r="J1513" s="454" t="s">
        <v>6</v>
      </c>
      <c r="K1513" s="454" t="s">
        <v>108</v>
      </c>
      <c r="L1513" s="454" t="s">
        <v>94</v>
      </c>
      <c r="N1513" s="395"/>
      <c r="P1513" s="455"/>
    </row>
    <row r="1514" spans="1:16" s="398" customFormat="1" ht="14">
      <c r="A1514" s="133" t="s">
        <v>394</v>
      </c>
      <c r="B1514" s="134" t="s">
        <v>445</v>
      </c>
      <c r="C1514" s="135"/>
      <c r="D1514" s="62"/>
      <c r="E1514" s="62"/>
      <c r="F1514" s="601"/>
      <c r="G1514" s="62"/>
      <c r="H1514" s="62"/>
      <c r="I1514" s="13"/>
      <c r="J1514" s="454"/>
      <c r="K1514" s="454"/>
      <c r="L1514" s="454"/>
      <c r="N1514" s="395"/>
      <c r="P1514" s="455"/>
    </row>
    <row r="1515" spans="1:16" s="398" customFormat="1" ht="14">
      <c r="A1515" s="136" t="s">
        <v>8</v>
      </c>
      <c r="B1515" s="131" t="s">
        <v>446</v>
      </c>
      <c r="C1515" s="137" t="s">
        <v>24</v>
      </c>
      <c r="D1515" s="62">
        <v>8</v>
      </c>
      <c r="E1515" s="62">
        <v>57</v>
      </c>
      <c r="F1515" s="600">
        <v>781</v>
      </c>
      <c r="G1515" s="7">
        <f t="shared" ref="G1515" si="329">D1515*$F1515</f>
        <v>6248</v>
      </c>
      <c r="H1515" s="7">
        <f>E1515*$F1515</f>
        <v>44517</v>
      </c>
      <c r="I1515" s="13"/>
      <c r="J1515" s="454" t="s">
        <v>6</v>
      </c>
      <c r="K1515" s="454" t="s">
        <v>108</v>
      </c>
      <c r="L1515" s="454" t="s">
        <v>94</v>
      </c>
      <c r="N1515" s="395"/>
      <c r="P1515" s="455"/>
    </row>
    <row r="1516" spans="1:16" s="398" customFormat="1" ht="14">
      <c r="A1516" s="133" t="s">
        <v>468</v>
      </c>
      <c r="B1516" s="134" t="s">
        <v>449</v>
      </c>
      <c r="C1516" s="135"/>
      <c r="D1516" s="62"/>
      <c r="E1516" s="62"/>
      <c r="F1516" s="601"/>
      <c r="G1516" s="62"/>
      <c r="H1516" s="62"/>
      <c r="I1516" s="13"/>
      <c r="J1516" s="454"/>
      <c r="K1516" s="454"/>
      <c r="L1516" s="454"/>
      <c r="N1516" s="395"/>
      <c r="P1516" s="455"/>
    </row>
    <row r="1517" spans="1:16" s="398" customFormat="1" ht="14">
      <c r="A1517" s="136" t="s">
        <v>8</v>
      </c>
      <c r="B1517" s="131" t="s">
        <v>450</v>
      </c>
      <c r="C1517" s="137" t="s">
        <v>31</v>
      </c>
      <c r="D1517" s="62">
        <v>8</v>
      </c>
      <c r="E1517" s="62">
        <v>57</v>
      </c>
      <c r="F1517" s="600">
        <v>1437.67</v>
      </c>
      <c r="G1517" s="7">
        <f t="shared" ref="G1517:H1518" si="330">D1517*$F1517</f>
        <v>11501.36</v>
      </c>
      <c r="H1517" s="7">
        <f t="shared" si="330"/>
        <v>81947.19</v>
      </c>
      <c r="I1517" s="13"/>
      <c r="J1517" s="454" t="s">
        <v>6</v>
      </c>
      <c r="K1517" s="454" t="s">
        <v>108</v>
      </c>
      <c r="L1517" s="454" t="s">
        <v>94</v>
      </c>
      <c r="N1517" s="395"/>
      <c r="P1517" s="455"/>
    </row>
    <row r="1518" spans="1:16" s="398" customFormat="1" ht="14">
      <c r="A1518" s="136" t="s">
        <v>8</v>
      </c>
      <c r="B1518" s="131" t="s">
        <v>451</v>
      </c>
      <c r="C1518" s="137" t="s">
        <v>15</v>
      </c>
      <c r="D1518" s="62">
        <v>16</v>
      </c>
      <c r="E1518" s="62">
        <v>114</v>
      </c>
      <c r="F1518" s="600">
        <v>116.78</v>
      </c>
      <c r="G1518" s="7">
        <f t="shared" si="330"/>
        <v>1868.48</v>
      </c>
      <c r="H1518" s="7">
        <f t="shared" si="330"/>
        <v>13312.92</v>
      </c>
      <c r="I1518" s="13"/>
      <c r="J1518" s="454" t="s">
        <v>6</v>
      </c>
      <c r="K1518" s="454" t="s">
        <v>108</v>
      </c>
      <c r="L1518" s="454" t="s">
        <v>94</v>
      </c>
      <c r="N1518" s="395"/>
      <c r="P1518" s="455"/>
    </row>
    <row r="1519" spans="1:16" s="398" customFormat="1" ht="14">
      <c r="A1519" s="133" t="s">
        <v>469</v>
      </c>
      <c r="B1519" s="134" t="s">
        <v>455</v>
      </c>
      <c r="C1519" s="135"/>
      <c r="D1519" s="62"/>
      <c r="E1519" s="62"/>
      <c r="F1519" s="601"/>
      <c r="G1519" s="62"/>
      <c r="H1519" s="62"/>
      <c r="I1519" s="13"/>
      <c r="J1519" s="454"/>
      <c r="K1519" s="454"/>
      <c r="L1519" s="454"/>
      <c r="N1519" s="395"/>
      <c r="P1519" s="455"/>
    </row>
    <row r="1520" spans="1:16" s="398" customFormat="1" ht="14">
      <c r="A1520" s="136" t="s">
        <v>8</v>
      </c>
      <c r="B1520" s="131" t="s">
        <v>456</v>
      </c>
      <c r="C1520" s="137" t="s">
        <v>15</v>
      </c>
      <c r="D1520" s="62">
        <v>8</v>
      </c>
      <c r="E1520" s="62">
        <v>57</v>
      </c>
      <c r="F1520" s="636">
        <v>6.27</v>
      </c>
      <c r="G1520" s="7">
        <f t="shared" ref="G1520:H1524" si="331">D1520*$F1520</f>
        <v>50.16</v>
      </c>
      <c r="H1520" s="7">
        <f t="shared" si="331"/>
        <v>357.39</v>
      </c>
      <c r="I1520" s="13"/>
      <c r="J1520" s="454" t="s">
        <v>6</v>
      </c>
      <c r="K1520" s="454" t="s">
        <v>108</v>
      </c>
      <c r="L1520" s="454" t="s">
        <v>94</v>
      </c>
      <c r="N1520" s="395"/>
      <c r="P1520" s="455"/>
    </row>
    <row r="1521" spans="1:16" s="398" customFormat="1" ht="14">
      <c r="A1521" s="136" t="s">
        <v>8</v>
      </c>
      <c r="B1521" s="131" t="s">
        <v>457</v>
      </c>
      <c r="C1521" s="137" t="s">
        <v>15</v>
      </c>
      <c r="D1521" s="62">
        <v>8</v>
      </c>
      <c r="E1521" s="62">
        <v>57</v>
      </c>
      <c r="F1521" s="600">
        <v>147</v>
      </c>
      <c r="G1521" s="7">
        <f t="shared" si="331"/>
        <v>1176</v>
      </c>
      <c r="H1521" s="7">
        <f t="shared" si="331"/>
        <v>8379</v>
      </c>
      <c r="I1521" s="13"/>
      <c r="J1521" s="454" t="s">
        <v>6</v>
      </c>
      <c r="K1521" s="454" t="s">
        <v>108</v>
      </c>
      <c r="L1521" s="454" t="s">
        <v>94</v>
      </c>
      <c r="N1521" s="395"/>
      <c r="P1521" s="455"/>
    </row>
    <row r="1522" spans="1:16" s="398" customFormat="1" ht="14">
      <c r="A1522" s="124" t="s">
        <v>8</v>
      </c>
      <c r="B1522" s="125" t="s">
        <v>458</v>
      </c>
      <c r="C1522" s="126" t="s">
        <v>15</v>
      </c>
      <c r="D1522" s="62">
        <v>8</v>
      </c>
      <c r="E1522" s="62">
        <v>57</v>
      </c>
      <c r="F1522" s="600">
        <v>10.5</v>
      </c>
      <c r="G1522" s="7">
        <f t="shared" si="331"/>
        <v>84</v>
      </c>
      <c r="H1522" s="7">
        <f t="shared" si="331"/>
        <v>598.5</v>
      </c>
      <c r="I1522" s="13"/>
      <c r="J1522" s="454" t="s">
        <v>6</v>
      </c>
      <c r="K1522" s="454" t="s">
        <v>108</v>
      </c>
      <c r="L1522" s="454" t="s">
        <v>94</v>
      </c>
      <c r="N1522" s="395"/>
      <c r="P1522" s="455"/>
    </row>
    <row r="1523" spans="1:16" s="398" customFormat="1" ht="14">
      <c r="A1523" s="124" t="s">
        <v>8</v>
      </c>
      <c r="B1523" s="125" t="s">
        <v>459</v>
      </c>
      <c r="C1523" s="126" t="s">
        <v>15</v>
      </c>
      <c r="D1523" s="62">
        <v>8</v>
      </c>
      <c r="E1523" s="62">
        <v>57</v>
      </c>
      <c r="F1523" s="600">
        <v>2.9</v>
      </c>
      <c r="G1523" s="7">
        <f t="shared" si="331"/>
        <v>23.2</v>
      </c>
      <c r="H1523" s="7">
        <f t="shared" si="331"/>
        <v>165.29999999999998</v>
      </c>
      <c r="I1523" s="13"/>
      <c r="J1523" s="454" t="s">
        <v>6</v>
      </c>
      <c r="K1523" s="454" t="s">
        <v>108</v>
      </c>
      <c r="L1523" s="454" t="s">
        <v>94</v>
      </c>
      <c r="N1523" s="395"/>
      <c r="P1523" s="455"/>
    </row>
    <row r="1524" spans="1:16" s="398" customFormat="1" ht="14">
      <c r="A1524" s="121" t="s">
        <v>454</v>
      </c>
      <c r="B1524" s="637" t="s">
        <v>1116</v>
      </c>
      <c r="C1524" s="638" t="s">
        <v>1117</v>
      </c>
      <c r="D1524" s="62">
        <v>8</v>
      </c>
      <c r="E1524" s="62">
        <v>57</v>
      </c>
      <c r="F1524" s="600">
        <v>1340</v>
      </c>
      <c r="G1524" s="7">
        <f t="shared" si="331"/>
        <v>10720</v>
      </c>
      <c r="H1524" s="7">
        <f t="shared" si="331"/>
        <v>76380</v>
      </c>
      <c r="I1524" s="13"/>
      <c r="J1524" s="454" t="s">
        <v>6</v>
      </c>
      <c r="K1524" s="454" t="s">
        <v>108</v>
      </c>
      <c r="L1524" s="454" t="s">
        <v>94</v>
      </c>
      <c r="N1524" s="395"/>
      <c r="P1524" s="455"/>
    </row>
    <row r="1525" spans="1:16" s="452" customFormat="1" ht="14">
      <c r="A1525" s="138" t="s">
        <v>471</v>
      </c>
      <c r="B1525" s="139" t="s">
        <v>472</v>
      </c>
      <c r="C1525" s="140"/>
      <c r="D1525" s="447">
        <v>0</v>
      </c>
      <c r="E1525" s="447">
        <v>0</v>
      </c>
      <c r="F1525" s="447"/>
      <c r="G1525" s="447">
        <f>SUBTOTAL(9,G1526:G1549)</f>
        <v>0</v>
      </c>
      <c r="H1525" s="447">
        <f>SUBTOTAL(9,H1526:H1549)</f>
        <v>0</v>
      </c>
      <c r="I1525" s="448"/>
      <c r="J1525" s="449"/>
      <c r="K1525" s="449"/>
      <c r="L1525" s="449"/>
      <c r="N1525" s="451"/>
      <c r="P1525" s="450"/>
    </row>
    <row r="1526" spans="1:16" s="398" customFormat="1" ht="14">
      <c r="A1526" s="133" t="s">
        <v>395</v>
      </c>
      <c r="B1526" s="134" t="s">
        <v>438</v>
      </c>
      <c r="C1526" s="135"/>
      <c r="D1526" s="453"/>
      <c r="E1526" s="453"/>
      <c r="F1526" s="601"/>
      <c r="G1526" s="62"/>
      <c r="H1526" s="62"/>
      <c r="I1526" s="402"/>
      <c r="J1526" s="454"/>
      <c r="K1526" s="454"/>
      <c r="L1526" s="454"/>
      <c r="N1526" s="395"/>
      <c r="P1526" s="455"/>
    </row>
    <row r="1527" spans="1:16" s="398" customFormat="1" ht="14">
      <c r="A1527" s="136" t="s">
        <v>8</v>
      </c>
      <c r="B1527" s="131" t="s">
        <v>439</v>
      </c>
      <c r="C1527" s="137" t="s">
        <v>126</v>
      </c>
      <c r="D1527" s="62"/>
      <c r="E1527" s="62">
        <v>0</v>
      </c>
      <c r="F1527" s="600">
        <v>495.5</v>
      </c>
      <c r="G1527" s="7">
        <f t="shared" ref="G1527:H1528" si="332">D1527*$F1527</f>
        <v>0</v>
      </c>
      <c r="H1527" s="7">
        <f t="shared" si="332"/>
        <v>0</v>
      </c>
      <c r="I1527" s="402"/>
      <c r="J1527" s="454" t="s">
        <v>6</v>
      </c>
      <c r="K1527" s="454" t="s">
        <v>108</v>
      </c>
      <c r="L1527" s="454" t="s">
        <v>94</v>
      </c>
      <c r="N1527" s="395"/>
      <c r="P1527" s="455"/>
    </row>
    <row r="1528" spans="1:16" s="398" customFormat="1" ht="14">
      <c r="A1528" s="136" t="s">
        <v>8</v>
      </c>
      <c r="B1528" s="131" t="s">
        <v>440</v>
      </c>
      <c r="C1528" s="137" t="s">
        <v>31</v>
      </c>
      <c r="D1528" s="62"/>
      <c r="E1528" s="62">
        <v>0</v>
      </c>
      <c r="F1528" s="600">
        <v>756</v>
      </c>
      <c r="G1528" s="7">
        <f t="shared" si="332"/>
        <v>0</v>
      </c>
      <c r="H1528" s="7">
        <f t="shared" si="332"/>
        <v>0</v>
      </c>
      <c r="I1528" s="402"/>
      <c r="J1528" s="454" t="s">
        <v>6</v>
      </c>
      <c r="K1528" s="454" t="s">
        <v>108</v>
      </c>
      <c r="L1528" s="454" t="s">
        <v>94</v>
      </c>
      <c r="N1528" s="395"/>
      <c r="P1528" s="455"/>
    </row>
    <row r="1529" spans="1:16" s="398" customFormat="1" ht="14">
      <c r="A1529" s="133" t="s">
        <v>396</v>
      </c>
      <c r="B1529" s="134" t="s">
        <v>442</v>
      </c>
      <c r="C1529" s="135"/>
      <c r="D1529" s="62"/>
      <c r="E1529" s="62"/>
      <c r="F1529" s="601"/>
      <c r="G1529" s="62"/>
      <c r="H1529" s="62"/>
      <c r="I1529" s="402"/>
      <c r="J1529" s="454"/>
      <c r="K1529" s="454"/>
      <c r="L1529" s="454"/>
      <c r="N1529" s="395"/>
      <c r="P1529" s="455"/>
    </row>
    <row r="1530" spans="1:16" s="398" customFormat="1" ht="14">
      <c r="A1530" s="136" t="s">
        <v>8</v>
      </c>
      <c r="B1530" s="131" t="s">
        <v>443</v>
      </c>
      <c r="C1530" s="137" t="s">
        <v>544</v>
      </c>
      <c r="D1530" s="62"/>
      <c r="E1530" s="62">
        <v>0</v>
      </c>
      <c r="F1530" s="600">
        <v>5420</v>
      </c>
      <c r="G1530" s="7">
        <f t="shared" ref="G1530:H1531" si="333">D1530*$F1530</f>
        <v>0</v>
      </c>
      <c r="H1530" s="7">
        <f t="shared" si="333"/>
        <v>0</v>
      </c>
      <c r="I1530" s="402"/>
      <c r="J1530" s="454" t="s">
        <v>6</v>
      </c>
      <c r="K1530" s="454" t="s">
        <v>108</v>
      </c>
      <c r="L1530" s="454" t="s">
        <v>94</v>
      </c>
      <c r="N1530" s="395"/>
      <c r="P1530" s="455"/>
    </row>
    <row r="1531" spans="1:16" s="398" customFormat="1" ht="14">
      <c r="A1531" s="136" t="s">
        <v>8</v>
      </c>
      <c r="B1531" s="633" t="s">
        <v>1114</v>
      </c>
      <c r="C1531" s="137" t="s">
        <v>544</v>
      </c>
      <c r="D1531" s="62"/>
      <c r="E1531" s="62"/>
      <c r="F1531" s="634">
        <v>9350</v>
      </c>
      <c r="G1531" s="7">
        <f t="shared" si="333"/>
        <v>0</v>
      </c>
      <c r="H1531" s="7">
        <f t="shared" si="333"/>
        <v>0</v>
      </c>
      <c r="I1531" s="402"/>
      <c r="J1531" s="454" t="s">
        <v>6</v>
      </c>
      <c r="K1531" s="454" t="s">
        <v>108</v>
      </c>
      <c r="L1531" s="454" t="s">
        <v>94</v>
      </c>
      <c r="N1531" s="395"/>
      <c r="P1531" s="455"/>
    </row>
    <row r="1532" spans="1:16" s="398" customFormat="1" ht="14">
      <c r="A1532" s="133" t="s">
        <v>397</v>
      </c>
      <c r="B1532" s="134" t="s">
        <v>448</v>
      </c>
      <c r="C1532" s="135"/>
      <c r="D1532" s="62"/>
      <c r="E1532" s="62"/>
      <c r="F1532" s="639"/>
      <c r="G1532" s="62"/>
      <c r="H1532" s="62"/>
      <c r="I1532" s="402"/>
      <c r="J1532" s="454"/>
      <c r="K1532" s="454"/>
      <c r="L1532" s="454"/>
      <c r="N1532" s="395"/>
      <c r="P1532" s="455"/>
    </row>
    <row r="1533" spans="1:16" s="398" customFormat="1" ht="14">
      <c r="A1533" s="133" t="s">
        <v>473</v>
      </c>
      <c r="B1533" s="134" t="s">
        <v>449</v>
      </c>
      <c r="C1533" s="135"/>
      <c r="D1533" s="62"/>
      <c r="E1533" s="62"/>
      <c r="F1533" s="601"/>
      <c r="G1533" s="62"/>
      <c r="H1533" s="62"/>
      <c r="I1533" s="402"/>
      <c r="J1533" s="454"/>
      <c r="K1533" s="454"/>
      <c r="L1533" s="454"/>
      <c r="N1533" s="395"/>
      <c r="P1533" s="455"/>
    </row>
    <row r="1534" spans="1:16" s="398" customFormat="1" ht="14">
      <c r="A1534" s="136" t="s">
        <v>8</v>
      </c>
      <c r="B1534" s="131" t="s">
        <v>450</v>
      </c>
      <c r="C1534" s="137" t="s">
        <v>31</v>
      </c>
      <c r="D1534" s="62"/>
      <c r="E1534" s="62">
        <v>0</v>
      </c>
      <c r="F1534" s="600">
        <v>1437.67</v>
      </c>
      <c r="G1534" s="7">
        <f t="shared" ref="G1534:H1536" si="334">D1534*$F1534</f>
        <v>0</v>
      </c>
      <c r="H1534" s="7">
        <f t="shared" si="334"/>
        <v>0</v>
      </c>
      <c r="I1534" s="402"/>
      <c r="J1534" s="454" t="s">
        <v>6</v>
      </c>
      <c r="K1534" s="454" t="s">
        <v>108</v>
      </c>
      <c r="L1534" s="454" t="s">
        <v>94</v>
      </c>
      <c r="N1534" s="395"/>
      <c r="P1534" s="455"/>
    </row>
    <row r="1535" spans="1:16" s="398" customFormat="1" ht="14">
      <c r="A1535" s="136" t="s">
        <v>8</v>
      </c>
      <c r="B1535" s="131" t="s">
        <v>451</v>
      </c>
      <c r="C1535" s="137" t="s">
        <v>15</v>
      </c>
      <c r="D1535" s="62"/>
      <c r="E1535" s="62">
        <v>0</v>
      </c>
      <c r="F1535" s="600">
        <v>116.78</v>
      </c>
      <c r="G1535" s="7">
        <f t="shared" si="334"/>
        <v>0</v>
      </c>
      <c r="H1535" s="7">
        <f t="shared" si="334"/>
        <v>0</v>
      </c>
      <c r="I1535" s="402"/>
      <c r="J1535" s="454" t="s">
        <v>6</v>
      </c>
      <c r="K1535" s="454" t="s">
        <v>108</v>
      </c>
      <c r="L1535" s="454" t="s">
        <v>94</v>
      </c>
      <c r="N1535" s="395"/>
      <c r="P1535" s="455"/>
    </row>
    <row r="1536" spans="1:16" s="398" customFormat="1" ht="14">
      <c r="A1536" s="136" t="s">
        <v>8</v>
      </c>
      <c r="B1536" s="131" t="s">
        <v>1118</v>
      </c>
      <c r="C1536" s="137" t="s">
        <v>15</v>
      </c>
      <c r="D1536" s="62"/>
      <c r="E1536" s="62">
        <v>0</v>
      </c>
      <c r="F1536" s="600">
        <v>248.47</v>
      </c>
      <c r="G1536" s="7">
        <f t="shared" si="334"/>
        <v>0</v>
      </c>
      <c r="H1536" s="7">
        <f t="shared" si="334"/>
        <v>0</v>
      </c>
      <c r="I1536" s="402"/>
      <c r="J1536" s="454" t="s">
        <v>6</v>
      </c>
      <c r="K1536" s="454" t="s">
        <v>108</v>
      </c>
      <c r="L1536" s="454" t="s">
        <v>94</v>
      </c>
      <c r="N1536" s="395"/>
      <c r="P1536" s="455"/>
    </row>
    <row r="1537" spans="1:16" s="398" customFormat="1" ht="14">
      <c r="A1537" s="133" t="s">
        <v>474</v>
      </c>
      <c r="B1537" s="134" t="s">
        <v>453</v>
      </c>
      <c r="C1537" s="135"/>
      <c r="D1537" s="62"/>
      <c r="E1537" s="62"/>
      <c r="F1537" s="601"/>
      <c r="G1537" s="62"/>
      <c r="H1537" s="62"/>
      <c r="I1537" s="402"/>
      <c r="J1537" s="454"/>
      <c r="K1537" s="454"/>
      <c r="L1537" s="454"/>
      <c r="N1537" s="395"/>
      <c r="P1537" s="455"/>
    </row>
    <row r="1538" spans="1:16" s="398" customFormat="1" ht="14">
      <c r="A1538" s="136" t="s">
        <v>8</v>
      </c>
      <c r="B1538" s="131" t="s">
        <v>1119</v>
      </c>
      <c r="C1538" s="137" t="s">
        <v>10</v>
      </c>
      <c r="D1538" s="62"/>
      <c r="E1538" s="62"/>
      <c r="F1538" s="600">
        <v>2784.29</v>
      </c>
      <c r="G1538" s="7">
        <f t="shared" ref="G1538:H1544" si="335">D1538*$F1538</f>
        <v>0</v>
      </c>
      <c r="H1538" s="7">
        <f t="shared" si="335"/>
        <v>0</v>
      </c>
      <c r="I1538" s="402"/>
      <c r="J1538" s="454" t="s">
        <v>6</v>
      </c>
      <c r="K1538" s="454" t="s">
        <v>108</v>
      </c>
      <c r="L1538" s="454" t="s">
        <v>94</v>
      </c>
      <c r="N1538" s="395"/>
      <c r="P1538" s="455"/>
    </row>
    <row r="1539" spans="1:16" s="398" customFormat="1" ht="14">
      <c r="A1539" s="136" t="s">
        <v>8</v>
      </c>
      <c r="B1539" s="131" t="s">
        <v>1120</v>
      </c>
      <c r="C1539" s="137" t="s">
        <v>10</v>
      </c>
      <c r="D1539" s="62"/>
      <c r="E1539" s="62"/>
      <c r="F1539" s="600">
        <v>3670.27</v>
      </c>
      <c r="G1539" s="7">
        <f t="shared" si="335"/>
        <v>0</v>
      </c>
      <c r="H1539" s="7">
        <f t="shared" si="335"/>
        <v>0</v>
      </c>
      <c r="I1539" s="402"/>
      <c r="J1539" s="454" t="s">
        <v>6</v>
      </c>
      <c r="K1539" s="454" t="s">
        <v>108</v>
      </c>
      <c r="L1539" s="454" t="s">
        <v>94</v>
      </c>
      <c r="N1539" s="395"/>
      <c r="P1539" s="455"/>
    </row>
    <row r="1540" spans="1:16" s="398" customFormat="1" ht="14">
      <c r="A1540" s="136" t="s">
        <v>8</v>
      </c>
      <c r="B1540" s="637" t="s">
        <v>1121</v>
      </c>
      <c r="C1540" s="137" t="s">
        <v>10</v>
      </c>
      <c r="D1540" s="62"/>
      <c r="E1540" s="62"/>
      <c r="F1540" s="600">
        <v>4854.03</v>
      </c>
      <c r="G1540" s="7">
        <f t="shared" si="335"/>
        <v>0</v>
      </c>
      <c r="H1540" s="7">
        <f t="shared" si="335"/>
        <v>0</v>
      </c>
      <c r="I1540" s="402"/>
      <c r="J1540" s="454" t="s">
        <v>6</v>
      </c>
      <c r="K1540" s="454" t="s">
        <v>108</v>
      </c>
      <c r="L1540" s="454" t="s">
        <v>94</v>
      </c>
      <c r="N1540" s="395"/>
      <c r="P1540" s="455"/>
    </row>
    <row r="1541" spans="1:16" s="398" customFormat="1" ht="14">
      <c r="A1541" s="136" t="s">
        <v>8</v>
      </c>
      <c r="B1541" s="637" t="s">
        <v>1122</v>
      </c>
      <c r="C1541" s="137" t="s">
        <v>10</v>
      </c>
      <c r="D1541" s="62"/>
      <c r="E1541" s="62"/>
      <c r="F1541" s="600">
        <v>6184.6900000000005</v>
      </c>
      <c r="G1541" s="7">
        <f t="shared" si="335"/>
        <v>0</v>
      </c>
      <c r="H1541" s="7">
        <f t="shared" si="335"/>
        <v>0</v>
      </c>
      <c r="I1541" s="402"/>
      <c r="J1541" s="454" t="s">
        <v>6</v>
      </c>
      <c r="K1541" s="454" t="s">
        <v>108</v>
      </c>
      <c r="L1541" s="454" t="s">
        <v>94</v>
      </c>
      <c r="N1541" s="395"/>
      <c r="P1541" s="455"/>
    </row>
    <row r="1542" spans="1:16" s="398" customFormat="1" ht="14">
      <c r="A1542" s="136" t="s">
        <v>8</v>
      </c>
      <c r="B1542" s="637" t="s">
        <v>1123</v>
      </c>
      <c r="C1542" s="137" t="s">
        <v>10</v>
      </c>
      <c r="D1542" s="62"/>
      <c r="E1542" s="62"/>
      <c r="F1542" s="600">
        <v>6992.91</v>
      </c>
      <c r="G1542" s="7">
        <f t="shared" si="335"/>
        <v>0</v>
      </c>
      <c r="H1542" s="7">
        <f t="shared" si="335"/>
        <v>0</v>
      </c>
      <c r="I1542" s="402"/>
      <c r="J1542" s="454" t="s">
        <v>6</v>
      </c>
      <c r="K1542" s="454" t="s">
        <v>108</v>
      </c>
      <c r="L1542" s="454" t="s">
        <v>94</v>
      </c>
      <c r="N1542" s="395"/>
      <c r="P1542" s="455"/>
    </row>
    <row r="1543" spans="1:16" s="398" customFormat="1" ht="14">
      <c r="A1543" s="136" t="s">
        <v>8</v>
      </c>
      <c r="B1543" s="637" t="s">
        <v>1124</v>
      </c>
      <c r="C1543" s="137" t="s">
        <v>10</v>
      </c>
      <c r="D1543" s="62"/>
      <c r="E1543" s="62"/>
      <c r="F1543" s="600">
        <v>8385.0550000000003</v>
      </c>
      <c r="G1543" s="7">
        <f t="shared" si="335"/>
        <v>0</v>
      </c>
      <c r="H1543" s="7">
        <f t="shared" si="335"/>
        <v>0</v>
      </c>
      <c r="I1543" s="402"/>
      <c r="J1543" s="454" t="s">
        <v>6</v>
      </c>
      <c r="K1543" s="454" t="s">
        <v>108</v>
      </c>
      <c r="L1543" s="454" t="s">
        <v>94</v>
      </c>
      <c r="N1543" s="395"/>
      <c r="P1543" s="455"/>
    </row>
    <row r="1544" spans="1:16" s="398" customFormat="1" ht="14">
      <c r="A1544" s="136" t="s">
        <v>8</v>
      </c>
      <c r="B1544" s="637" t="s">
        <v>1125</v>
      </c>
      <c r="C1544" s="137" t="s">
        <v>10</v>
      </c>
      <c r="D1544" s="62"/>
      <c r="E1544" s="62">
        <v>0</v>
      </c>
      <c r="F1544" s="600">
        <v>9777.2000000000007</v>
      </c>
      <c r="G1544" s="7">
        <f t="shared" si="335"/>
        <v>0</v>
      </c>
      <c r="H1544" s="7">
        <f t="shared" si="335"/>
        <v>0</v>
      </c>
      <c r="I1544" s="402"/>
      <c r="J1544" s="454" t="s">
        <v>6</v>
      </c>
      <c r="K1544" s="454" t="s">
        <v>108</v>
      </c>
      <c r="L1544" s="454" t="s">
        <v>94</v>
      </c>
      <c r="N1544" s="395"/>
      <c r="P1544" s="455"/>
    </row>
    <row r="1545" spans="1:16" s="398" customFormat="1" ht="14">
      <c r="A1545" s="133" t="s">
        <v>475</v>
      </c>
      <c r="B1545" s="134" t="s">
        <v>455</v>
      </c>
      <c r="C1545" s="135"/>
      <c r="D1545" s="62"/>
      <c r="E1545" s="62"/>
      <c r="F1545" s="601"/>
      <c r="G1545" s="62"/>
      <c r="H1545" s="62"/>
      <c r="I1545" s="402"/>
      <c r="J1545" s="454"/>
      <c r="K1545" s="454"/>
      <c r="L1545" s="454"/>
      <c r="N1545" s="395"/>
      <c r="P1545" s="455"/>
    </row>
    <row r="1546" spans="1:16" s="398" customFormat="1" ht="14">
      <c r="A1546" s="136" t="s">
        <v>8</v>
      </c>
      <c r="B1546" s="131" t="s">
        <v>456</v>
      </c>
      <c r="C1546" s="137" t="s">
        <v>15</v>
      </c>
      <c r="D1546" s="62"/>
      <c r="E1546" s="62">
        <v>0</v>
      </c>
      <c r="F1546" s="600">
        <v>6.27</v>
      </c>
      <c r="G1546" s="7">
        <f t="shared" ref="G1546:H1549" si="336">D1546*$F1546</f>
        <v>0</v>
      </c>
      <c r="H1546" s="7">
        <f t="shared" si="336"/>
        <v>0</v>
      </c>
      <c r="I1546" s="402"/>
      <c r="J1546" s="454" t="s">
        <v>6</v>
      </c>
      <c r="K1546" s="454" t="s">
        <v>108</v>
      </c>
      <c r="L1546" s="454" t="s">
        <v>94</v>
      </c>
      <c r="N1546" s="395"/>
      <c r="P1546" s="455"/>
    </row>
    <row r="1547" spans="1:16" s="398" customFormat="1" ht="14">
      <c r="A1547" s="136" t="s">
        <v>8</v>
      </c>
      <c r="B1547" s="131" t="s">
        <v>457</v>
      </c>
      <c r="C1547" s="137" t="s">
        <v>15</v>
      </c>
      <c r="D1547" s="62"/>
      <c r="E1547" s="62">
        <v>0</v>
      </c>
      <c r="F1547" s="600">
        <v>147</v>
      </c>
      <c r="G1547" s="7">
        <f t="shared" si="336"/>
        <v>0</v>
      </c>
      <c r="H1547" s="7">
        <f t="shared" si="336"/>
        <v>0</v>
      </c>
      <c r="I1547" s="402"/>
      <c r="J1547" s="454" t="s">
        <v>6</v>
      </c>
      <c r="K1547" s="454" t="s">
        <v>108</v>
      </c>
      <c r="L1547" s="454" t="s">
        <v>94</v>
      </c>
      <c r="N1547" s="395"/>
      <c r="P1547" s="455"/>
    </row>
    <row r="1548" spans="1:16" s="398" customFormat="1" ht="14">
      <c r="A1548" s="124" t="s">
        <v>8</v>
      </c>
      <c r="B1548" s="125" t="s">
        <v>458</v>
      </c>
      <c r="C1548" s="126" t="s">
        <v>15</v>
      </c>
      <c r="D1548" s="62"/>
      <c r="E1548" s="62">
        <v>0</v>
      </c>
      <c r="F1548" s="600">
        <v>10.5</v>
      </c>
      <c r="G1548" s="7">
        <f t="shared" si="336"/>
        <v>0</v>
      </c>
      <c r="H1548" s="7">
        <f t="shared" si="336"/>
        <v>0</v>
      </c>
      <c r="I1548" s="402"/>
      <c r="J1548" s="454" t="s">
        <v>6</v>
      </c>
      <c r="K1548" s="454" t="s">
        <v>108</v>
      </c>
      <c r="L1548" s="454" t="s">
        <v>94</v>
      </c>
      <c r="N1548" s="395"/>
      <c r="P1548" s="455"/>
    </row>
    <row r="1549" spans="1:16" s="398" customFormat="1" ht="14">
      <c r="A1549" s="124" t="s">
        <v>8</v>
      </c>
      <c r="B1549" s="125" t="s">
        <v>459</v>
      </c>
      <c r="C1549" s="126" t="s">
        <v>15</v>
      </c>
      <c r="D1549" s="62"/>
      <c r="E1549" s="62">
        <v>0</v>
      </c>
      <c r="F1549" s="600">
        <v>2.9</v>
      </c>
      <c r="G1549" s="7">
        <f t="shared" si="336"/>
        <v>0</v>
      </c>
      <c r="H1549" s="7">
        <f t="shared" si="336"/>
        <v>0</v>
      </c>
      <c r="I1549" s="402"/>
      <c r="J1549" s="454" t="s">
        <v>6</v>
      </c>
      <c r="K1549" s="454" t="s">
        <v>108</v>
      </c>
      <c r="L1549" s="454" t="s">
        <v>94</v>
      </c>
      <c r="N1549" s="395"/>
      <c r="P1549" s="455"/>
    </row>
    <row r="1550" spans="1:16" s="452" customFormat="1" ht="14">
      <c r="A1550" s="138" t="s">
        <v>434</v>
      </c>
      <c r="B1550" s="139" t="s">
        <v>476</v>
      </c>
      <c r="C1550" s="141"/>
      <c r="D1550" s="447"/>
      <c r="E1550" s="447"/>
      <c r="F1550" s="447"/>
      <c r="G1550" s="457">
        <f>SUBTOTAL(9,G1551:G1573)</f>
        <v>0</v>
      </c>
      <c r="H1550" s="457">
        <f>SUBTOTAL(9,H1551:H1573)</f>
        <v>0</v>
      </c>
      <c r="I1550" s="448"/>
      <c r="J1550" s="449"/>
      <c r="K1550" s="449"/>
      <c r="L1550" s="449"/>
      <c r="N1550" s="451"/>
      <c r="P1550" s="450"/>
    </row>
    <row r="1551" spans="1:16" s="398" customFormat="1" ht="14">
      <c r="A1551" s="133" t="s">
        <v>114</v>
      </c>
      <c r="B1551" s="134" t="s">
        <v>477</v>
      </c>
      <c r="C1551" s="135"/>
      <c r="D1551" s="453"/>
      <c r="E1551" s="453"/>
      <c r="F1551" s="601"/>
      <c r="G1551" s="62"/>
      <c r="H1551" s="62"/>
      <c r="I1551" s="402"/>
      <c r="J1551" s="454"/>
      <c r="K1551" s="454"/>
      <c r="L1551" s="454"/>
      <c r="N1551" s="395"/>
      <c r="P1551" s="455"/>
    </row>
    <row r="1552" spans="1:16" s="398" customFormat="1" ht="15.5">
      <c r="A1552" s="136" t="s">
        <v>8</v>
      </c>
      <c r="B1552" s="131" t="s">
        <v>478</v>
      </c>
      <c r="C1552" s="137" t="s">
        <v>24</v>
      </c>
      <c r="D1552" s="453"/>
      <c r="E1552" s="453"/>
      <c r="F1552" s="640">
        <v>738</v>
      </c>
      <c r="G1552" s="2">
        <f t="shared" ref="G1552:H1554" si="337">D1552*$F1552</f>
        <v>0</v>
      </c>
      <c r="H1552" s="2">
        <f t="shared" si="337"/>
        <v>0</v>
      </c>
      <c r="I1552" s="402"/>
      <c r="J1552" s="454" t="s">
        <v>6</v>
      </c>
      <c r="K1552" s="454" t="s">
        <v>108</v>
      </c>
      <c r="L1552" s="454" t="s">
        <v>94</v>
      </c>
      <c r="N1552" s="395"/>
      <c r="P1552" s="455"/>
    </row>
    <row r="1553" spans="1:16" s="398" customFormat="1" ht="15.5">
      <c r="A1553" s="136" t="s">
        <v>8</v>
      </c>
      <c r="B1553" s="131" t="s">
        <v>451</v>
      </c>
      <c r="C1553" s="137" t="s">
        <v>15</v>
      </c>
      <c r="D1553" s="453"/>
      <c r="E1553" s="453"/>
      <c r="F1553" s="640">
        <v>180</v>
      </c>
      <c r="G1553" s="2">
        <f t="shared" si="337"/>
        <v>0</v>
      </c>
      <c r="H1553" s="2">
        <f t="shared" si="337"/>
        <v>0</v>
      </c>
      <c r="I1553" s="402"/>
      <c r="J1553" s="454" t="s">
        <v>6</v>
      </c>
      <c r="K1553" s="454" t="s">
        <v>108</v>
      </c>
      <c r="L1553" s="454" t="s">
        <v>94</v>
      </c>
      <c r="N1553" s="395"/>
      <c r="P1553" s="455"/>
    </row>
    <row r="1554" spans="1:16" s="398" customFormat="1" ht="15.5">
      <c r="A1554" s="136" t="s">
        <v>8</v>
      </c>
      <c r="B1554" s="131" t="s">
        <v>479</v>
      </c>
      <c r="C1554" s="137" t="s">
        <v>15</v>
      </c>
      <c r="D1554" s="453"/>
      <c r="E1554" s="453"/>
      <c r="F1554" s="641">
        <v>314</v>
      </c>
      <c r="G1554" s="2">
        <f t="shared" si="337"/>
        <v>0</v>
      </c>
      <c r="H1554" s="2">
        <f t="shared" si="337"/>
        <v>0</v>
      </c>
      <c r="I1554" s="402"/>
      <c r="J1554" s="454" t="s">
        <v>6</v>
      </c>
      <c r="K1554" s="454" t="s">
        <v>108</v>
      </c>
      <c r="L1554" s="454" t="s">
        <v>94</v>
      </c>
      <c r="N1554" s="395"/>
      <c r="P1554" s="455"/>
    </row>
    <row r="1555" spans="1:16" s="398" customFormat="1" ht="14">
      <c r="A1555" s="133" t="s">
        <v>115</v>
      </c>
      <c r="B1555" s="134" t="s">
        <v>442</v>
      </c>
      <c r="C1555" s="135"/>
      <c r="D1555" s="453"/>
      <c r="E1555" s="453"/>
      <c r="F1555" s="601"/>
      <c r="G1555" s="62"/>
      <c r="H1555" s="62"/>
      <c r="I1555" s="402"/>
      <c r="J1555" s="454"/>
      <c r="K1555" s="454"/>
      <c r="L1555" s="454"/>
      <c r="N1555" s="395"/>
      <c r="P1555" s="455"/>
    </row>
    <row r="1556" spans="1:16" s="398" customFormat="1" ht="14">
      <c r="A1556" s="136" t="s">
        <v>8</v>
      </c>
      <c r="B1556" s="131" t="s">
        <v>443</v>
      </c>
      <c r="C1556" s="137" t="s">
        <v>15</v>
      </c>
      <c r="D1556" s="453"/>
      <c r="E1556" s="453"/>
      <c r="F1556" s="600">
        <v>5420</v>
      </c>
      <c r="G1556" s="2">
        <f t="shared" ref="G1556:H1557" si="338">D1556*$F1556</f>
        <v>0</v>
      </c>
      <c r="H1556" s="2">
        <f t="shared" si="338"/>
        <v>0</v>
      </c>
      <c r="I1556" s="402"/>
      <c r="J1556" s="454" t="s">
        <v>6</v>
      </c>
      <c r="K1556" s="454" t="s">
        <v>108</v>
      </c>
      <c r="L1556" s="454" t="s">
        <v>94</v>
      </c>
      <c r="N1556" s="395"/>
      <c r="P1556" s="455"/>
    </row>
    <row r="1557" spans="1:16" s="398" customFormat="1" ht="14">
      <c r="A1557" s="136" t="s">
        <v>8</v>
      </c>
      <c r="B1557" s="131" t="s">
        <v>480</v>
      </c>
      <c r="C1557" s="137" t="s">
        <v>15</v>
      </c>
      <c r="D1557" s="453"/>
      <c r="E1557" s="453"/>
      <c r="F1557" s="634">
        <v>9350</v>
      </c>
      <c r="G1557" s="2">
        <f t="shared" si="338"/>
        <v>0</v>
      </c>
      <c r="H1557" s="2">
        <f t="shared" si="338"/>
        <v>0</v>
      </c>
      <c r="I1557" s="402"/>
      <c r="J1557" s="454" t="s">
        <v>6</v>
      </c>
      <c r="K1557" s="454" t="s">
        <v>108</v>
      </c>
      <c r="L1557" s="454" t="s">
        <v>94</v>
      </c>
      <c r="N1557" s="395"/>
      <c r="P1557" s="455"/>
    </row>
    <row r="1558" spans="1:16" s="398" customFormat="1" ht="14">
      <c r="A1558" s="133" t="s">
        <v>481</v>
      </c>
      <c r="B1558" s="134" t="s">
        <v>438</v>
      </c>
      <c r="C1558" s="135"/>
      <c r="D1558" s="453"/>
      <c r="E1558" s="453"/>
      <c r="F1558" s="601"/>
      <c r="G1558" s="62"/>
      <c r="H1558" s="62"/>
      <c r="I1558" s="402"/>
      <c r="J1558" s="454"/>
      <c r="K1558" s="454"/>
      <c r="L1558" s="454"/>
      <c r="N1558" s="395"/>
      <c r="P1558" s="455"/>
    </row>
    <row r="1559" spans="1:16" s="398" customFormat="1" ht="14">
      <c r="A1559" s="136" t="s">
        <v>8</v>
      </c>
      <c r="B1559" s="131" t="s">
        <v>439</v>
      </c>
      <c r="C1559" s="137" t="s">
        <v>126</v>
      </c>
      <c r="D1559" s="453"/>
      <c r="E1559" s="453"/>
      <c r="F1559" s="600">
        <v>495.5</v>
      </c>
      <c r="G1559" s="2">
        <f t="shared" ref="G1559:H1559" si="339">D1559*$F1559</f>
        <v>0</v>
      </c>
      <c r="H1559" s="2">
        <f t="shared" si="339"/>
        <v>0</v>
      </c>
      <c r="I1559" s="402"/>
      <c r="J1559" s="454" t="s">
        <v>6</v>
      </c>
      <c r="K1559" s="454" t="s">
        <v>108</v>
      </c>
      <c r="L1559" s="454" t="s">
        <v>94</v>
      </c>
      <c r="N1559" s="395"/>
      <c r="P1559" s="455"/>
    </row>
    <row r="1560" spans="1:16" s="398" customFormat="1" ht="14">
      <c r="A1560" s="133" t="s">
        <v>482</v>
      </c>
      <c r="B1560" s="134" t="s">
        <v>445</v>
      </c>
      <c r="C1560" s="135"/>
      <c r="D1560" s="453"/>
      <c r="E1560" s="453"/>
      <c r="F1560" s="601"/>
      <c r="G1560" s="62"/>
      <c r="H1560" s="62"/>
      <c r="I1560" s="402"/>
      <c r="J1560" s="454"/>
      <c r="K1560" s="454"/>
      <c r="L1560" s="454"/>
      <c r="N1560" s="395"/>
      <c r="P1560" s="455"/>
    </row>
    <row r="1561" spans="1:16" s="398" customFormat="1" ht="14">
      <c r="A1561" s="136" t="s">
        <v>8</v>
      </c>
      <c r="B1561" s="131" t="s">
        <v>483</v>
      </c>
      <c r="C1561" s="137" t="s">
        <v>24</v>
      </c>
      <c r="D1561" s="453"/>
      <c r="E1561" s="453"/>
      <c r="F1561" s="600">
        <v>781</v>
      </c>
      <c r="G1561" s="2">
        <f t="shared" ref="G1561:H1561" si="340">D1561*$F1561</f>
        <v>0</v>
      </c>
      <c r="H1561" s="2">
        <f t="shared" si="340"/>
        <v>0</v>
      </c>
      <c r="I1561" s="402"/>
      <c r="J1561" s="454" t="s">
        <v>6</v>
      </c>
      <c r="K1561" s="454" t="s">
        <v>108</v>
      </c>
      <c r="L1561" s="454" t="s">
        <v>94</v>
      </c>
      <c r="N1561" s="395"/>
      <c r="P1561" s="455"/>
    </row>
    <row r="1562" spans="1:16" s="398" customFormat="1" ht="14">
      <c r="A1562" s="133" t="s">
        <v>484</v>
      </c>
      <c r="B1562" s="134" t="s">
        <v>485</v>
      </c>
      <c r="C1562" s="135"/>
      <c r="D1562" s="453"/>
      <c r="E1562" s="453"/>
      <c r="F1562" s="601"/>
      <c r="G1562" s="62"/>
      <c r="H1562" s="62"/>
      <c r="I1562" s="402"/>
      <c r="J1562" s="454"/>
      <c r="K1562" s="454"/>
      <c r="L1562" s="454"/>
      <c r="N1562" s="395"/>
      <c r="P1562" s="455"/>
    </row>
    <row r="1563" spans="1:16" s="398" customFormat="1" ht="14">
      <c r="A1563" s="136" t="s">
        <v>8</v>
      </c>
      <c r="B1563" s="131" t="s">
        <v>486</v>
      </c>
      <c r="C1563" s="137" t="s">
        <v>31</v>
      </c>
      <c r="D1563" s="453"/>
      <c r="E1563" s="453"/>
      <c r="F1563" s="600">
        <v>380</v>
      </c>
      <c r="G1563" s="2">
        <f t="shared" ref="G1563:H1563" si="341">D1563*$F1563</f>
        <v>0</v>
      </c>
      <c r="H1563" s="2">
        <f t="shared" si="341"/>
        <v>0</v>
      </c>
      <c r="I1563" s="402"/>
      <c r="J1563" s="454" t="s">
        <v>6</v>
      </c>
      <c r="K1563" s="454" t="s">
        <v>108</v>
      </c>
      <c r="L1563" s="454" t="s">
        <v>94</v>
      </c>
      <c r="N1563" s="395"/>
      <c r="P1563" s="455"/>
    </row>
    <row r="1564" spans="1:16" s="398" customFormat="1" ht="14">
      <c r="A1564" s="133" t="s">
        <v>487</v>
      </c>
      <c r="B1564" s="134" t="s">
        <v>455</v>
      </c>
      <c r="C1564" s="135"/>
      <c r="D1564" s="453"/>
      <c r="E1564" s="453"/>
      <c r="F1564" s="601"/>
      <c r="G1564" s="62"/>
      <c r="H1564" s="62"/>
      <c r="I1564" s="402"/>
      <c r="J1564" s="454"/>
      <c r="K1564" s="454"/>
      <c r="L1564" s="454"/>
      <c r="N1564" s="395"/>
      <c r="P1564" s="455"/>
    </row>
    <row r="1565" spans="1:16" s="398" customFormat="1" ht="14">
      <c r="A1565" s="136" t="s">
        <v>8</v>
      </c>
      <c r="B1565" s="131" t="s">
        <v>456</v>
      </c>
      <c r="C1565" s="137" t="s">
        <v>15</v>
      </c>
      <c r="D1565" s="453"/>
      <c r="E1565" s="453"/>
      <c r="F1565" s="600">
        <v>6.27</v>
      </c>
      <c r="G1565" s="2">
        <f t="shared" ref="G1565:H1570" si="342">D1565*$F1565</f>
        <v>0</v>
      </c>
      <c r="H1565" s="2">
        <f t="shared" si="342"/>
        <v>0</v>
      </c>
      <c r="I1565" s="402"/>
      <c r="J1565" s="454" t="s">
        <v>6</v>
      </c>
      <c r="K1565" s="454" t="s">
        <v>108</v>
      </c>
      <c r="L1565" s="454" t="s">
        <v>94</v>
      </c>
      <c r="N1565" s="395"/>
      <c r="P1565" s="455"/>
    </row>
    <row r="1566" spans="1:16" s="398" customFormat="1" ht="14">
      <c r="A1566" s="136" t="s">
        <v>8</v>
      </c>
      <c r="B1566" s="131" t="s">
        <v>457</v>
      </c>
      <c r="C1566" s="137" t="s">
        <v>15</v>
      </c>
      <c r="D1566" s="453"/>
      <c r="E1566" s="453"/>
      <c r="F1566" s="600">
        <v>147</v>
      </c>
      <c r="G1566" s="2">
        <f t="shared" si="342"/>
        <v>0</v>
      </c>
      <c r="H1566" s="2">
        <f t="shared" si="342"/>
        <v>0</v>
      </c>
      <c r="I1566" s="402"/>
      <c r="J1566" s="454" t="s">
        <v>6</v>
      </c>
      <c r="K1566" s="454" t="s">
        <v>108</v>
      </c>
      <c r="L1566" s="454" t="s">
        <v>94</v>
      </c>
      <c r="N1566" s="395"/>
      <c r="P1566" s="455"/>
    </row>
    <row r="1567" spans="1:16" s="398" customFormat="1" ht="15.5">
      <c r="A1567" s="136" t="s">
        <v>8</v>
      </c>
      <c r="B1567" s="131" t="s">
        <v>488</v>
      </c>
      <c r="C1567" s="137" t="s">
        <v>15</v>
      </c>
      <c r="D1567" s="453"/>
      <c r="E1567" s="453"/>
      <c r="F1567" s="640">
        <v>22</v>
      </c>
      <c r="G1567" s="2">
        <f t="shared" si="342"/>
        <v>0</v>
      </c>
      <c r="H1567" s="2">
        <f t="shared" si="342"/>
        <v>0</v>
      </c>
      <c r="I1567" s="402"/>
      <c r="J1567" s="454" t="s">
        <v>6</v>
      </c>
      <c r="K1567" s="454" t="s">
        <v>108</v>
      </c>
      <c r="L1567" s="454" t="s">
        <v>94</v>
      </c>
      <c r="N1567" s="395"/>
      <c r="P1567" s="455"/>
    </row>
    <row r="1568" spans="1:16" s="398" customFormat="1" ht="15.5">
      <c r="A1568" s="136" t="s">
        <v>8</v>
      </c>
      <c r="B1568" s="131" t="s">
        <v>489</v>
      </c>
      <c r="C1568" s="137" t="s">
        <v>15</v>
      </c>
      <c r="D1568" s="453"/>
      <c r="E1568" s="453"/>
      <c r="F1568" s="640">
        <v>10</v>
      </c>
      <c r="G1568" s="2">
        <f t="shared" si="342"/>
        <v>0</v>
      </c>
      <c r="H1568" s="2">
        <f t="shared" si="342"/>
        <v>0</v>
      </c>
      <c r="I1568" s="402"/>
      <c r="J1568" s="454" t="s">
        <v>6</v>
      </c>
      <c r="K1568" s="454" t="s">
        <v>108</v>
      </c>
      <c r="L1568" s="454" t="s">
        <v>94</v>
      </c>
      <c r="N1568" s="395"/>
      <c r="P1568" s="455"/>
    </row>
    <row r="1569" spans="1:16" s="398" customFormat="1" ht="14">
      <c r="A1569" s="124" t="s">
        <v>8</v>
      </c>
      <c r="B1569" s="125" t="s">
        <v>458</v>
      </c>
      <c r="C1569" s="126" t="s">
        <v>15</v>
      </c>
      <c r="D1569" s="453"/>
      <c r="E1569" s="453"/>
      <c r="F1569" s="600">
        <v>10.5</v>
      </c>
      <c r="G1569" s="2">
        <f t="shared" si="342"/>
        <v>0</v>
      </c>
      <c r="H1569" s="2">
        <f t="shared" si="342"/>
        <v>0</v>
      </c>
      <c r="I1569" s="402"/>
      <c r="J1569" s="454" t="s">
        <v>6</v>
      </c>
      <c r="K1569" s="454" t="s">
        <v>108</v>
      </c>
      <c r="L1569" s="454" t="s">
        <v>94</v>
      </c>
      <c r="N1569" s="395"/>
      <c r="P1569" s="455"/>
    </row>
    <row r="1570" spans="1:16" s="398" customFormat="1" ht="14">
      <c r="A1570" s="124" t="s">
        <v>8</v>
      </c>
      <c r="B1570" s="125" t="s">
        <v>459</v>
      </c>
      <c r="C1570" s="126" t="s">
        <v>15</v>
      </c>
      <c r="D1570" s="453"/>
      <c r="E1570" s="453"/>
      <c r="F1570" s="600">
        <v>2.9</v>
      </c>
      <c r="G1570" s="2">
        <f t="shared" si="342"/>
        <v>0</v>
      </c>
      <c r="H1570" s="2">
        <f t="shared" si="342"/>
        <v>0</v>
      </c>
      <c r="I1570" s="402"/>
      <c r="J1570" s="454" t="s">
        <v>6</v>
      </c>
      <c r="K1570" s="454" t="s">
        <v>108</v>
      </c>
      <c r="L1570" s="454" t="s">
        <v>94</v>
      </c>
      <c r="N1570" s="395"/>
      <c r="P1570" s="455"/>
    </row>
    <row r="1571" spans="1:16" s="398" customFormat="1" ht="14">
      <c r="A1571" s="124" t="s">
        <v>490</v>
      </c>
      <c r="B1571" s="125" t="s">
        <v>1126</v>
      </c>
      <c r="C1571" s="126"/>
      <c r="D1571" s="453"/>
      <c r="E1571" s="453"/>
      <c r="F1571" s="600"/>
      <c r="G1571" s="2"/>
      <c r="H1571" s="2"/>
      <c r="I1571" s="402"/>
      <c r="J1571" s="454"/>
      <c r="K1571" s="454"/>
      <c r="L1571" s="454"/>
      <c r="N1571" s="395"/>
      <c r="P1571" s="455"/>
    </row>
    <row r="1572" spans="1:16" s="398" customFormat="1" ht="14">
      <c r="A1572" s="136" t="s">
        <v>8</v>
      </c>
      <c r="B1572" s="125" t="s">
        <v>1127</v>
      </c>
      <c r="C1572" s="126" t="s">
        <v>24</v>
      </c>
      <c r="D1572" s="453"/>
      <c r="E1572" s="453"/>
      <c r="F1572" s="600">
        <v>750</v>
      </c>
      <c r="G1572" s="2">
        <f t="shared" ref="G1572:H1573" si="343">D1572*$F1572</f>
        <v>0</v>
      </c>
      <c r="H1572" s="2">
        <f t="shared" si="343"/>
        <v>0</v>
      </c>
      <c r="I1572" s="402"/>
      <c r="J1572" s="454" t="s">
        <v>6</v>
      </c>
      <c r="K1572" s="454" t="s">
        <v>108</v>
      </c>
      <c r="L1572" s="454" t="s">
        <v>94</v>
      </c>
      <c r="N1572" s="395"/>
      <c r="P1572" s="455"/>
    </row>
    <row r="1573" spans="1:16" s="398" customFormat="1" ht="14">
      <c r="A1573" s="136" t="s">
        <v>8</v>
      </c>
      <c r="B1573" s="125" t="s">
        <v>1128</v>
      </c>
      <c r="C1573" s="126" t="s">
        <v>24</v>
      </c>
      <c r="D1573" s="453"/>
      <c r="E1573" s="453"/>
      <c r="F1573" s="600">
        <v>300</v>
      </c>
      <c r="G1573" s="2">
        <f t="shared" si="343"/>
        <v>0</v>
      </c>
      <c r="H1573" s="2">
        <f t="shared" si="343"/>
        <v>0</v>
      </c>
      <c r="I1573" s="402"/>
      <c r="J1573" s="454" t="s">
        <v>6</v>
      </c>
      <c r="K1573" s="454" t="s">
        <v>108</v>
      </c>
      <c r="L1573" s="454" t="s">
        <v>94</v>
      </c>
      <c r="N1573" s="395"/>
      <c r="P1573" s="455"/>
    </row>
    <row r="1574" spans="1:16" s="398" customFormat="1" ht="14">
      <c r="A1574" s="138" t="s">
        <v>491</v>
      </c>
      <c r="B1574" s="445" t="s">
        <v>1129</v>
      </c>
      <c r="C1574" s="141"/>
      <c r="D1574" s="447"/>
      <c r="E1574" s="447"/>
      <c r="F1574" s="447"/>
      <c r="G1574" s="457">
        <f>SUBTOTAL(9,G1575:G1596)</f>
        <v>0</v>
      </c>
      <c r="H1574" s="457">
        <f>SUBTOTAL(9,H1575:H1596)</f>
        <v>0</v>
      </c>
      <c r="I1574" s="448"/>
      <c r="J1574" s="449"/>
      <c r="K1574" s="449"/>
      <c r="L1574" s="449"/>
      <c r="N1574" s="395"/>
      <c r="P1574" s="450"/>
    </row>
    <row r="1575" spans="1:16" s="398" customFormat="1" ht="14">
      <c r="A1575" s="124" t="s">
        <v>492</v>
      </c>
      <c r="B1575" s="125" t="s">
        <v>439</v>
      </c>
      <c r="C1575" s="126" t="s">
        <v>126</v>
      </c>
      <c r="D1575" s="453"/>
      <c r="E1575" s="453"/>
      <c r="F1575" s="600">
        <v>495.5</v>
      </c>
      <c r="G1575" s="2">
        <f t="shared" ref="G1575:H1575" si="344">D1575*$F1575</f>
        <v>0</v>
      </c>
      <c r="H1575" s="2">
        <f t="shared" si="344"/>
        <v>0</v>
      </c>
      <c r="I1575" s="402"/>
      <c r="J1575" s="454" t="s">
        <v>6</v>
      </c>
      <c r="K1575" s="454" t="s">
        <v>107</v>
      </c>
      <c r="L1575" s="454" t="s">
        <v>94</v>
      </c>
      <c r="N1575" s="395"/>
      <c r="P1575" s="455"/>
    </row>
    <row r="1576" spans="1:16" s="398" customFormat="1" ht="14">
      <c r="A1576" s="124" t="s">
        <v>493</v>
      </c>
      <c r="B1576" s="125" t="s">
        <v>494</v>
      </c>
      <c r="C1576" s="123"/>
      <c r="D1576" s="453"/>
      <c r="E1576" s="453"/>
      <c r="F1576" s="601"/>
      <c r="G1576" s="62"/>
      <c r="H1576" s="62"/>
      <c r="I1576" s="402"/>
      <c r="J1576" s="454"/>
      <c r="K1576" s="454"/>
      <c r="L1576" s="454"/>
      <c r="N1576" s="395"/>
      <c r="P1576" s="455"/>
    </row>
    <row r="1577" spans="1:16" s="398" customFormat="1" ht="14">
      <c r="A1577" s="136" t="s">
        <v>8</v>
      </c>
      <c r="B1577" s="142" t="s">
        <v>495</v>
      </c>
      <c r="C1577" s="137" t="s">
        <v>15</v>
      </c>
      <c r="D1577" s="453"/>
      <c r="E1577" s="453"/>
      <c r="F1577" s="636">
        <v>231</v>
      </c>
      <c r="G1577" s="2">
        <f t="shared" ref="G1577:H1582" si="345">D1577*$F1577</f>
        <v>0</v>
      </c>
      <c r="H1577" s="2">
        <f t="shared" si="345"/>
        <v>0</v>
      </c>
      <c r="I1577" s="402"/>
      <c r="J1577" s="454" t="s">
        <v>6</v>
      </c>
      <c r="K1577" s="454" t="s">
        <v>107</v>
      </c>
      <c r="L1577" s="454" t="s">
        <v>94</v>
      </c>
      <c r="N1577" s="395"/>
      <c r="P1577" s="455"/>
    </row>
    <row r="1578" spans="1:16" s="398" customFormat="1" ht="14">
      <c r="A1578" s="136" t="s">
        <v>8</v>
      </c>
      <c r="B1578" s="125" t="s">
        <v>1130</v>
      </c>
      <c r="C1578" s="137" t="s">
        <v>15</v>
      </c>
      <c r="D1578" s="453"/>
      <c r="E1578" s="453"/>
      <c r="F1578" s="600">
        <v>116.78</v>
      </c>
      <c r="G1578" s="2">
        <f t="shared" si="345"/>
        <v>0</v>
      </c>
      <c r="H1578" s="2">
        <f t="shared" si="345"/>
        <v>0</v>
      </c>
      <c r="I1578" s="402"/>
      <c r="J1578" s="454" t="s">
        <v>6</v>
      </c>
      <c r="K1578" s="454" t="s">
        <v>107</v>
      </c>
      <c r="L1578" s="454" t="s">
        <v>94</v>
      </c>
      <c r="N1578" s="395"/>
      <c r="P1578" s="455"/>
    </row>
    <row r="1579" spans="1:16" s="398" customFormat="1" ht="14">
      <c r="A1579" s="136" t="s">
        <v>8</v>
      </c>
      <c r="B1579" s="125" t="s">
        <v>1131</v>
      </c>
      <c r="C1579" s="137" t="s">
        <v>15</v>
      </c>
      <c r="D1579" s="453"/>
      <c r="E1579" s="453"/>
      <c r="F1579" s="600">
        <v>288.01</v>
      </c>
      <c r="G1579" s="2">
        <f t="shared" si="345"/>
        <v>0</v>
      </c>
      <c r="H1579" s="2">
        <f t="shared" si="345"/>
        <v>0</v>
      </c>
      <c r="I1579" s="402"/>
      <c r="J1579" s="454" t="s">
        <v>6</v>
      </c>
      <c r="K1579" s="454" t="s">
        <v>107</v>
      </c>
      <c r="L1579" s="454" t="s">
        <v>94</v>
      </c>
      <c r="N1579" s="395"/>
      <c r="P1579" s="455"/>
    </row>
    <row r="1580" spans="1:16" s="398" customFormat="1" ht="14">
      <c r="A1580" s="136" t="s">
        <v>8</v>
      </c>
      <c r="B1580" s="633" t="s">
        <v>1132</v>
      </c>
      <c r="C1580" s="137" t="s">
        <v>15</v>
      </c>
      <c r="D1580" s="453"/>
      <c r="E1580" s="453"/>
      <c r="F1580" s="600">
        <v>184</v>
      </c>
      <c r="G1580" s="2">
        <f t="shared" si="345"/>
        <v>0</v>
      </c>
      <c r="H1580" s="2">
        <f t="shared" si="345"/>
        <v>0</v>
      </c>
      <c r="I1580" s="402"/>
      <c r="J1580" s="454" t="s">
        <v>6</v>
      </c>
      <c r="K1580" s="454" t="s">
        <v>107</v>
      </c>
      <c r="L1580" s="454" t="s">
        <v>94</v>
      </c>
      <c r="N1580" s="395"/>
      <c r="P1580" s="455"/>
    </row>
    <row r="1581" spans="1:16" s="398" customFormat="1" ht="14">
      <c r="A1581" s="136" t="s">
        <v>8</v>
      </c>
      <c r="B1581" s="125" t="s">
        <v>1133</v>
      </c>
      <c r="C1581" s="137" t="s">
        <v>15</v>
      </c>
      <c r="D1581" s="453"/>
      <c r="E1581" s="453"/>
      <c r="F1581" s="600">
        <v>248.47</v>
      </c>
      <c r="G1581" s="2">
        <f t="shared" si="345"/>
        <v>0</v>
      </c>
      <c r="H1581" s="2">
        <f t="shared" si="345"/>
        <v>0</v>
      </c>
      <c r="I1581" s="402"/>
      <c r="J1581" s="454" t="s">
        <v>6</v>
      </c>
      <c r="K1581" s="454" t="s">
        <v>107</v>
      </c>
      <c r="L1581" s="454" t="s">
        <v>94</v>
      </c>
      <c r="N1581" s="395"/>
      <c r="P1581" s="455"/>
    </row>
    <row r="1582" spans="1:16" s="398" customFormat="1" ht="14">
      <c r="A1582" s="136" t="s">
        <v>8</v>
      </c>
      <c r="B1582" s="131" t="s">
        <v>1134</v>
      </c>
      <c r="C1582" s="137" t="s">
        <v>15</v>
      </c>
      <c r="D1582" s="453"/>
      <c r="E1582" s="453"/>
      <c r="F1582" s="636">
        <v>406</v>
      </c>
      <c r="G1582" s="2">
        <f t="shared" si="345"/>
        <v>0</v>
      </c>
      <c r="H1582" s="2">
        <f t="shared" si="345"/>
        <v>0</v>
      </c>
      <c r="I1582" s="402"/>
      <c r="J1582" s="454" t="s">
        <v>6</v>
      </c>
      <c r="K1582" s="454" t="s">
        <v>107</v>
      </c>
      <c r="L1582" s="454" t="s">
        <v>94</v>
      </c>
      <c r="N1582" s="395"/>
      <c r="P1582" s="455"/>
    </row>
    <row r="1583" spans="1:16" s="398" customFormat="1" ht="14">
      <c r="A1583" s="124" t="s">
        <v>496</v>
      </c>
      <c r="B1583" s="125" t="s">
        <v>453</v>
      </c>
      <c r="C1583" s="123"/>
      <c r="D1583" s="453"/>
      <c r="E1583" s="453"/>
      <c r="F1583" s="601"/>
      <c r="G1583" s="62"/>
      <c r="H1583" s="62"/>
      <c r="I1583" s="402"/>
      <c r="J1583" s="454"/>
      <c r="K1583" s="454"/>
      <c r="L1583" s="454"/>
      <c r="N1583" s="395"/>
      <c r="P1583" s="455"/>
    </row>
    <row r="1584" spans="1:16" s="398" customFormat="1" ht="14">
      <c r="A1584" s="136" t="s">
        <v>8</v>
      </c>
      <c r="B1584" s="131" t="s">
        <v>1119</v>
      </c>
      <c r="C1584" s="137" t="s">
        <v>10</v>
      </c>
      <c r="D1584" s="453"/>
      <c r="E1584" s="453"/>
      <c r="F1584" s="600">
        <v>2784.29</v>
      </c>
      <c r="G1584" s="2">
        <f t="shared" ref="G1584:H1588" si="346">D1584*$F1584</f>
        <v>0</v>
      </c>
      <c r="H1584" s="2">
        <f t="shared" si="346"/>
        <v>0</v>
      </c>
      <c r="I1584" s="402"/>
      <c r="J1584" s="454" t="s">
        <v>6</v>
      </c>
      <c r="K1584" s="454" t="s">
        <v>107</v>
      </c>
      <c r="L1584" s="454" t="s">
        <v>94</v>
      </c>
      <c r="N1584" s="395"/>
      <c r="P1584" s="455"/>
    </row>
    <row r="1585" spans="1:16" s="398" customFormat="1" ht="14">
      <c r="A1585" s="136" t="s">
        <v>8</v>
      </c>
      <c r="B1585" s="131" t="s">
        <v>1120</v>
      </c>
      <c r="C1585" s="137" t="s">
        <v>10</v>
      </c>
      <c r="D1585" s="453"/>
      <c r="E1585" s="453"/>
      <c r="F1585" s="600">
        <v>3670.27</v>
      </c>
      <c r="G1585" s="2">
        <f t="shared" si="346"/>
        <v>0</v>
      </c>
      <c r="H1585" s="2">
        <f t="shared" si="346"/>
        <v>0</v>
      </c>
      <c r="I1585" s="402"/>
      <c r="J1585" s="454" t="s">
        <v>6</v>
      </c>
      <c r="K1585" s="454" t="s">
        <v>107</v>
      </c>
      <c r="L1585" s="454" t="s">
        <v>94</v>
      </c>
      <c r="N1585" s="395"/>
      <c r="P1585" s="455"/>
    </row>
    <row r="1586" spans="1:16" s="398" customFormat="1" ht="14">
      <c r="A1586" s="136" t="s">
        <v>8</v>
      </c>
      <c r="B1586" s="637" t="s">
        <v>1121</v>
      </c>
      <c r="C1586" s="137" t="s">
        <v>10</v>
      </c>
      <c r="D1586" s="453"/>
      <c r="E1586" s="453"/>
      <c r="F1586" s="600">
        <v>4854.03</v>
      </c>
      <c r="G1586" s="2">
        <f t="shared" si="346"/>
        <v>0</v>
      </c>
      <c r="H1586" s="2">
        <f t="shared" si="346"/>
        <v>0</v>
      </c>
      <c r="I1586" s="402"/>
      <c r="J1586" s="454" t="s">
        <v>6</v>
      </c>
      <c r="K1586" s="454" t="s">
        <v>107</v>
      </c>
      <c r="L1586" s="454" t="s">
        <v>94</v>
      </c>
      <c r="N1586" s="395"/>
      <c r="P1586" s="455"/>
    </row>
    <row r="1587" spans="1:16" s="398" customFormat="1" ht="14">
      <c r="A1587" s="136" t="s">
        <v>8</v>
      </c>
      <c r="B1587" s="637" t="s">
        <v>1122</v>
      </c>
      <c r="C1587" s="137" t="s">
        <v>10</v>
      </c>
      <c r="D1587" s="453"/>
      <c r="E1587" s="453"/>
      <c r="F1587" s="600">
        <v>6184.6900000000005</v>
      </c>
      <c r="G1587" s="2">
        <f t="shared" si="346"/>
        <v>0</v>
      </c>
      <c r="H1587" s="2">
        <f t="shared" si="346"/>
        <v>0</v>
      </c>
      <c r="I1587" s="402"/>
      <c r="J1587" s="454" t="s">
        <v>6</v>
      </c>
      <c r="K1587" s="454" t="s">
        <v>107</v>
      </c>
      <c r="L1587" s="454" t="s">
        <v>94</v>
      </c>
      <c r="N1587" s="395"/>
      <c r="P1587" s="455"/>
    </row>
    <row r="1588" spans="1:16" s="398" customFormat="1" ht="14">
      <c r="A1588" s="136" t="s">
        <v>8</v>
      </c>
      <c r="B1588" s="637" t="s">
        <v>1123</v>
      </c>
      <c r="C1588" s="137" t="s">
        <v>10</v>
      </c>
      <c r="D1588" s="453"/>
      <c r="E1588" s="453"/>
      <c r="F1588" s="600">
        <v>6992.91</v>
      </c>
      <c r="G1588" s="2">
        <f t="shared" si="346"/>
        <v>0</v>
      </c>
      <c r="H1588" s="2">
        <f t="shared" si="346"/>
        <v>0</v>
      </c>
      <c r="I1588" s="402"/>
      <c r="J1588" s="454" t="s">
        <v>6</v>
      </c>
      <c r="K1588" s="454" t="s">
        <v>107</v>
      </c>
      <c r="L1588" s="454" t="s">
        <v>94</v>
      </c>
      <c r="N1588" s="395"/>
      <c r="P1588" s="455"/>
    </row>
    <row r="1589" spans="1:16" s="398" customFormat="1" ht="14">
      <c r="A1589" s="136" t="s">
        <v>497</v>
      </c>
      <c r="B1589" s="131" t="s">
        <v>485</v>
      </c>
      <c r="C1589" s="135"/>
      <c r="D1589" s="453"/>
      <c r="E1589" s="453"/>
      <c r="F1589" s="601"/>
      <c r="G1589" s="62"/>
      <c r="H1589" s="62"/>
      <c r="I1589" s="402"/>
      <c r="J1589" s="454"/>
      <c r="K1589" s="454"/>
      <c r="L1589" s="454"/>
      <c r="N1589" s="395"/>
      <c r="P1589" s="455"/>
    </row>
    <row r="1590" spans="1:16" s="398" customFormat="1" ht="14">
      <c r="A1590" s="136" t="s">
        <v>8</v>
      </c>
      <c r="B1590" s="131" t="s">
        <v>486</v>
      </c>
      <c r="C1590" s="137" t="s">
        <v>31</v>
      </c>
      <c r="D1590" s="453"/>
      <c r="E1590" s="453"/>
      <c r="F1590" s="636">
        <v>380</v>
      </c>
      <c r="G1590" s="2">
        <f t="shared" ref="G1590:H1590" si="347">D1590*$F1590</f>
        <v>0</v>
      </c>
      <c r="H1590" s="2">
        <f t="shared" si="347"/>
        <v>0</v>
      </c>
      <c r="I1590" s="402"/>
      <c r="J1590" s="454" t="s">
        <v>6</v>
      </c>
      <c r="K1590" s="454" t="s">
        <v>107</v>
      </c>
      <c r="L1590" s="454" t="s">
        <v>94</v>
      </c>
      <c r="N1590" s="395"/>
      <c r="P1590" s="455"/>
    </row>
    <row r="1591" spans="1:16" s="398" customFormat="1" ht="14">
      <c r="A1591" s="136" t="s">
        <v>498</v>
      </c>
      <c r="B1591" s="131" t="s">
        <v>445</v>
      </c>
      <c r="C1591" s="135"/>
      <c r="D1591" s="453"/>
      <c r="E1591" s="453"/>
      <c r="F1591" s="601"/>
      <c r="G1591" s="62"/>
      <c r="H1591" s="62"/>
      <c r="I1591" s="402"/>
      <c r="J1591" s="454"/>
      <c r="K1591" s="454"/>
      <c r="L1591" s="454"/>
      <c r="N1591" s="395"/>
      <c r="P1591" s="455"/>
    </row>
    <row r="1592" spans="1:16" s="398" customFormat="1" ht="14">
      <c r="A1592" s="124" t="s">
        <v>8</v>
      </c>
      <c r="B1592" s="125" t="s">
        <v>499</v>
      </c>
      <c r="C1592" s="126" t="s">
        <v>24</v>
      </c>
      <c r="D1592" s="453"/>
      <c r="E1592" s="453"/>
      <c r="F1592" s="600">
        <v>781</v>
      </c>
      <c r="G1592" s="2">
        <f t="shared" ref="G1592:H1592" si="348">D1592*$F1592</f>
        <v>0</v>
      </c>
      <c r="H1592" s="2">
        <f t="shared" si="348"/>
        <v>0</v>
      </c>
      <c r="I1592" s="402"/>
      <c r="J1592" s="454" t="s">
        <v>6</v>
      </c>
      <c r="K1592" s="454" t="s">
        <v>107</v>
      </c>
      <c r="L1592" s="454" t="s">
        <v>94</v>
      </c>
      <c r="N1592" s="395"/>
      <c r="P1592" s="455"/>
    </row>
    <row r="1593" spans="1:16" s="398" customFormat="1" ht="14">
      <c r="A1593" s="136" t="s">
        <v>500</v>
      </c>
      <c r="B1593" s="131" t="s">
        <v>442</v>
      </c>
      <c r="C1593" s="126"/>
      <c r="D1593" s="453"/>
      <c r="E1593" s="453"/>
      <c r="F1593" s="601"/>
      <c r="G1593" s="62"/>
      <c r="H1593" s="62"/>
      <c r="I1593" s="402"/>
      <c r="J1593" s="454"/>
      <c r="K1593" s="454"/>
      <c r="L1593" s="454"/>
      <c r="N1593" s="395"/>
      <c r="P1593" s="455"/>
    </row>
    <row r="1594" spans="1:16" s="398" customFormat="1" ht="14">
      <c r="A1594" s="136" t="s">
        <v>8</v>
      </c>
      <c r="B1594" s="131" t="s">
        <v>443</v>
      </c>
      <c r="C1594" s="137" t="s">
        <v>15</v>
      </c>
      <c r="D1594" s="453"/>
      <c r="E1594" s="453"/>
      <c r="F1594" s="600">
        <v>5420</v>
      </c>
      <c r="G1594" s="2">
        <f t="shared" ref="G1594:H1596" si="349">D1594*$F1594</f>
        <v>0</v>
      </c>
      <c r="H1594" s="2">
        <f t="shared" si="349"/>
        <v>0</v>
      </c>
      <c r="I1594" s="402"/>
      <c r="J1594" s="454" t="s">
        <v>6</v>
      </c>
      <c r="K1594" s="454" t="s">
        <v>107</v>
      </c>
      <c r="L1594" s="454" t="s">
        <v>94</v>
      </c>
      <c r="N1594" s="395"/>
      <c r="P1594" s="455"/>
    </row>
    <row r="1595" spans="1:16" s="398" customFormat="1" ht="14">
      <c r="A1595" s="124" t="s">
        <v>8</v>
      </c>
      <c r="B1595" s="125" t="s">
        <v>480</v>
      </c>
      <c r="C1595" s="126" t="s">
        <v>15</v>
      </c>
      <c r="D1595" s="453"/>
      <c r="E1595" s="453"/>
      <c r="F1595" s="634">
        <v>9350</v>
      </c>
      <c r="G1595" s="2">
        <f t="shared" si="349"/>
        <v>0</v>
      </c>
      <c r="H1595" s="2">
        <f t="shared" si="349"/>
        <v>0</v>
      </c>
      <c r="I1595" s="402"/>
      <c r="J1595" s="454" t="s">
        <v>6</v>
      </c>
      <c r="K1595" s="454" t="s">
        <v>107</v>
      </c>
      <c r="L1595" s="454" t="s">
        <v>94</v>
      </c>
      <c r="N1595" s="395"/>
      <c r="P1595" s="455"/>
    </row>
    <row r="1596" spans="1:16" s="398" customFormat="1" ht="15.5">
      <c r="A1596" s="136" t="s">
        <v>501</v>
      </c>
      <c r="B1596" s="131" t="s">
        <v>502</v>
      </c>
      <c r="C1596" s="137" t="s">
        <v>15</v>
      </c>
      <c r="D1596" s="453"/>
      <c r="E1596" s="453"/>
      <c r="F1596" s="640">
        <v>20</v>
      </c>
      <c r="G1596" s="2">
        <f t="shared" si="349"/>
        <v>0</v>
      </c>
      <c r="H1596" s="2">
        <f t="shared" si="349"/>
        <v>0</v>
      </c>
      <c r="I1596" s="402"/>
      <c r="J1596" s="454" t="s">
        <v>6</v>
      </c>
      <c r="K1596" s="454" t="s">
        <v>107</v>
      </c>
      <c r="L1596" s="454" t="s">
        <v>94</v>
      </c>
      <c r="N1596" s="395"/>
      <c r="P1596" s="455"/>
    </row>
    <row r="1597" spans="1:16" s="398" customFormat="1" ht="14">
      <c r="A1597" s="138" t="s">
        <v>503</v>
      </c>
      <c r="B1597" s="445" t="s">
        <v>1135</v>
      </c>
      <c r="C1597" s="141"/>
      <c r="D1597" s="447"/>
      <c r="E1597" s="447"/>
      <c r="F1597" s="601"/>
      <c r="G1597" s="447">
        <f>SUBTOTAL(9,G1598:G1619)</f>
        <v>338332.07</v>
      </c>
      <c r="H1597" s="447">
        <f>SUBTOTAL(9,H1598:H1619)</f>
        <v>170262.84</v>
      </c>
      <c r="I1597" s="448"/>
      <c r="J1597" s="449"/>
      <c r="K1597" s="449"/>
      <c r="L1597" s="449"/>
      <c r="N1597" s="395"/>
      <c r="P1597" s="450"/>
    </row>
    <row r="1598" spans="1:16" s="398" customFormat="1" ht="14">
      <c r="A1598" s="124" t="s">
        <v>504</v>
      </c>
      <c r="B1598" s="125" t="s">
        <v>439</v>
      </c>
      <c r="C1598" s="126" t="s">
        <v>126</v>
      </c>
      <c r="D1598" s="62">
        <v>488</v>
      </c>
      <c r="E1598" s="62">
        <v>309</v>
      </c>
      <c r="F1598" s="600">
        <v>495.5</v>
      </c>
      <c r="G1598" s="7">
        <f t="shared" ref="G1598:H1598" si="350">D1598*$F1598</f>
        <v>241804</v>
      </c>
      <c r="H1598" s="7">
        <f t="shared" si="350"/>
        <v>153109.5</v>
      </c>
      <c r="I1598" s="402"/>
      <c r="J1598" s="454" t="s">
        <v>6</v>
      </c>
      <c r="K1598" s="454" t="s">
        <v>108</v>
      </c>
      <c r="L1598" s="454" t="s">
        <v>94</v>
      </c>
      <c r="N1598" s="395"/>
      <c r="P1598" s="456" t="s">
        <v>1136</v>
      </c>
    </row>
    <row r="1599" spans="1:16" s="398" customFormat="1" ht="14">
      <c r="A1599" s="124" t="s">
        <v>505</v>
      </c>
      <c r="B1599" s="125" t="s">
        <v>494</v>
      </c>
      <c r="C1599" s="123"/>
      <c r="D1599" s="453"/>
      <c r="E1599" s="453"/>
      <c r="F1599" s="601"/>
      <c r="G1599" s="62"/>
      <c r="H1599" s="62"/>
      <c r="I1599" s="402"/>
      <c r="J1599" s="454"/>
      <c r="K1599" s="454"/>
      <c r="L1599" s="454"/>
      <c r="N1599" s="395"/>
      <c r="P1599" s="455"/>
    </row>
    <row r="1600" spans="1:16" s="398" customFormat="1" ht="14">
      <c r="A1600" s="136" t="s">
        <v>8</v>
      </c>
      <c r="B1600" s="142" t="s">
        <v>495</v>
      </c>
      <c r="C1600" s="137" t="s">
        <v>15</v>
      </c>
      <c r="D1600" s="62">
        <v>100</v>
      </c>
      <c r="E1600" s="62">
        <v>12</v>
      </c>
      <c r="F1600" s="636">
        <v>231</v>
      </c>
      <c r="G1600" s="7">
        <f t="shared" ref="G1600:H1605" si="351">D1600*$F1600</f>
        <v>23100</v>
      </c>
      <c r="H1600" s="7">
        <f t="shared" si="351"/>
        <v>2772</v>
      </c>
      <c r="I1600" s="402"/>
      <c r="J1600" s="454" t="s">
        <v>6</v>
      </c>
      <c r="K1600" s="454" t="s">
        <v>108</v>
      </c>
      <c r="L1600" s="454" t="s">
        <v>94</v>
      </c>
      <c r="N1600" s="395"/>
      <c r="P1600" s="456" t="s">
        <v>1137</v>
      </c>
    </row>
    <row r="1601" spans="1:16" s="398" customFormat="1" ht="14">
      <c r="A1601" s="136" t="s">
        <v>8</v>
      </c>
      <c r="B1601" s="125" t="s">
        <v>1130</v>
      </c>
      <c r="C1601" s="137" t="s">
        <v>15</v>
      </c>
      <c r="D1601" s="62">
        <v>21</v>
      </c>
      <c r="E1601" s="62">
        <v>3</v>
      </c>
      <c r="F1601" s="600">
        <v>116.78</v>
      </c>
      <c r="G1601" s="7">
        <f t="shared" si="351"/>
        <v>2452.38</v>
      </c>
      <c r="H1601" s="7">
        <f t="shared" si="351"/>
        <v>350.34000000000003</v>
      </c>
      <c r="I1601" s="402"/>
      <c r="J1601" s="454" t="s">
        <v>6</v>
      </c>
      <c r="K1601" s="454" t="s">
        <v>108</v>
      </c>
      <c r="L1601" s="454" t="s">
        <v>94</v>
      </c>
      <c r="N1601" s="395"/>
      <c r="P1601" s="456" t="s">
        <v>1137</v>
      </c>
    </row>
    <row r="1602" spans="1:16" s="398" customFormat="1" ht="14">
      <c r="A1602" s="136" t="s">
        <v>8</v>
      </c>
      <c r="B1602" s="125" t="s">
        <v>1131</v>
      </c>
      <c r="C1602" s="137" t="s">
        <v>15</v>
      </c>
      <c r="D1602" s="62">
        <v>69</v>
      </c>
      <c r="E1602" s="62">
        <v>0</v>
      </c>
      <c r="F1602" s="600">
        <v>288.01</v>
      </c>
      <c r="G1602" s="7">
        <f t="shared" si="351"/>
        <v>19872.689999999999</v>
      </c>
      <c r="H1602" s="7">
        <f t="shared" si="351"/>
        <v>0</v>
      </c>
      <c r="I1602" s="402"/>
      <c r="J1602" s="454" t="s">
        <v>6</v>
      </c>
      <c r="K1602" s="454" t="s">
        <v>108</v>
      </c>
      <c r="L1602" s="454" t="s">
        <v>94</v>
      </c>
      <c r="N1602" s="395"/>
      <c r="P1602" s="456" t="s">
        <v>1137</v>
      </c>
    </row>
    <row r="1603" spans="1:16" s="398" customFormat="1" ht="14">
      <c r="A1603" s="136" t="s">
        <v>8</v>
      </c>
      <c r="B1603" s="633" t="s">
        <v>1132</v>
      </c>
      <c r="C1603" s="137" t="s">
        <v>15</v>
      </c>
      <c r="D1603" s="453"/>
      <c r="E1603" s="453"/>
      <c r="F1603" s="600">
        <v>184</v>
      </c>
      <c r="G1603" s="7">
        <f t="shared" si="351"/>
        <v>0</v>
      </c>
      <c r="H1603" s="7">
        <f t="shared" si="351"/>
        <v>0</v>
      </c>
      <c r="I1603" s="402"/>
      <c r="J1603" s="454" t="s">
        <v>6</v>
      </c>
      <c r="K1603" s="454" t="s">
        <v>108</v>
      </c>
      <c r="L1603" s="454" t="s">
        <v>94</v>
      </c>
      <c r="N1603" s="395"/>
      <c r="P1603" s="455"/>
    </row>
    <row r="1604" spans="1:16" s="398" customFormat="1" ht="14">
      <c r="A1604" s="136" t="s">
        <v>8</v>
      </c>
      <c r="B1604" s="125" t="s">
        <v>1133</v>
      </c>
      <c r="C1604" s="137" t="s">
        <v>15</v>
      </c>
      <c r="D1604" s="453"/>
      <c r="E1604" s="453"/>
      <c r="F1604" s="600">
        <v>248.47</v>
      </c>
      <c r="G1604" s="7">
        <f t="shared" si="351"/>
        <v>0</v>
      </c>
      <c r="H1604" s="7">
        <f t="shared" si="351"/>
        <v>0</v>
      </c>
      <c r="I1604" s="402"/>
      <c r="J1604" s="454" t="s">
        <v>6</v>
      </c>
      <c r="K1604" s="454" t="s">
        <v>108</v>
      </c>
      <c r="L1604" s="454" t="s">
        <v>94</v>
      </c>
      <c r="N1604" s="395"/>
      <c r="P1604" s="455"/>
    </row>
    <row r="1605" spans="1:16" s="398" customFormat="1" ht="14">
      <c r="A1605" s="136" t="s">
        <v>8</v>
      </c>
      <c r="B1605" s="131" t="s">
        <v>1134</v>
      </c>
      <c r="C1605" s="137" t="s">
        <v>15</v>
      </c>
      <c r="D1605" s="453"/>
      <c r="E1605" s="453"/>
      <c r="F1605" s="636">
        <v>406</v>
      </c>
      <c r="G1605" s="7">
        <f t="shared" si="351"/>
        <v>0</v>
      </c>
      <c r="H1605" s="7">
        <f t="shared" si="351"/>
        <v>0</v>
      </c>
      <c r="I1605" s="402"/>
      <c r="J1605" s="454" t="s">
        <v>6</v>
      </c>
      <c r="K1605" s="454" t="s">
        <v>108</v>
      </c>
      <c r="L1605" s="454" t="s">
        <v>94</v>
      </c>
      <c r="N1605" s="395"/>
      <c r="P1605" s="455"/>
    </row>
    <row r="1606" spans="1:16" s="398" customFormat="1" ht="14">
      <c r="A1606" s="124" t="s">
        <v>506</v>
      </c>
      <c r="B1606" s="125" t="s">
        <v>453</v>
      </c>
      <c r="C1606" s="123"/>
      <c r="D1606" s="453"/>
      <c r="E1606" s="453"/>
      <c r="F1606" s="601"/>
      <c r="G1606" s="62"/>
      <c r="H1606" s="62"/>
      <c r="I1606" s="402"/>
      <c r="J1606" s="454"/>
      <c r="K1606" s="454"/>
      <c r="L1606" s="454"/>
      <c r="N1606" s="395"/>
      <c r="P1606" s="455"/>
    </row>
    <row r="1607" spans="1:16" s="396" customFormat="1" ht="14">
      <c r="A1607" s="136" t="s">
        <v>8</v>
      </c>
      <c r="B1607" s="131" t="s">
        <v>1119</v>
      </c>
      <c r="C1607" s="137" t="s">
        <v>10</v>
      </c>
      <c r="D1607" s="2"/>
      <c r="E1607" s="2"/>
      <c r="F1607" s="600">
        <v>2784.29</v>
      </c>
      <c r="G1607" s="7">
        <f t="shared" ref="G1607:H1611" si="352">D1607*$F1607</f>
        <v>0</v>
      </c>
      <c r="H1607" s="7">
        <f t="shared" si="352"/>
        <v>0</v>
      </c>
      <c r="I1607" s="21"/>
      <c r="J1607" s="454" t="s">
        <v>6</v>
      </c>
      <c r="K1607" s="454" t="s">
        <v>108</v>
      </c>
      <c r="L1607" s="454" t="s">
        <v>94</v>
      </c>
      <c r="N1607" s="424"/>
      <c r="P1607" s="441"/>
    </row>
    <row r="1608" spans="1:16" s="396" customFormat="1" ht="14">
      <c r="A1608" s="136" t="s">
        <v>8</v>
      </c>
      <c r="B1608" s="131" t="s">
        <v>1120</v>
      </c>
      <c r="C1608" s="137" t="s">
        <v>10</v>
      </c>
      <c r="D1608" s="2"/>
      <c r="E1608" s="2"/>
      <c r="F1608" s="600">
        <v>3670.27</v>
      </c>
      <c r="G1608" s="7">
        <f t="shared" si="352"/>
        <v>0</v>
      </c>
      <c r="H1608" s="7">
        <f t="shared" si="352"/>
        <v>0</v>
      </c>
      <c r="I1608" s="21"/>
      <c r="J1608" s="454" t="s">
        <v>6</v>
      </c>
      <c r="K1608" s="454" t="s">
        <v>108</v>
      </c>
      <c r="L1608" s="454" t="s">
        <v>94</v>
      </c>
      <c r="N1608" s="424"/>
      <c r="P1608" s="441"/>
    </row>
    <row r="1609" spans="1:16" s="396" customFormat="1" ht="14">
      <c r="A1609" s="136" t="s">
        <v>8</v>
      </c>
      <c r="B1609" s="637" t="s">
        <v>1121</v>
      </c>
      <c r="C1609" s="137" t="s">
        <v>10</v>
      </c>
      <c r="D1609" s="2"/>
      <c r="E1609" s="2"/>
      <c r="F1609" s="600">
        <v>4854.03</v>
      </c>
      <c r="G1609" s="7">
        <f t="shared" si="352"/>
        <v>0</v>
      </c>
      <c r="H1609" s="7">
        <f t="shared" si="352"/>
        <v>0</v>
      </c>
      <c r="I1609" s="21"/>
      <c r="J1609" s="454" t="s">
        <v>6</v>
      </c>
      <c r="K1609" s="454" t="s">
        <v>108</v>
      </c>
      <c r="L1609" s="454" t="s">
        <v>94</v>
      </c>
      <c r="N1609" s="424"/>
      <c r="P1609" s="441"/>
    </row>
    <row r="1610" spans="1:16" s="396" customFormat="1" ht="14">
      <c r="A1610" s="136" t="s">
        <v>8</v>
      </c>
      <c r="B1610" s="637" t="s">
        <v>1122</v>
      </c>
      <c r="C1610" s="137" t="s">
        <v>10</v>
      </c>
      <c r="D1610" s="2"/>
      <c r="E1610" s="2"/>
      <c r="F1610" s="600">
        <v>6184.6900000000005</v>
      </c>
      <c r="G1610" s="7">
        <f t="shared" si="352"/>
        <v>0</v>
      </c>
      <c r="H1610" s="7">
        <f t="shared" si="352"/>
        <v>0</v>
      </c>
      <c r="I1610" s="21"/>
      <c r="J1610" s="454" t="s">
        <v>6</v>
      </c>
      <c r="K1610" s="454" t="s">
        <v>108</v>
      </c>
      <c r="L1610" s="454" t="s">
        <v>94</v>
      </c>
      <c r="N1610" s="424"/>
      <c r="P1610" s="441"/>
    </row>
    <row r="1611" spans="1:16" s="396" customFormat="1" ht="14">
      <c r="A1611" s="136" t="s">
        <v>8</v>
      </c>
      <c r="B1611" s="637" t="s">
        <v>1123</v>
      </c>
      <c r="C1611" s="137" t="s">
        <v>10</v>
      </c>
      <c r="D1611" s="2"/>
      <c r="E1611" s="2"/>
      <c r="F1611" s="600">
        <v>6992.91</v>
      </c>
      <c r="G1611" s="7">
        <f t="shared" si="352"/>
        <v>0</v>
      </c>
      <c r="H1611" s="7">
        <f t="shared" si="352"/>
        <v>0</v>
      </c>
      <c r="I1611" s="21"/>
      <c r="J1611" s="454" t="s">
        <v>6</v>
      </c>
      <c r="K1611" s="454" t="s">
        <v>108</v>
      </c>
      <c r="L1611" s="454" t="s">
        <v>94</v>
      </c>
      <c r="N1611" s="424"/>
      <c r="P1611" s="441"/>
    </row>
    <row r="1612" spans="1:16" s="396" customFormat="1" ht="14">
      <c r="A1612" s="136" t="s">
        <v>507</v>
      </c>
      <c r="B1612" s="131" t="s">
        <v>485</v>
      </c>
      <c r="C1612" s="135"/>
      <c r="D1612" s="2"/>
      <c r="E1612" s="2"/>
      <c r="F1612" s="601"/>
      <c r="G1612" s="7"/>
      <c r="H1612" s="7"/>
      <c r="I1612" s="21"/>
      <c r="J1612" s="454"/>
      <c r="K1612" s="440"/>
      <c r="L1612" s="440"/>
      <c r="N1612" s="424"/>
      <c r="P1612" s="441"/>
    </row>
    <row r="1613" spans="1:16" s="396" customFormat="1" ht="14">
      <c r="A1613" s="136" t="s">
        <v>8</v>
      </c>
      <c r="B1613" s="131" t="s">
        <v>486</v>
      </c>
      <c r="C1613" s="137" t="s">
        <v>31</v>
      </c>
      <c r="D1613" s="7">
        <v>43</v>
      </c>
      <c r="E1613" s="7">
        <v>11</v>
      </c>
      <c r="F1613" s="636">
        <v>380</v>
      </c>
      <c r="G1613" s="7">
        <f t="shared" ref="G1613:H1613" si="353">D1613*$F1613</f>
        <v>16340</v>
      </c>
      <c r="H1613" s="7">
        <f t="shared" si="353"/>
        <v>4180</v>
      </c>
      <c r="I1613" s="21"/>
      <c r="J1613" s="454" t="s">
        <v>6</v>
      </c>
      <c r="K1613" s="454" t="s">
        <v>108</v>
      </c>
      <c r="L1613" s="454" t="s">
        <v>94</v>
      </c>
      <c r="N1613" s="424"/>
      <c r="P1613" s="603" t="s">
        <v>1138</v>
      </c>
    </row>
    <row r="1614" spans="1:16" s="396" customFormat="1" ht="14">
      <c r="A1614" s="136" t="s">
        <v>508</v>
      </c>
      <c r="B1614" s="131" t="s">
        <v>445</v>
      </c>
      <c r="C1614" s="135"/>
      <c r="D1614" s="2"/>
      <c r="E1614" s="7"/>
      <c r="F1614" s="601"/>
      <c r="G1614" s="7"/>
      <c r="H1614" s="7"/>
      <c r="I1614" s="21"/>
      <c r="J1614" s="454"/>
      <c r="K1614" s="440"/>
      <c r="L1614" s="440"/>
      <c r="N1614" s="424"/>
      <c r="P1614" s="642"/>
    </row>
    <row r="1615" spans="1:16" s="396" customFormat="1" ht="14">
      <c r="A1615" s="124" t="s">
        <v>8</v>
      </c>
      <c r="B1615" s="125" t="s">
        <v>499</v>
      </c>
      <c r="C1615" s="126" t="s">
        <v>24</v>
      </c>
      <c r="D1615" s="7">
        <v>43</v>
      </c>
      <c r="E1615" s="7">
        <v>11</v>
      </c>
      <c r="F1615" s="600">
        <v>781</v>
      </c>
      <c r="G1615" s="7">
        <f t="shared" ref="G1615:H1615" si="354">D1615*$F1615</f>
        <v>33583</v>
      </c>
      <c r="H1615" s="7">
        <f t="shared" si="354"/>
        <v>8591</v>
      </c>
      <c r="I1615" s="21"/>
      <c r="J1615" s="454" t="s">
        <v>6</v>
      </c>
      <c r="K1615" s="454" t="s">
        <v>108</v>
      </c>
      <c r="L1615" s="454" t="s">
        <v>94</v>
      </c>
      <c r="N1615" s="424"/>
      <c r="P1615" s="603" t="s">
        <v>1138</v>
      </c>
    </row>
    <row r="1616" spans="1:16" s="396" customFormat="1" ht="14">
      <c r="A1616" s="136" t="s">
        <v>509</v>
      </c>
      <c r="B1616" s="131" t="s">
        <v>442</v>
      </c>
      <c r="C1616" s="126"/>
      <c r="D1616" s="2"/>
      <c r="E1616" s="2"/>
      <c r="F1616" s="601"/>
      <c r="G1616" s="7"/>
      <c r="H1616" s="7"/>
      <c r="I1616" s="21"/>
      <c r="J1616" s="454"/>
      <c r="K1616" s="440"/>
      <c r="L1616" s="440"/>
      <c r="N1616" s="424"/>
      <c r="P1616" s="441"/>
    </row>
    <row r="1617" spans="1:16" s="396" customFormat="1" ht="14">
      <c r="A1617" s="136" t="s">
        <v>8</v>
      </c>
      <c r="B1617" s="131" t="s">
        <v>443</v>
      </c>
      <c r="C1617" s="137" t="s">
        <v>15</v>
      </c>
      <c r="D1617" s="2"/>
      <c r="E1617" s="2"/>
      <c r="F1617" s="600">
        <v>5420</v>
      </c>
      <c r="G1617" s="7">
        <f t="shared" ref="G1617:H1619" si="355">D1617*$F1617</f>
        <v>0</v>
      </c>
      <c r="H1617" s="7">
        <f t="shared" si="355"/>
        <v>0</v>
      </c>
      <c r="I1617" s="21"/>
      <c r="J1617" s="454" t="s">
        <v>6</v>
      </c>
      <c r="K1617" s="454" t="s">
        <v>108</v>
      </c>
      <c r="L1617" s="454" t="s">
        <v>94</v>
      </c>
      <c r="N1617" s="424"/>
      <c r="P1617" s="441"/>
    </row>
    <row r="1618" spans="1:16" s="396" customFormat="1" ht="14">
      <c r="A1618" s="124" t="s">
        <v>8</v>
      </c>
      <c r="B1618" s="125" t="s">
        <v>480</v>
      </c>
      <c r="C1618" s="126" t="s">
        <v>15</v>
      </c>
      <c r="D1618" s="2"/>
      <c r="E1618" s="2"/>
      <c r="F1618" s="634">
        <v>9350</v>
      </c>
      <c r="G1618" s="7">
        <f t="shared" si="355"/>
        <v>0</v>
      </c>
      <c r="H1618" s="7">
        <f t="shared" si="355"/>
        <v>0</v>
      </c>
      <c r="I1618" s="21"/>
      <c r="J1618" s="454" t="s">
        <v>6</v>
      </c>
      <c r="K1618" s="454" t="s">
        <v>108</v>
      </c>
      <c r="L1618" s="454" t="s">
        <v>94</v>
      </c>
      <c r="N1618" s="424"/>
      <c r="P1618" s="441"/>
    </row>
    <row r="1619" spans="1:16" s="396" customFormat="1" ht="15.5">
      <c r="A1619" s="136" t="s">
        <v>510</v>
      </c>
      <c r="B1619" s="131" t="s">
        <v>502</v>
      </c>
      <c r="C1619" s="137" t="s">
        <v>15</v>
      </c>
      <c r="D1619" s="7">
        <v>59</v>
      </c>
      <c r="E1619" s="7">
        <v>63</v>
      </c>
      <c r="F1619" s="640">
        <v>20</v>
      </c>
      <c r="G1619" s="7">
        <f t="shared" si="355"/>
        <v>1180</v>
      </c>
      <c r="H1619" s="7">
        <f t="shared" si="355"/>
        <v>1260</v>
      </c>
      <c r="I1619" s="21"/>
      <c r="J1619" s="454" t="s">
        <v>6</v>
      </c>
      <c r="K1619" s="454" t="s">
        <v>108</v>
      </c>
      <c r="L1619" s="454" t="s">
        <v>94</v>
      </c>
      <c r="N1619" s="424"/>
      <c r="P1619" s="603" t="s">
        <v>1139</v>
      </c>
    </row>
    <row r="1620" spans="1:16" s="396" customFormat="1" ht="14">
      <c r="A1620" s="138" t="s">
        <v>511</v>
      </c>
      <c r="B1620" s="139" t="s">
        <v>91</v>
      </c>
      <c r="C1620" s="141"/>
      <c r="D1620" s="447"/>
      <c r="E1620" s="447"/>
      <c r="F1620" s="447"/>
      <c r="G1620" s="447">
        <f>SUBTOTAL(9,G1621:G1670)</f>
        <v>1600415.01</v>
      </c>
      <c r="H1620" s="447">
        <f>SUBTOTAL(9,H1621:H1670)</f>
        <v>782399</v>
      </c>
      <c r="I1620" s="448"/>
      <c r="J1620" s="449"/>
      <c r="K1620" s="449"/>
      <c r="L1620" s="449"/>
      <c r="N1620" s="424"/>
      <c r="P1620" s="450"/>
    </row>
    <row r="1621" spans="1:16" s="398" customFormat="1" ht="14">
      <c r="A1621" s="133" t="s">
        <v>512</v>
      </c>
      <c r="B1621" s="134" t="s">
        <v>438</v>
      </c>
      <c r="C1621" s="135"/>
      <c r="D1621" s="453"/>
      <c r="E1621" s="453"/>
      <c r="F1621" s="601"/>
      <c r="G1621" s="62"/>
      <c r="H1621" s="62"/>
      <c r="I1621" s="402"/>
      <c r="J1621" s="454"/>
      <c r="K1621" s="440"/>
      <c r="L1621" s="440"/>
      <c r="N1621" s="395"/>
      <c r="P1621" s="455"/>
    </row>
    <row r="1622" spans="1:16" s="398" customFormat="1" ht="14">
      <c r="A1622" s="136" t="s">
        <v>8</v>
      </c>
      <c r="B1622" s="131" t="s">
        <v>439</v>
      </c>
      <c r="C1622" s="137" t="s">
        <v>126</v>
      </c>
      <c r="D1622" s="62">
        <v>578</v>
      </c>
      <c r="E1622" s="62">
        <v>578</v>
      </c>
      <c r="F1622" s="600">
        <v>495.5</v>
      </c>
      <c r="G1622" s="7">
        <f t="shared" ref="G1622:H1623" si="356">D1622*$F1622</f>
        <v>286399</v>
      </c>
      <c r="H1622" s="7">
        <f t="shared" si="356"/>
        <v>286399</v>
      </c>
      <c r="I1622" s="402"/>
      <c r="J1622" s="454" t="s">
        <v>6</v>
      </c>
      <c r="K1622" s="440" t="s">
        <v>196</v>
      </c>
      <c r="L1622" s="440" t="s">
        <v>94</v>
      </c>
      <c r="N1622" s="395"/>
      <c r="P1622" s="456" t="s">
        <v>1140</v>
      </c>
    </row>
    <row r="1623" spans="1:16" s="398" customFormat="1" ht="15.5">
      <c r="A1623" s="136" t="s">
        <v>8</v>
      </c>
      <c r="B1623" s="131" t="s">
        <v>518</v>
      </c>
      <c r="C1623" s="137" t="s">
        <v>24</v>
      </c>
      <c r="D1623" s="453"/>
      <c r="E1623" s="453"/>
      <c r="F1623" s="640">
        <v>855</v>
      </c>
      <c r="G1623" s="2">
        <f t="shared" si="356"/>
        <v>0</v>
      </c>
      <c r="H1623" s="2">
        <f t="shared" si="356"/>
        <v>0</v>
      </c>
      <c r="I1623" s="402"/>
      <c r="J1623" s="454" t="s">
        <v>6</v>
      </c>
      <c r="K1623" s="440" t="s">
        <v>196</v>
      </c>
      <c r="L1623" s="440" t="s">
        <v>94</v>
      </c>
      <c r="N1623" s="395"/>
      <c r="P1623" s="455"/>
    </row>
    <row r="1624" spans="1:16" s="398" customFormat="1" ht="14">
      <c r="A1624" s="133" t="s">
        <v>517</v>
      </c>
      <c r="B1624" s="134" t="s">
        <v>442</v>
      </c>
      <c r="C1624" s="135"/>
      <c r="D1624" s="453"/>
      <c r="E1624" s="453"/>
      <c r="F1624" s="601"/>
      <c r="G1624" s="62"/>
      <c r="H1624" s="62"/>
      <c r="I1624" s="402"/>
      <c r="J1624" s="454"/>
      <c r="K1624" s="454"/>
      <c r="L1624" s="454"/>
      <c r="N1624" s="395"/>
      <c r="P1624" s="455"/>
    </row>
    <row r="1625" spans="1:16" s="398" customFormat="1" ht="14">
      <c r="A1625" s="136" t="s">
        <v>8</v>
      </c>
      <c r="B1625" s="131" t="s">
        <v>519</v>
      </c>
      <c r="C1625" s="137" t="s">
        <v>15</v>
      </c>
      <c r="D1625" s="453"/>
      <c r="E1625" s="453"/>
      <c r="F1625" s="600">
        <v>2400</v>
      </c>
      <c r="G1625" s="2">
        <f t="shared" ref="G1625:H1627" si="357">D1625*$F1625</f>
        <v>0</v>
      </c>
      <c r="H1625" s="2">
        <f t="shared" si="357"/>
        <v>0</v>
      </c>
      <c r="I1625" s="402"/>
      <c r="J1625" s="454" t="s">
        <v>6</v>
      </c>
      <c r="K1625" s="440" t="s">
        <v>196</v>
      </c>
      <c r="L1625" s="440" t="s">
        <v>94</v>
      </c>
      <c r="N1625" s="395"/>
      <c r="P1625" s="455"/>
    </row>
    <row r="1626" spans="1:16" s="398" customFormat="1" ht="14">
      <c r="A1626" s="136" t="s">
        <v>8</v>
      </c>
      <c r="B1626" s="131" t="s">
        <v>443</v>
      </c>
      <c r="C1626" s="137" t="s">
        <v>15</v>
      </c>
      <c r="D1626" s="62">
        <v>50</v>
      </c>
      <c r="E1626" s="62">
        <v>50</v>
      </c>
      <c r="F1626" s="600">
        <v>5420</v>
      </c>
      <c r="G1626" s="7">
        <f t="shared" si="357"/>
        <v>271000</v>
      </c>
      <c r="H1626" s="7">
        <f t="shared" si="357"/>
        <v>271000</v>
      </c>
      <c r="I1626" s="402"/>
      <c r="J1626" s="454" t="s">
        <v>6</v>
      </c>
      <c r="K1626" s="440" t="s">
        <v>196</v>
      </c>
      <c r="L1626" s="440" t="s">
        <v>94</v>
      </c>
      <c r="N1626" s="395"/>
      <c r="P1626" s="456" t="s">
        <v>1141</v>
      </c>
    </row>
    <row r="1627" spans="1:16" s="398" customFormat="1" ht="14">
      <c r="A1627" s="136" t="s">
        <v>8</v>
      </c>
      <c r="B1627" s="131" t="s">
        <v>480</v>
      </c>
      <c r="C1627" s="137" t="s">
        <v>15</v>
      </c>
      <c r="D1627" s="453"/>
      <c r="E1627" s="453"/>
      <c r="F1627" s="634">
        <v>9350</v>
      </c>
      <c r="G1627" s="2">
        <f t="shared" si="357"/>
        <v>0</v>
      </c>
      <c r="H1627" s="2">
        <f t="shared" si="357"/>
        <v>0</v>
      </c>
      <c r="I1627" s="402"/>
      <c r="J1627" s="454" t="s">
        <v>6</v>
      </c>
      <c r="K1627" s="440" t="s">
        <v>196</v>
      </c>
      <c r="L1627" s="440" t="s">
        <v>94</v>
      </c>
      <c r="N1627" s="395"/>
      <c r="P1627" s="455"/>
    </row>
    <row r="1628" spans="1:16" s="398" customFormat="1" ht="14">
      <c r="A1628" s="133" t="s">
        <v>520</v>
      </c>
      <c r="B1628" s="134" t="s">
        <v>445</v>
      </c>
      <c r="C1628" s="135"/>
      <c r="D1628" s="453"/>
      <c r="E1628" s="453"/>
      <c r="F1628" s="601"/>
      <c r="G1628" s="453">
        <f>SUBTOTAL(9,G1629:G1631)</f>
        <v>11715</v>
      </c>
      <c r="H1628" s="453">
        <f>SUBTOTAL(9,H1629:H1631)</f>
        <v>0</v>
      </c>
      <c r="I1628" s="402"/>
      <c r="J1628" s="454"/>
      <c r="K1628" s="454"/>
      <c r="L1628" s="454"/>
      <c r="N1628" s="395"/>
      <c r="P1628" s="455"/>
    </row>
    <row r="1629" spans="1:16" s="398" customFormat="1" ht="14">
      <c r="A1629" s="136" t="s">
        <v>8</v>
      </c>
      <c r="B1629" s="131" t="s">
        <v>521</v>
      </c>
      <c r="C1629" s="137" t="s">
        <v>24</v>
      </c>
      <c r="D1629" s="453"/>
      <c r="E1629" s="453"/>
      <c r="F1629" s="600">
        <v>781</v>
      </c>
      <c r="G1629" s="2">
        <f t="shared" ref="G1629:H1631" si="358">D1629*$F1629</f>
        <v>0</v>
      </c>
      <c r="H1629" s="2">
        <f t="shared" si="358"/>
        <v>0</v>
      </c>
      <c r="I1629" s="402"/>
      <c r="J1629" s="454" t="s">
        <v>6</v>
      </c>
      <c r="K1629" s="440" t="s">
        <v>196</v>
      </c>
      <c r="L1629" s="440" t="s">
        <v>94</v>
      </c>
      <c r="N1629" s="395"/>
      <c r="P1629" s="455"/>
    </row>
    <row r="1630" spans="1:16" s="398" customFormat="1" ht="14">
      <c r="A1630" s="136" t="s">
        <v>8</v>
      </c>
      <c r="B1630" s="131" t="s">
        <v>522</v>
      </c>
      <c r="C1630" s="137" t="s">
        <v>24</v>
      </c>
      <c r="D1630" s="62">
        <v>15</v>
      </c>
      <c r="E1630" s="453"/>
      <c r="F1630" s="600">
        <v>781</v>
      </c>
      <c r="G1630" s="7">
        <f t="shared" si="358"/>
        <v>11715</v>
      </c>
      <c r="H1630" s="2">
        <f t="shared" si="358"/>
        <v>0</v>
      </c>
      <c r="I1630" s="402"/>
      <c r="J1630" s="454" t="s">
        <v>6</v>
      </c>
      <c r="K1630" s="440" t="s">
        <v>196</v>
      </c>
      <c r="L1630" s="440" t="s">
        <v>94</v>
      </c>
      <c r="N1630" s="395"/>
      <c r="P1630" s="456" t="s">
        <v>1142</v>
      </c>
    </row>
    <row r="1631" spans="1:16" s="398" customFormat="1" ht="14">
      <c r="A1631" s="136" t="s">
        <v>8</v>
      </c>
      <c r="B1631" s="131" t="s">
        <v>523</v>
      </c>
      <c r="C1631" s="137" t="s">
        <v>24</v>
      </c>
      <c r="D1631" s="453"/>
      <c r="E1631" s="453"/>
      <c r="F1631" s="600">
        <v>781</v>
      </c>
      <c r="G1631" s="2">
        <f t="shared" si="358"/>
        <v>0</v>
      </c>
      <c r="H1631" s="2">
        <f t="shared" si="358"/>
        <v>0</v>
      </c>
      <c r="I1631" s="402"/>
      <c r="J1631" s="454" t="s">
        <v>6</v>
      </c>
      <c r="K1631" s="440" t="s">
        <v>196</v>
      </c>
      <c r="L1631" s="440" t="s">
        <v>94</v>
      </c>
      <c r="N1631" s="395"/>
      <c r="P1631" s="455"/>
    </row>
    <row r="1632" spans="1:16" s="398" customFormat="1" ht="14">
      <c r="A1632" s="133" t="s">
        <v>524</v>
      </c>
      <c r="B1632" s="134" t="s">
        <v>448</v>
      </c>
      <c r="C1632" s="135"/>
      <c r="D1632" s="453"/>
      <c r="E1632" s="453"/>
      <c r="F1632" s="601"/>
      <c r="G1632" s="62"/>
      <c r="H1632" s="62"/>
      <c r="I1632" s="402"/>
      <c r="J1632" s="454"/>
      <c r="K1632" s="454"/>
      <c r="L1632" s="454"/>
      <c r="N1632" s="395"/>
      <c r="P1632" s="455"/>
    </row>
    <row r="1633" spans="1:16" s="398" customFormat="1" ht="14">
      <c r="A1633" s="133" t="s">
        <v>525</v>
      </c>
      <c r="B1633" s="134" t="s">
        <v>513</v>
      </c>
      <c r="C1633" s="135"/>
      <c r="D1633" s="453"/>
      <c r="E1633" s="453"/>
      <c r="F1633" s="601"/>
      <c r="G1633" s="62"/>
      <c r="H1633" s="62"/>
      <c r="I1633" s="402"/>
      <c r="J1633" s="454"/>
      <c r="K1633" s="454"/>
      <c r="L1633" s="454"/>
      <c r="N1633" s="395"/>
      <c r="P1633" s="455"/>
    </row>
    <row r="1634" spans="1:16" s="398" customFormat="1" ht="15.5">
      <c r="A1634" s="136" t="s">
        <v>8</v>
      </c>
      <c r="B1634" s="131" t="s">
        <v>514</v>
      </c>
      <c r="C1634" s="137" t="s">
        <v>24</v>
      </c>
      <c r="D1634" s="453"/>
      <c r="E1634" s="453"/>
      <c r="F1634" s="640">
        <v>738</v>
      </c>
      <c r="G1634" s="2">
        <f t="shared" ref="G1634:H1635" si="359">D1634*$F1634</f>
        <v>0</v>
      </c>
      <c r="H1634" s="2">
        <f t="shared" si="359"/>
        <v>0</v>
      </c>
      <c r="I1634" s="402"/>
      <c r="J1634" s="454" t="s">
        <v>6</v>
      </c>
      <c r="K1634" s="440" t="s">
        <v>196</v>
      </c>
      <c r="L1634" s="440" t="s">
        <v>94</v>
      </c>
      <c r="N1634" s="395"/>
      <c r="P1634" s="455"/>
    </row>
    <row r="1635" spans="1:16" s="398" customFormat="1" ht="15.5">
      <c r="A1635" s="136" t="s">
        <v>8</v>
      </c>
      <c r="B1635" s="131" t="s">
        <v>451</v>
      </c>
      <c r="C1635" s="137" t="s">
        <v>15</v>
      </c>
      <c r="D1635" s="453"/>
      <c r="E1635" s="453"/>
      <c r="F1635" s="640">
        <v>180</v>
      </c>
      <c r="G1635" s="2">
        <f t="shared" si="359"/>
        <v>0</v>
      </c>
      <c r="H1635" s="2">
        <f t="shared" si="359"/>
        <v>0</v>
      </c>
      <c r="I1635" s="402"/>
      <c r="J1635" s="454" t="s">
        <v>6</v>
      </c>
      <c r="K1635" s="440" t="s">
        <v>196</v>
      </c>
      <c r="L1635" s="440" t="s">
        <v>94</v>
      </c>
      <c r="N1635" s="395"/>
      <c r="P1635" s="455"/>
    </row>
    <row r="1636" spans="1:16" s="398" customFormat="1" ht="14">
      <c r="A1636" s="133" t="s">
        <v>526</v>
      </c>
      <c r="B1636" s="134" t="s">
        <v>477</v>
      </c>
      <c r="C1636" s="135"/>
      <c r="D1636" s="453"/>
      <c r="E1636" s="453"/>
      <c r="F1636" s="601"/>
      <c r="G1636" s="453">
        <f>SUBTOTAL(9,G1637:G1639)</f>
        <v>47430</v>
      </c>
      <c r="H1636" s="453">
        <f>SUBTOTAL(9,H1637:H1639)</f>
        <v>0</v>
      </c>
      <c r="I1636" s="402"/>
      <c r="J1636" s="454"/>
      <c r="K1636" s="454"/>
      <c r="L1636" s="454"/>
      <c r="N1636" s="395"/>
      <c r="P1636" s="455"/>
    </row>
    <row r="1637" spans="1:16" s="398" customFormat="1" ht="15.5">
      <c r="A1637" s="136" t="s">
        <v>8</v>
      </c>
      <c r="B1637" s="131" t="s">
        <v>478</v>
      </c>
      <c r="C1637" s="137" t="s">
        <v>24</v>
      </c>
      <c r="D1637" s="62">
        <v>15</v>
      </c>
      <c r="E1637" s="453"/>
      <c r="F1637" s="640">
        <v>738</v>
      </c>
      <c r="G1637" s="7">
        <f t="shared" ref="G1637:H1639" si="360">D1637*$F1637</f>
        <v>11070</v>
      </c>
      <c r="H1637" s="2">
        <f t="shared" si="360"/>
        <v>0</v>
      </c>
      <c r="I1637" s="402"/>
      <c r="J1637" s="454" t="s">
        <v>6</v>
      </c>
      <c r="K1637" s="440" t="s">
        <v>196</v>
      </c>
      <c r="L1637" s="440" t="s">
        <v>94</v>
      </c>
      <c r="N1637" s="395"/>
      <c r="P1637" s="456" t="s">
        <v>1331</v>
      </c>
    </row>
    <row r="1638" spans="1:16" s="398" customFormat="1" ht="15.5">
      <c r="A1638" s="136" t="s">
        <v>8</v>
      </c>
      <c r="B1638" s="131" t="s">
        <v>451</v>
      </c>
      <c r="C1638" s="137" t="s">
        <v>15</v>
      </c>
      <c r="D1638" s="62">
        <v>45</v>
      </c>
      <c r="E1638" s="453"/>
      <c r="F1638" s="640">
        <v>180</v>
      </c>
      <c r="G1638" s="7">
        <f t="shared" si="360"/>
        <v>8100</v>
      </c>
      <c r="H1638" s="2">
        <f t="shared" si="360"/>
        <v>0</v>
      </c>
      <c r="I1638" s="402"/>
      <c r="J1638" s="454" t="s">
        <v>6</v>
      </c>
      <c r="K1638" s="440" t="s">
        <v>196</v>
      </c>
      <c r="L1638" s="440" t="s">
        <v>94</v>
      </c>
      <c r="N1638" s="395"/>
      <c r="P1638" s="456" t="s">
        <v>1331</v>
      </c>
    </row>
    <row r="1639" spans="1:16" s="398" customFormat="1" ht="15.5">
      <c r="A1639" s="136" t="s">
        <v>8</v>
      </c>
      <c r="B1639" s="131" t="s">
        <v>479</v>
      </c>
      <c r="C1639" s="137" t="s">
        <v>15</v>
      </c>
      <c r="D1639" s="62">
        <v>90</v>
      </c>
      <c r="E1639" s="453"/>
      <c r="F1639" s="641">
        <v>314</v>
      </c>
      <c r="G1639" s="7">
        <f t="shared" si="360"/>
        <v>28260</v>
      </c>
      <c r="H1639" s="2">
        <f t="shared" si="360"/>
        <v>0</v>
      </c>
      <c r="I1639" s="402"/>
      <c r="J1639" s="454" t="s">
        <v>6</v>
      </c>
      <c r="K1639" s="440" t="s">
        <v>196</v>
      </c>
      <c r="L1639" s="440" t="s">
        <v>94</v>
      </c>
      <c r="N1639" s="395"/>
      <c r="P1639" s="456" t="s">
        <v>1331</v>
      </c>
    </row>
    <row r="1640" spans="1:16" s="398" customFormat="1" ht="14">
      <c r="A1640" s="133" t="s">
        <v>527</v>
      </c>
      <c r="B1640" s="134" t="s">
        <v>485</v>
      </c>
      <c r="C1640" s="135"/>
      <c r="D1640" s="453"/>
      <c r="E1640" s="453"/>
      <c r="F1640" s="601"/>
      <c r="G1640" s="62"/>
      <c r="H1640" s="62"/>
      <c r="I1640" s="402"/>
      <c r="J1640" s="454"/>
      <c r="K1640" s="454"/>
      <c r="L1640" s="454"/>
      <c r="N1640" s="395"/>
      <c r="P1640" s="455"/>
    </row>
    <row r="1641" spans="1:16" s="398" customFormat="1" ht="15.5">
      <c r="A1641" s="136" t="s">
        <v>8</v>
      </c>
      <c r="B1641" s="131" t="s">
        <v>528</v>
      </c>
      <c r="C1641" s="137" t="s">
        <v>31</v>
      </c>
      <c r="D1641" s="453"/>
      <c r="E1641" s="453"/>
      <c r="F1641" s="640"/>
      <c r="G1641" s="2">
        <f t="shared" ref="G1641:H1642" si="361">D1641*$F1641</f>
        <v>0</v>
      </c>
      <c r="H1641" s="2">
        <f t="shared" si="361"/>
        <v>0</v>
      </c>
      <c r="I1641" s="402"/>
      <c r="J1641" s="454" t="s">
        <v>6</v>
      </c>
      <c r="K1641" s="440" t="s">
        <v>196</v>
      </c>
      <c r="L1641" s="440" t="s">
        <v>94</v>
      </c>
      <c r="N1641" s="395"/>
      <c r="P1641" s="455"/>
    </row>
    <row r="1642" spans="1:16" s="398" customFormat="1" ht="14">
      <c r="A1642" s="136" t="s">
        <v>8</v>
      </c>
      <c r="B1642" s="131" t="s">
        <v>486</v>
      </c>
      <c r="C1642" s="137" t="s">
        <v>31</v>
      </c>
      <c r="D1642" s="453"/>
      <c r="E1642" s="453"/>
      <c r="F1642" s="600">
        <v>380</v>
      </c>
      <c r="G1642" s="2">
        <f t="shared" si="361"/>
        <v>0</v>
      </c>
      <c r="H1642" s="2">
        <f t="shared" si="361"/>
        <v>0</v>
      </c>
      <c r="I1642" s="402"/>
      <c r="J1642" s="454" t="s">
        <v>6</v>
      </c>
      <c r="K1642" s="440" t="s">
        <v>196</v>
      </c>
      <c r="L1642" s="440" t="s">
        <v>94</v>
      </c>
      <c r="N1642" s="395"/>
      <c r="P1642" s="455"/>
    </row>
    <row r="1643" spans="1:16" s="398" customFormat="1" ht="14">
      <c r="A1643" s="133" t="s">
        <v>529</v>
      </c>
      <c r="B1643" s="134" t="s">
        <v>1143</v>
      </c>
      <c r="C1643" s="135"/>
      <c r="D1643" s="453"/>
      <c r="E1643" s="453"/>
      <c r="F1643" s="601"/>
      <c r="G1643" s="62">
        <f>SUBTOTAL(9,G1645:G1653)</f>
        <v>0</v>
      </c>
      <c r="H1643" s="453">
        <f>SUBTOTAL(9,H1645:H1653)</f>
        <v>0</v>
      </c>
      <c r="I1643" s="402"/>
      <c r="J1643" s="454"/>
      <c r="K1643" s="454"/>
      <c r="L1643" s="454"/>
      <c r="N1643" s="395"/>
      <c r="P1643" s="455"/>
    </row>
    <row r="1644" spans="1:16" s="398" customFormat="1" ht="14">
      <c r="A1644" s="133" t="s">
        <v>530</v>
      </c>
      <c r="B1644" s="134" t="s">
        <v>477</v>
      </c>
      <c r="C1644" s="135"/>
      <c r="D1644" s="453"/>
      <c r="E1644" s="453"/>
      <c r="F1644" s="601"/>
      <c r="G1644" s="62"/>
      <c r="H1644" s="62"/>
      <c r="I1644" s="402"/>
      <c r="J1644" s="454"/>
      <c r="K1644" s="454"/>
      <c r="L1644" s="454"/>
      <c r="N1644" s="395"/>
      <c r="P1644" s="455"/>
    </row>
    <row r="1645" spans="1:16" s="398" customFormat="1" ht="15.5">
      <c r="A1645" s="136" t="s">
        <v>8</v>
      </c>
      <c r="B1645" s="131" t="s">
        <v>478</v>
      </c>
      <c r="C1645" s="137" t="s">
        <v>24</v>
      </c>
      <c r="D1645" s="62"/>
      <c r="E1645" s="453"/>
      <c r="F1645" s="640">
        <v>738</v>
      </c>
      <c r="G1645" s="7">
        <f t="shared" ref="G1645:H1647" si="362">D1645*$F1645</f>
        <v>0</v>
      </c>
      <c r="H1645" s="2">
        <f t="shared" si="362"/>
        <v>0</v>
      </c>
      <c r="I1645" s="402"/>
      <c r="J1645" s="454" t="s">
        <v>6</v>
      </c>
      <c r="K1645" s="440" t="s">
        <v>196</v>
      </c>
      <c r="L1645" s="440" t="s">
        <v>94</v>
      </c>
      <c r="N1645" s="395"/>
      <c r="P1645" s="456"/>
    </row>
    <row r="1646" spans="1:16" s="398" customFormat="1" ht="15.5">
      <c r="A1646" s="136" t="s">
        <v>8</v>
      </c>
      <c r="B1646" s="131" t="s">
        <v>451</v>
      </c>
      <c r="C1646" s="137" t="s">
        <v>15</v>
      </c>
      <c r="D1646" s="62"/>
      <c r="E1646" s="453"/>
      <c r="F1646" s="640">
        <v>180</v>
      </c>
      <c r="G1646" s="7">
        <f t="shared" si="362"/>
        <v>0</v>
      </c>
      <c r="H1646" s="2">
        <f t="shared" si="362"/>
        <v>0</v>
      </c>
      <c r="I1646" s="402"/>
      <c r="J1646" s="454" t="s">
        <v>6</v>
      </c>
      <c r="K1646" s="440" t="s">
        <v>196</v>
      </c>
      <c r="L1646" s="440" t="s">
        <v>94</v>
      </c>
      <c r="N1646" s="395"/>
      <c r="P1646" s="456"/>
    </row>
    <row r="1647" spans="1:16" s="398" customFormat="1" ht="15.5">
      <c r="A1647" s="136" t="s">
        <v>8</v>
      </c>
      <c r="B1647" s="131" t="s">
        <v>479</v>
      </c>
      <c r="C1647" s="137" t="s">
        <v>15</v>
      </c>
      <c r="D1647" s="62"/>
      <c r="E1647" s="453"/>
      <c r="F1647" s="641">
        <v>314</v>
      </c>
      <c r="G1647" s="7">
        <f t="shared" si="362"/>
        <v>0</v>
      </c>
      <c r="H1647" s="2">
        <f t="shared" si="362"/>
        <v>0</v>
      </c>
      <c r="I1647" s="402"/>
      <c r="J1647" s="454" t="s">
        <v>6</v>
      </c>
      <c r="K1647" s="440" t="s">
        <v>196</v>
      </c>
      <c r="L1647" s="440" t="s">
        <v>94</v>
      </c>
      <c r="N1647" s="395"/>
      <c r="P1647" s="456"/>
    </row>
    <row r="1648" spans="1:16" s="398" customFormat="1" ht="14">
      <c r="A1648" s="133" t="s">
        <v>531</v>
      </c>
      <c r="B1648" s="134" t="s">
        <v>532</v>
      </c>
      <c r="C1648" s="135"/>
      <c r="D1648" s="453"/>
      <c r="E1648" s="453"/>
      <c r="F1648" s="601"/>
      <c r="G1648" s="62"/>
      <c r="H1648" s="62"/>
      <c r="I1648" s="402"/>
      <c r="J1648" s="454"/>
      <c r="K1648" s="454"/>
      <c r="L1648" s="454"/>
      <c r="N1648" s="395"/>
      <c r="P1648" s="455"/>
    </row>
    <row r="1649" spans="1:16" s="398" customFormat="1" ht="14">
      <c r="A1649" s="136" t="s">
        <v>8</v>
      </c>
      <c r="B1649" s="131" t="s">
        <v>1119</v>
      </c>
      <c r="C1649" s="137" t="s">
        <v>10</v>
      </c>
      <c r="D1649" s="2"/>
      <c r="E1649" s="2"/>
      <c r="F1649" s="600">
        <v>2784.29</v>
      </c>
      <c r="G1649" s="7">
        <f t="shared" ref="G1649:H1653" si="363">D1649*$F1649</f>
        <v>0</v>
      </c>
      <c r="H1649" s="2">
        <f t="shared" si="363"/>
        <v>0</v>
      </c>
      <c r="I1649" s="402"/>
      <c r="J1649" s="454" t="s">
        <v>6</v>
      </c>
      <c r="K1649" s="440" t="s">
        <v>196</v>
      </c>
      <c r="L1649" s="440" t="s">
        <v>94</v>
      </c>
      <c r="N1649" s="395"/>
      <c r="P1649" s="455"/>
    </row>
    <row r="1650" spans="1:16" s="398" customFormat="1" ht="14">
      <c r="A1650" s="136" t="s">
        <v>8</v>
      </c>
      <c r="B1650" s="131" t="s">
        <v>1120</v>
      </c>
      <c r="C1650" s="137" t="s">
        <v>10</v>
      </c>
      <c r="D1650" s="2"/>
      <c r="E1650" s="2"/>
      <c r="F1650" s="600">
        <v>3670.27</v>
      </c>
      <c r="G1650" s="7">
        <f t="shared" si="363"/>
        <v>0</v>
      </c>
      <c r="H1650" s="2">
        <f t="shared" si="363"/>
        <v>0</v>
      </c>
      <c r="I1650" s="402"/>
      <c r="J1650" s="454" t="s">
        <v>6</v>
      </c>
      <c r="K1650" s="440" t="s">
        <v>196</v>
      </c>
      <c r="L1650" s="440" t="s">
        <v>94</v>
      </c>
      <c r="N1650" s="395"/>
      <c r="P1650" s="455"/>
    </row>
    <row r="1651" spans="1:16" s="398" customFormat="1" ht="14">
      <c r="A1651" s="136" t="s">
        <v>8</v>
      </c>
      <c r="B1651" s="637" t="s">
        <v>1121</v>
      </c>
      <c r="C1651" s="137" t="s">
        <v>10</v>
      </c>
      <c r="D1651" s="2"/>
      <c r="E1651" s="2"/>
      <c r="F1651" s="600">
        <v>4854.03</v>
      </c>
      <c r="G1651" s="7">
        <f t="shared" si="363"/>
        <v>0</v>
      </c>
      <c r="H1651" s="2">
        <f t="shared" si="363"/>
        <v>0</v>
      </c>
      <c r="I1651" s="402"/>
      <c r="J1651" s="454" t="s">
        <v>6</v>
      </c>
      <c r="K1651" s="440" t="s">
        <v>196</v>
      </c>
      <c r="L1651" s="440" t="s">
        <v>94</v>
      </c>
      <c r="N1651" s="395"/>
      <c r="P1651" s="455"/>
    </row>
    <row r="1652" spans="1:16" s="398" customFormat="1" ht="14">
      <c r="A1652" s="136" t="s">
        <v>8</v>
      </c>
      <c r="B1652" s="637" t="s">
        <v>1122</v>
      </c>
      <c r="C1652" s="137" t="s">
        <v>10</v>
      </c>
      <c r="D1652" s="2"/>
      <c r="E1652" s="2"/>
      <c r="F1652" s="600">
        <v>6184.6900000000005</v>
      </c>
      <c r="G1652" s="7">
        <f t="shared" si="363"/>
        <v>0</v>
      </c>
      <c r="H1652" s="2">
        <f t="shared" si="363"/>
        <v>0</v>
      </c>
      <c r="I1652" s="402"/>
      <c r="J1652" s="454" t="s">
        <v>6</v>
      </c>
      <c r="K1652" s="440" t="s">
        <v>196</v>
      </c>
      <c r="L1652" s="440" t="s">
        <v>94</v>
      </c>
      <c r="N1652" s="395"/>
      <c r="P1652" s="455"/>
    </row>
    <row r="1653" spans="1:16" s="398" customFormat="1" ht="14">
      <c r="A1653" s="136" t="s">
        <v>8</v>
      </c>
      <c r="B1653" s="637" t="s">
        <v>1123</v>
      </c>
      <c r="C1653" s="137" t="s">
        <v>10</v>
      </c>
      <c r="D1653" s="2"/>
      <c r="E1653" s="2"/>
      <c r="F1653" s="600">
        <v>6992.91</v>
      </c>
      <c r="G1653" s="7">
        <f t="shared" si="363"/>
        <v>0</v>
      </c>
      <c r="H1653" s="2">
        <f t="shared" si="363"/>
        <v>0</v>
      </c>
      <c r="I1653" s="402"/>
      <c r="J1653" s="454" t="s">
        <v>6</v>
      </c>
      <c r="K1653" s="440" t="s">
        <v>196</v>
      </c>
      <c r="L1653" s="440" t="s">
        <v>94</v>
      </c>
      <c r="N1653" s="395"/>
      <c r="P1653" s="455"/>
    </row>
    <row r="1654" spans="1:16" s="398" customFormat="1" ht="14">
      <c r="A1654" s="133" t="s">
        <v>533</v>
      </c>
      <c r="B1654" s="134" t="s">
        <v>534</v>
      </c>
      <c r="C1654" s="135"/>
      <c r="D1654" s="453"/>
      <c r="E1654" s="453"/>
      <c r="F1654" s="601"/>
      <c r="G1654" s="453">
        <f>SUBTOTAL(9,G1656:G1666)</f>
        <v>752121.01</v>
      </c>
      <c r="H1654" s="453">
        <f>SUBTOTAL(9,H1656:H1666)</f>
        <v>0</v>
      </c>
      <c r="I1654" s="402"/>
      <c r="J1654" s="454"/>
      <c r="K1654" s="454"/>
      <c r="L1654" s="454"/>
      <c r="N1654" s="395"/>
      <c r="P1654" s="455"/>
    </row>
    <row r="1655" spans="1:16" s="398" customFormat="1" ht="14">
      <c r="A1655" s="133" t="s">
        <v>535</v>
      </c>
      <c r="B1655" s="134" t="s">
        <v>477</v>
      </c>
      <c r="C1655" s="135"/>
      <c r="D1655" s="453"/>
      <c r="E1655" s="453"/>
      <c r="F1655" s="601"/>
      <c r="G1655" s="62"/>
      <c r="H1655" s="62"/>
      <c r="I1655" s="402"/>
      <c r="J1655" s="454"/>
      <c r="K1655" s="454"/>
      <c r="L1655" s="454"/>
      <c r="N1655" s="395"/>
      <c r="P1655" s="455"/>
    </row>
    <row r="1656" spans="1:16" s="398" customFormat="1" ht="15.5">
      <c r="A1656" s="136" t="s">
        <v>8</v>
      </c>
      <c r="B1656" s="131" t="s">
        <v>478</v>
      </c>
      <c r="C1656" s="137" t="s">
        <v>24</v>
      </c>
      <c r="D1656" s="62">
        <v>67</v>
      </c>
      <c r="E1656" s="62"/>
      <c r="F1656" s="640">
        <v>738</v>
      </c>
      <c r="G1656" s="7">
        <f t="shared" ref="G1656:H1658" si="364">D1656*$F1656</f>
        <v>49446</v>
      </c>
      <c r="H1656" s="7">
        <f t="shared" si="364"/>
        <v>0</v>
      </c>
      <c r="I1656" s="402"/>
      <c r="J1656" s="454" t="s">
        <v>6</v>
      </c>
      <c r="K1656" s="440" t="s">
        <v>196</v>
      </c>
      <c r="L1656" s="440" t="s">
        <v>94</v>
      </c>
      <c r="N1656" s="395"/>
      <c r="P1656" s="456" t="s">
        <v>1144</v>
      </c>
    </row>
    <row r="1657" spans="1:16" s="398" customFormat="1" ht="15.5">
      <c r="A1657" s="136" t="s">
        <v>8</v>
      </c>
      <c r="B1657" s="131" t="s">
        <v>451</v>
      </c>
      <c r="C1657" s="137" t="s">
        <v>15</v>
      </c>
      <c r="D1657" s="62">
        <v>201</v>
      </c>
      <c r="E1657" s="62"/>
      <c r="F1657" s="640">
        <v>180</v>
      </c>
      <c r="G1657" s="7">
        <f t="shared" si="364"/>
        <v>36180</v>
      </c>
      <c r="H1657" s="7">
        <f t="shared" si="364"/>
        <v>0</v>
      </c>
      <c r="I1657" s="402"/>
      <c r="J1657" s="454" t="s">
        <v>6</v>
      </c>
      <c r="K1657" s="440" t="s">
        <v>196</v>
      </c>
      <c r="L1657" s="440" t="s">
        <v>94</v>
      </c>
      <c r="N1657" s="395"/>
      <c r="P1657" s="456" t="s">
        <v>1144</v>
      </c>
    </row>
    <row r="1658" spans="1:16" s="398" customFormat="1" ht="15.5">
      <c r="A1658" s="136" t="s">
        <v>8</v>
      </c>
      <c r="B1658" s="131" t="s">
        <v>479</v>
      </c>
      <c r="C1658" s="137" t="s">
        <v>15</v>
      </c>
      <c r="D1658" s="62">
        <v>402</v>
      </c>
      <c r="E1658" s="62"/>
      <c r="F1658" s="641">
        <v>314</v>
      </c>
      <c r="G1658" s="7">
        <f t="shared" si="364"/>
        <v>126228</v>
      </c>
      <c r="H1658" s="7">
        <f t="shared" si="364"/>
        <v>0</v>
      </c>
      <c r="I1658" s="402"/>
      <c r="J1658" s="454" t="s">
        <v>6</v>
      </c>
      <c r="K1658" s="440" t="s">
        <v>196</v>
      </c>
      <c r="L1658" s="440" t="s">
        <v>94</v>
      </c>
      <c r="N1658" s="395"/>
      <c r="P1658" s="456" t="s">
        <v>1144</v>
      </c>
    </row>
    <row r="1659" spans="1:16" s="398" customFormat="1" ht="14">
      <c r="A1659" s="133" t="s">
        <v>536</v>
      </c>
      <c r="B1659" s="134" t="s">
        <v>532</v>
      </c>
      <c r="C1659" s="135"/>
      <c r="D1659" s="453"/>
      <c r="E1659" s="453"/>
      <c r="F1659" s="601"/>
      <c r="G1659" s="62"/>
      <c r="H1659" s="62"/>
      <c r="I1659" s="402"/>
      <c r="J1659" s="454"/>
      <c r="K1659" s="454"/>
      <c r="L1659" s="454"/>
      <c r="N1659" s="395"/>
      <c r="P1659" s="455"/>
    </row>
    <row r="1660" spans="1:16" s="398" customFormat="1" ht="14">
      <c r="A1660" s="136" t="s">
        <v>8</v>
      </c>
      <c r="B1660" s="131" t="s">
        <v>1119</v>
      </c>
      <c r="C1660" s="137" t="s">
        <v>10</v>
      </c>
      <c r="D1660" s="2"/>
      <c r="E1660" s="2"/>
      <c r="F1660" s="600">
        <v>2784.29</v>
      </c>
      <c r="G1660" s="7">
        <f t="shared" ref="G1660:H1664" si="365">D1660*$F1660</f>
        <v>0</v>
      </c>
      <c r="H1660" s="2">
        <f t="shared" si="365"/>
        <v>0</v>
      </c>
      <c r="I1660" s="402"/>
      <c r="J1660" s="454" t="s">
        <v>6</v>
      </c>
      <c r="K1660" s="440" t="s">
        <v>196</v>
      </c>
      <c r="L1660" s="440" t="s">
        <v>94</v>
      </c>
      <c r="N1660" s="395"/>
      <c r="P1660" s="455"/>
    </row>
    <row r="1661" spans="1:16" s="398" customFormat="1" ht="14">
      <c r="A1661" s="136" t="s">
        <v>8</v>
      </c>
      <c r="B1661" s="131" t="s">
        <v>1120</v>
      </c>
      <c r="C1661" s="137" t="s">
        <v>10</v>
      </c>
      <c r="D1661" s="7"/>
      <c r="E1661" s="7"/>
      <c r="F1661" s="600">
        <v>3670.27</v>
      </c>
      <c r="G1661" s="7">
        <f t="shared" si="365"/>
        <v>0</v>
      </c>
      <c r="H1661" s="7">
        <f t="shared" si="365"/>
        <v>0</v>
      </c>
      <c r="I1661" s="402"/>
      <c r="J1661" s="454" t="s">
        <v>6</v>
      </c>
      <c r="K1661" s="440" t="s">
        <v>196</v>
      </c>
      <c r="L1661" s="440" t="s">
        <v>94</v>
      </c>
      <c r="N1661" s="395"/>
      <c r="P1661" s="456"/>
    </row>
    <row r="1662" spans="1:16" s="398" customFormat="1" ht="14">
      <c r="A1662" s="136" t="s">
        <v>8</v>
      </c>
      <c r="B1662" s="637" t="s">
        <v>1121</v>
      </c>
      <c r="C1662" s="137" t="s">
        <v>10</v>
      </c>
      <c r="D1662" s="7">
        <v>67</v>
      </c>
      <c r="E1662" s="7"/>
      <c r="F1662" s="600">
        <v>4854.03</v>
      </c>
      <c r="G1662" s="7">
        <f t="shared" si="365"/>
        <v>325220.01</v>
      </c>
      <c r="H1662" s="7">
        <f t="shared" si="365"/>
        <v>0</v>
      </c>
      <c r="I1662" s="402"/>
      <c r="J1662" s="454" t="s">
        <v>6</v>
      </c>
      <c r="K1662" s="440" t="s">
        <v>196</v>
      </c>
      <c r="L1662" s="440" t="s">
        <v>94</v>
      </c>
      <c r="N1662" s="395"/>
      <c r="P1662" s="456" t="s">
        <v>1145</v>
      </c>
    </row>
    <row r="1663" spans="1:16" s="398" customFormat="1" ht="14">
      <c r="A1663" s="136" t="s">
        <v>8</v>
      </c>
      <c r="B1663" s="637" t="s">
        <v>1122</v>
      </c>
      <c r="C1663" s="137" t="s">
        <v>10</v>
      </c>
      <c r="D1663" s="2"/>
      <c r="E1663" s="2"/>
      <c r="F1663" s="600">
        <v>6184.6900000000005</v>
      </c>
      <c r="G1663" s="2">
        <f t="shared" si="365"/>
        <v>0</v>
      </c>
      <c r="H1663" s="2">
        <f t="shared" si="365"/>
        <v>0</v>
      </c>
      <c r="I1663" s="402"/>
      <c r="J1663" s="454" t="s">
        <v>6</v>
      </c>
      <c r="K1663" s="440" t="s">
        <v>196</v>
      </c>
      <c r="L1663" s="440" t="s">
        <v>94</v>
      </c>
      <c r="N1663" s="395"/>
      <c r="P1663" s="455"/>
    </row>
    <row r="1664" spans="1:16" s="398" customFormat="1" ht="14">
      <c r="A1664" s="136" t="s">
        <v>8</v>
      </c>
      <c r="B1664" s="637" t="s">
        <v>1123</v>
      </c>
      <c r="C1664" s="137" t="s">
        <v>10</v>
      </c>
      <c r="D1664" s="2"/>
      <c r="E1664" s="2"/>
      <c r="F1664" s="600">
        <v>6992.91</v>
      </c>
      <c r="G1664" s="2">
        <f t="shared" si="365"/>
        <v>0</v>
      </c>
      <c r="H1664" s="2">
        <f t="shared" si="365"/>
        <v>0</v>
      </c>
      <c r="I1664" s="402"/>
      <c r="J1664" s="454" t="s">
        <v>6</v>
      </c>
      <c r="K1664" s="440" t="s">
        <v>196</v>
      </c>
      <c r="L1664" s="440" t="s">
        <v>94</v>
      </c>
      <c r="N1664" s="395"/>
      <c r="P1664" s="455"/>
    </row>
    <row r="1665" spans="1:16" s="398" customFormat="1" ht="14">
      <c r="A1665" s="133" t="s">
        <v>1146</v>
      </c>
      <c r="B1665" s="134" t="s">
        <v>438</v>
      </c>
      <c r="C1665" s="137"/>
      <c r="D1665" s="2"/>
      <c r="E1665" s="2"/>
      <c r="F1665" s="600"/>
      <c r="G1665" s="2"/>
      <c r="H1665" s="2"/>
      <c r="I1665" s="402"/>
      <c r="J1665" s="454"/>
      <c r="K1665" s="440"/>
      <c r="L1665" s="440"/>
      <c r="N1665" s="395"/>
      <c r="P1665" s="455"/>
    </row>
    <row r="1666" spans="1:16" s="398" customFormat="1" ht="14">
      <c r="A1666" s="136" t="s">
        <v>8</v>
      </c>
      <c r="B1666" s="131" t="s">
        <v>439</v>
      </c>
      <c r="C1666" s="137" t="s">
        <v>126</v>
      </c>
      <c r="D1666" s="7">
        <v>434</v>
      </c>
      <c r="E1666" s="7"/>
      <c r="F1666" s="600">
        <v>495.5</v>
      </c>
      <c r="G1666" s="7">
        <f t="shared" ref="G1666:H1666" si="366">D1666*$F1666</f>
        <v>215047</v>
      </c>
      <c r="H1666" s="7">
        <f t="shared" si="366"/>
        <v>0</v>
      </c>
      <c r="I1666" s="402"/>
      <c r="J1666" s="454" t="s">
        <v>6</v>
      </c>
      <c r="K1666" s="440" t="s">
        <v>196</v>
      </c>
      <c r="L1666" s="440" t="s">
        <v>94</v>
      </c>
      <c r="N1666" s="395"/>
      <c r="P1666" s="456" t="s">
        <v>1332</v>
      </c>
    </row>
    <row r="1667" spans="1:16" s="398" customFormat="1" ht="14">
      <c r="A1667" s="133" t="s">
        <v>537</v>
      </c>
      <c r="B1667" s="134" t="s">
        <v>538</v>
      </c>
      <c r="C1667" s="135"/>
      <c r="D1667" s="453"/>
      <c r="E1667" s="453"/>
      <c r="F1667" s="601"/>
      <c r="G1667" s="453">
        <f>SUBTOTAL(9,G1668:G1670)</f>
        <v>231750</v>
      </c>
      <c r="H1667" s="453">
        <f>SUBTOTAL(9,H1668:H1670)</f>
        <v>225000</v>
      </c>
      <c r="I1667" s="402"/>
      <c r="J1667" s="454"/>
      <c r="K1667" s="454"/>
      <c r="L1667" s="454"/>
      <c r="N1667" s="395"/>
      <c r="P1667" s="455"/>
    </row>
    <row r="1668" spans="1:16" s="398" customFormat="1" ht="14">
      <c r="A1668" s="124" t="s">
        <v>8</v>
      </c>
      <c r="B1668" s="125" t="s">
        <v>1127</v>
      </c>
      <c r="C1668" s="126" t="s">
        <v>24</v>
      </c>
      <c r="D1668" s="643">
        <v>309</v>
      </c>
      <c r="E1668" s="62">
        <v>300</v>
      </c>
      <c r="F1668" s="636">
        <v>750</v>
      </c>
      <c r="G1668" s="7">
        <f t="shared" ref="G1668:H1670" si="367">D1668*$F1668</f>
        <v>231750</v>
      </c>
      <c r="H1668" s="7">
        <f t="shared" si="367"/>
        <v>225000</v>
      </c>
      <c r="I1668" s="402"/>
      <c r="J1668" s="454" t="s">
        <v>6</v>
      </c>
      <c r="K1668" s="440" t="s">
        <v>196</v>
      </c>
      <c r="L1668" s="440" t="s">
        <v>94</v>
      </c>
      <c r="N1668" s="395"/>
      <c r="P1668" s="456" t="s">
        <v>1147</v>
      </c>
    </row>
    <row r="1669" spans="1:16" s="398" customFormat="1" ht="14">
      <c r="A1669" s="136" t="s">
        <v>8</v>
      </c>
      <c r="B1669" s="131" t="s">
        <v>539</v>
      </c>
      <c r="C1669" s="137" t="s">
        <v>15</v>
      </c>
      <c r="D1669" s="453"/>
      <c r="E1669" s="453"/>
      <c r="F1669" s="636">
        <v>332.15</v>
      </c>
      <c r="G1669" s="2">
        <f t="shared" si="367"/>
        <v>0</v>
      </c>
      <c r="H1669" s="2">
        <f t="shared" si="367"/>
        <v>0</v>
      </c>
      <c r="I1669" s="402"/>
      <c r="J1669" s="454" t="s">
        <v>6</v>
      </c>
      <c r="K1669" s="440" t="s">
        <v>196</v>
      </c>
      <c r="L1669" s="440" t="s">
        <v>94</v>
      </c>
      <c r="N1669" s="395"/>
      <c r="P1669" s="455"/>
    </row>
    <row r="1670" spans="1:16" s="398" customFormat="1" ht="14">
      <c r="A1670" s="136" t="s">
        <v>8</v>
      </c>
      <c r="B1670" s="131" t="s">
        <v>1148</v>
      </c>
      <c r="C1670" s="137" t="s">
        <v>15</v>
      </c>
      <c r="D1670" s="453"/>
      <c r="E1670" s="453"/>
      <c r="F1670" s="636">
        <v>406</v>
      </c>
      <c r="G1670" s="2">
        <f t="shared" si="367"/>
        <v>0</v>
      </c>
      <c r="H1670" s="2">
        <f t="shared" si="367"/>
        <v>0</v>
      </c>
      <c r="I1670" s="402"/>
      <c r="J1670" s="454" t="s">
        <v>6</v>
      </c>
      <c r="K1670" s="440" t="s">
        <v>196</v>
      </c>
      <c r="L1670" s="440" t="s">
        <v>94</v>
      </c>
      <c r="N1670" s="395"/>
      <c r="P1670" s="455"/>
    </row>
    <row r="1671" spans="1:16" s="461" customFormat="1" ht="16" customHeight="1">
      <c r="A1671" s="138" t="s">
        <v>545</v>
      </c>
      <c r="B1671" s="139" t="s">
        <v>546</v>
      </c>
      <c r="C1671" s="141"/>
      <c r="D1671" s="457"/>
      <c r="E1671" s="457"/>
      <c r="F1671" s="644"/>
      <c r="G1671" s="447">
        <f>SUBTOTAL(9,G1672:G1701)</f>
        <v>320741.09999999998</v>
      </c>
      <c r="H1671" s="447">
        <f>SUBTOTAL(9,H1672:H1701)</f>
        <v>259849.1</v>
      </c>
      <c r="I1671" s="459"/>
      <c r="J1671" s="449"/>
      <c r="K1671" s="449"/>
      <c r="L1671" s="449"/>
      <c r="N1671" s="460"/>
      <c r="P1671" s="449"/>
    </row>
    <row r="1672" spans="1:16" s="458" customFormat="1" ht="14">
      <c r="A1672" s="133" t="s">
        <v>547</v>
      </c>
      <c r="B1672" s="134" t="s">
        <v>445</v>
      </c>
      <c r="C1672" s="137"/>
      <c r="D1672" s="62"/>
      <c r="E1672" s="62"/>
      <c r="F1672" s="644"/>
      <c r="G1672" s="62"/>
      <c r="H1672" s="62"/>
      <c r="I1672" s="13"/>
      <c r="J1672" s="454"/>
      <c r="K1672" s="454"/>
      <c r="L1672" s="454"/>
      <c r="N1672" s="394"/>
      <c r="P1672" s="454"/>
    </row>
    <row r="1673" spans="1:16" s="458" customFormat="1" ht="14">
      <c r="A1673" s="136" t="s">
        <v>8</v>
      </c>
      <c r="B1673" s="131" t="s">
        <v>521</v>
      </c>
      <c r="C1673" s="137" t="s">
        <v>24</v>
      </c>
      <c r="D1673" s="62">
        <v>63</v>
      </c>
      <c r="E1673" s="62">
        <v>63</v>
      </c>
      <c r="F1673" s="600">
        <v>781</v>
      </c>
      <c r="G1673" s="7">
        <f t="shared" ref="G1673:H1675" si="368">D1673*$F1673</f>
        <v>49203</v>
      </c>
      <c r="H1673" s="7">
        <f t="shared" si="368"/>
        <v>49203</v>
      </c>
      <c r="I1673" s="13"/>
      <c r="J1673" s="13" t="s">
        <v>6</v>
      </c>
      <c r="K1673" s="440" t="s">
        <v>288</v>
      </c>
      <c r="L1673" s="440" t="s">
        <v>94</v>
      </c>
      <c r="N1673" s="394"/>
      <c r="P1673" s="456" t="s">
        <v>1149</v>
      </c>
    </row>
    <row r="1674" spans="1:16" s="458" customFormat="1" ht="14">
      <c r="A1674" s="136" t="s">
        <v>8</v>
      </c>
      <c r="B1674" s="131" t="s">
        <v>522</v>
      </c>
      <c r="C1674" s="137" t="s">
        <v>24</v>
      </c>
      <c r="D1674" s="62">
        <v>78</v>
      </c>
      <c r="E1674" s="62">
        <v>78</v>
      </c>
      <c r="F1674" s="600">
        <v>781</v>
      </c>
      <c r="G1674" s="7">
        <f t="shared" si="368"/>
        <v>60918</v>
      </c>
      <c r="H1674" s="7">
        <f t="shared" si="368"/>
        <v>60918</v>
      </c>
      <c r="I1674" s="13"/>
      <c r="J1674" s="13" t="s">
        <v>6</v>
      </c>
      <c r="K1674" s="440" t="s">
        <v>288</v>
      </c>
      <c r="L1674" s="440" t="s">
        <v>94</v>
      </c>
      <c r="N1674" s="394"/>
      <c r="P1674" s="456" t="s">
        <v>1150</v>
      </c>
    </row>
    <row r="1675" spans="1:16" s="458" customFormat="1" ht="14">
      <c r="A1675" s="136" t="s">
        <v>8</v>
      </c>
      <c r="B1675" s="131" t="s">
        <v>523</v>
      </c>
      <c r="C1675" s="137" t="s">
        <v>24</v>
      </c>
      <c r="D1675" s="62">
        <v>8</v>
      </c>
      <c r="E1675" s="62">
        <v>8</v>
      </c>
      <c r="F1675" s="600">
        <v>781</v>
      </c>
      <c r="G1675" s="7">
        <f t="shared" si="368"/>
        <v>6248</v>
      </c>
      <c r="H1675" s="7">
        <f t="shared" si="368"/>
        <v>6248</v>
      </c>
      <c r="I1675" s="13"/>
      <c r="J1675" s="13" t="s">
        <v>6</v>
      </c>
      <c r="K1675" s="440" t="s">
        <v>288</v>
      </c>
      <c r="L1675" s="440" t="s">
        <v>94</v>
      </c>
      <c r="N1675" s="394"/>
      <c r="P1675" s="456" t="s">
        <v>1151</v>
      </c>
    </row>
    <row r="1676" spans="1:16" s="458" customFormat="1" ht="14">
      <c r="A1676" s="133" t="s">
        <v>548</v>
      </c>
      <c r="B1676" s="134" t="s">
        <v>549</v>
      </c>
      <c r="C1676" s="135"/>
      <c r="D1676" s="62"/>
      <c r="E1676" s="62"/>
      <c r="F1676" s="644"/>
      <c r="G1676" s="62"/>
      <c r="H1676" s="62"/>
      <c r="I1676" s="13"/>
      <c r="J1676" s="454"/>
      <c r="K1676" s="454"/>
      <c r="L1676" s="454"/>
      <c r="N1676" s="394"/>
      <c r="P1676" s="454"/>
    </row>
    <row r="1677" spans="1:16" s="458" customFormat="1" ht="14">
      <c r="A1677" s="136" t="s">
        <v>8</v>
      </c>
      <c r="B1677" s="125" t="s">
        <v>1152</v>
      </c>
      <c r="C1677" s="137" t="s">
        <v>15</v>
      </c>
      <c r="D1677" s="62">
        <v>0</v>
      </c>
      <c r="E1677" s="62">
        <v>0</v>
      </c>
      <c r="F1677" s="636">
        <v>231</v>
      </c>
      <c r="G1677" s="2">
        <f t="shared" ref="G1677:H1679" si="369">D1677*$F1677</f>
        <v>0</v>
      </c>
      <c r="H1677" s="2">
        <f t="shared" si="369"/>
        <v>0</v>
      </c>
      <c r="I1677" s="13"/>
      <c r="J1677" s="13" t="s">
        <v>6</v>
      </c>
      <c r="K1677" s="440" t="s">
        <v>288</v>
      </c>
      <c r="L1677" s="440" t="s">
        <v>94</v>
      </c>
      <c r="N1677" s="394"/>
      <c r="P1677" s="456" t="s">
        <v>1153</v>
      </c>
    </row>
    <row r="1678" spans="1:16" s="458" customFormat="1" ht="14">
      <c r="A1678" s="136" t="s">
        <v>8</v>
      </c>
      <c r="B1678" s="125" t="s">
        <v>1130</v>
      </c>
      <c r="C1678" s="137" t="s">
        <v>15</v>
      </c>
      <c r="D1678" s="62">
        <v>0</v>
      </c>
      <c r="E1678" s="62">
        <v>0</v>
      </c>
      <c r="F1678" s="600">
        <v>116.78</v>
      </c>
      <c r="G1678" s="2">
        <f t="shared" si="369"/>
        <v>0</v>
      </c>
      <c r="H1678" s="2">
        <f t="shared" si="369"/>
        <v>0</v>
      </c>
      <c r="I1678" s="13"/>
      <c r="J1678" s="13" t="s">
        <v>6</v>
      </c>
      <c r="K1678" s="440" t="s">
        <v>288</v>
      </c>
      <c r="L1678" s="440" t="s">
        <v>94</v>
      </c>
      <c r="N1678" s="394"/>
      <c r="P1678" s="456" t="s">
        <v>1154</v>
      </c>
    </row>
    <row r="1679" spans="1:16" s="458" customFormat="1" ht="14">
      <c r="A1679" s="136" t="s">
        <v>8</v>
      </c>
      <c r="B1679" s="125" t="s">
        <v>1155</v>
      </c>
      <c r="C1679" s="137" t="s">
        <v>15</v>
      </c>
      <c r="D1679" s="62">
        <v>10</v>
      </c>
      <c r="E1679" s="62">
        <v>10</v>
      </c>
      <c r="F1679" s="600">
        <v>288.01</v>
      </c>
      <c r="G1679" s="7">
        <f t="shared" si="369"/>
        <v>2880.1</v>
      </c>
      <c r="H1679" s="7">
        <f t="shared" si="369"/>
        <v>2880.1</v>
      </c>
      <c r="I1679" s="13"/>
      <c r="J1679" s="13" t="s">
        <v>6</v>
      </c>
      <c r="K1679" s="440" t="s">
        <v>288</v>
      </c>
      <c r="L1679" s="440" t="s">
        <v>94</v>
      </c>
      <c r="N1679" s="394"/>
      <c r="P1679" s="456" t="s">
        <v>1156</v>
      </c>
    </row>
    <row r="1680" spans="1:16" s="458" customFormat="1" ht="14">
      <c r="A1680" s="133" t="s">
        <v>550</v>
      </c>
      <c r="B1680" s="134" t="s">
        <v>551</v>
      </c>
      <c r="C1680" s="135"/>
      <c r="D1680" s="62"/>
      <c r="E1680" s="62"/>
      <c r="F1680" s="644"/>
      <c r="G1680" s="62"/>
      <c r="H1680" s="62"/>
      <c r="I1680" s="13"/>
      <c r="J1680" s="454"/>
      <c r="K1680" s="454"/>
      <c r="L1680" s="454"/>
      <c r="N1680" s="394"/>
      <c r="P1680" s="454"/>
    </row>
    <row r="1681" spans="1:16" s="458" customFormat="1" ht="14">
      <c r="A1681" s="136" t="s">
        <v>8</v>
      </c>
      <c r="B1681" s="633" t="s">
        <v>1132</v>
      </c>
      <c r="C1681" s="137" t="s">
        <v>15</v>
      </c>
      <c r="D1681" s="62">
        <v>0</v>
      </c>
      <c r="E1681" s="62">
        <v>0</v>
      </c>
      <c r="F1681" s="600">
        <v>184</v>
      </c>
      <c r="G1681" s="2">
        <f t="shared" ref="G1681:H1682" si="370">D1681*$F1681</f>
        <v>0</v>
      </c>
      <c r="H1681" s="2">
        <f t="shared" si="370"/>
        <v>0</v>
      </c>
      <c r="I1681" s="13"/>
      <c r="J1681" s="13" t="s">
        <v>6</v>
      </c>
      <c r="K1681" s="440" t="s">
        <v>288</v>
      </c>
      <c r="L1681" s="440" t="s">
        <v>94</v>
      </c>
      <c r="N1681" s="394"/>
      <c r="P1681" s="456" t="s">
        <v>1157</v>
      </c>
    </row>
    <row r="1682" spans="1:16" s="458" customFormat="1" ht="14">
      <c r="A1682" s="136" t="s">
        <v>8</v>
      </c>
      <c r="B1682" s="125" t="s">
        <v>1133</v>
      </c>
      <c r="C1682" s="137" t="s">
        <v>15</v>
      </c>
      <c r="D1682" s="62">
        <v>0</v>
      </c>
      <c r="E1682" s="62">
        <v>0</v>
      </c>
      <c r="F1682" s="600">
        <v>248.47</v>
      </c>
      <c r="G1682" s="2">
        <f t="shared" si="370"/>
        <v>0</v>
      </c>
      <c r="H1682" s="2">
        <f t="shared" si="370"/>
        <v>0</v>
      </c>
      <c r="I1682" s="13"/>
      <c r="J1682" s="13" t="s">
        <v>6</v>
      </c>
      <c r="K1682" s="440" t="s">
        <v>288</v>
      </c>
      <c r="L1682" s="440" t="s">
        <v>94</v>
      </c>
      <c r="N1682" s="394"/>
      <c r="P1682" s="454"/>
    </row>
    <row r="1683" spans="1:16" s="458" customFormat="1" ht="14">
      <c r="A1683" s="133" t="s">
        <v>552</v>
      </c>
      <c r="B1683" s="134" t="s">
        <v>553</v>
      </c>
      <c r="C1683" s="135"/>
      <c r="D1683" s="62"/>
      <c r="E1683" s="62"/>
      <c r="F1683" s="644"/>
      <c r="G1683" s="62"/>
      <c r="H1683" s="62"/>
      <c r="I1683" s="13"/>
      <c r="J1683" s="454"/>
      <c r="K1683" s="454"/>
      <c r="L1683" s="454"/>
      <c r="N1683" s="394"/>
      <c r="P1683" s="454"/>
    </row>
    <row r="1684" spans="1:16" s="458" customFormat="1" ht="14">
      <c r="A1684" s="136" t="s">
        <v>8</v>
      </c>
      <c r="B1684" s="125" t="s">
        <v>1158</v>
      </c>
      <c r="C1684" s="137" t="s">
        <v>15</v>
      </c>
      <c r="D1684" s="62">
        <v>0</v>
      </c>
      <c r="E1684" s="62">
        <v>0</v>
      </c>
      <c r="F1684" s="636">
        <v>350</v>
      </c>
      <c r="G1684" s="2">
        <f t="shared" ref="G1684:H1686" si="371">D1684*$F1684</f>
        <v>0</v>
      </c>
      <c r="H1684" s="2">
        <f t="shared" si="371"/>
        <v>0</v>
      </c>
      <c r="I1684" s="13"/>
      <c r="J1684" s="13" t="s">
        <v>6</v>
      </c>
      <c r="K1684" s="440" t="s">
        <v>288</v>
      </c>
      <c r="L1684" s="440" t="s">
        <v>94</v>
      </c>
      <c r="N1684" s="394"/>
      <c r="P1684" s="456" t="s">
        <v>1159</v>
      </c>
    </row>
    <row r="1685" spans="1:16" s="458" customFormat="1" ht="14">
      <c r="A1685" s="136" t="s">
        <v>8</v>
      </c>
      <c r="B1685" s="125" t="s">
        <v>1160</v>
      </c>
      <c r="C1685" s="137" t="s">
        <v>15</v>
      </c>
      <c r="D1685" s="62"/>
      <c r="E1685" s="62"/>
      <c r="F1685" s="636">
        <v>276.94</v>
      </c>
      <c r="G1685" s="2">
        <f t="shared" si="371"/>
        <v>0</v>
      </c>
      <c r="H1685" s="2">
        <f t="shared" si="371"/>
        <v>0</v>
      </c>
      <c r="I1685" s="13"/>
      <c r="J1685" s="13" t="s">
        <v>6</v>
      </c>
      <c r="K1685" s="440" t="s">
        <v>288</v>
      </c>
      <c r="L1685" s="440" t="s">
        <v>94</v>
      </c>
      <c r="N1685" s="394"/>
      <c r="P1685" s="454"/>
    </row>
    <row r="1686" spans="1:16" s="458" customFormat="1" ht="14">
      <c r="A1686" s="136" t="s">
        <v>8</v>
      </c>
      <c r="B1686" s="125" t="s">
        <v>1161</v>
      </c>
      <c r="C1686" s="137" t="s">
        <v>15</v>
      </c>
      <c r="D1686" s="62">
        <v>20</v>
      </c>
      <c r="E1686" s="62">
        <v>0</v>
      </c>
      <c r="F1686" s="636">
        <v>300</v>
      </c>
      <c r="G1686" s="7">
        <f t="shared" si="371"/>
        <v>6000</v>
      </c>
      <c r="H1686" s="7">
        <f t="shared" si="371"/>
        <v>0</v>
      </c>
      <c r="I1686" s="13"/>
      <c r="J1686" s="13" t="s">
        <v>6</v>
      </c>
      <c r="K1686" s="440" t="s">
        <v>288</v>
      </c>
      <c r="L1686" s="440" t="s">
        <v>94</v>
      </c>
      <c r="N1686" s="394"/>
      <c r="P1686" s="456" t="s">
        <v>1162</v>
      </c>
    </row>
    <row r="1687" spans="1:16" s="458" customFormat="1" ht="14">
      <c r="A1687" s="133" t="s">
        <v>554</v>
      </c>
      <c r="B1687" s="134" t="s">
        <v>485</v>
      </c>
      <c r="C1687" s="135"/>
      <c r="D1687" s="62"/>
      <c r="E1687" s="62"/>
      <c r="F1687" s="644"/>
      <c r="G1687" s="62"/>
      <c r="H1687" s="62"/>
      <c r="I1687" s="13"/>
      <c r="J1687" s="454"/>
      <c r="K1687" s="454"/>
      <c r="L1687" s="454"/>
      <c r="N1687" s="394"/>
      <c r="P1687" s="454"/>
    </row>
    <row r="1688" spans="1:16" s="458" customFormat="1" ht="14">
      <c r="A1688" s="136" t="s">
        <v>8</v>
      </c>
      <c r="B1688" s="131" t="s">
        <v>486</v>
      </c>
      <c r="C1688" s="137" t="s">
        <v>31</v>
      </c>
      <c r="D1688" s="62"/>
      <c r="E1688" s="62"/>
      <c r="F1688" s="636">
        <v>380</v>
      </c>
      <c r="G1688" s="2">
        <f t="shared" ref="G1688:H1688" si="372">D1688*$F1688</f>
        <v>0</v>
      </c>
      <c r="H1688" s="2">
        <f t="shared" si="372"/>
        <v>0</v>
      </c>
      <c r="I1688" s="13"/>
      <c r="J1688" s="13" t="s">
        <v>6</v>
      </c>
      <c r="K1688" s="440" t="s">
        <v>288</v>
      </c>
      <c r="L1688" s="440" t="s">
        <v>94</v>
      </c>
      <c r="N1688" s="394"/>
      <c r="P1688" s="456" t="s">
        <v>1163</v>
      </c>
    </row>
    <row r="1689" spans="1:16" s="458" customFormat="1" ht="14">
      <c r="A1689" s="133" t="s">
        <v>555</v>
      </c>
      <c r="B1689" s="134" t="s">
        <v>516</v>
      </c>
      <c r="C1689" s="137"/>
      <c r="D1689" s="62"/>
      <c r="E1689" s="62"/>
      <c r="F1689" s="644"/>
      <c r="G1689" s="62"/>
      <c r="H1689" s="62"/>
      <c r="I1689" s="13"/>
      <c r="J1689" s="454"/>
      <c r="K1689" s="454"/>
      <c r="L1689" s="454"/>
      <c r="N1689" s="394"/>
      <c r="P1689" s="454"/>
    </row>
    <row r="1690" spans="1:16" s="458" customFormat="1" ht="14">
      <c r="A1690" s="124" t="s">
        <v>8</v>
      </c>
      <c r="B1690" s="125" t="s">
        <v>1127</v>
      </c>
      <c r="C1690" s="126" t="s">
        <v>24</v>
      </c>
      <c r="D1690" s="62">
        <v>0</v>
      </c>
      <c r="E1690" s="62">
        <v>0</v>
      </c>
      <c r="F1690" s="636">
        <v>750</v>
      </c>
      <c r="G1690" s="2">
        <f t="shared" ref="G1690:H1701" si="373">D1690*$F1690</f>
        <v>0</v>
      </c>
      <c r="H1690" s="2">
        <f t="shared" si="373"/>
        <v>0</v>
      </c>
      <c r="I1690" s="13"/>
      <c r="J1690" s="13" t="s">
        <v>6</v>
      </c>
      <c r="K1690" s="440" t="s">
        <v>288</v>
      </c>
      <c r="L1690" s="440" t="s">
        <v>94</v>
      </c>
      <c r="N1690" s="394"/>
      <c r="P1690" s="456" t="s">
        <v>1164</v>
      </c>
    </row>
    <row r="1691" spans="1:16" s="458" customFormat="1" ht="14">
      <c r="A1691" s="136" t="s">
        <v>8</v>
      </c>
      <c r="B1691" s="131" t="s">
        <v>1148</v>
      </c>
      <c r="C1691" s="137" t="s">
        <v>15</v>
      </c>
      <c r="D1691" s="62">
        <v>200</v>
      </c>
      <c r="E1691" s="62">
        <v>100</v>
      </c>
      <c r="F1691" s="636">
        <v>406</v>
      </c>
      <c r="G1691" s="7">
        <f t="shared" si="373"/>
        <v>81200</v>
      </c>
      <c r="H1691" s="7">
        <f t="shared" si="373"/>
        <v>40600</v>
      </c>
      <c r="I1691" s="13"/>
      <c r="J1691" s="13" t="s">
        <v>6</v>
      </c>
      <c r="K1691" s="440" t="s">
        <v>288</v>
      </c>
      <c r="L1691" s="440" t="s">
        <v>94</v>
      </c>
      <c r="N1691" s="394"/>
      <c r="P1691" s="456" t="s">
        <v>1165</v>
      </c>
    </row>
    <row r="1692" spans="1:16" s="458" customFormat="1" ht="14">
      <c r="A1692" s="124" t="s">
        <v>8</v>
      </c>
      <c r="B1692" s="125" t="s">
        <v>541</v>
      </c>
      <c r="C1692" s="126" t="s">
        <v>15</v>
      </c>
      <c r="D1692" s="62"/>
      <c r="E1692" s="62"/>
      <c r="F1692" s="636">
        <v>30</v>
      </c>
      <c r="G1692" s="7">
        <f t="shared" si="373"/>
        <v>0</v>
      </c>
      <c r="H1692" s="2">
        <f t="shared" si="373"/>
        <v>0</v>
      </c>
      <c r="I1692" s="13"/>
      <c r="J1692" s="13" t="s">
        <v>6</v>
      </c>
      <c r="K1692" s="440" t="s">
        <v>288</v>
      </c>
      <c r="L1692" s="440" t="s">
        <v>94</v>
      </c>
      <c r="N1692" s="394"/>
      <c r="P1692" s="456" t="s">
        <v>1166</v>
      </c>
    </row>
    <row r="1693" spans="1:16" s="458" customFormat="1" ht="14">
      <c r="A1693" s="124" t="s">
        <v>8</v>
      </c>
      <c r="B1693" s="125" t="s">
        <v>542</v>
      </c>
      <c r="C1693" s="126" t="s">
        <v>24</v>
      </c>
      <c r="D1693" s="62"/>
      <c r="E1693" s="62"/>
      <c r="F1693" s="636">
        <v>2.5</v>
      </c>
      <c r="G1693" s="7">
        <f t="shared" si="373"/>
        <v>0</v>
      </c>
      <c r="H1693" s="2">
        <f t="shared" si="373"/>
        <v>0</v>
      </c>
      <c r="I1693" s="13"/>
      <c r="J1693" s="13" t="s">
        <v>6</v>
      </c>
      <c r="K1693" s="440" t="s">
        <v>288</v>
      </c>
      <c r="L1693" s="440" t="s">
        <v>94</v>
      </c>
      <c r="N1693" s="394"/>
      <c r="P1693" s="454"/>
    </row>
    <row r="1694" spans="1:16" s="458" customFormat="1" ht="14">
      <c r="A1694" s="124" t="s">
        <v>8</v>
      </c>
      <c r="B1694" s="633" t="s">
        <v>144</v>
      </c>
      <c r="C1694" s="645" t="s">
        <v>15</v>
      </c>
      <c r="D1694" s="62">
        <v>0</v>
      </c>
      <c r="E1694" s="62">
        <v>0</v>
      </c>
      <c r="F1694" s="600">
        <v>22</v>
      </c>
      <c r="G1694" s="7">
        <f t="shared" si="373"/>
        <v>0</v>
      </c>
      <c r="H1694" s="2">
        <f t="shared" si="373"/>
        <v>0</v>
      </c>
      <c r="I1694" s="13"/>
      <c r="J1694" s="13" t="s">
        <v>6</v>
      </c>
      <c r="K1694" s="440" t="s">
        <v>288</v>
      </c>
      <c r="L1694" s="440" t="s">
        <v>94</v>
      </c>
      <c r="N1694" s="394"/>
      <c r="P1694" s="456" t="s">
        <v>1167</v>
      </c>
    </row>
    <row r="1695" spans="1:16" s="458" customFormat="1" ht="14">
      <c r="A1695" s="124" t="s">
        <v>8</v>
      </c>
      <c r="B1695" s="646" t="s">
        <v>457</v>
      </c>
      <c r="C1695" s="647" t="s">
        <v>24</v>
      </c>
      <c r="D1695" s="62">
        <v>0</v>
      </c>
      <c r="E1695" s="62">
        <v>0</v>
      </c>
      <c r="F1695" s="600">
        <v>147</v>
      </c>
      <c r="G1695" s="7">
        <f t="shared" si="373"/>
        <v>0</v>
      </c>
      <c r="H1695" s="2">
        <f t="shared" si="373"/>
        <v>0</v>
      </c>
      <c r="I1695" s="13"/>
      <c r="J1695" s="13" t="s">
        <v>6</v>
      </c>
      <c r="K1695" s="440" t="s">
        <v>288</v>
      </c>
      <c r="L1695" s="440" t="s">
        <v>94</v>
      </c>
      <c r="N1695" s="394"/>
      <c r="P1695" s="456" t="s">
        <v>1168</v>
      </c>
    </row>
    <row r="1696" spans="1:16" s="458" customFormat="1" ht="14">
      <c r="A1696" s="124" t="s">
        <v>8</v>
      </c>
      <c r="B1696" s="633" t="s">
        <v>1169</v>
      </c>
      <c r="C1696" s="647" t="s">
        <v>24</v>
      </c>
      <c r="D1696" s="62">
        <v>0</v>
      </c>
      <c r="E1696" s="62">
        <v>0</v>
      </c>
      <c r="F1696" s="600">
        <v>70</v>
      </c>
      <c r="G1696" s="7">
        <f>D1696*$F1696</f>
        <v>0</v>
      </c>
      <c r="H1696" s="2">
        <f t="shared" si="373"/>
        <v>0</v>
      </c>
      <c r="I1696" s="13"/>
      <c r="J1696" s="13" t="s">
        <v>6</v>
      </c>
      <c r="K1696" s="440" t="s">
        <v>288</v>
      </c>
      <c r="L1696" s="440" t="s">
        <v>94</v>
      </c>
      <c r="N1696" s="394"/>
      <c r="P1696" s="456" t="s">
        <v>1170</v>
      </c>
    </row>
    <row r="1697" spans="1:18" s="458" customFormat="1" ht="14">
      <c r="A1697" s="124" t="s">
        <v>8</v>
      </c>
      <c r="B1697" s="633" t="s">
        <v>540</v>
      </c>
      <c r="C1697" s="645" t="s">
        <v>24</v>
      </c>
      <c r="D1697" s="62">
        <v>200</v>
      </c>
      <c r="E1697" s="62">
        <v>0</v>
      </c>
      <c r="F1697" s="600">
        <v>66.459999999999994</v>
      </c>
      <c r="G1697" s="2">
        <f t="shared" si="373"/>
        <v>13291.999999999998</v>
      </c>
      <c r="H1697" s="2">
        <f t="shared" si="373"/>
        <v>0</v>
      </c>
      <c r="I1697" s="13"/>
      <c r="J1697" s="13" t="s">
        <v>6</v>
      </c>
      <c r="K1697" s="440" t="s">
        <v>288</v>
      </c>
      <c r="L1697" s="440" t="s">
        <v>94</v>
      </c>
      <c r="N1697" s="394"/>
      <c r="P1697" s="456" t="s">
        <v>1171</v>
      </c>
    </row>
    <row r="1698" spans="1:18" s="458" customFormat="1" ht="14">
      <c r="A1698" s="124"/>
      <c r="B1698" s="633" t="s">
        <v>1172</v>
      </c>
      <c r="C1698" s="645" t="s">
        <v>15</v>
      </c>
      <c r="D1698" s="62">
        <v>0</v>
      </c>
      <c r="E1698" s="62"/>
      <c r="F1698" s="600">
        <v>25</v>
      </c>
      <c r="G1698" s="2">
        <f t="shared" si="373"/>
        <v>0</v>
      </c>
      <c r="H1698" s="2">
        <f t="shared" si="373"/>
        <v>0</v>
      </c>
      <c r="I1698" s="13"/>
      <c r="J1698" s="13" t="s">
        <v>6</v>
      </c>
      <c r="K1698" s="440" t="s">
        <v>288</v>
      </c>
      <c r="L1698" s="440" t="s">
        <v>94</v>
      </c>
      <c r="N1698" s="394"/>
      <c r="P1698" s="456" t="s">
        <v>1173</v>
      </c>
    </row>
    <row r="1699" spans="1:18" s="458" customFormat="1" ht="14">
      <c r="A1699" s="124"/>
      <c r="B1699" s="633" t="s">
        <v>1174</v>
      </c>
      <c r="C1699" s="645" t="s">
        <v>15</v>
      </c>
      <c r="D1699" s="62">
        <v>0</v>
      </c>
      <c r="E1699" s="62">
        <v>0</v>
      </c>
      <c r="F1699" s="600">
        <v>6.27</v>
      </c>
      <c r="G1699" s="2">
        <f t="shared" si="373"/>
        <v>0</v>
      </c>
      <c r="H1699" s="2">
        <f t="shared" si="373"/>
        <v>0</v>
      </c>
      <c r="I1699" s="13"/>
      <c r="J1699" s="13" t="s">
        <v>6</v>
      </c>
      <c r="K1699" s="440" t="s">
        <v>288</v>
      </c>
      <c r="L1699" s="440" t="s">
        <v>94</v>
      </c>
      <c r="N1699" s="394"/>
      <c r="P1699" s="456" t="s">
        <v>1175</v>
      </c>
    </row>
    <row r="1700" spans="1:18" s="458" customFormat="1" ht="14">
      <c r="A1700" s="124" t="s">
        <v>8</v>
      </c>
      <c r="B1700" s="633" t="s">
        <v>145</v>
      </c>
      <c r="C1700" s="645" t="s">
        <v>15</v>
      </c>
      <c r="D1700" s="62">
        <v>100</v>
      </c>
      <c r="E1700" s="62">
        <v>0</v>
      </c>
      <c r="F1700" s="600">
        <v>10</v>
      </c>
      <c r="G1700" s="7">
        <f t="shared" si="373"/>
        <v>1000</v>
      </c>
      <c r="H1700" s="7">
        <f t="shared" si="373"/>
        <v>0</v>
      </c>
      <c r="I1700" s="13"/>
      <c r="J1700" s="13" t="s">
        <v>6</v>
      </c>
      <c r="K1700" s="440" t="s">
        <v>288</v>
      </c>
      <c r="L1700" s="440" t="s">
        <v>94</v>
      </c>
      <c r="N1700" s="394"/>
      <c r="P1700" s="456" t="s">
        <v>1176</v>
      </c>
    </row>
    <row r="1701" spans="1:18" s="458" customFormat="1" ht="14">
      <c r="A1701" s="124" t="s">
        <v>8</v>
      </c>
      <c r="B1701" s="125" t="s">
        <v>543</v>
      </c>
      <c r="C1701" s="126" t="s">
        <v>9</v>
      </c>
      <c r="D1701" s="62">
        <v>1</v>
      </c>
      <c r="E1701" s="62">
        <v>1</v>
      </c>
      <c r="F1701" s="131">
        <v>100000</v>
      </c>
      <c r="G1701" s="7">
        <f t="shared" si="373"/>
        <v>100000</v>
      </c>
      <c r="H1701" s="7">
        <f t="shared" si="373"/>
        <v>100000</v>
      </c>
      <c r="I1701" s="402"/>
      <c r="J1701" s="13" t="s">
        <v>6</v>
      </c>
      <c r="K1701" s="440" t="s">
        <v>288</v>
      </c>
      <c r="L1701" s="440" t="s">
        <v>94</v>
      </c>
      <c r="N1701" s="394"/>
      <c r="P1701" s="456" t="s">
        <v>1177</v>
      </c>
    </row>
    <row r="1702" spans="1:18" s="4" customFormat="1">
      <c r="A1702" s="492" t="s">
        <v>1197</v>
      </c>
      <c r="B1702" s="648" t="s">
        <v>57</v>
      </c>
      <c r="C1702" s="649"/>
      <c r="D1702" s="495"/>
      <c r="E1702" s="495"/>
      <c r="F1702" s="601"/>
      <c r="G1702" s="495">
        <f>SUBTOTAL(9,G1703:G1904)</f>
        <v>0</v>
      </c>
      <c r="H1702" s="495">
        <f>SUBTOTAL(9,H1703:H1904)</f>
        <v>0</v>
      </c>
      <c r="I1702" s="650"/>
      <c r="J1702" s="650"/>
      <c r="K1702" s="650"/>
      <c r="L1702" s="650"/>
      <c r="M1702" s="650"/>
      <c r="N1702" s="651"/>
      <c r="O1702" s="40"/>
      <c r="P1702" s="42"/>
      <c r="Q1702" s="31"/>
      <c r="R1702" s="31"/>
    </row>
    <row r="1703" spans="1:18" s="396" customFormat="1">
      <c r="A1703" s="652" t="s">
        <v>4</v>
      </c>
      <c r="B1703" s="653" t="s">
        <v>66</v>
      </c>
      <c r="C1703" s="654"/>
      <c r="D1703" s="655"/>
      <c r="E1703" s="655"/>
      <c r="F1703" s="601"/>
      <c r="G1703" s="656">
        <f>SUBTOTAL(9,G1705:G1904)</f>
        <v>0</v>
      </c>
      <c r="H1703" s="656">
        <f>SUBTOTAL(9,H1705:H1904)</f>
        <v>0</v>
      </c>
      <c r="I1703" s="655"/>
      <c r="J1703" s="655"/>
      <c r="K1703" s="655"/>
      <c r="L1703" s="655"/>
      <c r="M1703" s="655"/>
      <c r="N1703" s="657"/>
      <c r="O1703" s="467"/>
      <c r="P1703" s="468"/>
    </row>
    <row r="1704" spans="1:18" s="458" customFormat="1">
      <c r="A1704" s="403">
        <v>1</v>
      </c>
      <c r="B1704" s="423" t="s">
        <v>67</v>
      </c>
      <c r="C1704" s="658"/>
      <c r="D1704" s="62"/>
      <c r="E1704" s="62"/>
      <c r="F1704" s="531"/>
      <c r="G1704" s="659"/>
      <c r="H1704" s="659"/>
      <c r="I1704" s="62"/>
      <c r="J1704" s="454"/>
      <c r="K1704" s="660"/>
      <c r="L1704" s="660"/>
      <c r="M1704" s="454"/>
      <c r="N1704" s="661"/>
      <c r="O1704" s="662"/>
      <c r="P1704" s="663"/>
    </row>
    <row r="1705" spans="1:18" s="458" customFormat="1">
      <c r="A1705" s="444">
        <v>1</v>
      </c>
      <c r="B1705" s="445" t="s">
        <v>769</v>
      </c>
      <c r="C1705" s="446"/>
      <c r="D1705" s="446"/>
      <c r="E1705" s="446"/>
      <c r="F1705" s="664"/>
      <c r="G1705" s="665">
        <f>SUBTOTAL(9,G1706:G1744)</f>
        <v>0</v>
      </c>
      <c r="H1705" s="665">
        <f>SUBTOTAL(9,H1706:H1744)</f>
        <v>0</v>
      </c>
      <c r="I1705" s="446"/>
      <c r="J1705" s="446"/>
      <c r="K1705" s="446"/>
      <c r="L1705" s="446"/>
      <c r="M1705" s="446"/>
      <c r="N1705" s="661"/>
      <c r="O1705" s="662"/>
      <c r="P1705" s="663"/>
    </row>
    <row r="1706" spans="1:18" s="458" customFormat="1">
      <c r="A1706" s="444">
        <v>1.1000000000000001</v>
      </c>
      <c r="B1706" s="445" t="s">
        <v>770</v>
      </c>
      <c r="C1706" s="446"/>
      <c r="D1706" s="446"/>
      <c r="E1706" s="446"/>
      <c r="F1706" s="664"/>
      <c r="G1706" s="665">
        <f>SUBTOTAL(9,G1707:G1721)</f>
        <v>0</v>
      </c>
      <c r="H1706" s="665">
        <f>SUBTOTAL(9,H1707:H1721)</f>
        <v>0</v>
      </c>
      <c r="I1706" s="446"/>
      <c r="J1706" s="446"/>
      <c r="K1706" s="446"/>
      <c r="L1706" s="446"/>
      <c r="M1706" s="446"/>
      <c r="N1706" s="661"/>
      <c r="O1706" s="662"/>
      <c r="P1706" s="663"/>
    </row>
    <row r="1707" spans="1:18" s="458" customFormat="1" ht="14">
      <c r="A1707" s="133" t="s">
        <v>437</v>
      </c>
      <c r="B1707" s="149" t="s">
        <v>771</v>
      </c>
      <c r="C1707" s="135"/>
      <c r="D1707" s="62"/>
      <c r="E1707" s="62"/>
      <c r="F1707" s="531"/>
      <c r="G1707" s="659"/>
      <c r="H1707" s="659"/>
      <c r="I1707" s="62"/>
      <c r="J1707" s="454"/>
      <c r="K1707" s="660"/>
      <c r="L1707" s="660"/>
      <c r="M1707" s="454"/>
      <c r="N1707" s="661"/>
      <c r="O1707" s="662"/>
      <c r="P1707" s="663"/>
    </row>
    <row r="1708" spans="1:18" s="458" customFormat="1" ht="14">
      <c r="A1708" s="136" t="s">
        <v>8</v>
      </c>
      <c r="B1708" s="131" t="s">
        <v>772</v>
      </c>
      <c r="C1708" s="137" t="s">
        <v>126</v>
      </c>
      <c r="D1708" s="62"/>
      <c r="E1708" s="62"/>
      <c r="F1708" s="531"/>
      <c r="G1708" s="7">
        <f t="shared" ref="G1708:H1709" si="374">D1708*$F1708</f>
        <v>0</v>
      </c>
      <c r="H1708" s="7">
        <f t="shared" si="374"/>
        <v>0</v>
      </c>
      <c r="I1708" s="62"/>
      <c r="J1708" s="454" t="s">
        <v>6</v>
      </c>
      <c r="K1708" s="454" t="s">
        <v>107</v>
      </c>
      <c r="L1708" s="440" t="s">
        <v>58</v>
      </c>
      <c r="M1708" s="454"/>
      <c r="N1708" s="661"/>
      <c r="O1708" s="662"/>
      <c r="P1708" s="663"/>
    </row>
    <row r="1709" spans="1:18" s="458" customFormat="1" ht="14">
      <c r="A1709" s="136" t="s">
        <v>8</v>
      </c>
      <c r="B1709" s="131" t="s">
        <v>773</v>
      </c>
      <c r="C1709" s="137" t="s">
        <v>31</v>
      </c>
      <c r="D1709" s="62"/>
      <c r="E1709" s="62"/>
      <c r="F1709" s="531"/>
      <c r="G1709" s="7">
        <f t="shared" si="374"/>
        <v>0</v>
      </c>
      <c r="H1709" s="7">
        <f t="shared" si="374"/>
        <v>0</v>
      </c>
      <c r="I1709" s="62"/>
      <c r="J1709" s="454" t="s">
        <v>6</v>
      </c>
      <c r="K1709" s="454" t="s">
        <v>107</v>
      </c>
      <c r="L1709" s="440" t="s">
        <v>58</v>
      </c>
      <c r="M1709" s="454"/>
      <c r="N1709" s="661"/>
      <c r="O1709" s="662"/>
      <c r="P1709" s="663"/>
    </row>
    <row r="1710" spans="1:18" s="458" customFormat="1" ht="14">
      <c r="A1710" s="133" t="s">
        <v>441</v>
      </c>
      <c r="B1710" s="134" t="s">
        <v>774</v>
      </c>
      <c r="C1710" s="135"/>
      <c r="D1710" s="62"/>
      <c r="E1710" s="62"/>
      <c r="F1710" s="531"/>
      <c r="G1710" s="659"/>
      <c r="H1710" s="659"/>
      <c r="I1710" s="62"/>
      <c r="J1710" s="454"/>
      <c r="K1710" s="454"/>
      <c r="L1710" s="660"/>
      <c r="M1710" s="454"/>
      <c r="N1710" s="661"/>
      <c r="O1710" s="662"/>
      <c r="P1710" s="663"/>
    </row>
    <row r="1711" spans="1:18" s="458" customFormat="1" ht="14">
      <c r="A1711" s="136" t="s">
        <v>8</v>
      </c>
      <c r="B1711" s="131" t="s">
        <v>775</v>
      </c>
      <c r="C1711" s="137" t="s">
        <v>15</v>
      </c>
      <c r="D1711" s="62"/>
      <c r="E1711" s="62"/>
      <c r="F1711" s="531"/>
      <c r="G1711" s="7">
        <f t="shared" ref="G1711:H1711" si="375">D1711*$F1711</f>
        <v>0</v>
      </c>
      <c r="H1711" s="7">
        <f t="shared" si="375"/>
        <v>0</v>
      </c>
      <c r="I1711" s="62"/>
      <c r="J1711" s="454" t="s">
        <v>6</v>
      </c>
      <c r="K1711" s="454" t="s">
        <v>107</v>
      </c>
      <c r="L1711" s="440" t="s">
        <v>58</v>
      </c>
      <c r="M1711" s="454"/>
      <c r="N1711" s="661"/>
      <c r="O1711" s="662"/>
      <c r="P1711" s="663"/>
    </row>
    <row r="1712" spans="1:18" s="458" customFormat="1" ht="14">
      <c r="A1712" s="133" t="s">
        <v>444</v>
      </c>
      <c r="B1712" s="134" t="s">
        <v>776</v>
      </c>
      <c r="C1712" s="135"/>
      <c r="D1712" s="62"/>
      <c r="E1712" s="62"/>
      <c r="F1712" s="531"/>
      <c r="G1712" s="659"/>
      <c r="H1712" s="659"/>
      <c r="I1712" s="62"/>
      <c r="J1712" s="454"/>
      <c r="K1712" s="454"/>
      <c r="L1712" s="660"/>
      <c r="M1712" s="454"/>
      <c r="N1712" s="661"/>
      <c r="O1712" s="662"/>
      <c r="P1712" s="663"/>
    </row>
    <row r="1713" spans="1:16" s="458" customFormat="1" ht="14">
      <c r="A1713" s="136" t="s">
        <v>8</v>
      </c>
      <c r="B1713" s="131" t="s">
        <v>777</v>
      </c>
      <c r="C1713" s="137" t="s">
        <v>24</v>
      </c>
      <c r="D1713" s="62"/>
      <c r="E1713" s="62"/>
      <c r="F1713" s="531"/>
      <c r="G1713" s="7">
        <f t="shared" ref="G1713:H1713" si="376">D1713*$F1713</f>
        <v>0</v>
      </c>
      <c r="H1713" s="7">
        <f t="shared" si="376"/>
        <v>0</v>
      </c>
      <c r="I1713" s="62"/>
      <c r="J1713" s="454" t="s">
        <v>6</v>
      </c>
      <c r="K1713" s="454" t="s">
        <v>107</v>
      </c>
      <c r="L1713" s="440" t="s">
        <v>58</v>
      </c>
      <c r="M1713" s="454"/>
      <c r="N1713" s="661"/>
      <c r="O1713" s="662"/>
      <c r="P1713" s="663"/>
    </row>
    <row r="1714" spans="1:16" s="458" customFormat="1" ht="14">
      <c r="A1714" s="133" t="s">
        <v>447</v>
      </c>
      <c r="B1714" s="134" t="s">
        <v>1178</v>
      </c>
      <c r="C1714" s="135"/>
      <c r="D1714" s="62"/>
      <c r="E1714" s="62"/>
      <c r="F1714" s="531"/>
      <c r="G1714" s="659"/>
      <c r="H1714" s="659"/>
      <c r="I1714" s="62"/>
      <c r="J1714" s="454"/>
      <c r="K1714" s="454"/>
      <c r="L1714" s="660"/>
      <c r="M1714" s="454"/>
      <c r="N1714" s="661"/>
      <c r="O1714" s="662"/>
      <c r="P1714" s="663"/>
    </row>
    <row r="1715" spans="1:16" s="458" customFormat="1" ht="14">
      <c r="A1715" s="136" t="s">
        <v>8</v>
      </c>
      <c r="B1715" s="131" t="s">
        <v>780</v>
      </c>
      <c r="C1715" s="137" t="s">
        <v>31</v>
      </c>
      <c r="D1715" s="62"/>
      <c r="E1715" s="62"/>
      <c r="F1715" s="531"/>
      <c r="G1715" s="7">
        <f t="shared" ref="G1715:H1716" si="377">D1715*$F1715</f>
        <v>0</v>
      </c>
      <c r="H1715" s="7">
        <f t="shared" si="377"/>
        <v>0</v>
      </c>
      <c r="I1715" s="62"/>
      <c r="J1715" s="454" t="s">
        <v>6</v>
      </c>
      <c r="K1715" s="454" t="s">
        <v>107</v>
      </c>
      <c r="L1715" s="440" t="s">
        <v>58</v>
      </c>
      <c r="M1715" s="454"/>
      <c r="N1715" s="661"/>
      <c r="O1715" s="662"/>
      <c r="P1715" s="663"/>
    </row>
    <row r="1716" spans="1:16" s="458" customFormat="1" ht="14">
      <c r="A1716" s="136" t="s">
        <v>8</v>
      </c>
      <c r="B1716" s="131" t="s">
        <v>781</v>
      </c>
      <c r="C1716" s="137" t="s">
        <v>15</v>
      </c>
      <c r="D1716" s="62"/>
      <c r="E1716" s="62"/>
      <c r="F1716" s="531"/>
      <c r="G1716" s="7">
        <f t="shared" si="377"/>
        <v>0</v>
      </c>
      <c r="H1716" s="7">
        <f t="shared" si="377"/>
        <v>0</v>
      </c>
      <c r="I1716" s="62"/>
      <c r="J1716" s="454" t="s">
        <v>6</v>
      </c>
      <c r="K1716" s="454" t="s">
        <v>107</v>
      </c>
      <c r="L1716" s="440" t="s">
        <v>58</v>
      </c>
      <c r="M1716" s="454"/>
      <c r="N1716" s="661"/>
      <c r="O1716" s="662"/>
      <c r="P1716" s="663"/>
    </row>
    <row r="1717" spans="1:16" s="458" customFormat="1" ht="14">
      <c r="A1717" s="133" t="s">
        <v>452</v>
      </c>
      <c r="B1717" s="134" t="s">
        <v>784</v>
      </c>
      <c r="C1717" s="135"/>
      <c r="D1717" s="62"/>
      <c r="E1717" s="62"/>
      <c r="F1717" s="531"/>
      <c r="G1717" s="659"/>
      <c r="H1717" s="659"/>
      <c r="I1717" s="62"/>
      <c r="J1717" s="454"/>
      <c r="K1717" s="454"/>
      <c r="L1717" s="660"/>
      <c r="M1717" s="454"/>
      <c r="N1717" s="661"/>
      <c r="O1717" s="662"/>
      <c r="P1717" s="663"/>
    </row>
    <row r="1718" spans="1:16" s="458" customFormat="1" ht="14">
      <c r="A1718" s="136" t="s">
        <v>8</v>
      </c>
      <c r="B1718" s="131" t="s">
        <v>785</v>
      </c>
      <c r="C1718" s="137" t="s">
        <v>15</v>
      </c>
      <c r="D1718" s="62"/>
      <c r="E1718" s="62"/>
      <c r="F1718" s="531"/>
      <c r="G1718" s="7">
        <f t="shared" ref="G1718:H1721" si="378">D1718*$F1718</f>
        <v>0</v>
      </c>
      <c r="H1718" s="7">
        <f t="shared" si="378"/>
        <v>0</v>
      </c>
      <c r="I1718" s="62"/>
      <c r="J1718" s="454" t="s">
        <v>6</v>
      </c>
      <c r="K1718" s="454" t="s">
        <v>107</v>
      </c>
      <c r="L1718" s="440" t="s">
        <v>58</v>
      </c>
      <c r="M1718" s="454"/>
      <c r="N1718" s="661"/>
      <c r="O1718" s="662"/>
      <c r="P1718" s="663"/>
    </row>
    <row r="1719" spans="1:16" s="458" customFormat="1" ht="14">
      <c r="A1719" s="136" t="s">
        <v>8</v>
      </c>
      <c r="B1719" s="131" t="s">
        <v>786</v>
      </c>
      <c r="C1719" s="137" t="s">
        <v>15</v>
      </c>
      <c r="D1719" s="62"/>
      <c r="E1719" s="62"/>
      <c r="F1719" s="531"/>
      <c r="G1719" s="7">
        <f t="shared" si="378"/>
        <v>0</v>
      </c>
      <c r="H1719" s="7">
        <f t="shared" si="378"/>
        <v>0</v>
      </c>
      <c r="I1719" s="62"/>
      <c r="J1719" s="454" t="s">
        <v>6</v>
      </c>
      <c r="K1719" s="454" t="s">
        <v>107</v>
      </c>
      <c r="L1719" s="440" t="s">
        <v>58</v>
      </c>
      <c r="M1719" s="454"/>
      <c r="N1719" s="661"/>
      <c r="O1719" s="662"/>
      <c r="P1719" s="663"/>
    </row>
    <row r="1720" spans="1:16" s="458" customFormat="1" ht="14">
      <c r="A1720" s="124" t="s">
        <v>8</v>
      </c>
      <c r="B1720" s="125" t="s">
        <v>787</v>
      </c>
      <c r="C1720" s="126" t="s">
        <v>15</v>
      </c>
      <c r="D1720" s="62"/>
      <c r="E1720" s="62"/>
      <c r="F1720" s="531"/>
      <c r="G1720" s="7">
        <f t="shared" si="378"/>
        <v>0</v>
      </c>
      <c r="H1720" s="7">
        <f t="shared" si="378"/>
        <v>0</v>
      </c>
      <c r="I1720" s="62"/>
      <c r="J1720" s="454" t="s">
        <v>6</v>
      </c>
      <c r="K1720" s="454" t="s">
        <v>107</v>
      </c>
      <c r="L1720" s="440" t="s">
        <v>58</v>
      </c>
      <c r="M1720" s="454"/>
      <c r="N1720" s="661"/>
      <c r="O1720" s="662"/>
      <c r="P1720" s="663"/>
    </row>
    <row r="1721" spans="1:16" s="458" customFormat="1" ht="14">
      <c r="A1721" s="124" t="s">
        <v>8</v>
      </c>
      <c r="B1721" s="125" t="s">
        <v>788</v>
      </c>
      <c r="C1721" s="126" t="s">
        <v>15</v>
      </c>
      <c r="D1721" s="62"/>
      <c r="E1721" s="62"/>
      <c r="F1721" s="531"/>
      <c r="G1721" s="7">
        <f t="shared" si="378"/>
        <v>0</v>
      </c>
      <c r="H1721" s="7">
        <f t="shared" si="378"/>
        <v>0</v>
      </c>
      <c r="I1721" s="62"/>
      <c r="J1721" s="454" t="s">
        <v>6</v>
      </c>
      <c r="K1721" s="454" t="s">
        <v>107</v>
      </c>
      <c r="L1721" s="440" t="s">
        <v>58</v>
      </c>
      <c r="M1721" s="454"/>
      <c r="N1721" s="661"/>
      <c r="O1721" s="662"/>
      <c r="P1721" s="663"/>
    </row>
    <row r="1722" spans="1:16" s="458" customFormat="1" ht="14">
      <c r="A1722" s="138" t="s">
        <v>422</v>
      </c>
      <c r="B1722" s="139" t="s">
        <v>789</v>
      </c>
      <c r="C1722" s="140"/>
      <c r="D1722" s="140"/>
      <c r="E1722" s="140"/>
      <c r="F1722" s="666"/>
      <c r="G1722" s="665">
        <f>SUBTOTAL(9,G1723:G1744)</f>
        <v>0</v>
      </c>
      <c r="H1722" s="665">
        <f>SUBTOTAL(9,H1723:H1744)</f>
        <v>0</v>
      </c>
      <c r="I1722" s="140"/>
      <c r="J1722" s="449"/>
      <c r="K1722" s="449"/>
      <c r="L1722" s="140"/>
      <c r="M1722" s="140"/>
      <c r="N1722" s="661"/>
      <c r="O1722" s="662"/>
      <c r="P1722" s="663"/>
    </row>
    <row r="1723" spans="1:16" s="458" customFormat="1" ht="14">
      <c r="A1723" s="133" t="s">
        <v>461</v>
      </c>
      <c r="B1723" s="134" t="s">
        <v>790</v>
      </c>
      <c r="C1723" s="135"/>
      <c r="D1723" s="62"/>
      <c r="E1723" s="62"/>
      <c r="F1723" s="531"/>
      <c r="G1723" s="659"/>
      <c r="H1723" s="659"/>
      <c r="I1723" s="62"/>
      <c r="J1723" s="454"/>
      <c r="K1723" s="454"/>
      <c r="L1723" s="660"/>
      <c r="M1723" s="454"/>
      <c r="N1723" s="661"/>
      <c r="O1723" s="662"/>
      <c r="P1723" s="663"/>
    </row>
    <row r="1724" spans="1:16" s="458" customFormat="1" ht="14">
      <c r="A1724" s="136" t="s">
        <v>8</v>
      </c>
      <c r="B1724" s="131" t="s">
        <v>772</v>
      </c>
      <c r="C1724" s="137" t="s">
        <v>126</v>
      </c>
      <c r="D1724" s="62"/>
      <c r="E1724" s="62"/>
      <c r="F1724" s="531"/>
      <c r="G1724" s="7">
        <f t="shared" ref="G1724:H1725" si="379">D1724*$F1724</f>
        <v>0</v>
      </c>
      <c r="H1724" s="7">
        <f t="shared" si="379"/>
        <v>0</v>
      </c>
      <c r="I1724" s="62"/>
      <c r="J1724" s="454" t="s">
        <v>6</v>
      </c>
      <c r="K1724" s="454" t="s">
        <v>107</v>
      </c>
      <c r="L1724" s="440" t="s">
        <v>58</v>
      </c>
      <c r="M1724" s="454"/>
      <c r="N1724" s="661"/>
      <c r="O1724" s="662"/>
      <c r="P1724" s="663"/>
    </row>
    <row r="1725" spans="1:16" s="458" customFormat="1" ht="14">
      <c r="A1725" s="136" t="s">
        <v>8</v>
      </c>
      <c r="B1725" s="131" t="s">
        <v>773</v>
      </c>
      <c r="C1725" s="137" t="s">
        <v>31</v>
      </c>
      <c r="D1725" s="62"/>
      <c r="E1725" s="62"/>
      <c r="F1725" s="531"/>
      <c r="G1725" s="7">
        <f t="shared" si="379"/>
        <v>0</v>
      </c>
      <c r="H1725" s="7">
        <f t="shared" si="379"/>
        <v>0</v>
      </c>
      <c r="I1725" s="62"/>
      <c r="J1725" s="454" t="s">
        <v>6</v>
      </c>
      <c r="K1725" s="454" t="s">
        <v>107</v>
      </c>
      <c r="L1725" s="440" t="s">
        <v>58</v>
      </c>
      <c r="M1725" s="454"/>
      <c r="N1725" s="661"/>
      <c r="O1725" s="662"/>
      <c r="P1725" s="663"/>
    </row>
    <row r="1726" spans="1:16" s="458" customFormat="1" ht="14">
      <c r="A1726" s="133" t="s">
        <v>462</v>
      </c>
      <c r="B1726" s="134" t="s">
        <v>774</v>
      </c>
      <c r="C1726" s="135"/>
      <c r="D1726" s="62"/>
      <c r="E1726" s="62"/>
      <c r="F1726" s="531"/>
      <c r="G1726" s="659"/>
      <c r="H1726" s="659"/>
      <c r="I1726" s="62"/>
      <c r="J1726" s="454"/>
      <c r="K1726" s="454"/>
      <c r="L1726" s="660"/>
      <c r="M1726" s="454"/>
      <c r="N1726" s="661"/>
      <c r="O1726" s="662"/>
      <c r="P1726" s="663"/>
    </row>
    <row r="1727" spans="1:16" s="458" customFormat="1" ht="14">
      <c r="A1727" s="136" t="s">
        <v>8</v>
      </c>
      <c r="B1727" s="131" t="s">
        <v>775</v>
      </c>
      <c r="C1727" s="137" t="s">
        <v>15</v>
      </c>
      <c r="D1727" s="62"/>
      <c r="E1727" s="62"/>
      <c r="F1727" s="531"/>
      <c r="G1727" s="7">
        <f t="shared" ref="G1727:H1727" si="380">D1727*$F1727</f>
        <v>0</v>
      </c>
      <c r="H1727" s="7">
        <f t="shared" si="380"/>
        <v>0</v>
      </c>
      <c r="I1727" s="62"/>
      <c r="J1727" s="454" t="s">
        <v>6</v>
      </c>
      <c r="K1727" s="454" t="s">
        <v>107</v>
      </c>
      <c r="L1727" s="440" t="s">
        <v>58</v>
      </c>
      <c r="M1727" s="454"/>
      <c r="N1727" s="661"/>
      <c r="O1727" s="662"/>
      <c r="P1727" s="663"/>
    </row>
    <row r="1728" spans="1:16" s="458" customFormat="1" ht="14">
      <c r="A1728" s="133" t="s">
        <v>463</v>
      </c>
      <c r="B1728" s="134" t="s">
        <v>779</v>
      </c>
      <c r="C1728" s="135"/>
      <c r="D1728" s="62"/>
      <c r="E1728" s="62"/>
      <c r="F1728" s="531"/>
      <c r="G1728" s="659"/>
      <c r="H1728" s="659"/>
      <c r="I1728" s="62"/>
      <c r="J1728" s="454"/>
      <c r="K1728" s="454"/>
      <c r="L1728" s="660"/>
      <c r="M1728" s="454"/>
      <c r="N1728" s="661"/>
      <c r="O1728" s="662"/>
      <c r="P1728" s="663"/>
    </row>
    <row r="1729" spans="1:16" s="458" customFormat="1" ht="14">
      <c r="A1729" s="136" t="s">
        <v>8</v>
      </c>
      <c r="B1729" s="131" t="s">
        <v>780</v>
      </c>
      <c r="C1729" s="137" t="s">
        <v>31</v>
      </c>
      <c r="D1729" s="62"/>
      <c r="E1729" s="62"/>
      <c r="F1729" s="531"/>
      <c r="G1729" s="7">
        <f t="shared" ref="G1729:H1731" si="381">D1729*$F1729</f>
        <v>0</v>
      </c>
      <c r="H1729" s="7">
        <f t="shared" si="381"/>
        <v>0</v>
      </c>
      <c r="I1729" s="62"/>
      <c r="J1729" s="454" t="s">
        <v>6</v>
      </c>
      <c r="K1729" s="454" t="s">
        <v>107</v>
      </c>
      <c r="L1729" s="440" t="s">
        <v>58</v>
      </c>
      <c r="M1729" s="454"/>
      <c r="N1729" s="661"/>
      <c r="O1729" s="662"/>
      <c r="P1729" s="663"/>
    </row>
    <row r="1730" spans="1:16" s="458" customFormat="1" ht="14">
      <c r="A1730" s="136" t="s">
        <v>8</v>
      </c>
      <c r="B1730" s="131" t="s">
        <v>781</v>
      </c>
      <c r="C1730" s="137" t="s">
        <v>15</v>
      </c>
      <c r="D1730" s="62"/>
      <c r="E1730" s="62"/>
      <c r="F1730" s="531"/>
      <c r="G1730" s="7">
        <f t="shared" si="381"/>
        <v>0</v>
      </c>
      <c r="H1730" s="7">
        <f t="shared" si="381"/>
        <v>0</v>
      </c>
      <c r="I1730" s="62"/>
      <c r="J1730" s="454" t="s">
        <v>6</v>
      </c>
      <c r="K1730" s="454" t="s">
        <v>107</v>
      </c>
      <c r="L1730" s="440" t="s">
        <v>58</v>
      </c>
      <c r="M1730" s="454"/>
      <c r="N1730" s="661"/>
      <c r="O1730" s="662"/>
      <c r="P1730" s="663"/>
    </row>
    <row r="1731" spans="1:16" s="458" customFormat="1" ht="14">
      <c r="A1731" s="136" t="s">
        <v>8</v>
      </c>
      <c r="B1731" s="131" t="s">
        <v>782</v>
      </c>
      <c r="C1731" s="137" t="s">
        <v>15</v>
      </c>
      <c r="D1731" s="62"/>
      <c r="E1731" s="62"/>
      <c r="F1731" s="667"/>
      <c r="G1731" s="7">
        <f t="shared" si="381"/>
        <v>0</v>
      </c>
      <c r="H1731" s="7">
        <f t="shared" si="381"/>
        <v>0</v>
      </c>
      <c r="I1731" s="62"/>
      <c r="J1731" s="454" t="s">
        <v>6</v>
      </c>
      <c r="K1731" s="454" t="s">
        <v>107</v>
      </c>
      <c r="L1731" s="440" t="s">
        <v>58</v>
      </c>
      <c r="M1731" s="454"/>
      <c r="N1731" s="661"/>
      <c r="O1731" s="662"/>
      <c r="P1731" s="663"/>
    </row>
    <row r="1732" spans="1:16" s="458" customFormat="1" ht="14">
      <c r="A1732" s="133" t="s">
        <v>464</v>
      </c>
      <c r="B1732" s="134" t="s">
        <v>783</v>
      </c>
      <c r="C1732" s="135"/>
      <c r="D1732" s="62"/>
      <c r="E1732" s="62"/>
      <c r="F1732" s="531"/>
      <c r="G1732" s="659"/>
      <c r="H1732" s="659"/>
      <c r="I1732" s="62"/>
      <c r="J1732" s="454"/>
      <c r="K1732" s="454"/>
      <c r="L1732" s="660"/>
      <c r="M1732" s="454"/>
      <c r="N1732" s="661"/>
      <c r="O1732" s="662"/>
      <c r="P1732" s="663"/>
    </row>
    <row r="1733" spans="1:16" s="458" customFormat="1" ht="14">
      <c r="A1733" s="136" t="s">
        <v>8</v>
      </c>
      <c r="B1733" s="630" t="s">
        <v>1179</v>
      </c>
      <c r="C1733" s="137" t="s">
        <v>10</v>
      </c>
      <c r="D1733" s="62"/>
      <c r="E1733" s="62"/>
      <c r="F1733" s="531"/>
      <c r="G1733" s="7">
        <f t="shared" ref="G1733:H1739" si="382">D1733*$F1733</f>
        <v>0</v>
      </c>
      <c r="H1733" s="7">
        <f t="shared" si="382"/>
        <v>0</v>
      </c>
      <c r="I1733" s="62"/>
      <c r="J1733" s="454" t="s">
        <v>6</v>
      </c>
      <c r="K1733" s="454" t="s">
        <v>107</v>
      </c>
      <c r="L1733" s="440" t="s">
        <v>58</v>
      </c>
      <c r="M1733" s="454"/>
      <c r="N1733" s="661"/>
      <c r="O1733" s="662"/>
      <c r="P1733" s="663"/>
    </row>
    <row r="1734" spans="1:16" s="458" customFormat="1" ht="14">
      <c r="A1734" s="136" t="s">
        <v>8</v>
      </c>
      <c r="B1734" s="630" t="s">
        <v>1180</v>
      </c>
      <c r="C1734" s="137" t="s">
        <v>10</v>
      </c>
      <c r="D1734" s="62"/>
      <c r="E1734" s="62"/>
      <c r="F1734" s="531"/>
      <c r="G1734" s="7">
        <f t="shared" si="382"/>
        <v>0</v>
      </c>
      <c r="H1734" s="7">
        <f t="shared" si="382"/>
        <v>0</v>
      </c>
      <c r="I1734" s="62"/>
      <c r="J1734" s="454" t="s">
        <v>6</v>
      </c>
      <c r="K1734" s="454" t="s">
        <v>107</v>
      </c>
      <c r="L1734" s="440" t="s">
        <v>58</v>
      </c>
      <c r="M1734" s="454"/>
      <c r="N1734" s="661"/>
      <c r="O1734" s="662"/>
      <c r="P1734" s="663"/>
    </row>
    <row r="1735" spans="1:16" s="458" customFormat="1" ht="14">
      <c r="A1735" s="136" t="s">
        <v>8</v>
      </c>
      <c r="B1735" s="637" t="s">
        <v>1181</v>
      </c>
      <c r="C1735" s="137" t="s">
        <v>10</v>
      </c>
      <c r="D1735" s="62"/>
      <c r="E1735" s="62"/>
      <c r="F1735" s="531"/>
      <c r="G1735" s="7">
        <f t="shared" si="382"/>
        <v>0</v>
      </c>
      <c r="H1735" s="7">
        <f t="shared" si="382"/>
        <v>0</v>
      </c>
      <c r="I1735" s="62"/>
      <c r="J1735" s="454" t="s">
        <v>6</v>
      </c>
      <c r="K1735" s="454" t="s">
        <v>107</v>
      </c>
      <c r="L1735" s="440" t="s">
        <v>58</v>
      </c>
      <c r="M1735" s="454"/>
      <c r="N1735" s="661"/>
      <c r="O1735" s="662"/>
      <c r="P1735" s="663"/>
    </row>
    <row r="1736" spans="1:16" s="458" customFormat="1" ht="14">
      <c r="A1736" s="136" t="s">
        <v>8</v>
      </c>
      <c r="B1736" s="637" t="s">
        <v>1182</v>
      </c>
      <c r="C1736" s="137" t="s">
        <v>10</v>
      </c>
      <c r="D1736" s="62"/>
      <c r="E1736" s="62"/>
      <c r="F1736" s="531"/>
      <c r="G1736" s="7">
        <f t="shared" si="382"/>
        <v>0</v>
      </c>
      <c r="H1736" s="7">
        <f t="shared" si="382"/>
        <v>0</v>
      </c>
      <c r="I1736" s="62"/>
      <c r="J1736" s="454" t="s">
        <v>6</v>
      </c>
      <c r="K1736" s="454" t="s">
        <v>107</v>
      </c>
      <c r="L1736" s="440" t="s">
        <v>58</v>
      </c>
      <c r="M1736" s="454"/>
      <c r="N1736" s="661"/>
      <c r="O1736" s="662"/>
      <c r="P1736" s="663"/>
    </row>
    <row r="1737" spans="1:16" s="458" customFormat="1" ht="14">
      <c r="A1737" s="136" t="s">
        <v>8</v>
      </c>
      <c r="B1737" s="637" t="s">
        <v>1183</v>
      </c>
      <c r="C1737" s="137" t="s">
        <v>10</v>
      </c>
      <c r="D1737" s="62"/>
      <c r="E1737" s="62"/>
      <c r="F1737" s="531"/>
      <c r="G1737" s="7">
        <f t="shared" si="382"/>
        <v>0</v>
      </c>
      <c r="H1737" s="7">
        <f t="shared" si="382"/>
        <v>0</v>
      </c>
      <c r="I1737" s="62"/>
      <c r="J1737" s="454" t="s">
        <v>6</v>
      </c>
      <c r="K1737" s="454" t="s">
        <v>107</v>
      </c>
      <c r="L1737" s="440" t="s">
        <v>58</v>
      </c>
      <c r="M1737" s="454"/>
      <c r="N1737" s="661"/>
      <c r="O1737" s="662"/>
      <c r="P1737" s="663"/>
    </row>
    <row r="1738" spans="1:16" s="458" customFormat="1" ht="14">
      <c r="A1738" s="136" t="s">
        <v>8</v>
      </c>
      <c r="B1738" s="637" t="s">
        <v>1184</v>
      </c>
      <c r="C1738" s="137" t="s">
        <v>10</v>
      </c>
      <c r="D1738" s="62"/>
      <c r="E1738" s="62"/>
      <c r="F1738" s="531"/>
      <c r="G1738" s="7">
        <f t="shared" si="382"/>
        <v>0</v>
      </c>
      <c r="H1738" s="7">
        <f t="shared" si="382"/>
        <v>0</v>
      </c>
      <c r="I1738" s="62"/>
      <c r="J1738" s="454" t="s">
        <v>6</v>
      </c>
      <c r="K1738" s="454" t="s">
        <v>107</v>
      </c>
      <c r="L1738" s="440" t="s">
        <v>58</v>
      </c>
      <c r="M1738" s="454"/>
      <c r="N1738" s="661"/>
      <c r="O1738" s="662"/>
      <c r="P1738" s="663"/>
    </row>
    <row r="1739" spans="1:16" s="458" customFormat="1" ht="14">
      <c r="A1739" s="136" t="s">
        <v>8</v>
      </c>
      <c r="B1739" s="637" t="s">
        <v>1185</v>
      </c>
      <c r="C1739" s="137" t="s">
        <v>10</v>
      </c>
      <c r="D1739" s="62"/>
      <c r="E1739" s="62"/>
      <c r="F1739" s="531"/>
      <c r="G1739" s="7">
        <f t="shared" si="382"/>
        <v>0</v>
      </c>
      <c r="H1739" s="7">
        <f t="shared" si="382"/>
        <v>0</v>
      </c>
      <c r="I1739" s="62"/>
      <c r="J1739" s="454" t="s">
        <v>6</v>
      </c>
      <c r="K1739" s="454" t="s">
        <v>107</v>
      </c>
      <c r="L1739" s="440" t="s">
        <v>58</v>
      </c>
      <c r="M1739" s="454"/>
      <c r="N1739" s="661"/>
      <c r="O1739" s="662"/>
      <c r="P1739" s="663"/>
    </row>
    <row r="1740" spans="1:16" s="458" customFormat="1" ht="14">
      <c r="A1740" s="133" t="s">
        <v>465</v>
      </c>
      <c r="B1740" s="134" t="s">
        <v>784</v>
      </c>
      <c r="C1740" s="135"/>
      <c r="D1740" s="62"/>
      <c r="E1740" s="62"/>
      <c r="F1740" s="531"/>
      <c r="G1740" s="659"/>
      <c r="H1740" s="659"/>
      <c r="I1740" s="62"/>
      <c r="J1740" s="454"/>
      <c r="K1740" s="454"/>
      <c r="L1740" s="660"/>
      <c r="M1740" s="454"/>
      <c r="N1740" s="661"/>
      <c r="O1740" s="662"/>
      <c r="P1740" s="663"/>
    </row>
    <row r="1741" spans="1:16" s="458" customFormat="1" ht="14">
      <c r="A1741" s="136" t="s">
        <v>8</v>
      </c>
      <c r="B1741" s="131" t="s">
        <v>785</v>
      </c>
      <c r="C1741" s="137" t="s">
        <v>15</v>
      </c>
      <c r="D1741" s="62"/>
      <c r="E1741" s="62"/>
      <c r="F1741" s="531"/>
      <c r="G1741" s="7">
        <f t="shared" ref="G1741:H1744" si="383">D1741*$F1741</f>
        <v>0</v>
      </c>
      <c r="H1741" s="7">
        <f t="shared" si="383"/>
        <v>0</v>
      </c>
      <c r="I1741" s="62"/>
      <c r="J1741" s="454" t="s">
        <v>6</v>
      </c>
      <c r="K1741" s="454" t="s">
        <v>107</v>
      </c>
      <c r="L1741" s="440" t="s">
        <v>58</v>
      </c>
      <c r="M1741" s="454"/>
      <c r="N1741" s="661"/>
      <c r="O1741" s="662"/>
      <c r="P1741" s="663"/>
    </row>
    <row r="1742" spans="1:16" s="458" customFormat="1" ht="14">
      <c r="A1742" s="136" t="s">
        <v>8</v>
      </c>
      <c r="B1742" s="131" t="s">
        <v>786</v>
      </c>
      <c r="C1742" s="137" t="s">
        <v>15</v>
      </c>
      <c r="D1742" s="62"/>
      <c r="E1742" s="62"/>
      <c r="F1742" s="531"/>
      <c r="G1742" s="7">
        <f t="shared" si="383"/>
        <v>0</v>
      </c>
      <c r="H1742" s="7">
        <f t="shared" si="383"/>
        <v>0</v>
      </c>
      <c r="I1742" s="62"/>
      <c r="J1742" s="454" t="s">
        <v>6</v>
      </c>
      <c r="K1742" s="454" t="s">
        <v>107</v>
      </c>
      <c r="L1742" s="440" t="s">
        <v>58</v>
      </c>
      <c r="M1742" s="454"/>
      <c r="N1742" s="661"/>
      <c r="O1742" s="662"/>
      <c r="P1742" s="663"/>
    </row>
    <row r="1743" spans="1:16" s="458" customFormat="1" ht="14">
      <c r="A1743" s="124" t="s">
        <v>8</v>
      </c>
      <c r="B1743" s="125" t="s">
        <v>787</v>
      </c>
      <c r="C1743" s="126" t="s">
        <v>15</v>
      </c>
      <c r="D1743" s="62"/>
      <c r="E1743" s="62"/>
      <c r="F1743" s="531"/>
      <c r="G1743" s="7">
        <f t="shared" si="383"/>
        <v>0</v>
      </c>
      <c r="H1743" s="7">
        <f t="shared" si="383"/>
        <v>0</v>
      </c>
      <c r="I1743" s="62"/>
      <c r="J1743" s="454" t="s">
        <v>6</v>
      </c>
      <c r="K1743" s="454" t="s">
        <v>107</v>
      </c>
      <c r="L1743" s="440" t="s">
        <v>58</v>
      </c>
      <c r="M1743" s="454"/>
      <c r="N1743" s="661"/>
      <c r="O1743" s="662"/>
      <c r="P1743" s="663"/>
    </row>
    <row r="1744" spans="1:16" s="458" customFormat="1" ht="14">
      <c r="A1744" s="124" t="s">
        <v>8</v>
      </c>
      <c r="B1744" s="125" t="s">
        <v>788</v>
      </c>
      <c r="C1744" s="126" t="s">
        <v>15</v>
      </c>
      <c r="D1744" s="62"/>
      <c r="E1744" s="62"/>
      <c r="F1744" s="531"/>
      <c r="G1744" s="7">
        <f t="shared" si="383"/>
        <v>0</v>
      </c>
      <c r="H1744" s="7">
        <f t="shared" si="383"/>
        <v>0</v>
      </c>
      <c r="I1744" s="62"/>
      <c r="J1744" s="454" t="s">
        <v>6</v>
      </c>
      <c r="K1744" s="454" t="s">
        <v>107</v>
      </c>
      <c r="L1744" s="440" t="s">
        <v>58</v>
      </c>
      <c r="M1744" s="454"/>
      <c r="N1744" s="661"/>
      <c r="O1744" s="662"/>
      <c r="P1744" s="663"/>
    </row>
    <row r="1745" spans="1:16" s="458" customFormat="1">
      <c r="A1745" s="444">
        <v>2</v>
      </c>
      <c r="B1745" s="445" t="s">
        <v>791</v>
      </c>
      <c r="C1745" s="446"/>
      <c r="D1745" s="446"/>
      <c r="E1745" s="446"/>
      <c r="F1745" s="664"/>
      <c r="G1745" s="665">
        <f>SUBTOTAL(9,G1746:G1785)</f>
        <v>0</v>
      </c>
      <c r="H1745" s="665">
        <f>SUBTOTAL(9,H1746:H1785)</f>
        <v>0</v>
      </c>
      <c r="I1745" s="446"/>
      <c r="J1745" s="449"/>
      <c r="K1745" s="449"/>
      <c r="L1745" s="446"/>
      <c r="M1745" s="446"/>
      <c r="N1745" s="661"/>
      <c r="O1745" s="662"/>
      <c r="P1745" s="663"/>
    </row>
    <row r="1746" spans="1:16" s="458" customFormat="1" ht="15.65" customHeight="1">
      <c r="A1746" s="444">
        <v>2.1</v>
      </c>
      <c r="B1746" s="445" t="s">
        <v>792</v>
      </c>
      <c r="C1746" s="446"/>
      <c r="D1746" s="446"/>
      <c r="E1746" s="446"/>
      <c r="F1746" s="664"/>
      <c r="G1746" s="665">
        <f>SUBTOTAL(9,G1747:G1761)</f>
        <v>0</v>
      </c>
      <c r="H1746" s="665">
        <f>SUBTOTAL(9,H1747:H1761)</f>
        <v>0</v>
      </c>
      <c r="I1746" s="446"/>
      <c r="J1746" s="449"/>
      <c r="K1746" s="449"/>
      <c r="L1746" s="446"/>
      <c r="M1746" s="446"/>
      <c r="N1746" s="661"/>
      <c r="O1746" s="662"/>
      <c r="P1746" s="663"/>
    </row>
    <row r="1747" spans="1:16" s="458" customFormat="1" ht="14">
      <c r="A1747" s="133" t="s">
        <v>392</v>
      </c>
      <c r="B1747" s="134" t="s">
        <v>790</v>
      </c>
      <c r="C1747" s="135"/>
      <c r="D1747" s="62"/>
      <c r="E1747" s="62"/>
      <c r="F1747" s="531"/>
      <c r="G1747" s="659"/>
      <c r="H1747" s="659"/>
      <c r="I1747" s="62"/>
      <c r="J1747" s="454"/>
      <c r="K1747" s="454"/>
      <c r="L1747" s="660"/>
      <c r="M1747" s="454"/>
      <c r="N1747" s="661"/>
      <c r="O1747" s="662"/>
      <c r="P1747" s="663"/>
    </row>
    <row r="1748" spans="1:16" s="458" customFormat="1" ht="14">
      <c r="A1748" s="136" t="s">
        <v>8</v>
      </c>
      <c r="B1748" s="131" t="s">
        <v>772</v>
      </c>
      <c r="C1748" s="137" t="s">
        <v>126</v>
      </c>
      <c r="D1748" s="62"/>
      <c r="E1748" s="62"/>
      <c r="F1748" s="531"/>
      <c r="G1748" s="7">
        <f t="shared" ref="G1748:H1749" si="384">D1748*$F1748</f>
        <v>0</v>
      </c>
      <c r="H1748" s="7">
        <f t="shared" si="384"/>
        <v>0</v>
      </c>
      <c r="I1748" s="62"/>
      <c r="J1748" s="454" t="s">
        <v>6</v>
      </c>
      <c r="K1748" s="454" t="s">
        <v>108</v>
      </c>
      <c r="L1748" s="440" t="s">
        <v>58</v>
      </c>
      <c r="M1748" s="454"/>
      <c r="N1748" s="661"/>
      <c r="O1748" s="662"/>
      <c r="P1748" s="663"/>
    </row>
    <row r="1749" spans="1:16" s="458" customFormat="1" ht="14">
      <c r="A1749" s="136" t="s">
        <v>8</v>
      </c>
      <c r="B1749" s="131" t="s">
        <v>773</v>
      </c>
      <c r="C1749" s="137" t="s">
        <v>31</v>
      </c>
      <c r="D1749" s="62"/>
      <c r="E1749" s="62"/>
      <c r="F1749" s="531"/>
      <c r="G1749" s="7">
        <f t="shared" si="384"/>
        <v>0</v>
      </c>
      <c r="H1749" s="7">
        <f t="shared" si="384"/>
        <v>0</v>
      </c>
      <c r="I1749" s="62"/>
      <c r="J1749" s="454" t="s">
        <v>6</v>
      </c>
      <c r="K1749" s="454" t="s">
        <v>108</v>
      </c>
      <c r="L1749" s="440" t="s">
        <v>58</v>
      </c>
      <c r="M1749" s="454"/>
      <c r="N1749" s="661"/>
      <c r="O1749" s="662"/>
      <c r="P1749" s="663"/>
    </row>
    <row r="1750" spans="1:16" s="458" customFormat="1" ht="14">
      <c r="A1750" s="133" t="s">
        <v>393</v>
      </c>
      <c r="B1750" s="134" t="s">
        <v>774</v>
      </c>
      <c r="C1750" s="135"/>
      <c r="D1750" s="62"/>
      <c r="E1750" s="62"/>
      <c r="F1750" s="531"/>
      <c r="G1750" s="659"/>
      <c r="H1750" s="659"/>
      <c r="I1750" s="62"/>
      <c r="J1750" s="454"/>
      <c r="K1750" s="454"/>
      <c r="L1750" s="660"/>
      <c r="M1750" s="454"/>
      <c r="N1750" s="661"/>
      <c r="O1750" s="662"/>
      <c r="P1750" s="663"/>
    </row>
    <row r="1751" spans="1:16" s="458" customFormat="1" ht="14">
      <c r="A1751" s="136" t="s">
        <v>8</v>
      </c>
      <c r="B1751" s="131" t="s">
        <v>775</v>
      </c>
      <c r="C1751" s="137" t="s">
        <v>15</v>
      </c>
      <c r="D1751" s="62"/>
      <c r="E1751" s="62"/>
      <c r="F1751" s="531"/>
      <c r="G1751" s="7">
        <f t="shared" ref="G1751:H1751" si="385">D1751*$F1751</f>
        <v>0</v>
      </c>
      <c r="H1751" s="7">
        <f t="shared" si="385"/>
        <v>0</v>
      </c>
      <c r="I1751" s="62"/>
      <c r="J1751" s="454" t="s">
        <v>6</v>
      </c>
      <c r="K1751" s="454" t="s">
        <v>108</v>
      </c>
      <c r="L1751" s="440" t="s">
        <v>58</v>
      </c>
      <c r="M1751" s="454"/>
      <c r="N1751" s="661"/>
      <c r="O1751" s="662"/>
      <c r="P1751" s="663"/>
    </row>
    <row r="1752" spans="1:16" s="458" customFormat="1" ht="14">
      <c r="A1752" s="133" t="s">
        <v>394</v>
      </c>
      <c r="B1752" s="134" t="s">
        <v>776</v>
      </c>
      <c r="C1752" s="135"/>
      <c r="D1752" s="62"/>
      <c r="E1752" s="62"/>
      <c r="F1752" s="531"/>
      <c r="G1752" s="659"/>
      <c r="H1752" s="659"/>
      <c r="I1752" s="62"/>
      <c r="J1752" s="454"/>
      <c r="K1752" s="454"/>
      <c r="L1752" s="660"/>
      <c r="M1752" s="454"/>
      <c r="N1752" s="661"/>
      <c r="O1752" s="662"/>
      <c r="P1752" s="663"/>
    </row>
    <row r="1753" spans="1:16" s="458" customFormat="1" ht="14">
      <c r="A1753" s="136" t="s">
        <v>8</v>
      </c>
      <c r="B1753" s="131" t="s">
        <v>777</v>
      </c>
      <c r="C1753" s="137" t="s">
        <v>24</v>
      </c>
      <c r="D1753" s="62"/>
      <c r="E1753" s="62"/>
      <c r="F1753" s="531"/>
      <c r="G1753" s="7">
        <f t="shared" ref="G1753:H1753" si="386">D1753*$F1753</f>
        <v>0</v>
      </c>
      <c r="H1753" s="7">
        <f t="shared" si="386"/>
        <v>0</v>
      </c>
      <c r="I1753" s="62"/>
      <c r="J1753" s="454" t="s">
        <v>6</v>
      </c>
      <c r="K1753" s="454" t="s">
        <v>108</v>
      </c>
      <c r="L1753" s="440" t="s">
        <v>58</v>
      </c>
      <c r="M1753" s="454"/>
      <c r="N1753" s="661"/>
      <c r="O1753" s="662"/>
      <c r="P1753" s="663"/>
    </row>
    <row r="1754" spans="1:16" s="458" customFormat="1" ht="14">
      <c r="A1754" s="133" t="s">
        <v>468</v>
      </c>
      <c r="B1754" s="134" t="s">
        <v>779</v>
      </c>
      <c r="C1754" s="135"/>
      <c r="D1754" s="62"/>
      <c r="E1754" s="62"/>
      <c r="F1754" s="531"/>
      <c r="G1754" s="659"/>
      <c r="H1754" s="659"/>
      <c r="I1754" s="62"/>
      <c r="J1754" s="454"/>
      <c r="K1754" s="454"/>
      <c r="L1754" s="660"/>
      <c r="M1754" s="454"/>
      <c r="N1754" s="661"/>
      <c r="O1754" s="662"/>
      <c r="P1754" s="663"/>
    </row>
    <row r="1755" spans="1:16" s="458" customFormat="1" ht="14">
      <c r="A1755" s="136" t="s">
        <v>8</v>
      </c>
      <c r="B1755" s="131" t="s">
        <v>780</v>
      </c>
      <c r="C1755" s="137" t="s">
        <v>31</v>
      </c>
      <c r="D1755" s="62"/>
      <c r="E1755" s="62"/>
      <c r="F1755" s="531"/>
      <c r="G1755" s="7">
        <f t="shared" ref="G1755:H1756" si="387">D1755*$F1755</f>
        <v>0</v>
      </c>
      <c r="H1755" s="7">
        <f t="shared" si="387"/>
        <v>0</v>
      </c>
      <c r="I1755" s="62"/>
      <c r="J1755" s="454" t="s">
        <v>6</v>
      </c>
      <c r="K1755" s="454" t="s">
        <v>108</v>
      </c>
      <c r="L1755" s="440" t="s">
        <v>58</v>
      </c>
      <c r="M1755" s="454"/>
      <c r="N1755" s="661"/>
      <c r="O1755" s="662"/>
      <c r="P1755" s="663"/>
    </row>
    <row r="1756" spans="1:16" s="458" customFormat="1" ht="14">
      <c r="A1756" s="136" t="s">
        <v>8</v>
      </c>
      <c r="B1756" s="131" t="s">
        <v>781</v>
      </c>
      <c r="C1756" s="137" t="s">
        <v>15</v>
      </c>
      <c r="D1756" s="62"/>
      <c r="E1756" s="62"/>
      <c r="F1756" s="531"/>
      <c r="G1756" s="7">
        <f t="shared" si="387"/>
        <v>0</v>
      </c>
      <c r="H1756" s="7">
        <f t="shared" si="387"/>
        <v>0</v>
      </c>
      <c r="I1756" s="62"/>
      <c r="J1756" s="454" t="s">
        <v>6</v>
      </c>
      <c r="K1756" s="454" t="s">
        <v>108</v>
      </c>
      <c r="L1756" s="440" t="s">
        <v>58</v>
      </c>
      <c r="M1756" s="454"/>
      <c r="N1756" s="661"/>
      <c r="O1756" s="662"/>
      <c r="P1756" s="663"/>
    </row>
    <row r="1757" spans="1:16" s="458" customFormat="1" ht="14">
      <c r="A1757" s="133" t="s">
        <v>469</v>
      </c>
      <c r="B1757" s="134" t="s">
        <v>784</v>
      </c>
      <c r="C1757" s="135"/>
      <c r="D1757" s="62"/>
      <c r="E1757" s="62"/>
      <c r="F1757" s="531"/>
      <c r="G1757" s="659"/>
      <c r="H1757" s="659"/>
      <c r="I1757" s="62"/>
      <c r="J1757" s="454"/>
      <c r="K1757" s="454"/>
      <c r="L1757" s="660"/>
      <c r="M1757" s="454"/>
      <c r="N1757" s="661"/>
      <c r="O1757" s="662"/>
      <c r="P1757" s="663"/>
    </row>
    <row r="1758" spans="1:16" s="458" customFormat="1" ht="14">
      <c r="A1758" s="136" t="s">
        <v>8</v>
      </c>
      <c r="B1758" s="131" t="s">
        <v>785</v>
      </c>
      <c r="C1758" s="137" t="s">
        <v>15</v>
      </c>
      <c r="D1758" s="62"/>
      <c r="E1758" s="62"/>
      <c r="F1758" s="531"/>
      <c r="G1758" s="7">
        <f t="shared" ref="G1758:H1761" si="388">D1758*$F1758</f>
        <v>0</v>
      </c>
      <c r="H1758" s="7">
        <f t="shared" si="388"/>
        <v>0</v>
      </c>
      <c r="I1758" s="62"/>
      <c r="J1758" s="454" t="s">
        <v>6</v>
      </c>
      <c r="K1758" s="454" t="s">
        <v>108</v>
      </c>
      <c r="L1758" s="440" t="s">
        <v>58</v>
      </c>
      <c r="M1758" s="454"/>
      <c r="N1758" s="661"/>
      <c r="O1758" s="662"/>
      <c r="P1758" s="663"/>
    </row>
    <row r="1759" spans="1:16" s="458" customFormat="1" ht="14">
      <c r="A1759" s="136" t="s">
        <v>8</v>
      </c>
      <c r="B1759" s="131" t="s">
        <v>786</v>
      </c>
      <c r="C1759" s="137" t="s">
        <v>15</v>
      </c>
      <c r="D1759" s="62"/>
      <c r="E1759" s="62"/>
      <c r="F1759" s="531"/>
      <c r="G1759" s="7">
        <f t="shared" si="388"/>
        <v>0</v>
      </c>
      <c r="H1759" s="7">
        <f t="shared" si="388"/>
        <v>0</v>
      </c>
      <c r="I1759" s="62"/>
      <c r="J1759" s="454" t="s">
        <v>6</v>
      </c>
      <c r="K1759" s="454" t="s">
        <v>108</v>
      </c>
      <c r="L1759" s="440" t="s">
        <v>58</v>
      </c>
      <c r="M1759" s="454"/>
      <c r="N1759" s="661"/>
      <c r="O1759" s="662"/>
      <c r="P1759" s="663"/>
    </row>
    <row r="1760" spans="1:16" s="458" customFormat="1" ht="14">
      <c r="A1760" s="124" t="s">
        <v>8</v>
      </c>
      <c r="B1760" s="125" t="s">
        <v>787</v>
      </c>
      <c r="C1760" s="126" t="s">
        <v>15</v>
      </c>
      <c r="D1760" s="62"/>
      <c r="E1760" s="62"/>
      <c r="F1760" s="531"/>
      <c r="G1760" s="7">
        <f t="shared" si="388"/>
        <v>0</v>
      </c>
      <c r="H1760" s="7">
        <f t="shared" si="388"/>
        <v>0</v>
      </c>
      <c r="I1760" s="62"/>
      <c r="J1760" s="454" t="s">
        <v>6</v>
      </c>
      <c r="K1760" s="454" t="s">
        <v>108</v>
      </c>
      <c r="L1760" s="440" t="s">
        <v>58</v>
      </c>
      <c r="M1760" s="454"/>
      <c r="N1760" s="661"/>
      <c r="O1760" s="662"/>
      <c r="P1760" s="663"/>
    </row>
    <row r="1761" spans="1:16" s="458" customFormat="1" ht="14">
      <c r="A1761" s="124" t="s">
        <v>8</v>
      </c>
      <c r="B1761" s="125" t="s">
        <v>788</v>
      </c>
      <c r="C1761" s="126" t="s">
        <v>15</v>
      </c>
      <c r="D1761" s="62"/>
      <c r="E1761" s="62"/>
      <c r="F1761" s="531"/>
      <c r="G1761" s="7">
        <f t="shared" si="388"/>
        <v>0</v>
      </c>
      <c r="H1761" s="7">
        <f t="shared" si="388"/>
        <v>0</v>
      </c>
      <c r="I1761" s="62"/>
      <c r="J1761" s="454" t="s">
        <v>6</v>
      </c>
      <c r="K1761" s="454" t="s">
        <v>108</v>
      </c>
      <c r="L1761" s="440" t="s">
        <v>58</v>
      </c>
      <c r="M1761" s="454"/>
      <c r="N1761" s="661"/>
      <c r="O1761" s="662"/>
      <c r="P1761" s="663"/>
    </row>
    <row r="1762" spans="1:16" s="458" customFormat="1" ht="15.65" customHeight="1">
      <c r="A1762" s="444" t="s">
        <v>471</v>
      </c>
      <c r="B1762" s="445" t="s">
        <v>793</v>
      </c>
      <c r="C1762" s="446"/>
      <c r="D1762" s="446"/>
      <c r="E1762" s="446"/>
      <c r="F1762" s="664"/>
      <c r="G1762" s="446">
        <f>SUBTOTAL(9,G1763:G1785)</f>
        <v>0</v>
      </c>
      <c r="H1762" s="446">
        <f>SUBTOTAL(9,H1763:H1785)</f>
        <v>0</v>
      </c>
      <c r="I1762" s="446"/>
      <c r="J1762" s="449"/>
      <c r="K1762" s="449"/>
      <c r="L1762" s="446"/>
      <c r="M1762" s="446"/>
      <c r="N1762" s="661"/>
      <c r="O1762" s="662"/>
      <c r="P1762" s="663"/>
    </row>
    <row r="1763" spans="1:16" s="458" customFormat="1" ht="14">
      <c r="A1763" s="133" t="s">
        <v>395</v>
      </c>
      <c r="B1763" s="134" t="s">
        <v>790</v>
      </c>
      <c r="C1763" s="135"/>
      <c r="D1763" s="62"/>
      <c r="E1763" s="62"/>
      <c r="F1763" s="531"/>
      <c r="G1763" s="659"/>
      <c r="H1763" s="659"/>
      <c r="I1763" s="62"/>
      <c r="J1763" s="454"/>
      <c r="K1763" s="454"/>
      <c r="L1763" s="660"/>
      <c r="M1763" s="454"/>
      <c r="N1763" s="661"/>
      <c r="O1763" s="662"/>
      <c r="P1763" s="663"/>
    </row>
    <row r="1764" spans="1:16" s="458" customFormat="1" ht="14">
      <c r="A1764" s="136" t="s">
        <v>8</v>
      </c>
      <c r="B1764" s="131" t="s">
        <v>772</v>
      </c>
      <c r="C1764" s="137" t="s">
        <v>126</v>
      </c>
      <c r="D1764" s="62"/>
      <c r="E1764" s="62"/>
      <c r="F1764" s="531"/>
      <c r="G1764" s="7">
        <f t="shared" ref="G1764:H1765" si="389">D1764*$F1764</f>
        <v>0</v>
      </c>
      <c r="H1764" s="7">
        <f t="shared" si="389"/>
        <v>0</v>
      </c>
      <c r="I1764" s="62"/>
      <c r="J1764" s="454" t="s">
        <v>6</v>
      </c>
      <c r="K1764" s="454" t="s">
        <v>108</v>
      </c>
      <c r="L1764" s="440" t="s">
        <v>58</v>
      </c>
      <c r="M1764" s="454"/>
      <c r="N1764" s="661"/>
      <c r="O1764" s="662"/>
      <c r="P1764" s="663"/>
    </row>
    <row r="1765" spans="1:16" s="458" customFormat="1" ht="14">
      <c r="A1765" s="136" t="s">
        <v>8</v>
      </c>
      <c r="B1765" s="131" t="s">
        <v>773</v>
      </c>
      <c r="C1765" s="137" t="s">
        <v>31</v>
      </c>
      <c r="D1765" s="62"/>
      <c r="E1765" s="62"/>
      <c r="F1765" s="531"/>
      <c r="G1765" s="7">
        <f t="shared" si="389"/>
        <v>0</v>
      </c>
      <c r="H1765" s="7">
        <f t="shared" si="389"/>
        <v>0</v>
      </c>
      <c r="I1765" s="62"/>
      <c r="J1765" s="454" t="s">
        <v>6</v>
      </c>
      <c r="K1765" s="454" t="s">
        <v>108</v>
      </c>
      <c r="L1765" s="440" t="s">
        <v>58</v>
      </c>
      <c r="M1765" s="454"/>
      <c r="N1765" s="661"/>
      <c r="O1765" s="662"/>
      <c r="P1765" s="663"/>
    </row>
    <row r="1766" spans="1:16" s="458" customFormat="1" ht="14">
      <c r="A1766" s="133" t="s">
        <v>396</v>
      </c>
      <c r="B1766" s="134" t="s">
        <v>774</v>
      </c>
      <c r="C1766" s="135"/>
      <c r="D1766" s="62"/>
      <c r="E1766" s="62"/>
      <c r="F1766" s="531"/>
      <c r="G1766" s="659"/>
      <c r="H1766" s="659"/>
      <c r="I1766" s="62"/>
      <c r="J1766" s="454"/>
      <c r="K1766" s="454"/>
      <c r="L1766" s="660"/>
      <c r="M1766" s="454"/>
      <c r="N1766" s="661"/>
      <c r="O1766" s="662"/>
      <c r="P1766" s="663"/>
    </row>
    <row r="1767" spans="1:16" s="458" customFormat="1" ht="14">
      <c r="A1767" s="136" t="s">
        <v>8</v>
      </c>
      <c r="B1767" s="131" t="s">
        <v>775</v>
      </c>
      <c r="C1767" s="137" t="s">
        <v>15</v>
      </c>
      <c r="D1767" s="62"/>
      <c r="E1767" s="62"/>
      <c r="F1767" s="531"/>
      <c r="G1767" s="7">
        <f t="shared" ref="G1767:H1767" si="390">D1767*$F1767</f>
        <v>0</v>
      </c>
      <c r="H1767" s="7">
        <f t="shared" si="390"/>
        <v>0</v>
      </c>
      <c r="I1767" s="62"/>
      <c r="J1767" s="454" t="s">
        <v>6</v>
      </c>
      <c r="K1767" s="454" t="s">
        <v>108</v>
      </c>
      <c r="L1767" s="440" t="s">
        <v>58</v>
      </c>
      <c r="M1767" s="454"/>
      <c r="N1767" s="661"/>
      <c r="O1767" s="662"/>
      <c r="P1767" s="663"/>
    </row>
    <row r="1768" spans="1:16" s="458" customFormat="1" ht="14">
      <c r="A1768" s="133" t="s">
        <v>397</v>
      </c>
      <c r="B1768" s="134" t="s">
        <v>778</v>
      </c>
      <c r="C1768" s="135"/>
      <c r="D1768" s="62"/>
      <c r="E1768" s="62"/>
      <c r="F1768" s="531"/>
      <c r="G1768" s="659"/>
      <c r="H1768" s="659"/>
      <c r="I1768" s="62"/>
      <c r="J1768" s="454"/>
      <c r="K1768" s="454"/>
      <c r="L1768" s="660"/>
      <c r="M1768" s="454"/>
      <c r="N1768" s="661"/>
      <c r="O1768" s="662"/>
      <c r="P1768" s="663"/>
    </row>
    <row r="1769" spans="1:16" s="458" customFormat="1" ht="14">
      <c r="A1769" s="133" t="s">
        <v>473</v>
      </c>
      <c r="B1769" s="134" t="s">
        <v>779</v>
      </c>
      <c r="C1769" s="135"/>
      <c r="D1769" s="62"/>
      <c r="E1769" s="62"/>
      <c r="F1769" s="531"/>
      <c r="G1769" s="659"/>
      <c r="H1769" s="659"/>
      <c r="I1769" s="62"/>
      <c r="J1769" s="454"/>
      <c r="K1769" s="454"/>
      <c r="L1769" s="660"/>
      <c r="M1769" s="454"/>
      <c r="N1769" s="661"/>
      <c r="O1769" s="662"/>
      <c r="P1769" s="663"/>
    </row>
    <row r="1770" spans="1:16" s="458" customFormat="1" ht="14">
      <c r="A1770" s="136" t="s">
        <v>8</v>
      </c>
      <c r="B1770" s="131" t="s">
        <v>780</v>
      </c>
      <c r="C1770" s="137" t="s">
        <v>31</v>
      </c>
      <c r="D1770" s="62"/>
      <c r="E1770" s="62"/>
      <c r="F1770" s="531"/>
      <c r="G1770" s="7">
        <f t="shared" ref="G1770:H1772" si="391">D1770*$F1770</f>
        <v>0</v>
      </c>
      <c r="H1770" s="7">
        <f t="shared" si="391"/>
        <v>0</v>
      </c>
      <c r="I1770" s="62"/>
      <c r="J1770" s="454" t="s">
        <v>6</v>
      </c>
      <c r="K1770" s="454" t="s">
        <v>108</v>
      </c>
      <c r="L1770" s="440" t="s">
        <v>58</v>
      </c>
      <c r="M1770" s="454"/>
      <c r="N1770" s="661"/>
      <c r="O1770" s="662"/>
      <c r="P1770" s="663"/>
    </row>
    <row r="1771" spans="1:16" s="458" customFormat="1" ht="14">
      <c r="A1771" s="136" t="s">
        <v>8</v>
      </c>
      <c r="B1771" s="131" t="s">
        <v>781</v>
      </c>
      <c r="C1771" s="137" t="s">
        <v>15</v>
      </c>
      <c r="D1771" s="62"/>
      <c r="E1771" s="62"/>
      <c r="F1771" s="531"/>
      <c r="G1771" s="7">
        <f t="shared" si="391"/>
        <v>0</v>
      </c>
      <c r="H1771" s="7">
        <f t="shared" si="391"/>
        <v>0</v>
      </c>
      <c r="I1771" s="62"/>
      <c r="J1771" s="454" t="s">
        <v>6</v>
      </c>
      <c r="K1771" s="454" t="s">
        <v>108</v>
      </c>
      <c r="L1771" s="440" t="s">
        <v>58</v>
      </c>
      <c r="M1771" s="454"/>
      <c r="N1771" s="661"/>
      <c r="O1771" s="662"/>
      <c r="P1771" s="663"/>
    </row>
    <row r="1772" spans="1:16" s="458" customFormat="1" ht="14">
      <c r="A1772" s="136" t="s">
        <v>8</v>
      </c>
      <c r="B1772" s="131" t="s">
        <v>782</v>
      </c>
      <c r="C1772" s="137" t="s">
        <v>15</v>
      </c>
      <c r="D1772" s="62"/>
      <c r="E1772" s="62"/>
      <c r="F1772" s="667"/>
      <c r="G1772" s="7">
        <f t="shared" si="391"/>
        <v>0</v>
      </c>
      <c r="H1772" s="7">
        <f t="shared" si="391"/>
        <v>0</v>
      </c>
      <c r="I1772" s="62"/>
      <c r="J1772" s="454" t="s">
        <v>6</v>
      </c>
      <c r="K1772" s="454" t="s">
        <v>108</v>
      </c>
      <c r="L1772" s="440" t="s">
        <v>58</v>
      </c>
      <c r="M1772" s="454"/>
      <c r="N1772" s="661"/>
      <c r="O1772" s="662"/>
      <c r="P1772" s="663"/>
    </row>
    <row r="1773" spans="1:16" s="458" customFormat="1" ht="14">
      <c r="A1773" s="133" t="s">
        <v>474</v>
      </c>
      <c r="B1773" s="134" t="s">
        <v>783</v>
      </c>
      <c r="C1773" s="135"/>
      <c r="D1773" s="62"/>
      <c r="E1773" s="62"/>
      <c r="F1773" s="531"/>
      <c r="G1773" s="659"/>
      <c r="H1773" s="659"/>
      <c r="I1773" s="62"/>
      <c r="J1773" s="454"/>
      <c r="K1773" s="454"/>
      <c r="L1773" s="660"/>
      <c r="M1773" s="454"/>
      <c r="N1773" s="661"/>
      <c r="O1773" s="662"/>
      <c r="P1773" s="663"/>
    </row>
    <row r="1774" spans="1:16" s="458" customFormat="1" ht="14">
      <c r="A1774" s="136" t="s">
        <v>8</v>
      </c>
      <c r="B1774" s="131" t="s">
        <v>1179</v>
      </c>
      <c r="C1774" s="137" t="s">
        <v>10</v>
      </c>
      <c r="D1774" s="62"/>
      <c r="E1774" s="62"/>
      <c r="F1774" s="531"/>
      <c r="G1774" s="7">
        <f t="shared" ref="G1774:H1780" si="392">D1774*$F1774</f>
        <v>0</v>
      </c>
      <c r="H1774" s="7">
        <f t="shared" si="392"/>
        <v>0</v>
      </c>
      <c r="I1774" s="62"/>
      <c r="J1774" s="454" t="s">
        <v>6</v>
      </c>
      <c r="K1774" s="454" t="s">
        <v>108</v>
      </c>
      <c r="L1774" s="440" t="s">
        <v>58</v>
      </c>
      <c r="M1774" s="454"/>
      <c r="N1774" s="661"/>
      <c r="O1774" s="662"/>
      <c r="P1774" s="663"/>
    </row>
    <row r="1775" spans="1:16" s="458" customFormat="1" ht="14">
      <c r="A1775" s="136" t="s">
        <v>8</v>
      </c>
      <c r="B1775" s="131" t="s">
        <v>1180</v>
      </c>
      <c r="C1775" s="137" t="s">
        <v>10</v>
      </c>
      <c r="D1775" s="62"/>
      <c r="E1775" s="62"/>
      <c r="F1775" s="531"/>
      <c r="G1775" s="7">
        <f t="shared" si="392"/>
        <v>0</v>
      </c>
      <c r="H1775" s="7">
        <f t="shared" si="392"/>
        <v>0</v>
      </c>
      <c r="I1775" s="62"/>
      <c r="J1775" s="454" t="s">
        <v>6</v>
      </c>
      <c r="K1775" s="454" t="s">
        <v>108</v>
      </c>
      <c r="L1775" s="440" t="s">
        <v>58</v>
      </c>
      <c r="M1775" s="454"/>
      <c r="N1775" s="661"/>
      <c r="O1775" s="662"/>
      <c r="P1775" s="663"/>
    </row>
    <row r="1776" spans="1:16" s="458" customFormat="1" ht="14">
      <c r="A1776" s="136" t="s">
        <v>8</v>
      </c>
      <c r="B1776" s="637" t="s">
        <v>1181</v>
      </c>
      <c r="C1776" s="137" t="s">
        <v>10</v>
      </c>
      <c r="D1776" s="62"/>
      <c r="E1776" s="62"/>
      <c r="F1776" s="531"/>
      <c r="G1776" s="7">
        <f t="shared" si="392"/>
        <v>0</v>
      </c>
      <c r="H1776" s="7">
        <f t="shared" si="392"/>
        <v>0</v>
      </c>
      <c r="I1776" s="62"/>
      <c r="J1776" s="454" t="s">
        <v>6</v>
      </c>
      <c r="K1776" s="454" t="s">
        <v>108</v>
      </c>
      <c r="L1776" s="440" t="s">
        <v>58</v>
      </c>
      <c r="M1776" s="454"/>
      <c r="N1776" s="661"/>
      <c r="O1776" s="662"/>
      <c r="P1776" s="663"/>
    </row>
    <row r="1777" spans="1:16" s="458" customFormat="1" ht="14">
      <c r="A1777" s="136" t="s">
        <v>8</v>
      </c>
      <c r="B1777" s="637" t="s">
        <v>1182</v>
      </c>
      <c r="C1777" s="137" t="s">
        <v>10</v>
      </c>
      <c r="D1777" s="62"/>
      <c r="E1777" s="62"/>
      <c r="F1777" s="531"/>
      <c r="G1777" s="7">
        <f t="shared" si="392"/>
        <v>0</v>
      </c>
      <c r="H1777" s="7">
        <f t="shared" si="392"/>
        <v>0</v>
      </c>
      <c r="I1777" s="62"/>
      <c r="J1777" s="454" t="s">
        <v>6</v>
      </c>
      <c r="K1777" s="454" t="s">
        <v>108</v>
      </c>
      <c r="L1777" s="440" t="s">
        <v>58</v>
      </c>
      <c r="M1777" s="454"/>
      <c r="N1777" s="661"/>
      <c r="O1777" s="662"/>
      <c r="P1777" s="663"/>
    </row>
    <row r="1778" spans="1:16" s="458" customFormat="1" ht="14">
      <c r="A1778" s="136" t="s">
        <v>8</v>
      </c>
      <c r="B1778" s="637" t="s">
        <v>1183</v>
      </c>
      <c r="C1778" s="137" t="s">
        <v>10</v>
      </c>
      <c r="D1778" s="62"/>
      <c r="E1778" s="62"/>
      <c r="F1778" s="531"/>
      <c r="G1778" s="7">
        <f t="shared" si="392"/>
        <v>0</v>
      </c>
      <c r="H1778" s="7">
        <f t="shared" si="392"/>
        <v>0</v>
      </c>
      <c r="I1778" s="62"/>
      <c r="J1778" s="454" t="s">
        <v>6</v>
      </c>
      <c r="K1778" s="454" t="s">
        <v>108</v>
      </c>
      <c r="L1778" s="440" t="s">
        <v>58</v>
      </c>
      <c r="M1778" s="454"/>
      <c r="N1778" s="661"/>
      <c r="O1778" s="662"/>
      <c r="P1778" s="663"/>
    </row>
    <row r="1779" spans="1:16" s="458" customFormat="1" ht="14">
      <c r="A1779" s="136" t="s">
        <v>8</v>
      </c>
      <c r="B1779" s="637" t="s">
        <v>1184</v>
      </c>
      <c r="C1779" s="137" t="s">
        <v>10</v>
      </c>
      <c r="D1779" s="62"/>
      <c r="E1779" s="62"/>
      <c r="F1779" s="531"/>
      <c r="G1779" s="7">
        <f t="shared" si="392"/>
        <v>0</v>
      </c>
      <c r="H1779" s="7">
        <f t="shared" si="392"/>
        <v>0</v>
      </c>
      <c r="I1779" s="62"/>
      <c r="J1779" s="454" t="s">
        <v>6</v>
      </c>
      <c r="K1779" s="454" t="s">
        <v>108</v>
      </c>
      <c r="L1779" s="440" t="s">
        <v>58</v>
      </c>
      <c r="M1779" s="454"/>
      <c r="N1779" s="661"/>
      <c r="O1779" s="662"/>
      <c r="P1779" s="663"/>
    </row>
    <row r="1780" spans="1:16" s="458" customFormat="1" ht="14">
      <c r="A1780" s="136" t="s">
        <v>8</v>
      </c>
      <c r="B1780" s="637" t="s">
        <v>1185</v>
      </c>
      <c r="C1780" s="137" t="s">
        <v>10</v>
      </c>
      <c r="D1780" s="62"/>
      <c r="E1780" s="62"/>
      <c r="F1780" s="531"/>
      <c r="G1780" s="7">
        <f t="shared" si="392"/>
        <v>0</v>
      </c>
      <c r="H1780" s="7">
        <f t="shared" si="392"/>
        <v>0</v>
      </c>
      <c r="I1780" s="62"/>
      <c r="J1780" s="454" t="s">
        <v>6</v>
      </c>
      <c r="K1780" s="454" t="s">
        <v>108</v>
      </c>
      <c r="L1780" s="440" t="s">
        <v>58</v>
      </c>
      <c r="M1780" s="454"/>
      <c r="N1780" s="661"/>
      <c r="O1780" s="662"/>
      <c r="P1780" s="663"/>
    </row>
    <row r="1781" spans="1:16" s="458" customFormat="1" ht="14">
      <c r="A1781" s="133" t="s">
        <v>475</v>
      </c>
      <c r="B1781" s="134" t="s">
        <v>784</v>
      </c>
      <c r="C1781" s="135"/>
      <c r="D1781" s="62"/>
      <c r="E1781" s="62"/>
      <c r="F1781" s="531"/>
      <c r="G1781" s="659"/>
      <c r="H1781" s="659"/>
      <c r="I1781" s="62"/>
      <c r="J1781" s="454"/>
      <c r="K1781" s="454"/>
      <c r="L1781" s="660"/>
      <c r="M1781" s="454"/>
      <c r="N1781" s="661"/>
      <c r="O1781" s="662"/>
      <c r="P1781" s="663"/>
    </row>
    <row r="1782" spans="1:16" s="458" customFormat="1" ht="14">
      <c r="A1782" s="136" t="s">
        <v>8</v>
      </c>
      <c r="B1782" s="131" t="s">
        <v>785</v>
      </c>
      <c r="C1782" s="137" t="s">
        <v>15</v>
      </c>
      <c r="D1782" s="62"/>
      <c r="E1782" s="62"/>
      <c r="F1782" s="531"/>
      <c r="G1782" s="7">
        <f t="shared" ref="G1782:H1785" si="393">D1782*$F1782</f>
        <v>0</v>
      </c>
      <c r="H1782" s="7">
        <f t="shared" si="393"/>
        <v>0</v>
      </c>
      <c r="I1782" s="62"/>
      <c r="J1782" s="454" t="s">
        <v>6</v>
      </c>
      <c r="K1782" s="454" t="s">
        <v>108</v>
      </c>
      <c r="L1782" s="440" t="s">
        <v>58</v>
      </c>
      <c r="M1782" s="454"/>
      <c r="N1782" s="661"/>
      <c r="O1782" s="662"/>
      <c r="P1782" s="663"/>
    </row>
    <row r="1783" spans="1:16" s="458" customFormat="1" ht="14">
      <c r="A1783" s="136" t="s">
        <v>8</v>
      </c>
      <c r="B1783" s="131" t="s">
        <v>786</v>
      </c>
      <c r="C1783" s="137" t="s">
        <v>15</v>
      </c>
      <c r="D1783" s="62"/>
      <c r="E1783" s="62"/>
      <c r="F1783" s="531"/>
      <c r="G1783" s="7">
        <f t="shared" si="393"/>
        <v>0</v>
      </c>
      <c r="H1783" s="7">
        <f t="shared" si="393"/>
        <v>0</v>
      </c>
      <c r="I1783" s="62"/>
      <c r="J1783" s="454" t="s">
        <v>6</v>
      </c>
      <c r="K1783" s="454" t="s">
        <v>108</v>
      </c>
      <c r="L1783" s="440" t="s">
        <v>58</v>
      </c>
      <c r="M1783" s="454"/>
      <c r="N1783" s="661"/>
      <c r="O1783" s="662"/>
      <c r="P1783" s="663"/>
    </row>
    <row r="1784" spans="1:16" s="458" customFormat="1" ht="14">
      <c r="A1784" s="124" t="s">
        <v>8</v>
      </c>
      <c r="B1784" s="125" t="s">
        <v>787</v>
      </c>
      <c r="C1784" s="126" t="s">
        <v>15</v>
      </c>
      <c r="D1784" s="62"/>
      <c r="E1784" s="62"/>
      <c r="F1784" s="531"/>
      <c r="G1784" s="7">
        <f t="shared" si="393"/>
        <v>0</v>
      </c>
      <c r="H1784" s="7">
        <f t="shared" si="393"/>
        <v>0</v>
      </c>
      <c r="I1784" s="62"/>
      <c r="J1784" s="454" t="s">
        <v>6</v>
      </c>
      <c r="K1784" s="454" t="s">
        <v>108</v>
      </c>
      <c r="L1784" s="440" t="s">
        <v>58</v>
      </c>
      <c r="M1784" s="454"/>
      <c r="N1784" s="661"/>
      <c r="O1784" s="662"/>
      <c r="P1784" s="663"/>
    </row>
    <row r="1785" spans="1:16" s="458" customFormat="1" ht="14">
      <c r="A1785" s="124" t="s">
        <v>8</v>
      </c>
      <c r="B1785" s="125" t="s">
        <v>788</v>
      </c>
      <c r="C1785" s="126" t="s">
        <v>15</v>
      </c>
      <c r="D1785" s="62"/>
      <c r="E1785" s="62"/>
      <c r="F1785" s="531"/>
      <c r="G1785" s="7">
        <f t="shared" si="393"/>
        <v>0</v>
      </c>
      <c r="H1785" s="7">
        <f t="shared" si="393"/>
        <v>0</v>
      </c>
      <c r="I1785" s="62"/>
      <c r="J1785" s="454" t="s">
        <v>6</v>
      </c>
      <c r="K1785" s="454" t="s">
        <v>108</v>
      </c>
      <c r="L1785" s="440" t="s">
        <v>58</v>
      </c>
      <c r="M1785" s="454"/>
      <c r="N1785" s="661"/>
      <c r="O1785" s="662"/>
      <c r="P1785" s="663"/>
    </row>
    <row r="1786" spans="1:16" s="458" customFormat="1" ht="14">
      <c r="A1786" s="138" t="s">
        <v>434</v>
      </c>
      <c r="B1786" s="139" t="s">
        <v>794</v>
      </c>
      <c r="C1786" s="141"/>
      <c r="D1786" s="141"/>
      <c r="E1786" s="141"/>
      <c r="F1786" s="668"/>
      <c r="G1786" s="141"/>
      <c r="H1786" s="141"/>
      <c r="I1786" s="141"/>
      <c r="J1786" s="449"/>
      <c r="K1786" s="449"/>
      <c r="L1786" s="141"/>
      <c r="M1786" s="141"/>
      <c r="N1786" s="661"/>
      <c r="O1786" s="662"/>
      <c r="P1786" s="663"/>
    </row>
    <row r="1787" spans="1:16" s="458" customFormat="1" ht="14">
      <c r="A1787" s="133" t="s">
        <v>114</v>
      </c>
      <c r="B1787" s="134" t="s">
        <v>795</v>
      </c>
      <c r="C1787" s="135"/>
      <c r="D1787" s="62"/>
      <c r="E1787" s="62"/>
      <c r="F1787" s="531"/>
      <c r="G1787" s="659"/>
      <c r="H1787" s="659"/>
      <c r="I1787" s="62"/>
      <c r="J1787" s="454"/>
      <c r="K1787" s="454"/>
      <c r="L1787" s="660"/>
      <c r="M1787" s="454"/>
      <c r="N1787" s="661"/>
      <c r="O1787" s="662"/>
      <c r="P1787" s="663"/>
    </row>
    <row r="1788" spans="1:16" s="458" customFormat="1" ht="14">
      <c r="A1788" s="136" t="s">
        <v>8</v>
      </c>
      <c r="B1788" s="131" t="s">
        <v>796</v>
      </c>
      <c r="C1788" s="137" t="s">
        <v>24</v>
      </c>
      <c r="D1788" s="62"/>
      <c r="E1788" s="62"/>
      <c r="F1788" s="531"/>
      <c r="G1788" s="2">
        <f t="shared" ref="G1788:H1790" si="394">D1788*$F1788</f>
        <v>0</v>
      </c>
      <c r="H1788" s="2">
        <f t="shared" si="394"/>
        <v>0</v>
      </c>
      <c r="I1788" s="62"/>
      <c r="J1788" s="454" t="s">
        <v>6</v>
      </c>
      <c r="K1788" s="454" t="s">
        <v>108</v>
      </c>
      <c r="L1788" s="440" t="s">
        <v>58</v>
      </c>
      <c r="M1788" s="454"/>
      <c r="N1788" s="661"/>
      <c r="O1788" s="662"/>
      <c r="P1788" s="663"/>
    </row>
    <row r="1789" spans="1:16" s="458" customFormat="1" ht="14">
      <c r="A1789" s="136" t="s">
        <v>8</v>
      </c>
      <c r="B1789" s="131" t="s">
        <v>781</v>
      </c>
      <c r="C1789" s="137" t="s">
        <v>15</v>
      </c>
      <c r="D1789" s="62"/>
      <c r="E1789" s="62"/>
      <c r="F1789" s="531"/>
      <c r="G1789" s="2">
        <f t="shared" si="394"/>
        <v>0</v>
      </c>
      <c r="H1789" s="2">
        <f t="shared" si="394"/>
        <v>0</v>
      </c>
      <c r="I1789" s="62"/>
      <c r="J1789" s="454" t="s">
        <v>6</v>
      </c>
      <c r="K1789" s="454" t="s">
        <v>108</v>
      </c>
      <c r="L1789" s="440" t="s">
        <v>58</v>
      </c>
      <c r="M1789" s="454"/>
      <c r="N1789" s="661"/>
      <c r="O1789" s="662"/>
      <c r="P1789" s="663"/>
    </row>
    <row r="1790" spans="1:16" s="458" customFormat="1" ht="14">
      <c r="A1790" s="136" t="s">
        <v>8</v>
      </c>
      <c r="B1790" s="131" t="s">
        <v>797</v>
      </c>
      <c r="C1790" s="137" t="s">
        <v>15</v>
      </c>
      <c r="D1790" s="62"/>
      <c r="E1790" s="62"/>
      <c r="F1790" s="667"/>
      <c r="G1790" s="2">
        <f t="shared" si="394"/>
        <v>0</v>
      </c>
      <c r="H1790" s="2">
        <f t="shared" si="394"/>
        <v>0</v>
      </c>
      <c r="I1790" s="62"/>
      <c r="J1790" s="454" t="s">
        <v>6</v>
      </c>
      <c r="K1790" s="454" t="s">
        <v>108</v>
      </c>
      <c r="L1790" s="440" t="s">
        <v>58</v>
      </c>
      <c r="M1790" s="454"/>
      <c r="N1790" s="661"/>
      <c r="O1790" s="662"/>
      <c r="P1790" s="663"/>
    </row>
    <row r="1791" spans="1:16" s="458" customFormat="1" ht="14">
      <c r="A1791" s="133" t="s">
        <v>115</v>
      </c>
      <c r="B1791" s="134" t="s">
        <v>774</v>
      </c>
      <c r="C1791" s="135"/>
      <c r="D1791" s="62"/>
      <c r="E1791" s="62"/>
      <c r="F1791" s="531"/>
      <c r="G1791" s="659"/>
      <c r="H1791" s="659"/>
      <c r="I1791" s="62"/>
      <c r="J1791" s="454"/>
      <c r="K1791" s="454"/>
      <c r="L1791" s="660"/>
      <c r="M1791" s="454"/>
      <c r="N1791" s="661"/>
      <c r="O1791" s="662"/>
      <c r="P1791" s="663"/>
    </row>
    <row r="1792" spans="1:16" s="458" customFormat="1" ht="14">
      <c r="A1792" s="136" t="s">
        <v>8</v>
      </c>
      <c r="B1792" s="131" t="s">
        <v>775</v>
      </c>
      <c r="C1792" s="137" t="s">
        <v>15</v>
      </c>
      <c r="D1792" s="62"/>
      <c r="E1792" s="62"/>
      <c r="F1792" s="531"/>
      <c r="G1792" s="2">
        <f t="shared" ref="G1792:H1793" si="395">D1792*$F1792</f>
        <v>0</v>
      </c>
      <c r="H1792" s="2">
        <f t="shared" si="395"/>
        <v>0</v>
      </c>
      <c r="I1792" s="62"/>
      <c r="J1792" s="454" t="s">
        <v>6</v>
      </c>
      <c r="K1792" s="454" t="s">
        <v>108</v>
      </c>
      <c r="L1792" s="440" t="s">
        <v>58</v>
      </c>
      <c r="M1792" s="454"/>
      <c r="N1792" s="661"/>
      <c r="O1792" s="662"/>
      <c r="P1792" s="663"/>
    </row>
    <row r="1793" spans="1:16" s="458" customFormat="1" ht="14">
      <c r="A1793" s="136" t="s">
        <v>8</v>
      </c>
      <c r="B1793" s="131" t="s">
        <v>798</v>
      </c>
      <c r="C1793" s="137" t="s">
        <v>15</v>
      </c>
      <c r="D1793" s="62"/>
      <c r="E1793" s="62"/>
      <c r="F1793" s="531"/>
      <c r="G1793" s="2">
        <f t="shared" si="395"/>
        <v>0</v>
      </c>
      <c r="H1793" s="2">
        <f t="shared" si="395"/>
        <v>0</v>
      </c>
      <c r="I1793" s="62"/>
      <c r="J1793" s="454" t="s">
        <v>6</v>
      </c>
      <c r="K1793" s="454" t="s">
        <v>108</v>
      </c>
      <c r="L1793" s="440" t="s">
        <v>58</v>
      </c>
      <c r="M1793" s="454"/>
      <c r="N1793" s="661"/>
      <c r="O1793" s="662"/>
      <c r="P1793" s="663"/>
    </row>
    <row r="1794" spans="1:16" s="458" customFormat="1" ht="14">
      <c r="A1794" s="133" t="s">
        <v>481</v>
      </c>
      <c r="B1794" s="134" t="s">
        <v>790</v>
      </c>
      <c r="C1794" s="135"/>
      <c r="D1794" s="62"/>
      <c r="E1794" s="62"/>
      <c r="F1794" s="531"/>
      <c r="G1794" s="659"/>
      <c r="H1794" s="659"/>
      <c r="I1794" s="62"/>
      <c r="J1794" s="454"/>
      <c r="K1794" s="454"/>
      <c r="L1794" s="660"/>
      <c r="M1794" s="454"/>
      <c r="N1794" s="661"/>
      <c r="O1794" s="662"/>
      <c r="P1794" s="663"/>
    </row>
    <row r="1795" spans="1:16" s="458" customFormat="1" ht="14">
      <c r="A1795" s="136" t="s">
        <v>8</v>
      </c>
      <c r="B1795" s="131" t="s">
        <v>772</v>
      </c>
      <c r="C1795" s="137" t="s">
        <v>126</v>
      </c>
      <c r="D1795" s="62"/>
      <c r="E1795" s="62"/>
      <c r="F1795" s="531"/>
      <c r="G1795" s="2">
        <f t="shared" ref="G1795:H1795" si="396">D1795*$F1795</f>
        <v>0</v>
      </c>
      <c r="H1795" s="2">
        <f t="shared" si="396"/>
        <v>0</v>
      </c>
      <c r="I1795" s="62"/>
      <c r="J1795" s="454" t="s">
        <v>6</v>
      </c>
      <c r="K1795" s="454" t="s">
        <v>108</v>
      </c>
      <c r="L1795" s="440" t="s">
        <v>58</v>
      </c>
      <c r="M1795" s="454"/>
      <c r="N1795" s="661"/>
      <c r="O1795" s="662"/>
      <c r="P1795" s="663"/>
    </row>
    <row r="1796" spans="1:16" s="458" customFormat="1" ht="14">
      <c r="A1796" s="133" t="s">
        <v>482</v>
      </c>
      <c r="B1796" s="134" t="s">
        <v>776</v>
      </c>
      <c r="C1796" s="135"/>
      <c r="D1796" s="62"/>
      <c r="E1796" s="62"/>
      <c r="F1796" s="531"/>
      <c r="G1796" s="659"/>
      <c r="H1796" s="659"/>
      <c r="I1796" s="62"/>
      <c r="J1796" s="454"/>
      <c r="K1796" s="454"/>
      <c r="L1796" s="660"/>
      <c r="M1796" s="454"/>
      <c r="N1796" s="661"/>
      <c r="O1796" s="662"/>
      <c r="P1796" s="663"/>
    </row>
    <row r="1797" spans="1:16" s="458" customFormat="1" ht="14">
      <c r="A1797" s="136" t="s">
        <v>8</v>
      </c>
      <c r="B1797" s="131" t="s">
        <v>799</v>
      </c>
      <c r="C1797" s="137" t="s">
        <v>24</v>
      </c>
      <c r="D1797" s="62"/>
      <c r="E1797" s="62"/>
      <c r="F1797" s="531"/>
      <c r="G1797" s="2">
        <f t="shared" ref="G1797:H1797" si="397">D1797*$F1797</f>
        <v>0</v>
      </c>
      <c r="H1797" s="2">
        <f t="shared" si="397"/>
        <v>0</v>
      </c>
      <c r="I1797" s="62"/>
      <c r="J1797" s="454" t="s">
        <v>6</v>
      </c>
      <c r="K1797" s="454" t="s">
        <v>108</v>
      </c>
      <c r="L1797" s="440" t="s">
        <v>58</v>
      </c>
      <c r="M1797" s="454"/>
      <c r="N1797" s="661"/>
      <c r="O1797" s="662"/>
      <c r="P1797" s="663"/>
    </row>
    <row r="1798" spans="1:16" s="458" customFormat="1" ht="14">
      <c r="A1798" s="133" t="s">
        <v>484</v>
      </c>
      <c r="B1798" s="134" t="s">
        <v>800</v>
      </c>
      <c r="C1798" s="135"/>
      <c r="D1798" s="62"/>
      <c r="E1798" s="62"/>
      <c r="F1798" s="531"/>
      <c r="G1798" s="659"/>
      <c r="H1798" s="659"/>
      <c r="I1798" s="62"/>
      <c r="J1798" s="454"/>
      <c r="K1798" s="454"/>
      <c r="L1798" s="660"/>
      <c r="M1798" s="454"/>
      <c r="N1798" s="661"/>
      <c r="O1798" s="662"/>
      <c r="P1798" s="663"/>
    </row>
    <row r="1799" spans="1:16" s="458" customFormat="1" ht="14">
      <c r="A1799" s="136" t="s">
        <v>8</v>
      </c>
      <c r="B1799" s="131" t="s">
        <v>801</v>
      </c>
      <c r="C1799" s="137" t="s">
        <v>31</v>
      </c>
      <c r="D1799" s="62"/>
      <c r="E1799" s="62"/>
      <c r="F1799" s="531"/>
      <c r="G1799" s="2">
        <f t="shared" ref="G1799:H1799" si="398">D1799*$F1799</f>
        <v>0</v>
      </c>
      <c r="H1799" s="2">
        <f t="shared" si="398"/>
        <v>0</v>
      </c>
      <c r="I1799" s="62"/>
      <c r="J1799" s="454" t="s">
        <v>6</v>
      </c>
      <c r="K1799" s="454" t="s">
        <v>108</v>
      </c>
      <c r="L1799" s="440" t="s">
        <v>58</v>
      </c>
      <c r="M1799" s="454"/>
      <c r="N1799" s="661"/>
      <c r="O1799" s="662"/>
      <c r="P1799" s="663"/>
    </row>
    <row r="1800" spans="1:16" s="458" customFormat="1" ht="14">
      <c r="A1800" s="133" t="s">
        <v>487</v>
      </c>
      <c r="B1800" s="134" t="s">
        <v>784</v>
      </c>
      <c r="C1800" s="135"/>
      <c r="D1800" s="62"/>
      <c r="E1800" s="62"/>
      <c r="F1800" s="531"/>
      <c r="G1800" s="659"/>
      <c r="H1800" s="659"/>
      <c r="I1800" s="62"/>
      <c r="J1800" s="454"/>
      <c r="K1800" s="454"/>
      <c r="L1800" s="660"/>
      <c r="M1800" s="454"/>
      <c r="N1800" s="661"/>
      <c r="O1800" s="662"/>
      <c r="P1800" s="663"/>
    </row>
    <row r="1801" spans="1:16" s="458" customFormat="1" ht="14">
      <c r="A1801" s="136" t="s">
        <v>8</v>
      </c>
      <c r="B1801" s="131" t="s">
        <v>785</v>
      </c>
      <c r="C1801" s="137" t="s">
        <v>15</v>
      </c>
      <c r="D1801" s="62"/>
      <c r="E1801" s="62"/>
      <c r="F1801" s="531"/>
      <c r="G1801" s="2">
        <f t="shared" ref="G1801:H1806" si="399">D1801*$F1801</f>
        <v>0</v>
      </c>
      <c r="H1801" s="2">
        <f t="shared" si="399"/>
        <v>0</v>
      </c>
      <c r="I1801" s="62"/>
      <c r="J1801" s="454" t="s">
        <v>6</v>
      </c>
      <c r="K1801" s="454" t="s">
        <v>108</v>
      </c>
      <c r="L1801" s="440" t="s">
        <v>58</v>
      </c>
      <c r="M1801" s="454"/>
      <c r="N1801" s="661"/>
      <c r="O1801" s="662"/>
      <c r="P1801" s="663"/>
    </row>
    <row r="1802" spans="1:16" s="458" customFormat="1" ht="14">
      <c r="A1802" s="136" t="s">
        <v>8</v>
      </c>
      <c r="B1802" s="131" t="s">
        <v>786</v>
      </c>
      <c r="C1802" s="137" t="s">
        <v>15</v>
      </c>
      <c r="D1802" s="62"/>
      <c r="E1802" s="62"/>
      <c r="F1802" s="531"/>
      <c r="G1802" s="2">
        <f t="shared" si="399"/>
        <v>0</v>
      </c>
      <c r="H1802" s="2">
        <f t="shared" si="399"/>
        <v>0</v>
      </c>
      <c r="I1802" s="62"/>
      <c r="J1802" s="454" t="s">
        <v>6</v>
      </c>
      <c r="K1802" s="454" t="s">
        <v>108</v>
      </c>
      <c r="L1802" s="440" t="s">
        <v>58</v>
      </c>
      <c r="M1802" s="454"/>
      <c r="N1802" s="661"/>
      <c r="O1802" s="662"/>
      <c r="P1802" s="663"/>
    </row>
    <row r="1803" spans="1:16" s="458" customFormat="1" ht="14">
      <c r="A1803" s="136" t="s">
        <v>8</v>
      </c>
      <c r="B1803" s="131" t="s">
        <v>802</v>
      </c>
      <c r="C1803" s="137" t="s">
        <v>15</v>
      </c>
      <c r="D1803" s="62"/>
      <c r="E1803" s="62"/>
      <c r="F1803" s="531"/>
      <c r="G1803" s="2">
        <f t="shared" si="399"/>
        <v>0</v>
      </c>
      <c r="H1803" s="2">
        <f t="shared" si="399"/>
        <v>0</v>
      </c>
      <c r="I1803" s="62"/>
      <c r="J1803" s="454" t="s">
        <v>6</v>
      </c>
      <c r="K1803" s="454" t="s">
        <v>108</v>
      </c>
      <c r="L1803" s="440" t="s">
        <v>58</v>
      </c>
      <c r="M1803" s="454"/>
      <c r="N1803" s="661"/>
      <c r="O1803" s="662"/>
      <c r="P1803" s="663"/>
    </row>
    <row r="1804" spans="1:16" s="458" customFormat="1" ht="14">
      <c r="A1804" s="136" t="s">
        <v>8</v>
      </c>
      <c r="B1804" s="131" t="s">
        <v>803</v>
      </c>
      <c r="C1804" s="137" t="s">
        <v>15</v>
      </c>
      <c r="D1804" s="62"/>
      <c r="E1804" s="62"/>
      <c r="F1804" s="531"/>
      <c r="G1804" s="2">
        <f t="shared" si="399"/>
        <v>0</v>
      </c>
      <c r="H1804" s="2">
        <f t="shared" si="399"/>
        <v>0</v>
      </c>
      <c r="I1804" s="62"/>
      <c r="J1804" s="454" t="s">
        <v>6</v>
      </c>
      <c r="K1804" s="454" t="s">
        <v>108</v>
      </c>
      <c r="L1804" s="440" t="s">
        <v>58</v>
      </c>
      <c r="M1804" s="454"/>
      <c r="N1804" s="661"/>
      <c r="O1804" s="662"/>
      <c r="P1804" s="663"/>
    </row>
    <row r="1805" spans="1:16" s="458" customFormat="1" ht="14">
      <c r="A1805" s="124" t="s">
        <v>8</v>
      </c>
      <c r="B1805" s="125" t="s">
        <v>787</v>
      </c>
      <c r="C1805" s="126" t="s">
        <v>15</v>
      </c>
      <c r="D1805" s="62"/>
      <c r="E1805" s="62"/>
      <c r="F1805" s="531"/>
      <c r="G1805" s="2">
        <f t="shared" si="399"/>
        <v>0</v>
      </c>
      <c r="H1805" s="2">
        <f t="shared" si="399"/>
        <v>0</v>
      </c>
      <c r="I1805" s="62"/>
      <c r="J1805" s="454" t="s">
        <v>6</v>
      </c>
      <c r="K1805" s="454" t="s">
        <v>108</v>
      </c>
      <c r="L1805" s="440" t="s">
        <v>58</v>
      </c>
      <c r="M1805" s="454"/>
      <c r="N1805" s="661"/>
      <c r="O1805" s="662"/>
      <c r="P1805" s="663"/>
    </row>
    <row r="1806" spans="1:16" s="458" customFormat="1" ht="14">
      <c r="A1806" s="124" t="s">
        <v>8</v>
      </c>
      <c r="B1806" s="125" t="s">
        <v>788</v>
      </c>
      <c r="C1806" s="126" t="s">
        <v>15</v>
      </c>
      <c r="D1806" s="62"/>
      <c r="E1806" s="62"/>
      <c r="F1806" s="531"/>
      <c r="G1806" s="2">
        <f t="shared" si="399"/>
        <v>0</v>
      </c>
      <c r="H1806" s="2">
        <f t="shared" si="399"/>
        <v>0</v>
      </c>
      <c r="I1806" s="62"/>
      <c r="J1806" s="454" t="s">
        <v>6</v>
      </c>
      <c r="K1806" s="454" t="s">
        <v>108</v>
      </c>
      <c r="L1806" s="440" t="s">
        <v>58</v>
      </c>
      <c r="M1806" s="454"/>
      <c r="N1806" s="661"/>
      <c r="O1806" s="662"/>
      <c r="P1806" s="663"/>
    </row>
    <row r="1807" spans="1:16" s="458" customFormat="1" ht="14">
      <c r="A1807" s="121" t="s">
        <v>490</v>
      </c>
      <c r="B1807" s="122" t="s">
        <v>1186</v>
      </c>
      <c r="C1807" s="126"/>
      <c r="D1807" s="62"/>
      <c r="E1807" s="62"/>
      <c r="F1807" s="531"/>
      <c r="G1807" s="2"/>
      <c r="H1807" s="2"/>
      <c r="I1807" s="62"/>
      <c r="J1807" s="454"/>
      <c r="K1807" s="454"/>
      <c r="L1807" s="440"/>
      <c r="M1807" s="454"/>
      <c r="N1807" s="661"/>
      <c r="O1807" s="662"/>
      <c r="P1807" s="663"/>
    </row>
    <row r="1808" spans="1:16" s="458" customFormat="1" ht="14">
      <c r="A1808" s="124" t="s">
        <v>8</v>
      </c>
      <c r="B1808" s="131" t="s">
        <v>1187</v>
      </c>
      <c r="C1808" s="137" t="s">
        <v>24</v>
      </c>
      <c r="D1808" s="62"/>
      <c r="E1808" s="62"/>
      <c r="F1808" s="531"/>
      <c r="G1808" s="2">
        <f t="shared" ref="G1808:H1809" si="400">D1808*$F1808</f>
        <v>0</v>
      </c>
      <c r="H1808" s="2">
        <f t="shared" si="400"/>
        <v>0</v>
      </c>
      <c r="I1808" s="62"/>
      <c r="J1808" s="454" t="s">
        <v>6</v>
      </c>
      <c r="K1808" s="454" t="s">
        <v>108</v>
      </c>
      <c r="L1808" s="440" t="s">
        <v>58</v>
      </c>
      <c r="M1808" s="454"/>
      <c r="N1808" s="661"/>
      <c r="O1808" s="662"/>
      <c r="P1808" s="663"/>
    </row>
    <row r="1809" spans="1:16" s="458" customFormat="1" ht="14">
      <c r="A1809" s="124" t="s">
        <v>8</v>
      </c>
      <c r="B1809" s="131" t="s">
        <v>1188</v>
      </c>
      <c r="C1809" s="137" t="s">
        <v>24</v>
      </c>
      <c r="D1809" s="62"/>
      <c r="E1809" s="62"/>
      <c r="F1809" s="531"/>
      <c r="G1809" s="2">
        <f t="shared" si="400"/>
        <v>0</v>
      </c>
      <c r="H1809" s="2">
        <f t="shared" si="400"/>
        <v>0</v>
      </c>
      <c r="I1809" s="62"/>
      <c r="J1809" s="454" t="s">
        <v>6</v>
      </c>
      <c r="K1809" s="454" t="s">
        <v>108</v>
      </c>
      <c r="L1809" s="440" t="s">
        <v>58</v>
      </c>
      <c r="M1809" s="454"/>
      <c r="N1809" s="661"/>
      <c r="O1809" s="662"/>
      <c r="P1809" s="663"/>
    </row>
    <row r="1810" spans="1:16" s="458" customFormat="1" ht="14">
      <c r="A1810" s="138" t="s">
        <v>491</v>
      </c>
      <c r="B1810" s="445" t="s">
        <v>804</v>
      </c>
      <c r="C1810" s="141"/>
      <c r="D1810" s="141"/>
      <c r="E1810" s="141"/>
      <c r="F1810" s="668"/>
      <c r="G1810" s="141"/>
      <c r="H1810" s="141"/>
      <c r="I1810" s="141"/>
      <c r="J1810" s="449"/>
      <c r="K1810" s="449"/>
      <c r="L1810" s="141"/>
      <c r="M1810" s="141"/>
      <c r="N1810" s="661"/>
      <c r="O1810" s="662"/>
      <c r="P1810" s="663"/>
    </row>
    <row r="1811" spans="1:16" s="458" customFormat="1" ht="14">
      <c r="A1811" s="124" t="s">
        <v>492</v>
      </c>
      <c r="B1811" s="125" t="s">
        <v>772</v>
      </c>
      <c r="C1811" s="126" t="s">
        <v>126</v>
      </c>
      <c r="D1811" s="62"/>
      <c r="E1811" s="62"/>
      <c r="F1811" s="531"/>
      <c r="G1811" s="2">
        <f t="shared" ref="G1811:H1811" si="401">D1811*$F1811</f>
        <v>0</v>
      </c>
      <c r="H1811" s="2">
        <f t="shared" si="401"/>
        <v>0</v>
      </c>
      <c r="I1811" s="62"/>
      <c r="J1811" s="454" t="s">
        <v>6</v>
      </c>
      <c r="K1811" s="454" t="s">
        <v>107</v>
      </c>
      <c r="L1811" s="440" t="s">
        <v>58</v>
      </c>
      <c r="M1811" s="454"/>
      <c r="N1811" s="661"/>
      <c r="O1811" s="662"/>
      <c r="P1811" s="663"/>
    </row>
    <row r="1812" spans="1:16" s="458" customFormat="1" ht="14">
      <c r="A1812" s="124" t="s">
        <v>493</v>
      </c>
      <c r="B1812" s="125" t="s">
        <v>805</v>
      </c>
      <c r="C1812" s="123"/>
      <c r="D1812" s="62"/>
      <c r="E1812" s="62"/>
      <c r="F1812" s="531"/>
      <c r="G1812" s="659"/>
      <c r="H1812" s="659"/>
      <c r="I1812" s="62"/>
      <c r="J1812" s="454"/>
      <c r="K1812" s="454"/>
      <c r="L1812" s="660"/>
      <c r="M1812" s="454"/>
      <c r="N1812" s="661"/>
      <c r="O1812" s="662"/>
      <c r="P1812" s="663"/>
    </row>
    <row r="1813" spans="1:16" s="458" customFormat="1" ht="14">
      <c r="A1813" s="136" t="s">
        <v>8</v>
      </c>
      <c r="B1813" s="142" t="s">
        <v>806</v>
      </c>
      <c r="C1813" s="137" t="s">
        <v>15</v>
      </c>
      <c r="D1813" s="62"/>
      <c r="E1813" s="62"/>
      <c r="F1813" s="531"/>
      <c r="G1813" s="2">
        <f t="shared" ref="G1813:H1818" si="402">D1813*$F1813</f>
        <v>0</v>
      </c>
      <c r="H1813" s="2">
        <f t="shared" si="402"/>
        <v>0</v>
      </c>
      <c r="I1813" s="62"/>
      <c r="J1813" s="454" t="s">
        <v>6</v>
      </c>
      <c r="K1813" s="454" t="s">
        <v>107</v>
      </c>
      <c r="L1813" s="440" t="s">
        <v>58</v>
      </c>
      <c r="M1813" s="454"/>
      <c r="N1813" s="661"/>
      <c r="O1813" s="662"/>
      <c r="P1813" s="663"/>
    </row>
    <row r="1814" spans="1:16" s="458" customFormat="1" ht="14">
      <c r="A1814" s="136" t="s">
        <v>8</v>
      </c>
      <c r="B1814" s="125" t="s">
        <v>1189</v>
      </c>
      <c r="C1814" s="137" t="s">
        <v>15</v>
      </c>
      <c r="D1814" s="62"/>
      <c r="E1814" s="62"/>
      <c r="F1814" s="531"/>
      <c r="G1814" s="2">
        <f t="shared" si="402"/>
        <v>0</v>
      </c>
      <c r="H1814" s="2">
        <f t="shared" si="402"/>
        <v>0</v>
      </c>
      <c r="I1814" s="62"/>
      <c r="J1814" s="454" t="s">
        <v>6</v>
      </c>
      <c r="K1814" s="454" t="s">
        <v>107</v>
      </c>
      <c r="L1814" s="440" t="s">
        <v>58</v>
      </c>
      <c r="M1814" s="454"/>
      <c r="N1814" s="661"/>
      <c r="O1814" s="662"/>
      <c r="P1814" s="663"/>
    </row>
    <row r="1815" spans="1:16" s="458" customFormat="1" ht="14">
      <c r="A1815" s="136" t="s">
        <v>8</v>
      </c>
      <c r="B1815" s="125" t="s">
        <v>1190</v>
      </c>
      <c r="C1815" s="137" t="s">
        <v>15</v>
      </c>
      <c r="D1815" s="62"/>
      <c r="E1815" s="62"/>
      <c r="F1815" s="531"/>
      <c r="G1815" s="2">
        <f t="shared" si="402"/>
        <v>0</v>
      </c>
      <c r="H1815" s="2">
        <f t="shared" si="402"/>
        <v>0</v>
      </c>
      <c r="I1815" s="62"/>
      <c r="J1815" s="454" t="s">
        <v>6</v>
      </c>
      <c r="K1815" s="454" t="s">
        <v>107</v>
      </c>
      <c r="L1815" s="440" t="s">
        <v>58</v>
      </c>
      <c r="M1815" s="454"/>
      <c r="N1815" s="661"/>
      <c r="O1815" s="662"/>
      <c r="P1815" s="663"/>
    </row>
    <row r="1816" spans="1:16" s="458" customFormat="1" ht="14">
      <c r="A1816" s="136" t="s">
        <v>8</v>
      </c>
      <c r="B1816" s="125" t="s">
        <v>1191</v>
      </c>
      <c r="C1816" s="137" t="s">
        <v>15</v>
      </c>
      <c r="D1816" s="62"/>
      <c r="E1816" s="62"/>
      <c r="F1816" s="531"/>
      <c r="G1816" s="2">
        <f t="shared" si="402"/>
        <v>0</v>
      </c>
      <c r="H1816" s="2">
        <f t="shared" si="402"/>
        <v>0</v>
      </c>
      <c r="I1816" s="62"/>
      <c r="J1816" s="454" t="s">
        <v>6</v>
      </c>
      <c r="K1816" s="454" t="s">
        <v>107</v>
      </c>
      <c r="L1816" s="440" t="s">
        <v>58</v>
      </c>
      <c r="M1816" s="454"/>
      <c r="N1816" s="661"/>
      <c r="O1816" s="662"/>
      <c r="P1816" s="663"/>
    </row>
    <row r="1817" spans="1:16" s="458" customFormat="1" ht="14">
      <c r="A1817" s="136" t="s">
        <v>8</v>
      </c>
      <c r="B1817" s="142" t="s">
        <v>1192</v>
      </c>
      <c r="C1817" s="137" t="s">
        <v>15</v>
      </c>
      <c r="D1817" s="62"/>
      <c r="E1817" s="62"/>
      <c r="F1817" s="531"/>
      <c r="G1817" s="2">
        <f t="shared" si="402"/>
        <v>0</v>
      </c>
      <c r="H1817" s="2">
        <f t="shared" si="402"/>
        <v>0</v>
      </c>
      <c r="I1817" s="62"/>
      <c r="J1817" s="454" t="s">
        <v>6</v>
      </c>
      <c r="K1817" s="454" t="s">
        <v>107</v>
      </c>
      <c r="L1817" s="440" t="s">
        <v>58</v>
      </c>
      <c r="M1817" s="454"/>
      <c r="N1817" s="661"/>
      <c r="O1817" s="662"/>
      <c r="P1817" s="663"/>
    </row>
    <row r="1818" spans="1:16" s="458" customFormat="1" ht="14">
      <c r="A1818" s="136" t="s">
        <v>8</v>
      </c>
      <c r="B1818" s="142" t="s">
        <v>1193</v>
      </c>
      <c r="C1818" s="137" t="s">
        <v>15</v>
      </c>
      <c r="D1818" s="62"/>
      <c r="E1818" s="62"/>
      <c r="F1818" s="531"/>
      <c r="G1818" s="2">
        <f t="shared" si="402"/>
        <v>0</v>
      </c>
      <c r="H1818" s="2">
        <f t="shared" si="402"/>
        <v>0</v>
      </c>
      <c r="I1818" s="62"/>
      <c r="J1818" s="454" t="s">
        <v>6</v>
      </c>
      <c r="K1818" s="454" t="s">
        <v>107</v>
      </c>
      <c r="L1818" s="440" t="s">
        <v>58</v>
      </c>
      <c r="M1818" s="454"/>
      <c r="N1818" s="661"/>
      <c r="O1818" s="662"/>
      <c r="P1818" s="663"/>
    </row>
    <row r="1819" spans="1:16" s="458" customFormat="1" ht="14">
      <c r="A1819" s="124" t="s">
        <v>496</v>
      </c>
      <c r="B1819" s="125" t="s">
        <v>783</v>
      </c>
      <c r="C1819" s="123"/>
      <c r="D1819" s="62"/>
      <c r="E1819" s="62"/>
      <c r="F1819" s="531"/>
      <c r="G1819" s="659"/>
      <c r="H1819" s="659"/>
      <c r="I1819" s="62"/>
      <c r="J1819" s="454"/>
      <c r="K1819" s="454"/>
      <c r="L1819" s="660"/>
      <c r="M1819" s="454"/>
      <c r="N1819" s="661"/>
      <c r="O1819" s="662"/>
      <c r="P1819" s="663"/>
    </row>
    <row r="1820" spans="1:16" s="458" customFormat="1" ht="14">
      <c r="A1820" s="136" t="s">
        <v>8</v>
      </c>
      <c r="B1820" s="131" t="s">
        <v>1179</v>
      </c>
      <c r="C1820" s="137" t="s">
        <v>10</v>
      </c>
      <c r="D1820" s="62"/>
      <c r="E1820" s="62"/>
      <c r="F1820" s="531"/>
      <c r="G1820" s="2">
        <f t="shared" ref="G1820:H1824" si="403">D1820*$F1820</f>
        <v>0</v>
      </c>
      <c r="H1820" s="2">
        <f t="shared" si="403"/>
        <v>0</v>
      </c>
      <c r="I1820" s="62"/>
      <c r="J1820" s="454" t="s">
        <v>6</v>
      </c>
      <c r="K1820" s="454" t="s">
        <v>107</v>
      </c>
      <c r="L1820" s="440" t="s">
        <v>58</v>
      </c>
      <c r="M1820" s="454"/>
      <c r="N1820" s="661"/>
      <c r="O1820" s="662"/>
      <c r="P1820" s="663"/>
    </row>
    <row r="1821" spans="1:16" s="458" customFormat="1" ht="14">
      <c r="A1821" s="136" t="s">
        <v>8</v>
      </c>
      <c r="B1821" s="131" t="s">
        <v>1180</v>
      </c>
      <c r="C1821" s="137" t="s">
        <v>10</v>
      </c>
      <c r="D1821" s="62"/>
      <c r="E1821" s="62"/>
      <c r="F1821" s="531"/>
      <c r="G1821" s="2">
        <f t="shared" si="403"/>
        <v>0</v>
      </c>
      <c r="H1821" s="2">
        <f t="shared" si="403"/>
        <v>0</v>
      </c>
      <c r="I1821" s="62"/>
      <c r="J1821" s="454" t="s">
        <v>6</v>
      </c>
      <c r="K1821" s="454" t="s">
        <v>107</v>
      </c>
      <c r="L1821" s="440" t="s">
        <v>58</v>
      </c>
      <c r="M1821" s="454"/>
      <c r="N1821" s="661"/>
      <c r="O1821" s="662"/>
      <c r="P1821" s="663"/>
    </row>
    <row r="1822" spans="1:16" s="458" customFormat="1" ht="14">
      <c r="A1822" s="136"/>
      <c r="B1822" s="637" t="s">
        <v>1181</v>
      </c>
      <c r="C1822" s="137" t="s">
        <v>10</v>
      </c>
      <c r="D1822" s="62"/>
      <c r="E1822" s="62"/>
      <c r="F1822" s="531"/>
      <c r="G1822" s="2">
        <f t="shared" si="403"/>
        <v>0</v>
      </c>
      <c r="H1822" s="2">
        <f t="shared" si="403"/>
        <v>0</v>
      </c>
      <c r="I1822" s="62"/>
      <c r="J1822" s="454" t="s">
        <v>6</v>
      </c>
      <c r="K1822" s="454" t="s">
        <v>107</v>
      </c>
      <c r="L1822" s="440" t="s">
        <v>58</v>
      </c>
      <c r="M1822" s="454"/>
      <c r="N1822" s="661"/>
      <c r="O1822" s="662"/>
      <c r="P1822" s="663"/>
    </row>
    <row r="1823" spans="1:16" s="458" customFormat="1" ht="14">
      <c r="A1823" s="136"/>
      <c r="B1823" s="637" t="s">
        <v>1182</v>
      </c>
      <c r="C1823" s="137" t="s">
        <v>10</v>
      </c>
      <c r="D1823" s="62"/>
      <c r="E1823" s="62"/>
      <c r="F1823" s="531"/>
      <c r="G1823" s="2">
        <f t="shared" si="403"/>
        <v>0</v>
      </c>
      <c r="H1823" s="2">
        <f t="shared" si="403"/>
        <v>0</v>
      </c>
      <c r="I1823" s="62"/>
      <c r="J1823" s="454" t="s">
        <v>6</v>
      </c>
      <c r="K1823" s="454" t="s">
        <v>107</v>
      </c>
      <c r="L1823" s="440" t="s">
        <v>58</v>
      </c>
      <c r="M1823" s="454"/>
      <c r="N1823" s="661"/>
      <c r="O1823" s="662"/>
      <c r="P1823" s="663"/>
    </row>
    <row r="1824" spans="1:16" s="458" customFormat="1" ht="14">
      <c r="A1824" s="136"/>
      <c r="B1824" s="637" t="s">
        <v>1183</v>
      </c>
      <c r="C1824" s="137" t="s">
        <v>10</v>
      </c>
      <c r="D1824" s="62"/>
      <c r="E1824" s="62"/>
      <c r="F1824" s="531"/>
      <c r="G1824" s="2">
        <f t="shared" si="403"/>
        <v>0</v>
      </c>
      <c r="H1824" s="2">
        <f t="shared" si="403"/>
        <v>0</v>
      </c>
      <c r="I1824" s="62"/>
      <c r="J1824" s="454" t="s">
        <v>6</v>
      </c>
      <c r="K1824" s="454" t="s">
        <v>107</v>
      </c>
      <c r="L1824" s="440" t="s">
        <v>58</v>
      </c>
      <c r="M1824" s="454"/>
      <c r="N1824" s="661"/>
      <c r="O1824" s="662"/>
      <c r="P1824" s="663"/>
    </row>
    <row r="1825" spans="1:16" s="458" customFormat="1" ht="14">
      <c r="A1825" s="136" t="s">
        <v>497</v>
      </c>
      <c r="B1825" s="131" t="s">
        <v>800</v>
      </c>
      <c r="C1825" s="135"/>
      <c r="D1825" s="62"/>
      <c r="E1825" s="62"/>
      <c r="F1825" s="531"/>
      <c r="G1825" s="659"/>
      <c r="H1825" s="659"/>
      <c r="I1825" s="62"/>
      <c r="J1825" s="454"/>
      <c r="K1825" s="454"/>
      <c r="L1825" s="660"/>
      <c r="M1825" s="454"/>
      <c r="N1825" s="661"/>
      <c r="O1825" s="662"/>
      <c r="P1825" s="663"/>
    </row>
    <row r="1826" spans="1:16" s="458" customFormat="1" ht="14">
      <c r="A1826" s="136" t="s">
        <v>8</v>
      </c>
      <c r="B1826" s="131" t="s">
        <v>801</v>
      </c>
      <c r="C1826" s="137" t="s">
        <v>31</v>
      </c>
      <c r="D1826" s="62"/>
      <c r="E1826" s="62"/>
      <c r="F1826" s="531"/>
      <c r="G1826" s="2">
        <f t="shared" ref="G1826:H1826" si="404">D1826*$F1826</f>
        <v>0</v>
      </c>
      <c r="H1826" s="2">
        <f t="shared" si="404"/>
        <v>0</v>
      </c>
      <c r="I1826" s="62"/>
      <c r="J1826" s="454" t="s">
        <v>6</v>
      </c>
      <c r="K1826" s="454" t="s">
        <v>107</v>
      </c>
      <c r="L1826" s="440" t="s">
        <v>58</v>
      </c>
      <c r="M1826" s="454"/>
      <c r="N1826" s="661"/>
      <c r="O1826" s="662"/>
      <c r="P1826" s="663"/>
    </row>
    <row r="1827" spans="1:16" s="458" customFormat="1" ht="14">
      <c r="A1827" s="136" t="s">
        <v>498</v>
      </c>
      <c r="B1827" s="131" t="s">
        <v>776</v>
      </c>
      <c r="C1827" s="135"/>
      <c r="D1827" s="62"/>
      <c r="E1827" s="62"/>
      <c r="F1827" s="531"/>
      <c r="G1827" s="659"/>
      <c r="H1827" s="659"/>
      <c r="I1827" s="62"/>
      <c r="J1827" s="454"/>
      <c r="K1827" s="454"/>
      <c r="L1827" s="660"/>
      <c r="M1827" s="454"/>
      <c r="N1827" s="661"/>
      <c r="O1827" s="662"/>
      <c r="P1827" s="663"/>
    </row>
    <row r="1828" spans="1:16" s="458" customFormat="1" ht="14">
      <c r="A1828" s="124" t="s">
        <v>8</v>
      </c>
      <c r="B1828" s="125" t="s">
        <v>807</v>
      </c>
      <c r="C1828" s="126" t="s">
        <v>24</v>
      </c>
      <c r="D1828" s="62"/>
      <c r="E1828" s="62"/>
      <c r="F1828" s="531"/>
      <c r="G1828" s="2">
        <f t="shared" ref="G1828:H1828" si="405">D1828*$F1828</f>
        <v>0</v>
      </c>
      <c r="H1828" s="2">
        <f t="shared" si="405"/>
        <v>0</v>
      </c>
      <c r="I1828" s="62"/>
      <c r="J1828" s="454" t="s">
        <v>6</v>
      </c>
      <c r="K1828" s="454" t="s">
        <v>107</v>
      </c>
      <c r="L1828" s="440" t="s">
        <v>58</v>
      </c>
      <c r="M1828" s="454"/>
      <c r="N1828" s="661"/>
      <c r="O1828" s="662"/>
      <c r="P1828" s="663"/>
    </row>
    <row r="1829" spans="1:16" s="458" customFormat="1" ht="14">
      <c r="A1829" s="136" t="s">
        <v>500</v>
      </c>
      <c r="B1829" s="131" t="s">
        <v>774</v>
      </c>
      <c r="C1829" s="126"/>
      <c r="D1829" s="62"/>
      <c r="E1829" s="62"/>
      <c r="F1829" s="531"/>
      <c r="G1829" s="659"/>
      <c r="H1829" s="659"/>
      <c r="I1829" s="62"/>
      <c r="J1829" s="454"/>
      <c r="K1829" s="454"/>
      <c r="L1829" s="660"/>
      <c r="M1829" s="454"/>
      <c r="N1829" s="661"/>
      <c r="O1829" s="662"/>
      <c r="P1829" s="663"/>
    </row>
    <row r="1830" spans="1:16" s="458" customFormat="1" ht="14">
      <c r="A1830" s="136" t="s">
        <v>8</v>
      </c>
      <c r="B1830" s="131" t="s">
        <v>775</v>
      </c>
      <c r="C1830" s="137" t="s">
        <v>15</v>
      </c>
      <c r="D1830" s="62"/>
      <c r="E1830" s="62"/>
      <c r="F1830" s="531"/>
      <c r="G1830" s="2">
        <f t="shared" ref="G1830:H1832" si="406">D1830*$F1830</f>
        <v>0</v>
      </c>
      <c r="H1830" s="2">
        <f t="shared" si="406"/>
        <v>0</v>
      </c>
      <c r="I1830" s="62"/>
      <c r="J1830" s="454" t="s">
        <v>6</v>
      </c>
      <c r="K1830" s="454" t="s">
        <v>107</v>
      </c>
      <c r="L1830" s="440" t="s">
        <v>58</v>
      </c>
      <c r="M1830" s="454"/>
      <c r="N1830" s="661"/>
      <c r="O1830" s="662"/>
      <c r="P1830" s="663"/>
    </row>
    <row r="1831" spans="1:16" s="458" customFormat="1" ht="14">
      <c r="A1831" s="124" t="s">
        <v>8</v>
      </c>
      <c r="B1831" s="125" t="s">
        <v>798</v>
      </c>
      <c r="C1831" s="126" t="s">
        <v>15</v>
      </c>
      <c r="D1831" s="62"/>
      <c r="E1831" s="62"/>
      <c r="F1831" s="531"/>
      <c r="G1831" s="2">
        <f t="shared" si="406"/>
        <v>0</v>
      </c>
      <c r="H1831" s="2">
        <f t="shared" si="406"/>
        <v>0</v>
      </c>
      <c r="I1831" s="62"/>
      <c r="J1831" s="454" t="s">
        <v>6</v>
      </c>
      <c r="K1831" s="454" t="s">
        <v>107</v>
      </c>
      <c r="L1831" s="440" t="s">
        <v>58</v>
      </c>
      <c r="M1831" s="454"/>
      <c r="N1831" s="661"/>
      <c r="O1831" s="662"/>
      <c r="P1831" s="663"/>
    </row>
    <row r="1832" spans="1:16" s="458" customFormat="1" ht="14">
      <c r="A1832" s="136" t="s">
        <v>501</v>
      </c>
      <c r="B1832" s="131" t="s">
        <v>808</v>
      </c>
      <c r="C1832" s="137" t="s">
        <v>15</v>
      </c>
      <c r="D1832" s="62"/>
      <c r="E1832" s="62"/>
      <c r="F1832" s="531"/>
      <c r="G1832" s="2">
        <f t="shared" si="406"/>
        <v>0</v>
      </c>
      <c r="H1832" s="2">
        <f t="shared" si="406"/>
        <v>0</v>
      </c>
      <c r="I1832" s="62"/>
      <c r="J1832" s="454" t="s">
        <v>6</v>
      </c>
      <c r="K1832" s="454" t="s">
        <v>107</v>
      </c>
      <c r="L1832" s="440" t="s">
        <v>58</v>
      </c>
      <c r="M1832" s="454"/>
      <c r="N1832" s="661"/>
      <c r="O1832" s="662"/>
      <c r="P1832" s="663"/>
    </row>
    <row r="1833" spans="1:16" s="458" customFormat="1" ht="14">
      <c r="A1833" s="138" t="s">
        <v>503</v>
      </c>
      <c r="B1833" s="445" t="s">
        <v>809</v>
      </c>
      <c r="C1833" s="141"/>
      <c r="D1833" s="141"/>
      <c r="E1833" s="141"/>
      <c r="F1833" s="668"/>
      <c r="G1833" s="141"/>
      <c r="H1833" s="141"/>
      <c r="I1833" s="141"/>
      <c r="J1833" s="449"/>
      <c r="K1833" s="449"/>
      <c r="L1833" s="141"/>
      <c r="M1833" s="141"/>
      <c r="N1833" s="661"/>
      <c r="O1833" s="662"/>
      <c r="P1833" s="663"/>
    </row>
    <row r="1834" spans="1:16" s="458" customFormat="1" ht="14">
      <c r="A1834" s="124" t="s">
        <v>504</v>
      </c>
      <c r="B1834" s="125" t="s">
        <v>772</v>
      </c>
      <c r="C1834" s="126" t="s">
        <v>126</v>
      </c>
      <c r="D1834" s="62"/>
      <c r="E1834" s="62"/>
      <c r="F1834" s="531"/>
      <c r="G1834" s="7">
        <f t="shared" ref="G1834:H1834" si="407">D1834*$F1834</f>
        <v>0</v>
      </c>
      <c r="H1834" s="7">
        <f t="shared" si="407"/>
        <v>0</v>
      </c>
      <c r="I1834" s="62"/>
      <c r="J1834" s="454" t="s">
        <v>6</v>
      </c>
      <c r="K1834" s="454" t="s">
        <v>108</v>
      </c>
      <c r="L1834" s="440" t="s">
        <v>58</v>
      </c>
      <c r="M1834" s="454"/>
      <c r="N1834" s="661"/>
      <c r="O1834" s="662"/>
      <c r="P1834" s="663"/>
    </row>
    <row r="1835" spans="1:16" s="458" customFormat="1" ht="14">
      <c r="A1835" s="124" t="s">
        <v>505</v>
      </c>
      <c r="B1835" s="125" t="s">
        <v>805</v>
      </c>
      <c r="C1835" s="123"/>
      <c r="D1835" s="62"/>
      <c r="E1835" s="62"/>
      <c r="F1835" s="531"/>
      <c r="G1835" s="659"/>
      <c r="H1835" s="659"/>
      <c r="I1835" s="62"/>
      <c r="J1835" s="454"/>
      <c r="K1835" s="454"/>
      <c r="L1835" s="660"/>
      <c r="M1835" s="454"/>
      <c r="N1835" s="661"/>
      <c r="O1835" s="662"/>
      <c r="P1835" s="663"/>
    </row>
    <row r="1836" spans="1:16" s="458" customFormat="1" ht="14">
      <c r="A1836" s="136" t="s">
        <v>8</v>
      </c>
      <c r="B1836" s="142" t="s">
        <v>806</v>
      </c>
      <c r="C1836" s="137" t="s">
        <v>15</v>
      </c>
      <c r="D1836" s="62"/>
      <c r="E1836" s="62"/>
      <c r="F1836" s="531"/>
      <c r="G1836" s="7">
        <f t="shared" ref="G1836:H1841" si="408">D1836*$F1836</f>
        <v>0</v>
      </c>
      <c r="H1836" s="7">
        <f t="shared" si="408"/>
        <v>0</v>
      </c>
      <c r="I1836" s="62"/>
      <c r="J1836" s="454" t="s">
        <v>6</v>
      </c>
      <c r="K1836" s="454" t="s">
        <v>108</v>
      </c>
      <c r="L1836" s="440" t="s">
        <v>58</v>
      </c>
      <c r="M1836" s="454"/>
      <c r="N1836" s="661"/>
      <c r="O1836" s="662"/>
      <c r="P1836" s="663"/>
    </row>
    <row r="1837" spans="1:16" s="458" customFormat="1" ht="14">
      <c r="A1837" s="136" t="s">
        <v>8</v>
      </c>
      <c r="B1837" s="125" t="s">
        <v>1189</v>
      </c>
      <c r="C1837" s="137" t="s">
        <v>15</v>
      </c>
      <c r="D1837" s="62"/>
      <c r="E1837" s="62"/>
      <c r="F1837" s="531"/>
      <c r="G1837" s="7">
        <f t="shared" si="408"/>
        <v>0</v>
      </c>
      <c r="H1837" s="7">
        <f t="shared" si="408"/>
        <v>0</v>
      </c>
      <c r="I1837" s="62"/>
      <c r="J1837" s="454" t="s">
        <v>6</v>
      </c>
      <c r="K1837" s="454" t="s">
        <v>108</v>
      </c>
      <c r="L1837" s="440" t="s">
        <v>58</v>
      </c>
      <c r="M1837" s="454"/>
      <c r="N1837" s="661"/>
      <c r="O1837" s="662"/>
      <c r="P1837" s="663"/>
    </row>
    <row r="1838" spans="1:16" s="458" customFormat="1" ht="14">
      <c r="A1838" s="136" t="s">
        <v>8</v>
      </c>
      <c r="B1838" s="125" t="s">
        <v>1194</v>
      </c>
      <c r="C1838" s="137" t="s">
        <v>15</v>
      </c>
      <c r="D1838" s="62"/>
      <c r="E1838" s="62"/>
      <c r="F1838" s="531"/>
      <c r="G1838" s="7">
        <f t="shared" si="408"/>
        <v>0</v>
      </c>
      <c r="H1838" s="7">
        <f t="shared" si="408"/>
        <v>0</v>
      </c>
      <c r="I1838" s="62"/>
      <c r="J1838" s="454" t="s">
        <v>6</v>
      </c>
      <c r="K1838" s="454" t="s">
        <v>108</v>
      </c>
      <c r="L1838" s="440" t="s">
        <v>58</v>
      </c>
      <c r="M1838" s="454"/>
      <c r="N1838" s="661"/>
      <c r="O1838" s="662"/>
      <c r="P1838" s="663"/>
    </row>
    <row r="1839" spans="1:16" s="458" customFormat="1" ht="14">
      <c r="A1839" s="136" t="s">
        <v>8</v>
      </c>
      <c r="B1839" s="125" t="s">
        <v>1191</v>
      </c>
      <c r="C1839" s="137" t="s">
        <v>15</v>
      </c>
      <c r="D1839" s="62"/>
      <c r="E1839" s="62"/>
      <c r="F1839" s="531"/>
      <c r="G1839" s="7">
        <f t="shared" si="408"/>
        <v>0</v>
      </c>
      <c r="H1839" s="7">
        <f t="shared" si="408"/>
        <v>0</v>
      </c>
      <c r="I1839" s="62"/>
      <c r="J1839" s="454" t="s">
        <v>6</v>
      </c>
      <c r="K1839" s="454" t="s">
        <v>108</v>
      </c>
      <c r="L1839" s="440" t="s">
        <v>58</v>
      </c>
      <c r="M1839" s="454"/>
      <c r="N1839" s="661"/>
      <c r="O1839" s="662"/>
      <c r="P1839" s="663"/>
    </row>
    <row r="1840" spans="1:16" s="458" customFormat="1" ht="14">
      <c r="A1840" s="136" t="s">
        <v>8</v>
      </c>
      <c r="B1840" s="142" t="s">
        <v>1192</v>
      </c>
      <c r="C1840" s="137" t="s">
        <v>15</v>
      </c>
      <c r="D1840" s="62"/>
      <c r="E1840" s="62"/>
      <c r="F1840" s="531"/>
      <c r="G1840" s="7">
        <f t="shared" si="408"/>
        <v>0</v>
      </c>
      <c r="H1840" s="7">
        <f t="shared" si="408"/>
        <v>0</v>
      </c>
      <c r="I1840" s="62"/>
      <c r="J1840" s="454" t="s">
        <v>6</v>
      </c>
      <c r="K1840" s="454" t="s">
        <v>108</v>
      </c>
      <c r="L1840" s="440" t="s">
        <v>58</v>
      </c>
      <c r="M1840" s="454"/>
      <c r="N1840" s="661"/>
      <c r="O1840" s="662"/>
      <c r="P1840" s="663"/>
    </row>
    <row r="1841" spans="1:16" s="458" customFormat="1" ht="14">
      <c r="A1841" s="136" t="s">
        <v>8</v>
      </c>
      <c r="B1841" s="142" t="s">
        <v>1193</v>
      </c>
      <c r="C1841" s="137" t="s">
        <v>15</v>
      </c>
      <c r="D1841" s="62"/>
      <c r="E1841" s="62"/>
      <c r="F1841" s="531"/>
      <c r="G1841" s="7">
        <f t="shared" si="408"/>
        <v>0</v>
      </c>
      <c r="H1841" s="7">
        <f t="shared" si="408"/>
        <v>0</v>
      </c>
      <c r="I1841" s="62"/>
      <c r="J1841" s="454" t="s">
        <v>6</v>
      </c>
      <c r="K1841" s="454" t="s">
        <v>108</v>
      </c>
      <c r="L1841" s="440" t="s">
        <v>58</v>
      </c>
      <c r="M1841" s="454"/>
      <c r="N1841" s="661"/>
      <c r="O1841" s="662"/>
      <c r="P1841" s="663"/>
    </row>
    <row r="1842" spans="1:16" s="458" customFormat="1" ht="14">
      <c r="A1842" s="124" t="s">
        <v>506</v>
      </c>
      <c r="B1842" s="125" t="s">
        <v>783</v>
      </c>
      <c r="C1842" s="123"/>
      <c r="D1842" s="62"/>
      <c r="E1842" s="62"/>
      <c r="F1842" s="531"/>
      <c r="G1842" s="659"/>
      <c r="H1842" s="659"/>
      <c r="I1842" s="62"/>
      <c r="J1842" s="454"/>
      <c r="K1842" s="454"/>
      <c r="L1842" s="660"/>
      <c r="M1842" s="454"/>
      <c r="N1842" s="661"/>
      <c r="O1842" s="662"/>
      <c r="P1842" s="663"/>
    </row>
    <row r="1843" spans="1:16" s="458" customFormat="1" ht="14">
      <c r="A1843" s="136" t="s">
        <v>8</v>
      </c>
      <c r="B1843" s="131" t="s">
        <v>1179</v>
      </c>
      <c r="C1843" s="137" t="s">
        <v>10</v>
      </c>
      <c r="D1843" s="62"/>
      <c r="E1843" s="62"/>
      <c r="F1843" s="531"/>
      <c r="G1843" s="7">
        <f t="shared" ref="G1843:H1847" si="409">D1843*$F1843</f>
        <v>0</v>
      </c>
      <c r="H1843" s="7">
        <f t="shared" si="409"/>
        <v>0</v>
      </c>
      <c r="I1843" s="62"/>
      <c r="J1843" s="454" t="s">
        <v>6</v>
      </c>
      <c r="K1843" s="454" t="s">
        <v>108</v>
      </c>
      <c r="L1843" s="440" t="s">
        <v>58</v>
      </c>
      <c r="M1843" s="454"/>
      <c r="N1843" s="661"/>
      <c r="O1843" s="662"/>
      <c r="P1843" s="663"/>
    </row>
    <row r="1844" spans="1:16" s="458" customFormat="1" ht="14">
      <c r="A1844" s="136" t="s">
        <v>8</v>
      </c>
      <c r="B1844" s="131" t="s">
        <v>1180</v>
      </c>
      <c r="C1844" s="137" t="s">
        <v>10</v>
      </c>
      <c r="D1844" s="62"/>
      <c r="E1844" s="62"/>
      <c r="F1844" s="531"/>
      <c r="G1844" s="7">
        <f t="shared" si="409"/>
        <v>0</v>
      </c>
      <c r="H1844" s="7">
        <f t="shared" si="409"/>
        <v>0</v>
      </c>
      <c r="I1844" s="62"/>
      <c r="J1844" s="454" t="s">
        <v>6</v>
      </c>
      <c r="K1844" s="454" t="s">
        <v>108</v>
      </c>
      <c r="L1844" s="440" t="s">
        <v>58</v>
      </c>
      <c r="M1844" s="454"/>
      <c r="N1844" s="661"/>
      <c r="O1844" s="662"/>
      <c r="P1844" s="663"/>
    </row>
    <row r="1845" spans="1:16" s="458" customFormat="1" ht="14">
      <c r="A1845" s="136"/>
      <c r="B1845" s="637" t="s">
        <v>1181</v>
      </c>
      <c r="C1845" s="137" t="s">
        <v>10</v>
      </c>
      <c r="D1845" s="62"/>
      <c r="E1845" s="62"/>
      <c r="F1845" s="531"/>
      <c r="G1845" s="7">
        <f t="shared" si="409"/>
        <v>0</v>
      </c>
      <c r="H1845" s="7">
        <f t="shared" si="409"/>
        <v>0</v>
      </c>
      <c r="I1845" s="62"/>
      <c r="J1845" s="454" t="s">
        <v>6</v>
      </c>
      <c r="K1845" s="454" t="s">
        <v>108</v>
      </c>
      <c r="L1845" s="440" t="s">
        <v>58</v>
      </c>
      <c r="M1845" s="454"/>
      <c r="N1845" s="661"/>
      <c r="O1845" s="662"/>
      <c r="P1845" s="663"/>
    </row>
    <row r="1846" spans="1:16" s="458" customFormat="1" ht="14">
      <c r="A1846" s="136"/>
      <c r="B1846" s="637" t="s">
        <v>1182</v>
      </c>
      <c r="C1846" s="137" t="s">
        <v>10</v>
      </c>
      <c r="D1846" s="62"/>
      <c r="E1846" s="62"/>
      <c r="F1846" s="531"/>
      <c r="G1846" s="7">
        <f t="shared" si="409"/>
        <v>0</v>
      </c>
      <c r="H1846" s="7">
        <f t="shared" si="409"/>
        <v>0</v>
      </c>
      <c r="I1846" s="62"/>
      <c r="J1846" s="454" t="s">
        <v>6</v>
      </c>
      <c r="K1846" s="454" t="s">
        <v>108</v>
      </c>
      <c r="L1846" s="440" t="s">
        <v>58</v>
      </c>
      <c r="M1846" s="454"/>
      <c r="N1846" s="661"/>
      <c r="O1846" s="662"/>
      <c r="P1846" s="663"/>
    </row>
    <row r="1847" spans="1:16" s="458" customFormat="1" ht="14">
      <c r="A1847" s="136"/>
      <c r="B1847" s="637" t="s">
        <v>1183</v>
      </c>
      <c r="C1847" s="137" t="s">
        <v>10</v>
      </c>
      <c r="D1847" s="62"/>
      <c r="E1847" s="62"/>
      <c r="F1847" s="531"/>
      <c r="G1847" s="7">
        <f t="shared" si="409"/>
        <v>0</v>
      </c>
      <c r="H1847" s="7">
        <f t="shared" si="409"/>
        <v>0</v>
      </c>
      <c r="I1847" s="62"/>
      <c r="J1847" s="454" t="s">
        <v>6</v>
      </c>
      <c r="K1847" s="454" t="s">
        <v>108</v>
      </c>
      <c r="L1847" s="440" t="s">
        <v>58</v>
      </c>
      <c r="M1847" s="454"/>
      <c r="N1847" s="661"/>
      <c r="O1847" s="662"/>
      <c r="P1847" s="663"/>
    </row>
    <row r="1848" spans="1:16" s="458" customFormat="1" ht="14">
      <c r="A1848" s="136" t="s">
        <v>507</v>
      </c>
      <c r="B1848" s="131" t="s">
        <v>800</v>
      </c>
      <c r="C1848" s="135"/>
      <c r="D1848" s="62"/>
      <c r="E1848" s="62"/>
      <c r="F1848" s="531"/>
      <c r="G1848" s="659"/>
      <c r="H1848" s="659"/>
      <c r="I1848" s="62"/>
      <c r="J1848" s="454"/>
      <c r="K1848" s="440"/>
      <c r="L1848" s="660"/>
      <c r="M1848" s="454"/>
      <c r="N1848" s="661"/>
      <c r="O1848" s="662"/>
      <c r="P1848" s="663"/>
    </row>
    <row r="1849" spans="1:16" s="458" customFormat="1" ht="14">
      <c r="A1849" s="136" t="s">
        <v>8</v>
      </c>
      <c r="B1849" s="131" t="s">
        <v>801</v>
      </c>
      <c r="C1849" s="137" t="s">
        <v>31</v>
      </c>
      <c r="D1849" s="62"/>
      <c r="E1849" s="62"/>
      <c r="F1849" s="531"/>
      <c r="G1849" s="7">
        <f t="shared" ref="G1849:H1849" si="410">D1849*$F1849</f>
        <v>0</v>
      </c>
      <c r="H1849" s="7">
        <f t="shared" si="410"/>
        <v>0</v>
      </c>
      <c r="I1849" s="62"/>
      <c r="J1849" s="454" t="s">
        <v>6</v>
      </c>
      <c r="K1849" s="454" t="s">
        <v>108</v>
      </c>
      <c r="L1849" s="440" t="s">
        <v>58</v>
      </c>
      <c r="M1849" s="454"/>
      <c r="N1849" s="661"/>
      <c r="O1849" s="662"/>
      <c r="P1849" s="663"/>
    </row>
    <row r="1850" spans="1:16" s="458" customFormat="1" ht="14">
      <c r="A1850" s="136" t="s">
        <v>508</v>
      </c>
      <c r="B1850" s="131" t="s">
        <v>776</v>
      </c>
      <c r="C1850" s="135"/>
      <c r="D1850" s="62"/>
      <c r="E1850" s="62"/>
      <c r="F1850" s="531"/>
      <c r="G1850" s="659"/>
      <c r="H1850" s="659"/>
      <c r="I1850" s="62"/>
      <c r="J1850" s="454"/>
      <c r="K1850" s="440"/>
      <c r="L1850" s="660"/>
      <c r="M1850" s="454"/>
      <c r="N1850" s="661"/>
      <c r="O1850" s="662"/>
      <c r="P1850" s="663"/>
    </row>
    <row r="1851" spans="1:16" s="458" customFormat="1" ht="14">
      <c r="A1851" s="124" t="s">
        <v>8</v>
      </c>
      <c r="B1851" s="125" t="s">
        <v>807</v>
      </c>
      <c r="C1851" s="126" t="s">
        <v>24</v>
      </c>
      <c r="D1851" s="62"/>
      <c r="E1851" s="62"/>
      <c r="F1851" s="531"/>
      <c r="G1851" s="7">
        <f t="shared" ref="G1851:H1851" si="411">D1851*$F1851</f>
        <v>0</v>
      </c>
      <c r="H1851" s="7">
        <f t="shared" si="411"/>
        <v>0</v>
      </c>
      <c r="I1851" s="62"/>
      <c r="J1851" s="454" t="s">
        <v>6</v>
      </c>
      <c r="K1851" s="454" t="s">
        <v>108</v>
      </c>
      <c r="L1851" s="440" t="s">
        <v>58</v>
      </c>
      <c r="M1851" s="454"/>
      <c r="N1851" s="661"/>
      <c r="O1851" s="662"/>
      <c r="P1851" s="663"/>
    </row>
    <row r="1852" spans="1:16" s="458" customFormat="1" ht="14">
      <c r="A1852" s="136" t="s">
        <v>509</v>
      </c>
      <c r="B1852" s="131" t="s">
        <v>774</v>
      </c>
      <c r="C1852" s="126"/>
      <c r="D1852" s="62"/>
      <c r="E1852" s="62"/>
      <c r="F1852" s="531"/>
      <c r="G1852" s="659"/>
      <c r="H1852" s="659"/>
      <c r="I1852" s="62"/>
      <c r="J1852" s="454"/>
      <c r="K1852" s="440"/>
      <c r="L1852" s="660"/>
      <c r="M1852" s="454"/>
      <c r="N1852" s="661"/>
      <c r="O1852" s="662"/>
      <c r="P1852" s="663"/>
    </row>
    <row r="1853" spans="1:16" s="458" customFormat="1" ht="14">
      <c r="A1853" s="136" t="s">
        <v>8</v>
      </c>
      <c r="B1853" s="131" t="s">
        <v>775</v>
      </c>
      <c r="C1853" s="137" t="s">
        <v>15</v>
      </c>
      <c r="D1853" s="62"/>
      <c r="E1853" s="62"/>
      <c r="F1853" s="531"/>
      <c r="G1853" s="7">
        <f t="shared" ref="G1853:H1855" si="412">D1853*$F1853</f>
        <v>0</v>
      </c>
      <c r="H1853" s="7">
        <f t="shared" si="412"/>
        <v>0</v>
      </c>
      <c r="I1853" s="62"/>
      <c r="J1853" s="454" t="s">
        <v>6</v>
      </c>
      <c r="K1853" s="454" t="s">
        <v>108</v>
      </c>
      <c r="L1853" s="440" t="s">
        <v>58</v>
      </c>
      <c r="M1853" s="454"/>
      <c r="N1853" s="661"/>
      <c r="O1853" s="662"/>
      <c r="P1853" s="663"/>
    </row>
    <row r="1854" spans="1:16" s="458" customFormat="1" ht="14">
      <c r="A1854" s="124" t="s">
        <v>8</v>
      </c>
      <c r="B1854" s="125" t="s">
        <v>798</v>
      </c>
      <c r="C1854" s="126" t="s">
        <v>15</v>
      </c>
      <c r="D1854" s="62"/>
      <c r="E1854" s="62"/>
      <c r="F1854" s="531"/>
      <c r="G1854" s="7">
        <f t="shared" si="412"/>
        <v>0</v>
      </c>
      <c r="H1854" s="7">
        <f t="shared" si="412"/>
        <v>0</v>
      </c>
      <c r="I1854" s="62"/>
      <c r="J1854" s="454" t="s">
        <v>6</v>
      </c>
      <c r="K1854" s="454" t="s">
        <v>108</v>
      </c>
      <c r="L1854" s="440" t="s">
        <v>58</v>
      </c>
      <c r="M1854" s="454"/>
      <c r="N1854" s="661"/>
      <c r="O1854" s="662"/>
      <c r="P1854" s="663"/>
    </row>
    <row r="1855" spans="1:16" s="458" customFormat="1" ht="14">
      <c r="A1855" s="136" t="s">
        <v>510</v>
      </c>
      <c r="B1855" s="131" t="s">
        <v>808</v>
      </c>
      <c r="C1855" s="137" t="s">
        <v>15</v>
      </c>
      <c r="D1855" s="62"/>
      <c r="E1855" s="62"/>
      <c r="F1855" s="531"/>
      <c r="G1855" s="7">
        <f t="shared" si="412"/>
        <v>0</v>
      </c>
      <c r="H1855" s="7">
        <f t="shared" si="412"/>
        <v>0</v>
      </c>
      <c r="I1855" s="62"/>
      <c r="J1855" s="454" t="s">
        <v>6</v>
      </c>
      <c r="K1855" s="454" t="s">
        <v>108</v>
      </c>
      <c r="L1855" s="440" t="s">
        <v>58</v>
      </c>
      <c r="M1855" s="454"/>
      <c r="N1855" s="661"/>
      <c r="O1855" s="662"/>
      <c r="P1855" s="663"/>
    </row>
    <row r="1856" spans="1:16" s="458" customFormat="1" ht="14">
      <c r="A1856" s="138" t="s">
        <v>511</v>
      </c>
      <c r="B1856" s="139" t="s">
        <v>810</v>
      </c>
      <c r="C1856" s="141"/>
      <c r="D1856" s="141"/>
      <c r="E1856" s="141"/>
      <c r="F1856" s="668"/>
      <c r="G1856" s="141"/>
      <c r="H1856" s="141"/>
      <c r="I1856" s="141"/>
      <c r="J1856" s="449"/>
      <c r="K1856" s="449"/>
      <c r="L1856" s="141"/>
      <c r="M1856" s="141"/>
      <c r="N1856" s="661"/>
      <c r="O1856" s="662"/>
      <c r="P1856" s="663"/>
    </row>
    <row r="1857" spans="1:16" s="458" customFormat="1" ht="14">
      <c r="A1857" s="133" t="s">
        <v>512</v>
      </c>
      <c r="B1857" s="134" t="s">
        <v>790</v>
      </c>
      <c r="C1857" s="135"/>
      <c r="D1857" s="62"/>
      <c r="E1857" s="62"/>
      <c r="F1857" s="531"/>
      <c r="G1857" s="659"/>
      <c r="H1857" s="659"/>
      <c r="I1857" s="62"/>
      <c r="J1857" s="454"/>
      <c r="K1857" s="440"/>
      <c r="L1857" s="660"/>
      <c r="M1857" s="454"/>
      <c r="N1857" s="661"/>
      <c r="O1857" s="662"/>
      <c r="P1857" s="663"/>
    </row>
    <row r="1858" spans="1:16" s="458" customFormat="1" ht="14">
      <c r="A1858" s="136" t="s">
        <v>8</v>
      </c>
      <c r="B1858" s="131" t="s">
        <v>772</v>
      </c>
      <c r="C1858" s="137" t="s">
        <v>126</v>
      </c>
      <c r="D1858" s="62"/>
      <c r="E1858" s="62"/>
      <c r="F1858" s="531"/>
      <c r="G1858" s="7">
        <f t="shared" ref="G1858:H1859" si="413">D1858*$F1858</f>
        <v>0</v>
      </c>
      <c r="H1858" s="7">
        <f t="shared" si="413"/>
        <v>0</v>
      </c>
      <c r="I1858" s="62"/>
      <c r="J1858" s="454" t="s">
        <v>6</v>
      </c>
      <c r="K1858" s="440" t="s">
        <v>196</v>
      </c>
      <c r="L1858" s="440" t="s">
        <v>58</v>
      </c>
      <c r="M1858" s="454"/>
      <c r="N1858" s="661"/>
      <c r="O1858" s="662"/>
      <c r="P1858" s="663"/>
    </row>
    <row r="1859" spans="1:16" s="458" customFormat="1" ht="14">
      <c r="A1859" s="136" t="s">
        <v>8</v>
      </c>
      <c r="B1859" s="131" t="s">
        <v>813</v>
      </c>
      <c r="C1859" s="137" t="s">
        <v>24</v>
      </c>
      <c r="D1859" s="62"/>
      <c r="E1859" s="62"/>
      <c r="F1859" s="531"/>
      <c r="G1859" s="7">
        <f t="shared" si="413"/>
        <v>0</v>
      </c>
      <c r="H1859" s="7">
        <f t="shared" si="413"/>
        <v>0</v>
      </c>
      <c r="I1859" s="62"/>
      <c r="J1859" s="454" t="s">
        <v>6</v>
      </c>
      <c r="K1859" s="440" t="s">
        <v>196</v>
      </c>
      <c r="L1859" s="440" t="s">
        <v>58</v>
      </c>
      <c r="M1859" s="454"/>
      <c r="N1859" s="661"/>
      <c r="O1859" s="662"/>
      <c r="P1859" s="663"/>
    </row>
    <row r="1860" spans="1:16" s="458" customFormat="1" ht="14">
      <c r="A1860" s="133" t="s">
        <v>517</v>
      </c>
      <c r="B1860" s="134" t="s">
        <v>774</v>
      </c>
      <c r="C1860" s="135"/>
      <c r="D1860" s="62"/>
      <c r="E1860" s="62"/>
      <c r="F1860" s="531"/>
      <c r="G1860" s="659"/>
      <c r="H1860" s="659"/>
      <c r="I1860" s="62"/>
      <c r="J1860" s="454"/>
      <c r="K1860" s="454"/>
      <c r="L1860" s="660"/>
      <c r="M1860" s="454"/>
      <c r="N1860" s="661"/>
      <c r="O1860" s="662"/>
      <c r="P1860" s="663"/>
    </row>
    <row r="1861" spans="1:16" s="458" customFormat="1" ht="14">
      <c r="A1861" s="136" t="s">
        <v>8</v>
      </c>
      <c r="B1861" s="131" t="s">
        <v>814</v>
      </c>
      <c r="C1861" s="137" t="s">
        <v>15</v>
      </c>
      <c r="D1861" s="62"/>
      <c r="E1861" s="62"/>
      <c r="F1861" s="531"/>
      <c r="G1861" s="7">
        <f t="shared" ref="G1861:H1863" si="414">D1861*$F1861</f>
        <v>0</v>
      </c>
      <c r="H1861" s="7">
        <f t="shared" si="414"/>
        <v>0</v>
      </c>
      <c r="I1861" s="62"/>
      <c r="J1861" s="454" t="s">
        <v>6</v>
      </c>
      <c r="K1861" s="440" t="s">
        <v>196</v>
      </c>
      <c r="L1861" s="440" t="s">
        <v>58</v>
      </c>
      <c r="M1861" s="454"/>
      <c r="N1861" s="661"/>
      <c r="O1861" s="662"/>
      <c r="P1861" s="663"/>
    </row>
    <row r="1862" spans="1:16" s="458" customFormat="1" ht="14">
      <c r="A1862" s="136" t="s">
        <v>8</v>
      </c>
      <c r="B1862" s="131" t="s">
        <v>775</v>
      </c>
      <c r="C1862" s="137" t="s">
        <v>15</v>
      </c>
      <c r="D1862" s="62"/>
      <c r="E1862" s="62"/>
      <c r="F1862" s="531"/>
      <c r="G1862" s="7">
        <f t="shared" si="414"/>
        <v>0</v>
      </c>
      <c r="H1862" s="7">
        <f t="shared" si="414"/>
        <v>0</v>
      </c>
      <c r="I1862" s="62"/>
      <c r="J1862" s="454" t="s">
        <v>6</v>
      </c>
      <c r="K1862" s="440" t="s">
        <v>196</v>
      </c>
      <c r="L1862" s="440" t="s">
        <v>58</v>
      </c>
      <c r="M1862" s="454"/>
      <c r="N1862" s="661"/>
      <c r="O1862" s="662"/>
      <c r="P1862" s="663"/>
    </row>
    <row r="1863" spans="1:16" s="458" customFormat="1" ht="14">
      <c r="A1863" s="136" t="s">
        <v>8</v>
      </c>
      <c r="B1863" s="131" t="s">
        <v>798</v>
      </c>
      <c r="C1863" s="137" t="s">
        <v>15</v>
      </c>
      <c r="D1863" s="62"/>
      <c r="E1863" s="62"/>
      <c r="F1863" s="531"/>
      <c r="G1863" s="7">
        <f t="shared" si="414"/>
        <v>0</v>
      </c>
      <c r="H1863" s="7">
        <f t="shared" si="414"/>
        <v>0</v>
      </c>
      <c r="I1863" s="62"/>
      <c r="J1863" s="454" t="s">
        <v>6</v>
      </c>
      <c r="K1863" s="440" t="s">
        <v>196</v>
      </c>
      <c r="L1863" s="440" t="s">
        <v>58</v>
      </c>
      <c r="M1863" s="454"/>
      <c r="N1863" s="661"/>
      <c r="O1863" s="662"/>
      <c r="P1863" s="663"/>
    </row>
    <row r="1864" spans="1:16" s="458" customFormat="1" ht="14">
      <c r="A1864" s="133" t="s">
        <v>520</v>
      </c>
      <c r="B1864" s="134" t="s">
        <v>776</v>
      </c>
      <c r="C1864" s="135"/>
      <c r="D1864" s="62"/>
      <c r="E1864" s="62"/>
      <c r="F1864" s="531"/>
      <c r="G1864" s="659"/>
      <c r="H1864" s="659"/>
      <c r="I1864" s="62"/>
      <c r="J1864" s="454"/>
      <c r="K1864" s="454"/>
      <c r="L1864" s="660"/>
      <c r="M1864" s="454"/>
      <c r="N1864" s="661"/>
      <c r="O1864" s="662"/>
      <c r="P1864" s="663"/>
    </row>
    <row r="1865" spans="1:16" s="458" customFormat="1" ht="14">
      <c r="A1865" s="136" t="s">
        <v>8</v>
      </c>
      <c r="B1865" s="131" t="s">
        <v>815</v>
      </c>
      <c r="C1865" s="137" t="s">
        <v>24</v>
      </c>
      <c r="D1865" s="62"/>
      <c r="E1865" s="62"/>
      <c r="F1865" s="531"/>
      <c r="G1865" s="2">
        <f t="shared" ref="G1865:H1867" si="415">D1865*$F1865</f>
        <v>0</v>
      </c>
      <c r="H1865" s="2">
        <f t="shared" si="415"/>
        <v>0</v>
      </c>
      <c r="I1865" s="62"/>
      <c r="J1865" s="454" t="s">
        <v>6</v>
      </c>
      <c r="K1865" s="440" t="s">
        <v>196</v>
      </c>
      <c r="L1865" s="440" t="s">
        <v>58</v>
      </c>
      <c r="M1865" s="454"/>
      <c r="N1865" s="661"/>
      <c r="O1865" s="662"/>
      <c r="P1865" s="663"/>
    </row>
    <row r="1866" spans="1:16" s="458" customFormat="1" ht="14">
      <c r="A1866" s="136" t="s">
        <v>8</v>
      </c>
      <c r="B1866" s="131" t="s">
        <v>816</v>
      </c>
      <c r="C1866" s="137" t="s">
        <v>24</v>
      </c>
      <c r="D1866" s="62"/>
      <c r="E1866" s="62"/>
      <c r="F1866" s="531"/>
      <c r="G1866" s="7">
        <f t="shared" si="415"/>
        <v>0</v>
      </c>
      <c r="H1866" s="2">
        <f t="shared" si="415"/>
        <v>0</v>
      </c>
      <c r="I1866" s="62"/>
      <c r="J1866" s="454" t="s">
        <v>6</v>
      </c>
      <c r="K1866" s="440" t="s">
        <v>196</v>
      </c>
      <c r="L1866" s="440" t="s">
        <v>58</v>
      </c>
      <c r="M1866" s="454"/>
      <c r="N1866" s="661"/>
      <c r="O1866" s="662"/>
      <c r="P1866" s="663"/>
    </row>
    <row r="1867" spans="1:16" s="458" customFormat="1" ht="14">
      <c r="A1867" s="136" t="s">
        <v>8</v>
      </c>
      <c r="B1867" s="131" t="s">
        <v>817</v>
      </c>
      <c r="C1867" s="137" t="s">
        <v>24</v>
      </c>
      <c r="D1867" s="62"/>
      <c r="E1867" s="62"/>
      <c r="F1867" s="531"/>
      <c r="G1867" s="2">
        <f t="shared" si="415"/>
        <v>0</v>
      </c>
      <c r="H1867" s="2">
        <f t="shared" si="415"/>
        <v>0</v>
      </c>
      <c r="I1867" s="62"/>
      <c r="J1867" s="454" t="s">
        <v>6</v>
      </c>
      <c r="K1867" s="440" t="s">
        <v>196</v>
      </c>
      <c r="L1867" s="440" t="s">
        <v>58</v>
      </c>
      <c r="M1867" s="454"/>
      <c r="N1867" s="661"/>
      <c r="O1867" s="662"/>
      <c r="P1867" s="663"/>
    </row>
    <row r="1868" spans="1:16" s="458" customFormat="1" ht="14">
      <c r="A1868" s="133" t="s">
        <v>524</v>
      </c>
      <c r="B1868" s="134" t="s">
        <v>778</v>
      </c>
      <c r="C1868" s="135"/>
      <c r="D1868" s="62"/>
      <c r="E1868" s="62"/>
      <c r="F1868" s="531"/>
      <c r="G1868" s="659"/>
      <c r="H1868" s="659"/>
      <c r="I1868" s="62"/>
      <c r="J1868" s="454"/>
      <c r="K1868" s="454"/>
      <c r="L1868" s="660"/>
      <c r="M1868" s="454"/>
      <c r="N1868" s="661"/>
      <c r="O1868" s="662"/>
      <c r="P1868" s="663"/>
    </row>
    <row r="1869" spans="1:16" s="458" customFormat="1" ht="14">
      <c r="A1869" s="133" t="s">
        <v>525</v>
      </c>
      <c r="B1869" s="134" t="s">
        <v>811</v>
      </c>
      <c r="C1869" s="135"/>
      <c r="D1869" s="62"/>
      <c r="E1869" s="62"/>
      <c r="F1869" s="531"/>
      <c r="G1869" s="659"/>
      <c r="H1869" s="659"/>
      <c r="I1869" s="62"/>
      <c r="J1869" s="454"/>
      <c r="K1869" s="454"/>
      <c r="L1869" s="660"/>
      <c r="M1869" s="454"/>
      <c r="N1869" s="661"/>
      <c r="O1869" s="662"/>
      <c r="P1869" s="663"/>
    </row>
    <row r="1870" spans="1:16" s="458" customFormat="1" ht="14">
      <c r="A1870" s="136" t="s">
        <v>8</v>
      </c>
      <c r="B1870" s="131" t="s">
        <v>812</v>
      </c>
      <c r="C1870" s="137" t="s">
        <v>24</v>
      </c>
      <c r="D1870" s="62"/>
      <c r="E1870" s="62"/>
      <c r="F1870" s="531"/>
      <c r="G1870" s="2">
        <f t="shared" ref="G1870:H1871" si="416">D1870*$F1870</f>
        <v>0</v>
      </c>
      <c r="H1870" s="2">
        <f t="shared" si="416"/>
        <v>0</v>
      </c>
      <c r="I1870" s="62"/>
      <c r="J1870" s="454" t="s">
        <v>6</v>
      </c>
      <c r="K1870" s="440" t="s">
        <v>196</v>
      </c>
      <c r="L1870" s="440" t="s">
        <v>58</v>
      </c>
      <c r="M1870" s="454"/>
      <c r="N1870" s="661"/>
      <c r="O1870" s="662"/>
      <c r="P1870" s="663"/>
    </row>
    <row r="1871" spans="1:16" s="458" customFormat="1" ht="14">
      <c r="A1871" s="136" t="s">
        <v>8</v>
      </c>
      <c r="B1871" s="131" t="s">
        <v>781</v>
      </c>
      <c r="C1871" s="137" t="s">
        <v>15</v>
      </c>
      <c r="D1871" s="62"/>
      <c r="E1871" s="62"/>
      <c r="F1871" s="531"/>
      <c r="G1871" s="2">
        <f t="shared" si="416"/>
        <v>0</v>
      </c>
      <c r="H1871" s="2">
        <f t="shared" si="416"/>
        <v>0</v>
      </c>
      <c r="I1871" s="62"/>
      <c r="J1871" s="454" t="s">
        <v>6</v>
      </c>
      <c r="K1871" s="440" t="s">
        <v>196</v>
      </c>
      <c r="L1871" s="440" t="s">
        <v>58</v>
      </c>
      <c r="M1871" s="454"/>
      <c r="N1871" s="661"/>
      <c r="O1871" s="662"/>
      <c r="P1871" s="663"/>
    </row>
    <row r="1872" spans="1:16" s="458" customFormat="1" ht="14">
      <c r="A1872" s="133" t="s">
        <v>526</v>
      </c>
      <c r="B1872" s="134" t="s">
        <v>795</v>
      </c>
      <c r="C1872" s="135"/>
      <c r="D1872" s="62"/>
      <c r="E1872" s="62"/>
      <c r="F1872" s="531"/>
      <c r="G1872" s="659"/>
      <c r="H1872" s="659"/>
      <c r="I1872" s="62"/>
      <c r="J1872" s="454"/>
      <c r="K1872" s="454"/>
      <c r="L1872" s="660"/>
      <c r="M1872" s="454"/>
      <c r="N1872" s="661"/>
      <c r="O1872" s="662"/>
      <c r="P1872" s="663"/>
    </row>
    <row r="1873" spans="1:16" s="458" customFormat="1" ht="14">
      <c r="A1873" s="136" t="s">
        <v>8</v>
      </c>
      <c r="B1873" s="131" t="s">
        <v>796</v>
      </c>
      <c r="C1873" s="137" t="s">
        <v>24</v>
      </c>
      <c r="D1873" s="62"/>
      <c r="E1873" s="62"/>
      <c r="F1873" s="531"/>
      <c r="G1873" s="2">
        <f t="shared" ref="G1873:H1875" si="417">D1873*$F1873</f>
        <v>0</v>
      </c>
      <c r="H1873" s="2">
        <f t="shared" si="417"/>
        <v>0</v>
      </c>
      <c r="I1873" s="62"/>
      <c r="J1873" s="454" t="s">
        <v>6</v>
      </c>
      <c r="K1873" s="440" t="s">
        <v>196</v>
      </c>
      <c r="L1873" s="440" t="s">
        <v>58</v>
      </c>
      <c r="M1873" s="454"/>
      <c r="N1873" s="661"/>
      <c r="O1873" s="662"/>
      <c r="P1873" s="663"/>
    </row>
    <row r="1874" spans="1:16" s="458" customFormat="1" ht="14">
      <c r="A1874" s="136" t="s">
        <v>8</v>
      </c>
      <c r="B1874" s="131" t="s">
        <v>781</v>
      </c>
      <c r="C1874" s="137" t="s">
        <v>15</v>
      </c>
      <c r="D1874" s="62"/>
      <c r="E1874" s="62"/>
      <c r="F1874" s="531"/>
      <c r="G1874" s="2">
        <f t="shared" si="417"/>
        <v>0</v>
      </c>
      <c r="H1874" s="2">
        <f t="shared" si="417"/>
        <v>0</v>
      </c>
      <c r="I1874" s="62"/>
      <c r="J1874" s="454" t="s">
        <v>6</v>
      </c>
      <c r="K1874" s="440" t="s">
        <v>196</v>
      </c>
      <c r="L1874" s="440" t="s">
        <v>58</v>
      </c>
      <c r="M1874" s="454"/>
      <c r="N1874" s="661"/>
      <c r="O1874" s="662"/>
      <c r="P1874" s="663"/>
    </row>
    <row r="1875" spans="1:16" s="458" customFormat="1" ht="14">
      <c r="A1875" s="136" t="s">
        <v>8</v>
      </c>
      <c r="B1875" s="131" t="s">
        <v>797</v>
      </c>
      <c r="C1875" s="137" t="s">
        <v>15</v>
      </c>
      <c r="D1875" s="62"/>
      <c r="E1875" s="62"/>
      <c r="F1875" s="667"/>
      <c r="G1875" s="2">
        <f t="shared" si="417"/>
        <v>0</v>
      </c>
      <c r="H1875" s="2">
        <f t="shared" si="417"/>
        <v>0</v>
      </c>
      <c r="I1875" s="62"/>
      <c r="J1875" s="454" t="s">
        <v>6</v>
      </c>
      <c r="K1875" s="440" t="s">
        <v>196</v>
      </c>
      <c r="L1875" s="440" t="s">
        <v>58</v>
      </c>
      <c r="M1875" s="454"/>
      <c r="N1875" s="661"/>
      <c r="O1875" s="662"/>
      <c r="P1875" s="663"/>
    </row>
    <row r="1876" spans="1:16" s="458" customFormat="1" ht="14">
      <c r="A1876" s="133" t="s">
        <v>527</v>
      </c>
      <c r="B1876" s="134" t="s">
        <v>800</v>
      </c>
      <c r="C1876" s="135"/>
      <c r="D1876" s="62"/>
      <c r="E1876" s="62"/>
      <c r="F1876" s="531"/>
      <c r="G1876" s="659"/>
      <c r="H1876" s="659"/>
      <c r="I1876" s="62"/>
      <c r="J1876" s="454"/>
      <c r="K1876" s="454"/>
      <c r="L1876" s="660"/>
      <c r="M1876" s="454"/>
      <c r="N1876" s="661"/>
      <c r="O1876" s="662"/>
      <c r="P1876" s="663"/>
    </row>
    <row r="1877" spans="1:16" s="458" customFormat="1" ht="14">
      <c r="A1877" s="136" t="s">
        <v>8</v>
      </c>
      <c r="B1877" s="131" t="s">
        <v>818</v>
      </c>
      <c r="C1877" s="137" t="s">
        <v>31</v>
      </c>
      <c r="D1877" s="62"/>
      <c r="E1877" s="62"/>
      <c r="F1877" s="531"/>
      <c r="G1877" s="2">
        <f t="shared" ref="G1877:H1878" si="418">D1877*$F1877</f>
        <v>0</v>
      </c>
      <c r="H1877" s="2">
        <f t="shared" si="418"/>
        <v>0</v>
      </c>
      <c r="I1877" s="62"/>
      <c r="J1877" s="454" t="s">
        <v>6</v>
      </c>
      <c r="K1877" s="440" t="s">
        <v>196</v>
      </c>
      <c r="L1877" s="440" t="s">
        <v>58</v>
      </c>
      <c r="M1877" s="454"/>
      <c r="N1877" s="661"/>
      <c r="O1877" s="662"/>
      <c r="P1877" s="663"/>
    </row>
    <row r="1878" spans="1:16" s="458" customFormat="1" ht="14">
      <c r="A1878" s="136" t="s">
        <v>8</v>
      </c>
      <c r="B1878" s="131" t="s">
        <v>801</v>
      </c>
      <c r="C1878" s="137" t="s">
        <v>31</v>
      </c>
      <c r="D1878" s="62"/>
      <c r="E1878" s="62"/>
      <c r="F1878" s="531"/>
      <c r="G1878" s="2">
        <f t="shared" si="418"/>
        <v>0</v>
      </c>
      <c r="H1878" s="2">
        <f t="shared" si="418"/>
        <v>0</v>
      </c>
      <c r="I1878" s="62"/>
      <c r="J1878" s="454" t="s">
        <v>6</v>
      </c>
      <c r="K1878" s="440" t="s">
        <v>196</v>
      </c>
      <c r="L1878" s="440" t="s">
        <v>58</v>
      </c>
      <c r="M1878" s="454"/>
      <c r="N1878" s="661"/>
      <c r="O1878" s="662"/>
      <c r="P1878" s="663"/>
    </row>
    <row r="1879" spans="1:16" s="458" customFormat="1" ht="14">
      <c r="A1879" s="133" t="s">
        <v>529</v>
      </c>
      <c r="B1879" s="134" t="s">
        <v>819</v>
      </c>
      <c r="C1879" s="135"/>
      <c r="D1879" s="62"/>
      <c r="E1879" s="62"/>
      <c r="F1879" s="531"/>
      <c r="G1879" s="659"/>
      <c r="H1879" s="659"/>
      <c r="I1879" s="62"/>
      <c r="J1879" s="454"/>
      <c r="K1879" s="454"/>
      <c r="L1879" s="660"/>
      <c r="M1879" s="454"/>
      <c r="N1879" s="661"/>
      <c r="O1879" s="662"/>
      <c r="P1879" s="663"/>
    </row>
    <row r="1880" spans="1:16" s="458" customFormat="1" ht="14">
      <c r="A1880" s="133" t="s">
        <v>530</v>
      </c>
      <c r="B1880" s="134" t="s">
        <v>795</v>
      </c>
      <c r="C1880" s="135"/>
      <c r="D1880" s="62"/>
      <c r="E1880" s="62"/>
      <c r="F1880" s="531"/>
      <c r="G1880" s="659"/>
      <c r="H1880" s="659"/>
      <c r="I1880" s="62"/>
      <c r="J1880" s="454"/>
      <c r="K1880" s="454"/>
      <c r="L1880" s="660"/>
      <c r="M1880" s="454"/>
      <c r="N1880" s="661"/>
      <c r="O1880" s="662"/>
      <c r="P1880" s="663"/>
    </row>
    <row r="1881" spans="1:16" s="458" customFormat="1" ht="14">
      <c r="A1881" s="136" t="s">
        <v>8</v>
      </c>
      <c r="B1881" s="131" t="s">
        <v>796</v>
      </c>
      <c r="C1881" s="137" t="s">
        <v>24</v>
      </c>
      <c r="D1881" s="62"/>
      <c r="E1881" s="62"/>
      <c r="F1881" s="531"/>
      <c r="G1881" s="2">
        <f t="shared" ref="G1881:H1883" si="419">D1881*$F1881</f>
        <v>0</v>
      </c>
      <c r="H1881" s="2">
        <f t="shared" si="419"/>
        <v>0</v>
      </c>
      <c r="I1881" s="62"/>
      <c r="J1881" s="454" t="s">
        <v>6</v>
      </c>
      <c r="K1881" s="440" t="s">
        <v>196</v>
      </c>
      <c r="L1881" s="440" t="s">
        <v>58</v>
      </c>
      <c r="M1881" s="454"/>
      <c r="N1881" s="661"/>
      <c r="O1881" s="662"/>
      <c r="P1881" s="663"/>
    </row>
    <row r="1882" spans="1:16" s="458" customFormat="1" ht="14">
      <c r="A1882" s="136" t="s">
        <v>8</v>
      </c>
      <c r="B1882" s="131" t="s">
        <v>781</v>
      </c>
      <c r="C1882" s="137" t="s">
        <v>15</v>
      </c>
      <c r="D1882" s="62"/>
      <c r="E1882" s="62"/>
      <c r="F1882" s="531"/>
      <c r="G1882" s="2">
        <f t="shared" si="419"/>
        <v>0</v>
      </c>
      <c r="H1882" s="2">
        <f t="shared" si="419"/>
        <v>0</v>
      </c>
      <c r="I1882" s="62"/>
      <c r="J1882" s="454" t="s">
        <v>6</v>
      </c>
      <c r="K1882" s="440" t="s">
        <v>196</v>
      </c>
      <c r="L1882" s="440" t="s">
        <v>58</v>
      </c>
      <c r="M1882" s="454"/>
      <c r="N1882" s="661"/>
      <c r="O1882" s="662"/>
      <c r="P1882" s="663"/>
    </row>
    <row r="1883" spans="1:16" s="458" customFormat="1" ht="14">
      <c r="A1883" s="136" t="s">
        <v>8</v>
      </c>
      <c r="B1883" s="131" t="s">
        <v>797</v>
      </c>
      <c r="C1883" s="137" t="s">
        <v>15</v>
      </c>
      <c r="D1883" s="62"/>
      <c r="E1883" s="62"/>
      <c r="F1883" s="667"/>
      <c r="G1883" s="2">
        <f t="shared" si="419"/>
        <v>0</v>
      </c>
      <c r="H1883" s="2">
        <f t="shared" si="419"/>
        <v>0</v>
      </c>
      <c r="I1883" s="62"/>
      <c r="J1883" s="454" t="s">
        <v>6</v>
      </c>
      <c r="K1883" s="440" t="s">
        <v>196</v>
      </c>
      <c r="L1883" s="440" t="s">
        <v>58</v>
      </c>
      <c r="M1883" s="454"/>
      <c r="N1883" s="661"/>
      <c r="O1883" s="662"/>
      <c r="P1883" s="663"/>
    </row>
    <row r="1884" spans="1:16" s="458" customFormat="1" ht="14">
      <c r="A1884" s="133" t="s">
        <v>531</v>
      </c>
      <c r="B1884" s="134" t="s">
        <v>820</v>
      </c>
      <c r="C1884" s="135"/>
      <c r="D1884" s="62"/>
      <c r="E1884" s="62"/>
      <c r="F1884" s="531"/>
      <c r="G1884" s="659"/>
      <c r="H1884" s="659"/>
      <c r="I1884" s="62"/>
      <c r="J1884" s="454"/>
      <c r="K1884" s="454"/>
      <c r="L1884" s="660"/>
      <c r="M1884" s="454"/>
      <c r="N1884" s="661"/>
      <c r="O1884" s="662"/>
      <c r="P1884" s="663"/>
    </row>
    <row r="1885" spans="1:16" s="458" customFormat="1" ht="14">
      <c r="A1885" s="136" t="s">
        <v>8</v>
      </c>
      <c r="B1885" s="131" t="s">
        <v>1179</v>
      </c>
      <c r="C1885" s="137" t="s">
        <v>10</v>
      </c>
      <c r="D1885" s="62"/>
      <c r="E1885" s="62"/>
      <c r="F1885" s="531"/>
      <c r="G1885" s="2">
        <f t="shared" ref="G1885:H1889" si="420">D1885*$F1885</f>
        <v>0</v>
      </c>
      <c r="H1885" s="2">
        <f t="shared" si="420"/>
        <v>0</v>
      </c>
      <c r="I1885" s="62"/>
      <c r="J1885" s="454" t="s">
        <v>6</v>
      </c>
      <c r="K1885" s="440" t="s">
        <v>196</v>
      </c>
      <c r="L1885" s="440" t="s">
        <v>58</v>
      </c>
      <c r="M1885" s="454"/>
      <c r="N1885" s="661"/>
      <c r="O1885" s="662"/>
      <c r="P1885" s="663"/>
    </row>
    <row r="1886" spans="1:16" s="458" customFormat="1" ht="14">
      <c r="A1886" s="136" t="s">
        <v>8</v>
      </c>
      <c r="B1886" s="131" t="s">
        <v>1180</v>
      </c>
      <c r="C1886" s="137" t="s">
        <v>10</v>
      </c>
      <c r="D1886" s="62"/>
      <c r="E1886" s="62"/>
      <c r="F1886" s="531"/>
      <c r="G1886" s="2">
        <f t="shared" si="420"/>
        <v>0</v>
      </c>
      <c r="H1886" s="2">
        <f t="shared" si="420"/>
        <v>0</v>
      </c>
      <c r="I1886" s="62"/>
      <c r="J1886" s="454" t="s">
        <v>6</v>
      </c>
      <c r="K1886" s="440" t="s">
        <v>196</v>
      </c>
      <c r="L1886" s="440" t="s">
        <v>58</v>
      </c>
      <c r="M1886" s="454"/>
      <c r="N1886" s="661"/>
      <c r="O1886" s="662"/>
      <c r="P1886" s="663"/>
    </row>
    <row r="1887" spans="1:16" s="458" customFormat="1" ht="14">
      <c r="A1887" s="136"/>
      <c r="B1887" s="637" t="s">
        <v>1181</v>
      </c>
      <c r="C1887" s="137" t="s">
        <v>10</v>
      </c>
      <c r="D1887" s="62"/>
      <c r="E1887" s="62"/>
      <c r="F1887" s="531"/>
      <c r="G1887" s="2">
        <f t="shared" si="420"/>
        <v>0</v>
      </c>
      <c r="H1887" s="2">
        <f t="shared" si="420"/>
        <v>0</v>
      </c>
      <c r="I1887" s="62"/>
      <c r="J1887" s="454" t="s">
        <v>6</v>
      </c>
      <c r="K1887" s="440" t="s">
        <v>196</v>
      </c>
      <c r="L1887" s="440" t="s">
        <v>58</v>
      </c>
      <c r="M1887" s="454"/>
      <c r="N1887" s="661"/>
      <c r="O1887" s="662"/>
      <c r="P1887" s="663"/>
    </row>
    <row r="1888" spans="1:16" s="458" customFormat="1" ht="14">
      <c r="A1888" s="136"/>
      <c r="B1888" s="637" t="s">
        <v>1182</v>
      </c>
      <c r="C1888" s="137" t="s">
        <v>10</v>
      </c>
      <c r="D1888" s="62"/>
      <c r="E1888" s="62"/>
      <c r="F1888" s="531"/>
      <c r="G1888" s="2">
        <f t="shared" si="420"/>
        <v>0</v>
      </c>
      <c r="H1888" s="2">
        <f t="shared" si="420"/>
        <v>0</v>
      </c>
      <c r="I1888" s="62"/>
      <c r="J1888" s="454" t="s">
        <v>6</v>
      </c>
      <c r="K1888" s="440" t="s">
        <v>196</v>
      </c>
      <c r="L1888" s="440" t="s">
        <v>58</v>
      </c>
      <c r="M1888" s="454"/>
      <c r="N1888" s="661"/>
      <c r="O1888" s="662"/>
      <c r="P1888" s="663"/>
    </row>
    <row r="1889" spans="1:16" s="458" customFormat="1" ht="14">
      <c r="A1889" s="136"/>
      <c r="B1889" s="637" t="s">
        <v>1183</v>
      </c>
      <c r="C1889" s="137" t="s">
        <v>10</v>
      </c>
      <c r="D1889" s="62"/>
      <c r="E1889" s="62"/>
      <c r="F1889" s="531"/>
      <c r="G1889" s="2">
        <f t="shared" si="420"/>
        <v>0</v>
      </c>
      <c r="H1889" s="2">
        <f t="shared" si="420"/>
        <v>0</v>
      </c>
      <c r="I1889" s="62"/>
      <c r="J1889" s="454" t="s">
        <v>6</v>
      </c>
      <c r="K1889" s="440" t="s">
        <v>196</v>
      </c>
      <c r="L1889" s="440" t="s">
        <v>58</v>
      </c>
      <c r="M1889" s="454"/>
      <c r="N1889" s="661"/>
      <c r="O1889" s="662"/>
      <c r="P1889" s="663"/>
    </row>
    <row r="1890" spans="1:16" s="458" customFormat="1" ht="14">
      <c r="A1890" s="133" t="s">
        <v>533</v>
      </c>
      <c r="B1890" s="134" t="s">
        <v>821</v>
      </c>
      <c r="C1890" s="135"/>
      <c r="D1890" s="62"/>
      <c r="E1890" s="62"/>
      <c r="F1890" s="531"/>
      <c r="G1890" s="659"/>
      <c r="H1890" s="659"/>
      <c r="I1890" s="62"/>
      <c r="J1890" s="454"/>
      <c r="K1890" s="454"/>
      <c r="L1890" s="660"/>
      <c r="M1890" s="454"/>
      <c r="N1890" s="661"/>
      <c r="O1890" s="662"/>
      <c r="P1890" s="663"/>
    </row>
    <row r="1891" spans="1:16" s="458" customFormat="1" ht="14">
      <c r="A1891" s="133" t="s">
        <v>535</v>
      </c>
      <c r="B1891" s="134" t="s">
        <v>795</v>
      </c>
      <c r="C1891" s="135"/>
      <c r="D1891" s="62"/>
      <c r="E1891" s="62"/>
      <c r="F1891" s="531"/>
      <c r="G1891" s="659"/>
      <c r="H1891" s="659"/>
      <c r="I1891" s="62"/>
      <c r="J1891" s="454"/>
      <c r="K1891" s="454"/>
      <c r="L1891" s="660"/>
      <c r="M1891" s="454"/>
      <c r="N1891" s="661"/>
      <c r="O1891" s="662"/>
      <c r="P1891" s="663"/>
    </row>
    <row r="1892" spans="1:16" s="458" customFormat="1" ht="14">
      <c r="A1892" s="136" t="s">
        <v>8</v>
      </c>
      <c r="B1892" s="131" t="s">
        <v>796</v>
      </c>
      <c r="C1892" s="137" t="s">
        <v>24</v>
      </c>
      <c r="D1892" s="62"/>
      <c r="E1892" s="62"/>
      <c r="F1892" s="531"/>
      <c r="G1892" s="2">
        <f t="shared" ref="G1892:H1894" si="421">D1892*$F1892</f>
        <v>0</v>
      </c>
      <c r="H1892" s="7">
        <f t="shared" si="421"/>
        <v>0</v>
      </c>
      <c r="I1892" s="62"/>
      <c r="J1892" s="454" t="s">
        <v>6</v>
      </c>
      <c r="K1892" s="440" t="s">
        <v>196</v>
      </c>
      <c r="L1892" s="440" t="s">
        <v>58</v>
      </c>
      <c r="M1892" s="454"/>
      <c r="N1892" s="661"/>
      <c r="O1892" s="662"/>
      <c r="P1892" s="663"/>
    </row>
    <row r="1893" spans="1:16" s="458" customFormat="1" ht="14">
      <c r="A1893" s="136" t="s">
        <v>8</v>
      </c>
      <c r="B1893" s="131" t="s">
        <v>781</v>
      </c>
      <c r="C1893" s="137" t="s">
        <v>15</v>
      </c>
      <c r="D1893" s="62"/>
      <c r="E1893" s="62"/>
      <c r="F1893" s="531"/>
      <c r="G1893" s="2">
        <f t="shared" si="421"/>
        <v>0</v>
      </c>
      <c r="H1893" s="7">
        <f t="shared" si="421"/>
        <v>0</v>
      </c>
      <c r="I1893" s="62"/>
      <c r="J1893" s="454" t="s">
        <v>6</v>
      </c>
      <c r="K1893" s="440" t="s">
        <v>196</v>
      </c>
      <c r="L1893" s="440" t="s">
        <v>58</v>
      </c>
      <c r="M1893" s="454"/>
      <c r="N1893" s="661"/>
      <c r="O1893" s="662"/>
      <c r="P1893" s="663"/>
    </row>
    <row r="1894" spans="1:16" s="458" customFormat="1" ht="13" customHeight="1">
      <c r="A1894" s="136" t="s">
        <v>8</v>
      </c>
      <c r="B1894" s="131" t="s">
        <v>797</v>
      </c>
      <c r="C1894" s="137" t="s">
        <v>15</v>
      </c>
      <c r="D1894" s="62"/>
      <c r="E1894" s="62"/>
      <c r="F1894" s="667"/>
      <c r="G1894" s="2">
        <f t="shared" si="421"/>
        <v>0</v>
      </c>
      <c r="H1894" s="7">
        <f t="shared" si="421"/>
        <v>0</v>
      </c>
      <c r="I1894" s="62"/>
      <c r="J1894" s="454" t="s">
        <v>6</v>
      </c>
      <c r="K1894" s="440" t="s">
        <v>196</v>
      </c>
      <c r="L1894" s="440" t="s">
        <v>58</v>
      </c>
      <c r="M1894" s="454"/>
      <c r="N1894" s="661"/>
      <c r="O1894" s="662"/>
      <c r="P1894" s="663"/>
    </row>
    <row r="1895" spans="1:16" s="458" customFormat="1" ht="14">
      <c r="A1895" s="133" t="s">
        <v>536</v>
      </c>
      <c r="B1895" s="134" t="s">
        <v>820</v>
      </c>
      <c r="C1895" s="135"/>
      <c r="D1895" s="62"/>
      <c r="E1895" s="62"/>
      <c r="F1895" s="531"/>
      <c r="G1895" s="659"/>
      <c r="H1895" s="659"/>
      <c r="I1895" s="62"/>
      <c r="J1895" s="454"/>
      <c r="K1895" s="454"/>
      <c r="L1895" s="660"/>
      <c r="M1895" s="454"/>
      <c r="N1895" s="661"/>
      <c r="O1895" s="662"/>
      <c r="P1895" s="663"/>
    </row>
    <row r="1896" spans="1:16" s="458" customFormat="1" ht="14">
      <c r="A1896" s="136" t="s">
        <v>8</v>
      </c>
      <c r="B1896" s="630" t="s">
        <v>1179</v>
      </c>
      <c r="C1896" s="137" t="s">
        <v>10</v>
      </c>
      <c r="D1896" s="62"/>
      <c r="E1896" s="62"/>
      <c r="F1896" s="531"/>
      <c r="G1896" s="2">
        <f t="shared" ref="G1896:H1900" si="422">D1896*$F1896</f>
        <v>0</v>
      </c>
      <c r="H1896" s="7">
        <f t="shared" si="422"/>
        <v>0</v>
      </c>
      <c r="I1896" s="62"/>
      <c r="J1896" s="454" t="s">
        <v>6</v>
      </c>
      <c r="K1896" s="440" t="s">
        <v>196</v>
      </c>
      <c r="L1896" s="440" t="s">
        <v>58</v>
      </c>
      <c r="M1896" s="454"/>
      <c r="N1896" s="661"/>
      <c r="O1896" s="662"/>
      <c r="P1896" s="663"/>
    </row>
    <row r="1897" spans="1:16" s="458" customFormat="1" ht="14">
      <c r="A1897" s="136" t="s">
        <v>8</v>
      </c>
      <c r="B1897" s="630" t="s">
        <v>1180</v>
      </c>
      <c r="C1897" s="137" t="s">
        <v>10</v>
      </c>
      <c r="D1897" s="62"/>
      <c r="E1897" s="62"/>
      <c r="F1897" s="531"/>
      <c r="G1897" s="2">
        <f t="shared" si="422"/>
        <v>0</v>
      </c>
      <c r="H1897" s="2">
        <f t="shared" si="422"/>
        <v>0</v>
      </c>
      <c r="I1897" s="62"/>
      <c r="J1897" s="454" t="s">
        <v>6</v>
      </c>
      <c r="K1897" s="440" t="s">
        <v>196</v>
      </c>
      <c r="L1897" s="440" t="s">
        <v>58</v>
      </c>
      <c r="M1897" s="454"/>
      <c r="N1897" s="661"/>
      <c r="O1897" s="662"/>
      <c r="P1897" s="663"/>
    </row>
    <row r="1898" spans="1:16" s="458" customFormat="1" ht="14">
      <c r="A1898" s="136" t="s">
        <v>8</v>
      </c>
      <c r="B1898" s="637" t="s">
        <v>1181</v>
      </c>
      <c r="C1898" s="137" t="s">
        <v>10</v>
      </c>
      <c r="D1898" s="62"/>
      <c r="E1898" s="62"/>
      <c r="F1898" s="531"/>
      <c r="G1898" s="2">
        <f t="shared" si="422"/>
        <v>0</v>
      </c>
      <c r="H1898" s="2">
        <f t="shared" si="422"/>
        <v>0</v>
      </c>
      <c r="I1898" s="62"/>
      <c r="J1898" s="454" t="s">
        <v>6</v>
      </c>
      <c r="K1898" s="440" t="s">
        <v>196</v>
      </c>
      <c r="L1898" s="440" t="s">
        <v>58</v>
      </c>
      <c r="M1898" s="454"/>
      <c r="N1898" s="661"/>
      <c r="O1898" s="662"/>
      <c r="P1898" s="663"/>
    </row>
    <row r="1899" spans="1:16" s="458" customFormat="1" ht="14">
      <c r="A1899" s="136" t="s">
        <v>8</v>
      </c>
      <c r="B1899" s="637" t="s">
        <v>1182</v>
      </c>
      <c r="C1899" s="137" t="s">
        <v>10</v>
      </c>
      <c r="D1899" s="62"/>
      <c r="E1899" s="62"/>
      <c r="F1899" s="531"/>
      <c r="G1899" s="2">
        <f t="shared" si="422"/>
        <v>0</v>
      </c>
      <c r="H1899" s="2">
        <f t="shared" si="422"/>
        <v>0</v>
      </c>
      <c r="I1899" s="62"/>
      <c r="J1899" s="454" t="s">
        <v>6</v>
      </c>
      <c r="K1899" s="440" t="s">
        <v>196</v>
      </c>
      <c r="L1899" s="440" t="s">
        <v>58</v>
      </c>
      <c r="M1899" s="454"/>
      <c r="N1899" s="661"/>
      <c r="O1899" s="662"/>
      <c r="P1899" s="663"/>
    </row>
    <row r="1900" spans="1:16" s="458" customFormat="1" ht="14">
      <c r="A1900" s="136" t="s">
        <v>8</v>
      </c>
      <c r="B1900" s="637" t="s">
        <v>1183</v>
      </c>
      <c r="C1900" s="137" t="s">
        <v>10</v>
      </c>
      <c r="D1900" s="62"/>
      <c r="E1900" s="62"/>
      <c r="F1900" s="531"/>
      <c r="G1900" s="2">
        <f t="shared" si="422"/>
        <v>0</v>
      </c>
      <c r="H1900" s="2">
        <f t="shared" si="422"/>
        <v>0</v>
      </c>
      <c r="I1900" s="62"/>
      <c r="J1900" s="454" t="s">
        <v>6</v>
      </c>
      <c r="K1900" s="440" t="s">
        <v>196</v>
      </c>
      <c r="L1900" s="440" t="s">
        <v>58</v>
      </c>
      <c r="M1900" s="454"/>
      <c r="N1900" s="661"/>
      <c r="O1900" s="662"/>
      <c r="P1900" s="663"/>
    </row>
    <row r="1901" spans="1:16" s="458" customFormat="1" ht="14">
      <c r="A1901" s="133" t="s">
        <v>537</v>
      </c>
      <c r="B1901" s="134" t="s">
        <v>822</v>
      </c>
      <c r="C1901" s="135"/>
      <c r="D1901" s="62"/>
      <c r="E1901" s="62"/>
      <c r="F1901" s="531"/>
      <c r="G1901" s="659"/>
      <c r="H1901" s="659"/>
      <c r="I1901" s="62"/>
      <c r="J1901" s="454"/>
      <c r="K1901" s="454"/>
      <c r="L1901" s="660"/>
      <c r="M1901" s="454"/>
      <c r="N1901" s="661"/>
      <c r="O1901" s="662"/>
      <c r="P1901" s="663"/>
    </row>
    <row r="1902" spans="1:16" s="458" customFormat="1" ht="14">
      <c r="A1902" s="136" t="s">
        <v>8</v>
      </c>
      <c r="B1902" s="131" t="s">
        <v>1195</v>
      </c>
      <c r="C1902" s="137" t="s">
        <v>24</v>
      </c>
      <c r="D1902" s="62"/>
      <c r="E1902" s="62"/>
      <c r="F1902" s="531"/>
      <c r="G1902" s="7">
        <f t="shared" ref="G1902:H1904" si="423">D1902*$F1902</f>
        <v>0</v>
      </c>
      <c r="H1902" s="7">
        <f t="shared" si="423"/>
        <v>0</v>
      </c>
      <c r="I1902" s="62"/>
      <c r="J1902" s="454" t="s">
        <v>6</v>
      </c>
      <c r="K1902" s="440" t="s">
        <v>196</v>
      </c>
      <c r="L1902" s="440" t="s">
        <v>58</v>
      </c>
      <c r="M1902" s="454"/>
      <c r="N1902" s="661"/>
      <c r="O1902" s="662"/>
      <c r="P1902" s="663"/>
    </row>
    <row r="1903" spans="1:16" s="458" customFormat="1" ht="14">
      <c r="A1903" s="136" t="s">
        <v>8</v>
      </c>
      <c r="B1903" s="131" t="s">
        <v>823</v>
      </c>
      <c r="C1903" s="137" t="s">
        <v>15</v>
      </c>
      <c r="D1903" s="62"/>
      <c r="E1903" s="62"/>
      <c r="F1903" s="531"/>
      <c r="G1903" s="2">
        <f t="shared" si="423"/>
        <v>0</v>
      </c>
      <c r="H1903" s="2">
        <f t="shared" si="423"/>
        <v>0</v>
      </c>
      <c r="I1903" s="62"/>
      <c r="J1903" s="454" t="s">
        <v>6</v>
      </c>
      <c r="K1903" s="440" t="s">
        <v>196</v>
      </c>
      <c r="L1903" s="440" t="s">
        <v>58</v>
      </c>
      <c r="M1903" s="454"/>
      <c r="N1903" s="661"/>
      <c r="O1903" s="662"/>
      <c r="P1903" s="663"/>
    </row>
    <row r="1904" spans="1:16" s="458" customFormat="1" ht="14">
      <c r="A1904" s="136"/>
      <c r="B1904" s="131" t="s">
        <v>1196</v>
      </c>
      <c r="C1904" s="137" t="s">
        <v>15</v>
      </c>
      <c r="D1904" s="62"/>
      <c r="E1904" s="62"/>
      <c r="F1904" s="531"/>
      <c r="G1904" s="2">
        <f t="shared" si="423"/>
        <v>0</v>
      </c>
      <c r="H1904" s="2">
        <f t="shared" si="423"/>
        <v>0</v>
      </c>
      <c r="I1904" s="62"/>
      <c r="J1904" s="454" t="s">
        <v>6</v>
      </c>
      <c r="K1904" s="440" t="s">
        <v>196</v>
      </c>
      <c r="L1904" s="440" t="s">
        <v>58</v>
      </c>
      <c r="M1904" s="454"/>
      <c r="N1904" s="661"/>
      <c r="O1904" s="662"/>
      <c r="P1904" s="663"/>
    </row>
    <row r="1905" spans="1:17" s="190" customFormat="1" ht="14">
      <c r="A1905" s="286" t="s">
        <v>93</v>
      </c>
      <c r="B1905" s="287" t="s">
        <v>57</v>
      </c>
      <c r="C1905" s="288"/>
      <c r="D1905" s="289"/>
      <c r="E1905" s="289"/>
      <c r="F1905" s="290"/>
      <c r="G1905" s="289">
        <f>SUBTOTAL(9,G1906:G2183)</f>
        <v>3010472.0526662054</v>
      </c>
      <c r="H1905" s="289">
        <f>SUBTOTAL(9,H1906:H2183)</f>
        <v>3886683.3142925636</v>
      </c>
      <c r="I1905" s="291"/>
      <c r="J1905" s="166"/>
      <c r="K1905" s="187"/>
      <c r="L1905" s="187"/>
      <c r="N1905" s="292"/>
      <c r="O1905" s="293"/>
      <c r="P1905" s="187"/>
      <c r="Q1905" s="188"/>
    </row>
    <row r="1906" spans="1:17" s="188" customFormat="1" ht="14">
      <c r="A1906" s="295" t="s">
        <v>4</v>
      </c>
      <c r="B1906" s="296" t="s">
        <v>28</v>
      </c>
      <c r="C1906" s="184"/>
      <c r="D1906" s="185"/>
      <c r="E1906" s="185"/>
      <c r="F1906" s="297"/>
      <c r="G1906" s="298">
        <f>SUBTOTAL(9,G1907:G2087)</f>
        <v>2353769.3980609421</v>
      </c>
      <c r="H1906" s="299">
        <f>SUBTOTAL(9,H1907:H2087)</f>
        <v>3396832.0060941828</v>
      </c>
      <c r="I1906" s="185"/>
      <c r="J1906" s="165"/>
      <c r="K1906" s="187"/>
      <c r="L1906" s="187"/>
      <c r="N1906" s="292"/>
      <c r="O1906" s="293"/>
      <c r="P1906" s="187"/>
    </row>
    <row r="1907" spans="1:17" s="188" customFormat="1" ht="14" outlineLevel="1">
      <c r="A1907" s="191">
        <v>1</v>
      </c>
      <c r="B1907" s="319" t="s">
        <v>859</v>
      </c>
      <c r="C1907" s="206"/>
      <c r="D1907" s="194"/>
      <c r="E1907" s="194"/>
      <c r="F1907" s="212"/>
      <c r="G1907" s="194">
        <f>SUBTOTAL(9,G1908:G1926)</f>
        <v>392700</v>
      </c>
      <c r="H1907" s="194">
        <f>SUBTOTAL(9,H1908:H1926)</f>
        <v>254100</v>
      </c>
      <c r="I1907" s="195"/>
      <c r="J1907" s="165"/>
      <c r="K1907" s="165"/>
      <c r="L1907" s="165"/>
      <c r="N1907" s="279"/>
      <c r="O1907" s="293"/>
      <c r="P1907" s="186"/>
    </row>
    <row r="1908" spans="1:17" s="175" customFormat="1" ht="14" outlineLevel="2">
      <c r="A1908" s="208" t="s">
        <v>8</v>
      </c>
      <c r="B1908" s="218" t="s">
        <v>1198</v>
      </c>
      <c r="C1908" s="200" t="s">
        <v>48</v>
      </c>
      <c r="D1908" s="201"/>
      <c r="E1908" s="201"/>
      <c r="F1908" s="201">
        <v>962.5</v>
      </c>
      <c r="G1908" s="201">
        <f t="shared" ref="G1908:G1916" si="424">F1908*D1908</f>
        <v>0</v>
      </c>
      <c r="H1908" s="201">
        <f t="shared" ref="H1908:H1916" si="425">F1908*E1908</f>
        <v>0</v>
      </c>
      <c r="I1908" s="202"/>
      <c r="J1908" s="165" t="s">
        <v>10</v>
      </c>
      <c r="K1908" s="165" t="s">
        <v>107</v>
      </c>
      <c r="L1908" s="165" t="s">
        <v>58</v>
      </c>
      <c r="N1908" s="279"/>
      <c r="O1908" s="293"/>
      <c r="P1908" s="165"/>
    </row>
    <row r="1909" spans="1:17" s="175" customFormat="1" ht="14" outlineLevel="2">
      <c r="A1909" s="208" t="s">
        <v>8</v>
      </c>
      <c r="B1909" s="218" t="s">
        <v>1199</v>
      </c>
      <c r="C1909" s="200" t="s">
        <v>48</v>
      </c>
      <c r="D1909" s="201"/>
      <c r="E1909" s="201"/>
      <c r="F1909" s="201">
        <v>1925</v>
      </c>
      <c r="G1909" s="201">
        <f t="shared" si="424"/>
        <v>0</v>
      </c>
      <c r="H1909" s="201">
        <f t="shared" si="425"/>
        <v>0</v>
      </c>
      <c r="I1909" s="202"/>
      <c r="J1909" s="165" t="s">
        <v>10</v>
      </c>
      <c r="K1909" s="165" t="s">
        <v>107</v>
      </c>
      <c r="L1909" s="165" t="s">
        <v>58</v>
      </c>
      <c r="N1909" s="279"/>
      <c r="O1909" s="293"/>
      <c r="P1909" s="165"/>
    </row>
    <row r="1910" spans="1:17" s="175" customFormat="1" ht="14" outlineLevel="2">
      <c r="A1910" s="208" t="s">
        <v>8</v>
      </c>
      <c r="B1910" s="218" t="s">
        <v>1200</v>
      </c>
      <c r="C1910" s="200" t="s">
        <v>48</v>
      </c>
      <c r="D1910" s="201"/>
      <c r="E1910" s="201"/>
      <c r="F1910" s="201">
        <v>2887.5</v>
      </c>
      <c r="G1910" s="201">
        <f t="shared" si="424"/>
        <v>0</v>
      </c>
      <c r="H1910" s="201">
        <f t="shared" si="425"/>
        <v>0</v>
      </c>
      <c r="I1910" s="202"/>
      <c r="J1910" s="165" t="s">
        <v>10</v>
      </c>
      <c r="K1910" s="165" t="s">
        <v>107</v>
      </c>
      <c r="L1910" s="165" t="s">
        <v>58</v>
      </c>
      <c r="N1910" s="279"/>
      <c r="O1910" s="293"/>
      <c r="P1910" s="165"/>
    </row>
    <row r="1911" spans="1:17" s="175" customFormat="1" ht="14" outlineLevel="2">
      <c r="A1911" s="208" t="s">
        <v>8</v>
      </c>
      <c r="B1911" s="218" t="s">
        <v>1201</v>
      </c>
      <c r="C1911" s="200" t="s">
        <v>48</v>
      </c>
      <c r="D1911" s="201"/>
      <c r="E1911" s="201"/>
      <c r="F1911" s="201">
        <v>3850</v>
      </c>
      <c r="G1911" s="201">
        <f t="shared" si="424"/>
        <v>0</v>
      </c>
      <c r="H1911" s="201">
        <f t="shared" si="425"/>
        <v>0</v>
      </c>
      <c r="I1911" s="202"/>
      <c r="J1911" s="165" t="s">
        <v>10</v>
      </c>
      <c r="K1911" s="165" t="s">
        <v>107</v>
      </c>
      <c r="L1911" s="165" t="s">
        <v>58</v>
      </c>
      <c r="N1911" s="279"/>
      <c r="O1911" s="293"/>
      <c r="P1911" s="165"/>
    </row>
    <row r="1912" spans="1:17" s="175" customFormat="1" ht="14" outlineLevel="2">
      <c r="A1912" s="208" t="s">
        <v>8</v>
      </c>
      <c r="B1912" s="218" t="s">
        <v>1202</v>
      </c>
      <c r="C1912" s="200" t="s">
        <v>48</v>
      </c>
      <c r="D1912" s="201"/>
      <c r="E1912" s="201"/>
      <c r="F1912" s="201">
        <v>5775</v>
      </c>
      <c r="G1912" s="201">
        <f t="shared" si="424"/>
        <v>0</v>
      </c>
      <c r="H1912" s="201">
        <f t="shared" si="425"/>
        <v>0</v>
      </c>
      <c r="I1912" s="202"/>
      <c r="J1912" s="165" t="s">
        <v>10</v>
      </c>
      <c r="K1912" s="165" t="s">
        <v>107</v>
      </c>
      <c r="L1912" s="165" t="s">
        <v>58</v>
      </c>
      <c r="N1912" s="279"/>
      <c r="O1912" s="293"/>
      <c r="P1912" s="165"/>
    </row>
    <row r="1913" spans="1:17" s="175" customFormat="1" ht="14" outlineLevel="2">
      <c r="A1913" s="208" t="s">
        <v>8</v>
      </c>
      <c r="B1913" s="218" t="s">
        <v>1203</v>
      </c>
      <c r="C1913" s="200" t="s">
        <v>48</v>
      </c>
      <c r="D1913" s="201"/>
      <c r="E1913" s="201"/>
      <c r="F1913" s="201">
        <v>6737.5</v>
      </c>
      <c r="G1913" s="201">
        <f t="shared" si="424"/>
        <v>0</v>
      </c>
      <c r="H1913" s="201">
        <f t="shared" si="425"/>
        <v>0</v>
      </c>
      <c r="I1913" s="202"/>
      <c r="J1913" s="165" t="s">
        <v>10</v>
      </c>
      <c r="K1913" s="165" t="s">
        <v>107</v>
      </c>
      <c r="L1913" s="165" t="s">
        <v>58</v>
      </c>
      <c r="N1913" s="279"/>
      <c r="O1913" s="293"/>
      <c r="P1913" s="165"/>
    </row>
    <row r="1914" spans="1:17" s="175" customFormat="1" ht="14" outlineLevel="2">
      <c r="A1914" s="208" t="s">
        <v>8</v>
      </c>
      <c r="B1914" s="218" t="s">
        <v>1204</v>
      </c>
      <c r="C1914" s="200" t="s">
        <v>48</v>
      </c>
      <c r="D1914" s="201">
        <v>51</v>
      </c>
      <c r="E1914" s="201">
        <v>33</v>
      </c>
      <c r="F1914" s="201">
        <v>7700</v>
      </c>
      <c r="G1914" s="201">
        <f t="shared" si="424"/>
        <v>392700</v>
      </c>
      <c r="H1914" s="201">
        <f t="shared" si="425"/>
        <v>254100</v>
      </c>
      <c r="I1914" s="202"/>
      <c r="J1914" s="165" t="s">
        <v>10</v>
      </c>
      <c r="K1914" s="165" t="s">
        <v>107</v>
      </c>
      <c r="L1914" s="165" t="s">
        <v>58</v>
      </c>
      <c r="N1914" s="279"/>
      <c r="O1914" s="293"/>
      <c r="P1914" s="165"/>
    </row>
    <row r="1915" spans="1:17" s="175" customFormat="1" ht="14" outlineLevel="2">
      <c r="A1915" s="208" t="s">
        <v>8</v>
      </c>
      <c r="B1915" s="218" t="s">
        <v>1205</v>
      </c>
      <c r="C1915" s="200" t="s">
        <v>48</v>
      </c>
      <c r="D1915" s="201"/>
      <c r="E1915" s="201"/>
      <c r="F1915" s="201">
        <v>8662.5</v>
      </c>
      <c r="G1915" s="201">
        <f t="shared" si="424"/>
        <v>0</v>
      </c>
      <c r="H1915" s="201">
        <f t="shared" si="425"/>
        <v>0</v>
      </c>
      <c r="I1915" s="202"/>
      <c r="J1915" s="165" t="s">
        <v>10</v>
      </c>
      <c r="K1915" s="165" t="s">
        <v>107</v>
      </c>
      <c r="L1915" s="165" t="s">
        <v>58</v>
      </c>
      <c r="N1915" s="279"/>
      <c r="O1915" s="293"/>
      <c r="P1915" s="165"/>
    </row>
    <row r="1916" spans="1:17" s="175" customFormat="1" ht="14" outlineLevel="2">
      <c r="A1916" s="208"/>
      <c r="B1916" s="218" t="s">
        <v>1206</v>
      </c>
      <c r="C1916" s="200" t="s">
        <v>48</v>
      </c>
      <c r="D1916" s="201"/>
      <c r="E1916" s="201"/>
      <c r="F1916" s="201">
        <v>9625</v>
      </c>
      <c r="G1916" s="201">
        <f t="shared" si="424"/>
        <v>0</v>
      </c>
      <c r="H1916" s="201">
        <f t="shared" si="425"/>
        <v>0</v>
      </c>
      <c r="I1916" s="202"/>
      <c r="J1916" s="165" t="s">
        <v>10</v>
      </c>
      <c r="K1916" s="165" t="s">
        <v>107</v>
      </c>
      <c r="L1916" s="165" t="s">
        <v>58</v>
      </c>
      <c r="N1916" s="279"/>
      <c r="O1916" s="293"/>
      <c r="P1916" s="165"/>
    </row>
    <row r="1917" spans="1:17" s="175" customFormat="1" ht="14" outlineLevel="2">
      <c r="A1917" s="208" t="s">
        <v>8</v>
      </c>
      <c r="B1917" s="218" t="s">
        <v>1207</v>
      </c>
      <c r="C1917" s="200" t="s">
        <v>48</v>
      </c>
      <c r="D1917" s="201"/>
      <c r="E1917" s="201"/>
      <c r="F1917" s="201">
        <v>10587.5</v>
      </c>
      <c r="G1917" s="201">
        <f t="shared" ref="G1917:G1925" si="426">F1917*D1917</f>
        <v>0</v>
      </c>
      <c r="H1917" s="201">
        <f t="shared" ref="H1917:H1925" si="427">F1917*E1917</f>
        <v>0</v>
      </c>
      <c r="I1917" s="202"/>
      <c r="J1917" s="165" t="s">
        <v>10</v>
      </c>
      <c r="K1917" s="165" t="s">
        <v>107</v>
      </c>
      <c r="L1917" s="165" t="s">
        <v>58</v>
      </c>
      <c r="N1917" s="279"/>
      <c r="O1917" s="293"/>
      <c r="P1917" s="165"/>
    </row>
    <row r="1918" spans="1:17" s="175" customFormat="1" ht="14" outlineLevel="2">
      <c r="A1918" s="208" t="s">
        <v>8</v>
      </c>
      <c r="B1918" s="218" t="s">
        <v>1208</v>
      </c>
      <c r="C1918" s="200" t="s">
        <v>48</v>
      </c>
      <c r="D1918" s="201"/>
      <c r="E1918" s="201"/>
      <c r="F1918" s="201">
        <v>11550</v>
      </c>
      <c r="G1918" s="201">
        <f t="shared" si="426"/>
        <v>0</v>
      </c>
      <c r="H1918" s="201">
        <f t="shared" si="427"/>
        <v>0</v>
      </c>
      <c r="I1918" s="202"/>
      <c r="J1918" s="165" t="s">
        <v>10</v>
      </c>
      <c r="K1918" s="165" t="s">
        <v>107</v>
      </c>
      <c r="L1918" s="165" t="s">
        <v>58</v>
      </c>
      <c r="N1918" s="279"/>
      <c r="O1918" s="293"/>
      <c r="P1918" s="165"/>
    </row>
    <row r="1919" spans="1:17" s="175" customFormat="1" ht="14" outlineLevel="2">
      <c r="A1919" s="208" t="s">
        <v>8</v>
      </c>
      <c r="B1919" s="218" t="s">
        <v>1209</v>
      </c>
      <c r="C1919" s="200" t="s">
        <v>48</v>
      </c>
      <c r="D1919" s="201"/>
      <c r="E1919" s="201"/>
      <c r="F1919" s="201">
        <v>12512.5</v>
      </c>
      <c r="G1919" s="201">
        <f t="shared" si="426"/>
        <v>0</v>
      </c>
      <c r="H1919" s="201">
        <f t="shared" si="427"/>
        <v>0</v>
      </c>
      <c r="I1919" s="202"/>
      <c r="J1919" s="165" t="s">
        <v>10</v>
      </c>
      <c r="K1919" s="165" t="s">
        <v>107</v>
      </c>
      <c r="L1919" s="165" t="s">
        <v>58</v>
      </c>
      <c r="N1919" s="279"/>
      <c r="O1919" s="293"/>
      <c r="P1919" s="165"/>
    </row>
    <row r="1920" spans="1:17" s="175" customFormat="1" ht="14" outlineLevel="2">
      <c r="A1920" s="208" t="s">
        <v>8</v>
      </c>
      <c r="B1920" s="218" t="s">
        <v>1210</v>
      </c>
      <c r="C1920" s="200" t="s">
        <v>48</v>
      </c>
      <c r="D1920" s="201"/>
      <c r="E1920" s="201"/>
      <c r="F1920" s="201">
        <v>3850</v>
      </c>
      <c r="G1920" s="201">
        <f t="shared" si="426"/>
        <v>0</v>
      </c>
      <c r="H1920" s="201">
        <f t="shared" si="427"/>
        <v>0</v>
      </c>
      <c r="I1920" s="202"/>
      <c r="J1920" s="165" t="s">
        <v>10</v>
      </c>
      <c r="K1920" s="165" t="s">
        <v>107</v>
      </c>
      <c r="L1920" s="165" t="s">
        <v>58</v>
      </c>
      <c r="N1920" s="279"/>
      <c r="O1920" s="293"/>
      <c r="P1920" s="165"/>
    </row>
    <row r="1921" spans="1:16" s="175" customFormat="1" ht="14" outlineLevel="2">
      <c r="A1921" s="208" t="s">
        <v>8</v>
      </c>
      <c r="B1921" s="218" t="s">
        <v>1211</v>
      </c>
      <c r="C1921" s="200" t="s">
        <v>48</v>
      </c>
      <c r="D1921" s="201"/>
      <c r="E1921" s="201"/>
      <c r="F1921" s="201">
        <v>7705</v>
      </c>
      <c r="G1921" s="201">
        <f t="shared" si="426"/>
        <v>0</v>
      </c>
      <c r="H1921" s="201">
        <f t="shared" si="427"/>
        <v>0</v>
      </c>
      <c r="I1921" s="202"/>
      <c r="J1921" s="165" t="s">
        <v>10</v>
      </c>
      <c r="K1921" s="165" t="s">
        <v>107</v>
      </c>
      <c r="L1921" s="165" t="s">
        <v>58</v>
      </c>
      <c r="N1921" s="279"/>
      <c r="O1921" s="293"/>
      <c r="P1921" s="165"/>
    </row>
    <row r="1922" spans="1:16" s="175" customFormat="1" ht="14" outlineLevel="2">
      <c r="A1922" s="208" t="s">
        <v>8</v>
      </c>
      <c r="B1922" s="218" t="s">
        <v>1212</v>
      </c>
      <c r="C1922" s="200" t="s">
        <v>48</v>
      </c>
      <c r="D1922" s="201"/>
      <c r="E1922" s="201"/>
      <c r="F1922" s="201">
        <v>8970</v>
      </c>
      <c r="G1922" s="201">
        <f t="shared" si="426"/>
        <v>0</v>
      </c>
      <c r="H1922" s="201">
        <f t="shared" si="427"/>
        <v>0</v>
      </c>
      <c r="I1922" s="202"/>
      <c r="J1922" s="165" t="s">
        <v>10</v>
      </c>
      <c r="K1922" s="165" t="s">
        <v>107</v>
      </c>
      <c r="L1922" s="165" t="s">
        <v>58</v>
      </c>
      <c r="N1922" s="279"/>
      <c r="O1922" s="293"/>
      <c r="P1922" s="165"/>
    </row>
    <row r="1923" spans="1:16" s="175" customFormat="1" ht="14" outlineLevel="2">
      <c r="A1923" s="208" t="s">
        <v>8</v>
      </c>
      <c r="B1923" s="218" t="s">
        <v>1213</v>
      </c>
      <c r="C1923" s="200" t="s">
        <v>48</v>
      </c>
      <c r="D1923" s="201"/>
      <c r="E1923" s="201"/>
      <c r="F1923" s="201">
        <v>10350</v>
      </c>
      <c r="G1923" s="201">
        <f t="shared" si="426"/>
        <v>0</v>
      </c>
      <c r="H1923" s="201">
        <f t="shared" si="427"/>
        <v>0</v>
      </c>
      <c r="I1923" s="202"/>
      <c r="J1923" s="165" t="s">
        <v>10</v>
      </c>
      <c r="K1923" s="165" t="s">
        <v>107</v>
      </c>
      <c r="L1923" s="165" t="s">
        <v>58</v>
      </c>
      <c r="M1923" s="165"/>
      <c r="N1923" s="279"/>
      <c r="O1923" s="293"/>
      <c r="P1923" s="294"/>
    </row>
    <row r="1924" spans="1:16" s="175" customFormat="1" ht="14" outlineLevel="2">
      <c r="A1924" s="208" t="s">
        <v>8</v>
      </c>
      <c r="B1924" s="218" t="s">
        <v>854</v>
      </c>
      <c r="C1924" s="200" t="s">
        <v>48</v>
      </c>
      <c r="D1924" s="201"/>
      <c r="E1924" s="201"/>
      <c r="F1924" s="201"/>
      <c r="G1924" s="201">
        <f t="shared" si="426"/>
        <v>0</v>
      </c>
      <c r="H1924" s="201">
        <f t="shared" si="427"/>
        <v>0</v>
      </c>
      <c r="I1924" s="202"/>
      <c r="J1924" s="165" t="s">
        <v>10</v>
      </c>
      <c r="K1924" s="165" t="s">
        <v>107</v>
      </c>
      <c r="L1924" s="165" t="s">
        <v>58</v>
      </c>
      <c r="M1924" s="165"/>
      <c r="N1924" s="279"/>
      <c r="O1924" s="293"/>
      <c r="P1924" s="294"/>
    </row>
    <row r="1925" spans="1:16" s="175" customFormat="1" ht="14" outlineLevel="2">
      <c r="A1925" s="208"/>
      <c r="B1925" s="218" t="s">
        <v>855</v>
      </c>
      <c r="C1925" s="200" t="s">
        <v>857</v>
      </c>
      <c r="D1925" s="201"/>
      <c r="E1925" s="201"/>
      <c r="F1925" s="201"/>
      <c r="G1925" s="201">
        <f t="shared" si="426"/>
        <v>0</v>
      </c>
      <c r="H1925" s="201">
        <f t="shared" si="427"/>
        <v>0</v>
      </c>
      <c r="I1925" s="202"/>
      <c r="J1925" s="165" t="s">
        <v>10</v>
      </c>
      <c r="K1925" s="165" t="s">
        <v>107</v>
      </c>
      <c r="L1925" s="165" t="s">
        <v>58</v>
      </c>
      <c r="M1925" s="165"/>
      <c r="N1925" s="279"/>
      <c r="O1925" s="293"/>
      <c r="P1925" s="294"/>
    </row>
    <row r="1926" spans="1:16" s="175" customFormat="1" ht="14" outlineLevel="2">
      <c r="A1926" s="208" t="s">
        <v>8</v>
      </c>
      <c r="B1926" s="218" t="s">
        <v>856</v>
      </c>
      <c r="C1926" s="200" t="s">
        <v>858</v>
      </c>
      <c r="D1926" s="201"/>
      <c r="E1926" s="201"/>
      <c r="F1926" s="201"/>
      <c r="G1926" s="201">
        <f t="shared" ref="G1926" si="428">F1926*D1926</f>
        <v>0</v>
      </c>
      <c r="H1926" s="201">
        <f t="shared" ref="H1926" si="429">F1926*E1926</f>
        <v>0</v>
      </c>
      <c r="I1926" s="202"/>
      <c r="J1926" s="165" t="s">
        <v>10</v>
      </c>
      <c r="K1926" s="165" t="s">
        <v>107</v>
      </c>
      <c r="L1926" s="165" t="s">
        <v>58</v>
      </c>
      <c r="M1926" s="165"/>
      <c r="N1926" s="279"/>
      <c r="O1926" s="293"/>
      <c r="P1926" s="294"/>
    </row>
    <row r="1927" spans="1:16" s="188" customFormat="1" ht="14" outlineLevel="1">
      <c r="A1927" s="191">
        <v>2</v>
      </c>
      <c r="B1927" s="319" t="s">
        <v>860</v>
      </c>
      <c r="C1927" s="206"/>
      <c r="D1927" s="194"/>
      <c r="E1927" s="194"/>
      <c r="F1927" s="212"/>
      <c r="G1927" s="194">
        <f>SUBTOTAL(9,G1928:G1945)</f>
        <v>61600</v>
      </c>
      <c r="H1927" s="194">
        <f>SUBTOTAL(9,H1928:H1945)</f>
        <v>254100</v>
      </c>
      <c r="I1927" s="195"/>
      <c r="J1927" s="165"/>
      <c r="K1927" s="165"/>
      <c r="L1927" s="165"/>
      <c r="M1927" s="186"/>
      <c r="N1927" s="279"/>
      <c r="O1927" s="293"/>
      <c r="P1927" s="294"/>
    </row>
    <row r="1928" spans="1:16" s="175" customFormat="1" ht="14" outlineLevel="2">
      <c r="A1928" s="208" t="s">
        <v>8</v>
      </c>
      <c r="B1928" s="218" t="s">
        <v>1198</v>
      </c>
      <c r="C1928" s="200" t="s">
        <v>48</v>
      </c>
      <c r="D1928" s="201"/>
      <c r="E1928" s="201"/>
      <c r="F1928" s="201">
        <v>962.5</v>
      </c>
      <c r="G1928" s="201">
        <f t="shared" ref="G1928:G1945" si="430">F1928*D1928</f>
        <v>0</v>
      </c>
      <c r="H1928" s="201">
        <f t="shared" ref="H1928:H1945" si="431">F1928*E1928</f>
        <v>0</v>
      </c>
      <c r="I1928" s="202"/>
      <c r="J1928" s="165" t="s">
        <v>10</v>
      </c>
      <c r="K1928" s="165" t="s">
        <v>108</v>
      </c>
      <c r="L1928" s="165" t="s">
        <v>58</v>
      </c>
      <c r="M1928" s="165"/>
      <c r="N1928" s="279"/>
      <c r="O1928" s="293"/>
      <c r="P1928" s="294"/>
    </row>
    <row r="1929" spans="1:16" s="175" customFormat="1" ht="14" outlineLevel="2">
      <c r="A1929" s="208" t="s">
        <v>8</v>
      </c>
      <c r="B1929" s="218" t="s">
        <v>1199</v>
      </c>
      <c r="C1929" s="200" t="s">
        <v>48</v>
      </c>
      <c r="D1929" s="201"/>
      <c r="E1929" s="201"/>
      <c r="F1929" s="201">
        <v>1925</v>
      </c>
      <c r="G1929" s="201">
        <f t="shared" si="430"/>
        <v>0</v>
      </c>
      <c r="H1929" s="201">
        <f t="shared" si="431"/>
        <v>0</v>
      </c>
      <c r="I1929" s="202"/>
      <c r="J1929" s="165" t="s">
        <v>10</v>
      </c>
      <c r="K1929" s="165" t="s">
        <v>108</v>
      </c>
      <c r="L1929" s="165" t="s">
        <v>58</v>
      </c>
      <c r="M1929" s="165"/>
      <c r="N1929" s="279"/>
      <c r="O1929" s="293"/>
      <c r="P1929" s="294"/>
    </row>
    <row r="1930" spans="1:16" s="175" customFormat="1" ht="14" outlineLevel="2">
      <c r="A1930" s="208" t="s">
        <v>8</v>
      </c>
      <c r="B1930" s="218" t="s">
        <v>1200</v>
      </c>
      <c r="C1930" s="200" t="s">
        <v>48</v>
      </c>
      <c r="D1930" s="201"/>
      <c r="E1930" s="201"/>
      <c r="F1930" s="201">
        <v>2887.5</v>
      </c>
      <c r="G1930" s="201">
        <f t="shared" si="430"/>
        <v>0</v>
      </c>
      <c r="H1930" s="201">
        <f t="shared" si="431"/>
        <v>0</v>
      </c>
      <c r="I1930" s="202"/>
      <c r="J1930" s="165" t="s">
        <v>10</v>
      </c>
      <c r="K1930" s="165" t="s">
        <v>108</v>
      </c>
      <c r="L1930" s="165" t="s">
        <v>58</v>
      </c>
      <c r="M1930" s="165"/>
      <c r="N1930" s="279"/>
      <c r="O1930" s="293"/>
      <c r="P1930" s="294"/>
    </row>
    <row r="1931" spans="1:16" s="175" customFormat="1" ht="14" outlineLevel="2">
      <c r="A1931" s="208" t="s">
        <v>8</v>
      </c>
      <c r="B1931" s="218" t="s">
        <v>1201</v>
      </c>
      <c r="C1931" s="200" t="s">
        <v>48</v>
      </c>
      <c r="D1931" s="201"/>
      <c r="E1931" s="201"/>
      <c r="F1931" s="201">
        <v>3850</v>
      </c>
      <c r="G1931" s="201">
        <f t="shared" si="430"/>
        <v>0</v>
      </c>
      <c r="H1931" s="201">
        <f t="shared" si="431"/>
        <v>0</v>
      </c>
      <c r="I1931" s="202"/>
      <c r="J1931" s="165" t="s">
        <v>10</v>
      </c>
      <c r="K1931" s="165" t="s">
        <v>108</v>
      </c>
      <c r="L1931" s="165" t="s">
        <v>58</v>
      </c>
      <c r="M1931" s="165"/>
      <c r="N1931" s="279"/>
      <c r="O1931" s="293"/>
      <c r="P1931" s="294"/>
    </row>
    <row r="1932" spans="1:16" s="175" customFormat="1" ht="14" outlineLevel="2">
      <c r="A1932" s="208" t="s">
        <v>8</v>
      </c>
      <c r="B1932" s="218" t="s">
        <v>1202</v>
      </c>
      <c r="C1932" s="200" t="s">
        <v>48</v>
      </c>
      <c r="D1932" s="201"/>
      <c r="E1932" s="201"/>
      <c r="F1932" s="201">
        <v>5775</v>
      </c>
      <c r="G1932" s="201">
        <f t="shared" si="430"/>
        <v>0</v>
      </c>
      <c r="H1932" s="201">
        <f t="shared" si="431"/>
        <v>0</v>
      </c>
      <c r="I1932" s="202"/>
      <c r="J1932" s="165" t="s">
        <v>10</v>
      </c>
      <c r="K1932" s="165" t="s">
        <v>108</v>
      </c>
      <c r="L1932" s="165" t="s">
        <v>58</v>
      </c>
      <c r="M1932" s="165"/>
      <c r="N1932" s="279"/>
      <c r="O1932" s="293"/>
      <c r="P1932" s="294"/>
    </row>
    <row r="1933" spans="1:16" s="175" customFormat="1" ht="14" outlineLevel="2">
      <c r="A1933" s="208" t="s">
        <v>8</v>
      </c>
      <c r="B1933" s="218" t="s">
        <v>1203</v>
      </c>
      <c r="C1933" s="200" t="s">
        <v>48</v>
      </c>
      <c r="D1933" s="201"/>
      <c r="E1933" s="201"/>
      <c r="F1933" s="201">
        <v>6737.5</v>
      </c>
      <c r="G1933" s="201">
        <f t="shared" si="430"/>
        <v>0</v>
      </c>
      <c r="H1933" s="201">
        <f t="shared" si="431"/>
        <v>0</v>
      </c>
      <c r="I1933" s="202"/>
      <c r="J1933" s="165" t="s">
        <v>10</v>
      </c>
      <c r="K1933" s="165" t="s">
        <v>108</v>
      </c>
      <c r="L1933" s="165" t="s">
        <v>58</v>
      </c>
      <c r="M1933" s="165"/>
      <c r="N1933" s="279"/>
      <c r="O1933" s="293"/>
      <c r="P1933" s="294"/>
    </row>
    <row r="1934" spans="1:16" s="175" customFormat="1" ht="14" outlineLevel="2">
      <c r="A1934" s="208" t="s">
        <v>8</v>
      </c>
      <c r="B1934" s="218" t="s">
        <v>1204</v>
      </c>
      <c r="C1934" s="200" t="s">
        <v>48</v>
      </c>
      <c r="D1934" s="201">
        <v>8</v>
      </c>
      <c r="E1934" s="201">
        <v>33</v>
      </c>
      <c r="F1934" s="201">
        <v>7700</v>
      </c>
      <c r="G1934" s="201">
        <f t="shared" si="430"/>
        <v>61600</v>
      </c>
      <c r="H1934" s="201">
        <f t="shared" si="431"/>
        <v>254100</v>
      </c>
      <c r="I1934" s="202"/>
      <c r="J1934" s="165" t="s">
        <v>10</v>
      </c>
      <c r="K1934" s="165" t="s">
        <v>108</v>
      </c>
      <c r="L1934" s="165" t="s">
        <v>58</v>
      </c>
      <c r="M1934" s="165"/>
      <c r="N1934" s="279"/>
      <c r="O1934" s="293"/>
      <c r="P1934" s="294"/>
    </row>
    <row r="1935" spans="1:16" s="175" customFormat="1" ht="14" outlineLevel="2">
      <c r="A1935" s="208" t="s">
        <v>8</v>
      </c>
      <c r="B1935" s="218" t="s">
        <v>1205</v>
      </c>
      <c r="C1935" s="200" t="s">
        <v>48</v>
      </c>
      <c r="D1935" s="201"/>
      <c r="E1935" s="201"/>
      <c r="F1935" s="201">
        <v>8662.5</v>
      </c>
      <c r="G1935" s="201">
        <f t="shared" si="430"/>
        <v>0</v>
      </c>
      <c r="H1935" s="201">
        <f t="shared" si="431"/>
        <v>0</v>
      </c>
      <c r="I1935" s="202"/>
      <c r="J1935" s="165" t="s">
        <v>10</v>
      </c>
      <c r="K1935" s="165" t="s">
        <v>108</v>
      </c>
      <c r="L1935" s="165" t="s">
        <v>58</v>
      </c>
      <c r="M1935" s="165"/>
      <c r="N1935" s="279"/>
      <c r="O1935" s="293"/>
      <c r="P1935" s="294"/>
    </row>
    <row r="1936" spans="1:16" s="175" customFormat="1" ht="14" outlineLevel="2">
      <c r="A1936" s="208"/>
      <c r="B1936" s="218" t="s">
        <v>1206</v>
      </c>
      <c r="C1936" s="200" t="s">
        <v>48</v>
      </c>
      <c r="D1936" s="201"/>
      <c r="E1936" s="201"/>
      <c r="F1936" s="201">
        <v>9625</v>
      </c>
      <c r="G1936" s="201">
        <f t="shared" si="430"/>
        <v>0</v>
      </c>
      <c r="H1936" s="201">
        <f t="shared" si="431"/>
        <v>0</v>
      </c>
      <c r="I1936" s="202"/>
      <c r="J1936" s="165" t="s">
        <v>10</v>
      </c>
      <c r="K1936" s="165" t="s">
        <v>108</v>
      </c>
      <c r="L1936" s="165" t="s">
        <v>58</v>
      </c>
      <c r="M1936" s="165"/>
      <c r="N1936" s="279"/>
      <c r="O1936" s="293"/>
      <c r="P1936" s="294"/>
    </row>
    <row r="1937" spans="1:16" s="175" customFormat="1" ht="14" outlineLevel="2">
      <c r="A1937" s="208" t="s">
        <v>8</v>
      </c>
      <c r="B1937" s="218" t="s">
        <v>1207</v>
      </c>
      <c r="C1937" s="200" t="s">
        <v>48</v>
      </c>
      <c r="D1937" s="201"/>
      <c r="E1937" s="201"/>
      <c r="F1937" s="201">
        <v>10587.5</v>
      </c>
      <c r="G1937" s="201">
        <f t="shared" si="430"/>
        <v>0</v>
      </c>
      <c r="H1937" s="201">
        <f t="shared" si="431"/>
        <v>0</v>
      </c>
      <c r="I1937" s="202"/>
      <c r="J1937" s="165" t="s">
        <v>10</v>
      </c>
      <c r="K1937" s="165" t="s">
        <v>108</v>
      </c>
      <c r="L1937" s="165" t="s">
        <v>58</v>
      </c>
      <c r="M1937" s="165"/>
      <c r="N1937" s="279"/>
      <c r="O1937" s="293"/>
      <c r="P1937" s="294"/>
    </row>
    <row r="1938" spans="1:16" s="175" customFormat="1" ht="14" outlineLevel="2">
      <c r="A1938" s="208" t="s">
        <v>8</v>
      </c>
      <c r="B1938" s="218" t="s">
        <v>1208</v>
      </c>
      <c r="C1938" s="200" t="s">
        <v>48</v>
      </c>
      <c r="D1938" s="201"/>
      <c r="E1938" s="201"/>
      <c r="F1938" s="201">
        <v>11550</v>
      </c>
      <c r="G1938" s="201">
        <f t="shared" si="430"/>
        <v>0</v>
      </c>
      <c r="H1938" s="201">
        <f t="shared" si="431"/>
        <v>0</v>
      </c>
      <c r="I1938" s="202"/>
      <c r="J1938" s="165" t="s">
        <v>10</v>
      </c>
      <c r="K1938" s="165" t="s">
        <v>108</v>
      </c>
      <c r="L1938" s="165" t="s">
        <v>58</v>
      </c>
      <c r="M1938" s="165"/>
      <c r="N1938" s="279"/>
      <c r="O1938" s="293"/>
      <c r="P1938" s="294"/>
    </row>
    <row r="1939" spans="1:16" s="175" customFormat="1" ht="14" outlineLevel="2">
      <c r="A1939" s="208" t="s">
        <v>8</v>
      </c>
      <c r="B1939" s="218" t="s">
        <v>1209</v>
      </c>
      <c r="C1939" s="200" t="s">
        <v>48</v>
      </c>
      <c r="D1939" s="201"/>
      <c r="E1939" s="201"/>
      <c r="F1939" s="201">
        <v>12512.5</v>
      </c>
      <c r="G1939" s="201">
        <f t="shared" si="430"/>
        <v>0</v>
      </c>
      <c r="H1939" s="201">
        <f t="shared" si="431"/>
        <v>0</v>
      </c>
      <c r="I1939" s="202"/>
      <c r="J1939" s="165" t="s">
        <v>10</v>
      </c>
      <c r="K1939" s="165" t="s">
        <v>108</v>
      </c>
      <c r="L1939" s="165" t="s">
        <v>58</v>
      </c>
      <c r="M1939" s="165"/>
      <c r="N1939" s="279"/>
      <c r="O1939" s="293"/>
      <c r="P1939" s="294"/>
    </row>
    <row r="1940" spans="1:16" s="175" customFormat="1" ht="14" outlineLevel="2">
      <c r="A1940" s="208" t="s">
        <v>8</v>
      </c>
      <c r="B1940" s="218" t="s">
        <v>1210</v>
      </c>
      <c r="C1940" s="200" t="s">
        <v>48</v>
      </c>
      <c r="D1940" s="201"/>
      <c r="E1940" s="201"/>
      <c r="F1940" s="201">
        <v>3850</v>
      </c>
      <c r="G1940" s="201">
        <f t="shared" si="430"/>
        <v>0</v>
      </c>
      <c r="H1940" s="201">
        <f t="shared" si="431"/>
        <v>0</v>
      </c>
      <c r="I1940" s="202"/>
      <c r="J1940" s="165" t="s">
        <v>10</v>
      </c>
      <c r="K1940" s="165" t="s">
        <v>108</v>
      </c>
      <c r="L1940" s="165" t="s">
        <v>58</v>
      </c>
      <c r="M1940" s="165"/>
      <c r="N1940" s="279"/>
      <c r="O1940" s="293"/>
      <c r="P1940" s="294"/>
    </row>
    <row r="1941" spans="1:16" s="175" customFormat="1" ht="14" outlineLevel="2">
      <c r="A1941" s="208" t="s">
        <v>8</v>
      </c>
      <c r="B1941" s="218" t="s">
        <v>1211</v>
      </c>
      <c r="C1941" s="200" t="s">
        <v>48</v>
      </c>
      <c r="D1941" s="201"/>
      <c r="E1941" s="201"/>
      <c r="F1941" s="201">
        <v>7705</v>
      </c>
      <c r="G1941" s="201">
        <f t="shared" si="430"/>
        <v>0</v>
      </c>
      <c r="H1941" s="201">
        <f t="shared" si="431"/>
        <v>0</v>
      </c>
      <c r="I1941" s="202"/>
      <c r="J1941" s="165" t="s">
        <v>10</v>
      </c>
      <c r="K1941" s="165" t="s">
        <v>108</v>
      </c>
      <c r="L1941" s="165" t="s">
        <v>58</v>
      </c>
      <c r="M1941" s="165"/>
      <c r="N1941" s="279"/>
      <c r="O1941" s="293"/>
      <c r="P1941" s="294"/>
    </row>
    <row r="1942" spans="1:16" s="175" customFormat="1" ht="14" outlineLevel="2">
      <c r="A1942" s="208" t="s">
        <v>8</v>
      </c>
      <c r="B1942" s="218" t="s">
        <v>1212</v>
      </c>
      <c r="C1942" s="200" t="s">
        <v>48</v>
      </c>
      <c r="D1942" s="201"/>
      <c r="E1942" s="201"/>
      <c r="F1942" s="201">
        <v>8970</v>
      </c>
      <c r="G1942" s="201">
        <f t="shared" si="430"/>
        <v>0</v>
      </c>
      <c r="H1942" s="201">
        <f t="shared" si="431"/>
        <v>0</v>
      </c>
      <c r="I1942" s="202"/>
      <c r="J1942" s="165" t="s">
        <v>10</v>
      </c>
      <c r="K1942" s="165" t="s">
        <v>108</v>
      </c>
      <c r="L1942" s="165" t="s">
        <v>58</v>
      </c>
      <c r="M1942" s="165"/>
      <c r="N1942" s="279"/>
      <c r="O1942" s="293"/>
      <c r="P1942" s="294"/>
    </row>
    <row r="1943" spans="1:16" s="175" customFormat="1" ht="14" outlineLevel="2">
      <c r="A1943" s="208" t="s">
        <v>8</v>
      </c>
      <c r="B1943" s="218" t="s">
        <v>1213</v>
      </c>
      <c r="C1943" s="200" t="s">
        <v>48</v>
      </c>
      <c r="D1943" s="201"/>
      <c r="E1943" s="201"/>
      <c r="F1943" s="201">
        <v>10350</v>
      </c>
      <c r="G1943" s="201">
        <f t="shared" si="430"/>
        <v>0</v>
      </c>
      <c r="H1943" s="201">
        <f t="shared" si="431"/>
        <v>0</v>
      </c>
      <c r="I1943" s="202"/>
      <c r="J1943" s="165" t="s">
        <v>10</v>
      </c>
      <c r="K1943" s="165" t="s">
        <v>108</v>
      </c>
      <c r="L1943" s="165" t="s">
        <v>58</v>
      </c>
      <c r="M1943" s="165"/>
      <c r="N1943" s="279"/>
      <c r="O1943" s="293"/>
      <c r="P1943" s="294"/>
    </row>
    <row r="1944" spans="1:16" s="175" customFormat="1" ht="14" outlineLevel="2">
      <c r="A1944" s="208"/>
      <c r="B1944" s="218" t="s">
        <v>855</v>
      </c>
      <c r="C1944" s="200" t="s">
        <v>857</v>
      </c>
      <c r="D1944" s="201"/>
      <c r="E1944" s="201"/>
      <c r="F1944" s="201"/>
      <c r="G1944" s="201">
        <f t="shared" si="430"/>
        <v>0</v>
      </c>
      <c r="H1944" s="201">
        <f t="shared" si="431"/>
        <v>0</v>
      </c>
      <c r="I1944" s="202"/>
      <c r="J1944" s="165" t="s">
        <v>10</v>
      </c>
      <c r="K1944" s="165" t="s">
        <v>108</v>
      </c>
      <c r="L1944" s="165" t="s">
        <v>58</v>
      </c>
      <c r="M1944" s="165"/>
      <c r="N1944" s="279"/>
      <c r="O1944" s="293"/>
      <c r="P1944" s="294"/>
    </row>
    <row r="1945" spans="1:16" s="175" customFormat="1" ht="14" outlineLevel="2">
      <c r="A1945" s="208" t="s">
        <v>8</v>
      </c>
      <c r="B1945" s="218" t="s">
        <v>856</v>
      </c>
      <c r="C1945" s="200" t="s">
        <v>858</v>
      </c>
      <c r="D1945" s="201"/>
      <c r="E1945" s="201"/>
      <c r="F1945" s="201"/>
      <c r="G1945" s="201">
        <f t="shared" si="430"/>
        <v>0</v>
      </c>
      <c r="H1945" s="201">
        <f t="shared" si="431"/>
        <v>0</v>
      </c>
      <c r="I1945" s="202"/>
      <c r="J1945" s="165" t="s">
        <v>10</v>
      </c>
      <c r="K1945" s="165" t="s">
        <v>108</v>
      </c>
      <c r="L1945" s="165" t="s">
        <v>58</v>
      </c>
      <c r="M1945" s="165"/>
      <c r="N1945" s="279"/>
      <c r="O1945" s="293"/>
      <c r="P1945" s="294"/>
    </row>
    <row r="1946" spans="1:16" s="188" customFormat="1" ht="14" outlineLevel="1">
      <c r="A1946" s="191">
        <v>3</v>
      </c>
      <c r="B1946" s="319" t="s">
        <v>861</v>
      </c>
      <c r="C1946" s="206"/>
      <c r="D1946" s="194"/>
      <c r="E1946" s="194"/>
      <c r="F1946" s="212"/>
      <c r="G1946" s="194">
        <f>SUBTOTAL(9,G1947:G1948)</f>
        <v>0</v>
      </c>
      <c r="H1946" s="194">
        <f>SUBTOTAL(9,H1947:H1948)</f>
        <v>0</v>
      </c>
      <c r="I1946" s="195"/>
      <c r="J1946" s="165"/>
      <c r="K1946" s="165"/>
      <c r="L1946" s="165"/>
      <c r="M1946" s="186"/>
      <c r="N1946" s="279"/>
      <c r="O1946" s="293"/>
      <c r="P1946" s="294"/>
    </row>
    <row r="1947" spans="1:16" s="175" customFormat="1" ht="14" outlineLevel="2">
      <c r="A1947" s="208" t="s">
        <v>8</v>
      </c>
      <c r="B1947" s="218" t="s">
        <v>862</v>
      </c>
      <c r="C1947" s="200" t="s">
        <v>48</v>
      </c>
      <c r="D1947" s="201"/>
      <c r="E1947" s="201"/>
      <c r="F1947" s="201"/>
      <c r="G1947" s="201">
        <f t="shared" ref="G1947:G1948" si="432">F1947*D1947</f>
        <v>0</v>
      </c>
      <c r="H1947" s="201">
        <f t="shared" ref="H1947:H1948" si="433">F1947*E1947</f>
        <v>0</v>
      </c>
      <c r="I1947" s="202"/>
      <c r="J1947" s="165" t="s">
        <v>10</v>
      </c>
      <c r="K1947" s="165" t="s">
        <v>196</v>
      </c>
      <c r="L1947" s="165" t="s">
        <v>58</v>
      </c>
      <c r="M1947" s="165"/>
      <c r="N1947" s="279"/>
      <c r="O1947" s="293"/>
      <c r="P1947" s="294"/>
    </row>
    <row r="1948" spans="1:16" s="175" customFormat="1" ht="14" outlineLevel="2">
      <c r="A1948" s="208" t="s">
        <v>8</v>
      </c>
      <c r="B1948" s="218" t="s">
        <v>863</v>
      </c>
      <c r="C1948" s="200" t="s">
        <v>48</v>
      </c>
      <c r="D1948" s="201"/>
      <c r="E1948" s="201"/>
      <c r="F1948" s="201"/>
      <c r="G1948" s="201">
        <f t="shared" si="432"/>
        <v>0</v>
      </c>
      <c r="H1948" s="201">
        <f t="shared" si="433"/>
        <v>0</v>
      </c>
      <c r="I1948" s="202"/>
      <c r="J1948" s="165" t="s">
        <v>10</v>
      </c>
      <c r="K1948" s="165" t="s">
        <v>196</v>
      </c>
      <c r="L1948" s="165" t="s">
        <v>58</v>
      </c>
      <c r="M1948" s="165"/>
      <c r="N1948" s="279"/>
      <c r="O1948" s="293"/>
      <c r="P1948" s="294"/>
    </row>
    <row r="1949" spans="1:16" s="188" customFormat="1" ht="14" outlineLevel="1">
      <c r="A1949" s="191">
        <v>4</v>
      </c>
      <c r="B1949" s="319" t="s">
        <v>864</v>
      </c>
      <c r="C1949" s="206"/>
      <c r="D1949" s="194"/>
      <c r="E1949" s="194"/>
      <c r="F1949" s="212"/>
      <c r="G1949" s="194">
        <f>SUBTOTAL(9,G1950:G1970)</f>
        <v>1431162</v>
      </c>
      <c r="H1949" s="194">
        <f>SUBTOTAL(9,H1950:H1970)</f>
        <v>926046</v>
      </c>
      <c r="I1949" s="195"/>
      <c r="J1949" s="165"/>
      <c r="K1949" s="165"/>
      <c r="L1949" s="165"/>
      <c r="M1949" s="186"/>
      <c r="N1949" s="279"/>
      <c r="O1949" s="293"/>
      <c r="P1949" s="294"/>
    </row>
    <row r="1950" spans="1:16" s="175" customFormat="1" ht="14" outlineLevel="2">
      <c r="A1950" s="208" t="s">
        <v>8</v>
      </c>
      <c r="B1950" s="218" t="s">
        <v>1198</v>
      </c>
      <c r="C1950" s="200" t="s">
        <v>583</v>
      </c>
      <c r="D1950" s="201">
        <v>0</v>
      </c>
      <c r="E1950" s="201">
        <v>0</v>
      </c>
      <c r="F1950" s="201">
        <v>666.12857142857138</v>
      </c>
      <c r="G1950" s="201">
        <f t="shared" ref="G1950:G1968" si="434">F1950*D1950</f>
        <v>0</v>
      </c>
      <c r="H1950" s="201">
        <f t="shared" ref="H1950:H1968" si="435">F1950*E1950</f>
        <v>0</v>
      </c>
      <c r="I1950" s="202"/>
      <c r="J1950" s="165" t="s">
        <v>10</v>
      </c>
      <c r="K1950" s="165" t="s">
        <v>107</v>
      </c>
      <c r="L1950" s="165" t="s">
        <v>58</v>
      </c>
      <c r="M1950" s="165"/>
      <c r="N1950" s="279"/>
      <c r="O1950" s="293"/>
      <c r="P1950" s="294"/>
    </row>
    <row r="1951" spans="1:16" s="175" customFormat="1" ht="14" outlineLevel="2">
      <c r="A1951" s="208" t="s">
        <v>8</v>
      </c>
      <c r="B1951" s="218" t="s">
        <v>1199</v>
      </c>
      <c r="C1951" s="200" t="s">
        <v>583</v>
      </c>
      <c r="D1951" s="201">
        <v>0</v>
      </c>
      <c r="E1951" s="201">
        <v>0</v>
      </c>
      <c r="F1951" s="201">
        <v>1332.2571428571428</v>
      </c>
      <c r="G1951" s="201">
        <f t="shared" si="434"/>
        <v>0</v>
      </c>
      <c r="H1951" s="201">
        <f t="shared" si="435"/>
        <v>0</v>
      </c>
      <c r="I1951" s="202"/>
      <c r="J1951" s="165" t="s">
        <v>10</v>
      </c>
      <c r="K1951" s="165" t="s">
        <v>107</v>
      </c>
      <c r="L1951" s="165" t="s">
        <v>58</v>
      </c>
      <c r="M1951" s="165"/>
      <c r="N1951" s="279"/>
      <c r="O1951" s="293"/>
      <c r="P1951" s="294"/>
    </row>
    <row r="1952" spans="1:16" s="175" customFormat="1" ht="14" outlineLevel="2">
      <c r="A1952" s="208" t="s">
        <v>8</v>
      </c>
      <c r="B1952" s="218" t="s">
        <v>1200</v>
      </c>
      <c r="C1952" s="200" t="s">
        <v>583</v>
      </c>
      <c r="D1952" s="201">
        <v>0</v>
      </c>
      <c r="E1952" s="201">
        <v>0</v>
      </c>
      <c r="F1952" s="201">
        <v>1998.9160714285713</v>
      </c>
      <c r="G1952" s="201">
        <f t="shared" si="434"/>
        <v>0</v>
      </c>
      <c r="H1952" s="201">
        <f t="shared" si="435"/>
        <v>0</v>
      </c>
      <c r="I1952" s="202"/>
      <c r="J1952" s="165" t="s">
        <v>10</v>
      </c>
      <c r="K1952" s="165" t="s">
        <v>107</v>
      </c>
      <c r="L1952" s="165" t="s">
        <v>58</v>
      </c>
      <c r="M1952" s="165"/>
      <c r="N1952" s="279"/>
      <c r="O1952" s="293"/>
      <c r="P1952" s="294"/>
    </row>
    <row r="1953" spans="1:16" s="175" customFormat="1" ht="14" outlineLevel="2">
      <c r="A1953" s="208" t="s">
        <v>8</v>
      </c>
      <c r="B1953" s="218" t="s">
        <v>1201</v>
      </c>
      <c r="C1953" s="200" t="s">
        <v>583</v>
      </c>
      <c r="D1953" s="201">
        <v>0</v>
      </c>
      <c r="E1953" s="201">
        <v>0</v>
      </c>
      <c r="F1953" s="201">
        <v>2665.221428571429</v>
      </c>
      <c r="G1953" s="201">
        <f t="shared" si="434"/>
        <v>0</v>
      </c>
      <c r="H1953" s="201">
        <f t="shared" si="435"/>
        <v>0</v>
      </c>
      <c r="I1953" s="202"/>
      <c r="J1953" s="165" t="s">
        <v>10</v>
      </c>
      <c r="K1953" s="165" t="s">
        <v>107</v>
      </c>
      <c r="L1953" s="165" t="s">
        <v>58</v>
      </c>
      <c r="M1953" s="165"/>
      <c r="N1953" s="279"/>
      <c r="O1953" s="293"/>
      <c r="P1953" s="294"/>
    </row>
    <row r="1954" spans="1:16" s="175" customFormat="1" ht="14" outlineLevel="2">
      <c r="A1954" s="208" t="s">
        <v>8</v>
      </c>
      <c r="B1954" s="218" t="s">
        <v>1202</v>
      </c>
      <c r="C1954" s="200" t="s">
        <v>583</v>
      </c>
      <c r="D1954" s="201">
        <v>0</v>
      </c>
      <c r="E1954" s="201">
        <v>0</v>
      </c>
      <c r="F1954" s="201">
        <v>3997.8321428571426</v>
      </c>
      <c r="G1954" s="201">
        <f t="shared" si="434"/>
        <v>0</v>
      </c>
      <c r="H1954" s="201">
        <f t="shared" si="435"/>
        <v>0</v>
      </c>
      <c r="I1954" s="202"/>
      <c r="J1954" s="165" t="s">
        <v>10</v>
      </c>
      <c r="K1954" s="165" t="s">
        <v>107</v>
      </c>
      <c r="L1954" s="165" t="s">
        <v>58</v>
      </c>
      <c r="M1954" s="165"/>
      <c r="N1954" s="279"/>
      <c r="O1954" s="293"/>
      <c r="P1954" s="294"/>
    </row>
    <row r="1955" spans="1:16" s="175" customFormat="1" ht="14" outlineLevel="2">
      <c r="A1955" s="208" t="s">
        <v>8</v>
      </c>
      <c r="B1955" s="218" t="s">
        <v>1203</v>
      </c>
      <c r="C1955" s="200" t="s">
        <v>583</v>
      </c>
      <c r="D1955" s="201">
        <v>0</v>
      </c>
      <c r="E1955" s="201">
        <v>0</v>
      </c>
      <c r="F1955" s="201">
        <v>4663.8428571428567</v>
      </c>
      <c r="G1955" s="201">
        <f t="shared" si="434"/>
        <v>0</v>
      </c>
      <c r="H1955" s="201">
        <f t="shared" si="435"/>
        <v>0</v>
      </c>
      <c r="I1955" s="202"/>
      <c r="J1955" s="165" t="s">
        <v>10</v>
      </c>
      <c r="K1955" s="165" t="s">
        <v>107</v>
      </c>
      <c r="L1955" s="165" t="s">
        <v>58</v>
      </c>
      <c r="M1955" s="165"/>
      <c r="N1955" s="279"/>
      <c r="O1955" s="293"/>
      <c r="P1955" s="294"/>
    </row>
    <row r="1956" spans="1:16" s="175" customFormat="1" ht="14" outlineLevel="2">
      <c r="A1956" s="208" t="s">
        <v>8</v>
      </c>
      <c r="B1956" s="218" t="s">
        <v>1204</v>
      </c>
      <c r="C1956" s="200" t="s">
        <v>583</v>
      </c>
      <c r="D1956" s="201">
        <v>51</v>
      </c>
      <c r="E1956" s="201">
        <v>33</v>
      </c>
      <c r="F1956" s="201">
        <v>9577</v>
      </c>
      <c r="G1956" s="201">
        <f t="shared" si="434"/>
        <v>488427</v>
      </c>
      <c r="H1956" s="201">
        <f t="shared" si="435"/>
        <v>316041</v>
      </c>
      <c r="I1956" s="202"/>
      <c r="J1956" s="165" t="s">
        <v>10</v>
      </c>
      <c r="K1956" s="165" t="s">
        <v>107</v>
      </c>
      <c r="L1956" s="165" t="s">
        <v>58</v>
      </c>
      <c r="M1956" s="165"/>
      <c r="N1956" s="279"/>
      <c r="O1956" s="293"/>
      <c r="P1956" s="294"/>
    </row>
    <row r="1957" spans="1:16" s="175" customFormat="1" ht="14" outlineLevel="2">
      <c r="A1957" s="208" t="s">
        <v>8</v>
      </c>
      <c r="B1957" s="218" t="s">
        <v>1205</v>
      </c>
      <c r="C1957" s="200" t="s">
        <v>583</v>
      </c>
      <c r="D1957" s="201">
        <v>0</v>
      </c>
      <c r="E1957" s="201">
        <v>0</v>
      </c>
      <c r="F1957" s="201">
        <v>9577</v>
      </c>
      <c r="G1957" s="201">
        <f t="shared" si="434"/>
        <v>0</v>
      </c>
      <c r="H1957" s="201">
        <f t="shared" si="435"/>
        <v>0</v>
      </c>
      <c r="I1957" s="202"/>
      <c r="J1957" s="165" t="s">
        <v>10</v>
      </c>
      <c r="K1957" s="165" t="s">
        <v>107</v>
      </c>
      <c r="L1957" s="165" t="s">
        <v>58</v>
      </c>
      <c r="M1957" s="165"/>
      <c r="N1957" s="279"/>
      <c r="O1957" s="293"/>
      <c r="P1957" s="294"/>
    </row>
    <row r="1958" spans="1:16" s="175" customFormat="1" ht="14" outlineLevel="2">
      <c r="A1958" s="208"/>
      <c r="B1958" s="218" t="s">
        <v>1206</v>
      </c>
      <c r="C1958" s="200" t="s">
        <v>583</v>
      </c>
      <c r="D1958" s="201">
        <v>0</v>
      </c>
      <c r="E1958" s="201">
        <v>0</v>
      </c>
      <c r="F1958" s="201">
        <v>11260</v>
      </c>
      <c r="G1958" s="201">
        <f t="shared" si="434"/>
        <v>0</v>
      </c>
      <c r="H1958" s="201">
        <f t="shared" si="435"/>
        <v>0</v>
      </c>
      <c r="I1958" s="202"/>
      <c r="J1958" s="165" t="s">
        <v>10</v>
      </c>
      <c r="K1958" s="165" t="s">
        <v>107</v>
      </c>
      <c r="L1958" s="165" t="s">
        <v>58</v>
      </c>
      <c r="M1958" s="165"/>
      <c r="N1958" s="279"/>
      <c r="O1958" s="293"/>
      <c r="P1958" s="294"/>
    </row>
    <row r="1959" spans="1:16" s="175" customFormat="1" ht="14" outlineLevel="2">
      <c r="A1959" s="208" t="s">
        <v>8</v>
      </c>
      <c r="B1959" s="218" t="s">
        <v>1207</v>
      </c>
      <c r="C1959" s="200" t="s">
        <v>583</v>
      </c>
      <c r="D1959" s="201">
        <v>0</v>
      </c>
      <c r="E1959" s="201">
        <v>0</v>
      </c>
      <c r="F1959" s="201">
        <v>11935</v>
      </c>
      <c r="G1959" s="201">
        <f t="shared" si="434"/>
        <v>0</v>
      </c>
      <c r="H1959" s="201">
        <f t="shared" si="435"/>
        <v>0</v>
      </c>
      <c r="I1959" s="202"/>
      <c r="J1959" s="165" t="s">
        <v>10</v>
      </c>
      <c r="K1959" s="165" t="s">
        <v>107</v>
      </c>
      <c r="L1959" s="165" t="s">
        <v>58</v>
      </c>
      <c r="M1959" s="165"/>
      <c r="N1959" s="279"/>
      <c r="O1959" s="293"/>
      <c r="P1959" s="294"/>
    </row>
    <row r="1960" spans="1:16" s="175" customFormat="1" ht="14" outlineLevel="2">
      <c r="A1960" s="208" t="s">
        <v>8</v>
      </c>
      <c r="B1960" s="218" t="s">
        <v>1208</v>
      </c>
      <c r="C1960" s="200" t="s">
        <v>583</v>
      </c>
      <c r="D1960" s="201">
        <v>0</v>
      </c>
      <c r="E1960" s="201">
        <v>0</v>
      </c>
      <c r="F1960" s="201">
        <v>11935</v>
      </c>
      <c r="G1960" s="201">
        <f t="shared" si="434"/>
        <v>0</v>
      </c>
      <c r="H1960" s="201">
        <f t="shared" si="435"/>
        <v>0</v>
      </c>
      <c r="I1960" s="202"/>
      <c r="J1960" s="165" t="s">
        <v>10</v>
      </c>
      <c r="K1960" s="165" t="s">
        <v>107</v>
      </c>
      <c r="L1960" s="165" t="s">
        <v>58</v>
      </c>
      <c r="M1960" s="165"/>
      <c r="N1960" s="279"/>
      <c r="O1960" s="293"/>
      <c r="P1960" s="294"/>
    </row>
    <row r="1961" spans="1:16" s="175" customFormat="1" ht="14" outlineLevel="2">
      <c r="A1961" s="208" t="s">
        <v>8</v>
      </c>
      <c r="B1961" s="218" t="s">
        <v>1209</v>
      </c>
      <c r="C1961" s="200" t="s">
        <v>583</v>
      </c>
      <c r="D1961" s="201">
        <v>0</v>
      </c>
      <c r="E1961" s="201">
        <v>0</v>
      </c>
      <c r="F1961" s="201">
        <v>11935</v>
      </c>
      <c r="G1961" s="201">
        <f t="shared" si="434"/>
        <v>0</v>
      </c>
      <c r="H1961" s="201">
        <f t="shared" si="435"/>
        <v>0</v>
      </c>
      <c r="I1961" s="202"/>
      <c r="J1961" s="165" t="s">
        <v>10</v>
      </c>
      <c r="K1961" s="165" t="s">
        <v>107</v>
      </c>
      <c r="L1961" s="165" t="s">
        <v>58</v>
      </c>
      <c r="M1961" s="165"/>
      <c r="N1961" s="279"/>
      <c r="O1961" s="293"/>
      <c r="P1961" s="294"/>
    </row>
    <row r="1962" spans="1:16" s="175" customFormat="1" ht="14" outlineLevel="2">
      <c r="A1962" s="208" t="s">
        <v>8</v>
      </c>
      <c r="B1962" s="218" t="s">
        <v>1210</v>
      </c>
      <c r="C1962" s="200" t="s">
        <v>583</v>
      </c>
      <c r="D1962" s="201">
        <v>0</v>
      </c>
      <c r="E1962" s="201">
        <v>0</v>
      </c>
      <c r="F1962" s="201">
        <v>4966</v>
      </c>
      <c r="G1962" s="201">
        <f t="shared" si="434"/>
        <v>0</v>
      </c>
      <c r="H1962" s="201">
        <f t="shared" si="435"/>
        <v>0</v>
      </c>
      <c r="I1962" s="202"/>
      <c r="J1962" s="165" t="s">
        <v>10</v>
      </c>
      <c r="K1962" s="165" t="s">
        <v>107</v>
      </c>
      <c r="L1962" s="165" t="s">
        <v>58</v>
      </c>
      <c r="M1962" s="165"/>
      <c r="N1962" s="279"/>
      <c r="O1962" s="293"/>
      <c r="P1962" s="294"/>
    </row>
    <row r="1963" spans="1:16" s="175" customFormat="1" ht="14" outlineLevel="2">
      <c r="A1963" s="208" t="s">
        <v>8</v>
      </c>
      <c r="B1963" s="218" t="s">
        <v>1211</v>
      </c>
      <c r="C1963" s="200" t="s">
        <v>583</v>
      </c>
      <c r="D1963" s="201">
        <v>0</v>
      </c>
      <c r="E1963" s="201">
        <v>0</v>
      </c>
      <c r="F1963" s="201">
        <v>8277</v>
      </c>
      <c r="G1963" s="201">
        <f t="shared" si="434"/>
        <v>0</v>
      </c>
      <c r="H1963" s="201">
        <f t="shared" si="435"/>
        <v>0</v>
      </c>
      <c r="I1963" s="202"/>
      <c r="J1963" s="165" t="s">
        <v>10</v>
      </c>
      <c r="K1963" s="165" t="s">
        <v>107</v>
      </c>
      <c r="L1963" s="165" t="s">
        <v>58</v>
      </c>
      <c r="M1963" s="165"/>
      <c r="N1963" s="279"/>
      <c r="O1963" s="293"/>
      <c r="P1963" s="294"/>
    </row>
    <row r="1964" spans="1:16" s="175" customFormat="1" ht="14" outlineLevel="2">
      <c r="A1964" s="208" t="s">
        <v>8</v>
      </c>
      <c r="B1964" s="218" t="s">
        <v>1212</v>
      </c>
      <c r="C1964" s="200" t="s">
        <v>583</v>
      </c>
      <c r="D1964" s="201">
        <v>0</v>
      </c>
      <c r="E1964" s="201">
        <v>0</v>
      </c>
      <c r="F1964" s="201">
        <v>9657.1907142857126</v>
      </c>
      <c r="G1964" s="201">
        <f t="shared" si="434"/>
        <v>0</v>
      </c>
      <c r="H1964" s="201">
        <f t="shared" si="435"/>
        <v>0</v>
      </c>
      <c r="I1964" s="202"/>
      <c r="J1964" s="165" t="s">
        <v>10</v>
      </c>
      <c r="K1964" s="165" t="s">
        <v>107</v>
      </c>
      <c r="L1964" s="165" t="s">
        <v>58</v>
      </c>
      <c r="M1964" s="165"/>
      <c r="N1964" s="279"/>
      <c r="O1964" s="293"/>
      <c r="P1964" s="294"/>
    </row>
    <row r="1965" spans="1:16" s="175" customFormat="1" ht="14" outlineLevel="2">
      <c r="A1965" s="208" t="s">
        <v>8</v>
      </c>
      <c r="B1965" s="218" t="s">
        <v>1213</v>
      </c>
      <c r="C1965" s="200" t="s">
        <v>583</v>
      </c>
      <c r="D1965" s="201">
        <v>0</v>
      </c>
      <c r="E1965" s="201">
        <v>0</v>
      </c>
      <c r="F1965" s="201">
        <v>10655.817857142858</v>
      </c>
      <c r="G1965" s="201">
        <f t="shared" si="434"/>
        <v>0</v>
      </c>
      <c r="H1965" s="201">
        <f t="shared" si="435"/>
        <v>0</v>
      </c>
      <c r="I1965" s="202"/>
      <c r="J1965" s="165" t="s">
        <v>10</v>
      </c>
      <c r="K1965" s="165" t="s">
        <v>107</v>
      </c>
      <c r="L1965" s="165" t="s">
        <v>58</v>
      </c>
      <c r="M1965" s="165"/>
      <c r="N1965" s="279"/>
      <c r="O1965" s="293"/>
      <c r="P1965" s="294"/>
    </row>
    <row r="1966" spans="1:16" s="175" customFormat="1" ht="14" outlineLevel="2">
      <c r="A1966" s="208" t="s">
        <v>8</v>
      </c>
      <c r="B1966" s="218" t="s">
        <v>1214</v>
      </c>
      <c r="C1966" s="200" t="s">
        <v>1218</v>
      </c>
      <c r="D1966" s="201">
        <v>51</v>
      </c>
      <c r="E1966" s="201">
        <v>33</v>
      </c>
      <c r="F1966" s="201">
        <v>1110</v>
      </c>
      <c r="G1966" s="201">
        <f t="shared" si="434"/>
        <v>56610</v>
      </c>
      <c r="H1966" s="201">
        <f t="shared" si="435"/>
        <v>36630</v>
      </c>
      <c r="I1966" s="202"/>
      <c r="J1966" s="165" t="s">
        <v>10</v>
      </c>
      <c r="K1966" s="165" t="s">
        <v>107</v>
      </c>
      <c r="L1966" s="165" t="s">
        <v>58</v>
      </c>
      <c r="M1966" s="165"/>
      <c r="N1966" s="279"/>
      <c r="O1966" s="293"/>
      <c r="P1966" s="294"/>
    </row>
    <row r="1967" spans="1:16" s="175" customFormat="1" ht="14" outlineLevel="2">
      <c r="A1967" s="208"/>
      <c r="B1967" s="218" t="s">
        <v>1215</v>
      </c>
      <c r="C1967" s="200" t="s">
        <v>1218</v>
      </c>
      <c r="D1967" s="201">
        <v>51</v>
      </c>
      <c r="E1967" s="201">
        <v>33</v>
      </c>
      <c r="F1967" s="201">
        <v>1110</v>
      </c>
      <c r="G1967" s="201">
        <f t="shared" si="434"/>
        <v>56610</v>
      </c>
      <c r="H1967" s="201">
        <f t="shared" si="435"/>
        <v>36630</v>
      </c>
      <c r="I1967" s="202"/>
      <c r="J1967" s="165" t="s">
        <v>10</v>
      </c>
      <c r="K1967" s="165" t="s">
        <v>107</v>
      </c>
      <c r="L1967" s="165" t="s">
        <v>58</v>
      </c>
      <c r="M1967" s="165"/>
      <c r="N1967" s="279"/>
      <c r="O1967" s="293"/>
      <c r="P1967" s="294"/>
    </row>
    <row r="1968" spans="1:16" s="175" customFormat="1" ht="14" outlineLevel="2">
      <c r="A1968" s="208" t="s">
        <v>8</v>
      </c>
      <c r="B1968" s="218" t="s">
        <v>1216</v>
      </c>
      <c r="C1968" s="200" t="s">
        <v>1218</v>
      </c>
      <c r="D1968" s="201">
        <v>51</v>
      </c>
      <c r="E1968" s="201">
        <v>33</v>
      </c>
      <c r="F1968" s="201">
        <v>1110</v>
      </c>
      <c r="G1968" s="201">
        <f t="shared" si="434"/>
        <v>56610</v>
      </c>
      <c r="H1968" s="201">
        <f t="shared" si="435"/>
        <v>36630</v>
      </c>
      <c r="I1968" s="202"/>
      <c r="J1968" s="165" t="s">
        <v>10</v>
      </c>
      <c r="K1968" s="165" t="s">
        <v>107</v>
      </c>
      <c r="L1968" s="165" t="s">
        <v>58</v>
      </c>
      <c r="M1968" s="165"/>
      <c r="N1968" s="279"/>
      <c r="O1968" s="293"/>
      <c r="P1968" s="294"/>
    </row>
    <row r="1969" spans="1:16" s="175" customFormat="1" ht="14" outlineLevel="2">
      <c r="A1969" s="208"/>
      <c r="B1969" s="218" t="s">
        <v>1217</v>
      </c>
      <c r="C1969" s="200" t="s">
        <v>1117</v>
      </c>
      <c r="D1969" s="201">
        <v>51</v>
      </c>
      <c r="E1969" s="201">
        <v>33</v>
      </c>
      <c r="F1969" s="201">
        <v>15155</v>
      </c>
      <c r="G1969" s="201">
        <f t="shared" ref="G1969:G1970" si="436">F1969*D1969</f>
        <v>772905</v>
      </c>
      <c r="H1969" s="201">
        <f t="shared" ref="H1969:H1970" si="437">F1969*E1969</f>
        <v>500115</v>
      </c>
      <c r="I1969" s="202"/>
      <c r="J1969" s="165" t="s">
        <v>10</v>
      </c>
      <c r="K1969" s="165" t="s">
        <v>107</v>
      </c>
      <c r="L1969" s="165" t="s">
        <v>58</v>
      </c>
      <c r="M1969" s="165"/>
      <c r="N1969" s="279"/>
      <c r="O1969" s="293"/>
      <c r="P1969" s="294"/>
    </row>
    <row r="1970" spans="1:16" s="175" customFormat="1" ht="14" outlineLevel="2">
      <c r="A1970" s="208" t="s">
        <v>8</v>
      </c>
      <c r="B1970" s="218" t="s">
        <v>515</v>
      </c>
      <c r="C1970" s="200" t="s">
        <v>1117</v>
      </c>
      <c r="D1970" s="201"/>
      <c r="E1970" s="201"/>
      <c r="F1970" s="201">
        <v>8362.7999999999993</v>
      </c>
      <c r="G1970" s="201">
        <f t="shared" si="436"/>
        <v>0</v>
      </c>
      <c r="H1970" s="201">
        <f t="shared" si="437"/>
        <v>0</v>
      </c>
      <c r="I1970" s="202"/>
      <c r="J1970" s="165" t="s">
        <v>10</v>
      </c>
      <c r="K1970" s="165" t="s">
        <v>107</v>
      </c>
      <c r="L1970" s="165" t="s">
        <v>58</v>
      </c>
      <c r="M1970" s="165"/>
      <c r="N1970" s="279"/>
      <c r="O1970" s="293"/>
      <c r="P1970" s="294"/>
    </row>
    <row r="1971" spans="1:16" s="188" customFormat="1" ht="14" outlineLevel="1">
      <c r="A1971" s="191">
        <v>5</v>
      </c>
      <c r="B1971" s="319" t="s">
        <v>867</v>
      </c>
      <c r="C1971" s="206"/>
      <c r="D1971" s="194"/>
      <c r="E1971" s="194"/>
      <c r="F1971" s="212"/>
      <c r="G1971" s="194">
        <f>SUBTOTAL(9,G1972:G1992)</f>
        <v>224496</v>
      </c>
      <c r="H1971" s="194">
        <f>SUBTOTAL(9,H1972:H1992)</f>
        <v>1599534</v>
      </c>
      <c r="I1971" s="195"/>
      <c r="J1971" s="165"/>
      <c r="K1971" s="165"/>
      <c r="L1971" s="165"/>
      <c r="M1971" s="186"/>
      <c r="N1971" s="279"/>
      <c r="O1971" s="293"/>
      <c r="P1971" s="294"/>
    </row>
    <row r="1972" spans="1:16" s="175" customFormat="1" ht="14" outlineLevel="2">
      <c r="A1972" s="208" t="s">
        <v>8</v>
      </c>
      <c r="B1972" s="218" t="s">
        <v>1198</v>
      </c>
      <c r="C1972" s="200" t="s">
        <v>866</v>
      </c>
      <c r="D1972" s="201">
        <v>0</v>
      </c>
      <c r="E1972" s="201">
        <v>0</v>
      </c>
      <c r="F1972" s="201">
        <v>666.12857142857138</v>
      </c>
      <c r="G1972" s="201">
        <f t="shared" ref="G1972:G1992" si="438">F1972*D1972</f>
        <v>0</v>
      </c>
      <c r="H1972" s="201">
        <f t="shared" ref="H1972:H1992" si="439">F1972*E1972</f>
        <v>0</v>
      </c>
      <c r="I1972" s="202"/>
      <c r="J1972" s="165" t="s">
        <v>10</v>
      </c>
      <c r="K1972" s="165" t="s">
        <v>108</v>
      </c>
      <c r="L1972" s="165" t="s">
        <v>58</v>
      </c>
      <c r="M1972" s="165"/>
      <c r="N1972" s="279"/>
      <c r="O1972" s="293"/>
      <c r="P1972" s="294"/>
    </row>
    <row r="1973" spans="1:16" s="175" customFormat="1" ht="14" outlineLevel="2">
      <c r="A1973" s="208" t="s">
        <v>8</v>
      </c>
      <c r="B1973" s="218" t="s">
        <v>1199</v>
      </c>
      <c r="C1973" s="200" t="s">
        <v>866</v>
      </c>
      <c r="D1973" s="201">
        <v>0</v>
      </c>
      <c r="E1973" s="201">
        <v>0</v>
      </c>
      <c r="F1973" s="201">
        <v>1332.2571428571428</v>
      </c>
      <c r="G1973" s="201">
        <f t="shared" si="438"/>
        <v>0</v>
      </c>
      <c r="H1973" s="201">
        <f t="shared" si="439"/>
        <v>0</v>
      </c>
      <c r="I1973" s="202"/>
      <c r="J1973" s="165" t="s">
        <v>10</v>
      </c>
      <c r="K1973" s="165" t="s">
        <v>108</v>
      </c>
      <c r="L1973" s="165" t="s">
        <v>58</v>
      </c>
      <c r="M1973" s="165"/>
      <c r="N1973" s="279"/>
      <c r="O1973" s="293"/>
      <c r="P1973" s="294"/>
    </row>
    <row r="1974" spans="1:16" s="175" customFormat="1" ht="14" outlineLevel="2">
      <c r="A1974" s="208" t="s">
        <v>8</v>
      </c>
      <c r="B1974" s="218" t="s">
        <v>1200</v>
      </c>
      <c r="C1974" s="200" t="s">
        <v>866</v>
      </c>
      <c r="D1974" s="201">
        <v>0</v>
      </c>
      <c r="E1974" s="201">
        <v>0</v>
      </c>
      <c r="F1974" s="201">
        <v>1998.9160714285713</v>
      </c>
      <c r="G1974" s="201">
        <f t="shared" si="438"/>
        <v>0</v>
      </c>
      <c r="H1974" s="201">
        <f t="shared" si="439"/>
        <v>0</v>
      </c>
      <c r="I1974" s="202"/>
      <c r="J1974" s="165" t="s">
        <v>10</v>
      </c>
      <c r="K1974" s="165" t="s">
        <v>108</v>
      </c>
      <c r="L1974" s="165" t="s">
        <v>58</v>
      </c>
      <c r="M1974" s="165"/>
      <c r="N1974" s="279"/>
      <c r="O1974" s="293"/>
      <c r="P1974" s="294"/>
    </row>
    <row r="1975" spans="1:16" s="175" customFormat="1" ht="14" outlineLevel="2">
      <c r="A1975" s="208" t="s">
        <v>8</v>
      </c>
      <c r="B1975" s="218" t="s">
        <v>1201</v>
      </c>
      <c r="C1975" s="200" t="s">
        <v>866</v>
      </c>
      <c r="D1975" s="201">
        <v>0</v>
      </c>
      <c r="E1975" s="201">
        <v>0</v>
      </c>
      <c r="F1975" s="201">
        <v>2665.221428571429</v>
      </c>
      <c r="G1975" s="201">
        <f t="shared" si="438"/>
        <v>0</v>
      </c>
      <c r="H1975" s="201">
        <f t="shared" si="439"/>
        <v>0</v>
      </c>
      <c r="I1975" s="202"/>
      <c r="J1975" s="165" t="s">
        <v>10</v>
      </c>
      <c r="K1975" s="165" t="s">
        <v>108</v>
      </c>
      <c r="L1975" s="165" t="s">
        <v>58</v>
      </c>
      <c r="M1975" s="165"/>
      <c r="N1975" s="279"/>
      <c r="O1975" s="293"/>
      <c r="P1975" s="294"/>
    </row>
    <row r="1976" spans="1:16" s="175" customFormat="1" ht="14" outlineLevel="2">
      <c r="A1976" s="208" t="s">
        <v>8</v>
      </c>
      <c r="B1976" s="218" t="s">
        <v>1202</v>
      </c>
      <c r="C1976" s="200" t="s">
        <v>866</v>
      </c>
      <c r="D1976" s="201">
        <v>0</v>
      </c>
      <c r="E1976" s="201">
        <v>0</v>
      </c>
      <c r="F1976" s="201">
        <v>3997.8321428571426</v>
      </c>
      <c r="G1976" s="201">
        <f t="shared" si="438"/>
        <v>0</v>
      </c>
      <c r="H1976" s="201">
        <f t="shared" si="439"/>
        <v>0</v>
      </c>
      <c r="I1976" s="202"/>
      <c r="J1976" s="165" t="s">
        <v>10</v>
      </c>
      <c r="K1976" s="165" t="s">
        <v>108</v>
      </c>
      <c r="L1976" s="165" t="s">
        <v>58</v>
      </c>
      <c r="M1976" s="165"/>
      <c r="N1976" s="279"/>
      <c r="O1976" s="293"/>
      <c r="P1976" s="294"/>
    </row>
    <row r="1977" spans="1:16" s="175" customFormat="1" ht="14" outlineLevel="2">
      <c r="A1977" s="208" t="s">
        <v>8</v>
      </c>
      <c r="B1977" s="218" t="s">
        <v>1203</v>
      </c>
      <c r="C1977" s="200" t="s">
        <v>866</v>
      </c>
      <c r="D1977" s="201">
        <v>0</v>
      </c>
      <c r="E1977" s="201">
        <v>0</v>
      </c>
      <c r="F1977" s="201">
        <v>4663.8428571428567</v>
      </c>
      <c r="G1977" s="201">
        <f t="shared" si="438"/>
        <v>0</v>
      </c>
      <c r="H1977" s="201">
        <f t="shared" si="439"/>
        <v>0</v>
      </c>
      <c r="I1977" s="202"/>
      <c r="J1977" s="165" t="s">
        <v>10</v>
      </c>
      <c r="K1977" s="165" t="s">
        <v>108</v>
      </c>
      <c r="L1977" s="165" t="s">
        <v>58</v>
      </c>
      <c r="M1977" s="165"/>
      <c r="N1977" s="279"/>
      <c r="O1977" s="293"/>
      <c r="P1977" s="294"/>
    </row>
    <row r="1978" spans="1:16" s="175" customFormat="1" ht="14" outlineLevel="2">
      <c r="A1978" s="208" t="s">
        <v>8</v>
      </c>
      <c r="B1978" s="218" t="s">
        <v>1204</v>
      </c>
      <c r="C1978" s="200" t="s">
        <v>866</v>
      </c>
      <c r="D1978" s="201">
        <v>8</v>
      </c>
      <c r="E1978" s="201">
        <v>57</v>
      </c>
      <c r="F1978" s="201">
        <v>9577</v>
      </c>
      <c r="G1978" s="201">
        <f t="shared" si="438"/>
        <v>76616</v>
      </c>
      <c r="H1978" s="201">
        <f t="shared" si="439"/>
        <v>545889</v>
      </c>
      <c r="I1978" s="202"/>
      <c r="J1978" s="165" t="s">
        <v>10</v>
      </c>
      <c r="K1978" s="165" t="s">
        <v>108</v>
      </c>
      <c r="L1978" s="165" t="s">
        <v>58</v>
      </c>
      <c r="M1978" s="165"/>
      <c r="N1978" s="279"/>
      <c r="O1978" s="293"/>
      <c r="P1978" s="294"/>
    </row>
    <row r="1979" spans="1:16" s="175" customFormat="1" ht="14" outlineLevel="2">
      <c r="A1979" s="208" t="s">
        <v>8</v>
      </c>
      <c r="B1979" s="218" t="s">
        <v>1205</v>
      </c>
      <c r="C1979" s="200" t="s">
        <v>866</v>
      </c>
      <c r="D1979" s="201">
        <v>0</v>
      </c>
      <c r="E1979" s="201">
        <v>0</v>
      </c>
      <c r="F1979" s="201">
        <v>9577</v>
      </c>
      <c r="G1979" s="201">
        <f t="shared" si="438"/>
        <v>0</v>
      </c>
      <c r="H1979" s="201">
        <f t="shared" si="439"/>
        <v>0</v>
      </c>
      <c r="I1979" s="202"/>
      <c r="J1979" s="165" t="s">
        <v>10</v>
      </c>
      <c r="K1979" s="165" t="s">
        <v>108</v>
      </c>
      <c r="L1979" s="165" t="s">
        <v>58</v>
      </c>
      <c r="M1979" s="165"/>
      <c r="N1979" s="279"/>
      <c r="O1979" s="293"/>
      <c r="P1979" s="294"/>
    </row>
    <row r="1980" spans="1:16" s="175" customFormat="1" ht="14" outlineLevel="2">
      <c r="A1980" s="208"/>
      <c r="B1980" s="218" t="s">
        <v>1206</v>
      </c>
      <c r="C1980" s="200" t="s">
        <v>866</v>
      </c>
      <c r="D1980" s="201">
        <v>0</v>
      </c>
      <c r="E1980" s="201">
        <v>0</v>
      </c>
      <c r="F1980" s="201">
        <v>11260</v>
      </c>
      <c r="G1980" s="201">
        <f t="shared" si="438"/>
        <v>0</v>
      </c>
      <c r="H1980" s="201">
        <f t="shared" si="439"/>
        <v>0</v>
      </c>
      <c r="I1980" s="202"/>
      <c r="J1980" s="165" t="s">
        <v>10</v>
      </c>
      <c r="K1980" s="165" t="s">
        <v>108</v>
      </c>
      <c r="L1980" s="165" t="s">
        <v>58</v>
      </c>
      <c r="M1980" s="165"/>
      <c r="N1980" s="279"/>
      <c r="O1980" s="293"/>
      <c r="P1980" s="294"/>
    </row>
    <row r="1981" spans="1:16" s="175" customFormat="1" ht="14" outlineLevel="2">
      <c r="A1981" s="208" t="s">
        <v>8</v>
      </c>
      <c r="B1981" s="218" t="s">
        <v>1207</v>
      </c>
      <c r="C1981" s="200" t="s">
        <v>866</v>
      </c>
      <c r="D1981" s="201">
        <v>0</v>
      </c>
      <c r="E1981" s="201">
        <v>0</v>
      </c>
      <c r="F1981" s="201">
        <v>11935</v>
      </c>
      <c r="G1981" s="201">
        <f t="shared" si="438"/>
        <v>0</v>
      </c>
      <c r="H1981" s="201">
        <f t="shared" si="439"/>
        <v>0</v>
      </c>
      <c r="I1981" s="202"/>
      <c r="J1981" s="165" t="s">
        <v>10</v>
      </c>
      <c r="K1981" s="165" t="s">
        <v>108</v>
      </c>
      <c r="L1981" s="165" t="s">
        <v>58</v>
      </c>
      <c r="M1981" s="165"/>
      <c r="N1981" s="279"/>
      <c r="O1981" s="293"/>
      <c r="P1981" s="294"/>
    </row>
    <row r="1982" spans="1:16" s="175" customFormat="1" ht="14" outlineLevel="2">
      <c r="A1982" s="208" t="s">
        <v>8</v>
      </c>
      <c r="B1982" s="218" t="s">
        <v>1208</v>
      </c>
      <c r="C1982" s="200" t="s">
        <v>866</v>
      </c>
      <c r="D1982" s="201">
        <v>0</v>
      </c>
      <c r="E1982" s="201">
        <v>0</v>
      </c>
      <c r="F1982" s="201">
        <v>11935</v>
      </c>
      <c r="G1982" s="201">
        <f t="shared" si="438"/>
        <v>0</v>
      </c>
      <c r="H1982" s="201">
        <f t="shared" si="439"/>
        <v>0</v>
      </c>
      <c r="I1982" s="202"/>
      <c r="J1982" s="165" t="s">
        <v>10</v>
      </c>
      <c r="K1982" s="165" t="s">
        <v>108</v>
      </c>
      <c r="L1982" s="165" t="s">
        <v>58</v>
      </c>
      <c r="M1982" s="165"/>
      <c r="N1982" s="279"/>
      <c r="O1982" s="293"/>
      <c r="P1982" s="294"/>
    </row>
    <row r="1983" spans="1:16" s="175" customFormat="1" ht="14" outlineLevel="2">
      <c r="A1983" s="208" t="s">
        <v>8</v>
      </c>
      <c r="B1983" s="218" t="s">
        <v>1209</v>
      </c>
      <c r="C1983" s="200" t="s">
        <v>866</v>
      </c>
      <c r="D1983" s="201">
        <v>0</v>
      </c>
      <c r="E1983" s="201">
        <v>0</v>
      </c>
      <c r="F1983" s="201">
        <v>11935</v>
      </c>
      <c r="G1983" s="201">
        <f t="shared" si="438"/>
        <v>0</v>
      </c>
      <c r="H1983" s="201">
        <f t="shared" si="439"/>
        <v>0</v>
      </c>
      <c r="I1983" s="202"/>
      <c r="J1983" s="165" t="s">
        <v>10</v>
      </c>
      <c r="K1983" s="165" t="s">
        <v>108</v>
      </c>
      <c r="L1983" s="165" t="s">
        <v>58</v>
      </c>
      <c r="M1983" s="165"/>
      <c r="N1983" s="279"/>
      <c r="O1983" s="293"/>
      <c r="P1983" s="294"/>
    </row>
    <row r="1984" spans="1:16" s="175" customFormat="1" ht="14" outlineLevel="2">
      <c r="A1984" s="208" t="s">
        <v>8</v>
      </c>
      <c r="B1984" s="218" t="s">
        <v>1210</v>
      </c>
      <c r="C1984" s="200" t="s">
        <v>48</v>
      </c>
      <c r="D1984" s="201">
        <v>0</v>
      </c>
      <c r="E1984" s="201">
        <v>0</v>
      </c>
      <c r="F1984" s="201">
        <v>4966</v>
      </c>
      <c r="G1984" s="201">
        <f t="shared" si="438"/>
        <v>0</v>
      </c>
      <c r="H1984" s="201">
        <f t="shared" si="439"/>
        <v>0</v>
      </c>
      <c r="I1984" s="202"/>
      <c r="J1984" s="165" t="s">
        <v>10</v>
      </c>
      <c r="K1984" s="165" t="s">
        <v>108</v>
      </c>
      <c r="L1984" s="165" t="s">
        <v>58</v>
      </c>
      <c r="M1984" s="165"/>
      <c r="N1984" s="279"/>
      <c r="O1984" s="293"/>
      <c r="P1984" s="294"/>
    </row>
    <row r="1985" spans="1:16" s="175" customFormat="1" ht="14" outlineLevel="2">
      <c r="A1985" s="208" t="s">
        <v>8</v>
      </c>
      <c r="B1985" s="218" t="s">
        <v>1211</v>
      </c>
      <c r="C1985" s="200" t="s">
        <v>48</v>
      </c>
      <c r="D1985" s="201">
        <v>0</v>
      </c>
      <c r="E1985" s="201">
        <v>0</v>
      </c>
      <c r="F1985" s="201">
        <v>8277</v>
      </c>
      <c r="G1985" s="201">
        <f t="shared" si="438"/>
        <v>0</v>
      </c>
      <c r="H1985" s="201">
        <f t="shared" si="439"/>
        <v>0</v>
      </c>
      <c r="I1985" s="202"/>
      <c r="J1985" s="165" t="s">
        <v>10</v>
      </c>
      <c r="K1985" s="165" t="s">
        <v>108</v>
      </c>
      <c r="L1985" s="165" t="s">
        <v>58</v>
      </c>
      <c r="M1985" s="165"/>
      <c r="N1985" s="279"/>
      <c r="O1985" s="293"/>
      <c r="P1985" s="294"/>
    </row>
    <row r="1986" spans="1:16" s="175" customFormat="1" ht="14" outlineLevel="2">
      <c r="A1986" s="208" t="s">
        <v>8</v>
      </c>
      <c r="B1986" s="218" t="s">
        <v>1212</v>
      </c>
      <c r="C1986" s="200" t="s">
        <v>48</v>
      </c>
      <c r="D1986" s="201">
        <v>0</v>
      </c>
      <c r="E1986" s="201">
        <v>0</v>
      </c>
      <c r="F1986" s="201">
        <v>9657.1907142857126</v>
      </c>
      <c r="G1986" s="201">
        <f t="shared" si="438"/>
        <v>0</v>
      </c>
      <c r="H1986" s="201">
        <f t="shared" si="439"/>
        <v>0</v>
      </c>
      <c r="I1986" s="202"/>
      <c r="J1986" s="165" t="s">
        <v>10</v>
      </c>
      <c r="K1986" s="165" t="s">
        <v>108</v>
      </c>
      <c r="L1986" s="165" t="s">
        <v>58</v>
      </c>
      <c r="M1986" s="165"/>
      <c r="N1986" s="279"/>
      <c r="O1986" s="293"/>
      <c r="P1986" s="294"/>
    </row>
    <row r="1987" spans="1:16" s="175" customFormat="1" ht="14" outlineLevel="2">
      <c r="A1987" s="208" t="s">
        <v>8</v>
      </c>
      <c r="B1987" s="218" t="s">
        <v>1213</v>
      </c>
      <c r="C1987" s="200" t="s">
        <v>866</v>
      </c>
      <c r="D1987" s="201">
        <v>0</v>
      </c>
      <c r="E1987" s="201">
        <v>0</v>
      </c>
      <c r="F1987" s="201">
        <v>10655.817857142858</v>
      </c>
      <c r="G1987" s="201">
        <f t="shared" si="438"/>
        <v>0</v>
      </c>
      <c r="H1987" s="201">
        <f t="shared" si="439"/>
        <v>0</v>
      </c>
      <c r="I1987" s="202"/>
      <c r="J1987" s="165" t="s">
        <v>10</v>
      </c>
      <c r="K1987" s="165" t="s">
        <v>108</v>
      </c>
      <c r="L1987" s="165" t="s">
        <v>58</v>
      </c>
      <c r="M1987" s="165"/>
      <c r="N1987" s="279"/>
      <c r="O1987" s="293"/>
      <c r="P1987" s="294"/>
    </row>
    <row r="1988" spans="1:16" s="175" customFormat="1" ht="14" outlineLevel="2">
      <c r="A1988" s="208" t="s">
        <v>8</v>
      </c>
      <c r="B1988" s="218" t="s">
        <v>1214</v>
      </c>
      <c r="C1988" s="200" t="s">
        <v>866</v>
      </c>
      <c r="D1988" s="201">
        <v>8</v>
      </c>
      <c r="E1988" s="201">
        <v>57</v>
      </c>
      <c r="F1988" s="201">
        <v>1110</v>
      </c>
      <c r="G1988" s="201">
        <f t="shared" si="438"/>
        <v>8880</v>
      </c>
      <c r="H1988" s="201">
        <f t="shared" si="439"/>
        <v>63270</v>
      </c>
      <c r="I1988" s="202"/>
      <c r="J1988" s="165" t="s">
        <v>10</v>
      </c>
      <c r="K1988" s="165" t="s">
        <v>108</v>
      </c>
      <c r="L1988" s="165" t="s">
        <v>58</v>
      </c>
      <c r="M1988" s="165"/>
      <c r="N1988" s="279"/>
      <c r="O1988" s="293"/>
      <c r="P1988" s="294"/>
    </row>
    <row r="1989" spans="1:16" s="175" customFormat="1" ht="14" outlineLevel="2">
      <c r="A1989" s="208"/>
      <c r="B1989" s="218" t="s">
        <v>1215</v>
      </c>
      <c r="C1989" s="200" t="s">
        <v>857</v>
      </c>
      <c r="D1989" s="201">
        <v>8</v>
      </c>
      <c r="E1989" s="201">
        <v>57</v>
      </c>
      <c r="F1989" s="201">
        <v>1110</v>
      </c>
      <c r="G1989" s="201">
        <f t="shared" si="438"/>
        <v>8880</v>
      </c>
      <c r="H1989" s="201">
        <f t="shared" si="439"/>
        <v>63270</v>
      </c>
      <c r="I1989" s="202"/>
      <c r="J1989" s="165" t="s">
        <v>10</v>
      </c>
      <c r="K1989" s="165" t="s">
        <v>108</v>
      </c>
      <c r="L1989" s="165" t="s">
        <v>58</v>
      </c>
      <c r="M1989" s="165"/>
      <c r="N1989" s="279"/>
      <c r="O1989" s="293"/>
      <c r="P1989" s="294"/>
    </row>
    <row r="1990" spans="1:16" s="175" customFormat="1" ht="14" outlineLevel="2">
      <c r="A1990" s="208" t="s">
        <v>8</v>
      </c>
      <c r="B1990" s="218" t="s">
        <v>1216</v>
      </c>
      <c r="C1990" s="200" t="s">
        <v>866</v>
      </c>
      <c r="D1990" s="201">
        <v>8</v>
      </c>
      <c r="E1990" s="201">
        <v>57</v>
      </c>
      <c r="F1990" s="201">
        <v>1110</v>
      </c>
      <c r="G1990" s="201">
        <f t="shared" si="438"/>
        <v>8880</v>
      </c>
      <c r="H1990" s="201">
        <f t="shared" si="439"/>
        <v>63270</v>
      </c>
      <c r="I1990" s="202"/>
      <c r="J1990" s="165" t="s">
        <v>10</v>
      </c>
      <c r="K1990" s="165" t="s">
        <v>108</v>
      </c>
      <c r="L1990" s="165" t="s">
        <v>58</v>
      </c>
      <c r="M1990" s="165"/>
      <c r="N1990" s="279"/>
      <c r="O1990" s="293"/>
      <c r="P1990" s="294"/>
    </row>
    <row r="1991" spans="1:16" s="175" customFormat="1" ht="14" outlineLevel="2">
      <c r="A1991" s="208"/>
      <c r="B1991" s="218" t="s">
        <v>1217</v>
      </c>
      <c r="C1991" s="200" t="s">
        <v>858</v>
      </c>
      <c r="D1991" s="201">
        <v>8</v>
      </c>
      <c r="E1991" s="201">
        <v>57</v>
      </c>
      <c r="F1991" s="201">
        <v>15155</v>
      </c>
      <c r="G1991" s="201">
        <f t="shared" si="438"/>
        <v>121240</v>
      </c>
      <c r="H1991" s="201">
        <f t="shared" si="439"/>
        <v>863835</v>
      </c>
      <c r="I1991" s="202"/>
      <c r="J1991" s="165" t="s">
        <v>10</v>
      </c>
      <c r="K1991" s="165" t="s">
        <v>108</v>
      </c>
      <c r="L1991" s="165" t="s">
        <v>58</v>
      </c>
      <c r="M1991" s="165"/>
      <c r="N1991" s="279"/>
      <c r="O1991" s="293"/>
      <c r="P1991" s="294"/>
    </row>
    <row r="1992" spans="1:16" s="175" customFormat="1" ht="14" outlineLevel="2">
      <c r="A1992" s="208" t="s">
        <v>8</v>
      </c>
      <c r="B1992" s="218" t="s">
        <v>515</v>
      </c>
      <c r="C1992" s="200" t="s">
        <v>858</v>
      </c>
      <c r="D1992" s="201"/>
      <c r="E1992" s="201"/>
      <c r="F1992" s="201">
        <v>8362.7999999999993</v>
      </c>
      <c r="G1992" s="201">
        <f t="shared" si="438"/>
        <v>0</v>
      </c>
      <c r="H1992" s="201">
        <f t="shared" si="439"/>
        <v>0</v>
      </c>
      <c r="I1992" s="202"/>
      <c r="J1992" s="165" t="s">
        <v>10</v>
      </c>
      <c r="K1992" s="165" t="s">
        <v>108</v>
      </c>
      <c r="L1992" s="165" t="s">
        <v>58</v>
      </c>
      <c r="M1992" s="165"/>
      <c r="N1992" s="279"/>
      <c r="O1992" s="293"/>
      <c r="P1992" s="294"/>
    </row>
    <row r="1993" spans="1:16" s="188" customFormat="1" ht="14" outlineLevel="1">
      <c r="A1993" s="191">
        <v>6</v>
      </c>
      <c r="B1993" s="319" t="s">
        <v>868</v>
      </c>
      <c r="C1993" s="206"/>
      <c r="D1993" s="194"/>
      <c r="E1993" s="194"/>
      <c r="F1993" s="212"/>
      <c r="G1993" s="194">
        <f>SUBTOTAL(9,G1994:G2012)</f>
        <v>136680</v>
      </c>
      <c r="H1993" s="194">
        <f>SUBTOTAL(9,H1994:H2012)</f>
        <v>88440</v>
      </c>
      <c r="I1993" s="195"/>
      <c r="J1993" s="165"/>
      <c r="K1993" s="165"/>
      <c r="L1993" s="165"/>
      <c r="M1993" s="186"/>
      <c r="N1993" s="279"/>
      <c r="O1993" s="293"/>
      <c r="P1993" s="294"/>
    </row>
    <row r="1994" spans="1:16" s="175" customFormat="1" ht="14" outlineLevel="2">
      <c r="A1994" s="208" t="s">
        <v>8</v>
      </c>
      <c r="B1994" s="218" t="s">
        <v>1198</v>
      </c>
      <c r="C1994" s="200" t="s">
        <v>866</v>
      </c>
      <c r="D1994" s="201">
        <v>0</v>
      </c>
      <c r="E1994" s="201">
        <v>0</v>
      </c>
      <c r="F1994" s="201">
        <v>300</v>
      </c>
      <c r="G1994" s="201">
        <f t="shared" ref="G1994:G2012" si="440">F1994*D1994</f>
        <v>0</v>
      </c>
      <c r="H1994" s="201">
        <f t="shared" ref="H1994:H2012" si="441">F1994*E1994</f>
        <v>0</v>
      </c>
      <c r="I1994" s="202"/>
      <c r="J1994" s="165" t="s">
        <v>10</v>
      </c>
      <c r="K1994" s="165" t="s">
        <v>107</v>
      </c>
      <c r="L1994" s="165" t="s">
        <v>58</v>
      </c>
      <c r="M1994" s="165"/>
      <c r="N1994" s="279"/>
      <c r="O1994" s="293"/>
      <c r="P1994" s="294"/>
    </row>
    <row r="1995" spans="1:16" s="175" customFormat="1" ht="14" outlineLevel="2">
      <c r="A1995" s="208" t="s">
        <v>8</v>
      </c>
      <c r="B1995" s="218" t="s">
        <v>1199</v>
      </c>
      <c r="C1995" s="200" t="s">
        <v>866</v>
      </c>
      <c r="D1995" s="201">
        <v>0</v>
      </c>
      <c r="E1995" s="201">
        <v>0</v>
      </c>
      <c r="F1995" s="201">
        <v>300</v>
      </c>
      <c r="G1995" s="201">
        <f t="shared" si="440"/>
        <v>0</v>
      </c>
      <c r="H1995" s="201">
        <f t="shared" si="441"/>
        <v>0</v>
      </c>
      <c r="I1995" s="202"/>
      <c r="J1995" s="165" t="s">
        <v>10</v>
      </c>
      <c r="K1995" s="165" t="s">
        <v>107</v>
      </c>
      <c r="L1995" s="165" t="s">
        <v>58</v>
      </c>
      <c r="M1995" s="165"/>
      <c r="N1995" s="279"/>
      <c r="O1995" s="293"/>
      <c r="P1995" s="294"/>
    </row>
    <row r="1996" spans="1:16" s="175" customFormat="1" ht="14" outlineLevel="2">
      <c r="A1996" s="208" t="s">
        <v>8</v>
      </c>
      <c r="B1996" s="218" t="s">
        <v>1200</v>
      </c>
      <c r="C1996" s="200" t="s">
        <v>866</v>
      </c>
      <c r="D1996" s="201">
        <v>0</v>
      </c>
      <c r="E1996" s="201">
        <v>0</v>
      </c>
      <c r="F1996" s="201">
        <v>600</v>
      </c>
      <c r="G1996" s="201">
        <f t="shared" si="440"/>
        <v>0</v>
      </c>
      <c r="H1996" s="201">
        <f t="shared" si="441"/>
        <v>0</v>
      </c>
      <c r="I1996" s="202"/>
      <c r="J1996" s="165" t="s">
        <v>10</v>
      </c>
      <c r="K1996" s="165" t="s">
        <v>107</v>
      </c>
      <c r="L1996" s="165" t="s">
        <v>58</v>
      </c>
      <c r="M1996" s="165"/>
      <c r="N1996" s="279"/>
      <c r="O1996" s="293"/>
      <c r="P1996" s="294"/>
    </row>
    <row r="1997" spans="1:16" s="175" customFormat="1" ht="14" outlineLevel="2">
      <c r="A1997" s="208" t="s">
        <v>8</v>
      </c>
      <c r="B1997" s="218" t="s">
        <v>1201</v>
      </c>
      <c r="C1997" s="200" t="s">
        <v>866</v>
      </c>
      <c r="D1997" s="201">
        <v>0</v>
      </c>
      <c r="E1997" s="201">
        <v>0</v>
      </c>
      <c r="F1997" s="201">
        <v>600</v>
      </c>
      <c r="G1997" s="201">
        <f t="shared" si="440"/>
        <v>0</v>
      </c>
      <c r="H1997" s="201">
        <f t="shared" si="441"/>
        <v>0</v>
      </c>
      <c r="I1997" s="202"/>
      <c r="J1997" s="165" t="s">
        <v>10</v>
      </c>
      <c r="K1997" s="165" t="s">
        <v>107</v>
      </c>
      <c r="L1997" s="165" t="s">
        <v>58</v>
      </c>
      <c r="M1997" s="165"/>
      <c r="N1997" s="279"/>
      <c r="O1997" s="293"/>
      <c r="P1997" s="294"/>
    </row>
    <row r="1998" spans="1:16" s="175" customFormat="1" ht="14" outlineLevel="2">
      <c r="A1998" s="208" t="s">
        <v>8</v>
      </c>
      <c r="B1998" s="218" t="s">
        <v>1202</v>
      </c>
      <c r="C1998" s="200" t="s">
        <v>866</v>
      </c>
      <c r="D1998" s="201">
        <v>0</v>
      </c>
      <c r="E1998" s="201">
        <v>0</v>
      </c>
      <c r="F1998" s="201">
        <v>1100</v>
      </c>
      <c r="G1998" s="201">
        <f t="shared" si="440"/>
        <v>0</v>
      </c>
      <c r="H1998" s="201">
        <f t="shared" si="441"/>
        <v>0</v>
      </c>
      <c r="I1998" s="202"/>
      <c r="J1998" s="165" t="s">
        <v>10</v>
      </c>
      <c r="K1998" s="165" t="s">
        <v>107</v>
      </c>
      <c r="L1998" s="165" t="s">
        <v>58</v>
      </c>
      <c r="M1998" s="165"/>
      <c r="N1998" s="279"/>
      <c r="O1998" s="293"/>
      <c r="P1998" s="294"/>
    </row>
    <row r="1999" spans="1:16" s="175" customFormat="1" ht="14" outlineLevel="2">
      <c r="A1999" s="208" t="s">
        <v>8</v>
      </c>
      <c r="B1999" s="218" t="s">
        <v>1203</v>
      </c>
      <c r="C1999" s="200" t="s">
        <v>866</v>
      </c>
      <c r="D1999" s="201">
        <v>0</v>
      </c>
      <c r="E1999" s="201">
        <v>0</v>
      </c>
      <c r="F1999" s="201">
        <v>1702</v>
      </c>
      <c r="G1999" s="201">
        <f t="shared" si="440"/>
        <v>0</v>
      </c>
      <c r="H1999" s="201">
        <f t="shared" si="441"/>
        <v>0</v>
      </c>
      <c r="I1999" s="202"/>
      <c r="J1999" s="165" t="s">
        <v>10</v>
      </c>
      <c r="K1999" s="165" t="s">
        <v>107</v>
      </c>
      <c r="L1999" s="165" t="s">
        <v>58</v>
      </c>
      <c r="M1999" s="165"/>
      <c r="N1999" s="279"/>
      <c r="O1999" s="293"/>
      <c r="P1999" s="294"/>
    </row>
    <row r="2000" spans="1:16" s="175" customFormat="1" ht="14" outlineLevel="2">
      <c r="A2000" s="208" t="s">
        <v>8</v>
      </c>
      <c r="B2000" s="218" t="s">
        <v>1204</v>
      </c>
      <c r="C2000" s="200" t="s">
        <v>866</v>
      </c>
      <c r="D2000" s="201">
        <v>51</v>
      </c>
      <c r="E2000" s="201">
        <v>33</v>
      </c>
      <c r="F2000" s="201">
        <v>2400</v>
      </c>
      <c r="G2000" s="201">
        <f t="shared" si="440"/>
        <v>122400</v>
      </c>
      <c r="H2000" s="201">
        <f t="shared" si="441"/>
        <v>79200</v>
      </c>
      <c r="I2000" s="202"/>
      <c r="J2000" s="165" t="s">
        <v>10</v>
      </c>
      <c r="K2000" s="165" t="s">
        <v>107</v>
      </c>
      <c r="L2000" s="165" t="s">
        <v>58</v>
      </c>
      <c r="M2000" s="165"/>
      <c r="N2000" s="279"/>
      <c r="O2000" s="293"/>
      <c r="P2000" s="294"/>
    </row>
    <row r="2001" spans="1:16" s="175" customFormat="1" ht="14" outlineLevel="2">
      <c r="A2001" s="208" t="s">
        <v>8</v>
      </c>
      <c r="B2001" s="218" t="s">
        <v>1205</v>
      </c>
      <c r="C2001" s="200" t="s">
        <v>866</v>
      </c>
      <c r="D2001" s="201">
        <v>0</v>
      </c>
      <c r="E2001" s="201">
        <v>0</v>
      </c>
      <c r="F2001" s="201">
        <v>2400</v>
      </c>
      <c r="G2001" s="201">
        <f t="shared" si="440"/>
        <v>0</v>
      </c>
      <c r="H2001" s="201">
        <f t="shared" si="441"/>
        <v>0</v>
      </c>
      <c r="I2001" s="202"/>
      <c r="J2001" s="165" t="s">
        <v>10</v>
      </c>
      <c r="K2001" s="165" t="s">
        <v>107</v>
      </c>
      <c r="L2001" s="165" t="s">
        <v>58</v>
      </c>
      <c r="M2001" s="165"/>
      <c r="N2001" s="279"/>
      <c r="O2001" s="293"/>
      <c r="P2001" s="294"/>
    </row>
    <row r="2002" spans="1:16" s="175" customFormat="1" ht="14" outlineLevel="2">
      <c r="A2002" s="208"/>
      <c r="B2002" s="218" t="s">
        <v>1206</v>
      </c>
      <c r="C2002" s="200" t="s">
        <v>866</v>
      </c>
      <c r="D2002" s="201">
        <v>0</v>
      </c>
      <c r="E2002" s="201">
        <v>0</v>
      </c>
      <c r="F2002" s="201">
        <v>3000</v>
      </c>
      <c r="G2002" s="201">
        <f t="shared" si="440"/>
        <v>0</v>
      </c>
      <c r="H2002" s="201">
        <f t="shared" si="441"/>
        <v>0</v>
      </c>
      <c r="I2002" s="202"/>
      <c r="J2002" s="165" t="s">
        <v>10</v>
      </c>
      <c r="K2002" s="165" t="s">
        <v>107</v>
      </c>
      <c r="L2002" s="165" t="s">
        <v>58</v>
      </c>
      <c r="M2002" s="165"/>
      <c r="N2002" s="279"/>
      <c r="O2002" s="293"/>
      <c r="P2002" s="294"/>
    </row>
    <row r="2003" spans="1:16" s="175" customFormat="1" ht="14" outlineLevel="2">
      <c r="A2003" s="208" t="s">
        <v>8</v>
      </c>
      <c r="B2003" s="218" t="s">
        <v>1207</v>
      </c>
      <c r="C2003" s="200" t="s">
        <v>866</v>
      </c>
      <c r="D2003" s="201">
        <v>0</v>
      </c>
      <c r="E2003" s="201">
        <v>0</v>
      </c>
      <c r="F2003" s="201">
        <v>3267</v>
      </c>
      <c r="G2003" s="201">
        <f t="shared" si="440"/>
        <v>0</v>
      </c>
      <c r="H2003" s="201">
        <f t="shared" si="441"/>
        <v>0</v>
      </c>
      <c r="I2003" s="202"/>
      <c r="J2003" s="165" t="s">
        <v>10</v>
      </c>
      <c r="K2003" s="165" t="s">
        <v>107</v>
      </c>
      <c r="L2003" s="165" t="s">
        <v>58</v>
      </c>
      <c r="M2003" s="165"/>
      <c r="N2003" s="279"/>
      <c r="O2003" s="293"/>
      <c r="P2003" s="294"/>
    </row>
    <row r="2004" spans="1:16" s="175" customFormat="1" ht="14" outlineLevel="2">
      <c r="A2004" s="208" t="s">
        <v>8</v>
      </c>
      <c r="B2004" s="218" t="s">
        <v>1208</v>
      </c>
      <c r="C2004" s="200" t="s">
        <v>866</v>
      </c>
      <c r="D2004" s="201">
        <v>0</v>
      </c>
      <c r="E2004" s="201">
        <v>0</v>
      </c>
      <c r="F2004" s="201">
        <v>3267</v>
      </c>
      <c r="G2004" s="201">
        <f t="shared" si="440"/>
        <v>0</v>
      </c>
      <c r="H2004" s="201">
        <f t="shared" si="441"/>
        <v>0</v>
      </c>
      <c r="I2004" s="202"/>
      <c r="J2004" s="165" t="s">
        <v>10</v>
      </c>
      <c r="K2004" s="165" t="s">
        <v>107</v>
      </c>
      <c r="L2004" s="165" t="s">
        <v>58</v>
      </c>
      <c r="M2004" s="165"/>
      <c r="N2004" s="279"/>
      <c r="O2004" s="293"/>
      <c r="P2004" s="294"/>
    </row>
    <row r="2005" spans="1:16" s="175" customFormat="1" ht="14" outlineLevel="2">
      <c r="A2005" s="208" t="s">
        <v>8</v>
      </c>
      <c r="B2005" s="218" t="s">
        <v>1209</v>
      </c>
      <c r="C2005" s="200" t="s">
        <v>866</v>
      </c>
      <c r="D2005" s="201">
        <v>0</v>
      </c>
      <c r="E2005" s="201">
        <v>0</v>
      </c>
      <c r="F2005" s="201">
        <v>3267</v>
      </c>
      <c r="G2005" s="201">
        <f t="shared" si="440"/>
        <v>0</v>
      </c>
      <c r="H2005" s="201">
        <f t="shared" si="441"/>
        <v>0</v>
      </c>
      <c r="I2005" s="202"/>
      <c r="J2005" s="165" t="s">
        <v>10</v>
      </c>
      <c r="K2005" s="165" t="s">
        <v>107</v>
      </c>
      <c r="L2005" s="165" t="s">
        <v>58</v>
      </c>
      <c r="M2005" s="165"/>
      <c r="N2005" s="279"/>
      <c r="O2005" s="293"/>
      <c r="P2005" s="294"/>
    </row>
    <row r="2006" spans="1:16" s="175" customFormat="1" ht="14" outlineLevel="2">
      <c r="A2006" s="208" t="s">
        <v>8</v>
      </c>
      <c r="B2006" s="218" t="s">
        <v>1210</v>
      </c>
      <c r="C2006" s="200" t="s">
        <v>48</v>
      </c>
      <c r="D2006" s="201">
        <v>0</v>
      </c>
      <c r="E2006" s="201">
        <v>0</v>
      </c>
      <c r="F2006" s="201">
        <v>1485</v>
      </c>
      <c r="G2006" s="201">
        <f t="shared" si="440"/>
        <v>0</v>
      </c>
      <c r="H2006" s="201">
        <f t="shared" si="441"/>
        <v>0</v>
      </c>
      <c r="I2006" s="202"/>
      <c r="J2006" s="165" t="s">
        <v>10</v>
      </c>
      <c r="K2006" s="165" t="s">
        <v>107</v>
      </c>
      <c r="L2006" s="165" t="s">
        <v>58</v>
      </c>
      <c r="M2006" s="165"/>
      <c r="N2006" s="279"/>
      <c r="O2006" s="293"/>
      <c r="P2006" s="294"/>
    </row>
    <row r="2007" spans="1:16" s="175" customFormat="1" ht="14" outlineLevel="2">
      <c r="A2007" s="208" t="s">
        <v>8</v>
      </c>
      <c r="B2007" s="218" t="s">
        <v>1211</v>
      </c>
      <c r="C2007" s="200" t="s">
        <v>48</v>
      </c>
      <c r="D2007" s="201">
        <v>0</v>
      </c>
      <c r="E2007" s="201">
        <v>0</v>
      </c>
      <c r="F2007" s="201">
        <v>2617</v>
      </c>
      <c r="G2007" s="201">
        <f t="shared" si="440"/>
        <v>0</v>
      </c>
      <c r="H2007" s="201">
        <f t="shared" si="441"/>
        <v>0</v>
      </c>
      <c r="I2007" s="202"/>
      <c r="J2007" s="165" t="s">
        <v>10</v>
      </c>
      <c r="K2007" s="165" t="s">
        <v>107</v>
      </c>
      <c r="L2007" s="165" t="s">
        <v>58</v>
      </c>
      <c r="M2007" s="165"/>
      <c r="N2007" s="279"/>
      <c r="O2007" s="293"/>
      <c r="P2007" s="294"/>
    </row>
    <row r="2008" spans="1:16" s="175" customFormat="1" ht="14" outlineLevel="2">
      <c r="A2008" s="208" t="s">
        <v>8</v>
      </c>
      <c r="B2008" s="218" t="s">
        <v>1212</v>
      </c>
      <c r="C2008" s="200" t="s">
        <v>48</v>
      </c>
      <c r="D2008" s="201">
        <v>0</v>
      </c>
      <c r="E2008" s="201">
        <v>0</v>
      </c>
      <c r="F2008" s="201">
        <v>3000</v>
      </c>
      <c r="G2008" s="201">
        <f t="shared" si="440"/>
        <v>0</v>
      </c>
      <c r="H2008" s="201">
        <f t="shared" si="441"/>
        <v>0</v>
      </c>
      <c r="I2008" s="202"/>
      <c r="J2008" s="165" t="s">
        <v>10</v>
      </c>
      <c r="K2008" s="165" t="s">
        <v>107</v>
      </c>
      <c r="L2008" s="165" t="s">
        <v>58</v>
      </c>
      <c r="M2008" s="165"/>
      <c r="N2008" s="279"/>
      <c r="O2008" s="293"/>
      <c r="P2008" s="294"/>
    </row>
    <row r="2009" spans="1:16" s="175" customFormat="1" ht="14" outlineLevel="2">
      <c r="A2009" s="208" t="s">
        <v>8</v>
      </c>
      <c r="B2009" s="218" t="s">
        <v>1213</v>
      </c>
      <c r="C2009" s="200" t="s">
        <v>866</v>
      </c>
      <c r="D2009" s="201">
        <v>0</v>
      </c>
      <c r="E2009" s="201">
        <v>0</v>
      </c>
      <c r="F2009" s="201">
        <v>3433</v>
      </c>
      <c r="G2009" s="201">
        <f t="shared" si="440"/>
        <v>0</v>
      </c>
      <c r="H2009" s="201">
        <f t="shared" si="441"/>
        <v>0</v>
      </c>
      <c r="I2009" s="202"/>
      <c r="J2009" s="165" t="s">
        <v>10</v>
      </c>
      <c r="K2009" s="165" t="s">
        <v>107</v>
      </c>
      <c r="L2009" s="165" t="s">
        <v>58</v>
      </c>
      <c r="M2009" s="165"/>
      <c r="N2009" s="279"/>
      <c r="O2009" s="293"/>
      <c r="P2009" s="294"/>
    </row>
    <row r="2010" spans="1:16" s="175" customFormat="1" ht="14" outlineLevel="2">
      <c r="A2010" s="208" t="s">
        <v>8</v>
      </c>
      <c r="B2010" s="218" t="s">
        <v>1219</v>
      </c>
      <c r="C2010" s="200" t="s">
        <v>866</v>
      </c>
      <c r="D2010" s="201">
        <v>51</v>
      </c>
      <c r="E2010" s="201">
        <v>33</v>
      </c>
      <c r="F2010" s="201">
        <v>140</v>
      </c>
      <c r="G2010" s="201">
        <f t="shared" si="440"/>
        <v>7140</v>
      </c>
      <c r="H2010" s="201">
        <f t="shared" si="441"/>
        <v>4620</v>
      </c>
      <c r="I2010" s="202"/>
      <c r="J2010" s="165" t="s">
        <v>10</v>
      </c>
      <c r="K2010" s="165" t="s">
        <v>107</v>
      </c>
      <c r="L2010" s="165" t="s">
        <v>58</v>
      </c>
      <c r="M2010" s="165"/>
      <c r="N2010" s="279"/>
      <c r="O2010" s="293"/>
      <c r="P2010" s="294"/>
    </row>
    <row r="2011" spans="1:16" s="175" customFormat="1" ht="14" outlineLevel="2">
      <c r="A2011" s="208"/>
      <c r="B2011" s="218" t="s">
        <v>865</v>
      </c>
      <c r="C2011" s="200" t="s">
        <v>857</v>
      </c>
      <c r="D2011" s="201">
        <v>51</v>
      </c>
      <c r="E2011" s="201">
        <v>33</v>
      </c>
      <c r="F2011" s="201">
        <v>140</v>
      </c>
      <c r="G2011" s="201">
        <f t="shared" si="440"/>
        <v>7140</v>
      </c>
      <c r="H2011" s="201">
        <f t="shared" si="441"/>
        <v>4620</v>
      </c>
      <c r="I2011" s="202"/>
      <c r="J2011" s="165" t="s">
        <v>10</v>
      </c>
      <c r="K2011" s="165" t="s">
        <v>107</v>
      </c>
      <c r="L2011" s="165" t="s">
        <v>58</v>
      </c>
      <c r="M2011" s="165"/>
      <c r="N2011" s="279"/>
      <c r="O2011" s="293"/>
      <c r="P2011" s="294"/>
    </row>
    <row r="2012" spans="1:16" s="175" customFormat="1" ht="14" outlineLevel="2">
      <c r="A2012" s="208" t="s">
        <v>8</v>
      </c>
      <c r="B2012" s="218" t="s">
        <v>515</v>
      </c>
      <c r="C2012" s="200" t="s">
        <v>866</v>
      </c>
      <c r="D2012" s="201"/>
      <c r="E2012" s="201"/>
      <c r="F2012" s="201">
        <v>621</v>
      </c>
      <c r="G2012" s="201">
        <f t="shared" si="440"/>
        <v>0</v>
      </c>
      <c r="H2012" s="201">
        <f t="shared" si="441"/>
        <v>0</v>
      </c>
      <c r="I2012" s="202"/>
      <c r="J2012" s="165" t="s">
        <v>10</v>
      </c>
      <c r="K2012" s="165" t="s">
        <v>107</v>
      </c>
      <c r="L2012" s="165" t="s">
        <v>58</v>
      </c>
      <c r="M2012" s="165"/>
      <c r="N2012" s="279"/>
      <c r="O2012" s="293"/>
      <c r="P2012" s="294"/>
    </row>
    <row r="2013" spans="1:16" s="188" customFormat="1" ht="14" outlineLevel="1">
      <c r="A2013" s="191">
        <v>7</v>
      </c>
      <c r="B2013" s="319" t="s">
        <v>869</v>
      </c>
      <c r="C2013" s="206"/>
      <c r="D2013" s="194"/>
      <c r="E2013" s="194"/>
      <c r="F2013" s="212"/>
      <c r="G2013" s="194">
        <f>SUBTOTAL(9,G2014:G2032)</f>
        <v>21440</v>
      </c>
      <c r="H2013" s="194">
        <f>SUBTOTAL(9,H2014:H2032)</f>
        <v>152760</v>
      </c>
      <c r="I2013" s="195"/>
      <c r="J2013" s="165"/>
      <c r="K2013" s="165"/>
      <c r="L2013" s="165"/>
      <c r="M2013" s="186"/>
      <c r="N2013" s="279"/>
      <c r="O2013" s="293"/>
      <c r="P2013" s="294"/>
    </row>
    <row r="2014" spans="1:16" s="175" customFormat="1" ht="14" outlineLevel="2">
      <c r="A2014" s="208" t="s">
        <v>8</v>
      </c>
      <c r="B2014" s="218" t="s">
        <v>1198</v>
      </c>
      <c r="C2014" s="200" t="s">
        <v>866</v>
      </c>
      <c r="D2014" s="201">
        <v>0</v>
      </c>
      <c r="E2014" s="201">
        <v>0</v>
      </c>
      <c r="F2014" s="201">
        <v>300</v>
      </c>
      <c r="G2014" s="201">
        <f t="shared" ref="G2014:G2032" si="442">F2014*D2014</f>
        <v>0</v>
      </c>
      <c r="H2014" s="201">
        <f t="shared" ref="H2014:H2032" si="443">F2014*E2014</f>
        <v>0</v>
      </c>
      <c r="I2014" s="202"/>
      <c r="J2014" s="165" t="s">
        <v>10</v>
      </c>
      <c r="K2014" s="165" t="s">
        <v>108</v>
      </c>
      <c r="L2014" s="165" t="s">
        <v>58</v>
      </c>
      <c r="M2014" s="165"/>
      <c r="N2014" s="279"/>
      <c r="O2014" s="293"/>
      <c r="P2014" s="294"/>
    </row>
    <row r="2015" spans="1:16" s="175" customFormat="1" ht="14" outlineLevel="2">
      <c r="A2015" s="208" t="s">
        <v>8</v>
      </c>
      <c r="B2015" s="218" t="s">
        <v>1199</v>
      </c>
      <c r="C2015" s="200" t="s">
        <v>866</v>
      </c>
      <c r="D2015" s="201">
        <v>0</v>
      </c>
      <c r="E2015" s="201">
        <v>0</v>
      </c>
      <c r="F2015" s="201">
        <v>300</v>
      </c>
      <c r="G2015" s="201">
        <f t="shared" si="442"/>
        <v>0</v>
      </c>
      <c r="H2015" s="201">
        <f t="shared" si="443"/>
        <v>0</v>
      </c>
      <c r="I2015" s="202"/>
      <c r="J2015" s="165" t="s">
        <v>10</v>
      </c>
      <c r="K2015" s="165" t="s">
        <v>108</v>
      </c>
      <c r="L2015" s="165" t="s">
        <v>58</v>
      </c>
      <c r="M2015" s="165"/>
      <c r="N2015" s="279"/>
      <c r="O2015" s="293"/>
      <c r="P2015" s="294"/>
    </row>
    <row r="2016" spans="1:16" s="175" customFormat="1" ht="14" outlineLevel="2">
      <c r="A2016" s="208" t="s">
        <v>8</v>
      </c>
      <c r="B2016" s="218" t="s">
        <v>1200</v>
      </c>
      <c r="C2016" s="200" t="s">
        <v>866</v>
      </c>
      <c r="D2016" s="201">
        <v>0</v>
      </c>
      <c r="E2016" s="201">
        <v>0</v>
      </c>
      <c r="F2016" s="201">
        <v>600</v>
      </c>
      <c r="G2016" s="201">
        <f t="shared" si="442"/>
        <v>0</v>
      </c>
      <c r="H2016" s="201">
        <f t="shared" si="443"/>
        <v>0</v>
      </c>
      <c r="I2016" s="202"/>
      <c r="J2016" s="165" t="s">
        <v>10</v>
      </c>
      <c r="K2016" s="165" t="s">
        <v>108</v>
      </c>
      <c r="L2016" s="165" t="s">
        <v>58</v>
      </c>
      <c r="M2016" s="165"/>
      <c r="N2016" s="279"/>
      <c r="O2016" s="293"/>
      <c r="P2016" s="294"/>
    </row>
    <row r="2017" spans="1:16" s="175" customFormat="1" ht="14" outlineLevel="2">
      <c r="A2017" s="208" t="s">
        <v>8</v>
      </c>
      <c r="B2017" s="218" t="s">
        <v>1201</v>
      </c>
      <c r="C2017" s="200" t="s">
        <v>866</v>
      </c>
      <c r="D2017" s="201">
        <v>0</v>
      </c>
      <c r="E2017" s="201">
        <v>0</v>
      </c>
      <c r="F2017" s="201">
        <v>600</v>
      </c>
      <c r="G2017" s="201">
        <f t="shared" si="442"/>
        <v>0</v>
      </c>
      <c r="H2017" s="201">
        <f t="shared" si="443"/>
        <v>0</v>
      </c>
      <c r="I2017" s="202"/>
      <c r="J2017" s="165" t="s">
        <v>10</v>
      </c>
      <c r="K2017" s="165" t="s">
        <v>108</v>
      </c>
      <c r="L2017" s="165" t="s">
        <v>58</v>
      </c>
      <c r="M2017" s="165"/>
      <c r="N2017" s="279"/>
      <c r="O2017" s="293"/>
      <c r="P2017" s="294"/>
    </row>
    <row r="2018" spans="1:16" s="175" customFormat="1" ht="14" outlineLevel="2">
      <c r="A2018" s="208" t="s">
        <v>8</v>
      </c>
      <c r="B2018" s="218" t="s">
        <v>1202</v>
      </c>
      <c r="C2018" s="200" t="s">
        <v>866</v>
      </c>
      <c r="D2018" s="201">
        <v>0</v>
      </c>
      <c r="E2018" s="201">
        <v>0</v>
      </c>
      <c r="F2018" s="201">
        <v>1100</v>
      </c>
      <c r="G2018" s="201">
        <f t="shared" si="442"/>
        <v>0</v>
      </c>
      <c r="H2018" s="201">
        <f t="shared" si="443"/>
        <v>0</v>
      </c>
      <c r="I2018" s="202"/>
      <c r="J2018" s="165" t="s">
        <v>10</v>
      </c>
      <c r="K2018" s="165" t="s">
        <v>108</v>
      </c>
      <c r="L2018" s="165" t="s">
        <v>58</v>
      </c>
      <c r="M2018" s="165"/>
      <c r="N2018" s="279"/>
      <c r="O2018" s="293"/>
      <c r="P2018" s="294"/>
    </row>
    <row r="2019" spans="1:16" s="175" customFormat="1" ht="14" outlineLevel="2">
      <c r="A2019" s="208" t="s">
        <v>8</v>
      </c>
      <c r="B2019" s="218" t="s">
        <v>1203</v>
      </c>
      <c r="C2019" s="200" t="s">
        <v>866</v>
      </c>
      <c r="D2019" s="201">
        <v>0</v>
      </c>
      <c r="E2019" s="201">
        <v>0</v>
      </c>
      <c r="F2019" s="201">
        <v>1702</v>
      </c>
      <c r="G2019" s="201">
        <f t="shared" si="442"/>
        <v>0</v>
      </c>
      <c r="H2019" s="201">
        <f t="shared" si="443"/>
        <v>0</v>
      </c>
      <c r="I2019" s="202"/>
      <c r="J2019" s="165" t="s">
        <v>10</v>
      </c>
      <c r="K2019" s="165" t="s">
        <v>108</v>
      </c>
      <c r="L2019" s="165" t="s">
        <v>58</v>
      </c>
      <c r="M2019" s="165"/>
      <c r="N2019" s="279"/>
      <c r="O2019" s="293"/>
      <c r="P2019" s="294"/>
    </row>
    <row r="2020" spans="1:16" s="175" customFormat="1" ht="14" outlineLevel="2">
      <c r="A2020" s="208" t="s">
        <v>8</v>
      </c>
      <c r="B2020" s="218" t="s">
        <v>1204</v>
      </c>
      <c r="C2020" s="200" t="s">
        <v>866</v>
      </c>
      <c r="D2020" s="201">
        <v>8</v>
      </c>
      <c r="E2020" s="201">
        <v>57</v>
      </c>
      <c r="F2020" s="201">
        <v>2400</v>
      </c>
      <c r="G2020" s="201">
        <f t="shared" si="442"/>
        <v>19200</v>
      </c>
      <c r="H2020" s="201">
        <f t="shared" si="443"/>
        <v>136800</v>
      </c>
      <c r="I2020" s="202"/>
      <c r="J2020" s="165" t="s">
        <v>10</v>
      </c>
      <c r="K2020" s="165" t="s">
        <v>108</v>
      </c>
      <c r="L2020" s="165" t="s">
        <v>58</v>
      </c>
      <c r="M2020" s="165"/>
      <c r="N2020" s="279"/>
      <c r="O2020" s="293"/>
      <c r="P2020" s="294"/>
    </row>
    <row r="2021" spans="1:16" s="175" customFormat="1" ht="14" outlineLevel="2">
      <c r="A2021" s="208" t="s">
        <v>8</v>
      </c>
      <c r="B2021" s="218" t="s">
        <v>1205</v>
      </c>
      <c r="C2021" s="200" t="s">
        <v>866</v>
      </c>
      <c r="D2021" s="201">
        <v>0</v>
      </c>
      <c r="E2021" s="201">
        <v>0</v>
      </c>
      <c r="F2021" s="201">
        <v>2400</v>
      </c>
      <c r="G2021" s="201">
        <f t="shared" si="442"/>
        <v>0</v>
      </c>
      <c r="H2021" s="201">
        <f t="shared" si="443"/>
        <v>0</v>
      </c>
      <c r="I2021" s="202"/>
      <c r="J2021" s="165" t="s">
        <v>10</v>
      </c>
      <c r="K2021" s="165" t="s">
        <v>108</v>
      </c>
      <c r="L2021" s="165" t="s">
        <v>58</v>
      </c>
      <c r="M2021" s="165"/>
      <c r="N2021" s="279"/>
      <c r="O2021" s="293"/>
      <c r="P2021" s="294"/>
    </row>
    <row r="2022" spans="1:16" s="175" customFormat="1" ht="14" outlineLevel="2">
      <c r="A2022" s="208"/>
      <c r="B2022" s="218" t="s">
        <v>1206</v>
      </c>
      <c r="C2022" s="200" t="s">
        <v>866</v>
      </c>
      <c r="D2022" s="201">
        <v>0</v>
      </c>
      <c r="E2022" s="201">
        <v>0</v>
      </c>
      <c r="F2022" s="201">
        <v>3000</v>
      </c>
      <c r="G2022" s="201">
        <f t="shared" si="442"/>
        <v>0</v>
      </c>
      <c r="H2022" s="201">
        <f t="shared" si="443"/>
        <v>0</v>
      </c>
      <c r="I2022" s="202"/>
      <c r="J2022" s="165" t="s">
        <v>10</v>
      </c>
      <c r="K2022" s="165" t="s">
        <v>108</v>
      </c>
      <c r="L2022" s="165" t="s">
        <v>58</v>
      </c>
      <c r="M2022" s="165"/>
      <c r="N2022" s="279"/>
      <c r="O2022" s="293"/>
      <c r="P2022" s="294"/>
    </row>
    <row r="2023" spans="1:16" s="175" customFormat="1" ht="14" outlineLevel="2">
      <c r="A2023" s="208" t="s">
        <v>8</v>
      </c>
      <c r="B2023" s="218" t="s">
        <v>1207</v>
      </c>
      <c r="C2023" s="200" t="s">
        <v>866</v>
      </c>
      <c r="D2023" s="201">
        <v>0</v>
      </c>
      <c r="E2023" s="201">
        <v>0</v>
      </c>
      <c r="F2023" s="201">
        <v>3267</v>
      </c>
      <c r="G2023" s="201">
        <f t="shared" si="442"/>
        <v>0</v>
      </c>
      <c r="H2023" s="201">
        <f t="shared" si="443"/>
        <v>0</v>
      </c>
      <c r="I2023" s="202"/>
      <c r="J2023" s="165" t="s">
        <v>10</v>
      </c>
      <c r="K2023" s="165" t="s">
        <v>108</v>
      </c>
      <c r="L2023" s="165" t="s">
        <v>58</v>
      </c>
      <c r="M2023" s="165"/>
      <c r="N2023" s="279"/>
      <c r="O2023" s="293"/>
      <c r="P2023" s="294"/>
    </row>
    <row r="2024" spans="1:16" s="175" customFormat="1" ht="14" outlineLevel="2">
      <c r="A2024" s="208" t="s">
        <v>8</v>
      </c>
      <c r="B2024" s="218" t="s">
        <v>1208</v>
      </c>
      <c r="C2024" s="200" t="s">
        <v>866</v>
      </c>
      <c r="D2024" s="201">
        <v>0</v>
      </c>
      <c r="E2024" s="201">
        <v>0</v>
      </c>
      <c r="F2024" s="201">
        <v>3267</v>
      </c>
      <c r="G2024" s="201">
        <f t="shared" si="442"/>
        <v>0</v>
      </c>
      <c r="H2024" s="201">
        <f t="shared" si="443"/>
        <v>0</v>
      </c>
      <c r="I2024" s="202"/>
      <c r="J2024" s="165" t="s">
        <v>10</v>
      </c>
      <c r="K2024" s="165" t="s">
        <v>108</v>
      </c>
      <c r="L2024" s="165" t="s">
        <v>58</v>
      </c>
      <c r="M2024" s="165"/>
      <c r="N2024" s="279"/>
      <c r="O2024" s="293"/>
      <c r="P2024" s="294"/>
    </row>
    <row r="2025" spans="1:16" s="175" customFormat="1" ht="14" outlineLevel="2">
      <c r="A2025" s="208" t="s">
        <v>8</v>
      </c>
      <c r="B2025" s="218" t="s">
        <v>1209</v>
      </c>
      <c r="C2025" s="200" t="s">
        <v>866</v>
      </c>
      <c r="D2025" s="201">
        <v>0</v>
      </c>
      <c r="E2025" s="201">
        <v>0</v>
      </c>
      <c r="F2025" s="201">
        <v>3267</v>
      </c>
      <c r="G2025" s="201">
        <f t="shared" si="442"/>
        <v>0</v>
      </c>
      <c r="H2025" s="201">
        <f t="shared" si="443"/>
        <v>0</v>
      </c>
      <c r="I2025" s="202"/>
      <c r="J2025" s="165" t="s">
        <v>10</v>
      </c>
      <c r="K2025" s="165" t="s">
        <v>108</v>
      </c>
      <c r="L2025" s="165" t="s">
        <v>58</v>
      </c>
      <c r="M2025" s="165"/>
      <c r="N2025" s="279"/>
      <c r="O2025" s="293"/>
      <c r="P2025" s="294"/>
    </row>
    <row r="2026" spans="1:16" s="175" customFormat="1" ht="14" outlineLevel="2">
      <c r="A2026" s="208" t="s">
        <v>8</v>
      </c>
      <c r="B2026" s="218" t="s">
        <v>1210</v>
      </c>
      <c r="C2026" s="200" t="s">
        <v>48</v>
      </c>
      <c r="D2026" s="201">
        <v>0</v>
      </c>
      <c r="E2026" s="201">
        <v>0</v>
      </c>
      <c r="F2026" s="201">
        <v>1485</v>
      </c>
      <c r="G2026" s="201">
        <f t="shared" si="442"/>
        <v>0</v>
      </c>
      <c r="H2026" s="201">
        <f t="shared" si="443"/>
        <v>0</v>
      </c>
      <c r="I2026" s="202"/>
      <c r="J2026" s="165" t="s">
        <v>10</v>
      </c>
      <c r="K2026" s="165" t="s">
        <v>108</v>
      </c>
      <c r="L2026" s="165" t="s">
        <v>58</v>
      </c>
      <c r="M2026" s="165"/>
      <c r="N2026" s="279"/>
      <c r="O2026" s="293"/>
      <c r="P2026" s="294"/>
    </row>
    <row r="2027" spans="1:16" s="175" customFormat="1" ht="14" outlineLevel="2">
      <c r="A2027" s="208" t="s">
        <v>8</v>
      </c>
      <c r="B2027" s="218" t="s">
        <v>1211</v>
      </c>
      <c r="C2027" s="200" t="s">
        <v>48</v>
      </c>
      <c r="D2027" s="201">
        <v>0</v>
      </c>
      <c r="E2027" s="201">
        <v>0</v>
      </c>
      <c r="F2027" s="201">
        <v>2617</v>
      </c>
      <c r="G2027" s="201">
        <f t="shared" si="442"/>
        <v>0</v>
      </c>
      <c r="H2027" s="201">
        <f t="shared" si="443"/>
        <v>0</v>
      </c>
      <c r="I2027" s="202"/>
      <c r="J2027" s="165" t="s">
        <v>10</v>
      </c>
      <c r="K2027" s="165" t="s">
        <v>108</v>
      </c>
      <c r="L2027" s="165" t="s">
        <v>58</v>
      </c>
      <c r="M2027" s="165"/>
      <c r="N2027" s="279"/>
      <c r="O2027" s="293"/>
      <c r="P2027" s="294"/>
    </row>
    <row r="2028" spans="1:16" s="175" customFormat="1" ht="14" outlineLevel="2">
      <c r="A2028" s="208" t="s">
        <v>8</v>
      </c>
      <c r="B2028" s="218" t="s">
        <v>1212</v>
      </c>
      <c r="C2028" s="200" t="s">
        <v>48</v>
      </c>
      <c r="D2028" s="201">
        <v>0</v>
      </c>
      <c r="E2028" s="201">
        <v>0</v>
      </c>
      <c r="F2028" s="201">
        <v>3000</v>
      </c>
      <c r="G2028" s="201">
        <f t="shared" si="442"/>
        <v>0</v>
      </c>
      <c r="H2028" s="201">
        <f t="shared" si="443"/>
        <v>0</v>
      </c>
      <c r="I2028" s="202"/>
      <c r="J2028" s="165" t="s">
        <v>10</v>
      </c>
      <c r="K2028" s="165" t="s">
        <v>108</v>
      </c>
      <c r="L2028" s="165" t="s">
        <v>58</v>
      </c>
      <c r="M2028" s="165"/>
      <c r="N2028" s="279"/>
      <c r="O2028" s="293"/>
      <c r="P2028" s="294"/>
    </row>
    <row r="2029" spans="1:16" s="175" customFormat="1" ht="14" outlineLevel="2">
      <c r="A2029" s="208" t="s">
        <v>8</v>
      </c>
      <c r="B2029" s="218" t="s">
        <v>1213</v>
      </c>
      <c r="C2029" s="200" t="s">
        <v>866</v>
      </c>
      <c r="D2029" s="201">
        <v>0</v>
      </c>
      <c r="E2029" s="201">
        <v>0</v>
      </c>
      <c r="F2029" s="201">
        <v>3433</v>
      </c>
      <c r="G2029" s="201">
        <f t="shared" si="442"/>
        <v>0</v>
      </c>
      <c r="H2029" s="201">
        <f t="shared" si="443"/>
        <v>0</v>
      </c>
      <c r="I2029" s="202"/>
      <c r="J2029" s="165" t="s">
        <v>10</v>
      </c>
      <c r="K2029" s="165" t="s">
        <v>108</v>
      </c>
      <c r="L2029" s="165" t="s">
        <v>58</v>
      </c>
      <c r="M2029" s="165"/>
      <c r="N2029" s="279"/>
      <c r="O2029" s="293"/>
      <c r="P2029" s="294"/>
    </row>
    <row r="2030" spans="1:16" s="175" customFormat="1" ht="14" outlineLevel="2">
      <c r="A2030" s="208" t="s">
        <v>8</v>
      </c>
      <c r="B2030" s="218" t="s">
        <v>1219</v>
      </c>
      <c r="C2030" s="200" t="s">
        <v>866</v>
      </c>
      <c r="D2030" s="201">
        <v>8</v>
      </c>
      <c r="E2030" s="201">
        <v>57</v>
      </c>
      <c r="F2030" s="201">
        <v>140</v>
      </c>
      <c r="G2030" s="201">
        <f t="shared" si="442"/>
        <v>1120</v>
      </c>
      <c r="H2030" s="201">
        <f t="shared" si="443"/>
        <v>7980</v>
      </c>
      <c r="I2030" s="202"/>
      <c r="J2030" s="165" t="s">
        <v>10</v>
      </c>
      <c r="K2030" s="165" t="s">
        <v>108</v>
      </c>
      <c r="L2030" s="165" t="s">
        <v>58</v>
      </c>
      <c r="M2030" s="165"/>
      <c r="N2030" s="279"/>
      <c r="O2030" s="293"/>
      <c r="P2030" s="294"/>
    </row>
    <row r="2031" spans="1:16" s="175" customFormat="1" ht="14" outlineLevel="2">
      <c r="A2031" s="208"/>
      <c r="B2031" s="218" t="s">
        <v>865</v>
      </c>
      <c r="C2031" s="200" t="s">
        <v>857</v>
      </c>
      <c r="D2031" s="201">
        <v>8</v>
      </c>
      <c r="E2031" s="201">
        <v>57</v>
      </c>
      <c r="F2031" s="201">
        <v>140</v>
      </c>
      <c r="G2031" s="201">
        <f t="shared" si="442"/>
        <v>1120</v>
      </c>
      <c r="H2031" s="201">
        <f t="shared" si="443"/>
        <v>7980</v>
      </c>
      <c r="I2031" s="202"/>
      <c r="J2031" s="165" t="s">
        <v>10</v>
      </c>
      <c r="K2031" s="165" t="s">
        <v>108</v>
      </c>
      <c r="L2031" s="165" t="s">
        <v>58</v>
      </c>
      <c r="M2031" s="165"/>
      <c r="N2031" s="279"/>
      <c r="O2031" s="293"/>
      <c r="P2031" s="294"/>
    </row>
    <row r="2032" spans="1:16" s="175" customFormat="1" ht="14" outlineLevel="2">
      <c r="A2032" s="208" t="s">
        <v>8</v>
      </c>
      <c r="B2032" s="218" t="s">
        <v>515</v>
      </c>
      <c r="C2032" s="200" t="s">
        <v>866</v>
      </c>
      <c r="D2032" s="201"/>
      <c r="E2032" s="201"/>
      <c r="F2032" s="201">
        <v>621</v>
      </c>
      <c r="G2032" s="201">
        <f t="shared" si="442"/>
        <v>0</v>
      </c>
      <c r="H2032" s="201">
        <f t="shared" si="443"/>
        <v>0</v>
      </c>
      <c r="I2032" s="202"/>
      <c r="J2032" s="165" t="s">
        <v>10</v>
      </c>
      <c r="K2032" s="165" t="s">
        <v>108</v>
      </c>
      <c r="L2032" s="165" t="s">
        <v>58</v>
      </c>
      <c r="M2032" s="165"/>
      <c r="N2032" s="279"/>
      <c r="O2032" s="293"/>
      <c r="P2032" s="294"/>
    </row>
    <row r="2033" spans="1:16" s="188" customFormat="1" ht="14" outlineLevel="1">
      <c r="A2033" s="191">
        <v>6</v>
      </c>
      <c r="B2033" s="319" t="s">
        <v>870</v>
      </c>
      <c r="C2033" s="206"/>
      <c r="D2033" s="194"/>
      <c r="E2033" s="194"/>
      <c r="F2033" s="212"/>
      <c r="G2033" s="194">
        <f>SUBTOTAL(9,G2034:G2039)</f>
        <v>53550</v>
      </c>
      <c r="H2033" s="194">
        <f>SUBTOTAL(9,H2034:H2039)</f>
        <v>34650</v>
      </c>
      <c r="I2033" s="195"/>
      <c r="J2033" s="165"/>
      <c r="K2033" s="165"/>
      <c r="L2033" s="165"/>
      <c r="M2033" s="186"/>
      <c r="N2033" s="279"/>
      <c r="O2033" s="293"/>
      <c r="P2033" s="294"/>
    </row>
    <row r="2034" spans="1:16" s="175" customFormat="1" ht="14" outlineLevel="2">
      <c r="A2034" s="208" t="s">
        <v>8</v>
      </c>
      <c r="B2034" s="218" t="s">
        <v>1220</v>
      </c>
      <c r="C2034" s="200" t="s">
        <v>866</v>
      </c>
      <c r="D2034" s="201"/>
      <c r="E2034" s="201"/>
      <c r="F2034" s="201">
        <v>556.36671937216204</v>
      </c>
      <c r="G2034" s="201">
        <f t="shared" ref="G2034:G2039" si="444">F2034*D2034</f>
        <v>0</v>
      </c>
      <c r="H2034" s="201">
        <f t="shared" ref="H2034:H2039" si="445">F2034*E2034</f>
        <v>0</v>
      </c>
      <c r="I2034" s="202"/>
      <c r="J2034" s="165" t="s">
        <v>10</v>
      </c>
      <c r="K2034" s="165" t="s">
        <v>107</v>
      </c>
      <c r="L2034" s="165" t="s">
        <v>58</v>
      </c>
      <c r="M2034" s="165"/>
      <c r="N2034" s="279"/>
      <c r="O2034" s="293"/>
      <c r="P2034" s="294"/>
    </row>
    <row r="2035" spans="1:16" s="175" customFormat="1" ht="14" outlineLevel="2">
      <c r="A2035" s="208" t="s">
        <v>8</v>
      </c>
      <c r="B2035" s="218" t="s">
        <v>1221</v>
      </c>
      <c r="C2035" s="200" t="s">
        <v>866</v>
      </c>
      <c r="D2035" s="201">
        <v>0</v>
      </c>
      <c r="E2035" s="201">
        <v>0</v>
      </c>
      <c r="F2035" s="137">
        <v>950</v>
      </c>
      <c r="G2035" s="201">
        <f t="shared" si="444"/>
        <v>0</v>
      </c>
      <c r="H2035" s="201">
        <f t="shared" si="445"/>
        <v>0</v>
      </c>
      <c r="I2035" s="202"/>
      <c r="J2035" s="165" t="s">
        <v>10</v>
      </c>
      <c r="K2035" s="165" t="s">
        <v>107</v>
      </c>
      <c r="L2035" s="165" t="s">
        <v>58</v>
      </c>
      <c r="M2035" s="165"/>
      <c r="N2035" s="279"/>
      <c r="O2035" s="293"/>
      <c r="P2035" s="294"/>
    </row>
    <row r="2036" spans="1:16" s="175" customFormat="1" ht="14" outlineLevel="2">
      <c r="A2036" s="208" t="s">
        <v>8</v>
      </c>
      <c r="B2036" s="218" t="s">
        <v>1222</v>
      </c>
      <c r="C2036" s="200" t="s">
        <v>866</v>
      </c>
      <c r="D2036" s="201">
        <v>0</v>
      </c>
      <c r="E2036" s="201">
        <v>0</v>
      </c>
      <c r="F2036" s="137">
        <v>1050</v>
      </c>
      <c r="G2036" s="201">
        <f t="shared" si="444"/>
        <v>0</v>
      </c>
      <c r="H2036" s="201">
        <f t="shared" si="445"/>
        <v>0</v>
      </c>
      <c r="I2036" s="202"/>
      <c r="J2036" s="165" t="s">
        <v>10</v>
      </c>
      <c r="K2036" s="165" t="s">
        <v>107</v>
      </c>
      <c r="L2036" s="165" t="s">
        <v>58</v>
      </c>
      <c r="M2036" s="165"/>
      <c r="N2036" s="279"/>
      <c r="O2036" s="293"/>
      <c r="P2036" s="294"/>
    </row>
    <row r="2037" spans="1:16" s="175" customFormat="1" ht="14" outlineLevel="2">
      <c r="A2037" s="208" t="s">
        <v>8</v>
      </c>
      <c r="B2037" s="218" t="s">
        <v>1223</v>
      </c>
      <c r="C2037" s="200" t="s">
        <v>866</v>
      </c>
      <c r="D2037" s="201">
        <v>0</v>
      </c>
      <c r="E2037" s="201">
        <v>0</v>
      </c>
      <c r="F2037" s="137">
        <v>1050</v>
      </c>
      <c r="G2037" s="201">
        <f t="shared" si="444"/>
        <v>0</v>
      </c>
      <c r="H2037" s="201">
        <f t="shared" si="445"/>
        <v>0</v>
      </c>
      <c r="I2037" s="202"/>
      <c r="J2037" s="165" t="s">
        <v>10</v>
      </c>
      <c r="K2037" s="165" t="s">
        <v>107</v>
      </c>
      <c r="L2037" s="165" t="s">
        <v>58</v>
      </c>
      <c r="M2037" s="165"/>
      <c r="N2037" s="279"/>
      <c r="O2037" s="293"/>
      <c r="P2037" s="294"/>
    </row>
    <row r="2038" spans="1:16" s="175" customFormat="1" ht="14" outlineLevel="2">
      <c r="A2038" s="208" t="s">
        <v>8</v>
      </c>
      <c r="B2038" s="218" t="s">
        <v>1224</v>
      </c>
      <c r="C2038" s="200" t="s">
        <v>866</v>
      </c>
      <c r="D2038" s="201">
        <v>51</v>
      </c>
      <c r="E2038" s="201">
        <v>33</v>
      </c>
      <c r="F2038" s="137">
        <v>1050</v>
      </c>
      <c r="G2038" s="201">
        <f t="shared" si="444"/>
        <v>53550</v>
      </c>
      <c r="H2038" s="201">
        <f t="shared" si="445"/>
        <v>34650</v>
      </c>
      <c r="I2038" s="202"/>
      <c r="J2038" s="165" t="s">
        <v>10</v>
      </c>
      <c r="K2038" s="165" t="s">
        <v>107</v>
      </c>
      <c r="L2038" s="165" t="s">
        <v>58</v>
      </c>
      <c r="M2038" s="165"/>
      <c r="N2038" s="279"/>
      <c r="O2038" s="293"/>
      <c r="P2038" s="294"/>
    </row>
    <row r="2039" spans="1:16" s="175" customFormat="1" ht="14" outlineLevel="2">
      <c r="A2039" s="208" t="s">
        <v>8</v>
      </c>
      <c r="B2039" s="218" t="s">
        <v>1225</v>
      </c>
      <c r="C2039" s="200" t="s">
        <v>866</v>
      </c>
      <c r="D2039" s="201">
        <v>0</v>
      </c>
      <c r="E2039" s="201">
        <v>0</v>
      </c>
      <c r="F2039" s="137">
        <v>1092</v>
      </c>
      <c r="G2039" s="201">
        <f t="shared" si="444"/>
        <v>0</v>
      </c>
      <c r="H2039" s="201">
        <f t="shared" si="445"/>
        <v>0</v>
      </c>
      <c r="I2039" s="202"/>
      <c r="J2039" s="165" t="s">
        <v>10</v>
      </c>
      <c r="K2039" s="165" t="s">
        <v>107</v>
      </c>
      <c r="L2039" s="165" t="s">
        <v>58</v>
      </c>
      <c r="M2039" s="165"/>
      <c r="N2039" s="279"/>
      <c r="O2039" s="293"/>
      <c r="P2039" s="294"/>
    </row>
    <row r="2040" spans="1:16" s="188" customFormat="1" ht="14" outlineLevel="1">
      <c r="A2040" s="191">
        <v>7</v>
      </c>
      <c r="B2040" s="319" t="s">
        <v>871</v>
      </c>
      <c r="C2040" s="206"/>
      <c r="D2040" s="194"/>
      <c r="E2040" s="194"/>
      <c r="F2040" s="137"/>
      <c r="G2040" s="194">
        <f>SUBTOTAL(9,G2041:G2046)</f>
        <v>8400</v>
      </c>
      <c r="H2040" s="194">
        <f>SUBTOTAL(9,H2041:H2046)</f>
        <v>59850</v>
      </c>
      <c r="I2040" s="195"/>
      <c r="J2040" s="165"/>
      <c r="K2040" s="165"/>
      <c r="L2040" s="165"/>
      <c r="M2040" s="186"/>
      <c r="N2040" s="279"/>
      <c r="O2040" s="293"/>
      <c r="P2040" s="294"/>
    </row>
    <row r="2041" spans="1:16" s="175" customFormat="1" ht="14" outlineLevel="2">
      <c r="A2041" s="208" t="s">
        <v>8</v>
      </c>
      <c r="B2041" s="218" t="s">
        <v>1220</v>
      </c>
      <c r="C2041" s="200" t="s">
        <v>866</v>
      </c>
      <c r="D2041" s="201"/>
      <c r="E2041" s="201"/>
      <c r="F2041" s="201">
        <v>556.36671937216204</v>
      </c>
      <c r="G2041" s="201">
        <f t="shared" ref="G2041:G2046" si="446">F2041*D2041</f>
        <v>0</v>
      </c>
      <c r="H2041" s="201">
        <f t="shared" ref="H2041:H2046" si="447">F2041*E2041</f>
        <v>0</v>
      </c>
      <c r="I2041" s="202"/>
      <c r="J2041" s="165" t="s">
        <v>10</v>
      </c>
      <c r="K2041" s="165" t="s">
        <v>108</v>
      </c>
      <c r="L2041" s="165" t="s">
        <v>58</v>
      </c>
      <c r="M2041" s="165"/>
      <c r="N2041" s="279"/>
      <c r="O2041" s="293"/>
      <c r="P2041" s="294"/>
    </row>
    <row r="2042" spans="1:16" s="175" customFormat="1" ht="14" outlineLevel="2">
      <c r="A2042" s="208" t="s">
        <v>8</v>
      </c>
      <c r="B2042" s="218" t="s">
        <v>1221</v>
      </c>
      <c r="C2042" s="200" t="s">
        <v>866</v>
      </c>
      <c r="D2042" s="201">
        <v>0</v>
      </c>
      <c r="E2042" s="201">
        <v>0</v>
      </c>
      <c r="F2042" s="201">
        <v>950</v>
      </c>
      <c r="G2042" s="201">
        <f t="shared" si="446"/>
        <v>0</v>
      </c>
      <c r="H2042" s="201">
        <f t="shared" si="447"/>
        <v>0</v>
      </c>
      <c r="I2042" s="202"/>
      <c r="J2042" s="165" t="s">
        <v>10</v>
      </c>
      <c r="K2042" s="165" t="s">
        <v>108</v>
      </c>
      <c r="L2042" s="165" t="s">
        <v>58</v>
      </c>
      <c r="M2042" s="165"/>
      <c r="N2042" s="279"/>
      <c r="O2042" s="293"/>
      <c r="P2042" s="294"/>
    </row>
    <row r="2043" spans="1:16" s="175" customFormat="1" ht="14" outlineLevel="2">
      <c r="A2043" s="208" t="s">
        <v>8</v>
      </c>
      <c r="B2043" s="218" t="s">
        <v>1222</v>
      </c>
      <c r="C2043" s="200" t="s">
        <v>866</v>
      </c>
      <c r="D2043" s="201">
        <v>0</v>
      </c>
      <c r="E2043" s="201">
        <v>0</v>
      </c>
      <c r="F2043" s="201">
        <v>1050</v>
      </c>
      <c r="G2043" s="201">
        <f t="shared" si="446"/>
        <v>0</v>
      </c>
      <c r="H2043" s="201">
        <f t="shared" si="447"/>
        <v>0</v>
      </c>
      <c r="I2043" s="202"/>
      <c r="J2043" s="165" t="s">
        <v>10</v>
      </c>
      <c r="K2043" s="165" t="s">
        <v>108</v>
      </c>
      <c r="L2043" s="165" t="s">
        <v>58</v>
      </c>
      <c r="M2043" s="165"/>
      <c r="N2043" s="279"/>
      <c r="O2043" s="293"/>
      <c r="P2043" s="294"/>
    </row>
    <row r="2044" spans="1:16" s="175" customFormat="1" ht="14" outlineLevel="2">
      <c r="A2044" s="208" t="s">
        <v>8</v>
      </c>
      <c r="B2044" s="218" t="s">
        <v>1223</v>
      </c>
      <c r="C2044" s="200" t="s">
        <v>866</v>
      </c>
      <c r="D2044" s="201">
        <v>0</v>
      </c>
      <c r="E2044" s="201">
        <v>0</v>
      </c>
      <c r="F2044" s="201">
        <v>1050</v>
      </c>
      <c r="G2044" s="201">
        <f t="shared" si="446"/>
        <v>0</v>
      </c>
      <c r="H2044" s="201">
        <f t="shared" si="447"/>
        <v>0</v>
      </c>
      <c r="I2044" s="202"/>
      <c r="J2044" s="165" t="s">
        <v>10</v>
      </c>
      <c r="K2044" s="165" t="s">
        <v>108</v>
      </c>
      <c r="L2044" s="165" t="s">
        <v>58</v>
      </c>
      <c r="M2044" s="165"/>
      <c r="N2044" s="279"/>
      <c r="O2044" s="293"/>
      <c r="P2044" s="294"/>
    </row>
    <row r="2045" spans="1:16" s="175" customFormat="1" ht="14" outlineLevel="2">
      <c r="A2045" s="208" t="s">
        <v>8</v>
      </c>
      <c r="B2045" s="218" t="s">
        <v>1224</v>
      </c>
      <c r="C2045" s="200" t="s">
        <v>866</v>
      </c>
      <c r="D2045" s="201">
        <v>8</v>
      </c>
      <c r="E2045" s="201">
        <v>57</v>
      </c>
      <c r="F2045" s="201">
        <v>1050</v>
      </c>
      <c r="G2045" s="201">
        <f t="shared" si="446"/>
        <v>8400</v>
      </c>
      <c r="H2045" s="201">
        <f t="shared" si="447"/>
        <v>59850</v>
      </c>
      <c r="I2045" s="202"/>
      <c r="J2045" s="165" t="s">
        <v>10</v>
      </c>
      <c r="K2045" s="165" t="s">
        <v>108</v>
      </c>
      <c r="L2045" s="165" t="s">
        <v>58</v>
      </c>
      <c r="M2045" s="165"/>
      <c r="N2045" s="279"/>
      <c r="O2045" s="293"/>
      <c r="P2045" s="294"/>
    </row>
    <row r="2046" spans="1:16" s="175" customFormat="1" ht="14" outlineLevel="2">
      <c r="A2046" s="208" t="s">
        <v>8</v>
      </c>
      <c r="B2046" s="218" t="s">
        <v>1225</v>
      </c>
      <c r="C2046" s="200" t="s">
        <v>866</v>
      </c>
      <c r="D2046" s="201">
        <v>0</v>
      </c>
      <c r="E2046" s="201">
        <v>0</v>
      </c>
      <c r="F2046" s="201">
        <v>1092</v>
      </c>
      <c r="G2046" s="201">
        <f t="shared" si="446"/>
        <v>0</v>
      </c>
      <c r="H2046" s="201">
        <f t="shared" si="447"/>
        <v>0</v>
      </c>
      <c r="I2046" s="202"/>
      <c r="J2046" s="165" t="s">
        <v>10</v>
      </c>
      <c r="K2046" s="165" t="s">
        <v>108</v>
      </c>
      <c r="L2046" s="165" t="s">
        <v>58</v>
      </c>
      <c r="M2046" s="165"/>
      <c r="N2046" s="279"/>
      <c r="O2046" s="293"/>
      <c r="P2046" s="294"/>
    </row>
    <row r="2047" spans="1:16" s="188" customFormat="1" ht="14" outlineLevel="1">
      <c r="A2047" s="191">
        <v>8</v>
      </c>
      <c r="B2047" s="319" t="s">
        <v>882</v>
      </c>
      <c r="C2047" s="206"/>
      <c r="D2047" s="194"/>
      <c r="E2047" s="194"/>
      <c r="F2047" s="212"/>
      <c r="G2047" s="194">
        <f>SUBTOTAL(9,G2048:G2057)</f>
        <v>0</v>
      </c>
      <c r="H2047" s="194">
        <f>SUBTOTAL(9,H2048:H2057)</f>
        <v>0</v>
      </c>
      <c r="I2047" s="195"/>
      <c r="J2047" s="165"/>
      <c r="K2047" s="165"/>
      <c r="L2047" s="165"/>
      <c r="M2047" s="186"/>
      <c r="N2047" s="279"/>
      <c r="O2047" s="293"/>
      <c r="P2047" s="294"/>
    </row>
    <row r="2048" spans="1:16" s="175" customFormat="1" ht="14" outlineLevel="2">
      <c r="A2048" s="208" t="s">
        <v>8</v>
      </c>
      <c r="B2048" s="218" t="s">
        <v>872</v>
      </c>
      <c r="C2048" s="200" t="s">
        <v>346</v>
      </c>
      <c r="D2048" s="201"/>
      <c r="E2048" s="201"/>
      <c r="F2048" s="201"/>
      <c r="G2048" s="201">
        <f t="shared" ref="G2048:G2057" si="448">F2048*D2048</f>
        <v>0</v>
      </c>
      <c r="H2048" s="201">
        <f t="shared" ref="H2048:H2057" si="449">F2048*E2048</f>
        <v>0</v>
      </c>
      <c r="I2048" s="202"/>
      <c r="J2048" s="165" t="s">
        <v>10</v>
      </c>
      <c r="K2048" s="165" t="s">
        <v>108</v>
      </c>
      <c r="L2048" s="165" t="s">
        <v>58</v>
      </c>
      <c r="M2048" s="165"/>
      <c r="N2048" s="279"/>
      <c r="O2048" s="293"/>
      <c r="P2048" s="294"/>
    </row>
    <row r="2049" spans="1:16" s="175" customFormat="1" ht="14" outlineLevel="2">
      <c r="A2049" s="208" t="s">
        <v>8</v>
      </c>
      <c r="B2049" s="218" t="s">
        <v>873</v>
      </c>
      <c r="C2049" s="200" t="s">
        <v>346</v>
      </c>
      <c r="D2049" s="201"/>
      <c r="E2049" s="201"/>
      <c r="F2049" s="201"/>
      <c r="G2049" s="201">
        <f t="shared" si="448"/>
        <v>0</v>
      </c>
      <c r="H2049" s="201">
        <f t="shared" si="449"/>
        <v>0</v>
      </c>
      <c r="I2049" s="202"/>
      <c r="J2049" s="165" t="s">
        <v>10</v>
      </c>
      <c r="K2049" s="165" t="s">
        <v>108</v>
      </c>
      <c r="L2049" s="165" t="s">
        <v>58</v>
      </c>
      <c r="M2049" s="165"/>
      <c r="N2049" s="279"/>
      <c r="O2049" s="293"/>
      <c r="P2049" s="294"/>
    </row>
    <row r="2050" spans="1:16" s="175" customFormat="1" ht="14" outlineLevel="2">
      <c r="A2050" s="208" t="s">
        <v>8</v>
      </c>
      <c r="B2050" s="218" t="s">
        <v>874</v>
      </c>
      <c r="C2050" s="200" t="s">
        <v>346</v>
      </c>
      <c r="D2050" s="201"/>
      <c r="E2050" s="201"/>
      <c r="F2050" s="201"/>
      <c r="G2050" s="201">
        <f t="shared" si="448"/>
        <v>0</v>
      </c>
      <c r="H2050" s="201">
        <f t="shared" si="449"/>
        <v>0</v>
      </c>
      <c r="I2050" s="202"/>
      <c r="J2050" s="165" t="s">
        <v>10</v>
      </c>
      <c r="K2050" s="165" t="s">
        <v>108</v>
      </c>
      <c r="L2050" s="165" t="s">
        <v>58</v>
      </c>
      <c r="M2050" s="165"/>
      <c r="N2050" s="279"/>
      <c r="O2050" s="293"/>
      <c r="P2050" s="294"/>
    </row>
    <row r="2051" spans="1:16" s="175" customFormat="1" ht="14" outlineLevel="2">
      <c r="A2051" s="208" t="s">
        <v>8</v>
      </c>
      <c r="B2051" s="218" t="s">
        <v>875</v>
      </c>
      <c r="C2051" s="200" t="s">
        <v>346</v>
      </c>
      <c r="D2051" s="201"/>
      <c r="E2051" s="201"/>
      <c r="F2051" s="201"/>
      <c r="G2051" s="201">
        <f t="shared" si="448"/>
        <v>0</v>
      </c>
      <c r="H2051" s="201">
        <f t="shared" si="449"/>
        <v>0</v>
      </c>
      <c r="I2051" s="202"/>
      <c r="J2051" s="165" t="s">
        <v>10</v>
      </c>
      <c r="K2051" s="165" t="s">
        <v>108</v>
      </c>
      <c r="L2051" s="165" t="s">
        <v>58</v>
      </c>
      <c r="M2051" s="165"/>
      <c r="N2051" s="279"/>
      <c r="O2051" s="293"/>
      <c r="P2051" s="294"/>
    </row>
    <row r="2052" spans="1:16" s="175" customFormat="1" ht="14" outlineLevel="2">
      <c r="A2052" s="208" t="s">
        <v>8</v>
      </c>
      <c r="B2052" s="218" t="s">
        <v>876</v>
      </c>
      <c r="C2052" s="200" t="s">
        <v>346</v>
      </c>
      <c r="D2052" s="201"/>
      <c r="E2052" s="201"/>
      <c r="F2052" s="201"/>
      <c r="G2052" s="201">
        <f t="shared" si="448"/>
        <v>0</v>
      </c>
      <c r="H2052" s="201">
        <f t="shared" si="449"/>
        <v>0</v>
      </c>
      <c r="I2052" s="202"/>
      <c r="J2052" s="165" t="s">
        <v>10</v>
      </c>
      <c r="K2052" s="165" t="s">
        <v>108</v>
      </c>
      <c r="L2052" s="165" t="s">
        <v>58</v>
      </c>
      <c r="M2052" s="165"/>
      <c r="N2052" s="279"/>
      <c r="O2052" s="293"/>
      <c r="P2052" s="294"/>
    </row>
    <row r="2053" spans="1:16" s="175" customFormat="1" ht="14" outlineLevel="2">
      <c r="A2053" s="208" t="s">
        <v>8</v>
      </c>
      <c r="B2053" s="218" t="s">
        <v>877</v>
      </c>
      <c r="C2053" s="200" t="s">
        <v>346</v>
      </c>
      <c r="D2053" s="201"/>
      <c r="E2053" s="201"/>
      <c r="F2053" s="201"/>
      <c r="G2053" s="201">
        <f t="shared" si="448"/>
        <v>0</v>
      </c>
      <c r="H2053" s="201">
        <f t="shared" si="449"/>
        <v>0</v>
      </c>
      <c r="I2053" s="202"/>
      <c r="J2053" s="165" t="s">
        <v>10</v>
      </c>
      <c r="K2053" s="165" t="s">
        <v>108</v>
      </c>
      <c r="L2053" s="165" t="s">
        <v>58</v>
      </c>
      <c r="M2053" s="165"/>
      <c r="N2053" s="279"/>
      <c r="O2053" s="293"/>
      <c r="P2053" s="294"/>
    </row>
    <row r="2054" spans="1:16" s="175" customFormat="1" ht="14" outlineLevel="2">
      <c r="A2054" s="208" t="s">
        <v>8</v>
      </c>
      <c r="B2054" s="218" t="s">
        <v>878</v>
      </c>
      <c r="C2054" s="200" t="s">
        <v>346</v>
      </c>
      <c r="D2054" s="201"/>
      <c r="E2054" s="201"/>
      <c r="F2054" s="201"/>
      <c r="G2054" s="201">
        <f t="shared" si="448"/>
        <v>0</v>
      </c>
      <c r="H2054" s="201">
        <f t="shared" si="449"/>
        <v>0</v>
      </c>
      <c r="I2054" s="202"/>
      <c r="J2054" s="165" t="s">
        <v>10</v>
      </c>
      <c r="K2054" s="165" t="s">
        <v>108</v>
      </c>
      <c r="L2054" s="165" t="s">
        <v>58</v>
      </c>
      <c r="M2054" s="165"/>
      <c r="N2054" s="279"/>
      <c r="O2054" s="293"/>
      <c r="P2054" s="294"/>
    </row>
    <row r="2055" spans="1:16" s="175" customFormat="1" ht="14" outlineLevel="2">
      <c r="A2055" s="208" t="s">
        <v>8</v>
      </c>
      <c r="B2055" s="218" t="s">
        <v>879</v>
      </c>
      <c r="C2055" s="200" t="s">
        <v>346</v>
      </c>
      <c r="D2055" s="201"/>
      <c r="E2055" s="201"/>
      <c r="F2055" s="201"/>
      <c r="G2055" s="201">
        <f t="shared" si="448"/>
        <v>0</v>
      </c>
      <c r="H2055" s="201">
        <f t="shared" si="449"/>
        <v>0</v>
      </c>
      <c r="I2055" s="202"/>
      <c r="J2055" s="165" t="s">
        <v>10</v>
      </c>
      <c r="K2055" s="165" t="s">
        <v>108</v>
      </c>
      <c r="L2055" s="165" t="s">
        <v>58</v>
      </c>
      <c r="M2055" s="165"/>
      <c r="N2055" s="279"/>
      <c r="O2055" s="293"/>
      <c r="P2055" s="294"/>
    </row>
    <row r="2056" spans="1:16" s="175" customFormat="1" ht="14" outlineLevel="2">
      <c r="A2056" s="208"/>
      <c r="B2056" s="218" t="s">
        <v>880</v>
      </c>
      <c r="C2056" s="200" t="s">
        <v>346</v>
      </c>
      <c r="D2056" s="201"/>
      <c r="E2056" s="201"/>
      <c r="F2056" s="201"/>
      <c r="G2056" s="201">
        <f t="shared" si="448"/>
        <v>0</v>
      </c>
      <c r="H2056" s="201">
        <f t="shared" si="449"/>
        <v>0</v>
      </c>
      <c r="I2056" s="202"/>
      <c r="J2056" s="165" t="s">
        <v>10</v>
      </c>
      <c r="K2056" s="165" t="s">
        <v>108</v>
      </c>
      <c r="L2056" s="165" t="s">
        <v>58</v>
      </c>
      <c r="M2056" s="165"/>
      <c r="N2056" s="279"/>
      <c r="O2056" s="293"/>
      <c r="P2056" s="294"/>
    </row>
    <row r="2057" spans="1:16" s="175" customFormat="1" ht="14" outlineLevel="2">
      <c r="A2057" s="208" t="s">
        <v>8</v>
      </c>
      <c r="B2057" s="218" t="s">
        <v>881</v>
      </c>
      <c r="C2057" s="200" t="s">
        <v>346</v>
      </c>
      <c r="D2057" s="201"/>
      <c r="E2057" s="201"/>
      <c r="F2057" s="201"/>
      <c r="G2057" s="201">
        <f t="shared" si="448"/>
        <v>0</v>
      </c>
      <c r="H2057" s="201">
        <f t="shared" si="449"/>
        <v>0</v>
      </c>
      <c r="I2057" s="202"/>
      <c r="J2057" s="165" t="s">
        <v>10</v>
      </c>
      <c r="K2057" s="165" t="s">
        <v>108</v>
      </c>
      <c r="L2057" s="165" t="s">
        <v>58</v>
      </c>
      <c r="M2057" s="165"/>
      <c r="N2057" s="279"/>
      <c r="O2057" s="293"/>
      <c r="P2057" s="294"/>
    </row>
    <row r="2058" spans="1:16" s="188" customFormat="1" ht="14" outlineLevel="1">
      <c r="A2058" s="191">
        <v>9</v>
      </c>
      <c r="B2058" s="319" t="s">
        <v>886</v>
      </c>
      <c r="C2058" s="206"/>
      <c r="D2058" s="194"/>
      <c r="E2058" s="194"/>
      <c r="F2058" s="212"/>
      <c r="G2058" s="194">
        <f>SUBTOTAL(9,G2059:G2069)</f>
        <v>0</v>
      </c>
      <c r="H2058" s="194">
        <f>SUBTOTAL(9,H2059:H2069)</f>
        <v>0</v>
      </c>
      <c r="I2058" s="195"/>
      <c r="J2058" s="165"/>
      <c r="K2058" s="165"/>
      <c r="L2058" s="165"/>
      <c r="M2058" s="186"/>
      <c r="N2058" s="279"/>
      <c r="O2058" s="293"/>
      <c r="P2058" s="294"/>
    </row>
    <row r="2059" spans="1:16" s="175" customFormat="1" ht="14" outlineLevel="2">
      <c r="A2059" s="208" t="s">
        <v>8</v>
      </c>
      <c r="B2059" s="218" t="s">
        <v>883</v>
      </c>
      <c r="C2059" s="200" t="s">
        <v>346</v>
      </c>
      <c r="D2059" s="201"/>
      <c r="E2059" s="201"/>
      <c r="F2059" s="201"/>
      <c r="G2059" s="201">
        <f t="shared" ref="G2059:G2068" si="450">F2059*D2059</f>
        <v>0</v>
      </c>
      <c r="H2059" s="201">
        <f t="shared" ref="H2059:H2068" si="451">F2059*E2059</f>
        <v>0</v>
      </c>
      <c r="I2059" s="202"/>
      <c r="J2059" s="165" t="s">
        <v>10</v>
      </c>
      <c r="K2059" s="165" t="s">
        <v>108</v>
      </c>
      <c r="L2059" s="165" t="s">
        <v>58</v>
      </c>
      <c r="M2059" s="165"/>
      <c r="N2059" s="279"/>
      <c r="O2059" s="293"/>
      <c r="P2059" s="294"/>
    </row>
    <row r="2060" spans="1:16" s="175" customFormat="1" ht="14" outlineLevel="2">
      <c r="A2060" s="208" t="s">
        <v>8</v>
      </c>
      <c r="B2060" s="218" t="s">
        <v>884</v>
      </c>
      <c r="C2060" s="200" t="s">
        <v>346</v>
      </c>
      <c r="D2060" s="201"/>
      <c r="E2060" s="201"/>
      <c r="F2060" s="201"/>
      <c r="G2060" s="201">
        <f t="shared" si="450"/>
        <v>0</v>
      </c>
      <c r="H2060" s="201">
        <f t="shared" si="451"/>
        <v>0</v>
      </c>
      <c r="I2060" s="202"/>
      <c r="J2060" s="165" t="s">
        <v>10</v>
      </c>
      <c r="K2060" s="165" t="s">
        <v>108</v>
      </c>
      <c r="L2060" s="165" t="s">
        <v>58</v>
      </c>
      <c r="M2060" s="165"/>
      <c r="N2060" s="279"/>
      <c r="O2060" s="293"/>
      <c r="P2060" s="294"/>
    </row>
    <row r="2061" spans="1:16" s="175" customFormat="1" ht="14" outlineLevel="2">
      <c r="A2061" s="208" t="s">
        <v>8</v>
      </c>
      <c r="B2061" s="218" t="s">
        <v>885</v>
      </c>
      <c r="C2061" s="200" t="s">
        <v>346</v>
      </c>
      <c r="D2061" s="201"/>
      <c r="E2061" s="201"/>
      <c r="F2061" s="201"/>
      <c r="G2061" s="201">
        <f t="shared" si="450"/>
        <v>0</v>
      </c>
      <c r="H2061" s="201">
        <f t="shared" si="451"/>
        <v>0</v>
      </c>
      <c r="I2061" s="202"/>
      <c r="J2061" s="165" t="s">
        <v>10</v>
      </c>
      <c r="K2061" s="165" t="s">
        <v>108</v>
      </c>
      <c r="L2061" s="165" t="s">
        <v>58</v>
      </c>
      <c r="M2061" s="165"/>
      <c r="N2061" s="279"/>
      <c r="O2061" s="293"/>
      <c r="P2061" s="294"/>
    </row>
    <row r="2062" spans="1:16" s="175" customFormat="1" ht="14" outlineLevel="2">
      <c r="A2062" s="208" t="s">
        <v>8</v>
      </c>
      <c r="B2062" s="218" t="s">
        <v>873</v>
      </c>
      <c r="C2062" s="200" t="s">
        <v>346</v>
      </c>
      <c r="D2062" s="201"/>
      <c r="E2062" s="201"/>
      <c r="F2062" s="201"/>
      <c r="G2062" s="201">
        <f t="shared" si="450"/>
        <v>0</v>
      </c>
      <c r="H2062" s="201">
        <f t="shared" si="451"/>
        <v>0</v>
      </c>
      <c r="I2062" s="202"/>
      <c r="J2062" s="165" t="s">
        <v>10</v>
      </c>
      <c r="K2062" s="165" t="s">
        <v>108</v>
      </c>
      <c r="L2062" s="165" t="s">
        <v>58</v>
      </c>
      <c r="M2062" s="165"/>
      <c r="N2062" s="279"/>
      <c r="O2062" s="293"/>
      <c r="P2062" s="294"/>
    </row>
    <row r="2063" spans="1:16" s="175" customFormat="1" ht="14" outlineLevel="2">
      <c r="A2063" s="208" t="s">
        <v>8</v>
      </c>
      <c r="B2063" s="218" t="s">
        <v>874</v>
      </c>
      <c r="C2063" s="200" t="s">
        <v>346</v>
      </c>
      <c r="D2063" s="201"/>
      <c r="E2063" s="201"/>
      <c r="F2063" s="201"/>
      <c r="G2063" s="201">
        <f t="shared" si="450"/>
        <v>0</v>
      </c>
      <c r="H2063" s="201">
        <f t="shared" si="451"/>
        <v>0</v>
      </c>
      <c r="I2063" s="202"/>
      <c r="J2063" s="165" t="s">
        <v>10</v>
      </c>
      <c r="K2063" s="165" t="s">
        <v>108</v>
      </c>
      <c r="L2063" s="165" t="s">
        <v>58</v>
      </c>
      <c r="M2063" s="165"/>
      <c r="N2063" s="279"/>
      <c r="O2063" s="293"/>
      <c r="P2063" s="294"/>
    </row>
    <row r="2064" spans="1:16" s="175" customFormat="1" ht="14" outlineLevel="2">
      <c r="A2064" s="208" t="s">
        <v>8</v>
      </c>
      <c r="B2064" s="218" t="s">
        <v>875</v>
      </c>
      <c r="C2064" s="200" t="s">
        <v>346</v>
      </c>
      <c r="D2064" s="201"/>
      <c r="E2064" s="201"/>
      <c r="F2064" s="201"/>
      <c r="G2064" s="201">
        <f t="shared" si="450"/>
        <v>0</v>
      </c>
      <c r="H2064" s="201">
        <f t="shared" si="451"/>
        <v>0</v>
      </c>
      <c r="I2064" s="202"/>
      <c r="J2064" s="165" t="s">
        <v>10</v>
      </c>
      <c r="K2064" s="165" t="s">
        <v>108</v>
      </c>
      <c r="L2064" s="165" t="s">
        <v>58</v>
      </c>
      <c r="M2064" s="165"/>
      <c r="N2064" s="279"/>
      <c r="O2064" s="293"/>
      <c r="P2064" s="294"/>
    </row>
    <row r="2065" spans="1:16" s="175" customFormat="1" ht="14" outlineLevel="2">
      <c r="A2065" s="208" t="s">
        <v>8</v>
      </c>
      <c r="B2065" s="218" t="s">
        <v>877</v>
      </c>
      <c r="C2065" s="200" t="s">
        <v>346</v>
      </c>
      <c r="D2065" s="201"/>
      <c r="E2065" s="201"/>
      <c r="F2065" s="201"/>
      <c r="G2065" s="201">
        <f t="shared" si="450"/>
        <v>0</v>
      </c>
      <c r="H2065" s="201">
        <f t="shared" si="451"/>
        <v>0</v>
      </c>
      <c r="I2065" s="202"/>
      <c r="J2065" s="165" t="s">
        <v>10</v>
      </c>
      <c r="K2065" s="165" t="s">
        <v>108</v>
      </c>
      <c r="L2065" s="165" t="s">
        <v>58</v>
      </c>
      <c r="M2065" s="165"/>
      <c r="N2065" s="279"/>
      <c r="O2065" s="293"/>
      <c r="P2065" s="294"/>
    </row>
    <row r="2066" spans="1:16" s="175" customFormat="1" ht="14" outlineLevel="2">
      <c r="A2066" s="208" t="s">
        <v>8</v>
      </c>
      <c r="B2066" s="218" t="s">
        <v>878</v>
      </c>
      <c r="C2066" s="200" t="s">
        <v>346</v>
      </c>
      <c r="D2066" s="201"/>
      <c r="E2066" s="201"/>
      <c r="F2066" s="201"/>
      <c r="G2066" s="201">
        <f t="shared" si="450"/>
        <v>0</v>
      </c>
      <c r="H2066" s="201">
        <f t="shared" si="451"/>
        <v>0</v>
      </c>
      <c r="I2066" s="202"/>
      <c r="J2066" s="165" t="s">
        <v>10</v>
      </c>
      <c r="K2066" s="165" t="s">
        <v>108</v>
      </c>
      <c r="L2066" s="165" t="s">
        <v>58</v>
      </c>
      <c r="M2066" s="165"/>
      <c r="N2066" s="279"/>
      <c r="O2066" s="293"/>
      <c r="P2066" s="294"/>
    </row>
    <row r="2067" spans="1:16" s="175" customFormat="1" ht="14" outlineLevel="2">
      <c r="A2067" s="208"/>
      <c r="B2067" s="218" t="s">
        <v>879</v>
      </c>
      <c r="C2067" s="200" t="s">
        <v>346</v>
      </c>
      <c r="D2067" s="201"/>
      <c r="E2067" s="201"/>
      <c r="F2067" s="201"/>
      <c r="G2067" s="201">
        <f t="shared" si="450"/>
        <v>0</v>
      </c>
      <c r="H2067" s="201">
        <f t="shared" si="451"/>
        <v>0</v>
      </c>
      <c r="I2067" s="202"/>
      <c r="J2067" s="165" t="s">
        <v>10</v>
      </c>
      <c r="K2067" s="165" t="s">
        <v>108</v>
      </c>
      <c r="L2067" s="165" t="s">
        <v>58</v>
      </c>
      <c r="M2067" s="165"/>
      <c r="N2067" s="279"/>
      <c r="O2067" s="293"/>
      <c r="P2067" s="294"/>
    </row>
    <row r="2068" spans="1:16" s="175" customFormat="1" ht="14" outlineLevel="2">
      <c r="A2068" s="208" t="s">
        <v>8</v>
      </c>
      <c r="B2068" s="218" t="s">
        <v>880</v>
      </c>
      <c r="C2068" s="200" t="s">
        <v>346</v>
      </c>
      <c r="D2068" s="201"/>
      <c r="E2068" s="201"/>
      <c r="F2068" s="201"/>
      <c r="G2068" s="201">
        <f t="shared" si="450"/>
        <v>0</v>
      </c>
      <c r="H2068" s="201">
        <f t="shared" si="451"/>
        <v>0</v>
      </c>
      <c r="I2068" s="202"/>
      <c r="J2068" s="165" t="s">
        <v>10</v>
      </c>
      <c r="K2068" s="165" t="s">
        <v>108</v>
      </c>
      <c r="L2068" s="165" t="s">
        <v>58</v>
      </c>
      <c r="M2068" s="165"/>
      <c r="N2068" s="279"/>
      <c r="O2068" s="293"/>
      <c r="P2068" s="294"/>
    </row>
    <row r="2069" spans="1:16" s="175" customFormat="1" ht="14" outlineLevel="2">
      <c r="A2069" s="208" t="s">
        <v>8</v>
      </c>
      <c r="B2069" s="218" t="s">
        <v>881</v>
      </c>
      <c r="C2069" s="200" t="s">
        <v>346</v>
      </c>
      <c r="D2069" s="201"/>
      <c r="E2069" s="201"/>
      <c r="F2069" s="201"/>
      <c r="G2069" s="201">
        <f t="shared" ref="G2069" si="452">F2069*D2069</f>
        <v>0</v>
      </c>
      <c r="H2069" s="201">
        <f t="shared" ref="H2069" si="453">F2069*E2069</f>
        <v>0</v>
      </c>
      <c r="I2069" s="202"/>
      <c r="J2069" s="165" t="s">
        <v>10</v>
      </c>
      <c r="K2069" s="165" t="s">
        <v>108</v>
      </c>
      <c r="L2069" s="165" t="s">
        <v>58</v>
      </c>
      <c r="M2069" s="165"/>
      <c r="N2069" s="279"/>
      <c r="O2069" s="293"/>
      <c r="P2069" s="294"/>
    </row>
    <row r="2070" spans="1:16" s="188" customFormat="1" ht="14" outlineLevel="1">
      <c r="A2070" s="191">
        <v>10</v>
      </c>
      <c r="B2070" s="319" t="s">
        <v>887</v>
      </c>
      <c r="C2070" s="206"/>
      <c r="D2070" s="194"/>
      <c r="E2070" s="194"/>
      <c r="F2070" s="212"/>
      <c r="G2070" s="194">
        <f>SUBTOTAL(9,G2071:G2075)</f>
        <v>23741.398060941829</v>
      </c>
      <c r="H2070" s="194">
        <f>SUBTOTAL(9,H2071:H2075)</f>
        <v>27352.006094182827</v>
      </c>
      <c r="I2070" s="195"/>
      <c r="J2070" s="165"/>
      <c r="K2070" s="165"/>
      <c r="L2070" s="165"/>
      <c r="M2070" s="186"/>
      <c r="N2070" s="279"/>
      <c r="O2070" s="293"/>
      <c r="P2070" s="294"/>
    </row>
    <row r="2071" spans="1:16" s="175" customFormat="1" ht="14" outlineLevel="2">
      <c r="A2071" s="208" t="s">
        <v>8</v>
      </c>
      <c r="B2071" s="218" t="s">
        <v>1226</v>
      </c>
      <c r="C2071" s="200" t="s">
        <v>346</v>
      </c>
      <c r="D2071" s="201">
        <v>2</v>
      </c>
      <c r="E2071" s="201">
        <v>4</v>
      </c>
      <c r="F2071" s="201">
        <v>101</v>
      </c>
      <c r="G2071" s="201">
        <f t="shared" ref="G2071:G2075" si="454">F2071*D2071</f>
        <v>202</v>
      </c>
      <c r="H2071" s="201">
        <f t="shared" ref="H2071:H2075" si="455">F2071*E2071</f>
        <v>404</v>
      </c>
      <c r="I2071" s="202"/>
      <c r="J2071" s="165" t="s">
        <v>10</v>
      </c>
      <c r="K2071" s="165" t="s">
        <v>108</v>
      </c>
      <c r="L2071" s="165" t="s">
        <v>58</v>
      </c>
      <c r="M2071" s="165"/>
      <c r="N2071" s="279"/>
      <c r="O2071" s="293"/>
      <c r="P2071" s="294"/>
    </row>
    <row r="2072" spans="1:16" s="175" customFormat="1" ht="14" outlineLevel="2">
      <c r="A2072" s="208" t="s">
        <v>8</v>
      </c>
      <c r="B2072" s="218" t="s">
        <v>1227</v>
      </c>
      <c r="C2072" s="200" t="s">
        <v>346</v>
      </c>
      <c r="D2072" s="201">
        <v>11</v>
      </c>
      <c r="E2072" s="201">
        <v>13</v>
      </c>
      <c r="F2072" s="201">
        <v>103.01939058171745</v>
      </c>
      <c r="G2072" s="201">
        <f t="shared" si="454"/>
        <v>1133.213296398892</v>
      </c>
      <c r="H2072" s="201">
        <f t="shared" si="455"/>
        <v>1339.2520775623268</v>
      </c>
      <c r="I2072" s="202"/>
      <c r="J2072" s="165" t="s">
        <v>10</v>
      </c>
      <c r="K2072" s="165" t="s">
        <v>108</v>
      </c>
      <c r="L2072" s="165" t="s">
        <v>58</v>
      </c>
      <c r="M2072" s="165"/>
      <c r="N2072" s="279"/>
      <c r="O2072" s="293"/>
      <c r="P2072" s="294"/>
    </row>
    <row r="2073" spans="1:16" s="175" customFormat="1" ht="14" outlineLevel="2">
      <c r="A2073" s="208" t="s">
        <v>8</v>
      </c>
      <c r="B2073" s="218" t="s">
        <v>1228</v>
      </c>
      <c r="C2073" s="200" t="s">
        <v>346</v>
      </c>
      <c r="D2073" s="201">
        <v>15</v>
      </c>
      <c r="E2073" s="201">
        <v>22</v>
      </c>
      <c r="F2073" s="201">
        <v>107.17008310249308</v>
      </c>
      <c r="G2073" s="201">
        <f t="shared" si="454"/>
        <v>1607.5512465373963</v>
      </c>
      <c r="H2073" s="201">
        <f t="shared" si="455"/>
        <v>2357.7418282548479</v>
      </c>
      <c r="I2073" s="202"/>
      <c r="J2073" s="165" t="s">
        <v>10</v>
      </c>
      <c r="K2073" s="165" t="s">
        <v>108</v>
      </c>
      <c r="L2073" s="165" t="s">
        <v>58</v>
      </c>
      <c r="M2073" s="165"/>
      <c r="N2073" s="279"/>
      <c r="O2073" s="293"/>
      <c r="P2073" s="294"/>
    </row>
    <row r="2074" spans="1:16" s="175" customFormat="1" ht="14" outlineLevel="2">
      <c r="A2074" s="208" t="s">
        <v>8</v>
      </c>
      <c r="B2074" s="218" t="s">
        <v>1229</v>
      </c>
      <c r="C2074" s="200" t="s">
        <v>346</v>
      </c>
      <c r="D2074" s="201">
        <v>60</v>
      </c>
      <c r="E2074" s="201">
        <v>58</v>
      </c>
      <c r="F2074" s="201">
        <v>125.63185595567867</v>
      </c>
      <c r="G2074" s="201">
        <f t="shared" si="454"/>
        <v>7537.9113573407203</v>
      </c>
      <c r="H2074" s="201">
        <f t="shared" si="455"/>
        <v>7286.6476454293634</v>
      </c>
      <c r="I2074" s="202"/>
      <c r="J2074" s="165" t="s">
        <v>10</v>
      </c>
      <c r="K2074" s="165" t="s">
        <v>108</v>
      </c>
      <c r="L2074" s="165" t="s">
        <v>58</v>
      </c>
      <c r="M2074" s="165"/>
      <c r="N2074" s="279"/>
      <c r="O2074" s="293"/>
      <c r="P2074" s="294"/>
    </row>
    <row r="2075" spans="1:16" s="175" customFormat="1" ht="14" outlineLevel="2">
      <c r="A2075" s="208" t="s">
        <v>8</v>
      </c>
      <c r="B2075" s="218" t="s">
        <v>1230</v>
      </c>
      <c r="C2075" s="200" t="s">
        <v>346</v>
      </c>
      <c r="D2075" s="201">
        <v>103</v>
      </c>
      <c r="E2075" s="201">
        <v>124</v>
      </c>
      <c r="F2075" s="201">
        <v>128.74487534626039</v>
      </c>
      <c r="G2075" s="201">
        <f t="shared" si="454"/>
        <v>13260.72216066482</v>
      </c>
      <c r="H2075" s="201">
        <f t="shared" si="455"/>
        <v>15964.364542936288</v>
      </c>
      <c r="I2075" s="202"/>
      <c r="J2075" s="165" t="s">
        <v>10</v>
      </c>
      <c r="K2075" s="165" t="s">
        <v>108</v>
      </c>
      <c r="L2075" s="165" t="s">
        <v>58</v>
      </c>
      <c r="M2075" s="165"/>
      <c r="N2075" s="279"/>
      <c r="O2075" s="293"/>
      <c r="P2075" s="294"/>
    </row>
    <row r="2076" spans="1:16" s="188" customFormat="1" ht="14" outlineLevel="1">
      <c r="A2076" s="191">
        <v>11</v>
      </c>
      <c r="B2076" s="319" t="s">
        <v>888</v>
      </c>
      <c r="C2076" s="206"/>
      <c r="D2076" s="194"/>
      <c r="E2076" s="194"/>
      <c r="F2076" s="212"/>
      <c r="G2076" s="194">
        <f>SUBTOTAL(9,G2077:G2087)</f>
        <v>0</v>
      </c>
      <c r="H2076" s="194">
        <f>SUBTOTAL(9,H2077:H2087)</f>
        <v>0</v>
      </c>
      <c r="I2076" s="195"/>
      <c r="J2076" s="165"/>
      <c r="K2076" s="165"/>
      <c r="L2076" s="165"/>
      <c r="M2076" s="186"/>
      <c r="N2076" s="279"/>
      <c r="O2076" s="293"/>
      <c r="P2076" s="294"/>
    </row>
    <row r="2077" spans="1:16" s="175" customFormat="1" ht="14" outlineLevel="2">
      <c r="A2077" s="208" t="s">
        <v>8</v>
      </c>
      <c r="B2077" s="218" t="s">
        <v>883</v>
      </c>
      <c r="C2077" s="200" t="s">
        <v>346</v>
      </c>
      <c r="D2077" s="201"/>
      <c r="E2077" s="201"/>
      <c r="F2077" s="201"/>
      <c r="G2077" s="201">
        <f t="shared" ref="G2077:G2087" si="456">F2077*D2077</f>
        <v>0</v>
      </c>
      <c r="H2077" s="201">
        <f t="shared" ref="H2077:H2087" si="457">F2077*E2077</f>
        <v>0</v>
      </c>
      <c r="I2077" s="202"/>
      <c r="J2077" s="165" t="s">
        <v>10</v>
      </c>
      <c r="K2077" s="165" t="s">
        <v>108</v>
      </c>
      <c r="L2077" s="165" t="s">
        <v>58</v>
      </c>
      <c r="M2077" s="165"/>
      <c r="N2077" s="279"/>
      <c r="O2077" s="293"/>
      <c r="P2077" s="294"/>
    </row>
    <row r="2078" spans="1:16" s="175" customFormat="1" ht="14" outlineLevel="2">
      <c r="A2078" s="208" t="s">
        <v>8</v>
      </c>
      <c r="B2078" s="218" t="s">
        <v>884</v>
      </c>
      <c r="C2078" s="200" t="s">
        <v>346</v>
      </c>
      <c r="D2078" s="201"/>
      <c r="E2078" s="201"/>
      <c r="F2078" s="201"/>
      <c r="G2078" s="201">
        <f t="shared" si="456"/>
        <v>0</v>
      </c>
      <c r="H2078" s="201">
        <f t="shared" si="457"/>
        <v>0</v>
      </c>
      <c r="I2078" s="202"/>
      <c r="J2078" s="165" t="s">
        <v>10</v>
      </c>
      <c r="K2078" s="165" t="s">
        <v>108</v>
      </c>
      <c r="L2078" s="165" t="s">
        <v>58</v>
      </c>
      <c r="M2078" s="165"/>
      <c r="N2078" s="279"/>
      <c r="O2078" s="293"/>
      <c r="P2078" s="294"/>
    </row>
    <row r="2079" spans="1:16" s="175" customFormat="1" ht="14" outlineLevel="2">
      <c r="A2079" s="208" t="s">
        <v>8</v>
      </c>
      <c r="B2079" s="218" t="s">
        <v>885</v>
      </c>
      <c r="C2079" s="200" t="s">
        <v>346</v>
      </c>
      <c r="D2079" s="201"/>
      <c r="E2079" s="201"/>
      <c r="F2079" s="201"/>
      <c r="G2079" s="201">
        <f t="shared" si="456"/>
        <v>0</v>
      </c>
      <c r="H2079" s="201">
        <f t="shared" si="457"/>
        <v>0</v>
      </c>
      <c r="I2079" s="202"/>
      <c r="J2079" s="165" t="s">
        <v>10</v>
      </c>
      <c r="K2079" s="165" t="s">
        <v>108</v>
      </c>
      <c r="L2079" s="165" t="s">
        <v>58</v>
      </c>
      <c r="M2079" s="165"/>
      <c r="N2079" s="279"/>
      <c r="O2079" s="293"/>
      <c r="P2079" s="294"/>
    </row>
    <row r="2080" spans="1:16" s="175" customFormat="1" ht="14" outlineLevel="2">
      <c r="A2080" s="208" t="s">
        <v>8</v>
      </c>
      <c r="B2080" s="218" t="s">
        <v>873</v>
      </c>
      <c r="C2080" s="200" t="s">
        <v>346</v>
      </c>
      <c r="D2080" s="201"/>
      <c r="E2080" s="201"/>
      <c r="F2080" s="201"/>
      <c r="G2080" s="201">
        <f t="shared" si="456"/>
        <v>0</v>
      </c>
      <c r="H2080" s="201">
        <f t="shared" si="457"/>
        <v>0</v>
      </c>
      <c r="I2080" s="202"/>
      <c r="J2080" s="165" t="s">
        <v>10</v>
      </c>
      <c r="K2080" s="165" t="s">
        <v>108</v>
      </c>
      <c r="L2080" s="165" t="s">
        <v>58</v>
      </c>
      <c r="M2080" s="165"/>
      <c r="N2080" s="279"/>
      <c r="O2080" s="293"/>
      <c r="P2080" s="294"/>
    </row>
    <row r="2081" spans="1:16" s="175" customFormat="1" ht="14" outlineLevel="2">
      <c r="A2081" s="208" t="s">
        <v>8</v>
      </c>
      <c r="B2081" s="218" t="s">
        <v>874</v>
      </c>
      <c r="C2081" s="200" t="s">
        <v>346</v>
      </c>
      <c r="D2081" s="201"/>
      <c r="E2081" s="201"/>
      <c r="F2081" s="201"/>
      <c r="G2081" s="201">
        <f t="shared" si="456"/>
        <v>0</v>
      </c>
      <c r="H2081" s="201">
        <f t="shared" si="457"/>
        <v>0</v>
      </c>
      <c r="I2081" s="202"/>
      <c r="J2081" s="165" t="s">
        <v>10</v>
      </c>
      <c r="K2081" s="165" t="s">
        <v>108</v>
      </c>
      <c r="L2081" s="165" t="s">
        <v>58</v>
      </c>
      <c r="M2081" s="165"/>
      <c r="N2081" s="279"/>
      <c r="O2081" s="293"/>
      <c r="P2081" s="294"/>
    </row>
    <row r="2082" spans="1:16" s="175" customFormat="1" ht="14" outlineLevel="2">
      <c r="A2082" s="208" t="s">
        <v>8</v>
      </c>
      <c r="B2082" s="218" t="s">
        <v>875</v>
      </c>
      <c r="C2082" s="200" t="s">
        <v>346</v>
      </c>
      <c r="D2082" s="201"/>
      <c r="E2082" s="201"/>
      <c r="F2082" s="201"/>
      <c r="G2082" s="201">
        <f t="shared" si="456"/>
        <v>0</v>
      </c>
      <c r="H2082" s="201">
        <f t="shared" si="457"/>
        <v>0</v>
      </c>
      <c r="I2082" s="202"/>
      <c r="J2082" s="165" t="s">
        <v>10</v>
      </c>
      <c r="K2082" s="165" t="s">
        <v>108</v>
      </c>
      <c r="L2082" s="165" t="s">
        <v>58</v>
      </c>
      <c r="M2082" s="165"/>
      <c r="N2082" s="279"/>
      <c r="O2082" s="293"/>
      <c r="P2082" s="294"/>
    </row>
    <row r="2083" spans="1:16" s="175" customFormat="1" ht="14" outlineLevel="2">
      <c r="A2083" s="208" t="s">
        <v>8</v>
      </c>
      <c r="B2083" s="218" t="s">
        <v>877</v>
      </c>
      <c r="C2083" s="200" t="s">
        <v>346</v>
      </c>
      <c r="D2083" s="201"/>
      <c r="E2083" s="201"/>
      <c r="F2083" s="201"/>
      <c r="G2083" s="201">
        <f t="shared" si="456"/>
        <v>0</v>
      </c>
      <c r="H2083" s="201">
        <f t="shared" si="457"/>
        <v>0</v>
      </c>
      <c r="I2083" s="202"/>
      <c r="J2083" s="165" t="s">
        <v>10</v>
      </c>
      <c r="K2083" s="165" t="s">
        <v>108</v>
      </c>
      <c r="L2083" s="165" t="s">
        <v>58</v>
      </c>
      <c r="M2083" s="165"/>
      <c r="N2083" s="279"/>
      <c r="O2083" s="293"/>
      <c r="P2083" s="294"/>
    </row>
    <row r="2084" spans="1:16" s="175" customFormat="1" ht="14" outlineLevel="2">
      <c r="A2084" s="208" t="s">
        <v>8</v>
      </c>
      <c r="B2084" s="218" t="s">
        <v>878</v>
      </c>
      <c r="C2084" s="200" t="s">
        <v>346</v>
      </c>
      <c r="D2084" s="201"/>
      <c r="E2084" s="201"/>
      <c r="F2084" s="201"/>
      <c r="G2084" s="201">
        <f t="shared" si="456"/>
        <v>0</v>
      </c>
      <c r="H2084" s="201">
        <f t="shared" si="457"/>
        <v>0</v>
      </c>
      <c r="I2084" s="202"/>
      <c r="J2084" s="165" t="s">
        <v>10</v>
      </c>
      <c r="K2084" s="165" t="s">
        <v>108</v>
      </c>
      <c r="L2084" s="165" t="s">
        <v>58</v>
      </c>
      <c r="M2084" s="165"/>
      <c r="N2084" s="279"/>
      <c r="O2084" s="293"/>
      <c r="P2084" s="294"/>
    </row>
    <row r="2085" spans="1:16" s="175" customFormat="1" ht="14" outlineLevel="2">
      <c r="A2085" s="208"/>
      <c r="B2085" s="218" t="s">
        <v>879</v>
      </c>
      <c r="C2085" s="200" t="s">
        <v>346</v>
      </c>
      <c r="D2085" s="201"/>
      <c r="E2085" s="201"/>
      <c r="F2085" s="201"/>
      <c r="G2085" s="201">
        <f t="shared" si="456"/>
        <v>0</v>
      </c>
      <c r="H2085" s="201">
        <f t="shared" si="457"/>
        <v>0</v>
      </c>
      <c r="I2085" s="202"/>
      <c r="J2085" s="165" t="s">
        <v>10</v>
      </c>
      <c r="K2085" s="165" t="s">
        <v>108</v>
      </c>
      <c r="L2085" s="165" t="s">
        <v>58</v>
      </c>
      <c r="M2085" s="165"/>
      <c r="N2085" s="279"/>
      <c r="O2085" s="293"/>
      <c r="P2085" s="294"/>
    </row>
    <row r="2086" spans="1:16" s="175" customFormat="1" ht="14" outlineLevel="2">
      <c r="A2086" s="208" t="s">
        <v>8</v>
      </c>
      <c r="B2086" s="218" t="s">
        <v>880</v>
      </c>
      <c r="C2086" s="200" t="s">
        <v>346</v>
      </c>
      <c r="D2086" s="201"/>
      <c r="E2086" s="201"/>
      <c r="F2086" s="201"/>
      <c r="G2086" s="201">
        <f t="shared" si="456"/>
        <v>0</v>
      </c>
      <c r="H2086" s="201">
        <f t="shared" si="457"/>
        <v>0</v>
      </c>
      <c r="I2086" s="202"/>
      <c r="J2086" s="165" t="s">
        <v>10</v>
      </c>
      <c r="K2086" s="165" t="s">
        <v>108</v>
      </c>
      <c r="L2086" s="165" t="s">
        <v>58</v>
      </c>
      <c r="M2086" s="165"/>
      <c r="N2086" s="279"/>
      <c r="O2086" s="293"/>
      <c r="P2086" s="294"/>
    </row>
    <row r="2087" spans="1:16" s="175" customFormat="1" ht="14" outlineLevel="2">
      <c r="A2087" s="208" t="s">
        <v>8</v>
      </c>
      <c r="B2087" s="218" t="s">
        <v>881</v>
      </c>
      <c r="C2087" s="200" t="s">
        <v>346</v>
      </c>
      <c r="D2087" s="201"/>
      <c r="E2087" s="201"/>
      <c r="F2087" s="201"/>
      <c r="G2087" s="201">
        <f t="shared" si="456"/>
        <v>0</v>
      </c>
      <c r="H2087" s="201">
        <f t="shared" si="457"/>
        <v>0</v>
      </c>
      <c r="I2087" s="202"/>
      <c r="J2087" s="165" t="s">
        <v>10</v>
      </c>
      <c r="K2087" s="165" t="s">
        <v>108</v>
      </c>
      <c r="L2087" s="165" t="s">
        <v>58</v>
      </c>
      <c r="M2087" s="165"/>
      <c r="N2087" s="279"/>
      <c r="O2087" s="293"/>
      <c r="P2087" s="294"/>
    </row>
    <row r="2088" spans="1:16" s="216" customFormat="1" ht="14">
      <c r="A2088" s="228" t="s">
        <v>12</v>
      </c>
      <c r="B2088" s="229" t="s">
        <v>68</v>
      </c>
      <c r="C2088" s="230"/>
      <c r="D2088" s="231"/>
      <c r="E2088" s="231"/>
      <c r="F2088" s="232"/>
      <c r="G2088" s="300">
        <f>SUBTOTAL(9,G2089:G2095)</f>
        <v>153509.65460526315</v>
      </c>
      <c r="H2088" s="300">
        <f>SUBTOTAL(9,H2089:H2095)</f>
        <v>102339.76973684211</v>
      </c>
      <c r="I2088" s="231"/>
      <c r="J2088" s="165" t="s">
        <v>29</v>
      </c>
      <c r="K2088" s="222"/>
      <c r="L2088" s="222"/>
      <c r="M2088" s="213"/>
      <c r="N2088" s="301"/>
      <c r="O2088" s="237"/>
      <c r="P2088" s="238"/>
    </row>
    <row r="2089" spans="1:16" s="216" customFormat="1" ht="14" outlineLevel="1">
      <c r="A2089" s="191">
        <v>1</v>
      </c>
      <c r="B2089" s="302" t="s">
        <v>147</v>
      </c>
      <c r="C2089" s="252"/>
      <c r="D2089" s="242"/>
      <c r="E2089" s="242"/>
      <c r="F2089" s="212"/>
      <c r="G2089" s="242">
        <f>SUBTOTAL(9,G2090:G2093)</f>
        <v>153509.65460526315</v>
      </c>
      <c r="H2089" s="242">
        <f>SUBTOTAL(9,H2090:H2093)</f>
        <v>102339.76973684211</v>
      </c>
      <c r="I2089" s="303"/>
      <c r="J2089" s="165" t="s">
        <v>29</v>
      </c>
      <c r="K2089" s="215"/>
      <c r="L2089" s="219"/>
      <c r="M2089" s="236"/>
      <c r="N2089" s="237"/>
      <c r="O2089" s="241"/>
      <c r="P2089" s="217"/>
    </row>
    <row r="2090" spans="1:16" s="219" customFormat="1" ht="14" outlineLevel="2">
      <c r="A2090" s="191" t="s">
        <v>8</v>
      </c>
      <c r="B2090" s="304" t="s">
        <v>1327</v>
      </c>
      <c r="C2090" s="200" t="s">
        <v>339</v>
      </c>
      <c r="D2090" s="201">
        <v>680400</v>
      </c>
      <c r="E2090" s="201">
        <v>453600</v>
      </c>
      <c r="F2090" s="588">
        <v>0.19017269736842105</v>
      </c>
      <c r="G2090" s="201">
        <f t="shared" ref="G2090:G2091" si="458">F2090*D2090</f>
        <v>129393.50328947368</v>
      </c>
      <c r="H2090" s="201">
        <f t="shared" ref="H2090:H2091" si="459">F2090*E2090</f>
        <v>86262.335526315786</v>
      </c>
      <c r="I2090" s="202"/>
      <c r="J2090" s="165" t="s">
        <v>29</v>
      </c>
      <c r="K2090" s="214" t="s">
        <v>163</v>
      </c>
      <c r="L2090" s="214" t="s">
        <v>58</v>
      </c>
      <c r="M2090" s="236"/>
      <c r="N2090" s="237"/>
      <c r="O2090" s="241"/>
      <c r="P2090" s="220"/>
    </row>
    <row r="2091" spans="1:16" s="219" customFormat="1" ht="14" outlineLevel="2">
      <c r="A2091" s="191" t="s">
        <v>8</v>
      </c>
      <c r="B2091" s="304" t="s">
        <v>1328</v>
      </c>
      <c r="C2091" s="200" t="s">
        <v>1015</v>
      </c>
      <c r="D2091" s="201">
        <v>453.6</v>
      </c>
      <c r="E2091" s="201">
        <v>302.40000000000003</v>
      </c>
      <c r="F2091" s="588">
        <v>18.00986842105263</v>
      </c>
      <c r="G2091" s="201">
        <f t="shared" si="458"/>
        <v>8169.2763157894733</v>
      </c>
      <c r="H2091" s="201">
        <f t="shared" si="459"/>
        <v>5446.1842105263158</v>
      </c>
      <c r="I2091" s="202"/>
      <c r="J2091" s="165" t="s">
        <v>29</v>
      </c>
      <c r="K2091" s="214" t="s">
        <v>163</v>
      </c>
      <c r="L2091" s="214" t="s">
        <v>58</v>
      </c>
      <c r="M2091" s="236"/>
      <c r="N2091" s="237"/>
      <c r="O2091" s="241"/>
      <c r="P2091" s="220"/>
    </row>
    <row r="2092" spans="1:16" s="219" customFormat="1" ht="14" outlineLevel="2">
      <c r="A2092" s="191" t="s">
        <v>8</v>
      </c>
      <c r="B2092" s="304" t="s">
        <v>1329</v>
      </c>
      <c r="C2092" s="200" t="s">
        <v>1015</v>
      </c>
      <c r="D2092" s="271">
        <v>226.8</v>
      </c>
      <c r="E2092" s="271">
        <v>151.20000000000002</v>
      </c>
      <c r="F2092" s="595">
        <v>23.4375</v>
      </c>
      <c r="G2092" s="201">
        <f t="shared" ref="G2092:G2093" si="460">F2092*D2092</f>
        <v>5315.625</v>
      </c>
      <c r="H2092" s="201">
        <f t="shared" ref="H2092:H2093" si="461">F2092*E2092</f>
        <v>3543.7500000000005</v>
      </c>
      <c r="I2092" s="202"/>
      <c r="J2092" s="165" t="s">
        <v>29</v>
      </c>
      <c r="K2092" s="214" t="s">
        <v>163</v>
      </c>
      <c r="L2092" s="214" t="s">
        <v>58</v>
      </c>
      <c r="M2092" s="236"/>
      <c r="N2092" s="237"/>
      <c r="O2092" s="241"/>
      <c r="P2092" s="220"/>
    </row>
    <row r="2093" spans="1:16" s="219" customFormat="1" ht="14" outlineLevel="2">
      <c r="A2093" s="191" t="s">
        <v>8</v>
      </c>
      <c r="B2093" s="304" t="s">
        <v>1330</v>
      </c>
      <c r="C2093" s="200" t="s">
        <v>1015</v>
      </c>
      <c r="D2093" s="201">
        <v>453.6</v>
      </c>
      <c r="E2093" s="201">
        <v>302.40000000000003</v>
      </c>
      <c r="F2093" s="588">
        <v>23.4375</v>
      </c>
      <c r="G2093" s="201">
        <f t="shared" si="460"/>
        <v>10631.25</v>
      </c>
      <c r="H2093" s="201">
        <f t="shared" si="461"/>
        <v>7087.5000000000009</v>
      </c>
      <c r="I2093" s="202"/>
      <c r="J2093" s="165" t="s">
        <v>29</v>
      </c>
      <c r="K2093" s="214" t="s">
        <v>163</v>
      </c>
      <c r="L2093" s="214" t="s">
        <v>58</v>
      </c>
      <c r="M2093" s="236"/>
      <c r="N2093" s="237"/>
      <c r="O2093" s="241"/>
      <c r="P2093" s="220"/>
    </row>
    <row r="2094" spans="1:16" s="219" customFormat="1" ht="14" outlineLevel="1">
      <c r="A2094" s="191">
        <v>2</v>
      </c>
      <c r="B2094" s="302" t="s">
        <v>91</v>
      </c>
      <c r="C2094" s="252"/>
      <c r="D2094" s="242"/>
      <c r="E2094" s="242"/>
      <c r="F2094" s="212"/>
      <c r="G2094" s="242">
        <f>SUBTOTAL(9,G2095:G2095)</f>
        <v>0</v>
      </c>
      <c r="H2094" s="242">
        <f>SUBTOTAL(9,H2095:H2095)</f>
        <v>0</v>
      </c>
      <c r="I2094" s="303"/>
      <c r="J2094" s="214"/>
      <c r="K2094" s="214"/>
      <c r="M2094" s="236"/>
      <c r="N2094" s="237"/>
      <c r="O2094" s="241"/>
      <c r="P2094" s="220"/>
    </row>
    <row r="2095" spans="1:16" s="219" customFormat="1" ht="14" outlineLevel="2">
      <c r="A2095" s="208" t="s">
        <v>8</v>
      </c>
      <c r="B2095" s="304" t="s">
        <v>184</v>
      </c>
      <c r="C2095" s="200" t="s">
        <v>30</v>
      </c>
      <c r="D2095" s="201"/>
      <c r="E2095" s="201"/>
      <c r="F2095" s="201"/>
      <c r="G2095" s="201">
        <f>F2095*D2095</f>
        <v>0</v>
      </c>
      <c r="H2095" s="201">
        <f>F2095*E2095</f>
        <v>0</v>
      </c>
      <c r="I2095" s="202"/>
      <c r="J2095" s="165" t="s">
        <v>29</v>
      </c>
      <c r="K2095" s="214" t="s">
        <v>196</v>
      </c>
      <c r="L2095" s="214" t="s">
        <v>58</v>
      </c>
      <c r="M2095" s="236"/>
      <c r="N2095" s="237"/>
      <c r="O2095" s="241"/>
      <c r="P2095" s="220"/>
    </row>
    <row r="2096" spans="1:16" s="216" customFormat="1" ht="14">
      <c r="A2096" s="253" t="s">
        <v>19</v>
      </c>
      <c r="B2096" s="254" t="s">
        <v>59</v>
      </c>
      <c r="C2096" s="255"/>
      <c r="D2096" s="256"/>
      <c r="E2096" s="256"/>
      <c r="F2096" s="257"/>
      <c r="G2096" s="256">
        <f>SUBTOTAL(9,G2097:G2183)</f>
        <v>503193</v>
      </c>
      <c r="H2096" s="305">
        <f>SUBTOTAL(9,H2097:H2183)</f>
        <v>387511.53846153844</v>
      </c>
      <c r="I2096" s="256"/>
      <c r="J2096" s="214"/>
      <c r="K2096" s="306"/>
      <c r="L2096" s="306"/>
      <c r="M2096" s="222"/>
      <c r="N2096" s="301"/>
      <c r="O2096" s="237"/>
      <c r="P2096" s="238"/>
    </row>
    <row r="2097" spans="1:17" s="219" customFormat="1" ht="14" outlineLevel="1">
      <c r="A2097" s="191">
        <v>1</v>
      </c>
      <c r="B2097" s="153" t="s">
        <v>1231</v>
      </c>
      <c r="C2097" s="252"/>
      <c r="D2097" s="242"/>
      <c r="E2097" s="242"/>
      <c r="F2097" s="242"/>
      <c r="G2097" s="242">
        <f>SUBTOTAL(9,G2098:G2115)</f>
        <v>249552.30769230769</v>
      </c>
      <c r="H2097" s="194">
        <f>SUBTOTAL(9,H2098:H2115)</f>
        <v>157775.23076923075</v>
      </c>
      <c r="I2097" s="202"/>
      <c r="J2097" s="214"/>
      <c r="K2097" s="214"/>
      <c r="L2097" s="214"/>
      <c r="M2097" s="214"/>
      <c r="N2097" s="219" t="s">
        <v>107</v>
      </c>
      <c r="P2097" s="220"/>
      <c r="Q2097" s="259" t="s">
        <v>138</v>
      </c>
    </row>
    <row r="2098" spans="1:17" s="219" customFormat="1" ht="14" outlineLevel="2">
      <c r="A2098" s="191">
        <v>1.1000000000000001</v>
      </c>
      <c r="B2098" s="153" t="s">
        <v>60</v>
      </c>
      <c r="C2098" s="202"/>
      <c r="D2098" s="200"/>
      <c r="E2098" s="200"/>
      <c r="F2098" s="200"/>
      <c r="G2098" s="201">
        <f>F2098*D2098</f>
        <v>0</v>
      </c>
      <c r="H2098" s="201">
        <f>F2098*E2098</f>
        <v>0</v>
      </c>
      <c r="I2098" s="202"/>
      <c r="J2098" s="214"/>
      <c r="K2098" s="214"/>
      <c r="L2098" s="214"/>
      <c r="M2098" s="214" t="s">
        <v>138</v>
      </c>
      <c r="N2098" s="219" t="s">
        <v>107</v>
      </c>
      <c r="P2098" s="220"/>
      <c r="Q2098" s="259" t="s">
        <v>138</v>
      </c>
    </row>
    <row r="2099" spans="1:17" s="219" customFormat="1" ht="14" outlineLevel="3">
      <c r="A2099" s="203" t="s">
        <v>8</v>
      </c>
      <c r="B2099" s="251" t="s">
        <v>149</v>
      </c>
      <c r="C2099" s="200" t="s">
        <v>25</v>
      </c>
      <c r="D2099" s="201"/>
      <c r="E2099" s="201"/>
      <c r="F2099" s="201"/>
      <c r="G2099" s="201">
        <f t="shared" ref="G2099:G2100" si="462">F2099*D2099</f>
        <v>0</v>
      </c>
      <c r="H2099" s="201">
        <f t="shared" ref="H2099:H2100" si="463">F2099*E2099</f>
        <v>0</v>
      </c>
      <c r="I2099" s="202"/>
      <c r="J2099" s="165" t="s">
        <v>10</v>
      </c>
      <c r="K2099" s="214" t="s">
        <v>107</v>
      </c>
      <c r="L2099" s="214"/>
      <c r="M2099" s="214" t="s">
        <v>138</v>
      </c>
      <c r="N2099" s="236" t="s">
        <v>107</v>
      </c>
      <c r="P2099" s="220"/>
      <c r="Q2099" s="259" t="s">
        <v>138</v>
      </c>
    </row>
    <row r="2100" spans="1:17" s="219" customFormat="1" ht="14" outlineLevel="3">
      <c r="A2100" s="203" t="s">
        <v>8</v>
      </c>
      <c r="B2100" s="218" t="s">
        <v>123</v>
      </c>
      <c r="C2100" s="200" t="s">
        <v>25</v>
      </c>
      <c r="D2100" s="201"/>
      <c r="E2100" s="201"/>
      <c r="F2100" s="201"/>
      <c r="G2100" s="201">
        <f t="shared" si="462"/>
        <v>0</v>
      </c>
      <c r="H2100" s="201">
        <f t="shared" si="463"/>
        <v>0</v>
      </c>
      <c r="I2100" s="202"/>
      <c r="J2100" s="165" t="s">
        <v>10</v>
      </c>
      <c r="K2100" s="214" t="s">
        <v>107</v>
      </c>
      <c r="L2100" s="214"/>
      <c r="M2100" s="214" t="s">
        <v>138</v>
      </c>
      <c r="N2100" s="236" t="s">
        <v>107</v>
      </c>
      <c r="P2100" s="220"/>
      <c r="Q2100" s="259" t="s">
        <v>138</v>
      </c>
    </row>
    <row r="2101" spans="1:17" s="219" customFormat="1" ht="14" outlineLevel="3">
      <c r="A2101" s="203" t="s">
        <v>8</v>
      </c>
      <c r="B2101" s="153" t="s">
        <v>63</v>
      </c>
      <c r="C2101" s="202"/>
      <c r="D2101" s="200"/>
      <c r="E2101" s="200"/>
      <c r="F2101" s="200"/>
      <c r="G2101" s="201"/>
      <c r="H2101" s="201">
        <f>F2101*E2101</f>
        <v>0</v>
      </c>
      <c r="I2101" s="202"/>
      <c r="J2101" s="214"/>
      <c r="K2101" s="214"/>
      <c r="L2101" s="214"/>
      <c r="M2101" s="214" t="s">
        <v>138</v>
      </c>
      <c r="N2101" s="219" t="s">
        <v>107</v>
      </c>
      <c r="P2101" s="220"/>
      <c r="Q2101" s="259" t="s">
        <v>138</v>
      </c>
    </row>
    <row r="2102" spans="1:17" s="219" customFormat="1" ht="14" outlineLevel="3">
      <c r="A2102" s="191" t="s">
        <v>8</v>
      </c>
      <c r="B2102" s="251" t="s">
        <v>150</v>
      </c>
      <c r="C2102" s="200" t="s">
        <v>25</v>
      </c>
      <c r="D2102" s="201"/>
      <c r="E2102" s="201"/>
      <c r="F2102" s="201"/>
      <c r="G2102" s="201">
        <f>F2102*D2102</f>
        <v>0</v>
      </c>
      <c r="H2102" s="201">
        <f>F2102*E2102</f>
        <v>0</v>
      </c>
      <c r="I2102" s="202"/>
      <c r="J2102" s="165" t="s">
        <v>10</v>
      </c>
      <c r="K2102" s="214" t="s">
        <v>107</v>
      </c>
      <c r="L2102" s="214"/>
      <c r="M2102" s="214" t="s">
        <v>138</v>
      </c>
      <c r="N2102" s="236" t="s">
        <v>107</v>
      </c>
      <c r="P2102" s="220"/>
      <c r="Q2102" s="259" t="s">
        <v>138</v>
      </c>
    </row>
    <row r="2103" spans="1:17" s="219" customFormat="1" ht="14" outlineLevel="2">
      <c r="A2103" s="186">
        <v>1.2</v>
      </c>
      <c r="B2103" s="153" t="s">
        <v>64</v>
      </c>
      <c r="C2103" s="202"/>
      <c r="D2103" s="200"/>
      <c r="E2103" s="200"/>
      <c r="F2103" s="200"/>
      <c r="G2103" s="201">
        <f>F2103*D2103</f>
        <v>0</v>
      </c>
      <c r="H2103" s="201">
        <f>F2103*E2103</f>
        <v>0</v>
      </c>
      <c r="I2103" s="202"/>
      <c r="J2103" s="214"/>
      <c r="K2103" s="214"/>
      <c r="L2103" s="214"/>
      <c r="M2103" s="214" t="s">
        <v>138</v>
      </c>
      <c r="N2103" s="219" t="s">
        <v>107</v>
      </c>
      <c r="P2103" s="220"/>
      <c r="Q2103" s="259" t="s">
        <v>138</v>
      </c>
    </row>
    <row r="2104" spans="1:17" s="219" customFormat="1" ht="14" outlineLevel="3">
      <c r="A2104" s="203" t="s">
        <v>8</v>
      </c>
      <c r="B2104" s="218" t="s">
        <v>124</v>
      </c>
      <c r="C2104" s="200" t="s">
        <v>25</v>
      </c>
      <c r="D2104" s="201"/>
      <c r="E2104" s="201"/>
      <c r="F2104" s="201"/>
      <c r="G2104" s="201">
        <f>F2104*D2104</f>
        <v>0</v>
      </c>
      <c r="H2104" s="201">
        <f>F2104*E2104</f>
        <v>0</v>
      </c>
      <c r="I2104" s="202"/>
      <c r="J2104" s="165" t="s">
        <v>10</v>
      </c>
      <c r="K2104" s="214"/>
      <c r="L2104" s="214"/>
      <c r="M2104" s="214" t="s">
        <v>138</v>
      </c>
      <c r="N2104" s="219" t="s">
        <v>107</v>
      </c>
      <c r="P2104" s="220"/>
      <c r="Q2104" s="259" t="s">
        <v>138</v>
      </c>
    </row>
    <row r="2105" spans="1:17" s="219" customFormat="1" ht="14" outlineLevel="3">
      <c r="A2105" s="203" t="s">
        <v>8</v>
      </c>
      <c r="B2105" s="251" t="s">
        <v>151</v>
      </c>
      <c r="C2105" s="200" t="s">
        <v>25</v>
      </c>
      <c r="D2105" s="201"/>
      <c r="E2105" s="201"/>
      <c r="F2105" s="201"/>
      <c r="G2105" s="201">
        <f t="shared" ref="G2105:G2110" si="464">F2105*D2105</f>
        <v>0</v>
      </c>
      <c r="H2105" s="201">
        <f t="shared" ref="H2105:H2110" si="465">F2105*E2105</f>
        <v>0</v>
      </c>
      <c r="I2105" s="202"/>
      <c r="J2105" s="165" t="s">
        <v>10</v>
      </c>
      <c r="K2105" s="214" t="s">
        <v>107</v>
      </c>
      <c r="L2105" s="214"/>
      <c r="M2105" s="214" t="s">
        <v>138</v>
      </c>
      <c r="N2105" s="236" t="s">
        <v>107</v>
      </c>
      <c r="P2105" s="220"/>
      <c r="Q2105" s="259" t="s">
        <v>138</v>
      </c>
    </row>
    <row r="2106" spans="1:17" s="219" customFormat="1" ht="14" outlineLevel="3">
      <c r="A2106" s="203" t="s">
        <v>8</v>
      </c>
      <c r="B2106" s="251" t="s">
        <v>618</v>
      </c>
      <c r="C2106" s="200" t="s">
        <v>25</v>
      </c>
      <c r="D2106" s="201">
        <v>228</v>
      </c>
      <c r="E2106" s="201">
        <v>132</v>
      </c>
      <c r="F2106" s="201">
        <v>423</v>
      </c>
      <c r="G2106" s="201">
        <f t="shared" si="464"/>
        <v>96444</v>
      </c>
      <c r="H2106" s="201">
        <f t="shared" si="465"/>
        <v>55836</v>
      </c>
      <c r="I2106" s="202"/>
      <c r="J2106" s="165" t="s">
        <v>10</v>
      </c>
      <c r="K2106" s="214" t="s">
        <v>107</v>
      </c>
      <c r="L2106" s="214"/>
      <c r="M2106" s="214" t="s">
        <v>138</v>
      </c>
      <c r="N2106" s="236" t="s">
        <v>107</v>
      </c>
      <c r="P2106" s="220"/>
      <c r="Q2106" s="259" t="s">
        <v>138</v>
      </c>
    </row>
    <row r="2107" spans="1:17" s="219" customFormat="1" ht="14" outlineLevel="3">
      <c r="A2107" s="203" t="s">
        <v>8</v>
      </c>
      <c r="B2107" s="251" t="s">
        <v>152</v>
      </c>
      <c r="C2107" s="200" t="s">
        <v>25</v>
      </c>
      <c r="D2107" s="201"/>
      <c r="E2107" s="201"/>
      <c r="F2107" s="201"/>
      <c r="G2107" s="201">
        <f t="shared" si="464"/>
        <v>0</v>
      </c>
      <c r="H2107" s="201">
        <f t="shared" si="465"/>
        <v>0</v>
      </c>
      <c r="I2107" s="202"/>
      <c r="J2107" s="165" t="s">
        <v>10</v>
      </c>
      <c r="K2107" s="214" t="s">
        <v>107</v>
      </c>
      <c r="L2107" s="214"/>
      <c r="M2107" s="214" t="s">
        <v>138</v>
      </c>
      <c r="N2107" s="236" t="s">
        <v>107</v>
      </c>
      <c r="P2107" s="220"/>
      <c r="Q2107" s="259" t="s">
        <v>138</v>
      </c>
    </row>
    <row r="2108" spans="1:17" s="219" customFormat="1" ht="14" outlineLevel="3">
      <c r="A2108" s="203" t="s">
        <v>8</v>
      </c>
      <c r="B2108" s="251" t="s">
        <v>153</v>
      </c>
      <c r="C2108" s="200" t="s">
        <v>25</v>
      </c>
      <c r="D2108" s="201"/>
      <c r="E2108" s="201"/>
      <c r="F2108" s="201"/>
      <c r="G2108" s="201">
        <f t="shared" si="464"/>
        <v>0</v>
      </c>
      <c r="H2108" s="201">
        <f t="shared" si="465"/>
        <v>0</v>
      </c>
      <c r="I2108" s="202"/>
      <c r="J2108" s="165" t="s">
        <v>10</v>
      </c>
      <c r="K2108" s="214" t="s">
        <v>107</v>
      </c>
      <c r="L2108" s="214"/>
      <c r="M2108" s="214" t="s">
        <v>138</v>
      </c>
      <c r="N2108" s="236" t="s">
        <v>107</v>
      </c>
      <c r="P2108" s="220"/>
      <c r="Q2108" s="259" t="s">
        <v>138</v>
      </c>
    </row>
    <row r="2109" spans="1:17" s="219" customFormat="1" ht="14" outlineLevel="3">
      <c r="A2109" s="203" t="s">
        <v>8</v>
      </c>
      <c r="B2109" s="251" t="s">
        <v>154</v>
      </c>
      <c r="C2109" s="200" t="s">
        <v>25</v>
      </c>
      <c r="D2109" s="201"/>
      <c r="E2109" s="201"/>
      <c r="F2109" s="201"/>
      <c r="G2109" s="201">
        <f t="shared" si="464"/>
        <v>0</v>
      </c>
      <c r="H2109" s="201">
        <f t="shared" si="465"/>
        <v>0</v>
      </c>
      <c r="I2109" s="202"/>
      <c r="J2109" s="165" t="s">
        <v>10</v>
      </c>
      <c r="K2109" s="214" t="s">
        <v>107</v>
      </c>
      <c r="L2109" s="214"/>
      <c r="M2109" s="214" t="s">
        <v>138</v>
      </c>
      <c r="N2109" s="236"/>
      <c r="P2109" s="220"/>
      <c r="Q2109" s="259" t="s">
        <v>138</v>
      </c>
    </row>
    <row r="2110" spans="1:17" s="219" customFormat="1" ht="14" outlineLevel="3">
      <c r="A2110" s="203" t="s">
        <v>8</v>
      </c>
      <c r="B2110" s="251" t="s">
        <v>155</v>
      </c>
      <c r="C2110" s="200" t="s">
        <v>25</v>
      </c>
      <c r="D2110" s="201"/>
      <c r="E2110" s="201"/>
      <c r="F2110" s="201"/>
      <c r="G2110" s="201">
        <f t="shared" si="464"/>
        <v>0</v>
      </c>
      <c r="H2110" s="201">
        <f t="shared" si="465"/>
        <v>0</v>
      </c>
      <c r="I2110" s="202"/>
      <c r="J2110" s="165" t="s">
        <v>10</v>
      </c>
      <c r="K2110" s="214" t="s">
        <v>107</v>
      </c>
      <c r="L2110" s="214"/>
      <c r="M2110" s="214" t="s">
        <v>138</v>
      </c>
      <c r="N2110" s="236" t="s">
        <v>112</v>
      </c>
      <c r="P2110" s="220"/>
      <c r="Q2110" s="259" t="s">
        <v>138</v>
      </c>
    </row>
    <row r="2111" spans="1:17" s="219" customFormat="1" ht="14" outlineLevel="2">
      <c r="A2111" s="186">
        <v>1.3</v>
      </c>
      <c r="B2111" s="153" t="s">
        <v>1232</v>
      </c>
      <c r="C2111" s="202"/>
      <c r="D2111" s="200"/>
      <c r="E2111" s="200"/>
      <c r="F2111" s="200"/>
      <c r="G2111" s="201">
        <f>F2111*D2111</f>
        <v>0</v>
      </c>
      <c r="H2111" s="201">
        <f>F2111*E2111</f>
        <v>0</v>
      </c>
      <c r="I2111" s="202"/>
      <c r="J2111" s="214"/>
      <c r="K2111" s="214"/>
      <c r="L2111" s="214"/>
      <c r="M2111" s="214" t="s">
        <v>138</v>
      </c>
      <c r="N2111" s="219" t="s">
        <v>107</v>
      </c>
      <c r="P2111" s="220"/>
      <c r="Q2111" s="259" t="s">
        <v>138</v>
      </c>
    </row>
    <row r="2112" spans="1:17" s="219" customFormat="1" ht="14" outlineLevel="3">
      <c r="A2112" s="203" t="s">
        <v>8</v>
      </c>
      <c r="B2112" s="218" t="s">
        <v>1233</v>
      </c>
      <c r="C2112" s="200" t="s">
        <v>582</v>
      </c>
      <c r="D2112" s="201">
        <v>8</v>
      </c>
      <c r="E2112" s="201">
        <v>10</v>
      </c>
      <c r="F2112" s="201">
        <v>2477</v>
      </c>
      <c r="G2112" s="201">
        <f>F2112*D2112</f>
        <v>19816</v>
      </c>
      <c r="H2112" s="201">
        <f>F2112*E2112</f>
        <v>24770</v>
      </c>
      <c r="I2112" s="202"/>
      <c r="J2112" s="165" t="s">
        <v>10</v>
      </c>
      <c r="K2112" s="214" t="s">
        <v>107</v>
      </c>
      <c r="L2112" s="214"/>
      <c r="M2112" s="214" t="s">
        <v>138</v>
      </c>
      <c r="N2112" s="219" t="s">
        <v>107</v>
      </c>
      <c r="P2112" s="220"/>
      <c r="Q2112" s="259" t="s">
        <v>138</v>
      </c>
    </row>
    <row r="2113" spans="1:17" s="219" customFormat="1" ht="14" outlineLevel="2">
      <c r="A2113" s="191">
        <v>1.4</v>
      </c>
      <c r="B2113" s="153" t="s">
        <v>65</v>
      </c>
      <c r="C2113" s="202"/>
      <c r="D2113" s="200"/>
      <c r="E2113" s="200"/>
      <c r="F2113" s="200"/>
      <c r="G2113" s="201">
        <f>F2113*D2113</f>
        <v>0</v>
      </c>
      <c r="H2113" s="201">
        <f>F2113*E2113</f>
        <v>0</v>
      </c>
      <c r="I2113" s="202"/>
      <c r="J2113" s="214"/>
      <c r="K2113" s="214"/>
      <c r="L2113" s="214"/>
      <c r="M2113" s="214" t="s">
        <v>138</v>
      </c>
      <c r="N2113" s="219" t="s">
        <v>112</v>
      </c>
      <c r="P2113" s="220"/>
      <c r="Q2113" s="259" t="s">
        <v>138</v>
      </c>
    </row>
    <row r="2114" spans="1:17" s="219" customFormat="1" ht="14" outlineLevel="3">
      <c r="A2114" s="203" t="s">
        <v>8</v>
      </c>
      <c r="B2114" s="218" t="s">
        <v>49</v>
      </c>
      <c r="C2114" s="200" t="s">
        <v>48</v>
      </c>
      <c r="D2114" s="201">
        <v>3507.6923076923076</v>
      </c>
      <c r="E2114" s="201">
        <v>2030.7692307692307</v>
      </c>
      <c r="F2114" s="201">
        <v>38</v>
      </c>
      <c r="G2114" s="201">
        <f t="shared" ref="G2114:G2115" si="466">F2114*D2114</f>
        <v>133292.30769230769</v>
      </c>
      <c r="H2114" s="201">
        <f t="shared" ref="H2114:H2115" si="467">F2114*E2114</f>
        <v>77169.230769230766</v>
      </c>
      <c r="I2114" s="202"/>
      <c r="J2114" s="165" t="s">
        <v>10</v>
      </c>
      <c r="K2114" s="214" t="s">
        <v>107</v>
      </c>
      <c r="L2114" s="214"/>
      <c r="M2114" s="214" t="s">
        <v>138</v>
      </c>
      <c r="N2114" s="236" t="s">
        <v>112</v>
      </c>
      <c r="P2114" s="220"/>
      <c r="Q2114" s="259" t="s">
        <v>138</v>
      </c>
    </row>
    <row r="2115" spans="1:17" s="219" customFormat="1" ht="14" outlineLevel="3">
      <c r="A2115" s="203" t="s">
        <v>8</v>
      </c>
      <c r="B2115" s="218" t="s">
        <v>50</v>
      </c>
      <c r="C2115" s="200" t="s">
        <v>48</v>
      </c>
      <c r="D2115" s="201"/>
      <c r="E2115" s="201"/>
      <c r="F2115" s="201"/>
      <c r="G2115" s="201">
        <f t="shared" si="466"/>
        <v>0</v>
      </c>
      <c r="H2115" s="201">
        <f t="shared" si="467"/>
        <v>0</v>
      </c>
      <c r="I2115" s="202"/>
      <c r="J2115" s="165" t="s">
        <v>10</v>
      </c>
      <c r="K2115" s="214" t="s">
        <v>107</v>
      </c>
      <c r="L2115" s="214"/>
      <c r="M2115" s="214" t="s">
        <v>138</v>
      </c>
      <c r="N2115" s="236" t="s">
        <v>112</v>
      </c>
      <c r="P2115" s="220"/>
      <c r="Q2115" s="259" t="s">
        <v>138</v>
      </c>
    </row>
    <row r="2116" spans="1:17" s="216" customFormat="1" ht="14" outlineLevel="1">
      <c r="A2116" s="239">
        <v>2</v>
      </c>
      <c r="B2116" s="153" t="s">
        <v>1234</v>
      </c>
      <c r="C2116" s="252"/>
      <c r="D2116" s="242"/>
      <c r="E2116" s="242"/>
      <c r="F2116" s="242"/>
      <c r="G2116" s="242">
        <f>SUBTOTAL(9,G2118:G2134)</f>
        <v>32243.692307692309</v>
      </c>
      <c r="H2116" s="194">
        <f>SUBTOTAL(9,H2118:H2134)</f>
        <v>229736.30769230769</v>
      </c>
      <c r="I2116" s="195"/>
      <c r="J2116" s="214"/>
      <c r="K2116" s="307"/>
      <c r="L2116" s="214"/>
      <c r="M2116" s="214"/>
      <c r="N2116" s="216" t="s">
        <v>112</v>
      </c>
      <c r="P2116" s="217"/>
      <c r="Q2116" s="259" t="s">
        <v>138</v>
      </c>
    </row>
    <row r="2117" spans="1:17" s="219" customFormat="1" ht="14" outlineLevel="2">
      <c r="A2117" s="203">
        <v>2.1</v>
      </c>
      <c r="B2117" s="153" t="s">
        <v>61</v>
      </c>
      <c r="C2117" s="202"/>
      <c r="D2117" s="200"/>
      <c r="E2117" s="200"/>
      <c r="F2117" s="200"/>
      <c r="G2117" s="201"/>
      <c r="H2117" s="201"/>
      <c r="I2117" s="202"/>
      <c r="J2117" s="214"/>
      <c r="K2117" s="307"/>
      <c r="L2117" s="214"/>
      <c r="M2117" s="214" t="s">
        <v>138</v>
      </c>
      <c r="N2117" s="219" t="s">
        <v>112</v>
      </c>
      <c r="P2117" s="220"/>
      <c r="Q2117" s="259" t="s">
        <v>138</v>
      </c>
    </row>
    <row r="2118" spans="1:17" s="219" customFormat="1" ht="14" outlineLevel="3">
      <c r="A2118" s="203"/>
      <c r="B2118" s="308" t="s">
        <v>62</v>
      </c>
      <c r="C2118" s="202"/>
      <c r="D2118" s="200"/>
      <c r="E2118" s="200"/>
      <c r="F2118" s="200"/>
      <c r="G2118" s="201"/>
      <c r="H2118" s="201"/>
      <c r="I2118" s="202"/>
      <c r="J2118" s="214"/>
      <c r="K2118" s="307"/>
      <c r="L2118" s="214"/>
      <c r="M2118" s="214" t="s">
        <v>138</v>
      </c>
      <c r="N2118" s="219" t="s">
        <v>112</v>
      </c>
      <c r="P2118" s="220"/>
      <c r="Q2118" s="259" t="s">
        <v>138</v>
      </c>
    </row>
    <row r="2119" spans="1:17" s="219" customFormat="1" ht="14" outlineLevel="3">
      <c r="A2119" s="203"/>
      <c r="B2119" s="251" t="s">
        <v>149</v>
      </c>
      <c r="C2119" s="200" t="s">
        <v>25</v>
      </c>
      <c r="D2119" s="201"/>
      <c r="E2119" s="201"/>
      <c r="F2119" s="201"/>
      <c r="G2119" s="201">
        <f t="shared" ref="G2119:G2121" si="468">F2119*D2119</f>
        <v>0</v>
      </c>
      <c r="H2119" s="201">
        <f t="shared" ref="H2119:H2121" si="469">F2119*E2119</f>
        <v>0</v>
      </c>
      <c r="I2119" s="202"/>
      <c r="J2119" s="165" t="s">
        <v>10</v>
      </c>
      <c r="K2119" s="214" t="s">
        <v>108</v>
      </c>
      <c r="L2119" s="214"/>
      <c r="M2119" s="214" t="s">
        <v>138</v>
      </c>
      <c r="N2119" s="236" t="s">
        <v>112</v>
      </c>
      <c r="P2119" s="220"/>
      <c r="Q2119" s="259" t="s">
        <v>138</v>
      </c>
    </row>
    <row r="2120" spans="1:17" s="219" customFormat="1" ht="14" outlineLevel="3">
      <c r="A2120" s="203"/>
      <c r="B2120" s="251" t="s">
        <v>160</v>
      </c>
      <c r="C2120" s="200" t="s">
        <v>25</v>
      </c>
      <c r="D2120" s="201"/>
      <c r="E2120" s="201"/>
      <c r="F2120" s="201"/>
      <c r="G2120" s="201">
        <f t="shared" si="468"/>
        <v>0</v>
      </c>
      <c r="H2120" s="201">
        <f t="shared" si="469"/>
        <v>0</v>
      </c>
      <c r="I2120" s="202"/>
      <c r="J2120" s="165" t="s">
        <v>10</v>
      </c>
      <c r="K2120" s="214" t="s">
        <v>108</v>
      </c>
      <c r="L2120" s="214"/>
      <c r="M2120" s="214" t="s">
        <v>138</v>
      </c>
      <c r="N2120" s="236" t="s">
        <v>112</v>
      </c>
      <c r="P2120" s="220"/>
      <c r="Q2120" s="259" t="s">
        <v>138</v>
      </c>
    </row>
    <row r="2121" spans="1:17" s="219" customFormat="1" ht="14" outlineLevel="3">
      <c r="A2121" s="203"/>
      <c r="B2121" s="218" t="s">
        <v>123</v>
      </c>
      <c r="C2121" s="200" t="s">
        <v>25</v>
      </c>
      <c r="D2121" s="201"/>
      <c r="E2121" s="201"/>
      <c r="F2121" s="200"/>
      <c r="G2121" s="201">
        <f t="shared" si="468"/>
        <v>0</v>
      </c>
      <c r="H2121" s="201">
        <f t="shared" si="469"/>
        <v>0</v>
      </c>
      <c r="I2121" s="202"/>
      <c r="J2121" s="165" t="s">
        <v>10</v>
      </c>
      <c r="K2121" s="214" t="s">
        <v>108</v>
      </c>
      <c r="L2121" s="214"/>
      <c r="M2121" s="214" t="s">
        <v>138</v>
      </c>
      <c r="N2121" s="236" t="s">
        <v>112</v>
      </c>
      <c r="P2121" s="220"/>
      <c r="Q2121" s="259" t="s">
        <v>138</v>
      </c>
    </row>
    <row r="2122" spans="1:17" s="219" customFormat="1" ht="14" outlineLevel="3">
      <c r="A2122" s="203"/>
      <c r="B2122" s="308" t="s">
        <v>63</v>
      </c>
      <c r="C2122" s="202"/>
      <c r="D2122" s="200"/>
      <c r="E2122" s="200"/>
      <c r="F2122" s="200"/>
      <c r="G2122" s="201"/>
      <c r="H2122" s="201"/>
      <c r="I2122" s="202"/>
      <c r="J2122" s="214"/>
      <c r="K2122" s="214" t="s">
        <v>108</v>
      </c>
      <c r="L2122" s="214"/>
      <c r="M2122" s="214" t="s">
        <v>138</v>
      </c>
      <c r="N2122" s="219" t="s">
        <v>112</v>
      </c>
      <c r="P2122" s="220"/>
      <c r="Q2122" s="259" t="s">
        <v>138</v>
      </c>
    </row>
    <row r="2123" spans="1:17" s="219" customFormat="1" ht="14" outlineLevel="3">
      <c r="A2123" s="203"/>
      <c r="B2123" s="251" t="s">
        <v>150</v>
      </c>
      <c r="C2123" s="200" t="s">
        <v>25</v>
      </c>
      <c r="D2123" s="201"/>
      <c r="E2123" s="201"/>
      <c r="F2123" s="201"/>
      <c r="G2123" s="201">
        <f>F2123*D2123</f>
        <v>0</v>
      </c>
      <c r="H2123" s="201">
        <f>F2123*E2123</f>
        <v>0</v>
      </c>
      <c r="I2123" s="202"/>
      <c r="J2123" s="165" t="s">
        <v>10</v>
      </c>
      <c r="K2123" s="214" t="s">
        <v>108</v>
      </c>
      <c r="L2123" s="214"/>
      <c r="M2123" s="214" t="s">
        <v>138</v>
      </c>
      <c r="N2123" s="236"/>
      <c r="P2123" s="220"/>
      <c r="Q2123" s="259" t="s">
        <v>138</v>
      </c>
    </row>
    <row r="2124" spans="1:17" s="219" customFormat="1" ht="14" outlineLevel="2">
      <c r="A2124" s="203">
        <v>2.2000000000000002</v>
      </c>
      <c r="B2124" s="153" t="s">
        <v>64</v>
      </c>
      <c r="C2124" s="195"/>
      <c r="D2124" s="200"/>
      <c r="E2124" s="200"/>
      <c r="F2124" s="200"/>
      <c r="G2124" s="201"/>
      <c r="H2124" s="201"/>
      <c r="I2124" s="202"/>
      <c r="J2124" s="214"/>
      <c r="K2124" s="214" t="s">
        <v>108</v>
      </c>
      <c r="L2124" s="214"/>
      <c r="M2124" s="214" t="s">
        <v>138</v>
      </c>
      <c r="N2124" s="219" t="s">
        <v>174</v>
      </c>
      <c r="P2124" s="220"/>
      <c r="Q2124" s="259" t="s">
        <v>138</v>
      </c>
    </row>
    <row r="2125" spans="1:17" s="219" customFormat="1" ht="14" outlineLevel="3">
      <c r="A2125" s="203"/>
      <c r="B2125" s="251" t="s">
        <v>161</v>
      </c>
      <c r="C2125" s="200" t="s">
        <v>25</v>
      </c>
      <c r="D2125" s="201"/>
      <c r="E2125" s="201"/>
      <c r="F2125" s="201"/>
      <c r="G2125" s="201">
        <f t="shared" ref="G2125:G2131" si="470">F2125*D2125</f>
        <v>0</v>
      </c>
      <c r="H2125" s="201">
        <f t="shared" ref="H2125:H2131" si="471">F2125*E2125</f>
        <v>0</v>
      </c>
      <c r="I2125" s="202"/>
      <c r="J2125" s="165" t="s">
        <v>10</v>
      </c>
      <c r="K2125" s="214" t="s">
        <v>108</v>
      </c>
      <c r="L2125" s="214"/>
      <c r="M2125" s="214" t="s">
        <v>138</v>
      </c>
      <c r="N2125" s="236" t="s">
        <v>174</v>
      </c>
      <c r="P2125" s="220"/>
      <c r="Q2125" s="259" t="s">
        <v>138</v>
      </c>
    </row>
    <row r="2126" spans="1:17" s="219" customFormat="1" ht="14" outlineLevel="3">
      <c r="A2126" s="203"/>
      <c r="B2126" s="251" t="s">
        <v>151</v>
      </c>
      <c r="C2126" s="200" t="s">
        <v>25</v>
      </c>
      <c r="D2126" s="201"/>
      <c r="E2126" s="201"/>
      <c r="F2126" s="201"/>
      <c r="G2126" s="201">
        <f t="shared" si="470"/>
        <v>0</v>
      </c>
      <c r="H2126" s="201">
        <f t="shared" si="471"/>
        <v>0</v>
      </c>
      <c r="I2126" s="202"/>
      <c r="J2126" s="165" t="s">
        <v>10</v>
      </c>
      <c r="K2126" s="214" t="s">
        <v>108</v>
      </c>
      <c r="L2126" s="214"/>
      <c r="M2126" s="214" t="s">
        <v>138</v>
      </c>
      <c r="N2126" s="236" t="s">
        <v>174</v>
      </c>
      <c r="P2126" s="220"/>
      <c r="Q2126" s="259" t="s">
        <v>138</v>
      </c>
    </row>
    <row r="2127" spans="1:17" s="219" customFormat="1" ht="14" outlineLevel="3">
      <c r="A2127" s="203"/>
      <c r="B2127" s="251" t="s">
        <v>618</v>
      </c>
      <c r="C2127" s="200" t="s">
        <v>25</v>
      </c>
      <c r="D2127" s="201">
        <v>32</v>
      </c>
      <c r="E2127" s="201">
        <v>228</v>
      </c>
      <c r="F2127" s="201">
        <v>423</v>
      </c>
      <c r="G2127" s="201">
        <f t="shared" si="470"/>
        <v>13536</v>
      </c>
      <c r="H2127" s="201">
        <f t="shared" si="471"/>
        <v>96444</v>
      </c>
      <c r="I2127" s="202"/>
      <c r="J2127" s="165" t="s">
        <v>10</v>
      </c>
      <c r="K2127" s="214" t="s">
        <v>108</v>
      </c>
      <c r="L2127" s="214"/>
      <c r="M2127" s="214" t="s">
        <v>138</v>
      </c>
      <c r="N2127" s="236" t="s">
        <v>174</v>
      </c>
      <c r="P2127" s="220"/>
      <c r="Q2127" s="259" t="s">
        <v>138</v>
      </c>
    </row>
    <row r="2128" spans="1:17" s="219" customFormat="1" ht="14" outlineLevel="3">
      <c r="A2128" s="203"/>
      <c r="B2128" s="251" t="s">
        <v>152</v>
      </c>
      <c r="C2128" s="200" t="s">
        <v>25</v>
      </c>
      <c r="D2128" s="201"/>
      <c r="E2128" s="201"/>
      <c r="F2128" s="201"/>
      <c r="G2128" s="201">
        <f t="shared" si="470"/>
        <v>0</v>
      </c>
      <c r="H2128" s="201">
        <f t="shared" si="471"/>
        <v>0</v>
      </c>
      <c r="I2128" s="202"/>
      <c r="J2128" s="165" t="s">
        <v>10</v>
      </c>
      <c r="K2128" s="214" t="s">
        <v>108</v>
      </c>
      <c r="L2128" s="214"/>
      <c r="M2128" s="214" t="s">
        <v>138</v>
      </c>
      <c r="N2128" s="236" t="s">
        <v>174</v>
      </c>
      <c r="P2128" s="220"/>
      <c r="Q2128" s="259" t="s">
        <v>138</v>
      </c>
    </row>
    <row r="2129" spans="1:17" s="219" customFormat="1" ht="14" outlineLevel="3">
      <c r="A2129" s="203"/>
      <c r="B2129" s="251" t="s">
        <v>153</v>
      </c>
      <c r="C2129" s="200" t="s">
        <v>25</v>
      </c>
      <c r="D2129" s="201"/>
      <c r="E2129" s="201"/>
      <c r="F2129" s="201"/>
      <c r="G2129" s="201">
        <f t="shared" si="470"/>
        <v>0</v>
      </c>
      <c r="H2129" s="201">
        <f t="shared" si="471"/>
        <v>0</v>
      </c>
      <c r="I2129" s="202"/>
      <c r="J2129" s="165" t="s">
        <v>10</v>
      </c>
      <c r="K2129" s="214" t="s">
        <v>108</v>
      </c>
      <c r="L2129" s="214"/>
      <c r="M2129" s="214" t="s">
        <v>138</v>
      </c>
      <c r="N2129" s="236"/>
      <c r="P2129" s="220"/>
      <c r="Q2129" s="259" t="s">
        <v>138</v>
      </c>
    </row>
    <row r="2130" spans="1:17" s="219" customFormat="1" ht="14" outlineLevel="3">
      <c r="A2130" s="203"/>
      <c r="B2130" s="251" t="s">
        <v>154</v>
      </c>
      <c r="C2130" s="200" t="s">
        <v>25</v>
      </c>
      <c r="D2130" s="201"/>
      <c r="E2130" s="201"/>
      <c r="F2130" s="201"/>
      <c r="G2130" s="201">
        <f t="shared" si="470"/>
        <v>0</v>
      </c>
      <c r="H2130" s="201">
        <f t="shared" si="471"/>
        <v>0</v>
      </c>
      <c r="I2130" s="202"/>
      <c r="J2130" s="165" t="s">
        <v>10</v>
      </c>
      <c r="K2130" s="214" t="s">
        <v>108</v>
      </c>
      <c r="L2130" s="214"/>
      <c r="M2130" s="214" t="s">
        <v>138</v>
      </c>
      <c r="N2130" s="236" t="s">
        <v>112</v>
      </c>
      <c r="P2130" s="220"/>
      <c r="Q2130" s="259" t="s">
        <v>138</v>
      </c>
    </row>
    <row r="2131" spans="1:17" s="219" customFormat="1" ht="14" outlineLevel="3">
      <c r="A2131" s="203"/>
      <c r="B2131" s="251" t="s">
        <v>155</v>
      </c>
      <c r="C2131" s="200" t="s">
        <v>25</v>
      </c>
      <c r="D2131" s="201"/>
      <c r="E2131" s="201"/>
      <c r="F2131" s="201"/>
      <c r="G2131" s="201">
        <f t="shared" si="470"/>
        <v>0</v>
      </c>
      <c r="H2131" s="201">
        <f t="shared" si="471"/>
        <v>0</v>
      </c>
      <c r="I2131" s="202"/>
      <c r="J2131" s="165" t="s">
        <v>10</v>
      </c>
      <c r="K2131" s="214" t="s">
        <v>108</v>
      </c>
      <c r="L2131" s="214"/>
      <c r="M2131" s="214" t="s">
        <v>138</v>
      </c>
      <c r="N2131" s="236" t="s">
        <v>112</v>
      </c>
      <c r="P2131" s="220"/>
      <c r="Q2131" s="259" t="s">
        <v>138</v>
      </c>
    </row>
    <row r="2132" spans="1:17" s="219" customFormat="1" ht="14" outlineLevel="2">
      <c r="A2132" s="203">
        <v>2.2999999999999998</v>
      </c>
      <c r="B2132" s="153" t="s">
        <v>65</v>
      </c>
      <c r="C2132" s="195"/>
      <c r="D2132" s="200"/>
      <c r="E2132" s="200"/>
      <c r="F2132" s="200"/>
      <c r="G2132" s="201"/>
      <c r="H2132" s="201"/>
      <c r="I2132" s="202"/>
      <c r="J2132" s="214"/>
      <c r="K2132" s="214" t="s">
        <v>108</v>
      </c>
      <c r="L2132" s="214"/>
      <c r="M2132" s="214" t="s">
        <v>138</v>
      </c>
      <c r="P2132" s="220"/>
      <c r="Q2132" s="259" t="s">
        <v>138</v>
      </c>
    </row>
    <row r="2133" spans="1:17" s="219" customFormat="1" ht="14" outlineLevel="3">
      <c r="A2133" s="203"/>
      <c r="B2133" s="218" t="s">
        <v>49</v>
      </c>
      <c r="C2133" s="200" t="s">
        <v>48</v>
      </c>
      <c r="D2133" s="201">
        <v>492.30769230769232</v>
      </c>
      <c r="E2133" s="201">
        <v>3507.6923076923076</v>
      </c>
      <c r="F2133" s="201">
        <v>38</v>
      </c>
      <c r="G2133" s="201">
        <f t="shared" ref="G2133:G2134" si="472">F2133*D2133</f>
        <v>18707.692307692309</v>
      </c>
      <c r="H2133" s="201">
        <f t="shared" ref="H2133:H2134" si="473">F2133*E2133</f>
        <v>133292.30769230769</v>
      </c>
      <c r="I2133" s="202"/>
      <c r="J2133" s="165" t="s">
        <v>10</v>
      </c>
      <c r="K2133" s="214" t="s">
        <v>108</v>
      </c>
      <c r="L2133" s="214"/>
      <c r="M2133" s="214" t="s">
        <v>138</v>
      </c>
      <c r="N2133" s="236" t="s">
        <v>78</v>
      </c>
      <c r="P2133" s="220"/>
      <c r="Q2133" s="259" t="s">
        <v>138</v>
      </c>
    </row>
    <row r="2134" spans="1:17" s="219" customFormat="1" ht="14" outlineLevel="3">
      <c r="A2134" s="203"/>
      <c r="B2134" s="218" t="s">
        <v>50</v>
      </c>
      <c r="C2134" s="200" t="s">
        <v>48</v>
      </c>
      <c r="D2134" s="201"/>
      <c r="E2134" s="201"/>
      <c r="F2134" s="201"/>
      <c r="G2134" s="201">
        <f t="shared" si="472"/>
        <v>0</v>
      </c>
      <c r="H2134" s="201">
        <f t="shared" si="473"/>
        <v>0</v>
      </c>
      <c r="I2134" s="202"/>
      <c r="J2134" s="165" t="s">
        <v>10</v>
      </c>
      <c r="K2134" s="214" t="s">
        <v>108</v>
      </c>
      <c r="L2134" s="214"/>
      <c r="M2134" s="214" t="s">
        <v>138</v>
      </c>
      <c r="N2134" s="236" t="s">
        <v>78</v>
      </c>
      <c r="P2134" s="220"/>
      <c r="Q2134" s="259" t="s">
        <v>138</v>
      </c>
    </row>
    <row r="2135" spans="1:17" s="219" customFormat="1" ht="14" outlineLevel="1">
      <c r="A2135" s="191">
        <v>3</v>
      </c>
      <c r="B2135" s="153" t="s">
        <v>1235</v>
      </c>
      <c r="C2135" s="252"/>
      <c r="D2135" s="242"/>
      <c r="E2135" s="242"/>
      <c r="F2135" s="242"/>
      <c r="G2135" s="242">
        <f>SUBTOTAL(9,G2137:G2151)</f>
        <v>136797</v>
      </c>
      <c r="H2135" s="194">
        <f>+SUBTOTAL(9,H2136:H2151)</f>
        <v>0</v>
      </c>
      <c r="I2135" s="202"/>
      <c r="J2135" s="214"/>
      <c r="K2135" s="214"/>
      <c r="L2135" s="214"/>
      <c r="M2135" s="214"/>
      <c r="N2135" s="219" t="s">
        <v>78</v>
      </c>
      <c r="P2135" s="220"/>
      <c r="Q2135" s="259" t="s">
        <v>138</v>
      </c>
    </row>
    <row r="2136" spans="1:17" s="219" customFormat="1" ht="14" outlineLevel="2">
      <c r="A2136" s="191"/>
      <c r="B2136" s="308" t="s">
        <v>62</v>
      </c>
      <c r="C2136" s="202"/>
      <c r="D2136" s="200"/>
      <c r="E2136" s="200"/>
      <c r="F2136" s="200"/>
      <c r="G2136" s="201"/>
      <c r="H2136" s="201"/>
      <c r="I2136" s="202"/>
      <c r="J2136" s="214"/>
      <c r="K2136" s="214"/>
      <c r="L2136" s="214"/>
      <c r="M2136" s="214" t="s">
        <v>138</v>
      </c>
      <c r="N2136" s="219" t="s">
        <v>78</v>
      </c>
      <c r="P2136" s="220"/>
      <c r="Q2136" s="259" t="s">
        <v>138</v>
      </c>
    </row>
    <row r="2137" spans="1:17" s="219" customFormat="1" ht="14" outlineLevel="3">
      <c r="A2137" s="191"/>
      <c r="B2137" s="218" t="s">
        <v>237</v>
      </c>
      <c r="C2137" s="202" t="s">
        <v>25</v>
      </c>
      <c r="D2137" s="201">
        <v>39</v>
      </c>
      <c r="E2137" s="201"/>
      <c r="F2137" s="201">
        <v>2500</v>
      </c>
      <c r="G2137" s="201">
        <f t="shared" ref="G2137:G2138" si="474">F2137*D2137</f>
        <v>97500</v>
      </c>
      <c r="H2137" s="201">
        <f t="shared" ref="H2137:H2138" si="475">F2137*E2137</f>
        <v>0</v>
      </c>
      <c r="I2137" s="202"/>
      <c r="J2137" s="165" t="s">
        <v>10</v>
      </c>
      <c r="K2137" s="214" t="s">
        <v>104</v>
      </c>
      <c r="L2137" s="214"/>
      <c r="M2137" s="214" t="s">
        <v>138</v>
      </c>
      <c r="N2137" s="236" t="s">
        <v>78</v>
      </c>
      <c r="P2137" s="220"/>
      <c r="Q2137" s="259" t="s">
        <v>138</v>
      </c>
    </row>
    <row r="2138" spans="1:17" s="219" customFormat="1" ht="14" outlineLevel="3">
      <c r="A2138" s="191"/>
      <c r="B2138" s="218" t="s">
        <v>123</v>
      </c>
      <c r="C2138" s="202" t="s">
        <v>25</v>
      </c>
      <c r="D2138" s="201"/>
      <c r="E2138" s="201"/>
      <c r="F2138" s="201"/>
      <c r="G2138" s="201">
        <f t="shared" si="474"/>
        <v>0</v>
      </c>
      <c r="H2138" s="201">
        <f t="shared" si="475"/>
        <v>0</v>
      </c>
      <c r="I2138" s="202"/>
      <c r="J2138" s="165" t="s">
        <v>10</v>
      </c>
      <c r="K2138" s="214" t="s">
        <v>104</v>
      </c>
      <c r="L2138" s="214"/>
      <c r="M2138" s="214" t="s">
        <v>138</v>
      </c>
      <c r="N2138" s="236" t="s">
        <v>78</v>
      </c>
      <c r="P2138" s="220"/>
      <c r="Q2138" s="259" t="s">
        <v>138</v>
      </c>
    </row>
    <row r="2139" spans="1:17" s="219" customFormat="1" ht="14" outlineLevel="3">
      <c r="A2139" s="191"/>
      <c r="B2139" s="308" t="s">
        <v>63</v>
      </c>
      <c r="C2139" s="202"/>
      <c r="D2139" s="200"/>
      <c r="E2139" s="200"/>
      <c r="F2139" s="200"/>
      <c r="G2139" s="201"/>
      <c r="H2139" s="201"/>
      <c r="I2139" s="202"/>
      <c r="J2139" s="214"/>
      <c r="K2139" s="214" t="s">
        <v>104</v>
      </c>
      <c r="L2139" s="214"/>
      <c r="M2139" s="214" t="s">
        <v>138</v>
      </c>
      <c r="N2139" s="219" t="s">
        <v>78</v>
      </c>
      <c r="P2139" s="220"/>
      <c r="Q2139" s="259" t="s">
        <v>138</v>
      </c>
    </row>
    <row r="2140" spans="1:17" s="219" customFormat="1" ht="14" outlineLevel="3">
      <c r="A2140" s="191"/>
      <c r="B2140" s="218" t="s">
        <v>246</v>
      </c>
      <c r="C2140" s="202" t="s">
        <v>25</v>
      </c>
      <c r="D2140" s="201"/>
      <c r="E2140" s="201"/>
      <c r="F2140" s="201"/>
      <c r="G2140" s="201">
        <f>F2140*D2140</f>
        <v>0</v>
      </c>
      <c r="H2140" s="201">
        <f>F2140*E2140</f>
        <v>0</v>
      </c>
      <c r="I2140" s="202"/>
      <c r="J2140" s="165" t="s">
        <v>10</v>
      </c>
      <c r="K2140" s="214" t="s">
        <v>104</v>
      </c>
      <c r="L2140" s="214"/>
      <c r="M2140" s="214" t="s">
        <v>138</v>
      </c>
      <c r="N2140" s="236" t="s">
        <v>78</v>
      </c>
      <c r="P2140" s="220"/>
      <c r="Q2140" s="259" t="s">
        <v>138</v>
      </c>
    </row>
    <row r="2141" spans="1:17" s="219" customFormat="1" ht="14" outlineLevel="2">
      <c r="A2141" s="191"/>
      <c r="B2141" s="153" t="s">
        <v>64</v>
      </c>
      <c r="C2141" s="195"/>
      <c r="D2141" s="200"/>
      <c r="E2141" s="200"/>
      <c r="F2141" s="200"/>
      <c r="G2141" s="201"/>
      <c r="H2141" s="201"/>
      <c r="I2141" s="202"/>
      <c r="J2141" s="214"/>
      <c r="K2141" s="214" t="s">
        <v>104</v>
      </c>
      <c r="L2141" s="214"/>
      <c r="M2141" s="214" t="s">
        <v>138</v>
      </c>
      <c r="N2141" s="219" t="s">
        <v>78</v>
      </c>
      <c r="P2141" s="220"/>
      <c r="Q2141" s="259" t="s">
        <v>138</v>
      </c>
    </row>
    <row r="2142" spans="1:17" s="219" customFormat="1" ht="13.15" customHeight="1" outlineLevel="3">
      <c r="A2142" s="191"/>
      <c r="B2142" s="218" t="s">
        <v>143</v>
      </c>
      <c r="C2142" s="202" t="s">
        <v>25</v>
      </c>
      <c r="D2142" s="201"/>
      <c r="E2142" s="201"/>
      <c r="F2142" s="201"/>
      <c r="G2142" s="201">
        <f t="shared" ref="G2142:G2148" si="476">F2142*D2142</f>
        <v>0</v>
      </c>
      <c r="H2142" s="201">
        <f t="shared" ref="H2142:H2148" si="477">F2142*E2142</f>
        <v>0</v>
      </c>
      <c r="I2142" s="202"/>
      <c r="J2142" s="165" t="s">
        <v>10</v>
      </c>
      <c r="K2142" s="214" t="s">
        <v>104</v>
      </c>
      <c r="L2142" s="214"/>
      <c r="M2142" s="214" t="s">
        <v>138</v>
      </c>
      <c r="N2142" s="236" t="s">
        <v>78</v>
      </c>
      <c r="P2142" s="220"/>
      <c r="Q2142" s="259" t="s">
        <v>138</v>
      </c>
    </row>
    <row r="2143" spans="1:17" s="219" customFormat="1" ht="14" outlineLevel="3">
      <c r="A2143" s="191"/>
      <c r="B2143" s="218" t="s">
        <v>206</v>
      </c>
      <c r="C2143" s="202" t="s">
        <v>25</v>
      </c>
      <c r="D2143" s="201"/>
      <c r="E2143" s="201"/>
      <c r="F2143" s="201"/>
      <c r="G2143" s="201">
        <f t="shared" si="476"/>
        <v>0</v>
      </c>
      <c r="H2143" s="201">
        <f t="shared" si="477"/>
        <v>0</v>
      </c>
      <c r="I2143" s="202"/>
      <c r="J2143" s="165" t="s">
        <v>10</v>
      </c>
      <c r="K2143" s="214" t="s">
        <v>104</v>
      </c>
      <c r="L2143" s="214"/>
      <c r="M2143" s="214" t="s">
        <v>138</v>
      </c>
      <c r="N2143" s="236"/>
      <c r="P2143" s="220"/>
      <c r="Q2143" s="259" t="s">
        <v>138</v>
      </c>
    </row>
    <row r="2144" spans="1:17" s="219" customFormat="1" ht="14" outlineLevel="3">
      <c r="A2144" s="191"/>
      <c r="B2144" s="218" t="s">
        <v>602</v>
      </c>
      <c r="C2144" s="202" t="s">
        <v>25</v>
      </c>
      <c r="D2144" s="201">
        <v>39</v>
      </c>
      <c r="E2144" s="201"/>
      <c r="F2144" s="201">
        <v>423</v>
      </c>
      <c r="G2144" s="201">
        <f t="shared" si="476"/>
        <v>16497</v>
      </c>
      <c r="H2144" s="201">
        <f t="shared" si="477"/>
        <v>0</v>
      </c>
      <c r="I2144" s="202"/>
      <c r="J2144" s="165" t="s">
        <v>10</v>
      </c>
      <c r="K2144" s="214" t="s">
        <v>104</v>
      </c>
      <c r="L2144" s="214"/>
      <c r="M2144" s="214" t="s">
        <v>138</v>
      </c>
      <c r="N2144" s="236"/>
      <c r="P2144" s="220"/>
      <c r="Q2144" s="259" t="s">
        <v>138</v>
      </c>
    </row>
    <row r="2145" spans="1:17" s="219" customFormat="1" ht="14" outlineLevel="3">
      <c r="A2145" s="191"/>
      <c r="B2145" s="218" t="s">
        <v>239</v>
      </c>
      <c r="C2145" s="202" t="s">
        <v>25</v>
      </c>
      <c r="D2145" s="201"/>
      <c r="E2145" s="201"/>
      <c r="F2145" s="201"/>
      <c r="G2145" s="201">
        <f t="shared" si="476"/>
        <v>0</v>
      </c>
      <c r="H2145" s="201">
        <f t="shared" si="477"/>
        <v>0</v>
      </c>
      <c r="I2145" s="202"/>
      <c r="J2145" s="165" t="s">
        <v>10</v>
      </c>
      <c r="K2145" s="214" t="s">
        <v>104</v>
      </c>
      <c r="L2145" s="214"/>
      <c r="M2145" s="214" t="s">
        <v>138</v>
      </c>
      <c r="N2145" s="236"/>
      <c r="P2145" s="220"/>
      <c r="Q2145" s="259" t="s">
        <v>138</v>
      </c>
    </row>
    <row r="2146" spans="1:17" s="219" customFormat="1" ht="13.15" customHeight="1" outlineLevel="3">
      <c r="A2146" s="191"/>
      <c r="B2146" s="218" t="s">
        <v>208</v>
      </c>
      <c r="C2146" s="202" t="s">
        <v>25</v>
      </c>
      <c r="D2146" s="201"/>
      <c r="E2146" s="201"/>
      <c r="F2146" s="201"/>
      <c r="G2146" s="201">
        <f t="shared" si="476"/>
        <v>0</v>
      </c>
      <c r="H2146" s="201">
        <f t="shared" si="477"/>
        <v>0</v>
      </c>
      <c r="I2146" s="202"/>
      <c r="J2146" s="165" t="s">
        <v>10</v>
      </c>
      <c r="K2146" s="214" t="s">
        <v>104</v>
      </c>
      <c r="L2146" s="214"/>
      <c r="M2146" s="214" t="s">
        <v>138</v>
      </c>
      <c r="N2146" s="236"/>
      <c r="P2146" s="220"/>
      <c r="Q2146" s="259" t="s">
        <v>138</v>
      </c>
    </row>
    <row r="2147" spans="1:17" s="219" customFormat="1" ht="14" outlineLevel="3">
      <c r="A2147" s="191"/>
      <c r="B2147" s="218" t="s">
        <v>209</v>
      </c>
      <c r="C2147" s="202" t="s">
        <v>25</v>
      </c>
      <c r="D2147" s="201"/>
      <c r="E2147" s="201"/>
      <c r="F2147" s="201"/>
      <c r="G2147" s="201">
        <f t="shared" si="476"/>
        <v>0</v>
      </c>
      <c r="H2147" s="201">
        <f t="shared" si="477"/>
        <v>0</v>
      </c>
      <c r="I2147" s="202"/>
      <c r="J2147" s="165" t="s">
        <v>10</v>
      </c>
      <c r="K2147" s="214" t="s">
        <v>104</v>
      </c>
      <c r="L2147" s="214"/>
      <c r="M2147" s="214" t="s">
        <v>138</v>
      </c>
      <c r="N2147" s="236"/>
      <c r="P2147" s="220"/>
      <c r="Q2147" s="259" t="s">
        <v>138</v>
      </c>
    </row>
    <row r="2148" spans="1:17" s="219" customFormat="1" ht="14" outlineLevel="3">
      <c r="A2148" s="191"/>
      <c r="B2148" s="218" t="s">
        <v>210</v>
      </c>
      <c r="C2148" s="202" t="s">
        <v>25</v>
      </c>
      <c r="D2148" s="201"/>
      <c r="E2148" s="201"/>
      <c r="F2148" s="201"/>
      <c r="G2148" s="201">
        <f t="shared" si="476"/>
        <v>0</v>
      </c>
      <c r="H2148" s="201">
        <f t="shared" si="477"/>
        <v>0</v>
      </c>
      <c r="I2148" s="202"/>
      <c r="J2148" s="165" t="s">
        <v>10</v>
      </c>
      <c r="K2148" s="214" t="s">
        <v>104</v>
      </c>
      <c r="L2148" s="214"/>
      <c r="M2148" s="214" t="s">
        <v>138</v>
      </c>
      <c r="N2148" s="236"/>
      <c r="P2148" s="220"/>
      <c r="Q2148" s="259" t="s">
        <v>138</v>
      </c>
    </row>
    <row r="2149" spans="1:17" s="219" customFormat="1" ht="14" outlineLevel="3">
      <c r="A2149" s="191"/>
      <c r="B2149" s="153" t="s">
        <v>65</v>
      </c>
      <c r="C2149" s="195"/>
      <c r="D2149" s="200"/>
      <c r="E2149" s="200"/>
      <c r="F2149" s="200"/>
      <c r="G2149" s="201"/>
      <c r="H2149" s="201"/>
      <c r="I2149" s="202"/>
      <c r="J2149" s="214"/>
      <c r="K2149" s="214"/>
      <c r="L2149" s="214"/>
      <c r="M2149" s="214" t="s">
        <v>138</v>
      </c>
      <c r="P2149" s="220"/>
      <c r="Q2149" s="259" t="s">
        <v>138</v>
      </c>
    </row>
    <row r="2150" spans="1:17" s="219" customFormat="1" ht="14" outlineLevel="3">
      <c r="A2150" s="208"/>
      <c r="B2150" s="218" t="s">
        <v>49</v>
      </c>
      <c r="C2150" s="202" t="s">
        <v>48</v>
      </c>
      <c r="D2150" s="201">
        <v>600</v>
      </c>
      <c r="E2150" s="201"/>
      <c r="F2150" s="201">
        <v>38</v>
      </c>
      <c r="G2150" s="201">
        <f t="shared" ref="G2150:G2151" si="478">F2150*D2150</f>
        <v>22800</v>
      </c>
      <c r="H2150" s="201">
        <f t="shared" ref="H2150:H2151" si="479">F2150*E2150</f>
        <v>0</v>
      </c>
      <c r="I2150" s="202"/>
      <c r="J2150" s="165" t="s">
        <v>10</v>
      </c>
      <c r="K2150" s="214" t="s">
        <v>104</v>
      </c>
      <c r="L2150" s="214"/>
      <c r="M2150" s="214" t="s">
        <v>138</v>
      </c>
      <c r="N2150" s="236"/>
      <c r="P2150" s="220"/>
      <c r="Q2150" s="259" t="s">
        <v>138</v>
      </c>
    </row>
    <row r="2151" spans="1:17" s="219" customFormat="1" ht="14" outlineLevel="3">
      <c r="A2151" s="208"/>
      <c r="B2151" s="218" t="s">
        <v>50</v>
      </c>
      <c r="C2151" s="202" t="s">
        <v>48</v>
      </c>
      <c r="D2151" s="201"/>
      <c r="E2151" s="201"/>
      <c r="F2151" s="201"/>
      <c r="G2151" s="201">
        <f t="shared" si="478"/>
        <v>0</v>
      </c>
      <c r="H2151" s="201">
        <f t="shared" si="479"/>
        <v>0</v>
      </c>
      <c r="I2151" s="202"/>
      <c r="J2151" s="165" t="s">
        <v>10</v>
      </c>
      <c r="K2151" s="214" t="s">
        <v>104</v>
      </c>
      <c r="L2151" s="214"/>
      <c r="M2151" s="214" t="s">
        <v>138</v>
      </c>
      <c r="N2151" s="236"/>
      <c r="P2151" s="220"/>
      <c r="Q2151" s="259" t="s">
        <v>138</v>
      </c>
    </row>
    <row r="2152" spans="1:17" s="219" customFormat="1" ht="14" outlineLevel="1">
      <c r="A2152" s="191">
        <v>4</v>
      </c>
      <c r="B2152" s="153" t="s">
        <v>247</v>
      </c>
      <c r="C2152" s="202"/>
      <c r="D2152" s="175"/>
      <c r="E2152" s="194"/>
      <c r="F2152" s="202"/>
      <c r="G2152" s="194">
        <f>SUBTOTAL(9,G2154:G2168)</f>
        <v>84600</v>
      </c>
      <c r="H2152" s="194">
        <f>SUBTOTAL(9,H2154:H2174)</f>
        <v>0</v>
      </c>
      <c r="I2152" s="202"/>
      <c r="J2152" s="214"/>
      <c r="K2152" s="214"/>
      <c r="L2152" s="214"/>
      <c r="M2152" s="214"/>
      <c r="P2152" s="220"/>
      <c r="Q2152" s="259" t="s">
        <v>138</v>
      </c>
    </row>
    <row r="2153" spans="1:17" s="219" customFormat="1" ht="14" outlineLevel="2">
      <c r="A2153" s="191"/>
      <c r="B2153" s="153" t="s">
        <v>61</v>
      </c>
      <c r="C2153" s="202"/>
      <c r="D2153" s="200"/>
      <c r="E2153" s="200"/>
      <c r="F2153" s="200"/>
      <c r="G2153" s="201"/>
      <c r="H2153" s="201"/>
      <c r="I2153" s="202"/>
      <c r="J2153" s="214"/>
      <c r="K2153" s="214"/>
      <c r="L2153" s="214"/>
      <c r="M2153" s="214" t="s">
        <v>138</v>
      </c>
      <c r="P2153" s="220"/>
      <c r="Q2153" s="259" t="s">
        <v>138</v>
      </c>
    </row>
    <row r="2154" spans="1:17" s="219" customFormat="1" ht="14" outlineLevel="2">
      <c r="A2154" s="191"/>
      <c r="B2154" s="308" t="s">
        <v>62</v>
      </c>
      <c r="C2154" s="202"/>
      <c r="D2154" s="201"/>
      <c r="E2154" s="201"/>
      <c r="F2154" s="201"/>
      <c r="G2154" s="201"/>
      <c r="H2154" s="201"/>
      <c r="I2154" s="202"/>
      <c r="J2154" s="214"/>
      <c r="K2154" s="214"/>
      <c r="L2154" s="214"/>
      <c r="M2154" s="214" t="s">
        <v>138</v>
      </c>
      <c r="P2154" s="220"/>
      <c r="Q2154" s="259" t="s">
        <v>138</v>
      </c>
    </row>
    <row r="2155" spans="1:17" s="219" customFormat="1" ht="14" outlineLevel="2">
      <c r="A2155" s="191"/>
      <c r="B2155" s="218" t="s">
        <v>204</v>
      </c>
      <c r="C2155" s="202" t="s">
        <v>25</v>
      </c>
      <c r="D2155" s="201"/>
      <c r="E2155" s="201"/>
      <c r="F2155" s="201"/>
      <c r="G2155" s="201">
        <f t="shared" ref="G2155:G2159" si="480">F2155*D2155</f>
        <v>0</v>
      </c>
      <c r="H2155" s="201">
        <f t="shared" ref="H2155:H2159" si="481">F2155*E2155</f>
        <v>0</v>
      </c>
      <c r="I2155" s="202"/>
      <c r="J2155" s="165" t="s">
        <v>10</v>
      </c>
      <c r="K2155" s="214" t="s">
        <v>174</v>
      </c>
      <c r="L2155" s="214"/>
      <c r="M2155" s="214" t="s">
        <v>138</v>
      </c>
      <c r="N2155" s="236"/>
      <c r="P2155" s="220"/>
      <c r="Q2155" s="259" t="s">
        <v>138</v>
      </c>
    </row>
    <row r="2156" spans="1:17" s="219" customFormat="1" ht="14" outlineLevel="2">
      <c r="A2156" s="191"/>
      <c r="B2156" s="218" t="s">
        <v>237</v>
      </c>
      <c r="C2156" s="202" t="s">
        <v>25</v>
      </c>
      <c r="D2156" s="201"/>
      <c r="E2156" s="201"/>
      <c r="F2156" s="200"/>
      <c r="G2156" s="201">
        <f t="shared" si="480"/>
        <v>0</v>
      </c>
      <c r="H2156" s="201">
        <f t="shared" si="481"/>
        <v>0</v>
      </c>
      <c r="I2156" s="202"/>
      <c r="J2156" s="165" t="s">
        <v>10</v>
      </c>
      <c r="K2156" s="214" t="s">
        <v>174</v>
      </c>
      <c r="L2156" s="214"/>
      <c r="M2156" s="214" t="s">
        <v>138</v>
      </c>
      <c r="N2156" s="236"/>
      <c r="P2156" s="220"/>
      <c r="Q2156" s="259" t="s">
        <v>138</v>
      </c>
    </row>
    <row r="2157" spans="1:17" s="219" customFormat="1" ht="14" outlineLevel="2">
      <c r="A2157" s="191"/>
      <c r="B2157" s="218" t="s">
        <v>248</v>
      </c>
      <c r="C2157" s="202" t="s">
        <v>25</v>
      </c>
      <c r="D2157" s="201"/>
      <c r="E2157" s="201"/>
      <c r="F2157" s="201"/>
      <c r="G2157" s="201">
        <f t="shared" si="480"/>
        <v>0</v>
      </c>
      <c r="H2157" s="201">
        <f t="shared" si="481"/>
        <v>0</v>
      </c>
      <c r="I2157" s="202"/>
      <c r="J2157" s="165" t="s">
        <v>10</v>
      </c>
      <c r="K2157" s="214" t="s">
        <v>174</v>
      </c>
      <c r="L2157" s="214"/>
      <c r="M2157" s="214" t="s">
        <v>138</v>
      </c>
      <c r="N2157" s="236"/>
      <c r="P2157" s="220"/>
      <c r="Q2157" s="259" t="s">
        <v>138</v>
      </c>
    </row>
    <row r="2158" spans="1:17" s="315" customFormat="1" ht="14" outlineLevel="2">
      <c r="A2158" s="253"/>
      <c r="B2158" s="309" t="s">
        <v>249</v>
      </c>
      <c r="C2158" s="310" t="s">
        <v>25</v>
      </c>
      <c r="D2158" s="311"/>
      <c r="E2158" s="311"/>
      <c r="F2158" s="312"/>
      <c r="G2158" s="201">
        <f t="shared" si="480"/>
        <v>0</v>
      </c>
      <c r="H2158" s="201">
        <f t="shared" si="481"/>
        <v>0</v>
      </c>
      <c r="I2158" s="310"/>
      <c r="J2158" s="165" t="s">
        <v>10</v>
      </c>
      <c r="K2158" s="313" t="s">
        <v>174</v>
      </c>
      <c r="L2158" s="313"/>
      <c r="M2158" s="214" t="s">
        <v>138</v>
      </c>
      <c r="N2158" s="314"/>
      <c r="P2158" s="220"/>
      <c r="Q2158" s="316" t="s">
        <v>138</v>
      </c>
    </row>
    <row r="2159" spans="1:17" s="315" customFormat="1" ht="13.15" customHeight="1" outlineLevel="2">
      <c r="A2159" s="253"/>
      <c r="B2159" s="309" t="s">
        <v>250</v>
      </c>
      <c r="C2159" s="310" t="s">
        <v>25</v>
      </c>
      <c r="D2159" s="311"/>
      <c r="E2159" s="311"/>
      <c r="F2159" s="317"/>
      <c r="G2159" s="201">
        <f t="shared" si="480"/>
        <v>0</v>
      </c>
      <c r="H2159" s="201">
        <f t="shared" si="481"/>
        <v>0</v>
      </c>
      <c r="I2159" s="310"/>
      <c r="J2159" s="165" t="s">
        <v>10</v>
      </c>
      <c r="K2159" s="313" t="s">
        <v>174</v>
      </c>
      <c r="L2159" s="313"/>
      <c r="M2159" s="313" t="s">
        <v>138</v>
      </c>
      <c r="N2159" s="314"/>
      <c r="P2159" s="220"/>
      <c r="Q2159" s="316" t="s">
        <v>138</v>
      </c>
    </row>
    <row r="2160" spans="1:17" s="219" customFormat="1" ht="14" outlineLevel="2">
      <c r="A2160" s="191"/>
      <c r="B2160" s="308" t="s">
        <v>63</v>
      </c>
      <c r="C2160" s="202"/>
      <c r="D2160" s="201"/>
      <c r="E2160" s="201"/>
      <c r="F2160" s="201"/>
      <c r="G2160" s="201"/>
      <c r="H2160" s="201"/>
      <c r="I2160" s="202"/>
      <c r="J2160" s="214"/>
      <c r="K2160" s="318"/>
      <c r="L2160" s="214"/>
      <c r="M2160" s="214"/>
      <c r="P2160" s="220"/>
      <c r="Q2160" s="259" t="s">
        <v>138</v>
      </c>
    </row>
    <row r="2161" spans="1:17" s="219" customFormat="1" ht="14" outlineLevel="2">
      <c r="A2161" s="191"/>
      <c r="B2161" s="218" t="s">
        <v>246</v>
      </c>
      <c r="C2161" s="202" t="s">
        <v>25</v>
      </c>
      <c r="D2161" s="201"/>
      <c r="E2161" s="201"/>
      <c r="F2161" s="201"/>
      <c r="G2161" s="201">
        <f>F2161*D2161</f>
        <v>0</v>
      </c>
      <c r="H2161" s="201">
        <f>F2161*E2161</f>
        <v>0</v>
      </c>
      <c r="I2161" s="202"/>
      <c r="J2161" s="165" t="s">
        <v>10</v>
      </c>
      <c r="K2161" s="214" t="s">
        <v>174</v>
      </c>
      <c r="L2161" s="214"/>
      <c r="M2161" s="214" t="s">
        <v>138</v>
      </c>
      <c r="N2161" s="236"/>
      <c r="P2161" s="220"/>
      <c r="Q2161" s="259" t="s">
        <v>138</v>
      </c>
    </row>
    <row r="2162" spans="1:17" s="219" customFormat="1" ht="14" outlineLevel="2">
      <c r="A2162" s="191"/>
      <c r="B2162" s="153" t="s">
        <v>64</v>
      </c>
      <c r="C2162" s="195"/>
      <c r="D2162" s="201"/>
      <c r="E2162" s="201"/>
      <c r="F2162" s="201"/>
      <c r="G2162" s="201"/>
      <c r="H2162" s="201"/>
      <c r="I2162" s="202"/>
      <c r="J2162" s="214"/>
      <c r="K2162" s="318"/>
      <c r="L2162" s="214"/>
      <c r="M2162" s="214"/>
      <c r="P2162" s="220"/>
      <c r="Q2162" s="259" t="s">
        <v>138</v>
      </c>
    </row>
    <row r="2163" spans="1:17" s="219" customFormat="1" ht="13.15" customHeight="1" outlineLevel="2">
      <c r="A2163" s="191"/>
      <c r="B2163" s="218" t="s">
        <v>143</v>
      </c>
      <c r="C2163" s="202" t="s">
        <v>25</v>
      </c>
      <c r="D2163" s="201"/>
      <c r="E2163" s="201"/>
      <c r="F2163" s="201"/>
      <c r="G2163" s="201">
        <f t="shared" ref="G2163:G2171" si="482">F2163*D2163</f>
        <v>0</v>
      </c>
      <c r="H2163" s="201">
        <f t="shared" ref="H2163:H2171" si="483">F2163*E2163</f>
        <v>0</v>
      </c>
      <c r="I2163" s="202"/>
      <c r="J2163" s="165" t="s">
        <v>10</v>
      </c>
      <c r="K2163" s="214" t="s">
        <v>174</v>
      </c>
      <c r="L2163" s="214"/>
      <c r="M2163" s="214"/>
      <c r="N2163" s="236"/>
      <c r="P2163" s="220"/>
      <c r="Q2163" s="259" t="s">
        <v>138</v>
      </c>
    </row>
    <row r="2164" spans="1:17" s="219" customFormat="1" ht="14" outlineLevel="2">
      <c r="A2164" s="191"/>
      <c r="B2164" s="218" t="s">
        <v>206</v>
      </c>
      <c r="C2164" s="202" t="s">
        <v>25</v>
      </c>
      <c r="D2164" s="201"/>
      <c r="E2164" s="201"/>
      <c r="F2164" s="201"/>
      <c r="G2164" s="201">
        <f t="shared" si="482"/>
        <v>0</v>
      </c>
      <c r="H2164" s="201">
        <f t="shared" si="483"/>
        <v>0</v>
      </c>
      <c r="I2164" s="202"/>
      <c r="J2164" s="165" t="s">
        <v>10</v>
      </c>
      <c r="K2164" s="214" t="s">
        <v>174</v>
      </c>
      <c r="L2164" s="214"/>
      <c r="M2164" s="214"/>
      <c r="N2164" s="236"/>
      <c r="P2164" s="220"/>
      <c r="Q2164" s="259" t="s">
        <v>138</v>
      </c>
    </row>
    <row r="2165" spans="1:17" s="219" customFormat="1" ht="14" outlineLevel="2">
      <c r="A2165" s="191"/>
      <c r="B2165" s="218" t="s">
        <v>602</v>
      </c>
      <c r="C2165" s="202" t="s">
        <v>25</v>
      </c>
      <c r="D2165" s="201">
        <v>200</v>
      </c>
      <c r="E2165" s="201"/>
      <c r="F2165" s="201">
        <v>423</v>
      </c>
      <c r="G2165" s="201">
        <f t="shared" si="482"/>
        <v>84600</v>
      </c>
      <c r="H2165" s="201">
        <f t="shared" si="483"/>
        <v>0</v>
      </c>
      <c r="I2165" s="202"/>
      <c r="J2165" s="165" t="s">
        <v>10</v>
      </c>
      <c r="K2165" s="214" t="s">
        <v>196</v>
      </c>
      <c r="L2165" s="214"/>
      <c r="M2165" s="214" t="s">
        <v>138</v>
      </c>
      <c r="N2165" s="236"/>
      <c r="P2165" s="220"/>
      <c r="Q2165" s="259" t="s">
        <v>138</v>
      </c>
    </row>
    <row r="2166" spans="1:17" s="219" customFormat="1" ht="14" outlineLevel="2">
      <c r="A2166" s="191"/>
      <c r="B2166" s="218" t="s">
        <v>207</v>
      </c>
      <c r="C2166" s="202" t="s">
        <v>25</v>
      </c>
      <c r="D2166" s="201"/>
      <c r="E2166" s="201"/>
      <c r="F2166" s="200"/>
      <c r="G2166" s="201">
        <f t="shared" si="482"/>
        <v>0</v>
      </c>
      <c r="H2166" s="201">
        <f t="shared" si="483"/>
        <v>0</v>
      </c>
      <c r="I2166" s="202"/>
      <c r="J2166" s="165" t="s">
        <v>10</v>
      </c>
      <c r="K2166" s="214" t="s">
        <v>196</v>
      </c>
      <c r="L2166" s="214"/>
      <c r="M2166" s="214" t="s">
        <v>138</v>
      </c>
      <c r="N2166" s="236"/>
      <c r="P2166" s="220"/>
      <c r="Q2166" s="259" t="s">
        <v>138</v>
      </c>
    </row>
    <row r="2167" spans="1:17" s="219" customFormat="1" ht="14" outlineLevel="2">
      <c r="A2167" s="191"/>
      <c r="B2167" s="218" t="s">
        <v>251</v>
      </c>
      <c r="C2167" s="202" t="s">
        <v>25</v>
      </c>
      <c r="D2167" s="201"/>
      <c r="E2167" s="201"/>
      <c r="F2167" s="201"/>
      <c r="G2167" s="201">
        <f t="shared" si="482"/>
        <v>0</v>
      </c>
      <c r="H2167" s="201">
        <f t="shared" si="483"/>
        <v>0</v>
      </c>
      <c r="I2167" s="202"/>
      <c r="J2167" s="165" t="s">
        <v>10</v>
      </c>
      <c r="K2167" s="214" t="s">
        <v>174</v>
      </c>
      <c r="L2167" s="214"/>
      <c r="M2167" s="214" t="s">
        <v>138</v>
      </c>
      <c r="N2167" s="236"/>
      <c r="P2167" s="220"/>
      <c r="Q2167" s="259" t="s">
        <v>138</v>
      </c>
    </row>
    <row r="2168" spans="1:17" s="219" customFormat="1" ht="14" outlineLevel="2">
      <c r="A2168" s="191"/>
      <c r="B2168" s="218" t="s">
        <v>252</v>
      </c>
      <c r="C2168" s="202" t="s">
        <v>25</v>
      </c>
      <c r="D2168" s="201"/>
      <c r="E2168" s="201"/>
      <c r="F2168" s="201"/>
      <c r="G2168" s="201">
        <f t="shared" si="482"/>
        <v>0</v>
      </c>
      <c r="H2168" s="201">
        <f t="shared" si="483"/>
        <v>0</v>
      </c>
      <c r="I2168" s="202"/>
      <c r="J2168" s="165" t="s">
        <v>10</v>
      </c>
      <c r="K2168" s="214" t="s">
        <v>174</v>
      </c>
      <c r="L2168" s="214"/>
      <c r="M2168" s="214" t="s">
        <v>138</v>
      </c>
      <c r="N2168" s="236"/>
      <c r="P2168" s="220"/>
      <c r="Q2168" s="259" t="s">
        <v>138</v>
      </c>
    </row>
    <row r="2169" spans="1:17" s="219" customFormat="1" ht="14" outlineLevel="2">
      <c r="A2169" s="191"/>
      <c r="B2169" s="218" t="s">
        <v>208</v>
      </c>
      <c r="C2169" s="202" t="s">
        <v>25</v>
      </c>
      <c r="D2169" s="201"/>
      <c r="E2169" s="201"/>
      <c r="F2169" s="201"/>
      <c r="G2169" s="201">
        <f t="shared" si="482"/>
        <v>0</v>
      </c>
      <c r="H2169" s="201">
        <f t="shared" si="483"/>
        <v>0</v>
      </c>
      <c r="I2169" s="202"/>
      <c r="J2169" s="165" t="s">
        <v>10</v>
      </c>
      <c r="K2169" s="214" t="s">
        <v>174</v>
      </c>
      <c r="L2169" s="214"/>
      <c r="M2169" s="214"/>
      <c r="N2169" s="236"/>
      <c r="P2169" s="220"/>
      <c r="Q2169" s="259"/>
    </row>
    <row r="2170" spans="1:17" s="219" customFormat="1" ht="14" outlineLevel="2">
      <c r="A2170" s="191"/>
      <c r="B2170" s="218" t="s">
        <v>209</v>
      </c>
      <c r="C2170" s="202" t="s">
        <v>25</v>
      </c>
      <c r="D2170" s="201"/>
      <c r="E2170" s="201"/>
      <c r="F2170" s="201"/>
      <c r="G2170" s="201">
        <f t="shared" si="482"/>
        <v>0</v>
      </c>
      <c r="H2170" s="201">
        <f t="shared" si="483"/>
        <v>0</v>
      </c>
      <c r="I2170" s="202"/>
      <c r="J2170" s="165" t="s">
        <v>10</v>
      </c>
      <c r="K2170" s="214" t="s">
        <v>174</v>
      </c>
      <c r="L2170" s="214"/>
      <c r="M2170" s="214"/>
      <c r="N2170" s="236"/>
      <c r="P2170" s="220"/>
      <c r="Q2170" s="259"/>
    </row>
    <row r="2171" spans="1:17" s="219" customFormat="1" ht="14" outlineLevel="2">
      <c r="A2171" s="191"/>
      <c r="B2171" s="218" t="s">
        <v>210</v>
      </c>
      <c r="C2171" s="202" t="s">
        <v>25</v>
      </c>
      <c r="D2171" s="201"/>
      <c r="E2171" s="201"/>
      <c r="F2171" s="201"/>
      <c r="G2171" s="201">
        <f t="shared" si="482"/>
        <v>0</v>
      </c>
      <c r="H2171" s="201">
        <f t="shared" si="483"/>
        <v>0</v>
      </c>
      <c r="I2171" s="202"/>
      <c r="J2171" s="165" t="s">
        <v>10</v>
      </c>
      <c r="K2171" s="214" t="s">
        <v>174</v>
      </c>
      <c r="L2171" s="214"/>
      <c r="M2171" s="214"/>
      <c r="N2171" s="236"/>
      <c r="P2171" s="220"/>
      <c r="Q2171" s="259"/>
    </row>
    <row r="2172" spans="1:17" s="219" customFormat="1" ht="14" outlineLevel="2">
      <c r="A2172" s="191"/>
      <c r="B2172" s="153" t="s">
        <v>65</v>
      </c>
      <c r="C2172" s="195"/>
      <c r="D2172" s="201"/>
      <c r="E2172" s="201"/>
      <c r="F2172" s="201"/>
      <c r="G2172" s="201"/>
      <c r="H2172" s="201"/>
      <c r="I2172" s="202"/>
      <c r="J2172" s="214"/>
      <c r="K2172" s="318"/>
      <c r="L2172" s="214"/>
      <c r="M2172" s="214"/>
      <c r="P2172" s="220"/>
      <c r="Q2172" s="259"/>
    </row>
    <row r="2173" spans="1:17" s="219" customFormat="1" ht="14" outlineLevel="2">
      <c r="A2173" s="208"/>
      <c r="B2173" s="218" t="s">
        <v>49</v>
      </c>
      <c r="C2173" s="202" t="s">
        <v>48</v>
      </c>
      <c r="D2173" s="201"/>
      <c r="E2173" s="201"/>
      <c r="F2173" s="201"/>
      <c r="G2173" s="201">
        <f t="shared" ref="G2173:G2174" si="484">F2173*D2173</f>
        <v>0</v>
      </c>
      <c r="H2173" s="201">
        <f t="shared" ref="H2173:H2174" si="485">F2173*E2173</f>
        <v>0</v>
      </c>
      <c r="I2173" s="202"/>
      <c r="J2173" s="165" t="s">
        <v>10</v>
      </c>
      <c r="K2173" s="214" t="s">
        <v>174</v>
      </c>
      <c r="L2173" s="214"/>
      <c r="M2173" s="214"/>
      <c r="N2173" s="236"/>
      <c r="P2173" s="220"/>
      <c r="Q2173" s="259"/>
    </row>
    <row r="2174" spans="1:17" s="219" customFormat="1" ht="14" outlineLevel="2">
      <c r="A2174" s="208"/>
      <c r="B2174" s="218" t="s">
        <v>50</v>
      </c>
      <c r="C2174" s="202" t="s">
        <v>48</v>
      </c>
      <c r="D2174" s="201"/>
      <c r="E2174" s="201"/>
      <c r="F2174" s="201"/>
      <c r="G2174" s="201">
        <f t="shared" si="484"/>
        <v>0</v>
      </c>
      <c r="H2174" s="201">
        <f t="shared" si="485"/>
        <v>0</v>
      </c>
      <c r="I2174" s="202"/>
      <c r="J2174" s="165" t="s">
        <v>10</v>
      </c>
      <c r="K2174" s="214" t="s">
        <v>174</v>
      </c>
      <c r="L2174" s="214"/>
      <c r="M2174" s="214" t="s">
        <v>138</v>
      </c>
      <c r="N2174" s="236"/>
      <c r="P2174" s="220"/>
      <c r="Q2174" s="259"/>
    </row>
    <row r="2175" spans="1:17" s="219" customFormat="1" ht="14" outlineLevel="1">
      <c r="A2175" s="191">
        <v>5</v>
      </c>
      <c r="B2175" s="153" t="s">
        <v>253</v>
      </c>
      <c r="C2175" s="202"/>
      <c r="D2175" s="201"/>
      <c r="E2175" s="201"/>
      <c r="F2175" s="201"/>
      <c r="G2175" s="194">
        <f>+SUBTOTAL(9,G2176:G2183)</f>
        <v>0</v>
      </c>
      <c r="H2175" s="194">
        <f>+SUBTOTAL(9,H2176:H2183)</f>
        <v>0</v>
      </c>
      <c r="I2175" s="202"/>
      <c r="J2175" s="214"/>
      <c r="K2175" s="318"/>
      <c r="L2175" s="214"/>
      <c r="M2175" s="214"/>
      <c r="P2175" s="220"/>
    </row>
    <row r="2176" spans="1:17" s="219" customFormat="1" ht="14" outlineLevel="3">
      <c r="A2176" s="208"/>
      <c r="B2176" s="308" t="s">
        <v>62</v>
      </c>
      <c r="C2176" s="202"/>
      <c r="D2176" s="201"/>
      <c r="E2176" s="201"/>
      <c r="F2176" s="201"/>
      <c r="G2176" s="201"/>
      <c r="H2176" s="201"/>
      <c r="I2176" s="202"/>
      <c r="J2176" s="214"/>
      <c r="K2176" s="318"/>
      <c r="L2176" s="214"/>
      <c r="M2176" s="214"/>
      <c r="P2176" s="220"/>
    </row>
    <row r="2177" spans="1:17" s="219" customFormat="1" ht="14" outlineLevel="3">
      <c r="A2177" s="208"/>
      <c r="B2177" s="218" t="s">
        <v>204</v>
      </c>
      <c r="C2177" s="202" t="s">
        <v>25</v>
      </c>
      <c r="D2177" s="201"/>
      <c r="E2177" s="201"/>
      <c r="F2177" s="201"/>
      <c r="G2177" s="201">
        <f t="shared" ref="G2177:G2183" si="486">F2177*D2177</f>
        <v>0</v>
      </c>
      <c r="H2177" s="201">
        <f t="shared" ref="H2177:H2183" si="487">F2177*E2177</f>
        <v>0</v>
      </c>
      <c r="I2177" s="202"/>
      <c r="J2177" s="165" t="s">
        <v>10</v>
      </c>
      <c r="K2177" s="214" t="s">
        <v>196</v>
      </c>
      <c r="L2177" s="214"/>
      <c r="M2177" s="214" t="s">
        <v>138</v>
      </c>
      <c r="N2177" s="236"/>
      <c r="P2177" s="220"/>
    </row>
    <row r="2178" spans="1:17" s="219" customFormat="1" ht="14" outlineLevel="3">
      <c r="A2178" s="208"/>
      <c r="B2178" s="218" t="s">
        <v>237</v>
      </c>
      <c r="C2178" s="202" t="s">
        <v>25</v>
      </c>
      <c r="D2178" s="201"/>
      <c r="E2178" s="201"/>
      <c r="F2178" s="201"/>
      <c r="G2178" s="201">
        <f t="shared" si="486"/>
        <v>0</v>
      </c>
      <c r="H2178" s="201">
        <f t="shared" si="487"/>
        <v>0</v>
      </c>
      <c r="I2178" s="202"/>
      <c r="J2178" s="165" t="s">
        <v>10</v>
      </c>
      <c r="K2178" s="214" t="s">
        <v>196</v>
      </c>
      <c r="L2178" s="214"/>
      <c r="M2178" s="214" t="s">
        <v>138</v>
      </c>
      <c r="N2178" s="236"/>
      <c r="P2178" s="220"/>
    </row>
    <row r="2179" spans="1:17" s="219" customFormat="1" ht="14" outlineLevel="3">
      <c r="A2179" s="208"/>
      <c r="B2179" s="218" t="s">
        <v>245</v>
      </c>
      <c r="C2179" s="202" t="s">
        <v>25</v>
      </c>
      <c r="D2179" s="201"/>
      <c r="E2179" s="201"/>
      <c r="F2179" s="201"/>
      <c r="G2179" s="201">
        <f t="shared" si="486"/>
        <v>0</v>
      </c>
      <c r="H2179" s="201">
        <f t="shared" si="487"/>
        <v>0</v>
      </c>
      <c r="I2179" s="202"/>
      <c r="J2179" s="165" t="s">
        <v>10</v>
      </c>
      <c r="K2179" s="214" t="s">
        <v>196</v>
      </c>
      <c r="L2179" s="214"/>
      <c r="M2179" s="214" t="s">
        <v>138</v>
      </c>
      <c r="N2179" s="236"/>
      <c r="P2179" s="220"/>
    </row>
    <row r="2180" spans="1:17" s="219" customFormat="1" ht="14" outlineLevel="3">
      <c r="A2180" s="208"/>
      <c r="B2180" s="218" t="s">
        <v>254</v>
      </c>
      <c r="C2180" s="202" t="s">
        <v>25</v>
      </c>
      <c r="D2180" s="201"/>
      <c r="E2180" s="201"/>
      <c r="F2180" s="201"/>
      <c r="G2180" s="201">
        <f t="shared" si="486"/>
        <v>0</v>
      </c>
      <c r="H2180" s="201">
        <f t="shared" si="487"/>
        <v>0</v>
      </c>
      <c r="I2180" s="202"/>
      <c r="J2180" s="165" t="s">
        <v>10</v>
      </c>
      <c r="K2180" s="214" t="s">
        <v>196</v>
      </c>
      <c r="L2180" s="214"/>
      <c r="M2180" s="214" t="s">
        <v>138</v>
      </c>
      <c r="N2180" s="236"/>
      <c r="P2180" s="220"/>
    </row>
    <row r="2181" spans="1:17" s="219" customFormat="1" ht="14" outlineLevel="3">
      <c r="A2181" s="208"/>
      <c r="B2181" s="218" t="s">
        <v>123</v>
      </c>
      <c r="C2181" s="202" t="s">
        <v>25</v>
      </c>
      <c r="D2181" s="201"/>
      <c r="E2181" s="201"/>
      <c r="F2181" s="201"/>
      <c r="G2181" s="201">
        <f t="shared" si="486"/>
        <v>0</v>
      </c>
      <c r="H2181" s="201">
        <f t="shared" si="487"/>
        <v>0</v>
      </c>
      <c r="I2181" s="202"/>
      <c r="J2181" s="165" t="s">
        <v>10</v>
      </c>
      <c r="K2181" s="214" t="s">
        <v>196</v>
      </c>
      <c r="L2181" s="214"/>
      <c r="M2181" s="214" t="s">
        <v>138</v>
      </c>
      <c r="N2181" s="236"/>
      <c r="P2181" s="220"/>
    </row>
    <row r="2182" spans="1:17" s="219" customFormat="1" ht="14" outlineLevel="3">
      <c r="A2182" s="208"/>
      <c r="B2182" s="218" t="s">
        <v>255</v>
      </c>
      <c r="C2182" s="202" t="s">
        <v>25</v>
      </c>
      <c r="D2182" s="201"/>
      <c r="E2182" s="201"/>
      <c r="F2182" s="201"/>
      <c r="G2182" s="201">
        <f t="shared" si="486"/>
        <v>0</v>
      </c>
      <c r="H2182" s="201">
        <f t="shared" si="487"/>
        <v>0</v>
      </c>
      <c r="I2182" s="202"/>
      <c r="J2182" s="165" t="s">
        <v>10</v>
      </c>
      <c r="K2182" s="214" t="s">
        <v>196</v>
      </c>
      <c r="L2182" s="214"/>
      <c r="M2182" s="214" t="s">
        <v>138</v>
      </c>
      <c r="N2182" s="236"/>
      <c r="P2182" s="220"/>
    </row>
    <row r="2183" spans="1:17" s="219" customFormat="1" ht="14" outlineLevel="3">
      <c r="A2183" s="208"/>
      <c r="B2183" s="218" t="s">
        <v>256</v>
      </c>
      <c r="C2183" s="202" t="s">
        <v>25</v>
      </c>
      <c r="D2183" s="201"/>
      <c r="E2183" s="201"/>
      <c r="F2183" s="201"/>
      <c r="G2183" s="201">
        <f t="shared" si="486"/>
        <v>0</v>
      </c>
      <c r="H2183" s="201">
        <f t="shared" si="487"/>
        <v>0</v>
      </c>
      <c r="I2183" s="202"/>
      <c r="J2183" s="165" t="s">
        <v>10</v>
      </c>
      <c r="K2183" s="214" t="s">
        <v>196</v>
      </c>
      <c r="L2183" s="214"/>
      <c r="M2183" s="214" t="s">
        <v>138</v>
      </c>
      <c r="N2183" s="236"/>
      <c r="P2183" s="220"/>
    </row>
    <row r="2184" spans="1:17" s="20" customFormat="1">
      <c r="A2184" s="38"/>
      <c r="B2184" s="44"/>
      <c r="C2184" s="33"/>
      <c r="D2184" s="27"/>
      <c r="E2184" s="27"/>
      <c r="F2184" s="8"/>
      <c r="G2184" s="39"/>
      <c r="H2184" s="39"/>
      <c r="I2184" s="39"/>
      <c r="J2184" s="32"/>
      <c r="K2184" s="32"/>
      <c r="M2184" s="41"/>
      <c r="N2184" s="40"/>
      <c r="O2184" s="42"/>
      <c r="P2184" s="147"/>
    </row>
    <row r="2185" spans="1:17">
      <c r="G2185" s="35"/>
      <c r="H2185" s="35"/>
      <c r="Q2185" s="3"/>
    </row>
    <row r="2186" spans="1:17">
      <c r="G2186" s="35"/>
      <c r="H2186" s="35"/>
      <c r="Q2186" s="3"/>
    </row>
    <row r="2187" spans="1:17">
      <c r="G2187" s="35"/>
      <c r="H2187" s="35"/>
      <c r="Q2187" s="3"/>
    </row>
    <row r="2188" spans="1:17">
      <c r="G2188" s="35"/>
      <c r="H2188" s="35"/>
      <c r="Q2188" s="3"/>
    </row>
    <row r="2189" spans="1:17">
      <c r="G2189" s="35"/>
      <c r="H2189" s="35"/>
      <c r="Q2189" s="3"/>
    </row>
    <row r="2190" spans="1:17">
      <c r="G2190" s="35"/>
      <c r="H2190" s="35"/>
      <c r="Q2190" s="3"/>
    </row>
    <row r="2191" spans="1:17">
      <c r="G2191" s="35"/>
      <c r="H2191" s="35"/>
      <c r="Q2191" s="3"/>
    </row>
    <row r="2192" spans="1:17">
      <c r="G2192" s="35"/>
      <c r="H2192" s="35"/>
      <c r="Q2192" s="3"/>
    </row>
    <row r="2193" spans="1:17">
      <c r="G2193" s="35"/>
      <c r="H2193" s="35"/>
      <c r="Q2193" s="3"/>
    </row>
    <row r="2194" spans="1:17">
      <c r="G2194" s="35"/>
      <c r="H2194" s="35"/>
      <c r="Q2194" s="3"/>
    </row>
    <row r="2195" spans="1:17">
      <c r="G2195" s="35"/>
      <c r="H2195" s="35"/>
      <c r="Q2195" s="3"/>
    </row>
    <row r="2196" spans="1:17">
      <c r="G2196" s="35"/>
      <c r="H2196" s="35"/>
      <c r="Q2196" s="3"/>
    </row>
    <row r="2197" spans="1:17">
      <c r="G2197" s="35"/>
      <c r="H2197" s="35"/>
      <c r="Q2197" s="3"/>
    </row>
    <row r="2198" spans="1:17">
      <c r="G2198" s="35"/>
      <c r="H2198" s="35"/>
      <c r="Q2198" s="3"/>
    </row>
    <row r="2199" spans="1:17">
      <c r="A2199" s="3"/>
      <c r="B2199" s="3"/>
      <c r="C2199" s="3"/>
      <c r="D2199" s="3"/>
      <c r="E2199" s="3"/>
      <c r="F2199" s="3"/>
      <c r="G2199" s="35"/>
      <c r="H2199" s="35"/>
      <c r="I2199" s="3"/>
      <c r="J2199" s="3"/>
      <c r="K2199" s="3"/>
      <c r="L2199" s="3"/>
      <c r="M2199" s="3"/>
      <c r="N2199" s="3"/>
      <c r="O2199" s="3"/>
      <c r="Q2199" s="3"/>
    </row>
    <row r="2200" spans="1:17">
      <c r="A2200" s="3"/>
      <c r="B2200" s="3"/>
      <c r="C2200" s="3"/>
      <c r="D2200" s="3"/>
      <c r="E2200" s="3"/>
      <c r="F2200" s="3"/>
      <c r="G2200" s="35"/>
      <c r="H2200" s="35"/>
      <c r="I2200" s="3"/>
      <c r="J2200" s="3"/>
      <c r="K2200" s="3"/>
      <c r="L2200" s="3"/>
      <c r="M2200" s="3"/>
      <c r="N2200" s="3"/>
      <c r="O2200" s="3"/>
      <c r="Q2200" s="3"/>
    </row>
    <row r="2201" spans="1:17">
      <c r="A2201" s="3"/>
      <c r="B2201" s="3"/>
      <c r="C2201" s="3"/>
      <c r="D2201" s="3"/>
      <c r="E2201" s="3"/>
      <c r="F2201" s="3"/>
      <c r="G2201" s="35"/>
      <c r="H2201" s="35"/>
      <c r="I2201" s="3"/>
      <c r="J2201" s="3"/>
      <c r="K2201" s="3"/>
      <c r="L2201" s="3"/>
      <c r="M2201" s="3"/>
      <c r="N2201" s="3"/>
      <c r="O2201" s="3"/>
      <c r="Q2201" s="3"/>
    </row>
    <row r="2202" spans="1:17">
      <c r="A2202" s="3"/>
      <c r="B2202" s="3"/>
      <c r="C2202" s="3"/>
      <c r="D2202" s="3"/>
      <c r="E2202" s="3"/>
      <c r="F2202" s="3"/>
      <c r="G2202" s="35"/>
      <c r="H2202" s="35"/>
      <c r="I2202" s="3"/>
      <c r="J2202" s="3"/>
      <c r="K2202" s="3"/>
      <c r="L2202" s="3"/>
      <c r="M2202" s="3"/>
      <c r="N2202" s="3"/>
      <c r="O2202" s="3"/>
      <c r="Q2202" s="3"/>
    </row>
    <row r="2203" spans="1:17">
      <c r="A2203" s="3"/>
      <c r="B2203" s="3"/>
      <c r="C2203" s="3"/>
      <c r="D2203" s="3"/>
      <c r="E2203" s="3"/>
      <c r="F2203" s="3"/>
      <c r="G2203" s="35"/>
      <c r="H2203" s="35"/>
      <c r="I2203" s="3"/>
      <c r="J2203" s="3"/>
      <c r="K2203" s="3"/>
      <c r="L2203" s="3"/>
      <c r="M2203" s="3"/>
      <c r="N2203" s="3"/>
      <c r="O2203" s="3"/>
      <c r="Q2203" s="3"/>
    </row>
    <row r="2204" spans="1:17">
      <c r="A2204" s="3"/>
      <c r="B2204" s="3"/>
      <c r="C2204" s="3"/>
      <c r="D2204" s="3"/>
      <c r="E2204" s="3"/>
      <c r="F2204" s="3"/>
      <c r="G2204" s="35"/>
      <c r="H2204" s="35"/>
      <c r="I2204" s="3"/>
      <c r="J2204" s="3"/>
      <c r="K2204" s="3"/>
      <c r="L2204" s="3"/>
      <c r="M2204" s="3"/>
      <c r="N2204" s="3"/>
      <c r="O2204" s="3"/>
      <c r="Q2204" s="3"/>
    </row>
    <row r="2205" spans="1:17">
      <c r="A2205" s="3"/>
      <c r="B2205" s="3"/>
      <c r="C2205" s="3"/>
      <c r="D2205" s="3"/>
      <c r="E2205" s="3"/>
      <c r="F2205" s="3"/>
      <c r="G2205" s="35"/>
      <c r="H2205" s="35"/>
      <c r="I2205" s="3"/>
      <c r="J2205" s="3"/>
      <c r="K2205" s="3"/>
      <c r="L2205" s="3"/>
      <c r="M2205" s="3"/>
      <c r="N2205" s="3"/>
      <c r="O2205" s="3"/>
      <c r="Q2205" s="3"/>
    </row>
    <row r="2206" spans="1:17">
      <c r="A2206" s="3"/>
      <c r="B2206" s="3"/>
      <c r="C2206" s="3"/>
      <c r="D2206" s="3"/>
      <c r="E2206" s="3"/>
      <c r="F2206" s="3"/>
      <c r="G2206" s="35"/>
      <c r="H2206" s="35"/>
      <c r="I2206" s="3"/>
      <c r="J2206" s="3"/>
      <c r="K2206" s="3"/>
      <c r="L2206" s="3"/>
      <c r="M2206" s="3"/>
      <c r="N2206" s="3"/>
      <c r="O2206" s="3"/>
      <c r="Q2206" s="3"/>
    </row>
    <row r="2207" spans="1:17">
      <c r="A2207" s="3"/>
      <c r="B2207" s="3"/>
      <c r="C2207" s="3"/>
      <c r="D2207" s="3"/>
      <c r="E2207" s="3"/>
      <c r="F2207" s="3"/>
      <c r="G2207" s="35"/>
      <c r="H2207" s="35"/>
      <c r="I2207" s="3"/>
      <c r="J2207" s="3"/>
      <c r="K2207" s="3"/>
      <c r="L2207" s="3"/>
      <c r="M2207" s="3"/>
      <c r="N2207" s="3"/>
      <c r="O2207" s="3"/>
      <c r="Q2207" s="3"/>
    </row>
    <row r="2208" spans="1:17">
      <c r="A2208" s="3"/>
      <c r="B2208" s="3"/>
      <c r="C2208" s="3"/>
      <c r="D2208" s="3"/>
      <c r="E2208" s="3"/>
      <c r="F2208" s="3"/>
      <c r="G2208" s="35"/>
      <c r="H2208" s="35"/>
      <c r="I2208" s="3"/>
      <c r="J2208" s="3"/>
      <c r="K2208" s="3"/>
      <c r="L2208" s="3"/>
      <c r="M2208" s="3"/>
      <c r="N2208" s="3"/>
      <c r="O2208" s="3"/>
      <c r="Q2208" s="3"/>
    </row>
    <row r="2209" spans="1:17">
      <c r="A2209" s="3"/>
      <c r="B2209" s="3"/>
      <c r="C2209" s="3"/>
      <c r="D2209" s="3"/>
      <c r="E2209" s="3"/>
      <c r="F2209" s="3"/>
      <c r="G2209" s="35"/>
      <c r="H2209" s="35"/>
      <c r="I2209" s="3"/>
      <c r="J2209" s="3"/>
      <c r="K2209" s="3"/>
      <c r="L2209" s="3"/>
      <c r="M2209" s="3"/>
      <c r="N2209" s="3"/>
      <c r="O2209" s="3"/>
      <c r="Q2209" s="3"/>
    </row>
    <row r="2210" spans="1:17">
      <c r="A2210" s="3"/>
      <c r="B2210" s="3"/>
      <c r="C2210" s="3"/>
      <c r="D2210" s="3"/>
      <c r="E2210" s="3"/>
      <c r="F2210" s="3"/>
      <c r="G2210" s="35"/>
      <c r="H2210" s="35"/>
      <c r="I2210" s="3"/>
      <c r="J2210" s="3"/>
      <c r="K2210" s="3"/>
      <c r="L2210" s="3"/>
      <c r="M2210" s="3"/>
      <c r="N2210" s="3"/>
      <c r="O2210" s="3"/>
      <c r="Q2210" s="3"/>
    </row>
    <row r="2211" spans="1:17">
      <c r="A2211" s="3"/>
      <c r="B2211" s="3"/>
      <c r="C2211" s="3"/>
      <c r="D2211" s="3"/>
      <c r="E2211" s="3"/>
      <c r="F2211" s="3"/>
      <c r="G2211" s="35"/>
      <c r="H2211" s="35"/>
      <c r="I2211" s="3"/>
      <c r="J2211" s="3"/>
      <c r="K2211" s="3"/>
      <c r="L2211" s="3"/>
      <c r="M2211" s="3"/>
      <c r="N2211" s="3"/>
      <c r="O2211" s="3"/>
      <c r="Q2211" s="3"/>
    </row>
    <row r="2212" spans="1:17">
      <c r="A2212" s="3"/>
      <c r="B2212" s="3"/>
      <c r="C2212" s="3"/>
      <c r="D2212" s="3"/>
      <c r="E2212" s="3"/>
      <c r="F2212" s="3"/>
      <c r="G2212" s="35"/>
      <c r="H2212" s="35"/>
      <c r="I2212" s="3"/>
      <c r="J2212" s="3"/>
      <c r="K2212" s="3"/>
      <c r="L2212" s="3"/>
      <c r="M2212" s="3"/>
      <c r="N2212" s="3"/>
      <c r="O2212" s="3"/>
      <c r="Q2212" s="3"/>
    </row>
    <row r="2213" spans="1:17">
      <c r="A2213" s="3"/>
      <c r="B2213" s="3"/>
      <c r="C2213" s="3"/>
      <c r="D2213" s="3"/>
      <c r="E2213" s="3"/>
      <c r="F2213" s="3"/>
      <c r="G2213" s="35"/>
      <c r="H2213" s="35"/>
      <c r="I2213" s="3"/>
      <c r="J2213" s="3"/>
      <c r="K2213" s="3"/>
      <c r="L2213" s="3"/>
      <c r="M2213" s="3"/>
      <c r="N2213" s="3"/>
      <c r="O2213" s="3"/>
      <c r="Q2213" s="3"/>
    </row>
    <row r="2214" spans="1:17">
      <c r="A2214" s="3"/>
      <c r="B2214" s="3"/>
      <c r="C2214" s="3"/>
      <c r="D2214" s="3"/>
      <c r="E2214" s="3"/>
      <c r="F2214" s="3"/>
      <c r="G2214" s="35"/>
      <c r="H2214" s="35"/>
      <c r="I2214" s="3"/>
      <c r="J2214" s="3"/>
      <c r="K2214" s="3"/>
      <c r="L2214" s="3"/>
      <c r="M2214" s="3"/>
      <c r="N2214" s="3"/>
      <c r="O2214" s="3"/>
      <c r="Q2214" s="3"/>
    </row>
    <row r="2215" spans="1:17">
      <c r="A2215" s="3"/>
      <c r="B2215" s="3"/>
      <c r="C2215" s="3"/>
      <c r="D2215" s="3"/>
      <c r="E2215" s="3"/>
      <c r="F2215" s="3"/>
      <c r="G2215" s="35"/>
      <c r="H2215" s="35"/>
      <c r="I2215" s="3"/>
      <c r="J2215" s="3"/>
      <c r="K2215" s="3"/>
      <c r="L2215" s="3"/>
      <c r="M2215" s="3"/>
      <c r="N2215" s="3"/>
      <c r="O2215" s="3"/>
      <c r="Q2215" s="3"/>
    </row>
    <row r="2216" spans="1:17">
      <c r="A2216" s="3"/>
      <c r="B2216" s="3"/>
      <c r="C2216" s="3"/>
      <c r="D2216" s="3"/>
      <c r="E2216" s="3"/>
      <c r="F2216" s="3"/>
      <c r="G2216" s="35"/>
      <c r="H2216" s="35"/>
      <c r="I2216" s="3"/>
      <c r="J2216" s="3"/>
      <c r="K2216" s="3"/>
      <c r="L2216" s="3"/>
      <c r="M2216" s="3"/>
      <c r="N2216" s="3"/>
      <c r="O2216" s="3"/>
      <c r="Q2216" s="3"/>
    </row>
    <row r="2217" spans="1:17">
      <c r="A2217" s="3"/>
      <c r="B2217" s="3"/>
      <c r="C2217" s="3"/>
      <c r="D2217" s="3"/>
      <c r="E2217" s="3"/>
      <c r="F2217" s="3"/>
      <c r="G2217" s="35"/>
      <c r="H2217" s="35"/>
      <c r="I2217" s="3"/>
      <c r="J2217" s="3"/>
      <c r="K2217" s="3"/>
      <c r="L2217" s="3"/>
      <c r="M2217" s="3"/>
      <c r="N2217" s="3"/>
      <c r="O2217" s="3"/>
      <c r="Q2217" s="3"/>
    </row>
    <row r="2218" spans="1:17">
      <c r="A2218" s="3"/>
      <c r="B2218" s="3"/>
      <c r="C2218" s="3"/>
      <c r="D2218" s="3"/>
      <c r="E2218" s="3"/>
      <c r="F2218" s="3"/>
      <c r="G2218" s="35"/>
      <c r="H2218" s="35"/>
      <c r="I2218" s="3"/>
      <c r="J2218" s="3"/>
      <c r="K2218" s="3"/>
      <c r="L2218" s="3"/>
      <c r="M2218" s="3"/>
      <c r="N2218" s="3"/>
      <c r="O2218" s="3"/>
      <c r="Q2218" s="3"/>
    </row>
    <row r="2219" spans="1:17">
      <c r="A2219" s="3"/>
      <c r="B2219" s="3"/>
      <c r="C2219" s="3"/>
      <c r="D2219" s="3"/>
      <c r="E2219" s="3"/>
      <c r="F2219" s="3"/>
      <c r="G2219" s="35"/>
      <c r="H2219" s="35"/>
      <c r="I2219" s="3"/>
      <c r="J2219" s="3"/>
      <c r="K2219" s="3"/>
      <c r="L2219" s="3"/>
      <c r="M2219" s="3"/>
      <c r="N2219" s="3"/>
      <c r="O2219" s="3"/>
      <c r="Q2219" s="3"/>
    </row>
    <row r="2220" spans="1:17">
      <c r="A2220" s="3"/>
      <c r="B2220" s="3"/>
      <c r="C2220" s="3"/>
      <c r="D2220" s="3"/>
      <c r="E2220" s="3"/>
      <c r="F2220" s="3"/>
      <c r="G2220" s="35"/>
      <c r="H2220" s="35"/>
      <c r="I2220" s="3"/>
      <c r="J2220" s="3"/>
      <c r="K2220" s="3"/>
      <c r="L2220" s="3"/>
      <c r="M2220" s="3"/>
      <c r="N2220" s="3"/>
      <c r="O2220" s="3"/>
      <c r="Q2220" s="3"/>
    </row>
    <row r="2221" spans="1:17">
      <c r="A2221" s="3"/>
      <c r="B2221" s="3"/>
      <c r="C2221" s="3"/>
      <c r="D2221" s="3"/>
      <c r="E2221" s="3"/>
      <c r="F2221" s="3"/>
      <c r="G2221" s="35"/>
      <c r="H2221" s="35"/>
      <c r="I2221" s="3"/>
      <c r="J2221" s="3"/>
      <c r="K2221" s="3"/>
      <c r="L2221" s="3"/>
      <c r="M2221" s="3"/>
      <c r="N2221" s="3"/>
      <c r="O2221" s="3"/>
      <c r="Q2221" s="3"/>
    </row>
    <row r="2222" spans="1:17">
      <c r="A2222" s="3"/>
      <c r="B2222" s="3"/>
      <c r="C2222" s="3"/>
      <c r="D2222" s="3"/>
      <c r="E2222" s="3"/>
      <c r="F2222" s="3"/>
      <c r="G2222" s="35"/>
      <c r="H2222" s="35"/>
      <c r="I2222" s="3"/>
      <c r="J2222" s="3"/>
      <c r="K2222" s="3"/>
      <c r="L2222" s="3"/>
      <c r="M2222" s="3"/>
      <c r="N2222" s="3"/>
      <c r="O2222" s="3"/>
      <c r="Q2222" s="3"/>
    </row>
    <row r="2223" spans="1:17">
      <c r="A2223" s="3"/>
      <c r="B2223" s="3"/>
      <c r="C2223" s="3"/>
      <c r="D2223" s="3"/>
      <c r="E2223" s="3"/>
      <c r="F2223" s="3"/>
      <c r="G2223" s="35"/>
      <c r="H2223" s="35"/>
      <c r="I2223" s="3"/>
      <c r="J2223" s="3"/>
      <c r="K2223" s="3"/>
      <c r="L2223" s="3"/>
      <c r="M2223" s="3"/>
      <c r="N2223" s="3"/>
      <c r="O2223" s="3"/>
      <c r="Q2223" s="3"/>
    </row>
    <row r="2224" spans="1:17">
      <c r="A2224" s="3"/>
      <c r="B2224" s="3"/>
      <c r="C2224" s="3"/>
      <c r="D2224" s="3"/>
      <c r="E2224" s="3"/>
      <c r="F2224" s="3"/>
      <c r="G2224" s="35"/>
      <c r="H2224" s="35"/>
      <c r="I2224" s="3"/>
      <c r="J2224" s="3"/>
      <c r="K2224" s="3"/>
      <c r="L2224" s="3"/>
      <c r="M2224" s="3"/>
      <c r="N2224" s="3"/>
      <c r="O2224" s="3"/>
      <c r="Q2224" s="3"/>
    </row>
    <row r="2225" spans="1:17">
      <c r="A2225" s="3"/>
      <c r="B2225" s="3"/>
      <c r="C2225" s="3"/>
      <c r="D2225" s="3"/>
      <c r="E2225" s="3"/>
      <c r="F2225" s="3"/>
      <c r="G2225" s="35"/>
      <c r="H2225" s="35"/>
      <c r="I2225" s="3"/>
      <c r="J2225" s="3"/>
      <c r="K2225" s="3"/>
      <c r="L2225" s="3"/>
      <c r="M2225" s="3"/>
      <c r="N2225" s="3"/>
      <c r="O2225" s="3"/>
      <c r="Q2225" s="3"/>
    </row>
    <row r="2226" spans="1:17">
      <c r="A2226" s="3"/>
      <c r="B2226" s="3"/>
      <c r="C2226" s="3"/>
      <c r="D2226" s="3"/>
      <c r="E2226" s="3"/>
      <c r="F2226" s="3"/>
      <c r="G2226" s="35"/>
      <c r="H2226" s="35"/>
      <c r="I2226" s="3"/>
      <c r="J2226" s="3"/>
      <c r="K2226" s="3"/>
      <c r="L2226" s="3"/>
      <c r="M2226" s="3"/>
      <c r="N2226" s="3"/>
      <c r="O2226" s="3"/>
      <c r="Q2226" s="3"/>
    </row>
    <row r="2227" spans="1:17">
      <c r="A2227" s="3"/>
      <c r="B2227" s="3"/>
      <c r="C2227" s="3"/>
      <c r="D2227" s="3"/>
      <c r="E2227" s="3"/>
      <c r="F2227" s="3"/>
      <c r="G2227" s="35"/>
      <c r="H2227" s="35"/>
      <c r="I2227" s="3"/>
      <c r="J2227" s="3"/>
      <c r="K2227" s="3"/>
      <c r="L2227" s="3"/>
      <c r="M2227" s="3"/>
      <c r="N2227" s="3"/>
      <c r="O2227" s="3"/>
      <c r="Q2227" s="3"/>
    </row>
    <row r="2228" spans="1:17">
      <c r="A2228" s="3"/>
      <c r="B2228" s="3"/>
      <c r="C2228" s="3"/>
      <c r="D2228" s="3"/>
      <c r="E2228" s="3"/>
      <c r="F2228" s="3"/>
      <c r="G2228" s="35"/>
      <c r="H2228" s="35"/>
      <c r="I2228" s="3"/>
      <c r="J2228" s="3"/>
      <c r="K2228" s="3"/>
      <c r="L2228" s="3"/>
      <c r="M2228" s="3"/>
      <c r="N2228" s="3"/>
      <c r="O2228" s="3"/>
      <c r="Q2228" s="3"/>
    </row>
    <row r="2229" spans="1:17">
      <c r="A2229" s="3"/>
      <c r="B2229" s="3"/>
      <c r="C2229" s="3"/>
      <c r="D2229" s="3"/>
      <c r="E2229" s="3"/>
      <c r="F2229" s="3"/>
      <c r="G2229" s="35"/>
      <c r="H2229" s="35"/>
      <c r="I2229" s="3"/>
      <c r="J2229" s="3"/>
      <c r="K2229" s="3"/>
      <c r="L2229" s="3"/>
      <c r="M2229" s="3"/>
      <c r="N2229" s="3"/>
      <c r="O2229" s="3"/>
      <c r="Q2229" s="3"/>
    </row>
    <row r="2230" spans="1:17">
      <c r="A2230" s="3"/>
      <c r="B2230" s="3"/>
      <c r="C2230" s="3"/>
      <c r="D2230" s="3"/>
      <c r="E2230" s="3"/>
      <c r="F2230" s="3"/>
      <c r="G2230" s="35"/>
      <c r="H2230" s="35"/>
      <c r="I2230" s="3"/>
      <c r="J2230" s="3"/>
      <c r="K2230" s="3"/>
      <c r="L2230" s="3"/>
      <c r="M2230" s="3"/>
      <c r="N2230" s="3"/>
      <c r="O2230" s="3"/>
      <c r="Q2230" s="3"/>
    </row>
    <row r="2231" spans="1:17">
      <c r="A2231" s="3"/>
      <c r="B2231" s="3"/>
      <c r="C2231" s="3"/>
      <c r="D2231" s="3"/>
      <c r="E2231" s="3"/>
      <c r="F2231" s="3"/>
      <c r="G2231" s="35"/>
      <c r="H2231" s="35"/>
      <c r="I2231" s="3"/>
      <c r="J2231" s="3"/>
      <c r="K2231" s="3"/>
      <c r="L2231" s="3"/>
      <c r="M2231" s="3"/>
      <c r="N2231" s="3"/>
      <c r="O2231" s="3"/>
      <c r="Q2231" s="3"/>
    </row>
    <row r="2232" spans="1:17">
      <c r="A2232" s="3"/>
      <c r="B2232" s="3"/>
      <c r="C2232" s="3"/>
      <c r="D2232" s="3"/>
      <c r="E2232" s="3"/>
      <c r="F2232" s="3"/>
      <c r="G2232" s="35"/>
      <c r="H2232" s="35"/>
      <c r="I2232" s="3"/>
      <c r="J2232" s="3"/>
      <c r="K2232" s="3"/>
      <c r="L2232" s="3"/>
      <c r="M2232" s="3"/>
      <c r="N2232" s="3"/>
      <c r="O2232" s="3"/>
      <c r="Q2232" s="3"/>
    </row>
    <row r="2233" spans="1:17">
      <c r="A2233" s="3"/>
      <c r="B2233" s="3"/>
      <c r="C2233" s="3"/>
      <c r="D2233" s="3"/>
      <c r="E2233" s="3"/>
      <c r="F2233" s="3"/>
      <c r="G2233" s="35"/>
      <c r="H2233" s="35"/>
      <c r="I2233" s="3"/>
      <c r="J2233" s="3"/>
      <c r="K2233" s="3"/>
      <c r="L2233" s="3"/>
      <c r="M2233" s="3"/>
      <c r="N2233" s="3"/>
      <c r="O2233" s="3"/>
      <c r="Q2233" s="3"/>
    </row>
    <row r="2234" spans="1:17">
      <c r="A2234" s="3"/>
      <c r="B2234" s="3"/>
      <c r="C2234" s="3"/>
      <c r="D2234" s="3"/>
      <c r="E2234" s="3"/>
      <c r="F2234" s="3"/>
      <c r="G2234" s="35"/>
      <c r="H2234" s="35"/>
      <c r="I2234" s="3"/>
      <c r="J2234" s="3"/>
      <c r="K2234" s="3"/>
      <c r="L2234" s="3"/>
      <c r="M2234" s="3"/>
      <c r="N2234" s="3"/>
      <c r="O2234" s="3"/>
      <c r="Q2234" s="3"/>
    </row>
    <row r="2235" spans="1:17">
      <c r="A2235" s="3"/>
      <c r="B2235" s="3"/>
      <c r="C2235" s="3"/>
      <c r="D2235" s="3"/>
      <c r="E2235" s="3"/>
      <c r="F2235" s="3"/>
      <c r="G2235" s="35"/>
      <c r="H2235" s="35"/>
      <c r="I2235" s="3"/>
      <c r="J2235" s="3"/>
      <c r="K2235" s="3"/>
      <c r="L2235" s="3"/>
      <c r="M2235" s="3"/>
      <c r="N2235" s="3"/>
      <c r="O2235" s="3"/>
      <c r="Q2235" s="3"/>
    </row>
    <row r="2236" spans="1:17">
      <c r="A2236" s="3"/>
      <c r="B2236" s="3"/>
      <c r="C2236" s="3"/>
      <c r="D2236" s="3"/>
      <c r="E2236" s="3"/>
      <c r="F2236" s="3"/>
      <c r="G2236" s="35"/>
      <c r="H2236" s="35"/>
      <c r="I2236" s="3"/>
      <c r="J2236" s="3"/>
      <c r="K2236" s="3"/>
      <c r="L2236" s="3"/>
      <c r="M2236" s="3"/>
      <c r="N2236" s="3"/>
      <c r="O2236" s="3"/>
      <c r="Q2236" s="3"/>
    </row>
    <row r="2237" spans="1:17">
      <c r="A2237" s="3"/>
      <c r="B2237" s="3"/>
      <c r="C2237" s="3"/>
      <c r="D2237" s="3"/>
      <c r="E2237" s="3"/>
      <c r="F2237" s="3"/>
      <c r="G2237" s="35"/>
      <c r="H2237" s="35"/>
      <c r="I2237" s="3"/>
      <c r="J2237" s="3"/>
      <c r="K2237" s="3"/>
      <c r="L2237" s="3"/>
      <c r="M2237" s="3"/>
      <c r="N2237" s="3"/>
      <c r="O2237" s="3"/>
      <c r="Q2237" s="3"/>
    </row>
    <row r="2238" spans="1:17">
      <c r="A2238" s="3"/>
      <c r="B2238" s="3"/>
      <c r="C2238" s="3"/>
      <c r="D2238" s="3"/>
      <c r="E2238" s="3"/>
      <c r="F2238" s="3"/>
      <c r="G2238" s="35"/>
      <c r="H2238" s="35"/>
      <c r="I2238" s="3"/>
      <c r="J2238" s="3"/>
      <c r="K2238" s="3"/>
      <c r="L2238" s="3"/>
      <c r="M2238" s="3"/>
      <c r="N2238" s="3"/>
      <c r="O2238" s="3"/>
      <c r="Q2238" s="3"/>
    </row>
    <row r="2239" spans="1:17">
      <c r="A2239" s="3"/>
      <c r="B2239" s="3"/>
      <c r="C2239" s="3"/>
      <c r="D2239" s="3"/>
      <c r="E2239" s="3"/>
      <c r="F2239" s="3"/>
      <c r="G2239" s="35"/>
      <c r="H2239" s="35"/>
      <c r="I2239" s="3"/>
      <c r="J2239" s="3"/>
      <c r="K2239" s="3"/>
      <c r="L2239" s="3"/>
      <c r="M2239" s="3"/>
      <c r="N2239" s="3"/>
      <c r="O2239" s="3"/>
      <c r="Q2239" s="3"/>
    </row>
    <row r="2240" spans="1:17">
      <c r="A2240" s="3"/>
      <c r="B2240" s="3"/>
      <c r="C2240" s="3"/>
      <c r="D2240" s="3"/>
      <c r="E2240" s="3"/>
      <c r="F2240" s="3"/>
      <c r="G2240" s="35"/>
      <c r="H2240" s="35"/>
      <c r="I2240" s="3"/>
      <c r="J2240" s="3"/>
      <c r="K2240" s="3"/>
      <c r="L2240" s="3"/>
      <c r="M2240" s="3"/>
      <c r="N2240" s="3"/>
      <c r="O2240" s="3"/>
      <c r="Q2240" s="3"/>
    </row>
    <row r="2241" spans="1:17">
      <c r="A2241" s="3"/>
      <c r="B2241" s="3"/>
      <c r="C2241" s="3"/>
      <c r="D2241" s="3"/>
      <c r="E2241" s="3"/>
      <c r="F2241" s="3"/>
      <c r="G2241" s="35"/>
      <c r="H2241" s="35"/>
      <c r="I2241" s="3"/>
      <c r="J2241" s="3"/>
      <c r="K2241" s="3"/>
      <c r="L2241" s="3"/>
      <c r="M2241" s="3"/>
      <c r="N2241" s="3"/>
      <c r="O2241" s="3"/>
      <c r="Q2241" s="3"/>
    </row>
    <row r="2242" spans="1:17">
      <c r="A2242" s="3"/>
      <c r="B2242" s="3"/>
      <c r="C2242" s="3"/>
      <c r="D2242" s="3"/>
      <c r="E2242" s="3"/>
      <c r="F2242" s="3"/>
      <c r="G2242" s="35"/>
      <c r="H2242" s="35"/>
      <c r="I2242" s="3"/>
      <c r="J2242" s="3"/>
      <c r="K2242" s="3"/>
      <c r="L2242" s="3"/>
      <c r="M2242" s="3"/>
      <c r="N2242" s="3"/>
      <c r="O2242" s="3"/>
      <c r="Q2242" s="3"/>
    </row>
    <row r="2243" spans="1:17">
      <c r="A2243" s="3"/>
      <c r="B2243" s="3"/>
      <c r="C2243" s="3"/>
      <c r="D2243" s="3"/>
      <c r="E2243" s="3"/>
      <c r="F2243" s="3"/>
      <c r="G2243" s="35"/>
      <c r="H2243" s="35"/>
      <c r="I2243" s="3"/>
      <c r="J2243" s="3"/>
      <c r="K2243" s="3"/>
      <c r="L2243" s="3"/>
      <c r="M2243" s="3"/>
      <c r="N2243" s="3"/>
      <c r="O2243" s="3"/>
      <c r="Q2243" s="3"/>
    </row>
    <row r="2244" spans="1:17">
      <c r="A2244" s="3"/>
      <c r="B2244" s="3"/>
      <c r="C2244" s="3"/>
      <c r="D2244" s="3"/>
      <c r="E2244" s="3"/>
      <c r="F2244" s="3"/>
      <c r="G2244" s="35"/>
      <c r="H2244" s="35"/>
      <c r="I2244" s="3"/>
      <c r="J2244" s="3"/>
      <c r="K2244" s="3"/>
      <c r="L2244" s="3"/>
      <c r="M2244" s="3"/>
      <c r="N2244" s="3"/>
      <c r="O2244" s="3"/>
      <c r="Q2244" s="3"/>
    </row>
    <row r="2245" spans="1:17">
      <c r="A2245" s="3"/>
      <c r="B2245" s="3"/>
      <c r="C2245" s="3"/>
      <c r="D2245" s="3"/>
      <c r="E2245" s="3"/>
      <c r="F2245" s="3"/>
      <c r="G2245" s="35"/>
      <c r="H2245" s="35"/>
      <c r="I2245" s="3"/>
      <c r="J2245" s="3"/>
      <c r="K2245" s="3"/>
      <c r="L2245" s="3"/>
      <c r="M2245" s="3"/>
      <c r="N2245" s="3"/>
      <c r="O2245" s="3"/>
      <c r="Q2245" s="3"/>
    </row>
    <row r="2246" spans="1:17">
      <c r="A2246" s="3"/>
      <c r="B2246" s="3"/>
      <c r="C2246" s="3"/>
      <c r="D2246" s="3"/>
      <c r="E2246" s="3"/>
      <c r="F2246" s="3"/>
      <c r="G2246" s="35"/>
      <c r="H2246" s="35"/>
      <c r="I2246" s="3"/>
      <c r="J2246" s="3"/>
      <c r="K2246" s="3"/>
      <c r="L2246" s="3"/>
      <c r="M2246" s="3"/>
      <c r="N2246" s="3"/>
      <c r="O2246" s="3"/>
      <c r="Q2246" s="3"/>
    </row>
    <row r="2247" spans="1:17">
      <c r="A2247" s="3"/>
      <c r="B2247" s="3"/>
      <c r="C2247" s="3"/>
      <c r="D2247" s="3"/>
      <c r="E2247" s="3"/>
      <c r="F2247" s="3"/>
      <c r="G2247" s="35"/>
      <c r="H2247" s="35"/>
      <c r="I2247" s="3"/>
      <c r="J2247" s="3"/>
      <c r="K2247" s="3"/>
      <c r="L2247" s="3"/>
      <c r="M2247" s="3"/>
      <c r="N2247" s="3"/>
      <c r="O2247" s="3"/>
      <c r="Q2247" s="3"/>
    </row>
    <row r="2248" spans="1:17">
      <c r="A2248" s="3"/>
      <c r="B2248" s="3"/>
      <c r="C2248" s="3"/>
      <c r="D2248" s="3"/>
      <c r="E2248" s="3"/>
      <c r="F2248" s="3"/>
      <c r="G2248" s="35"/>
      <c r="H2248" s="35"/>
      <c r="I2248" s="3"/>
      <c r="J2248" s="3"/>
      <c r="K2248" s="3"/>
      <c r="L2248" s="3"/>
      <c r="M2248" s="3"/>
      <c r="N2248" s="3"/>
      <c r="O2248" s="3"/>
      <c r="Q2248" s="3"/>
    </row>
    <row r="2249" spans="1:17">
      <c r="A2249" s="3"/>
      <c r="B2249" s="3"/>
      <c r="C2249" s="3"/>
      <c r="D2249" s="3"/>
      <c r="E2249" s="3"/>
      <c r="F2249" s="3"/>
      <c r="G2249" s="35"/>
      <c r="H2249" s="35"/>
      <c r="I2249" s="3"/>
      <c r="J2249" s="3"/>
      <c r="K2249" s="3"/>
      <c r="L2249" s="3"/>
      <c r="M2249" s="3"/>
      <c r="N2249" s="3"/>
      <c r="O2249" s="3"/>
      <c r="Q2249" s="3"/>
    </row>
    <row r="2250" spans="1:17">
      <c r="A2250" s="3"/>
      <c r="B2250" s="3"/>
      <c r="C2250" s="3"/>
      <c r="D2250" s="3"/>
      <c r="E2250" s="3"/>
      <c r="F2250" s="3"/>
      <c r="G2250" s="35"/>
      <c r="H2250" s="35"/>
      <c r="I2250" s="3"/>
      <c r="J2250" s="3"/>
      <c r="K2250" s="3"/>
      <c r="L2250" s="3"/>
      <c r="M2250" s="3"/>
      <c r="N2250" s="3"/>
      <c r="O2250" s="3"/>
      <c r="Q2250" s="3"/>
    </row>
    <row r="2251" spans="1:17">
      <c r="A2251" s="3"/>
      <c r="B2251" s="3"/>
      <c r="C2251" s="3"/>
      <c r="D2251" s="3"/>
      <c r="E2251" s="3"/>
      <c r="F2251" s="3"/>
      <c r="G2251" s="35"/>
      <c r="H2251" s="35"/>
      <c r="I2251" s="3"/>
      <c r="J2251" s="3"/>
      <c r="K2251" s="3"/>
      <c r="L2251" s="3"/>
      <c r="M2251" s="3"/>
      <c r="N2251" s="3"/>
      <c r="O2251" s="3"/>
      <c r="Q2251" s="3"/>
    </row>
    <row r="2252" spans="1:17">
      <c r="A2252" s="3"/>
      <c r="B2252" s="3"/>
      <c r="C2252" s="3"/>
      <c r="D2252" s="3"/>
      <c r="E2252" s="3"/>
      <c r="F2252" s="3"/>
      <c r="G2252" s="35"/>
      <c r="H2252" s="35"/>
      <c r="I2252" s="3"/>
      <c r="J2252" s="3"/>
      <c r="K2252" s="3"/>
      <c r="L2252" s="3"/>
      <c r="M2252" s="3"/>
      <c r="N2252" s="3"/>
      <c r="O2252" s="3"/>
      <c r="Q2252" s="3"/>
    </row>
    <row r="2253" spans="1:17">
      <c r="A2253" s="3"/>
      <c r="B2253" s="3"/>
      <c r="C2253" s="3"/>
      <c r="D2253" s="3"/>
      <c r="E2253" s="3"/>
      <c r="F2253" s="3"/>
      <c r="G2253" s="35"/>
      <c r="H2253" s="35"/>
      <c r="I2253" s="3"/>
      <c r="J2253" s="3"/>
      <c r="K2253" s="3"/>
      <c r="L2253" s="3"/>
      <c r="M2253" s="3"/>
      <c r="N2253" s="3"/>
      <c r="O2253" s="3"/>
      <c r="Q2253" s="3"/>
    </row>
    <row r="2254" spans="1:17">
      <c r="A2254" s="3"/>
      <c r="B2254" s="3"/>
      <c r="C2254" s="3"/>
      <c r="D2254" s="3"/>
      <c r="E2254" s="3"/>
      <c r="F2254" s="3"/>
      <c r="G2254" s="35"/>
      <c r="H2254" s="35"/>
      <c r="I2254" s="3"/>
      <c r="J2254" s="3"/>
      <c r="K2254" s="3"/>
      <c r="L2254" s="3"/>
      <c r="M2254" s="3"/>
      <c r="N2254" s="3"/>
      <c r="O2254" s="3"/>
      <c r="Q2254" s="3"/>
    </row>
    <row r="2255" spans="1:17">
      <c r="A2255" s="3"/>
      <c r="B2255" s="3"/>
      <c r="C2255" s="3"/>
      <c r="D2255" s="3"/>
      <c r="E2255" s="3"/>
      <c r="F2255" s="3"/>
      <c r="G2255" s="35"/>
      <c r="H2255" s="35"/>
      <c r="I2255" s="3"/>
      <c r="J2255" s="3"/>
      <c r="K2255" s="3"/>
      <c r="L2255" s="3"/>
      <c r="M2255" s="3"/>
      <c r="N2255" s="3"/>
      <c r="O2255" s="3"/>
      <c r="Q2255" s="3"/>
    </row>
    <row r="2256" spans="1:17">
      <c r="A2256" s="3"/>
      <c r="B2256" s="3"/>
      <c r="C2256" s="3"/>
      <c r="D2256" s="3"/>
      <c r="E2256" s="3"/>
      <c r="F2256" s="3"/>
      <c r="G2256" s="35"/>
      <c r="H2256" s="35"/>
      <c r="I2256" s="3"/>
      <c r="J2256" s="3"/>
      <c r="K2256" s="3"/>
      <c r="L2256" s="3"/>
      <c r="M2256" s="3"/>
      <c r="N2256" s="3"/>
      <c r="O2256" s="3"/>
      <c r="Q2256" s="3"/>
    </row>
    <row r="2257" spans="1:17">
      <c r="A2257" s="3"/>
      <c r="B2257" s="3"/>
      <c r="C2257" s="3"/>
      <c r="D2257" s="3"/>
      <c r="E2257" s="3"/>
      <c r="F2257" s="3"/>
      <c r="G2257" s="35"/>
      <c r="H2257" s="35"/>
      <c r="I2257" s="3"/>
      <c r="J2257" s="3"/>
      <c r="K2257" s="3"/>
      <c r="L2257" s="3"/>
      <c r="M2257" s="3"/>
      <c r="N2257" s="3"/>
      <c r="O2257" s="3"/>
      <c r="Q2257" s="3"/>
    </row>
    <row r="2258" spans="1:17">
      <c r="A2258" s="3"/>
      <c r="B2258" s="3"/>
      <c r="C2258" s="3"/>
      <c r="D2258" s="3"/>
      <c r="E2258" s="3"/>
      <c r="F2258" s="3"/>
      <c r="G2258" s="35"/>
      <c r="H2258" s="35"/>
      <c r="I2258" s="3"/>
      <c r="J2258" s="3"/>
      <c r="K2258" s="3"/>
      <c r="L2258" s="3"/>
      <c r="M2258" s="3"/>
      <c r="N2258" s="3"/>
      <c r="O2258" s="3"/>
      <c r="Q2258" s="3"/>
    </row>
    <row r="2259" spans="1:17">
      <c r="A2259" s="3"/>
      <c r="B2259" s="3"/>
      <c r="C2259" s="3"/>
      <c r="D2259" s="3"/>
      <c r="E2259" s="3"/>
      <c r="F2259" s="3"/>
      <c r="G2259" s="35"/>
      <c r="H2259" s="35"/>
      <c r="I2259" s="3"/>
      <c r="J2259" s="3"/>
      <c r="K2259" s="3"/>
      <c r="L2259" s="3"/>
      <c r="M2259" s="3"/>
      <c r="N2259" s="3"/>
      <c r="O2259" s="3"/>
      <c r="Q2259" s="3"/>
    </row>
    <row r="2260" spans="1:17">
      <c r="A2260" s="3"/>
      <c r="B2260" s="3"/>
      <c r="C2260" s="3"/>
      <c r="D2260" s="3"/>
      <c r="E2260" s="3"/>
      <c r="F2260" s="3"/>
      <c r="G2260" s="35"/>
      <c r="H2260" s="35"/>
      <c r="I2260" s="3"/>
      <c r="J2260" s="3"/>
      <c r="K2260" s="3"/>
      <c r="L2260" s="3"/>
      <c r="M2260" s="3"/>
      <c r="N2260" s="3"/>
      <c r="O2260" s="3"/>
      <c r="Q2260" s="3"/>
    </row>
    <row r="2261" spans="1:17">
      <c r="A2261" s="3"/>
      <c r="B2261" s="3"/>
      <c r="C2261" s="3"/>
      <c r="D2261" s="3"/>
      <c r="E2261" s="3"/>
      <c r="F2261" s="3"/>
      <c r="G2261" s="35"/>
      <c r="H2261" s="35"/>
      <c r="I2261" s="3"/>
      <c r="J2261" s="3"/>
      <c r="K2261" s="3"/>
      <c r="L2261" s="3"/>
      <c r="M2261" s="3"/>
      <c r="N2261" s="3"/>
      <c r="O2261" s="3"/>
      <c r="Q2261" s="3"/>
    </row>
    <row r="2262" spans="1:17">
      <c r="A2262" s="3"/>
      <c r="B2262" s="3"/>
      <c r="C2262" s="3"/>
      <c r="D2262" s="3"/>
      <c r="E2262" s="3"/>
      <c r="F2262" s="3"/>
      <c r="G2262" s="35"/>
      <c r="H2262" s="35"/>
      <c r="I2262" s="3"/>
      <c r="J2262" s="3"/>
      <c r="K2262" s="3"/>
      <c r="L2262" s="3"/>
      <c r="M2262" s="3"/>
      <c r="N2262" s="3"/>
      <c r="O2262" s="3"/>
      <c r="Q2262" s="3"/>
    </row>
    <row r="2263" spans="1:17">
      <c r="A2263" s="3"/>
      <c r="B2263" s="3"/>
      <c r="C2263" s="3"/>
      <c r="D2263" s="3"/>
      <c r="E2263" s="3"/>
      <c r="F2263" s="3"/>
      <c r="G2263" s="35"/>
      <c r="H2263" s="35"/>
      <c r="I2263" s="3"/>
      <c r="J2263" s="3"/>
      <c r="K2263" s="3"/>
      <c r="L2263" s="3"/>
      <c r="M2263" s="3"/>
      <c r="N2263" s="3"/>
      <c r="O2263" s="3"/>
      <c r="Q2263" s="3"/>
    </row>
    <row r="2264" spans="1:17">
      <c r="A2264" s="3"/>
      <c r="B2264" s="3"/>
      <c r="C2264" s="3"/>
      <c r="D2264" s="3"/>
      <c r="E2264" s="3"/>
      <c r="F2264" s="3"/>
      <c r="G2264" s="35"/>
      <c r="H2264" s="35"/>
      <c r="I2264" s="3"/>
      <c r="J2264" s="3"/>
      <c r="K2264" s="3"/>
      <c r="L2264" s="3"/>
      <c r="M2264" s="3"/>
      <c r="N2264" s="3"/>
      <c r="O2264" s="3"/>
      <c r="Q2264" s="3"/>
    </row>
    <row r="2265" spans="1:17">
      <c r="A2265" s="3"/>
      <c r="B2265" s="3"/>
      <c r="C2265" s="3"/>
      <c r="D2265" s="3"/>
      <c r="E2265" s="3"/>
      <c r="F2265" s="3"/>
      <c r="G2265" s="35"/>
      <c r="H2265" s="35"/>
      <c r="I2265" s="3"/>
      <c r="J2265" s="3"/>
      <c r="K2265" s="3"/>
      <c r="L2265" s="3"/>
      <c r="M2265" s="3"/>
      <c r="N2265" s="3"/>
      <c r="O2265" s="3"/>
      <c r="Q2265" s="3"/>
    </row>
    <row r="2266" spans="1:17">
      <c r="A2266" s="3"/>
      <c r="B2266" s="3"/>
      <c r="C2266" s="3"/>
      <c r="D2266" s="3"/>
      <c r="E2266" s="3"/>
      <c r="F2266" s="3"/>
      <c r="G2266" s="35"/>
      <c r="H2266" s="35"/>
      <c r="I2266" s="3"/>
      <c r="J2266" s="3"/>
      <c r="K2266" s="3"/>
      <c r="L2266" s="3"/>
      <c r="M2266" s="3"/>
      <c r="N2266" s="3"/>
      <c r="O2266" s="3"/>
      <c r="Q2266" s="3"/>
    </row>
    <row r="2267" spans="1:17">
      <c r="A2267" s="3"/>
      <c r="B2267" s="3"/>
      <c r="C2267" s="3"/>
      <c r="D2267" s="3"/>
      <c r="E2267" s="3"/>
      <c r="F2267" s="3"/>
      <c r="G2267" s="35"/>
      <c r="H2267" s="35"/>
      <c r="I2267" s="3"/>
      <c r="J2267" s="3"/>
      <c r="K2267" s="3"/>
      <c r="L2267" s="3"/>
      <c r="M2267" s="3"/>
      <c r="N2267" s="3"/>
      <c r="O2267" s="3"/>
      <c r="Q2267" s="3"/>
    </row>
    <row r="2268" spans="1:17">
      <c r="A2268" s="3"/>
      <c r="B2268" s="3"/>
      <c r="C2268" s="3"/>
      <c r="D2268" s="3"/>
      <c r="E2268" s="3"/>
      <c r="F2268" s="3"/>
      <c r="G2268" s="35"/>
      <c r="H2268" s="35"/>
      <c r="I2268" s="3"/>
      <c r="J2268" s="3"/>
      <c r="K2268" s="3"/>
      <c r="L2268" s="3"/>
      <c r="M2268" s="3"/>
      <c r="N2268" s="3"/>
      <c r="O2268" s="3"/>
      <c r="Q2268" s="3"/>
    </row>
    <row r="2269" spans="1:17">
      <c r="A2269" s="3"/>
      <c r="B2269" s="3"/>
      <c r="C2269" s="3"/>
      <c r="D2269" s="3"/>
      <c r="E2269" s="3"/>
      <c r="F2269" s="3"/>
      <c r="G2269" s="35"/>
      <c r="H2269" s="35"/>
      <c r="I2269" s="3"/>
      <c r="J2269" s="3"/>
      <c r="K2269" s="3"/>
      <c r="L2269" s="3"/>
      <c r="M2269" s="3"/>
      <c r="N2269" s="3"/>
      <c r="O2269" s="3"/>
      <c r="Q2269" s="3"/>
    </row>
    <row r="2270" spans="1:17">
      <c r="A2270" s="3"/>
      <c r="B2270" s="3"/>
      <c r="C2270" s="3"/>
      <c r="D2270" s="3"/>
      <c r="E2270" s="3"/>
      <c r="F2270" s="3"/>
      <c r="G2270" s="35"/>
      <c r="H2270" s="35"/>
      <c r="I2270" s="3"/>
      <c r="J2270" s="3"/>
      <c r="K2270" s="3"/>
      <c r="L2270" s="3"/>
      <c r="M2270" s="3"/>
      <c r="N2270" s="3"/>
      <c r="O2270" s="3"/>
      <c r="Q2270" s="3"/>
    </row>
    <row r="2271" spans="1:17">
      <c r="A2271" s="3"/>
      <c r="B2271" s="3"/>
      <c r="C2271" s="3"/>
      <c r="D2271" s="3"/>
      <c r="E2271" s="3"/>
      <c r="F2271" s="3"/>
      <c r="G2271" s="35"/>
      <c r="H2271" s="35"/>
      <c r="I2271" s="3"/>
      <c r="J2271" s="3"/>
      <c r="K2271" s="3"/>
      <c r="L2271" s="3"/>
      <c r="M2271" s="3"/>
      <c r="N2271" s="3"/>
      <c r="O2271" s="3"/>
      <c r="Q2271" s="3"/>
    </row>
    <row r="2272" spans="1:17">
      <c r="A2272" s="3"/>
      <c r="B2272" s="3"/>
      <c r="C2272" s="3"/>
      <c r="D2272" s="3"/>
      <c r="E2272" s="3"/>
      <c r="F2272" s="3"/>
      <c r="G2272" s="35"/>
      <c r="H2272" s="35"/>
      <c r="I2272" s="3"/>
      <c r="J2272" s="3"/>
      <c r="K2272" s="3"/>
      <c r="L2272" s="3"/>
      <c r="M2272" s="3"/>
      <c r="N2272" s="3"/>
      <c r="O2272" s="3"/>
      <c r="Q2272" s="3"/>
    </row>
    <row r="2273" spans="1:17">
      <c r="A2273" s="3"/>
      <c r="B2273" s="3"/>
      <c r="C2273" s="3"/>
      <c r="D2273" s="3"/>
      <c r="E2273" s="3"/>
      <c r="F2273" s="3"/>
      <c r="G2273" s="35"/>
      <c r="H2273" s="35"/>
      <c r="I2273" s="3"/>
      <c r="J2273" s="3"/>
      <c r="K2273" s="3"/>
      <c r="L2273" s="3"/>
      <c r="M2273" s="3"/>
      <c r="N2273" s="3"/>
      <c r="O2273" s="3"/>
      <c r="Q2273" s="3"/>
    </row>
    <row r="2274" spans="1:17">
      <c r="A2274" s="3"/>
      <c r="B2274" s="3"/>
      <c r="C2274" s="3"/>
      <c r="D2274" s="3"/>
      <c r="E2274" s="3"/>
      <c r="F2274" s="3"/>
      <c r="G2274" s="35"/>
      <c r="H2274" s="35"/>
      <c r="I2274" s="3"/>
      <c r="J2274" s="3"/>
      <c r="K2274" s="3"/>
      <c r="L2274" s="3"/>
      <c r="M2274" s="3"/>
      <c r="N2274" s="3"/>
      <c r="O2274" s="3"/>
      <c r="Q2274" s="3"/>
    </row>
    <row r="2275" spans="1:17">
      <c r="A2275" s="3"/>
      <c r="B2275" s="3"/>
      <c r="C2275" s="3"/>
      <c r="D2275" s="3"/>
      <c r="E2275" s="3"/>
      <c r="F2275" s="3"/>
      <c r="G2275" s="35"/>
      <c r="H2275" s="35"/>
      <c r="I2275" s="3"/>
      <c r="J2275" s="3"/>
      <c r="K2275" s="3"/>
      <c r="L2275" s="3"/>
      <c r="M2275" s="3"/>
      <c r="N2275" s="3"/>
      <c r="O2275" s="3"/>
      <c r="Q2275" s="3"/>
    </row>
    <row r="2276" spans="1:17">
      <c r="A2276" s="3"/>
      <c r="B2276" s="3"/>
      <c r="C2276" s="3"/>
      <c r="D2276" s="3"/>
      <c r="E2276" s="3"/>
      <c r="F2276" s="3"/>
      <c r="G2276" s="35"/>
      <c r="H2276" s="35"/>
      <c r="I2276" s="3"/>
      <c r="J2276" s="3"/>
      <c r="K2276" s="3"/>
      <c r="L2276" s="3"/>
      <c r="M2276" s="3"/>
      <c r="N2276" s="3"/>
      <c r="O2276" s="3"/>
      <c r="Q2276" s="3"/>
    </row>
    <row r="2277" spans="1:17">
      <c r="A2277" s="3"/>
      <c r="B2277" s="3"/>
      <c r="C2277" s="3"/>
      <c r="D2277" s="3"/>
      <c r="E2277" s="3"/>
      <c r="F2277" s="3"/>
      <c r="G2277" s="35"/>
      <c r="H2277" s="35"/>
      <c r="I2277" s="3"/>
      <c r="J2277" s="3"/>
      <c r="K2277" s="3"/>
      <c r="L2277" s="3"/>
      <c r="M2277" s="3"/>
      <c r="N2277" s="3"/>
      <c r="O2277" s="3"/>
      <c r="Q2277" s="3"/>
    </row>
    <row r="2278" spans="1:17">
      <c r="A2278" s="3"/>
      <c r="B2278" s="3"/>
      <c r="C2278" s="3"/>
      <c r="D2278" s="3"/>
      <c r="E2278" s="3"/>
      <c r="F2278" s="3"/>
      <c r="G2278" s="35"/>
      <c r="H2278" s="35"/>
      <c r="I2278" s="3"/>
      <c r="J2278" s="3"/>
      <c r="K2278" s="3"/>
      <c r="L2278" s="3"/>
      <c r="M2278" s="3"/>
      <c r="N2278" s="3"/>
      <c r="O2278" s="3"/>
      <c r="Q2278" s="3"/>
    </row>
    <row r="2279" spans="1:17">
      <c r="A2279" s="3"/>
      <c r="B2279" s="3"/>
      <c r="C2279" s="3"/>
      <c r="D2279" s="3"/>
      <c r="E2279" s="3"/>
      <c r="F2279" s="3"/>
      <c r="G2279" s="35"/>
      <c r="H2279" s="35"/>
      <c r="I2279" s="3"/>
      <c r="J2279" s="3"/>
      <c r="K2279" s="3"/>
      <c r="L2279" s="3"/>
      <c r="M2279" s="3"/>
      <c r="N2279" s="3"/>
      <c r="O2279" s="3"/>
      <c r="Q2279" s="3"/>
    </row>
    <row r="2280" spans="1:17">
      <c r="A2280" s="3"/>
      <c r="B2280" s="3"/>
      <c r="C2280" s="3"/>
      <c r="D2280" s="3"/>
      <c r="E2280" s="3"/>
      <c r="F2280" s="3"/>
      <c r="G2280" s="35"/>
      <c r="H2280" s="35"/>
      <c r="I2280" s="3"/>
      <c r="J2280" s="3"/>
      <c r="K2280" s="3"/>
      <c r="L2280" s="3"/>
      <c r="M2280" s="3"/>
      <c r="N2280" s="3"/>
      <c r="O2280" s="3"/>
      <c r="Q2280" s="3"/>
    </row>
    <row r="2281" spans="1:17">
      <c r="A2281" s="3"/>
      <c r="B2281" s="3"/>
      <c r="C2281" s="3"/>
      <c r="D2281" s="3"/>
      <c r="E2281" s="3"/>
      <c r="F2281" s="3"/>
      <c r="G2281" s="35"/>
      <c r="H2281" s="35"/>
      <c r="I2281" s="3"/>
      <c r="J2281" s="3"/>
      <c r="K2281" s="3"/>
      <c r="L2281" s="3"/>
      <c r="M2281" s="3"/>
      <c r="N2281" s="3"/>
      <c r="O2281" s="3"/>
      <c r="Q2281" s="3"/>
    </row>
    <row r="2282" spans="1:17">
      <c r="A2282" s="3"/>
      <c r="B2282" s="3"/>
      <c r="C2282" s="3"/>
      <c r="D2282" s="3"/>
      <c r="E2282" s="3"/>
      <c r="F2282" s="3"/>
      <c r="G2282" s="35"/>
      <c r="H2282" s="35"/>
      <c r="I2282" s="3"/>
      <c r="J2282" s="3"/>
      <c r="K2282" s="3"/>
      <c r="L2282" s="3"/>
      <c r="M2282" s="3"/>
      <c r="N2282" s="3"/>
      <c r="O2282" s="3"/>
      <c r="Q2282" s="3"/>
    </row>
    <row r="2283" spans="1:17">
      <c r="A2283" s="3"/>
      <c r="B2283" s="3"/>
      <c r="C2283" s="3"/>
      <c r="D2283" s="3"/>
      <c r="E2283" s="3"/>
      <c r="F2283" s="3"/>
      <c r="G2283" s="35"/>
      <c r="H2283" s="35"/>
      <c r="I2283" s="3"/>
      <c r="J2283" s="3"/>
      <c r="K2283" s="3"/>
      <c r="L2283" s="3"/>
      <c r="M2283" s="3"/>
      <c r="N2283" s="3"/>
      <c r="O2283" s="3"/>
      <c r="Q2283" s="3"/>
    </row>
    <row r="2284" spans="1:17">
      <c r="A2284" s="3"/>
      <c r="B2284" s="3"/>
      <c r="C2284" s="3"/>
      <c r="D2284" s="3"/>
      <c r="E2284" s="3"/>
      <c r="F2284" s="3"/>
      <c r="G2284" s="35"/>
      <c r="H2284" s="35"/>
      <c r="I2284" s="3"/>
      <c r="J2284" s="3"/>
      <c r="K2284" s="3"/>
      <c r="L2284" s="3"/>
      <c r="M2284" s="3"/>
      <c r="N2284" s="3"/>
      <c r="O2284" s="3"/>
      <c r="Q2284" s="3"/>
    </row>
    <row r="2285" spans="1:17">
      <c r="A2285" s="3"/>
      <c r="B2285" s="3"/>
      <c r="C2285" s="3"/>
      <c r="D2285" s="3"/>
      <c r="E2285" s="3"/>
      <c r="F2285" s="3"/>
      <c r="G2285" s="35"/>
      <c r="H2285" s="35"/>
      <c r="I2285" s="3"/>
      <c r="J2285" s="3"/>
      <c r="K2285" s="3"/>
      <c r="L2285" s="3"/>
      <c r="M2285" s="3"/>
      <c r="N2285" s="3"/>
      <c r="O2285" s="3"/>
      <c r="Q2285" s="3"/>
    </row>
    <row r="2286" spans="1:17">
      <c r="A2286" s="3"/>
      <c r="B2286" s="3"/>
      <c r="C2286" s="3"/>
      <c r="D2286" s="3"/>
      <c r="E2286" s="3"/>
      <c r="F2286" s="3"/>
      <c r="G2286" s="35"/>
      <c r="H2286" s="35"/>
      <c r="I2286" s="3"/>
      <c r="J2286" s="3"/>
      <c r="K2286" s="3"/>
      <c r="L2286" s="3"/>
      <c r="M2286" s="3"/>
      <c r="N2286" s="3"/>
      <c r="O2286" s="3"/>
      <c r="Q2286" s="3"/>
    </row>
    <row r="2287" spans="1:17">
      <c r="A2287" s="3"/>
      <c r="B2287" s="3"/>
      <c r="C2287" s="3"/>
      <c r="D2287" s="3"/>
      <c r="E2287" s="3"/>
      <c r="F2287" s="3"/>
      <c r="G2287" s="35"/>
      <c r="H2287" s="35"/>
      <c r="I2287" s="3"/>
      <c r="J2287" s="3"/>
      <c r="K2287" s="3"/>
      <c r="L2287" s="3"/>
      <c r="M2287" s="3"/>
      <c r="N2287" s="3"/>
      <c r="O2287" s="3"/>
      <c r="Q2287" s="3"/>
    </row>
    <row r="2288" spans="1:17">
      <c r="A2288" s="3"/>
      <c r="B2288" s="3"/>
      <c r="C2288" s="3"/>
      <c r="D2288" s="3"/>
      <c r="E2288" s="3"/>
      <c r="F2288" s="3"/>
      <c r="G2288" s="35"/>
      <c r="H2288" s="35"/>
      <c r="I2288" s="3"/>
      <c r="J2288" s="3"/>
      <c r="K2288" s="3"/>
      <c r="L2288" s="3"/>
      <c r="M2288" s="3"/>
      <c r="N2288" s="3"/>
      <c r="O2288" s="3"/>
      <c r="Q2288" s="3"/>
    </row>
    <row r="2289" spans="1:17">
      <c r="A2289" s="3"/>
      <c r="B2289" s="3"/>
      <c r="C2289" s="3"/>
      <c r="D2289" s="3"/>
      <c r="E2289" s="3"/>
      <c r="F2289" s="3"/>
      <c r="G2289" s="35"/>
      <c r="H2289" s="35"/>
      <c r="I2289" s="3"/>
      <c r="J2289" s="3"/>
      <c r="K2289" s="3"/>
      <c r="L2289" s="3"/>
      <c r="M2289" s="3"/>
      <c r="N2289" s="3"/>
      <c r="O2289" s="3"/>
      <c r="Q2289" s="3"/>
    </row>
    <row r="2290" spans="1:17">
      <c r="A2290" s="3"/>
      <c r="B2290" s="3"/>
      <c r="C2290" s="3"/>
      <c r="D2290" s="3"/>
      <c r="E2290" s="3"/>
      <c r="F2290" s="3"/>
      <c r="G2290" s="35"/>
      <c r="H2290" s="35"/>
      <c r="I2290" s="3"/>
      <c r="J2290" s="3"/>
      <c r="K2290" s="3"/>
      <c r="L2290" s="3"/>
      <c r="M2290" s="3"/>
      <c r="N2290" s="3"/>
      <c r="O2290" s="3"/>
      <c r="Q2290" s="3"/>
    </row>
    <row r="2291" spans="1:17">
      <c r="A2291" s="3"/>
      <c r="B2291" s="3"/>
      <c r="C2291" s="3"/>
      <c r="D2291" s="3"/>
      <c r="E2291" s="3"/>
      <c r="F2291" s="3"/>
      <c r="G2291" s="35"/>
      <c r="H2291" s="35"/>
      <c r="I2291" s="3"/>
      <c r="J2291" s="3"/>
      <c r="K2291" s="3"/>
      <c r="L2291" s="3"/>
      <c r="M2291" s="3"/>
      <c r="N2291" s="3"/>
      <c r="O2291" s="3"/>
      <c r="Q2291" s="3"/>
    </row>
    <row r="2292" spans="1:17">
      <c r="A2292" s="3"/>
      <c r="B2292" s="3"/>
      <c r="C2292" s="3"/>
      <c r="D2292" s="3"/>
      <c r="E2292" s="3"/>
      <c r="F2292" s="3"/>
      <c r="G2292" s="35"/>
      <c r="H2292" s="35"/>
      <c r="I2292" s="3"/>
      <c r="J2292" s="3"/>
      <c r="K2292" s="3"/>
      <c r="L2292" s="3"/>
      <c r="M2292" s="3"/>
      <c r="N2292" s="3"/>
      <c r="O2292" s="3"/>
      <c r="Q2292" s="3"/>
    </row>
    <row r="2293" spans="1:17">
      <c r="A2293" s="3"/>
      <c r="B2293" s="3"/>
      <c r="C2293" s="3"/>
      <c r="D2293" s="3"/>
      <c r="E2293" s="3"/>
      <c r="F2293" s="3"/>
      <c r="G2293" s="35"/>
      <c r="H2293" s="35"/>
      <c r="I2293" s="3"/>
      <c r="J2293" s="3"/>
      <c r="K2293" s="3"/>
      <c r="L2293" s="3"/>
      <c r="M2293" s="3"/>
      <c r="N2293" s="3"/>
      <c r="O2293" s="3"/>
      <c r="Q2293" s="3"/>
    </row>
    <row r="2294" spans="1:17">
      <c r="A2294" s="3"/>
      <c r="B2294" s="3"/>
      <c r="C2294" s="3"/>
      <c r="D2294" s="3"/>
      <c r="E2294" s="3"/>
      <c r="F2294" s="3"/>
      <c r="G2294" s="35"/>
      <c r="H2294" s="35"/>
      <c r="I2294" s="3"/>
      <c r="J2294" s="3"/>
      <c r="K2294" s="3"/>
      <c r="L2294" s="3"/>
      <c r="M2294" s="3"/>
      <c r="N2294" s="3"/>
      <c r="O2294" s="3"/>
      <c r="Q2294" s="3"/>
    </row>
    <row r="2295" spans="1:17">
      <c r="A2295" s="3"/>
      <c r="B2295" s="3"/>
      <c r="C2295" s="3"/>
      <c r="D2295" s="3"/>
      <c r="E2295" s="3"/>
      <c r="F2295" s="3"/>
      <c r="G2295" s="35"/>
      <c r="H2295" s="35"/>
      <c r="I2295" s="3"/>
      <c r="J2295" s="3"/>
      <c r="K2295" s="3"/>
      <c r="L2295" s="3"/>
      <c r="M2295" s="3"/>
      <c r="N2295" s="3"/>
      <c r="O2295" s="3"/>
      <c r="Q2295" s="3"/>
    </row>
    <row r="2296" spans="1:17">
      <c r="A2296" s="3"/>
      <c r="B2296" s="3"/>
      <c r="C2296" s="3"/>
      <c r="D2296" s="3"/>
      <c r="E2296" s="3"/>
      <c r="F2296" s="3"/>
      <c r="G2296" s="35"/>
      <c r="H2296" s="35"/>
      <c r="I2296" s="3"/>
      <c r="J2296" s="3"/>
      <c r="K2296" s="3"/>
      <c r="L2296" s="3"/>
      <c r="M2296" s="3"/>
      <c r="N2296" s="3"/>
      <c r="O2296" s="3"/>
      <c r="Q2296" s="3"/>
    </row>
    <row r="2297" spans="1:17">
      <c r="A2297" s="3"/>
      <c r="B2297" s="3"/>
      <c r="C2297" s="3"/>
      <c r="D2297" s="3"/>
      <c r="E2297" s="3"/>
      <c r="F2297" s="3"/>
      <c r="G2297" s="35"/>
      <c r="H2297" s="35"/>
      <c r="I2297" s="3"/>
      <c r="J2297" s="3"/>
      <c r="K2297" s="3"/>
      <c r="L2297" s="3"/>
      <c r="M2297" s="3"/>
      <c r="N2297" s="3"/>
      <c r="O2297" s="3"/>
      <c r="Q2297" s="3"/>
    </row>
    <row r="2298" spans="1:17">
      <c r="A2298" s="3"/>
      <c r="B2298" s="3"/>
      <c r="C2298" s="3"/>
      <c r="D2298" s="3"/>
      <c r="E2298" s="3"/>
      <c r="F2298" s="3"/>
      <c r="G2298" s="35"/>
      <c r="H2298" s="35"/>
      <c r="I2298" s="3"/>
      <c r="J2298" s="3"/>
      <c r="K2298" s="3"/>
      <c r="L2298" s="3"/>
      <c r="M2298" s="3"/>
      <c r="N2298" s="3"/>
      <c r="O2298" s="3"/>
      <c r="Q2298" s="3"/>
    </row>
    <row r="2299" spans="1:17">
      <c r="A2299" s="3"/>
      <c r="B2299" s="3"/>
      <c r="C2299" s="3"/>
      <c r="D2299" s="3"/>
      <c r="E2299" s="3"/>
      <c r="F2299" s="3"/>
      <c r="G2299" s="35"/>
      <c r="H2299" s="35"/>
      <c r="I2299" s="3"/>
      <c r="J2299" s="3"/>
      <c r="K2299" s="3"/>
      <c r="L2299" s="3"/>
      <c r="M2299" s="3"/>
      <c r="N2299" s="3"/>
      <c r="O2299" s="3"/>
      <c r="Q2299" s="3"/>
    </row>
    <row r="2300" spans="1:17">
      <c r="A2300" s="3"/>
      <c r="B2300" s="3"/>
      <c r="C2300" s="3"/>
      <c r="D2300" s="3"/>
      <c r="E2300" s="3"/>
      <c r="F2300" s="3"/>
      <c r="G2300" s="35"/>
      <c r="H2300" s="35"/>
      <c r="I2300" s="3"/>
      <c r="J2300" s="3"/>
      <c r="K2300" s="3"/>
      <c r="L2300" s="3"/>
      <c r="M2300" s="3"/>
      <c r="N2300" s="3"/>
      <c r="O2300" s="3"/>
      <c r="Q2300" s="3"/>
    </row>
    <row r="2301" spans="1:17">
      <c r="A2301" s="3"/>
      <c r="B2301" s="3"/>
      <c r="C2301" s="3"/>
      <c r="D2301" s="3"/>
      <c r="E2301" s="3"/>
      <c r="F2301" s="3"/>
      <c r="G2301" s="35"/>
      <c r="H2301" s="35"/>
      <c r="I2301" s="3"/>
      <c r="J2301" s="3"/>
      <c r="K2301" s="3"/>
      <c r="L2301" s="3"/>
      <c r="M2301" s="3"/>
      <c r="N2301" s="3"/>
      <c r="O2301" s="3"/>
      <c r="Q2301" s="3"/>
    </row>
    <row r="2302" spans="1:17">
      <c r="A2302" s="3"/>
      <c r="B2302" s="3"/>
      <c r="C2302" s="3"/>
      <c r="D2302" s="3"/>
      <c r="E2302" s="3"/>
      <c r="F2302" s="3"/>
      <c r="G2302" s="35"/>
      <c r="H2302" s="35"/>
      <c r="I2302" s="3"/>
      <c r="J2302" s="3"/>
      <c r="K2302" s="3"/>
      <c r="L2302" s="3"/>
      <c r="M2302" s="3"/>
      <c r="N2302" s="3"/>
      <c r="O2302" s="3"/>
      <c r="Q2302" s="3"/>
    </row>
    <row r="2303" spans="1:17">
      <c r="A2303" s="3"/>
      <c r="B2303" s="3"/>
      <c r="C2303" s="3"/>
      <c r="D2303" s="3"/>
      <c r="E2303" s="3"/>
      <c r="F2303" s="3"/>
      <c r="G2303" s="35"/>
      <c r="H2303" s="35"/>
      <c r="I2303" s="3"/>
      <c r="J2303" s="3"/>
      <c r="K2303" s="3"/>
      <c r="L2303" s="3"/>
      <c r="M2303" s="3"/>
      <c r="N2303" s="3"/>
      <c r="O2303" s="3"/>
      <c r="Q2303" s="3"/>
    </row>
    <row r="2304" spans="1:17">
      <c r="A2304" s="3"/>
      <c r="B2304" s="3"/>
      <c r="C2304" s="3"/>
      <c r="D2304" s="3"/>
      <c r="E2304" s="3"/>
      <c r="F2304" s="3"/>
      <c r="G2304" s="35"/>
      <c r="H2304" s="35"/>
      <c r="I2304" s="3"/>
      <c r="J2304" s="3"/>
      <c r="K2304" s="3"/>
      <c r="L2304" s="3"/>
      <c r="M2304" s="3"/>
      <c r="N2304" s="3"/>
      <c r="O2304" s="3"/>
      <c r="Q2304" s="3"/>
    </row>
    <row r="2305" spans="1:17">
      <c r="A2305" s="3"/>
      <c r="B2305" s="3"/>
      <c r="C2305" s="3"/>
      <c r="D2305" s="3"/>
      <c r="E2305" s="3"/>
      <c r="F2305" s="3"/>
      <c r="G2305" s="35"/>
      <c r="H2305" s="35"/>
      <c r="I2305" s="3"/>
      <c r="J2305" s="3"/>
      <c r="K2305" s="3"/>
      <c r="L2305" s="3"/>
      <c r="M2305" s="3"/>
      <c r="N2305" s="3"/>
      <c r="O2305" s="3"/>
      <c r="Q2305" s="3"/>
    </row>
    <row r="2306" spans="1:17">
      <c r="A2306" s="3"/>
      <c r="B2306" s="3"/>
      <c r="C2306" s="3"/>
      <c r="D2306" s="3"/>
      <c r="E2306" s="3"/>
      <c r="F2306" s="3"/>
      <c r="G2306" s="35"/>
      <c r="H2306" s="35"/>
      <c r="I2306" s="3"/>
      <c r="J2306" s="3"/>
      <c r="K2306" s="3"/>
      <c r="L2306" s="3"/>
      <c r="M2306" s="3"/>
      <c r="N2306" s="3"/>
      <c r="O2306" s="3"/>
      <c r="Q2306" s="3"/>
    </row>
    <row r="2307" spans="1:17">
      <c r="A2307" s="3"/>
      <c r="B2307" s="3"/>
      <c r="C2307" s="3"/>
      <c r="D2307" s="3"/>
      <c r="E2307" s="3"/>
      <c r="F2307" s="3"/>
      <c r="G2307" s="35"/>
      <c r="H2307" s="35"/>
      <c r="I2307" s="3"/>
      <c r="J2307" s="3"/>
      <c r="K2307" s="3"/>
      <c r="L2307" s="3"/>
      <c r="M2307" s="3"/>
      <c r="N2307" s="3"/>
      <c r="O2307" s="3"/>
      <c r="Q2307" s="3"/>
    </row>
    <row r="2308" spans="1:17">
      <c r="A2308" s="3"/>
      <c r="B2308" s="3"/>
      <c r="C2308" s="3"/>
      <c r="D2308" s="3"/>
      <c r="E2308" s="3"/>
      <c r="F2308" s="3"/>
      <c r="G2308" s="35"/>
      <c r="H2308" s="35"/>
      <c r="I2308" s="3"/>
      <c r="J2308" s="3"/>
      <c r="K2308" s="3"/>
      <c r="L2308" s="3"/>
      <c r="M2308" s="3"/>
      <c r="N2308" s="3"/>
      <c r="O2308" s="3"/>
      <c r="Q2308" s="3"/>
    </row>
    <row r="2309" spans="1:17">
      <c r="A2309" s="3"/>
      <c r="B2309" s="3"/>
      <c r="C2309" s="3"/>
      <c r="D2309" s="3"/>
      <c r="E2309" s="3"/>
      <c r="F2309" s="3"/>
      <c r="G2309" s="35"/>
      <c r="H2309" s="35"/>
      <c r="I2309" s="3"/>
      <c r="J2309" s="3"/>
      <c r="K2309" s="3"/>
      <c r="L2309" s="3"/>
      <c r="M2309" s="3"/>
      <c r="N2309" s="3"/>
      <c r="O2309" s="3"/>
      <c r="Q2309" s="3"/>
    </row>
    <row r="2310" spans="1:17">
      <c r="A2310" s="3"/>
      <c r="B2310" s="3"/>
      <c r="C2310" s="3"/>
      <c r="D2310" s="3"/>
      <c r="E2310" s="3"/>
      <c r="F2310" s="3"/>
      <c r="G2310" s="35"/>
      <c r="H2310" s="35"/>
      <c r="I2310" s="3"/>
      <c r="J2310" s="3"/>
      <c r="K2310" s="3"/>
      <c r="L2310" s="3"/>
      <c r="M2310" s="3"/>
      <c r="N2310" s="3"/>
      <c r="O2310" s="3"/>
      <c r="Q2310" s="3"/>
    </row>
    <row r="2311" spans="1:17">
      <c r="A2311" s="3"/>
      <c r="B2311" s="3"/>
      <c r="C2311" s="3"/>
      <c r="D2311" s="3"/>
      <c r="E2311" s="3"/>
      <c r="F2311" s="3"/>
      <c r="G2311" s="35"/>
      <c r="H2311" s="35"/>
      <c r="I2311" s="3"/>
      <c r="J2311" s="3"/>
      <c r="K2311" s="3"/>
      <c r="L2311" s="3"/>
      <c r="M2311" s="3"/>
      <c r="N2311" s="3"/>
      <c r="O2311" s="3"/>
      <c r="Q2311" s="3"/>
    </row>
    <row r="2312" spans="1:17">
      <c r="A2312" s="3"/>
      <c r="B2312" s="3"/>
      <c r="C2312" s="3"/>
      <c r="D2312" s="3"/>
      <c r="E2312" s="3"/>
      <c r="F2312" s="3"/>
      <c r="G2312" s="35"/>
      <c r="H2312" s="35"/>
      <c r="I2312" s="3"/>
      <c r="J2312" s="3"/>
      <c r="K2312" s="3"/>
      <c r="L2312" s="3"/>
      <c r="M2312" s="3"/>
      <c r="N2312" s="3"/>
      <c r="O2312" s="3"/>
      <c r="Q2312" s="3"/>
    </row>
    <row r="2313" spans="1:17">
      <c r="A2313" s="3"/>
      <c r="B2313" s="3"/>
      <c r="C2313" s="3"/>
      <c r="D2313" s="3"/>
      <c r="E2313" s="3"/>
      <c r="F2313" s="3"/>
      <c r="G2313" s="35"/>
      <c r="H2313" s="35"/>
      <c r="I2313" s="3"/>
      <c r="J2313" s="3"/>
      <c r="K2313" s="3"/>
      <c r="L2313" s="3"/>
      <c r="M2313" s="3"/>
      <c r="N2313" s="3"/>
      <c r="O2313" s="3"/>
      <c r="Q2313" s="3"/>
    </row>
    <row r="2314" spans="1:17">
      <c r="A2314" s="3"/>
      <c r="B2314" s="3"/>
      <c r="C2314" s="3"/>
      <c r="D2314" s="3"/>
      <c r="E2314" s="3"/>
      <c r="F2314" s="3"/>
      <c r="G2314" s="35"/>
      <c r="H2314" s="35"/>
      <c r="I2314" s="3"/>
      <c r="J2314" s="3"/>
      <c r="K2314" s="3"/>
      <c r="L2314" s="3"/>
      <c r="M2314" s="3"/>
      <c r="N2314" s="3"/>
      <c r="O2314" s="3"/>
      <c r="Q2314" s="3"/>
    </row>
    <row r="2315" spans="1:17">
      <c r="A2315" s="3"/>
      <c r="B2315" s="3"/>
      <c r="C2315" s="3"/>
      <c r="D2315" s="3"/>
      <c r="E2315" s="3"/>
      <c r="F2315" s="3"/>
      <c r="G2315" s="35"/>
      <c r="H2315" s="35"/>
      <c r="I2315" s="3"/>
      <c r="J2315" s="3"/>
      <c r="K2315" s="3"/>
      <c r="L2315" s="3"/>
      <c r="M2315" s="3"/>
      <c r="N2315" s="3"/>
      <c r="O2315" s="3"/>
      <c r="Q2315" s="3"/>
    </row>
    <row r="2316" spans="1:17">
      <c r="A2316" s="3"/>
      <c r="B2316" s="3"/>
      <c r="C2316" s="3"/>
      <c r="D2316" s="3"/>
      <c r="E2316" s="3"/>
      <c r="F2316" s="3"/>
      <c r="G2316" s="35"/>
      <c r="H2316" s="35"/>
      <c r="I2316" s="3"/>
      <c r="J2316" s="3"/>
      <c r="K2316" s="3"/>
      <c r="L2316" s="3"/>
      <c r="M2316" s="3"/>
      <c r="N2316" s="3"/>
      <c r="O2316" s="3"/>
      <c r="Q2316" s="3"/>
    </row>
    <row r="2317" spans="1:17">
      <c r="A2317" s="3"/>
      <c r="B2317" s="3"/>
      <c r="C2317" s="3"/>
      <c r="D2317" s="3"/>
      <c r="E2317" s="3"/>
      <c r="F2317" s="3"/>
      <c r="G2317" s="35"/>
      <c r="H2317" s="35"/>
      <c r="I2317" s="3"/>
      <c r="J2317" s="3"/>
      <c r="K2317" s="3"/>
      <c r="L2317" s="3"/>
      <c r="M2317" s="3"/>
      <c r="N2317" s="3"/>
      <c r="O2317" s="3"/>
      <c r="Q2317" s="3"/>
    </row>
    <row r="2318" spans="1:17">
      <c r="A2318" s="3"/>
      <c r="B2318" s="3"/>
      <c r="C2318" s="3"/>
      <c r="D2318" s="3"/>
      <c r="E2318" s="3"/>
      <c r="F2318" s="3"/>
      <c r="G2318" s="35"/>
      <c r="H2318" s="35"/>
      <c r="I2318" s="3"/>
      <c r="J2318" s="3"/>
      <c r="K2318" s="3"/>
      <c r="L2318" s="3"/>
      <c r="M2318" s="3"/>
      <c r="N2318" s="3"/>
      <c r="O2318" s="3"/>
      <c r="Q2318" s="3"/>
    </row>
    <row r="2319" spans="1:17">
      <c r="A2319" s="3"/>
      <c r="B2319" s="3"/>
      <c r="C2319" s="3"/>
      <c r="D2319" s="3"/>
      <c r="E2319" s="3"/>
      <c r="F2319" s="3"/>
      <c r="G2319" s="35"/>
      <c r="H2319" s="35"/>
      <c r="I2319" s="3"/>
      <c r="J2319" s="3"/>
      <c r="K2319" s="3"/>
      <c r="L2319" s="3"/>
      <c r="M2319" s="3"/>
      <c r="N2319" s="3"/>
      <c r="O2319" s="3"/>
      <c r="Q2319" s="3"/>
    </row>
    <row r="2320" spans="1:17">
      <c r="A2320" s="3"/>
      <c r="B2320" s="3"/>
      <c r="C2320" s="3"/>
      <c r="D2320" s="3"/>
      <c r="E2320" s="3"/>
      <c r="F2320" s="3"/>
      <c r="G2320" s="35"/>
      <c r="H2320" s="35"/>
      <c r="I2320" s="3"/>
      <c r="J2320" s="3"/>
      <c r="K2320" s="3"/>
      <c r="L2320" s="3"/>
      <c r="M2320" s="3"/>
      <c r="N2320" s="3"/>
      <c r="O2320" s="3"/>
      <c r="Q2320" s="3"/>
    </row>
    <row r="2321" spans="1:17">
      <c r="A2321" s="3"/>
      <c r="B2321" s="3"/>
      <c r="C2321" s="3"/>
      <c r="D2321" s="3"/>
      <c r="E2321" s="3"/>
      <c r="F2321" s="3"/>
      <c r="G2321" s="35"/>
      <c r="H2321" s="35"/>
      <c r="I2321" s="3"/>
      <c r="J2321" s="3"/>
      <c r="K2321" s="3"/>
      <c r="L2321" s="3"/>
      <c r="M2321" s="3"/>
      <c r="N2321" s="3"/>
      <c r="O2321" s="3"/>
      <c r="Q2321" s="3"/>
    </row>
    <row r="2322" spans="1:17">
      <c r="A2322" s="3"/>
      <c r="B2322" s="3"/>
      <c r="C2322" s="3"/>
      <c r="D2322" s="3"/>
      <c r="E2322" s="3"/>
      <c r="F2322" s="3"/>
      <c r="G2322" s="35"/>
      <c r="H2322" s="35"/>
      <c r="I2322" s="3"/>
      <c r="J2322" s="3"/>
      <c r="K2322" s="3"/>
      <c r="L2322" s="3"/>
      <c r="M2322" s="3"/>
      <c r="N2322" s="3"/>
      <c r="O2322" s="3"/>
      <c r="Q2322" s="3"/>
    </row>
    <row r="2323" spans="1:17">
      <c r="A2323" s="3"/>
      <c r="B2323" s="3"/>
      <c r="C2323" s="3"/>
      <c r="D2323" s="3"/>
      <c r="E2323" s="3"/>
      <c r="F2323" s="3"/>
      <c r="G2323" s="35"/>
      <c r="H2323" s="35"/>
      <c r="I2323" s="3"/>
      <c r="J2323" s="3"/>
      <c r="K2323" s="3"/>
      <c r="L2323" s="3"/>
      <c r="M2323" s="3"/>
      <c r="N2323" s="3"/>
      <c r="O2323" s="3"/>
      <c r="Q2323" s="3"/>
    </row>
    <row r="2324" spans="1:17">
      <c r="A2324" s="3"/>
      <c r="B2324" s="3"/>
      <c r="C2324" s="3"/>
      <c r="D2324" s="3"/>
      <c r="E2324" s="3"/>
      <c r="F2324" s="3"/>
      <c r="G2324" s="35"/>
      <c r="H2324" s="35"/>
      <c r="I2324" s="3"/>
      <c r="J2324" s="3"/>
      <c r="K2324" s="3"/>
      <c r="L2324" s="3"/>
      <c r="M2324" s="3"/>
      <c r="N2324" s="3"/>
      <c r="O2324" s="3"/>
      <c r="Q2324" s="3"/>
    </row>
    <row r="2325" spans="1:17">
      <c r="A2325" s="3"/>
      <c r="B2325" s="3"/>
      <c r="C2325" s="3"/>
      <c r="D2325" s="3"/>
      <c r="E2325" s="3"/>
      <c r="F2325" s="3"/>
      <c r="G2325" s="35"/>
      <c r="H2325" s="35"/>
      <c r="I2325" s="3"/>
      <c r="J2325" s="3"/>
      <c r="K2325" s="3"/>
      <c r="L2325" s="3"/>
      <c r="M2325" s="3"/>
      <c r="N2325" s="3"/>
      <c r="O2325" s="3"/>
      <c r="Q2325" s="3"/>
    </row>
    <row r="2326" spans="1:17">
      <c r="A2326" s="3"/>
      <c r="B2326" s="3"/>
      <c r="C2326" s="3"/>
      <c r="D2326" s="3"/>
      <c r="E2326" s="3"/>
      <c r="F2326" s="3"/>
      <c r="G2326" s="35"/>
      <c r="H2326" s="35"/>
      <c r="I2326" s="3"/>
      <c r="J2326" s="3"/>
      <c r="K2326" s="3"/>
      <c r="L2326" s="3"/>
      <c r="M2326" s="3"/>
      <c r="N2326" s="3"/>
      <c r="O2326" s="3"/>
      <c r="Q2326" s="3"/>
    </row>
    <row r="2327" spans="1:17">
      <c r="A2327" s="3"/>
      <c r="B2327" s="3"/>
      <c r="C2327" s="3"/>
      <c r="D2327" s="3"/>
      <c r="E2327" s="3"/>
      <c r="F2327" s="3"/>
      <c r="G2327" s="35"/>
      <c r="H2327" s="35"/>
      <c r="I2327" s="3"/>
      <c r="J2327" s="3"/>
      <c r="K2327" s="3"/>
      <c r="L2327" s="3"/>
      <c r="M2327" s="3"/>
      <c r="N2327" s="3"/>
      <c r="O2327" s="3"/>
      <c r="Q2327" s="3"/>
    </row>
    <row r="2328" spans="1:17">
      <c r="A2328" s="3"/>
      <c r="B2328" s="3"/>
      <c r="C2328" s="3"/>
      <c r="D2328" s="3"/>
      <c r="E2328" s="3"/>
      <c r="F2328" s="3"/>
      <c r="G2328" s="35"/>
      <c r="H2328" s="35"/>
      <c r="I2328" s="3"/>
      <c r="J2328" s="3"/>
      <c r="K2328" s="3"/>
      <c r="L2328" s="3"/>
      <c r="M2328" s="3"/>
      <c r="N2328" s="3"/>
      <c r="O2328" s="3"/>
      <c r="Q2328" s="3"/>
    </row>
    <row r="2329" spans="1:17">
      <c r="A2329" s="3"/>
      <c r="B2329" s="3"/>
      <c r="C2329" s="3"/>
      <c r="D2329" s="3"/>
      <c r="E2329" s="3"/>
      <c r="F2329" s="3"/>
      <c r="G2329" s="35"/>
      <c r="H2329" s="35"/>
      <c r="I2329" s="3"/>
      <c r="J2329" s="3"/>
      <c r="K2329" s="3"/>
      <c r="L2329" s="3"/>
      <c r="M2329" s="3"/>
      <c r="N2329" s="3"/>
      <c r="O2329" s="3"/>
      <c r="Q2329" s="3"/>
    </row>
    <row r="2330" spans="1:17">
      <c r="A2330" s="3"/>
      <c r="B2330" s="3"/>
      <c r="C2330" s="3"/>
      <c r="D2330" s="3"/>
      <c r="E2330" s="3"/>
      <c r="F2330" s="3"/>
      <c r="G2330" s="35"/>
      <c r="H2330" s="35"/>
      <c r="I2330" s="3"/>
      <c r="J2330" s="3"/>
      <c r="K2330" s="3"/>
      <c r="L2330" s="3"/>
      <c r="M2330" s="3"/>
      <c r="N2330" s="3"/>
      <c r="O2330" s="3"/>
      <c r="Q2330" s="3"/>
    </row>
    <row r="2331" spans="1:17">
      <c r="A2331" s="3"/>
      <c r="B2331" s="3"/>
      <c r="C2331" s="3"/>
      <c r="D2331" s="3"/>
      <c r="E2331" s="3"/>
      <c r="F2331" s="3"/>
      <c r="G2331" s="35"/>
      <c r="H2331" s="35"/>
      <c r="I2331" s="3"/>
      <c r="J2331" s="3"/>
      <c r="K2331" s="3"/>
      <c r="L2331" s="3"/>
      <c r="M2331" s="3"/>
      <c r="N2331" s="3"/>
      <c r="O2331" s="3"/>
      <c r="Q2331" s="3"/>
    </row>
    <row r="2332" spans="1:17">
      <c r="A2332" s="3"/>
      <c r="B2332" s="3"/>
      <c r="C2332" s="3"/>
      <c r="D2332" s="3"/>
      <c r="E2332" s="3"/>
      <c r="F2332" s="3"/>
      <c r="G2332" s="35"/>
      <c r="H2332" s="35"/>
      <c r="I2332" s="3"/>
      <c r="J2332" s="3"/>
      <c r="K2332" s="3"/>
      <c r="L2332" s="3"/>
      <c r="M2332" s="3"/>
      <c r="N2332" s="3"/>
      <c r="O2332" s="3"/>
      <c r="Q2332" s="3"/>
    </row>
    <row r="2333" spans="1:17">
      <c r="A2333" s="3"/>
      <c r="B2333" s="3"/>
      <c r="C2333" s="3"/>
      <c r="D2333" s="3"/>
      <c r="E2333" s="3"/>
      <c r="F2333" s="3"/>
      <c r="G2333" s="35"/>
      <c r="H2333" s="35"/>
      <c r="I2333" s="3"/>
      <c r="J2333" s="3"/>
      <c r="K2333" s="3"/>
      <c r="L2333" s="3"/>
      <c r="M2333" s="3"/>
      <c r="N2333" s="3"/>
      <c r="O2333" s="3"/>
      <c r="Q2333" s="3"/>
    </row>
    <row r="2334" spans="1:17">
      <c r="A2334" s="3"/>
      <c r="B2334" s="3"/>
      <c r="C2334" s="3"/>
      <c r="D2334" s="3"/>
      <c r="E2334" s="3"/>
      <c r="F2334" s="3"/>
      <c r="G2334" s="35"/>
      <c r="H2334" s="35"/>
      <c r="I2334" s="3"/>
      <c r="J2334" s="3"/>
      <c r="K2334" s="3"/>
      <c r="L2334" s="3"/>
      <c r="M2334" s="3"/>
      <c r="N2334" s="3"/>
      <c r="O2334" s="3"/>
      <c r="Q2334" s="3"/>
    </row>
    <row r="2335" spans="1:17">
      <c r="A2335" s="3"/>
      <c r="B2335" s="3"/>
      <c r="C2335" s="3"/>
      <c r="D2335" s="3"/>
      <c r="E2335" s="3"/>
      <c r="F2335" s="3"/>
      <c r="G2335" s="35"/>
      <c r="H2335" s="35"/>
      <c r="I2335" s="3"/>
      <c r="J2335" s="3"/>
      <c r="K2335" s="3"/>
      <c r="L2335" s="3"/>
      <c r="M2335" s="3"/>
      <c r="N2335" s="3"/>
      <c r="O2335" s="3"/>
      <c r="Q2335" s="3"/>
    </row>
    <row r="2336" spans="1:17">
      <c r="A2336" s="3"/>
      <c r="B2336" s="3"/>
      <c r="C2336" s="3"/>
      <c r="D2336" s="3"/>
      <c r="E2336" s="3"/>
      <c r="F2336" s="3"/>
      <c r="G2336" s="35"/>
      <c r="H2336" s="35"/>
      <c r="I2336" s="3"/>
      <c r="J2336" s="3"/>
      <c r="K2336" s="3"/>
      <c r="L2336" s="3"/>
      <c r="M2336" s="3"/>
      <c r="N2336" s="3"/>
      <c r="O2336" s="3"/>
      <c r="Q2336" s="3"/>
    </row>
    <row r="2337" spans="1:17">
      <c r="A2337" s="3"/>
      <c r="B2337" s="3"/>
      <c r="C2337" s="3"/>
      <c r="D2337" s="3"/>
      <c r="E2337" s="3"/>
      <c r="F2337" s="3"/>
      <c r="G2337" s="35"/>
      <c r="H2337" s="35"/>
      <c r="I2337" s="3"/>
      <c r="J2337" s="3"/>
      <c r="K2337" s="3"/>
      <c r="L2337" s="3"/>
      <c r="M2337" s="3"/>
      <c r="N2337" s="3"/>
      <c r="O2337" s="3"/>
      <c r="Q2337" s="3"/>
    </row>
    <row r="2338" spans="1:17">
      <c r="A2338" s="3"/>
      <c r="B2338" s="3"/>
      <c r="C2338" s="3"/>
      <c r="D2338" s="3"/>
      <c r="E2338" s="3"/>
      <c r="F2338" s="3"/>
      <c r="G2338" s="35"/>
      <c r="H2338" s="35"/>
      <c r="I2338" s="3"/>
      <c r="J2338" s="3"/>
      <c r="K2338" s="3"/>
      <c r="L2338" s="3"/>
      <c r="M2338" s="3"/>
      <c r="N2338" s="3"/>
      <c r="O2338" s="3"/>
      <c r="Q2338" s="3"/>
    </row>
    <row r="2339" spans="1:17">
      <c r="A2339" s="3"/>
      <c r="B2339" s="3"/>
      <c r="C2339" s="3"/>
      <c r="D2339" s="3"/>
      <c r="E2339" s="3"/>
      <c r="F2339" s="3"/>
      <c r="G2339" s="35"/>
      <c r="H2339" s="35"/>
      <c r="I2339" s="3"/>
      <c r="J2339" s="3"/>
      <c r="K2339" s="3"/>
      <c r="L2339" s="3"/>
      <c r="M2339" s="3"/>
      <c r="N2339" s="3"/>
      <c r="O2339" s="3"/>
      <c r="Q2339" s="3"/>
    </row>
    <row r="2340" spans="1:17">
      <c r="A2340" s="3"/>
      <c r="B2340" s="3"/>
      <c r="C2340" s="3"/>
      <c r="D2340" s="3"/>
      <c r="E2340" s="3"/>
      <c r="F2340" s="3"/>
      <c r="G2340" s="35"/>
      <c r="H2340" s="35"/>
      <c r="I2340" s="3"/>
      <c r="J2340" s="3"/>
      <c r="K2340" s="3"/>
      <c r="L2340" s="3"/>
      <c r="M2340" s="3"/>
      <c r="N2340" s="3"/>
      <c r="O2340" s="3"/>
      <c r="Q2340" s="3"/>
    </row>
    <row r="2341" spans="1:17">
      <c r="A2341" s="3"/>
      <c r="B2341" s="3"/>
      <c r="C2341" s="3"/>
      <c r="D2341" s="3"/>
      <c r="E2341" s="3"/>
      <c r="F2341" s="3"/>
      <c r="G2341" s="35"/>
      <c r="H2341" s="35"/>
      <c r="I2341" s="3"/>
      <c r="J2341" s="3"/>
      <c r="K2341" s="3"/>
      <c r="L2341" s="3"/>
      <c r="M2341" s="3"/>
      <c r="N2341" s="3"/>
      <c r="O2341" s="3"/>
      <c r="Q2341" s="3"/>
    </row>
    <row r="2342" spans="1:17">
      <c r="A2342" s="3"/>
      <c r="B2342" s="3"/>
      <c r="C2342" s="3"/>
      <c r="D2342" s="3"/>
      <c r="E2342" s="3"/>
      <c r="F2342" s="3"/>
      <c r="G2342" s="35"/>
      <c r="H2342" s="35"/>
      <c r="I2342" s="3"/>
      <c r="J2342" s="3"/>
      <c r="K2342" s="3"/>
      <c r="L2342" s="3"/>
      <c r="M2342" s="3"/>
      <c r="N2342" s="3"/>
      <c r="O2342" s="3"/>
      <c r="Q2342" s="3"/>
    </row>
    <row r="2343" spans="1:17">
      <c r="A2343" s="3"/>
      <c r="B2343" s="3"/>
      <c r="C2343" s="3"/>
      <c r="D2343" s="3"/>
      <c r="E2343" s="3"/>
      <c r="F2343" s="3"/>
      <c r="G2343" s="35"/>
      <c r="H2343" s="35"/>
      <c r="I2343" s="3"/>
      <c r="J2343" s="3"/>
      <c r="K2343" s="3"/>
      <c r="L2343" s="3"/>
      <c r="M2343" s="3"/>
      <c r="N2343" s="3"/>
      <c r="O2343" s="3"/>
      <c r="Q2343" s="3"/>
    </row>
    <row r="2344" spans="1:17">
      <c r="A2344" s="3"/>
      <c r="B2344" s="3"/>
      <c r="C2344" s="3"/>
      <c r="D2344" s="3"/>
      <c r="E2344" s="3"/>
      <c r="F2344" s="3"/>
      <c r="G2344" s="35"/>
      <c r="H2344" s="35"/>
      <c r="I2344" s="3"/>
      <c r="J2344" s="3"/>
      <c r="K2344" s="3"/>
      <c r="L2344" s="3"/>
      <c r="M2344" s="3"/>
      <c r="N2344" s="3"/>
      <c r="O2344" s="3"/>
      <c r="Q2344" s="3"/>
    </row>
    <row r="2345" spans="1:17">
      <c r="A2345" s="3"/>
      <c r="B2345" s="3"/>
      <c r="C2345" s="3"/>
      <c r="D2345" s="3"/>
      <c r="E2345" s="3"/>
      <c r="F2345" s="3"/>
      <c r="G2345" s="35"/>
      <c r="H2345" s="35"/>
      <c r="I2345" s="3"/>
      <c r="J2345" s="3"/>
      <c r="K2345" s="3"/>
      <c r="L2345" s="3"/>
      <c r="M2345" s="3"/>
      <c r="N2345" s="3"/>
      <c r="O2345" s="3"/>
      <c r="Q2345" s="3"/>
    </row>
    <row r="2346" spans="1:17">
      <c r="A2346" s="3"/>
      <c r="B2346" s="3"/>
      <c r="C2346" s="3"/>
      <c r="D2346" s="3"/>
      <c r="E2346" s="3"/>
      <c r="F2346" s="3"/>
      <c r="G2346" s="35"/>
      <c r="H2346" s="35"/>
      <c r="I2346" s="3"/>
      <c r="J2346" s="3"/>
      <c r="K2346" s="3"/>
      <c r="L2346" s="3"/>
      <c r="M2346" s="3"/>
      <c r="N2346" s="3"/>
      <c r="O2346" s="3"/>
      <c r="Q2346" s="3"/>
    </row>
    <row r="2347" spans="1:17">
      <c r="A2347" s="3"/>
      <c r="B2347" s="3"/>
      <c r="C2347" s="3"/>
      <c r="D2347" s="3"/>
      <c r="E2347" s="3"/>
      <c r="F2347" s="3"/>
      <c r="G2347" s="35"/>
      <c r="H2347" s="35"/>
      <c r="I2347" s="3"/>
      <c r="J2347" s="3"/>
      <c r="K2347" s="3"/>
      <c r="L2347" s="3"/>
      <c r="M2347" s="3"/>
      <c r="N2347" s="3"/>
      <c r="O2347" s="3"/>
      <c r="Q2347" s="3"/>
    </row>
    <row r="2348" spans="1:17">
      <c r="A2348" s="3"/>
      <c r="B2348" s="3"/>
      <c r="C2348" s="3"/>
      <c r="D2348" s="3"/>
      <c r="E2348" s="3"/>
      <c r="F2348" s="3"/>
      <c r="G2348" s="35"/>
      <c r="H2348" s="35"/>
      <c r="I2348" s="3"/>
      <c r="J2348" s="3"/>
      <c r="K2348" s="3"/>
      <c r="L2348" s="3"/>
      <c r="M2348" s="3"/>
      <c r="N2348" s="3"/>
      <c r="O2348" s="3"/>
      <c r="Q2348" s="3"/>
    </row>
    <row r="2349" spans="1:17">
      <c r="A2349" s="3"/>
      <c r="B2349" s="3"/>
      <c r="C2349" s="3"/>
      <c r="D2349" s="3"/>
      <c r="E2349" s="3"/>
      <c r="F2349" s="3"/>
      <c r="G2349" s="35"/>
      <c r="H2349" s="35"/>
      <c r="I2349" s="3"/>
      <c r="J2349" s="3"/>
      <c r="K2349" s="3"/>
      <c r="L2349" s="3"/>
      <c r="M2349" s="3"/>
      <c r="N2349" s="3"/>
      <c r="O2349" s="3"/>
      <c r="Q2349" s="3"/>
    </row>
    <row r="2350" spans="1:17">
      <c r="A2350" s="3"/>
      <c r="B2350" s="3"/>
      <c r="C2350" s="3"/>
      <c r="D2350" s="3"/>
      <c r="E2350" s="3"/>
      <c r="F2350" s="3"/>
      <c r="G2350" s="35"/>
      <c r="H2350" s="35"/>
      <c r="I2350" s="3"/>
      <c r="J2350" s="3"/>
      <c r="K2350" s="3"/>
      <c r="L2350" s="3"/>
      <c r="M2350" s="3"/>
      <c r="N2350" s="3"/>
      <c r="O2350" s="3"/>
      <c r="Q2350" s="3"/>
    </row>
    <row r="2351" spans="1:17">
      <c r="A2351" s="3"/>
      <c r="B2351" s="3"/>
      <c r="C2351" s="3"/>
      <c r="D2351" s="3"/>
      <c r="E2351" s="3"/>
      <c r="F2351" s="3"/>
      <c r="G2351" s="35"/>
      <c r="H2351" s="35"/>
      <c r="I2351" s="3"/>
      <c r="J2351" s="3"/>
      <c r="K2351" s="3"/>
      <c r="L2351" s="3"/>
      <c r="M2351" s="3"/>
      <c r="N2351" s="3"/>
      <c r="O2351" s="3"/>
      <c r="Q2351" s="3"/>
    </row>
    <row r="2352" spans="1:17">
      <c r="A2352" s="3"/>
      <c r="B2352" s="3"/>
      <c r="C2352" s="3"/>
      <c r="D2352" s="3"/>
      <c r="E2352" s="3"/>
      <c r="F2352" s="3"/>
      <c r="G2352" s="35"/>
      <c r="H2352" s="35"/>
      <c r="I2352" s="3"/>
      <c r="J2352" s="3"/>
      <c r="K2352" s="3"/>
      <c r="L2352" s="3"/>
      <c r="M2352" s="3"/>
      <c r="N2352" s="3"/>
      <c r="O2352" s="3"/>
      <c r="Q2352" s="3"/>
    </row>
    <row r="2353" spans="1:17">
      <c r="A2353" s="3"/>
      <c r="B2353" s="3"/>
      <c r="C2353" s="3"/>
      <c r="D2353" s="3"/>
      <c r="E2353" s="3"/>
      <c r="F2353" s="3"/>
      <c r="G2353" s="35"/>
      <c r="H2353" s="35"/>
      <c r="I2353" s="3"/>
      <c r="J2353" s="3"/>
      <c r="K2353" s="3"/>
      <c r="L2353" s="3"/>
      <c r="M2353" s="3"/>
      <c r="N2353" s="3"/>
      <c r="O2353" s="3"/>
      <c r="Q2353" s="3"/>
    </row>
    <row r="2354" spans="1:17">
      <c r="A2354" s="3"/>
      <c r="B2354" s="3"/>
      <c r="C2354" s="3"/>
      <c r="D2354" s="3"/>
      <c r="E2354" s="3"/>
      <c r="F2354" s="3"/>
      <c r="G2354" s="35"/>
      <c r="H2354" s="35"/>
      <c r="I2354" s="3"/>
      <c r="J2354" s="3"/>
      <c r="K2354" s="3"/>
      <c r="L2354" s="3"/>
      <c r="M2354" s="3"/>
      <c r="N2354" s="3"/>
      <c r="O2354" s="3"/>
      <c r="Q2354" s="3"/>
    </row>
    <row r="2355" spans="1:17">
      <c r="A2355" s="3"/>
      <c r="B2355" s="3"/>
      <c r="C2355" s="3"/>
      <c r="D2355" s="3"/>
      <c r="E2355" s="3"/>
      <c r="F2355" s="3"/>
      <c r="G2355" s="35"/>
      <c r="H2355" s="35"/>
      <c r="I2355" s="3"/>
      <c r="J2355" s="3"/>
      <c r="K2355" s="3"/>
      <c r="L2355" s="3"/>
      <c r="M2355" s="3"/>
      <c r="N2355" s="3"/>
      <c r="O2355" s="3"/>
      <c r="Q2355" s="3"/>
    </row>
    <row r="2356" spans="1:17">
      <c r="A2356" s="3"/>
      <c r="B2356" s="3"/>
      <c r="C2356" s="3"/>
      <c r="D2356" s="3"/>
      <c r="E2356" s="3"/>
      <c r="F2356" s="3"/>
      <c r="G2356" s="35"/>
      <c r="H2356" s="35"/>
      <c r="I2356" s="3"/>
      <c r="J2356" s="3"/>
      <c r="K2356" s="3"/>
      <c r="L2356" s="3"/>
      <c r="M2356" s="3"/>
      <c r="N2356" s="3"/>
      <c r="O2356" s="3"/>
      <c r="Q2356" s="3"/>
    </row>
    <row r="2357" spans="1:17">
      <c r="A2357" s="3"/>
      <c r="B2357" s="3"/>
      <c r="C2357" s="3"/>
      <c r="D2357" s="3"/>
      <c r="E2357" s="3"/>
      <c r="F2357" s="3"/>
      <c r="G2357" s="35"/>
      <c r="H2357" s="35"/>
      <c r="I2357" s="3"/>
      <c r="J2357" s="3"/>
      <c r="K2357" s="3"/>
      <c r="L2357" s="3"/>
      <c r="M2357" s="3"/>
      <c r="N2357" s="3"/>
      <c r="O2357" s="3"/>
      <c r="Q2357" s="3"/>
    </row>
    <row r="2358" spans="1:17">
      <c r="A2358" s="3"/>
      <c r="B2358" s="3"/>
      <c r="C2358" s="3"/>
      <c r="D2358" s="3"/>
      <c r="E2358" s="3"/>
      <c r="F2358" s="3"/>
      <c r="G2358" s="35"/>
      <c r="H2358" s="35"/>
      <c r="I2358" s="3"/>
      <c r="J2358" s="3"/>
      <c r="K2358" s="3"/>
      <c r="L2358" s="3"/>
      <c r="M2358" s="3"/>
      <c r="N2358" s="3"/>
      <c r="O2358" s="3"/>
      <c r="Q2358" s="3"/>
    </row>
    <row r="2359" spans="1:17">
      <c r="A2359" s="3"/>
      <c r="B2359" s="3"/>
      <c r="C2359" s="3"/>
      <c r="D2359" s="3"/>
      <c r="E2359" s="3"/>
      <c r="F2359" s="3"/>
      <c r="G2359" s="35"/>
      <c r="H2359" s="35"/>
      <c r="I2359" s="3"/>
      <c r="J2359" s="3"/>
      <c r="K2359" s="3"/>
      <c r="L2359" s="3"/>
      <c r="M2359" s="3"/>
      <c r="N2359" s="3"/>
      <c r="O2359" s="3"/>
      <c r="Q2359" s="3"/>
    </row>
    <row r="2360" spans="1:17">
      <c r="A2360" s="3"/>
      <c r="B2360" s="3"/>
      <c r="C2360" s="3"/>
      <c r="D2360" s="3"/>
      <c r="E2360" s="3"/>
      <c r="F2360" s="3"/>
      <c r="G2360" s="35"/>
      <c r="H2360" s="35"/>
      <c r="I2360" s="3"/>
      <c r="J2360" s="3"/>
      <c r="K2360" s="3"/>
      <c r="L2360" s="3"/>
      <c r="M2360" s="3"/>
      <c r="N2360" s="3"/>
      <c r="O2360" s="3"/>
      <c r="Q2360" s="3"/>
    </row>
    <row r="2361" spans="1:17">
      <c r="A2361" s="3"/>
      <c r="B2361" s="3"/>
      <c r="C2361" s="3"/>
      <c r="D2361" s="3"/>
      <c r="E2361" s="3"/>
      <c r="F2361" s="3"/>
      <c r="G2361" s="35"/>
      <c r="H2361" s="35"/>
      <c r="I2361" s="3"/>
      <c r="J2361" s="3"/>
      <c r="K2361" s="3"/>
      <c r="L2361" s="3"/>
      <c r="M2361" s="3"/>
      <c r="N2361" s="3"/>
      <c r="O2361" s="3"/>
      <c r="Q2361" s="3"/>
    </row>
    <row r="2362" spans="1:17">
      <c r="A2362" s="3"/>
      <c r="B2362" s="3"/>
      <c r="C2362" s="3"/>
      <c r="D2362" s="3"/>
      <c r="E2362" s="3"/>
      <c r="F2362" s="3"/>
      <c r="G2362" s="35"/>
      <c r="H2362" s="35"/>
      <c r="I2362" s="3"/>
      <c r="J2362" s="3"/>
      <c r="K2362" s="3"/>
      <c r="L2362" s="3"/>
      <c r="M2362" s="3"/>
      <c r="N2362" s="3"/>
      <c r="O2362" s="3"/>
      <c r="Q2362" s="3"/>
    </row>
    <row r="2363" spans="1:17">
      <c r="A2363" s="3"/>
      <c r="B2363" s="3"/>
      <c r="C2363" s="3"/>
      <c r="D2363" s="3"/>
      <c r="E2363" s="3"/>
      <c r="F2363" s="3"/>
      <c r="G2363" s="35"/>
      <c r="H2363" s="35"/>
      <c r="I2363" s="3"/>
      <c r="J2363" s="3"/>
      <c r="K2363" s="3"/>
      <c r="L2363" s="3"/>
      <c r="M2363" s="3"/>
      <c r="N2363" s="3"/>
      <c r="O2363" s="3"/>
      <c r="Q2363" s="3"/>
    </row>
    <row r="2364" spans="1:17">
      <c r="A2364" s="3"/>
      <c r="B2364" s="3"/>
      <c r="C2364" s="3"/>
      <c r="D2364" s="3"/>
      <c r="E2364" s="3"/>
      <c r="F2364" s="3"/>
      <c r="G2364" s="35"/>
      <c r="H2364" s="35"/>
      <c r="I2364" s="3"/>
      <c r="J2364" s="3"/>
      <c r="K2364" s="3"/>
      <c r="L2364" s="3"/>
      <c r="M2364" s="3"/>
      <c r="N2364" s="3"/>
      <c r="O2364" s="3"/>
      <c r="Q2364" s="3"/>
    </row>
    <row r="2365" spans="1:17">
      <c r="A2365" s="3"/>
      <c r="B2365" s="3"/>
      <c r="C2365" s="3"/>
      <c r="D2365" s="3"/>
      <c r="E2365" s="3"/>
      <c r="F2365" s="3"/>
      <c r="G2365" s="35"/>
      <c r="H2365" s="35"/>
      <c r="I2365" s="3"/>
      <c r="J2365" s="3"/>
      <c r="K2365" s="3"/>
      <c r="L2365" s="3"/>
      <c r="M2365" s="3"/>
      <c r="N2365" s="3"/>
      <c r="O2365" s="3"/>
      <c r="Q2365" s="3"/>
    </row>
    <row r="2366" spans="1:17">
      <c r="A2366" s="3"/>
      <c r="B2366" s="3"/>
      <c r="C2366" s="3"/>
      <c r="D2366" s="3"/>
      <c r="E2366" s="3"/>
      <c r="F2366" s="3"/>
      <c r="G2366" s="35"/>
      <c r="H2366" s="35"/>
      <c r="I2366" s="3"/>
      <c r="J2366" s="3"/>
      <c r="K2366" s="3"/>
      <c r="L2366" s="3"/>
      <c r="M2366" s="3"/>
      <c r="N2366" s="3"/>
      <c r="O2366" s="3"/>
      <c r="Q2366" s="3"/>
    </row>
    <row r="2367" spans="1:17">
      <c r="A2367" s="3"/>
      <c r="B2367" s="3"/>
      <c r="C2367" s="3"/>
      <c r="D2367" s="3"/>
      <c r="E2367" s="3"/>
      <c r="F2367" s="3"/>
      <c r="G2367" s="35"/>
      <c r="H2367" s="35"/>
      <c r="I2367" s="3"/>
      <c r="J2367" s="3"/>
      <c r="K2367" s="3"/>
      <c r="L2367" s="3"/>
      <c r="M2367" s="3"/>
      <c r="N2367" s="3"/>
      <c r="O2367" s="3"/>
      <c r="Q2367" s="3"/>
    </row>
    <row r="2368" spans="1:17">
      <c r="A2368" s="3"/>
      <c r="B2368" s="3"/>
      <c r="C2368" s="3"/>
      <c r="D2368" s="3"/>
      <c r="E2368" s="3"/>
      <c r="F2368" s="3"/>
      <c r="G2368" s="35"/>
      <c r="H2368" s="35"/>
      <c r="I2368" s="3"/>
      <c r="J2368" s="3"/>
      <c r="K2368" s="3"/>
      <c r="L2368" s="3"/>
      <c r="M2368" s="3"/>
      <c r="N2368" s="3"/>
      <c r="O2368" s="3"/>
      <c r="Q2368" s="3"/>
    </row>
    <row r="2369" spans="1:17">
      <c r="A2369" s="3"/>
      <c r="B2369" s="3"/>
      <c r="C2369" s="3"/>
      <c r="D2369" s="3"/>
      <c r="E2369" s="3"/>
      <c r="F2369" s="3"/>
      <c r="G2369" s="35"/>
      <c r="H2369" s="35"/>
      <c r="I2369" s="3"/>
      <c r="J2369" s="3"/>
      <c r="K2369" s="3"/>
      <c r="L2369" s="3"/>
      <c r="M2369" s="3"/>
      <c r="N2369" s="3"/>
      <c r="O2369" s="3"/>
      <c r="Q2369" s="3"/>
    </row>
    <row r="2370" spans="1:17">
      <c r="A2370" s="3"/>
      <c r="B2370" s="3"/>
      <c r="C2370" s="3"/>
      <c r="D2370" s="3"/>
      <c r="E2370" s="3"/>
      <c r="F2370" s="3"/>
      <c r="G2370" s="35"/>
      <c r="H2370" s="35"/>
      <c r="I2370" s="3"/>
      <c r="J2370" s="3"/>
      <c r="K2370" s="3"/>
      <c r="L2370" s="3"/>
      <c r="M2370" s="3"/>
      <c r="N2370" s="3"/>
      <c r="O2370" s="3"/>
      <c r="Q2370" s="3"/>
    </row>
    <row r="2371" spans="1:17">
      <c r="A2371" s="3"/>
      <c r="B2371" s="3"/>
      <c r="C2371" s="3"/>
      <c r="D2371" s="3"/>
      <c r="E2371" s="3"/>
      <c r="F2371" s="3"/>
      <c r="G2371" s="35"/>
      <c r="H2371" s="35"/>
      <c r="I2371" s="3"/>
      <c r="J2371" s="3"/>
      <c r="K2371" s="3"/>
      <c r="L2371" s="3"/>
      <c r="M2371" s="3"/>
      <c r="N2371" s="3"/>
      <c r="O2371" s="3"/>
      <c r="Q2371" s="3"/>
    </row>
    <row r="2372" spans="1:17">
      <c r="A2372" s="3"/>
      <c r="B2372" s="3"/>
      <c r="C2372" s="3"/>
      <c r="D2372" s="3"/>
      <c r="E2372" s="3"/>
      <c r="F2372" s="3"/>
      <c r="G2372" s="35"/>
      <c r="H2372" s="35"/>
      <c r="I2372" s="3"/>
      <c r="J2372" s="3"/>
      <c r="K2372" s="3"/>
      <c r="L2372" s="3"/>
      <c r="M2372" s="3"/>
      <c r="N2372" s="3"/>
      <c r="O2372" s="3"/>
      <c r="Q2372" s="3"/>
    </row>
    <row r="2373" spans="1:17">
      <c r="A2373" s="3"/>
      <c r="B2373" s="3"/>
      <c r="C2373" s="3"/>
      <c r="D2373" s="3"/>
      <c r="E2373" s="3"/>
      <c r="F2373" s="3"/>
      <c r="G2373" s="35"/>
      <c r="H2373" s="35"/>
      <c r="I2373" s="3"/>
      <c r="J2373" s="3"/>
      <c r="K2373" s="3"/>
      <c r="L2373" s="3"/>
      <c r="M2373" s="3"/>
      <c r="N2373" s="3"/>
      <c r="O2373" s="3"/>
      <c r="Q2373" s="3"/>
    </row>
    <row r="2374" spans="1:17">
      <c r="A2374" s="3"/>
      <c r="B2374" s="3"/>
      <c r="C2374" s="3"/>
      <c r="D2374" s="3"/>
      <c r="E2374" s="3"/>
      <c r="F2374" s="3"/>
      <c r="G2374" s="35"/>
      <c r="H2374" s="35"/>
      <c r="I2374" s="3"/>
      <c r="J2374" s="3"/>
      <c r="K2374" s="3"/>
      <c r="L2374" s="3"/>
      <c r="M2374" s="3"/>
      <c r="N2374" s="3"/>
      <c r="O2374" s="3"/>
      <c r="Q2374" s="3"/>
    </row>
    <row r="2375" spans="1:17">
      <c r="A2375" s="3"/>
      <c r="B2375" s="3"/>
      <c r="C2375" s="3"/>
      <c r="D2375" s="3"/>
      <c r="E2375" s="3"/>
      <c r="F2375" s="3"/>
      <c r="G2375" s="35"/>
      <c r="H2375" s="35"/>
      <c r="I2375" s="3"/>
      <c r="J2375" s="3"/>
      <c r="K2375" s="3"/>
      <c r="L2375" s="3"/>
      <c r="M2375" s="3"/>
      <c r="N2375" s="3"/>
      <c r="O2375" s="3"/>
      <c r="Q2375" s="3"/>
    </row>
    <row r="2376" spans="1:17">
      <c r="A2376" s="3"/>
      <c r="B2376" s="3"/>
      <c r="C2376" s="3"/>
      <c r="D2376" s="3"/>
      <c r="E2376" s="3"/>
      <c r="F2376" s="3"/>
      <c r="G2376" s="35"/>
      <c r="H2376" s="35"/>
      <c r="I2376" s="3"/>
      <c r="J2376" s="3"/>
      <c r="K2376" s="3"/>
      <c r="L2376" s="3"/>
      <c r="M2376" s="3"/>
      <c r="N2376" s="3"/>
      <c r="O2376" s="3"/>
      <c r="Q2376" s="3"/>
    </row>
    <row r="2377" spans="1:17">
      <c r="A2377" s="3"/>
      <c r="B2377" s="3"/>
      <c r="C2377" s="3"/>
      <c r="D2377" s="3"/>
      <c r="E2377" s="3"/>
      <c r="F2377" s="3"/>
      <c r="G2377" s="35"/>
      <c r="H2377" s="35"/>
      <c r="I2377" s="3"/>
      <c r="J2377" s="3"/>
      <c r="K2377" s="3"/>
      <c r="L2377" s="3"/>
      <c r="M2377" s="3"/>
      <c r="N2377" s="3"/>
      <c r="O2377" s="3"/>
      <c r="Q2377" s="3"/>
    </row>
    <row r="2378" spans="1:17">
      <c r="A2378" s="3"/>
      <c r="B2378" s="3"/>
      <c r="C2378" s="3"/>
      <c r="D2378" s="3"/>
      <c r="E2378" s="3"/>
      <c r="F2378" s="3"/>
      <c r="G2378" s="35"/>
      <c r="H2378" s="35"/>
      <c r="I2378" s="3"/>
      <c r="J2378" s="3"/>
      <c r="K2378" s="3"/>
      <c r="L2378" s="3"/>
      <c r="M2378" s="3"/>
      <c r="N2378" s="3"/>
      <c r="O2378" s="3"/>
      <c r="Q2378" s="3"/>
    </row>
    <row r="2379" spans="1:17">
      <c r="A2379" s="3"/>
      <c r="B2379" s="3"/>
      <c r="C2379" s="3"/>
      <c r="D2379" s="3"/>
      <c r="E2379" s="3"/>
      <c r="F2379" s="3"/>
      <c r="G2379" s="35"/>
      <c r="H2379" s="35"/>
      <c r="I2379" s="3"/>
      <c r="J2379" s="3"/>
      <c r="K2379" s="3"/>
      <c r="L2379" s="3"/>
      <c r="M2379" s="3"/>
      <c r="N2379" s="3"/>
      <c r="O2379" s="3"/>
      <c r="Q2379" s="3"/>
    </row>
    <row r="2380" spans="1:17">
      <c r="A2380" s="3"/>
      <c r="B2380" s="3"/>
      <c r="C2380" s="3"/>
      <c r="D2380" s="3"/>
      <c r="E2380" s="3"/>
      <c r="F2380" s="3"/>
      <c r="G2380" s="35"/>
      <c r="H2380" s="35"/>
      <c r="I2380" s="3"/>
      <c r="J2380" s="3"/>
      <c r="K2380" s="3"/>
      <c r="L2380" s="3"/>
      <c r="M2380" s="3"/>
      <c r="N2380" s="3"/>
      <c r="O2380" s="3"/>
      <c r="Q2380" s="3"/>
    </row>
    <row r="2381" spans="1:17">
      <c r="A2381" s="3"/>
      <c r="B2381" s="3"/>
      <c r="C2381" s="3"/>
      <c r="D2381" s="3"/>
      <c r="E2381" s="3"/>
      <c r="F2381" s="3"/>
      <c r="G2381" s="35"/>
      <c r="H2381" s="35"/>
      <c r="I2381" s="3"/>
      <c r="J2381" s="3"/>
      <c r="K2381" s="3"/>
      <c r="L2381" s="3"/>
      <c r="M2381" s="3"/>
      <c r="N2381" s="3"/>
      <c r="O2381" s="3"/>
      <c r="Q2381" s="3"/>
    </row>
    <row r="2382" spans="1:17">
      <c r="A2382" s="3"/>
      <c r="B2382" s="3"/>
      <c r="C2382" s="3"/>
      <c r="D2382" s="3"/>
      <c r="E2382" s="3"/>
      <c r="F2382" s="3"/>
      <c r="G2382" s="35"/>
      <c r="H2382" s="35"/>
      <c r="I2382" s="3"/>
      <c r="J2382" s="3"/>
      <c r="K2382" s="3"/>
      <c r="L2382" s="3"/>
      <c r="M2382" s="3"/>
      <c r="N2382" s="3"/>
      <c r="O2382" s="3"/>
      <c r="Q2382" s="3"/>
    </row>
    <row r="2383" spans="1:17">
      <c r="A2383" s="3"/>
      <c r="B2383" s="3"/>
      <c r="C2383" s="3"/>
      <c r="D2383" s="3"/>
      <c r="E2383" s="3"/>
      <c r="F2383" s="3"/>
      <c r="G2383" s="35"/>
      <c r="H2383" s="35"/>
      <c r="I2383" s="3"/>
      <c r="J2383" s="3"/>
      <c r="K2383" s="3"/>
      <c r="L2383" s="3"/>
      <c r="M2383" s="3"/>
      <c r="N2383" s="3"/>
      <c r="O2383" s="3"/>
      <c r="Q2383" s="3"/>
    </row>
    <row r="2384" spans="1:17">
      <c r="A2384" s="3"/>
      <c r="B2384" s="3"/>
      <c r="C2384" s="3"/>
      <c r="D2384" s="3"/>
      <c r="E2384" s="3"/>
      <c r="F2384" s="3"/>
      <c r="G2384" s="35"/>
      <c r="H2384" s="35"/>
      <c r="I2384" s="3"/>
      <c r="J2384" s="3"/>
      <c r="K2384" s="3"/>
      <c r="L2384" s="3"/>
      <c r="M2384" s="3"/>
      <c r="N2384" s="3"/>
      <c r="O2384" s="3"/>
      <c r="Q2384" s="3"/>
    </row>
    <row r="2385" spans="1:17">
      <c r="A2385" s="3"/>
      <c r="B2385" s="3"/>
      <c r="C2385" s="3"/>
      <c r="D2385" s="3"/>
      <c r="E2385" s="3"/>
      <c r="F2385" s="3"/>
      <c r="G2385" s="35"/>
      <c r="H2385" s="35"/>
      <c r="I2385" s="3"/>
      <c r="J2385" s="3"/>
      <c r="K2385" s="3"/>
      <c r="L2385" s="3"/>
      <c r="M2385" s="3"/>
      <c r="N2385" s="3"/>
      <c r="O2385" s="3"/>
      <c r="Q2385" s="3"/>
    </row>
    <row r="2386" spans="1:17">
      <c r="A2386" s="3"/>
      <c r="B2386" s="3"/>
      <c r="C2386" s="3"/>
      <c r="D2386" s="3"/>
      <c r="E2386" s="3"/>
      <c r="F2386" s="3"/>
      <c r="G2386" s="35"/>
      <c r="H2386" s="35"/>
      <c r="I2386" s="3"/>
      <c r="J2386" s="3"/>
      <c r="K2386" s="3"/>
      <c r="L2386" s="3"/>
      <c r="M2386" s="3"/>
      <c r="N2386" s="3"/>
      <c r="O2386" s="3"/>
      <c r="Q2386" s="3"/>
    </row>
    <row r="2387" spans="1:17">
      <c r="A2387" s="3"/>
      <c r="B2387" s="3"/>
      <c r="C2387" s="3"/>
      <c r="D2387" s="3"/>
      <c r="E2387" s="3"/>
      <c r="F2387" s="3"/>
      <c r="G2387" s="35"/>
      <c r="H2387" s="35"/>
      <c r="I2387" s="3"/>
      <c r="J2387" s="3"/>
      <c r="K2387" s="3"/>
      <c r="L2387" s="3"/>
      <c r="M2387" s="3"/>
      <c r="N2387" s="3"/>
      <c r="O2387" s="3"/>
      <c r="Q2387" s="3"/>
    </row>
    <row r="2388" spans="1:17">
      <c r="A2388" s="3"/>
      <c r="B2388" s="3"/>
      <c r="C2388" s="3"/>
      <c r="D2388" s="3"/>
      <c r="E2388" s="3"/>
      <c r="F2388" s="3"/>
      <c r="G2388" s="35"/>
      <c r="H2388" s="35"/>
      <c r="I2388" s="3"/>
      <c r="J2388" s="3"/>
      <c r="K2388" s="3"/>
      <c r="L2388" s="3"/>
      <c r="M2388" s="3"/>
      <c r="N2388" s="3"/>
      <c r="O2388" s="3"/>
      <c r="Q2388" s="3"/>
    </row>
    <row r="2389" spans="1:17">
      <c r="A2389" s="3"/>
      <c r="B2389" s="3"/>
      <c r="C2389" s="3"/>
      <c r="D2389" s="3"/>
      <c r="E2389" s="3"/>
      <c r="F2389" s="3"/>
      <c r="G2389" s="35"/>
      <c r="H2389" s="35"/>
      <c r="I2389" s="3"/>
      <c r="J2389" s="3"/>
      <c r="K2389" s="3"/>
      <c r="L2389" s="3"/>
      <c r="M2389" s="3"/>
      <c r="N2389" s="3"/>
      <c r="O2389" s="3"/>
      <c r="Q2389" s="3"/>
    </row>
    <row r="2390" spans="1:17">
      <c r="A2390" s="3"/>
      <c r="B2390" s="3"/>
      <c r="C2390" s="3"/>
      <c r="D2390" s="3"/>
      <c r="E2390" s="3"/>
      <c r="F2390" s="3"/>
      <c r="G2390" s="35"/>
      <c r="H2390" s="35"/>
      <c r="I2390" s="3"/>
      <c r="J2390" s="3"/>
      <c r="K2390" s="3"/>
      <c r="L2390" s="3"/>
      <c r="M2390" s="3"/>
      <c r="N2390" s="3"/>
      <c r="O2390" s="3"/>
      <c r="Q2390" s="3"/>
    </row>
    <row r="2391" spans="1:17">
      <c r="A2391" s="3"/>
      <c r="B2391" s="3"/>
      <c r="C2391" s="3"/>
      <c r="D2391" s="3"/>
      <c r="E2391" s="3"/>
      <c r="F2391" s="3"/>
      <c r="G2391" s="35"/>
      <c r="H2391" s="35"/>
      <c r="I2391" s="3"/>
      <c r="J2391" s="3"/>
      <c r="K2391" s="3"/>
      <c r="L2391" s="3"/>
      <c r="M2391" s="3"/>
      <c r="N2391" s="3"/>
      <c r="O2391" s="3"/>
      <c r="Q2391" s="3"/>
    </row>
    <row r="2392" spans="1:17">
      <c r="A2392" s="3"/>
      <c r="B2392" s="3"/>
      <c r="C2392" s="3"/>
      <c r="D2392" s="3"/>
      <c r="E2392" s="3"/>
      <c r="F2392" s="3"/>
      <c r="G2392" s="35"/>
      <c r="H2392" s="35"/>
      <c r="I2392" s="3"/>
      <c r="J2392" s="3"/>
      <c r="K2392" s="3"/>
      <c r="L2392" s="3"/>
      <c r="M2392" s="3"/>
      <c r="N2392" s="3"/>
      <c r="O2392" s="3"/>
      <c r="Q2392" s="3"/>
    </row>
    <row r="2393" spans="1:17">
      <c r="A2393" s="3"/>
      <c r="B2393" s="3"/>
      <c r="C2393" s="3"/>
      <c r="D2393" s="3"/>
      <c r="E2393" s="3"/>
      <c r="F2393" s="3"/>
      <c r="G2393" s="35"/>
      <c r="H2393" s="35"/>
      <c r="I2393" s="3"/>
      <c r="J2393" s="3"/>
      <c r="K2393" s="3"/>
      <c r="L2393" s="3"/>
      <c r="M2393" s="3"/>
      <c r="N2393" s="3"/>
      <c r="O2393" s="3"/>
      <c r="Q2393" s="3"/>
    </row>
    <row r="2394" spans="1:17">
      <c r="A2394" s="3"/>
      <c r="B2394" s="3"/>
      <c r="C2394" s="3"/>
      <c r="D2394" s="3"/>
      <c r="E2394" s="3"/>
      <c r="F2394" s="3"/>
      <c r="G2394" s="35"/>
      <c r="H2394" s="35"/>
      <c r="I2394" s="3"/>
      <c r="J2394" s="3"/>
      <c r="K2394" s="3"/>
      <c r="L2394" s="3"/>
      <c r="M2394" s="3"/>
      <c r="N2394" s="3"/>
      <c r="O2394" s="3"/>
      <c r="Q2394" s="3"/>
    </row>
    <row r="2395" spans="1:17">
      <c r="A2395" s="3"/>
      <c r="B2395" s="3"/>
      <c r="C2395" s="3"/>
      <c r="D2395" s="3"/>
      <c r="E2395" s="3"/>
      <c r="F2395" s="3"/>
      <c r="G2395" s="35"/>
      <c r="H2395" s="35"/>
      <c r="I2395" s="3"/>
      <c r="J2395" s="3"/>
      <c r="K2395" s="3"/>
      <c r="L2395" s="3"/>
      <c r="M2395" s="3"/>
      <c r="N2395" s="3"/>
      <c r="O2395" s="3"/>
      <c r="Q2395" s="3"/>
    </row>
    <row r="2396" spans="1:17">
      <c r="A2396" s="3"/>
      <c r="B2396" s="3"/>
      <c r="C2396" s="3"/>
      <c r="D2396" s="3"/>
      <c r="E2396" s="3"/>
      <c r="F2396" s="3"/>
      <c r="G2396" s="35"/>
      <c r="H2396" s="35"/>
      <c r="I2396" s="3"/>
      <c r="J2396" s="3"/>
      <c r="K2396" s="3"/>
      <c r="L2396" s="3"/>
      <c r="M2396" s="3"/>
      <c r="N2396" s="3"/>
      <c r="O2396" s="3"/>
      <c r="Q2396" s="3"/>
    </row>
    <row r="2397" spans="1:17">
      <c r="A2397" s="3"/>
      <c r="B2397" s="3"/>
      <c r="C2397" s="3"/>
      <c r="D2397" s="3"/>
      <c r="E2397" s="3"/>
      <c r="F2397" s="3"/>
      <c r="G2397" s="35"/>
      <c r="H2397" s="35"/>
      <c r="I2397" s="3"/>
      <c r="J2397" s="3"/>
      <c r="K2397" s="3"/>
      <c r="L2397" s="3"/>
      <c r="M2397" s="3"/>
      <c r="N2397" s="3"/>
      <c r="O2397" s="3"/>
      <c r="Q2397" s="3"/>
    </row>
    <row r="2398" spans="1:17">
      <c r="A2398" s="3"/>
      <c r="B2398" s="3"/>
      <c r="C2398" s="3"/>
      <c r="D2398" s="3"/>
      <c r="E2398" s="3"/>
      <c r="F2398" s="3"/>
      <c r="G2398" s="35"/>
      <c r="H2398" s="35"/>
      <c r="I2398" s="3"/>
      <c r="J2398" s="3"/>
      <c r="K2398" s="3"/>
      <c r="L2398" s="3"/>
      <c r="M2398" s="3"/>
      <c r="N2398" s="3"/>
      <c r="O2398" s="3"/>
      <c r="Q2398" s="3"/>
    </row>
    <row r="2399" spans="1:17">
      <c r="A2399" s="3"/>
      <c r="B2399" s="3"/>
      <c r="C2399" s="3"/>
      <c r="D2399" s="3"/>
      <c r="E2399" s="3"/>
      <c r="F2399" s="3"/>
      <c r="G2399" s="35"/>
      <c r="H2399" s="35"/>
      <c r="I2399" s="3"/>
      <c r="J2399" s="3"/>
      <c r="K2399" s="3"/>
      <c r="L2399" s="3"/>
      <c r="M2399" s="3"/>
      <c r="N2399" s="3"/>
      <c r="O2399" s="3"/>
      <c r="Q2399" s="3"/>
    </row>
    <row r="2400" spans="1:17">
      <c r="A2400" s="3"/>
      <c r="B2400" s="3"/>
      <c r="C2400" s="3"/>
      <c r="D2400" s="3"/>
      <c r="E2400" s="3"/>
      <c r="F2400" s="3"/>
      <c r="G2400" s="35"/>
      <c r="H2400" s="35"/>
      <c r="I2400" s="3"/>
      <c r="J2400" s="3"/>
      <c r="K2400" s="3"/>
      <c r="L2400" s="3"/>
      <c r="M2400" s="3"/>
      <c r="N2400" s="3"/>
      <c r="O2400" s="3"/>
      <c r="Q2400" s="3"/>
    </row>
    <row r="2401" spans="1:17">
      <c r="A2401" s="3"/>
      <c r="B2401" s="3"/>
      <c r="C2401" s="3"/>
      <c r="D2401" s="3"/>
      <c r="E2401" s="3"/>
      <c r="F2401" s="3"/>
      <c r="G2401" s="35"/>
      <c r="H2401" s="35"/>
      <c r="I2401" s="3"/>
      <c r="J2401" s="3"/>
      <c r="K2401" s="3"/>
      <c r="L2401" s="3"/>
      <c r="M2401" s="3"/>
      <c r="N2401" s="3"/>
      <c r="O2401" s="3"/>
      <c r="Q2401" s="3"/>
    </row>
    <row r="2402" spans="1:17">
      <c r="A2402" s="3"/>
      <c r="B2402" s="3"/>
      <c r="C2402" s="3"/>
      <c r="D2402" s="3"/>
      <c r="E2402" s="3"/>
      <c r="F2402" s="3"/>
      <c r="G2402" s="35"/>
      <c r="H2402" s="35"/>
      <c r="I2402" s="3"/>
      <c r="J2402" s="3"/>
      <c r="K2402" s="3"/>
      <c r="L2402" s="3"/>
      <c r="M2402" s="3"/>
      <c r="N2402" s="3"/>
      <c r="O2402" s="3"/>
      <c r="Q2402" s="3"/>
    </row>
    <row r="2403" spans="1:17">
      <c r="A2403" s="3"/>
      <c r="B2403" s="3"/>
      <c r="C2403" s="3"/>
      <c r="D2403" s="3"/>
      <c r="E2403" s="3"/>
      <c r="F2403" s="3"/>
      <c r="G2403" s="35"/>
      <c r="H2403" s="35"/>
      <c r="I2403" s="3"/>
      <c r="J2403" s="3"/>
      <c r="K2403" s="3"/>
      <c r="L2403" s="3"/>
      <c r="M2403" s="3"/>
      <c r="N2403" s="3"/>
      <c r="O2403" s="3"/>
      <c r="Q2403" s="3"/>
    </row>
    <row r="2404" spans="1:17">
      <c r="A2404" s="3"/>
      <c r="B2404" s="3"/>
      <c r="C2404" s="3"/>
      <c r="D2404" s="3"/>
      <c r="E2404" s="3"/>
      <c r="F2404" s="3"/>
      <c r="G2404" s="35"/>
      <c r="H2404" s="35"/>
      <c r="I2404" s="3"/>
      <c r="J2404" s="3"/>
      <c r="K2404" s="3"/>
      <c r="L2404" s="3"/>
      <c r="M2404" s="3"/>
      <c r="N2404" s="3"/>
      <c r="O2404" s="3"/>
      <c r="Q2404" s="3"/>
    </row>
    <row r="2405" spans="1:17">
      <c r="A2405" s="3"/>
      <c r="B2405" s="3"/>
      <c r="C2405" s="3"/>
      <c r="D2405" s="3"/>
      <c r="E2405" s="3"/>
      <c r="F2405" s="3"/>
      <c r="G2405" s="35"/>
      <c r="H2405" s="35"/>
      <c r="I2405" s="3"/>
      <c r="J2405" s="3"/>
      <c r="K2405" s="3"/>
      <c r="L2405" s="3"/>
      <c r="M2405" s="3"/>
      <c r="N2405" s="3"/>
      <c r="O2405" s="3"/>
      <c r="Q2405" s="3"/>
    </row>
    <row r="2406" spans="1:17">
      <c r="A2406" s="3"/>
      <c r="B2406" s="3"/>
      <c r="C2406" s="3"/>
      <c r="D2406" s="3"/>
      <c r="E2406" s="3"/>
      <c r="F2406" s="3"/>
      <c r="G2406" s="35"/>
      <c r="H2406" s="35"/>
      <c r="I2406" s="3"/>
      <c r="J2406" s="3"/>
      <c r="K2406" s="3"/>
      <c r="L2406" s="3"/>
      <c r="M2406" s="3"/>
      <c r="N2406" s="3"/>
      <c r="O2406" s="3"/>
      <c r="Q2406" s="3"/>
    </row>
    <row r="2407" spans="1:17">
      <c r="A2407" s="3"/>
      <c r="B2407" s="3"/>
      <c r="C2407" s="3"/>
      <c r="D2407" s="3"/>
      <c r="E2407" s="3"/>
      <c r="F2407" s="3"/>
      <c r="G2407" s="35"/>
      <c r="H2407" s="35"/>
      <c r="I2407" s="3"/>
      <c r="J2407" s="3"/>
      <c r="K2407" s="3"/>
      <c r="L2407" s="3"/>
      <c r="M2407" s="3"/>
      <c r="N2407" s="3"/>
      <c r="O2407" s="3"/>
      <c r="Q2407" s="3"/>
    </row>
    <row r="2408" spans="1:17">
      <c r="A2408" s="3"/>
      <c r="B2408" s="3"/>
      <c r="C2408" s="3"/>
      <c r="D2408" s="3"/>
      <c r="E2408" s="3"/>
      <c r="F2408" s="3"/>
      <c r="G2408" s="35"/>
      <c r="H2408" s="35"/>
      <c r="I2408" s="3"/>
      <c r="J2408" s="3"/>
      <c r="K2408" s="3"/>
      <c r="L2408" s="3"/>
      <c r="M2408" s="3"/>
      <c r="N2408" s="3"/>
      <c r="O2408" s="3"/>
      <c r="Q2408" s="3"/>
    </row>
    <row r="2409" spans="1:17">
      <c r="A2409" s="3"/>
      <c r="B2409" s="3"/>
      <c r="C2409" s="3"/>
      <c r="D2409" s="3"/>
      <c r="E2409" s="3"/>
      <c r="F2409" s="3"/>
      <c r="G2409" s="35"/>
      <c r="H2409" s="35"/>
      <c r="I2409" s="3"/>
      <c r="J2409" s="3"/>
      <c r="K2409" s="3"/>
      <c r="L2409" s="3"/>
      <c r="M2409" s="3"/>
      <c r="N2409" s="3"/>
      <c r="O2409" s="3"/>
      <c r="Q2409" s="3"/>
    </row>
    <row r="2410" spans="1:17">
      <c r="A2410" s="3"/>
      <c r="B2410" s="3"/>
      <c r="C2410" s="3"/>
      <c r="D2410" s="3"/>
      <c r="E2410" s="3"/>
      <c r="F2410" s="3"/>
      <c r="G2410" s="35"/>
      <c r="H2410" s="35"/>
      <c r="I2410" s="3"/>
      <c r="J2410" s="3"/>
      <c r="K2410" s="3"/>
      <c r="L2410" s="3"/>
      <c r="M2410" s="3"/>
      <c r="N2410" s="3"/>
      <c r="O2410" s="3"/>
      <c r="Q2410" s="3"/>
    </row>
    <row r="2411" spans="1:17">
      <c r="A2411" s="3"/>
      <c r="B2411" s="3"/>
      <c r="C2411" s="3"/>
      <c r="D2411" s="3"/>
      <c r="E2411" s="3"/>
      <c r="F2411" s="3"/>
      <c r="G2411" s="35"/>
      <c r="H2411" s="35"/>
      <c r="I2411" s="3"/>
      <c r="J2411" s="3"/>
      <c r="K2411" s="3"/>
      <c r="L2411" s="3"/>
      <c r="M2411" s="3"/>
      <c r="N2411" s="3"/>
      <c r="O2411" s="3"/>
      <c r="Q2411" s="3"/>
    </row>
    <row r="2412" spans="1:17">
      <c r="A2412" s="3"/>
      <c r="B2412" s="3"/>
      <c r="C2412" s="3"/>
      <c r="D2412" s="3"/>
      <c r="E2412" s="3"/>
      <c r="F2412" s="3"/>
      <c r="G2412" s="35"/>
      <c r="H2412" s="35"/>
      <c r="I2412" s="3"/>
      <c r="J2412" s="3"/>
      <c r="K2412" s="3"/>
      <c r="L2412" s="3"/>
      <c r="M2412" s="3"/>
      <c r="N2412" s="3"/>
      <c r="O2412" s="3"/>
      <c r="Q2412" s="3"/>
    </row>
    <row r="2413" spans="1:17">
      <c r="A2413" s="3"/>
      <c r="B2413" s="3"/>
      <c r="C2413" s="3"/>
      <c r="D2413" s="3"/>
      <c r="E2413" s="3"/>
      <c r="F2413" s="3"/>
      <c r="G2413" s="35"/>
      <c r="H2413" s="35"/>
      <c r="I2413" s="3"/>
      <c r="J2413" s="3"/>
      <c r="K2413" s="3"/>
      <c r="L2413" s="3"/>
      <c r="M2413" s="3"/>
      <c r="N2413" s="3"/>
      <c r="O2413" s="3"/>
      <c r="Q2413" s="3"/>
    </row>
    <row r="2414" spans="1:17">
      <c r="A2414" s="3"/>
      <c r="B2414" s="3"/>
      <c r="C2414" s="3"/>
      <c r="D2414" s="3"/>
      <c r="E2414" s="3"/>
      <c r="F2414" s="3"/>
      <c r="G2414" s="35"/>
      <c r="H2414" s="35"/>
      <c r="I2414" s="3"/>
      <c r="J2414" s="3"/>
      <c r="K2414" s="3"/>
      <c r="L2414" s="3"/>
      <c r="M2414" s="3"/>
      <c r="N2414" s="3"/>
      <c r="O2414" s="3"/>
      <c r="Q2414" s="3"/>
    </row>
    <row r="2415" spans="1:17">
      <c r="A2415" s="3"/>
      <c r="B2415" s="3"/>
      <c r="C2415" s="3"/>
      <c r="D2415" s="3"/>
      <c r="E2415" s="3"/>
      <c r="F2415" s="3"/>
      <c r="G2415" s="35"/>
      <c r="H2415" s="35"/>
      <c r="I2415" s="3"/>
      <c r="J2415" s="3"/>
      <c r="K2415" s="3"/>
      <c r="L2415" s="3"/>
      <c r="M2415" s="3"/>
      <c r="N2415" s="3"/>
      <c r="O2415" s="3"/>
      <c r="Q2415" s="3"/>
    </row>
    <row r="2416" spans="1:17">
      <c r="A2416" s="3"/>
      <c r="B2416" s="3"/>
      <c r="C2416" s="3"/>
      <c r="D2416" s="3"/>
      <c r="E2416" s="3"/>
      <c r="F2416" s="3"/>
      <c r="G2416" s="35"/>
      <c r="H2416" s="35"/>
      <c r="I2416" s="3"/>
      <c r="J2416" s="3"/>
      <c r="K2416" s="3"/>
      <c r="L2416" s="3"/>
      <c r="M2416" s="3"/>
      <c r="N2416" s="3"/>
      <c r="O2416" s="3"/>
      <c r="Q2416" s="3"/>
    </row>
    <row r="2417" spans="1:17">
      <c r="A2417" s="3"/>
      <c r="B2417" s="3"/>
      <c r="C2417" s="3"/>
      <c r="D2417" s="3"/>
      <c r="E2417" s="3"/>
      <c r="F2417" s="3"/>
      <c r="G2417" s="35"/>
      <c r="H2417" s="35"/>
      <c r="I2417" s="3"/>
      <c r="J2417" s="3"/>
      <c r="K2417" s="3"/>
      <c r="L2417" s="3"/>
      <c r="M2417" s="3"/>
      <c r="N2417" s="3"/>
      <c r="O2417" s="3"/>
      <c r="Q2417" s="3"/>
    </row>
    <row r="2418" spans="1:17">
      <c r="A2418" s="3"/>
      <c r="B2418" s="3"/>
      <c r="C2418" s="3"/>
      <c r="D2418" s="3"/>
      <c r="E2418" s="3"/>
      <c r="F2418" s="3"/>
      <c r="G2418" s="35"/>
      <c r="H2418" s="35"/>
      <c r="I2418" s="3"/>
      <c r="J2418" s="3"/>
      <c r="K2418" s="3"/>
      <c r="L2418" s="3"/>
      <c r="M2418" s="3"/>
      <c r="N2418" s="3"/>
      <c r="O2418" s="3"/>
      <c r="Q2418" s="3"/>
    </row>
    <row r="2419" spans="1:17">
      <c r="A2419" s="3"/>
      <c r="B2419" s="3"/>
      <c r="C2419" s="3"/>
      <c r="D2419" s="3"/>
      <c r="E2419" s="3"/>
      <c r="F2419" s="3"/>
      <c r="G2419" s="35"/>
      <c r="H2419" s="35"/>
      <c r="I2419" s="3"/>
      <c r="J2419" s="3"/>
      <c r="K2419" s="3"/>
      <c r="L2419" s="3"/>
      <c r="M2419" s="3"/>
      <c r="N2419" s="3"/>
      <c r="O2419" s="3"/>
      <c r="Q2419" s="3"/>
    </row>
    <row r="2420" spans="1:17">
      <c r="A2420" s="3"/>
      <c r="B2420" s="3"/>
      <c r="C2420" s="3"/>
      <c r="D2420" s="3"/>
      <c r="E2420" s="3"/>
      <c r="F2420" s="3"/>
      <c r="G2420" s="35"/>
      <c r="H2420" s="35"/>
      <c r="I2420" s="3"/>
      <c r="J2420" s="3"/>
      <c r="K2420" s="3"/>
      <c r="L2420" s="3"/>
      <c r="M2420" s="3"/>
      <c r="N2420" s="3"/>
      <c r="O2420" s="3"/>
      <c r="Q2420" s="3"/>
    </row>
    <row r="2421" spans="1:17">
      <c r="A2421" s="3"/>
      <c r="B2421" s="3"/>
      <c r="C2421" s="3"/>
      <c r="D2421" s="3"/>
      <c r="E2421" s="3"/>
      <c r="F2421" s="3"/>
      <c r="G2421" s="35"/>
      <c r="H2421" s="35"/>
      <c r="I2421" s="3"/>
      <c r="J2421" s="3"/>
      <c r="K2421" s="3"/>
      <c r="L2421" s="3"/>
      <c r="M2421" s="3"/>
      <c r="N2421" s="3"/>
      <c r="O2421" s="3"/>
      <c r="Q2421" s="3"/>
    </row>
    <row r="2422" spans="1:17">
      <c r="A2422" s="3"/>
      <c r="B2422" s="3"/>
      <c r="C2422" s="3"/>
      <c r="D2422" s="3"/>
      <c r="E2422" s="3"/>
      <c r="F2422" s="3"/>
      <c r="G2422" s="35"/>
      <c r="H2422" s="35"/>
      <c r="I2422" s="3"/>
      <c r="J2422" s="3"/>
      <c r="K2422" s="3"/>
      <c r="L2422" s="3"/>
      <c r="M2422" s="3"/>
      <c r="N2422" s="3"/>
      <c r="O2422" s="3"/>
      <c r="Q2422" s="3"/>
    </row>
    <row r="2423" spans="1:17">
      <c r="A2423" s="3"/>
      <c r="B2423" s="3"/>
      <c r="C2423" s="3"/>
      <c r="D2423" s="3"/>
      <c r="E2423" s="3"/>
      <c r="F2423" s="3"/>
      <c r="G2423" s="35"/>
      <c r="H2423" s="35"/>
      <c r="I2423" s="3"/>
      <c r="J2423" s="3"/>
      <c r="K2423" s="3"/>
      <c r="L2423" s="3"/>
      <c r="M2423" s="3"/>
      <c r="N2423" s="3"/>
      <c r="O2423" s="3"/>
      <c r="Q2423" s="3"/>
    </row>
    <row r="2424" spans="1:17">
      <c r="A2424" s="3"/>
      <c r="B2424" s="3"/>
      <c r="C2424" s="3"/>
      <c r="D2424" s="3"/>
      <c r="E2424" s="3"/>
      <c r="F2424" s="3"/>
      <c r="G2424" s="35"/>
      <c r="H2424" s="35"/>
      <c r="I2424" s="3"/>
      <c r="J2424" s="3"/>
      <c r="K2424" s="3"/>
      <c r="L2424" s="3"/>
      <c r="M2424" s="3"/>
      <c r="N2424" s="3"/>
      <c r="O2424" s="3"/>
      <c r="Q2424" s="3"/>
    </row>
    <row r="2425" spans="1:17">
      <c r="A2425" s="3"/>
      <c r="B2425" s="3"/>
      <c r="C2425" s="3"/>
      <c r="D2425" s="3"/>
      <c r="E2425" s="3"/>
      <c r="F2425" s="3"/>
      <c r="G2425" s="35"/>
      <c r="H2425" s="35"/>
      <c r="I2425" s="3"/>
      <c r="J2425" s="3"/>
      <c r="K2425" s="3"/>
      <c r="L2425" s="3"/>
      <c r="M2425" s="3"/>
      <c r="N2425" s="3"/>
      <c r="O2425" s="3"/>
      <c r="Q2425" s="3"/>
    </row>
    <row r="2426" spans="1:17">
      <c r="A2426" s="3"/>
      <c r="B2426" s="3"/>
      <c r="C2426" s="3"/>
      <c r="D2426" s="3"/>
      <c r="E2426" s="3"/>
      <c r="F2426" s="3"/>
      <c r="G2426" s="35"/>
      <c r="H2426" s="35"/>
      <c r="I2426" s="3"/>
      <c r="J2426" s="3"/>
      <c r="K2426" s="3"/>
      <c r="L2426" s="3"/>
      <c r="M2426" s="3"/>
      <c r="N2426" s="3"/>
      <c r="O2426" s="3"/>
      <c r="Q2426" s="3"/>
    </row>
    <row r="2427" spans="1:17">
      <c r="A2427" s="3"/>
      <c r="B2427" s="3"/>
      <c r="C2427" s="3"/>
      <c r="D2427" s="3"/>
      <c r="E2427" s="3"/>
      <c r="F2427" s="3"/>
      <c r="G2427" s="35"/>
      <c r="H2427" s="35"/>
      <c r="I2427" s="3"/>
      <c r="J2427" s="3"/>
      <c r="K2427" s="3"/>
      <c r="L2427" s="3"/>
      <c r="M2427" s="3"/>
      <c r="N2427" s="3"/>
      <c r="O2427" s="3"/>
      <c r="Q2427" s="3"/>
    </row>
    <row r="2428" spans="1:17">
      <c r="A2428" s="3"/>
      <c r="B2428" s="3"/>
      <c r="C2428" s="3"/>
      <c r="D2428" s="3"/>
      <c r="E2428" s="3"/>
      <c r="F2428" s="3"/>
      <c r="G2428" s="35"/>
      <c r="H2428" s="35"/>
      <c r="I2428" s="3"/>
      <c r="J2428" s="3"/>
      <c r="K2428" s="3"/>
      <c r="L2428" s="3"/>
      <c r="M2428" s="3"/>
      <c r="N2428" s="3"/>
      <c r="O2428" s="3"/>
      <c r="Q2428" s="3"/>
    </row>
    <row r="2429" spans="1:17">
      <c r="A2429" s="3"/>
      <c r="B2429" s="3"/>
      <c r="C2429" s="3"/>
      <c r="D2429" s="3"/>
      <c r="E2429" s="3"/>
      <c r="F2429" s="3"/>
      <c r="G2429" s="35"/>
      <c r="H2429" s="35"/>
      <c r="I2429" s="3"/>
      <c r="J2429" s="3"/>
      <c r="K2429" s="3"/>
      <c r="L2429" s="3"/>
      <c r="M2429" s="3"/>
      <c r="N2429" s="3"/>
      <c r="O2429" s="3"/>
      <c r="Q2429" s="3"/>
    </row>
    <row r="2430" spans="1:17">
      <c r="A2430" s="3"/>
      <c r="B2430" s="3"/>
      <c r="C2430" s="3"/>
      <c r="D2430" s="3"/>
      <c r="E2430" s="3"/>
      <c r="F2430" s="3"/>
      <c r="G2430" s="35"/>
      <c r="H2430" s="35"/>
      <c r="I2430" s="3"/>
      <c r="J2430" s="3"/>
      <c r="K2430" s="3"/>
      <c r="L2430" s="3"/>
      <c r="M2430" s="3"/>
      <c r="N2430" s="3"/>
      <c r="O2430" s="3"/>
      <c r="Q2430" s="3"/>
    </row>
    <row r="2431" spans="1:17">
      <c r="A2431" s="3"/>
      <c r="B2431" s="3"/>
      <c r="C2431" s="3"/>
      <c r="D2431" s="3"/>
      <c r="E2431" s="3"/>
      <c r="F2431" s="3"/>
      <c r="G2431" s="35"/>
      <c r="H2431" s="35"/>
      <c r="I2431" s="3"/>
      <c r="J2431" s="3"/>
      <c r="K2431" s="3"/>
      <c r="L2431" s="3"/>
      <c r="M2431" s="3"/>
      <c r="N2431" s="3"/>
      <c r="O2431" s="3"/>
      <c r="Q2431" s="3"/>
    </row>
    <row r="2432" spans="1:17">
      <c r="A2432" s="3"/>
      <c r="B2432" s="3"/>
      <c r="C2432" s="3"/>
      <c r="D2432" s="3"/>
      <c r="E2432" s="3"/>
      <c r="F2432" s="3"/>
      <c r="G2432" s="35"/>
      <c r="H2432" s="35"/>
      <c r="I2432" s="3"/>
      <c r="J2432" s="3"/>
      <c r="K2432" s="3"/>
      <c r="L2432" s="3"/>
      <c r="M2432" s="3"/>
      <c r="N2432" s="3"/>
      <c r="O2432" s="3"/>
      <c r="Q2432" s="3"/>
    </row>
    <row r="2433" spans="1:17">
      <c r="A2433" s="3"/>
      <c r="B2433" s="3"/>
      <c r="C2433" s="3"/>
      <c r="D2433" s="3"/>
      <c r="E2433" s="3"/>
      <c r="F2433" s="3"/>
      <c r="G2433" s="35"/>
      <c r="H2433" s="35"/>
      <c r="I2433" s="3"/>
      <c r="J2433" s="3"/>
      <c r="K2433" s="3"/>
      <c r="L2433" s="3"/>
      <c r="M2433" s="3"/>
      <c r="N2433" s="3"/>
      <c r="O2433" s="3"/>
      <c r="Q2433" s="3"/>
    </row>
    <row r="2434" spans="1:17">
      <c r="A2434" s="3"/>
      <c r="B2434" s="3"/>
      <c r="C2434" s="3"/>
      <c r="D2434" s="3"/>
      <c r="E2434" s="3"/>
      <c r="F2434" s="3"/>
      <c r="G2434" s="35"/>
      <c r="H2434" s="35"/>
      <c r="I2434" s="3"/>
      <c r="J2434" s="3"/>
      <c r="K2434" s="3"/>
      <c r="L2434" s="3"/>
      <c r="M2434" s="3"/>
      <c r="N2434" s="3"/>
      <c r="O2434" s="3"/>
      <c r="Q2434" s="3"/>
    </row>
    <row r="2435" spans="1:17">
      <c r="A2435" s="3"/>
      <c r="B2435" s="3"/>
      <c r="C2435" s="3"/>
      <c r="D2435" s="3"/>
      <c r="E2435" s="3"/>
      <c r="F2435" s="3"/>
      <c r="G2435" s="35"/>
      <c r="H2435" s="35"/>
      <c r="I2435" s="3"/>
      <c r="J2435" s="3"/>
      <c r="K2435" s="3"/>
      <c r="L2435" s="3"/>
      <c r="M2435" s="3"/>
      <c r="N2435" s="3"/>
      <c r="O2435" s="3"/>
      <c r="Q2435" s="3"/>
    </row>
    <row r="2436" spans="1:17">
      <c r="A2436" s="3"/>
      <c r="B2436" s="3"/>
      <c r="C2436" s="3"/>
      <c r="D2436" s="3"/>
      <c r="E2436" s="3"/>
      <c r="F2436" s="3"/>
      <c r="G2436" s="35"/>
      <c r="H2436" s="35"/>
      <c r="I2436" s="3"/>
      <c r="J2436" s="3"/>
      <c r="K2436" s="3"/>
      <c r="L2436" s="3"/>
      <c r="M2436" s="3"/>
      <c r="N2436" s="3"/>
      <c r="O2436" s="3"/>
      <c r="Q2436" s="3"/>
    </row>
    <row r="2437" spans="1:17">
      <c r="A2437" s="3"/>
      <c r="B2437" s="3"/>
      <c r="C2437" s="3"/>
      <c r="D2437" s="3"/>
      <c r="E2437" s="3"/>
      <c r="F2437" s="3"/>
      <c r="G2437" s="35"/>
      <c r="H2437" s="35"/>
      <c r="I2437" s="3"/>
      <c r="J2437" s="3"/>
      <c r="K2437" s="3"/>
      <c r="L2437" s="3"/>
      <c r="M2437" s="3"/>
      <c r="N2437" s="3"/>
      <c r="O2437" s="3"/>
      <c r="Q2437" s="3"/>
    </row>
    <row r="2438" spans="1:17">
      <c r="A2438" s="3"/>
      <c r="B2438" s="3"/>
      <c r="C2438" s="3"/>
      <c r="D2438" s="3"/>
      <c r="E2438" s="3"/>
      <c r="F2438" s="3"/>
      <c r="G2438" s="35"/>
      <c r="H2438" s="35"/>
      <c r="I2438" s="3"/>
      <c r="J2438" s="3"/>
      <c r="K2438" s="3"/>
      <c r="L2438" s="3"/>
      <c r="M2438" s="3"/>
      <c r="N2438" s="3"/>
      <c r="O2438" s="3"/>
      <c r="Q2438" s="3"/>
    </row>
    <row r="2439" spans="1:17">
      <c r="A2439" s="3"/>
      <c r="B2439" s="3"/>
      <c r="C2439" s="3"/>
      <c r="D2439" s="3"/>
      <c r="E2439" s="3"/>
      <c r="F2439" s="3"/>
      <c r="G2439" s="35"/>
      <c r="H2439" s="35"/>
      <c r="I2439" s="3"/>
      <c r="J2439" s="3"/>
      <c r="K2439" s="3"/>
      <c r="L2439" s="3"/>
      <c r="M2439" s="3"/>
      <c r="N2439" s="3"/>
      <c r="O2439" s="3"/>
      <c r="Q2439" s="3"/>
    </row>
    <row r="2440" spans="1:17">
      <c r="A2440" s="3"/>
      <c r="B2440" s="3"/>
      <c r="C2440" s="3"/>
      <c r="D2440" s="3"/>
      <c r="E2440" s="3"/>
      <c r="F2440" s="3"/>
      <c r="G2440" s="35"/>
      <c r="H2440" s="35"/>
      <c r="I2440" s="3"/>
      <c r="J2440" s="3"/>
      <c r="K2440" s="3"/>
      <c r="L2440" s="3"/>
      <c r="M2440" s="3"/>
      <c r="N2440" s="3"/>
      <c r="O2440" s="3"/>
      <c r="Q2440" s="3"/>
    </row>
    <row r="2441" spans="1:17">
      <c r="A2441" s="3"/>
      <c r="B2441" s="3"/>
      <c r="C2441" s="3"/>
      <c r="D2441" s="3"/>
      <c r="E2441" s="3"/>
      <c r="F2441" s="3"/>
      <c r="G2441" s="35"/>
      <c r="H2441" s="35"/>
      <c r="I2441" s="3"/>
      <c r="J2441" s="3"/>
      <c r="K2441" s="3"/>
      <c r="L2441" s="3"/>
      <c r="M2441" s="3"/>
      <c r="N2441" s="3"/>
      <c r="O2441" s="3"/>
      <c r="Q2441" s="3"/>
    </row>
    <row r="2442" spans="1:17">
      <c r="A2442" s="3"/>
      <c r="B2442" s="3"/>
      <c r="C2442" s="3"/>
      <c r="D2442" s="3"/>
      <c r="E2442" s="3"/>
      <c r="F2442" s="3"/>
      <c r="G2442" s="35"/>
      <c r="H2442" s="35"/>
      <c r="I2442" s="3"/>
      <c r="J2442" s="3"/>
      <c r="K2442" s="3"/>
      <c r="L2442" s="3"/>
      <c r="M2442" s="3"/>
      <c r="N2442" s="3"/>
      <c r="O2442" s="3"/>
      <c r="Q2442" s="3"/>
    </row>
    <row r="2443" spans="1:17">
      <c r="A2443" s="3"/>
      <c r="B2443" s="3"/>
      <c r="C2443" s="3"/>
      <c r="D2443" s="3"/>
      <c r="E2443" s="3"/>
      <c r="F2443" s="3"/>
      <c r="G2443" s="35"/>
      <c r="H2443" s="35"/>
      <c r="I2443" s="3"/>
      <c r="J2443" s="3"/>
      <c r="K2443" s="3"/>
      <c r="L2443" s="3"/>
      <c r="M2443" s="3"/>
      <c r="N2443" s="3"/>
      <c r="O2443" s="3"/>
      <c r="Q2443" s="3"/>
    </row>
    <row r="2444" spans="1:17">
      <c r="A2444" s="3"/>
      <c r="B2444" s="3"/>
      <c r="C2444" s="3"/>
      <c r="D2444" s="3"/>
      <c r="E2444" s="3"/>
      <c r="F2444" s="3"/>
      <c r="G2444" s="35"/>
      <c r="H2444" s="35"/>
      <c r="I2444" s="3"/>
      <c r="J2444" s="3"/>
      <c r="K2444" s="3"/>
      <c r="L2444" s="3"/>
      <c r="M2444" s="3"/>
      <c r="N2444" s="3"/>
      <c r="O2444" s="3"/>
      <c r="Q2444" s="3"/>
    </row>
    <row r="2445" spans="1:17">
      <c r="A2445" s="3"/>
      <c r="B2445" s="3"/>
      <c r="C2445" s="3"/>
      <c r="D2445" s="3"/>
      <c r="E2445" s="3"/>
      <c r="F2445" s="3"/>
      <c r="G2445" s="35"/>
      <c r="H2445" s="35"/>
      <c r="I2445" s="3"/>
      <c r="J2445" s="3"/>
      <c r="K2445" s="3"/>
      <c r="L2445" s="3"/>
      <c r="M2445" s="3"/>
      <c r="N2445" s="3"/>
      <c r="O2445" s="3"/>
      <c r="Q2445" s="3"/>
    </row>
    <row r="2446" spans="1:17">
      <c r="A2446" s="3"/>
      <c r="B2446" s="3"/>
      <c r="C2446" s="3"/>
      <c r="D2446" s="3"/>
      <c r="E2446" s="3"/>
      <c r="F2446" s="3"/>
      <c r="G2446" s="35"/>
      <c r="H2446" s="35"/>
      <c r="I2446" s="3"/>
      <c r="J2446" s="3"/>
      <c r="K2446" s="3"/>
      <c r="L2446" s="3"/>
      <c r="M2446" s="3"/>
      <c r="N2446" s="3"/>
      <c r="O2446" s="3"/>
      <c r="Q2446" s="3"/>
    </row>
    <row r="2447" spans="1:17">
      <c r="A2447" s="3"/>
      <c r="B2447" s="3"/>
      <c r="C2447" s="3"/>
      <c r="D2447" s="3"/>
      <c r="E2447" s="3"/>
      <c r="F2447" s="3"/>
      <c r="G2447" s="35"/>
      <c r="H2447" s="35"/>
      <c r="I2447" s="3"/>
      <c r="J2447" s="3"/>
      <c r="K2447" s="3"/>
      <c r="L2447" s="3"/>
      <c r="M2447" s="3"/>
      <c r="N2447" s="3"/>
      <c r="O2447" s="3"/>
      <c r="Q2447" s="3"/>
    </row>
    <row r="2448" spans="1:17">
      <c r="A2448" s="3"/>
      <c r="B2448" s="3"/>
      <c r="C2448" s="3"/>
      <c r="D2448" s="3"/>
      <c r="E2448" s="3"/>
      <c r="F2448" s="3"/>
      <c r="G2448" s="35"/>
      <c r="H2448" s="35"/>
      <c r="I2448" s="3"/>
      <c r="J2448" s="3"/>
      <c r="K2448" s="3"/>
      <c r="L2448" s="3"/>
      <c r="M2448" s="3"/>
      <c r="N2448" s="3"/>
      <c r="O2448" s="3"/>
      <c r="Q2448" s="3"/>
    </row>
    <row r="2449" spans="1:17">
      <c r="A2449" s="3"/>
      <c r="B2449" s="3"/>
      <c r="C2449" s="3"/>
      <c r="D2449" s="3"/>
      <c r="E2449" s="3"/>
      <c r="F2449" s="3"/>
      <c r="G2449" s="35"/>
      <c r="H2449" s="35"/>
      <c r="I2449" s="3"/>
      <c r="J2449" s="3"/>
      <c r="K2449" s="3"/>
      <c r="L2449" s="3"/>
      <c r="M2449" s="3"/>
      <c r="N2449" s="3"/>
      <c r="O2449" s="3"/>
      <c r="Q2449" s="3"/>
    </row>
    <row r="2450" spans="1:17">
      <c r="A2450" s="3"/>
      <c r="B2450" s="3"/>
      <c r="C2450" s="3"/>
      <c r="D2450" s="3"/>
      <c r="E2450" s="3"/>
      <c r="F2450" s="3"/>
      <c r="G2450" s="35"/>
      <c r="H2450" s="35"/>
      <c r="I2450" s="3"/>
      <c r="J2450" s="3"/>
      <c r="K2450" s="3"/>
      <c r="L2450" s="3"/>
      <c r="M2450" s="3"/>
      <c r="N2450" s="3"/>
      <c r="O2450" s="3"/>
      <c r="Q2450" s="3"/>
    </row>
    <row r="2451" spans="1:17">
      <c r="A2451" s="3"/>
      <c r="B2451" s="3"/>
      <c r="C2451" s="3"/>
      <c r="D2451" s="3"/>
      <c r="E2451" s="3"/>
      <c r="F2451" s="3"/>
      <c r="G2451" s="35"/>
      <c r="H2451" s="35"/>
      <c r="I2451" s="3"/>
      <c r="J2451" s="3"/>
      <c r="K2451" s="3"/>
      <c r="L2451" s="3"/>
      <c r="M2451" s="3"/>
      <c r="N2451" s="3"/>
      <c r="O2451" s="3"/>
      <c r="Q2451" s="3"/>
    </row>
    <row r="2452" spans="1:17">
      <c r="A2452" s="3"/>
      <c r="B2452" s="3"/>
      <c r="C2452" s="3"/>
      <c r="D2452" s="3"/>
      <c r="E2452" s="3"/>
      <c r="F2452" s="3"/>
      <c r="G2452" s="35"/>
      <c r="H2452" s="35"/>
      <c r="I2452" s="3"/>
      <c r="J2452" s="3"/>
      <c r="K2452" s="3"/>
      <c r="L2452" s="3"/>
      <c r="M2452" s="3"/>
      <c r="N2452" s="3"/>
      <c r="O2452" s="3"/>
      <c r="Q2452" s="3"/>
    </row>
    <row r="2453" spans="1:17">
      <c r="A2453" s="3"/>
      <c r="B2453" s="3"/>
      <c r="C2453" s="3"/>
      <c r="D2453" s="3"/>
      <c r="E2453" s="3"/>
      <c r="F2453" s="3"/>
      <c r="G2453" s="35"/>
      <c r="H2453" s="35"/>
      <c r="I2453" s="3"/>
      <c r="J2453" s="3"/>
      <c r="K2453" s="3"/>
      <c r="L2453" s="3"/>
      <c r="M2453" s="3"/>
      <c r="N2453" s="3"/>
      <c r="O2453" s="3"/>
      <c r="Q2453" s="3"/>
    </row>
    <row r="2454" spans="1:17">
      <c r="A2454" s="3"/>
      <c r="B2454" s="3"/>
      <c r="C2454" s="3"/>
      <c r="D2454" s="3"/>
      <c r="E2454" s="3"/>
      <c r="F2454" s="3"/>
      <c r="G2454" s="35"/>
      <c r="H2454" s="35"/>
      <c r="I2454" s="3"/>
      <c r="J2454" s="3"/>
      <c r="K2454" s="3"/>
      <c r="L2454" s="3"/>
      <c r="M2454" s="3"/>
      <c r="N2454" s="3"/>
      <c r="O2454" s="3"/>
      <c r="Q2454" s="3"/>
    </row>
    <row r="2455" spans="1:17">
      <c r="A2455" s="3"/>
      <c r="B2455" s="3"/>
      <c r="C2455" s="3"/>
      <c r="D2455" s="3"/>
      <c r="E2455" s="3"/>
      <c r="F2455" s="3"/>
      <c r="G2455" s="35"/>
      <c r="H2455" s="35"/>
      <c r="I2455" s="3"/>
      <c r="J2455" s="3"/>
      <c r="K2455" s="3"/>
      <c r="L2455" s="3"/>
      <c r="M2455" s="3"/>
      <c r="N2455" s="3"/>
      <c r="O2455" s="3"/>
      <c r="Q2455" s="3"/>
    </row>
    <row r="2456" spans="1:17">
      <c r="A2456" s="3"/>
      <c r="B2456" s="3"/>
      <c r="C2456" s="3"/>
      <c r="D2456" s="3"/>
      <c r="E2456" s="3"/>
      <c r="F2456" s="3"/>
      <c r="G2456" s="35"/>
      <c r="H2456" s="35"/>
      <c r="I2456" s="3"/>
      <c r="J2456" s="3"/>
      <c r="K2456" s="3"/>
      <c r="L2456" s="3"/>
      <c r="M2456" s="3"/>
      <c r="N2456" s="3"/>
      <c r="O2456" s="3"/>
      <c r="Q2456" s="3"/>
    </row>
    <row r="2457" spans="1:17">
      <c r="A2457" s="3"/>
      <c r="B2457" s="3"/>
      <c r="C2457" s="3"/>
      <c r="D2457" s="3"/>
      <c r="E2457" s="3"/>
      <c r="F2457" s="3"/>
      <c r="G2457" s="35"/>
      <c r="H2457" s="35"/>
      <c r="I2457" s="3"/>
      <c r="J2457" s="3"/>
      <c r="K2457" s="3"/>
      <c r="L2457" s="3"/>
      <c r="M2457" s="3"/>
      <c r="N2457" s="3"/>
      <c r="O2457" s="3"/>
      <c r="Q2457" s="3"/>
    </row>
    <row r="2458" spans="1:17">
      <c r="A2458" s="3"/>
      <c r="B2458" s="3"/>
      <c r="C2458" s="3"/>
      <c r="D2458" s="3"/>
      <c r="E2458" s="3"/>
      <c r="F2458" s="3"/>
      <c r="G2458" s="35"/>
      <c r="H2458" s="35"/>
      <c r="I2458" s="3"/>
      <c r="J2458" s="3"/>
      <c r="K2458" s="3"/>
      <c r="L2458" s="3"/>
      <c r="M2458" s="3"/>
      <c r="N2458" s="3"/>
      <c r="O2458" s="3"/>
      <c r="Q2458" s="3"/>
    </row>
    <row r="2459" spans="1:17">
      <c r="A2459" s="3"/>
      <c r="B2459" s="3"/>
      <c r="C2459" s="3"/>
      <c r="D2459" s="3"/>
      <c r="E2459" s="3"/>
      <c r="F2459" s="3"/>
      <c r="G2459" s="35"/>
      <c r="H2459" s="35"/>
      <c r="I2459" s="3"/>
      <c r="J2459" s="3"/>
      <c r="K2459" s="3"/>
      <c r="L2459" s="3"/>
      <c r="M2459" s="3"/>
      <c r="N2459" s="3"/>
      <c r="O2459" s="3"/>
      <c r="Q2459" s="3"/>
    </row>
    <row r="2460" spans="1:17">
      <c r="A2460" s="3"/>
      <c r="B2460" s="3"/>
      <c r="C2460" s="3"/>
      <c r="D2460" s="3"/>
      <c r="E2460" s="3"/>
      <c r="F2460" s="3"/>
      <c r="G2460" s="35"/>
      <c r="H2460" s="35"/>
      <c r="I2460" s="3"/>
      <c r="J2460" s="3"/>
      <c r="K2460" s="3"/>
      <c r="L2460" s="3"/>
      <c r="M2460" s="3"/>
      <c r="N2460" s="3"/>
      <c r="O2460" s="3"/>
      <c r="Q2460" s="3"/>
    </row>
    <row r="2461" spans="1:17">
      <c r="A2461" s="3"/>
      <c r="B2461" s="3"/>
      <c r="C2461" s="3"/>
      <c r="D2461" s="3"/>
      <c r="E2461" s="3"/>
      <c r="F2461" s="3"/>
      <c r="G2461" s="35"/>
      <c r="H2461" s="35"/>
      <c r="I2461" s="3"/>
      <c r="J2461" s="3"/>
      <c r="K2461" s="3"/>
      <c r="L2461" s="3"/>
      <c r="M2461" s="3"/>
      <c r="N2461" s="3"/>
      <c r="O2461" s="3"/>
      <c r="Q2461" s="3"/>
    </row>
    <row r="2462" spans="1:17">
      <c r="A2462" s="3"/>
      <c r="B2462" s="3"/>
      <c r="C2462" s="3"/>
      <c r="D2462" s="3"/>
      <c r="E2462" s="3"/>
      <c r="F2462" s="3"/>
      <c r="G2462" s="35"/>
      <c r="H2462" s="35"/>
      <c r="I2462" s="3"/>
      <c r="J2462" s="3"/>
      <c r="K2462" s="3"/>
      <c r="L2462" s="3"/>
      <c r="M2462" s="3"/>
      <c r="N2462" s="3"/>
      <c r="O2462" s="3"/>
      <c r="Q2462" s="3"/>
    </row>
    <row r="2463" spans="1:17">
      <c r="A2463" s="3"/>
      <c r="B2463" s="3"/>
      <c r="C2463" s="3"/>
      <c r="D2463" s="3"/>
      <c r="E2463" s="3"/>
      <c r="F2463" s="3"/>
      <c r="G2463" s="35"/>
      <c r="H2463" s="35"/>
      <c r="I2463" s="3"/>
      <c r="J2463" s="3"/>
      <c r="K2463" s="3"/>
      <c r="L2463" s="3"/>
      <c r="M2463" s="3"/>
      <c r="N2463" s="3"/>
      <c r="O2463" s="3"/>
      <c r="Q2463" s="3"/>
    </row>
    <row r="2464" spans="1:17">
      <c r="A2464" s="3"/>
      <c r="B2464" s="3"/>
      <c r="C2464" s="3"/>
      <c r="D2464" s="3"/>
      <c r="E2464" s="3"/>
      <c r="F2464" s="3"/>
      <c r="G2464" s="35"/>
      <c r="H2464" s="35"/>
      <c r="I2464" s="3"/>
      <c r="J2464" s="3"/>
      <c r="K2464" s="3"/>
      <c r="L2464" s="3"/>
      <c r="M2464" s="3"/>
      <c r="N2464" s="3"/>
      <c r="O2464" s="3"/>
      <c r="Q2464" s="3"/>
    </row>
    <row r="2465" spans="1:17">
      <c r="A2465" s="3"/>
      <c r="B2465" s="3"/>
      <c r="C2465" s="3"/>
      <c r="D2465" s="3"/>
      <c r="E2465" s="3"/>
      <c r="F2465" s="3"/>
      <c r="G2465" s="35"/>
      <c r="H2465" s="35"/>
      <c r="I2465" s="3"/>
      <c r="J2465" s="3"/>
      <c r="K2465" s="3"/>
      <c r="L2465" s="3"/>
      <c r="M2465" s="3"/>
      <c r="N2465" s="3"/>
      <c r="O2465" s="3"/>
      <c r="Q2465" s="3"/>
    </row>
    <row r="2466" spans="1:17">
      <c r="A2466" s="3"/>
      <c r="B2466" s="3"/>
      <c r="C2466" s="3"/>
      <c r="D2466" s="3"/>
      <c r="E2466" s="3"/>
      <c r="F2466" s="3"/>
      <c r="G2466" s="35"/>
      <c r="H2466" s="35"/>
      <c r="I2466" s="3"/>
      <c r="J2466" s="3"/>
      <c r="K2466" s="3"/>
      <c r="L2466" s="3"/>
      <c r="M2466" s="3"/>
      <c r="N2466" s="3"/>
      <c r="O2466" s="3"/>
      <c r="Q2466" s="3"/>
    </row>
    <row r="2467" spans="1:17">
      <c r="A2467" s="3"/>
      <c r="B2467" s="3"/>
      <c r="C2467" s="3"/>
      <c r="D2467" s="3"/>
      <c r="E2467" s="3"/>
      <c r="F2467" s="3"/>
      <c r="G2467" s="35"/>
      <c r="H2467" s="35"/>
      <c r="I2467" s="3"/>
      <c r="J2467" s="3"/>
      <c r="K2467" s="3"/>
      <c r="L2467" s="3"/>
      <c r="M2467" s="3"/>
      <c r="N2467" s="3"/>
      <c r="O2467" s="3"/>
      <c r="Q2467" s="3"/>
    </row>
    <row r="2468" spans="1:17">
      <c r="A2468" s="3"/>
      <c r="B2468" s="3"/>
      <c r="C2468" s="3"/>
      <c r="D2468" s="3"/>
      <c r="E2468" s="3"/>
      <c r="F2468" s="3"/>
      <c r="G2468" s="35"/>
      <c r="H2468" s="35"/>
      <c r="I2468" s="3"/>
      <c r="J2468" s="3"/>
      <c r="K2468" s="3"/>
      <c r="L2468" s="3"/>
      <c r="M2468" s="3"/>
      <c r="N2468" s="3"/>
      <c r="O2468" s="3"/>
      <c r="Q2468" s="3"/>
    </row>
    <row r="2469" spans="1:17">
      <c r="A2469" s="3"/>
      <c r="B2469" s="3"/>
      <c r="C2469" s="3"/>
      <c r="D2469" s="3"/>
      <c r="E2469" s="3"/>
      <c r="F2469" s="3"/>
      <c r="G2469" s="35"/>
      <c r="H2469" s="35"/>
      <c r="I2469" s="3"/>
      <c r="J2469" s="3"/>
      <c r="K2469" s="3"/>
      <c r="L2469" s="3"/>
      <c r="M2469" s="3"/>
      <c r="N2469" s="3"/>
      <c r="O2469" s="3"/>
      <c r="Q2469" s="3"/>
    </row>
    <row r="2470" spans="1:17">
      <c r="A2470" s="3"/>
      <c r="B2470" s="3"/>
      <c r="C2470" s="3"/>
      <c r="D2470" s="3"/>
      <c r="E2470" s="3"/>
      <c r="F2470" s="3"/>
      <c r="G2470" s="35"/>
      <c r="H2470" s="35"/>
      <c r="I2470" s="3"/>
      <c r="J2470" s="3"/>
      <c r="K2470" s="3"/>
      <c r="L2470" s="3"/>
      <c r="M2470" s="3"/>
      <c r="N2470" s="3"/>
      <c r="O2470" s="3"/>
      <c r="Q2470" s="3"/>
    </row>
    <row r="2471" spans="1:17">
      <c r="A2471" s="3"/>
      <c r="B2471" s="3"/>
      <c r="C2471" s="3"/>
      <c r="D2471" s="3"/>
      <c r="E2471" s="3"/>
      <c r="F2471" s="3"/>
      <c r="G2471" s="35"/>
      <c r="H2471" s="35"/>
      <c r="I2471" s="3"/>
      <c r="J2471" s="3"/>
      <c r="K2471" s="3"/>
      <c r="L2471" s="3"/>
      <c r="M2471" s="3"/>
      <c r="N2471" s="3"/>
      <c r="O2471" s="3"/>
      <c r="Q2471" s="3"/>
    </row>
    <row r="2472" spans="1:17">
      <c r="A2472" s="3"/>
      <c r="B2472" s="3"/>
      <c r="C2472" s="3"/>
      <c r="D2472" s="3"/>
      <c r="E2472" s="3"/>
      <c r="F2472" s="3"/>
      <c r="G2472" s="35"/>
      <c r="H2472" s="35"/>
      <c r="I2472" s="3"/>
      <c r="J2472" s="3"/>
      <c r="K2472" s="3"/>
      <c r="L2472" s="3"/>
      <c r="M2472" s="3"/>
      <c r="N2472" s="3"/>
      <c r="O2472" s="3"/>
      <c r="Q2472" s="3"/>
    </row>
    <row r="2473" spans="1:17">
      <c r="A2473" s="3"/>
      <c r="B2473" s="3"/>
      <c r="C2473" s="3"/>
      <c r="D2473" s="3"/>
      <c r="E2473" s="3"/>
      <c r="F2473" s="3"/>
      <c r="G2473" s="35"/>
      <c r="H2473" s="35"/>
      <c r="I2473" s="3"/>
      <c r="J2473" s="3"/>
      <c r="K2473" s="3"/>
      <c r="L2473" s="3"/>
      <c r="M2473" s="3"/>
      <c r="N2473" s="3"/>
      <c r="O2473" s="3"/>
      <c r="Q2473" s="3"/>
    </row>
    <row r="2474" spans="1:17">
      <c r="A2474" s="3"/>
      <c r="B2474" s="3"/>
      <c r="C2474" s="3"/>
      <c r="D2474" s="3"/>
      <c r="E2474" s="3"/>
      <c r="F2474" s="3"/>
      <c r="G2474" s="35"/>
      <c r="H2474" s="35"/>
      <c r="I2474" s="3"/>
      <c r="J2474" s="3"/>
      <c r="K2474" s="3"/>
      <c r="L2474" s="3"/>
      <c r="M2474" s="3"/>
      <c r="N2474" s="3"/>
      <c r="O2474" s="3"/>
      <c r="Q2474" s="3"/>
    </row>
    <row r="2475" spans="1:17">
      <c r="A2475" s="3"/>
      <c r="B2475" s="3"/>
      <c r="C2475" s="3"/>
      <c r="D2475" s="3"/>
      <c r="E2475" s="3"/>
      <c r="F2475" s="3"/>
      <c r="G2475" s="35"/>
      <c r="H2475" s="35"/>
      <c r="I2475" s="3"/>
      <c r="J2475" s="3"/>
      <c r="K2475" s="3"/>
      <c r="L2475" s="3"/>
      <c r="M2475" s="3"/>
      <c r="N2475" s="3"/>
      <c r="O2475" s="3"/>
      <c r="Q2475" s="3"/>
    </row>
    <row r="2476" spans="1:17">
      <c r="A2476" s="3"/>
      <c r="B2476" s="3"/>
      <c r="C2476" s="3"/>
      <c r="D2476" s="3"/>
      <c r="E2476" s="3"/>
      <c r="F2476" s="3"/>
      <c r="G2476" s="35"/>
      <c r="H2476" s="35"/>
      <c r="I2476" s="3"/>
      <c r="J2476" s="3"/>
      <c r="K2476" s="3"/>
      <c r="L2476" s="3"/>
      <c r="M2476" s="3"/>
      <c r="N2476" s="3"/>
      <c r="O2476" s="3"/>
      <c r="Q2476" s="3"/>
    </row>
    <row r="2477" spans="1:17">
      <c r="A2477" s="3"/>
      <c r="B2477" s="3"/>
      <c r="C2477" s="3"/>
      <c r="D2477" s="3"/>
      <c r="E2477" s="3"/>
      <c r="F2477" s="3"/>
      <c r="G2477" s="35"/>
      <c r="H2477" s="35"/>
      <c r="I2477" s="3"/>
      <c r="J2477" s="3"/>
      <c r="K2477" s="3"/>
      <c r="L2477" s="3"/>
      <c r="M2477" s="3"/>
      <c r="N2477" s="3"/>
      <c r="O2477" s="3"/>
      <c r="Q2477" s="3"/>
    </row>
    <row r="2478" spans="1:17">
      <c r="A2478" s="3"/>
      <c r="B2478" s="3"/>
      <c r="C2478" s="3"/>
      <c r="D2478" s="3"/>
      <c r="E2478" s="3"/>
      <c r="F2478" s="3"/>
      <c r="G2478" s="35"/>
      <c r="H2478" s="35"/>
      <c r="I2478" s="3"/>
      <c r="J2478" s="3"/>
      <c r="K2478" s="3"/>
      <c r="L2478" s="3"/>
      <c r="M2478" s="3"/>
      <c r="N2478" s="3"/>
      <c r="O2478" s="3"/>
      <c r="Q2478" s="3"/>
    </row>
    <row r="2479" spans="1:17">
      <c r="A2479" s="3"/>
      <c r="B2479" s="3"/>
      <c r="C2479" s="3"/>
      <c r="D2479" s="3"/>
      <c r="E2479" s="3"/>
      <c r="F2479" s="3"/>
      <c r="G2479" s="35"/>
      <c r="H2479" s="35"/>
      <c r="I2479" s="3"/>
      <c r="J2479" s="3"/>
      <c r="K2479" s="3"/>
      <c r="L2479" s="3"/>
      <c r="M2479" s="3"/>
      <c r="N2479" s="3"/>
      <c r="O2479" s="3"/>
      <c r="Q2479" s="3"/>
    </row>
    <row r="2480" spans="1:17">
      <c r="A2480" s="3"/>
      <c r="B2480" s="3"/>
      <c r="C2480" s="3"/>
      <c r="D2480" s="3"/>
      <c r="E2480" s="3"/>
      <c r="F2480" s="3"/>
      <c r="G2480" s="35"/>
      <c r="H2480" s="35"/>
      <c r="I2480" s="3"/>
      <c r="J2480" s="3"/>
      <c r="K2480" s="3"/>
      <c r="L2480" s="3"/>
      <c r="M2480" s="3"/>
      <c r="N2480" s="3"/>
      <c r="O2480" s="3"/>
      <c r="Q2480" s="3"/>
    </row>
    <row r="2481" spans="1:17">
      <c r="A2481" s="3"/>
      <c r="B2481" s="3"/>
      <c r="C2481" s="3"/>
      <c r="D2481" s="3"/>
      <c r="E2481" s="3"/>
      <c r="F2481" s="3"/>
      <c r="G2481" s="35"/>
      <c r="H2481" s="35"/>
      <c r="I2481" s="3"/>
      <c r="J2481" s="3"/>
      <c r="K2481" s="3"/>
      <c r="L2481" s="3"/>
      <c r="M2481" s="3"/>
      <c r="N2481" s="3"/>
      <c r="O2481" s="3"/>
      <c r="Q2481" s="3"/>
    </row>
    <row r="2482" spans="1:17">
      <c r="A2482" s="3"/>
      <c r="B2482" s="3"/>
      <c r="C2482" s="3"/>
      <c r="D2482" s="3"/>
      <c r="E2482" s="3"/>
      <c r="F2482" s="3"/>
      <c r="G2482" s="35"/>
      <c r="H2482" s="35"/>
      <c r="I2482" s="3"/>
      <c r="J2482" s="3"/>
      <c r="K2482" s="3"/>
      <c r="L2482" s="3"/>
      <c r="M2482" s="3"/>
      <c r="N2482" s="3"/>
      <c r="O2482" s="3"/>
      <c r="Q2482" s="3"/>
    </row>
    <row r="2483" spans="1:17">
      <c r="A2483" s="3"/>
      <c r="B2483" s="3"/>
      <c r="C2483" s="3"/>
      <c r="D2483" s="3"/>
      <c r="E2483" s="3"/>
      <c r="F2483" s="3"/>
      <c r="G2483" s="35"/>
      <c r="H2483" s="35"/>
      <c r="I2483" s="3"/>
      <c r="J2483" s="3"/>
      <c r="K2483" s="3"/>
      <c r="L2483" s="3"/>
      <c r="M2483" s="3"/>
      <c r="N2483" s="3"/>
      <c r="O2483" s="3"/>
      <c r="Q2483" s="3"/>
    </row>
    <row r="2484" spans="1:17">
      <c r="A2484" s="3"/>
      <c r="B2484" s="3"/>
      <c r="C2484" s="3"/>
      <c r="D2484" s="3"/>
      <c r="E2484" s="3"/>
      <c r="F2484" s="3"/>
      <c r="G2484" s="35"/>
      <c r="H2484" s="35"/>
      <c r="I2484" s="3"/>
      <c r="J2484" s="3"/>
      <c r="K2484" s="3"/>
      <c r="L2484" s="3"/>
      <c r="M2484" s="3"/>
      <c r="N2484" s="3"/>
      <c r="O2484" s="3"/>
      <c r="Q2484" s="3"/>
    </row>
    <row r="2485" spans="1:17">
      <c r="A2485" s="3"/>
      <c r="B2485" s="3"/>
      <c r="C2485" s="3"/>
      <c r="D2485" s="3"/>
      <c r="E2485" s="3"/>
      <c r="F2485" s="3"/>
      <c r="G2485" s="35"/>
      <c r="H2485" s="35"/>
      <c r="I2485" s="3"/>
      <c r="J2485" s="3"/>
      <c r="K2485" s="3"/>
      <c r="L2485" s="3"/>
      <c r="M2485" s="3"/>
      <c r="N2485" s="3"/>
      <c r="O2485" s="3"/>
      <c r="Q2485" s="3"/>
    </row>
    <row r="2486" spans="1:17">
      <c r="A2486" s="3"/>
      <c r="B2486" s="3"/>
      <c r="C2486" s="3"/>
      <c r="D2486" s="3"/>
      <c r="E2486" s="3"/>
      <c r="F2486" s="3"/>
      <c r="G2486" s="35"/>
      <c r="H2486" s="35"/>
      <c r="I2486" s="3"/>
      <c r="J2486" s="3"/>
      <c r="K2486" s="3"/>
      <c r="L2486" s="3"/>
      <c r="M2486" s="3"/>
      <c r="N2486" s="3"/>
      <c r="O2486" s="3"/>
      <c r="Q2486" s="3"/>
    </row>
    <row r="2487" spans="1:17">
      <c r="A2487" s="3"/>
      <c r="B2487" s="3"/>
      <c r="C2487" s="3"/>
      <c r="D2487" s="3"/>
      <c r="E2487" s="3"/>
      <c r="F2487" s="3"/>
      <c r="G2487" s="35"/>
      <c r="H2487" s="35"/>
      <c r="I2487" s="3"/>
      <c r="J2487" s="3"/>
      <c r="K2487" s="3"/>
      <c r="L2487" s="3"/>
      <c r="M2487" s="3"/>
      <c r="N2487" s="3"/>
      <c r="O2487" s="3"/>
      <c r="Q2487" s="3"/>
    </row>
    <row r="2488" spans="1:17">
      <c r="A2488" s="3"/>
      <c r="B2488" s="3"/>
      <c r="C2488" s="3"/>
      <c r="D2488" s="3"/>
      <c r="E2488" s="3"/>
      <c r="F2488" s="3"/>
      <c r="G2488" s="35"/>
      <c r="H2488" s="35"/>
      <c r="I2488" s="3"/>
      <c r="J2488" s="3"/>
      <c r="K2488" s="3"/>
      <c r="L2488" s="3"/>
      <c r="M2488" s="3"/>
      <c r="N2488" s="3"/>
      <c r="O2488" s="3"/>
      <c r="Q2488" s="3"/>
    </row>
    <row r="2489" spans="1:17">
      <c r="A2489" s="3"/>
      <c r="B2489" s="3"/>
      <c r="C2489" s="3"/>
      <c r="D2489" s="3"/>
      <c r="E2489" s="3"/>
      <c r="F2489" s="3"/>
      <c r="G2489" s="35"/>
      <c r="H2489" s="35"/>
      <c r="I2489" s="3"/>
      <c r="J2489" s="3"/>
      <c r="K2489" s="3"/>
      <c r="L2489" s="3"/>
      <c r="M2489" s="3"/>
      <c r="N2489" s="3"/>
      <c r="O2489" s="3"/>
      <c r="Q2489" s="3"/>
    </row>
    <row r="2490" spans="1:17">
      <c r="A2490" s="3"/>
      <c r="B2490" s="3"/>
      <c r="C2490" s="3"/>
      <c r="D2490" s="3"/>
      <c r="E2490" s="3"/>
      <c r="F2490" s="3"/>
      <c r="G2490" s="35"/>
      <c r="H2490" s="35"/>
      <c r="I2490" s="3"/>
      <c r="J2490" s="3"/>
      <c r="K2490" s="3"/>
      <c r="L2490" s="3"/>
      <c r="M2490" s="3"/>
      <c r="N2490" s="3"/>
      <c r="O2490" s="3"/>
      <c r="Q2490" s="3"/>
    </row>
    <row r="2491" spans="1:17">
      <c r="A2491" s="3"/>
      <c r="B2491" s="3"/>
      <c r="C2491" s="3"/>
      <c r="D2491" s="3"/>
      <c r="E2491" s="3"/>
      <c r="F2491" s="3"/>
      <c r="G2491" s="35"/>
      <c r="H2491" s="35"/>
      <c r="I2491" s="3"/>
      <c r="J2491" s="3"/>
      <c r="K2491" s="3"/>
      <c r="L2491" s="3"/>
      <c r="M2491" s="3"/>
      <c r="N2491" s="3"/>
      <c r="O2491" s="3"/>
      <c r="Q2491" s="3"/>
    </row>
    <row r="2492" spans="1:17">
      <c r="A2492" s="3"/>
      <c r="B2492" s="3"/>
      <c r="C2492" s="3"/>
      <c r="D2492" s="3"/>
      <c r="E2492" s="3"/>
      <c r="F2492" s="3"/>
      <c r="G2492" s="35"/>
      <c r="H2492" s="35"/>
      <c r="I2492" s="3"/>
      <c r="J2492" s="3"/>
      <c r="K2492" s="3"/>
      <c r="L2492" s="3"/>
      <c r="M2492" s="3"/>
      <c r="N2492" s="3"/>
      <c r="O2492" s="3"/>
      <c r="Q2492" s="3"/>
    </row>
    <row r="2493" spans="1:17">
      <c r="A2493" s="3"/>
      <c r="B2493" s="3"/>
      <c r="C2493" s="3"/>
      <c r="D2493" s="3"/>
      <c r="E2493" s="3"/>
      <c r="F2493" s="3"/>
      <c r="G2493" s="35"/>
      <c r="H2493" s="35"/>
      <c r="I2493" s="3"/>
      <c r="J2493" s="3"/>
      <c r="K2493" s="3"/>
      <c r="L2493" s="3"/>
      <c r="M2493" s="3"/>
      <c r="N2493" s="3"/>
      <c r="O2493" s="3"/>
      <c r="Q2493" s="3"/>
    </row>
    <row r="2494" spans="1:17">
      <c r="A2494" s="3"/>
      <c r="B2494" s="3"/>
      <c r="C2494" s="3"/>
      <c r="D2494" s="3"/>
      <c r="E2494" s="3"/>
      <c r="F2494" s="3"/>
      <c r="G2494" s="35"/>
      <c r="H2494" s="35"/>
      <c r="I2494" s="3"/>
      <c r="J2494" s="3"/>
      <c r="K2494" s="3"/>
      <c r="L2494" s="3"/>
      <c r="M2494" s="3"/>
      <c r="N2494" s="3"/>
      <c r="O2494" s="3"/>
      <c r="Q2494" s="3"/>
    </row>
    <row r="2495" spans="1:17">
      <c r="A2495" s="3"/>
      <c r="B2495" s="3"/>
      <c r="C2495" s="3"/>
      <c r="D2495" s="3"/>
      <c r="E2495" s="3"/>
      <c r="F2495" s="3"/>
      <c r="G2495" s="35"/>
      <c r="H2495" s="35"/>
      <c r="I2495" s="3"/>
      <c r="J2495" s="3"/>
      <c r="K2495" s="3"/>
      <c r="L2495" s="3"/>
      <c r="M2495" s="3"/>
      <c r="N2495" s="3"/>
      <c r="O2495" s="3"/>
      <c r="Q2495" s="3"/>
    </row>
    <row r="2496" spans="1:17">
      <c r="A2496" s="3"/>
      <c r="B2496" s="3"/>
      <c r="C2496" s="3"/>
      <c r="D2496" s="3"/>
      <c r="E2496" s="3"/>
      <c r="F2496" s="3"/>
      <c r="G2496" s="35"/>
      <c r="H2496" s="35"/>
      <c r="I2496" s="3"/>
      <c r="J2496" s="3"/>
      <c r="K2496" s="3"/>
      <c r="L2496" s="3"/>
      <c r="M2496" s="3"/>
      <c r="N2496" s="3"/>
      <c r="O2496" s="3"/>
      <c r="Q2496" s="3"/>
    </row>
    <row r="2497" spans="1:17">
      <c r="A2497" s="3"/>
      <c r="B2497" s="3"/>
      <c r="C2497" s="3"/>
      <c r="D2497" s="3"/>
      <c r="E2497" s="3"/>
      <c r="F2497" s="3"/>
      <c r="G2497" s="35"/>
      <c r="H2497" s="35"/>
      <c r="I2497" s="3"/>
      <c r="J2497" s="3"/>
      <c r="K2497" s="3"/>
      <c r="L2497" s="3"/>
      <c r="M2497" s="3"/>
      <c r="N2497" s="3"/>
      <c r="O2497" s="3"/>
      <c r="Q2497" s="3"/>
    </row>
    <row r="2498" spans="1:17">
      <c r="A2498" s="3"/>
      <c r="B2498" s="3"/>
      <c r="C2498" s="3"/>
      <c r="D2498" s="3"/>
      <c r="E2498" s="3"/>
      <c r="F2498" s="3"/>
      <c r="G2498" s="35"/>
      <c r="H2498" s="35"/>
      <c r="I2498" s="3"/>
      <c r="J2498" s="3"/>
      <c r="K2498" s="3"/>
      <c r="L2498" s="3"/>
      <c r="M2498" s="3"/>
      <c r="N2498" s="3"/>
      <c r="O2498" s="3"/>
      <c r="Q2498" s="3"/>
    </row>
    <row r="2499" spans="1:17">
      <c r="A2499" s="3"/>
      <c r="B2499" s="3"/>
      <c r="C2499" s="3"/>
      <c r="D2499" s="3"/>
      <c r="E2499" s="3"/>
      <c r="F2499" s="3"/>
      <c r="G2499" s="35"/>
      <c r="H2499" s="35"/>
      <c r="I2499" s="3"/>
      <c r="J2499" s="3"/>
      <c r="K2499" s="3"/>
      <c r="L2499" s="3"/>
      <c r="M2499" s="3"/>
      <c r="N2499" s="3"/>
      <c r="O2499" s="3"/>
      <c r="Q2499" s="3"/>
    </row>
    <row r="2500" spans="1:17">
      <c r="A2500" s="3"/>
      <c r="B2500" s="3"/>
      <c r="C2500" s="3"/>
      <c r="D2500" s="3"/>
      <c r="E2500" s="3"/>
      <c r="F2500" s="3"/>
      <c r="G2500" s="35"/>
      <c r="H2500" s="35"/>
      <c r="I2500" s="3"/>
      <c r="J2500" s="3"/>
      <c r="K2500" s="3"/>
      <c r="L2500" s="3"/>
      <c r="M2500" s="3"/>
      <c r="N2500" s="3"/>
      <c r="O2500" s="3"/>
      <c r="Q2500" s="3"/>
    </row>
    <row r="2501" spans="1:17">
      <c r="A2501" s="3"/>
      <c r="B2501" s="3"/>
      <c r="C2501" s="3"/>
      <c r="D2501" s="3"/>
      <c r="E2501" s="3"/>
      <c r="F2501" s="3"/>
      <c r="G2501" s="35"/>
      <c r="H2501" s="35"/>
      <c r="I2501" s="3"/>
      <c r="J2501" s="3"/>
      <c r="K2501" s="3"/>
      <c r="L2501" s="3"/>
      <c r="M2501" s="3"/>
      <c r="N2501" s="3"/>
      <c r="O2501" s="3"/>
      <c r="Q2501" s="3"/>
    </row>
    <row r="2502" spans="1:17">
      <c r="A2502" s="3"/>
      <c r="B2502" s="3"/>
      <c r="C2502" s="3"/>
      <c r="D2502" s="3"/>
      <c r="E2502" s="3"/>
      <c r="F2502" s="3"/>
      <c r="G2502" s="35"/>
      <c r="H2502" s="35"/>
      <c r="I2502" s="3"/>
      <c r="J2502" s="3"/>
      <c r="K2502" s="3"/>
      <c r="L2502" s="3"/>
      <c r="M2502" s="3"/>
      <c r="N2502" s="3"/>
      <c r="O2502" s="3"/>
      <c r="Q2502" s="3"/>
    </row>
    <row r="2503" spans="1:17">
      <c r="A2503" s="3"/>
      <c r="B2503" s="3"/>
      <c r="C2503" s="3"/>
      <c r="D2503" s="3"/>
      <c r="E2503" s="3"/>
      <c r="F2503" s="3"/>
      <c r="G2503" s="35"/>
      <c r="H2503" s="35"/>
      <c r="I2503" s="3"/>
      <c r="J2503" s="3"/>
      <c r="K2503" s="3"/>
      <c r="L2503" s="3"/>
      <c r="M2503" s="3"/>
      <c r="N2503" s="3"/>
      <c r="O2503" s="3"/>
      <c r="Q2503" s="3"/>
    </row>
    <row r="2504" spans="1:17">
      <c r="A2504" s="3"/>
      <c r="B2504" s="3"/>
      <c r="C2504" s="3"/>
      <c r="D2504" s="3"/>
      <c r="E2504" s="3"/>
      <c r="F2504" s="3"/>
      <c r="G2504" s="35"/>
      <c r="H2504" s="35"/>
      <c r="I2504" s="3"/>
      <c r="J2504" s="3"/>
      <c r="K2504" s="3"/>
      <c r="L2504" s="3"/>
      <c r="M2504" s="3"/>
      <c r="N2504" s="3"/>
      <c r="O2504" s="3"/>
      <c r="Q2504" s="3"/>
    </row>
    <row r="2505" spans="1:17">
      <c r="A2505" s="3"/>
      <c r="B2505" s="3"/>
      <c r="C2505" s="3"/>
      <c r="D2505" s="3"/>
      <c r="E2505" s="3"/>
      <c r="F2505" s="3"/>
      <c r="G2505" s="35"/>
      <c r="H2505" s="35"/>
      <c r="I2505" s="3"/>
      <c r="J2505" s="3"/>
      <c r="K2505" s="3"/>
      <c r="L2505" s="3"/>
      <c r="M2505" s="3"/>
      <c r="N2505" s="3"/>
      <c r="O2505" s="3"/>
      <c r="Q2505" s="3"/>
    </row>
    <row r="2506" spans="1:17">
      <c r="A2506" s="3"/>
      <c r="B2506" s="3"/>
      <c r="C2506" s="3"/>
      <c r="D2506" s="3"/>
      <c r="E2506" s="3"/>
      <c r="F2506" s="3"/>
      <c r="G2506" s="35"/>
      <c r="H2506" s="35"/>
      <c r="I2506" s="3"/>
      <c r="J2506" s="3"/>
      <c r="K2506" s="3"/>
      <c r="L2506" s="3"/>
      <c r="M2506" s="3"/>
      <c r="N2506" s="3"/>
      <c r="O2506" s="3"/>
      <c r="Q2506" s="3"/>
    </row>
    <row r="2507" spans="1:17">
      <c r="A2507" s="3"/>
      <c r="B2507" s="3"/>
      <c r="C2507" s="3"/>
      <c r="D2507" s="3"/>
      <c r="E2507" s="3"/>
      <c r="F2507" s="3"/>
      <c r="G2507" s="35"/>
      <c r="H2507" s="35"/>
      <c r="I2507" s="3"/>
      <c r="J2507" s="3"/>
      <c r="K2507" s="3"/>
      <c r="L2507" s="3"/>
      <c r="M2507" s="3"/>
      <c r="N2507" s="3"/>
      <c r="O2507" s="3"/>
      <c r="Q2507" s="3"/>
    </row>
    <row r="2508" spans="1:17">
      <c r="A2508" s="3"/>
      <c r="B2508" s="3"/>
      <c r="C2508" s="3"/>
      <c r="D2508" s="3"/>
      <c r="E2508" s="3"/>
      <c r="F2508" s="3"/>
      <c r="G2508" s="35"/>
      <c r="H2508" s="35"/>
      <c r="I2508" s="3"/>
      <c r="J2508" s="3"/>
      <c r="K2508" s="3"/>
      <c r="L2508" s="3"/>
      <c r="M2508" s="3"/>
      <c r="N2508" s="3"/>
      <c r="O2508" s="3"/>
      <c r="Q2508" s="3"/>
    </row>
    <row r="2509" spans="1:17">
      <c r="A2509" s="3"/>
      <c r="B2509" s="3"/>
      <c r="C2509" s="3"/>
      <c r="D2509" s="3"/>
      <c r="E2509" s="3"/>
      <c r="F2509" s="3"/>
      <c r="G2509" s="35"/>
      <c r="H2509" s="35"/>
      <c r="I2509" s="3"/>
      <c r="J2509" s="3"/>
      <c r="K2509" s="3"/>
      <c r="L2509" s="3"/>
      <c r="M2509" s="3"/>
      <c r="N2509" s="3"/>
      <c r="O2509" s="3"/>
      <c r="Q2509" s="3"/>
    </row>
    <row r="2510" spans="1:17">
      <c r="A2510" s="3"/>
      <c r="B2510" s="3"/>
      <c r="C2510" s="3"/>
      <c r="D2510" s="3"/>
      <c r="E2510" s="3"/>
      <c r="F2510" s="3"/>
      <c r="G2510" s="35"/>
      <c r="H2510" s="35"/>
      <c r="I2510" s="3"/>
      <c r="J2510" s="3"/>
      <c r="K2510" s="3"/>
      <c r="L2510" s="3"/>
      <c r="M2510" s="3"/>
      <c r="N2510" s="3"/>
      <c r="O2510" s="3"/>
      <c r="Q2510" s="3"/>
    </row>
    <row r="2511" spans="1:17">
      <c r="A2511" s="3"/>
      <c r="B2511" s="3"/>
      <c r="C2511" s="3"/>
      <c r="D2511" s="3"/>
      <c r="E2511" s="3"/>
      <c r="F2511" s="3"/>
      <c r="G2511" s="35"/>
      <c r="H2511" s="35"/>
      <c r="I2511" s="3"/>
      <c r="J2511" s="3"/>
      <c r="K2511" s="3"/>
      <c r="L2511" s="3"/>
      <c r="M2511" s="3"/>
      <c r="N2511" s="3"/>
      <c r="O2511" s="3"/>
      <c r="Q2511" s="3"/>
    </row>
    <row r="2512" spans="1:17">
      <c r="A2512" s="3"/>
      <c r="B2512" s="3"/>
      <c r="C2512" s="3"/>
      <c r="D2512" s="3"/>
      <c r="E2512" s="3"/>
      <c r="F2512" s="3"/>
      <c r="G2512" s="35"/>
      <c r="H2512" s="35"/>
      <c r="I2512" s="3"/>
      <c r="J2512" s="3"/>
      <c r="K2512" s="3"/>
      <c r="L2512" s="3"/>
      <c r="M2512" s="3"/>
      <c r="N2512" s="3"/>
      <c r="O2512" s="3"/>
      <c r="Q2512" s="3"/>
    </row>
    <row r="2513" spans="1:17">
      <c r="A2513" s="3"/>
      <c r="B2513" s="3"/>
      <c r="C2513" s="3"/>
      <c r="D2513" s="3"/>
      <c r="E2513" s="3"/>
      <c r="F2513" s="3"/>
      <c r="G2513" s="35"/>
      <c r="H2513" s="35"/>
      <c r="I2513" s="3"/>
      <c r="J2513" s="3"/>
      <c r="K2513" s="3"/>
      <c r="L2513" s="3"/>
      <c r="M2513" s="3"/>
      <c r="N2513" s="3"/>
      <c r="O2513" s="3"/>
      <c r="Q2513" s="3"/>
    </row>
    <row r="2514" spans="1:17">
      <c r="A2514" s="3"/>
      <c r="B2514" s="3"/>
      <c r="C2514" s="3"/>
      <c r="D2514" s="3"/>
      <c r="E2514" s="3"/>
      <c r="F2514" s="3"/>
      <c r="G2514" s="35"/>
      <c r="H2514" s="35"/>
      <c r="I2514" s="3"/>
      <c r="J2514" s="3"/>
      <c r="K2514" s="3"/>
      <c r="L2514" s="3"/>
      <c r="M2514" s="3"/>
      <c r="N2514" s="3"/>
      <c r="O2514" s="3"/>
      <c r="Q2514" s="3"/>
    </row>
    <row r="2515" spans="1:17">
      <c r="A2515" s="3"/>
      <c r="B2515" s="3"/>
      <c r="C2515" s="3"/>
      <c r="D2515" s="3"/>
      <c r="E2515" s="3"/>
      <c r="F2515" s="3"/>
      <c r="G2515" s="35"/>
      <c r="H2515" s="35"/>
      <c r="I2515" s="3"/>
      <c r="J2515" s="3"/>
      <c r="K2515" s="3"/>
      <c r="L2515" s="3"/>
      <c r="M2515" s="3"/>
      <c r="N2515" s="3"/>
      <c r="O2515" s="3"/>
      <c r="Q2515" s="3"/>
    </row>
    <row r="2516" spans="1:17">
      <c r="A2516" s="3"/>
      <c r="B2516" s="3"/>
      <c r="C2516" s="3"/>
      <c r="D2516" s="3"/>
      <c r="E2516" s="3"/>
      <c r="F2516" s="3"/>
      <c r="G2516" s="35"/>
      <c r="H2516" s="35"/>
      <c r="I2516" s="3"/>
      <c r="J2516" s="3"/>
      <c r="K2516" s="3"/>
      <c r="L2516" s="3"/>
      <c r="M2516" s="3"/>
      <c r="N2516" s="3"/>
      <c r="O2516" s="3"/>
      <c r="Q2516" s="3"/>
    </row>
    <row r="2517" spans="1:17">
      <c r="A2517" s="3"/>
      <c r="B2517" s="3"/>
      <c r="C2517" s="3"/>
      <c r="D2517" s="3"/>
      <c r="E2517" s="3"/>
      <c r="F2517" s="3"/>
      <c r="G2517" s="35"/>
      <c r="H2517" s="35"/>
      <c r="I2517" s="3"/>
      <c r="J2517" s="3"/>
      <c r="K2517" s="3"/>
      <c r="L2517" s="3"/>
      <c r="M2517" s="3"/>
      <c r="N2517" s="3"/>
      <c r="O2517" s="3"/>
      <c r="Q2517" s="3"/>
    </row>
    <row r="2518" spans="1:17">
      <c r="A2518" s="3"/>
      <c r="B2518" s="3"/>
      <c r="C2518" s="3"/>
      <c r="D2518" s="3"/>
      <c r="E2518" s="3"/>
      <c r="F2518" s="3"/>
      <c r="G2518" s="35"/>
      <c r="H2518" s="35"/>
      <c r="I2518" s="3"/>
      <c r="J2518" s="3"/>
      <c r="K2518" s="3"/>
      <c r="L2518" s="3"/>
      <c r="M2518" s="3"/>
      <c r="N2518" s="3"/>
      <c r="O2518" s="3"/>
      <c r="Q2518" s="3"/>
    </row>
    <row r="2519" spans="1:17">
      <c r="A2519" s="3"/>
      <c r="B2519" s="3"/>
      <c r="C2519" s="3"/>
      <c r="D2519" s="3"/>
      <c r="E2519" s="3"/>
      <c r="F2519" s="3"/>
      <c r="G2519" s="35"/>
      <c r="H2519" s="35"/>
      <c r="I2519" s="3"/>
      <c r="J2519" s="3"/>
      <c r="K2519" s="3"/>
      <c r="L2519" s="3"/>
      <c r="M2519" s="3"/>
      <c r="N2519" s="3"/>
      <c r="O2519" s="3"/>
      <c r="Q2519" s="3"/>
    </row>
    <row r="2520" spans="1:17">
      <c r="A2520" s="3"/>
      <c r="B2520" s="3"/>
      <c r="C2520" s="3"/>
      <c r="D2520" s="3"/>
      <c r="E2520" s="3"/>
      <c r="F2520" s="3"/>
      <c r="G2520" s="35"/>
      <c r="H2520" s="35"/>
      <c r="I2520" s="3"/>
      <c r="J2520" s="3"/>
      <c r="K2520" s="3"/>
      <c r="L2520" s="3"/>
      <c r="M2520" s="3"/>
      <c r="N2520" s="3"/>
      <c r="O2520" s="3"/>
      <c r="Q2520" s="3"/>
    </row>
    <row r="2521" spans="1:17">
      <c r="A2521" s="3"/>
      <c r="B2521" s="3"/>
      <c r="C2521" s="3"/>
      <c r="D2521" s="3"/>
      <c r="E2521" s="3"/>
      <c r="F2521" s="3"/>
      <c r="G2521" s="35"/>
      <c r="H2521" s="35"/>
      <c r="I2521" s="3"/>
      <c r="J2521" s="3"/>
      <c r="K2521" s="3"/>
      <c r="L2521" s="3"/>
      <c r="M2521" s="3"/>
      <c r="N2521" s="3"/>
      <c r="O2521" s="3"/>
      <c r="Q2521" s="3"/>
    </row>
    <row r="2522" spans="1:17">
      <c r="A2522" s="3"/>
      <c r="B2522" s="3"/>
      <c r="C2522" s="3"/>
      <c r="D2522" s="3"/>
      <c r="E2522" s="3"/>
      <c r="F2522" s="3"/>
      <c r="G2522" s="35"/>
      <c r="H2522" s="35"/>
      <c r="I2522" s="3"/>
      <c r="J2522" s="3"/>
      <c r="K2522" s="3"/>
      <c r="L2522" s="3"/>
      <c r="M2522" s="3"/>
      <c r="N2522" s="3"/>
      <c r="O2522" s="3"/>
      <c r="Q2522" s="3"/>
    </row>
    <row r="2523" spans="1:17">
      <c r="A2523" s="3"/>
      <c r="B2523" s="3"/>
      <c r="C2523" s="3"/>
      <c r="D2523" s="3"/>
      <c r="E2523" s="3"/>
      <c r="F2523" s="3"/>
      <c r="G2523" s="35"/>
      <c r="H2523" s="35"/>
      <c r="I2523" s="3"/>
      <c r="J2523" s="3"/>
      <c r="K2523" s="3"/>
      <c r="L2523" s="3"/>
      <c r="M2523" s="3"/>
      <c r="N2523" s="3"/>
      <c r="O2523" s="3"/>
      <c r="Q2523" s="3"/>
    </row>
    <row r="2524" spans="1:17">
      <c r="A2524" s="3"/>
      <c r="B2524" s="3"/>
      <c r="C2524" s="3"/>
      <c r="D2524" s="3"/>
      <c r="E2524" s="3"/>
      <c r="F2524" s="3"/>
      <c r="G2524" s="35"/>
      <c r="H2524" s="35"/>
      <c r="I2524" s="3"/>
      <c r="J2524" s="3"/>
      <c r="K2524" s="3"/>
      <c r="L2524" s="3"/>
      <c r="M2524" s="3"/>
      <c r="N2524" s="3"/>
      <c r="O2524" s="3"/>
      <c r="Q2524" s="3"/>
    </row>
    <row r="2525" spans="1:17">
      <c r="A2525" s="3"/>
      <c r="B2525" s="3"/>
      <c r="C2525" s="3"/>
      <c r="D2525" s="3"/>
      <c r="E2525" s="3"/>
      <c r="F2525" s="3"/>
      <c r="G2525" s="35"/>
      <c r="H2525" s="35"/>
      <c r="I2525" s="3"/>
      <c r="J2525" s="3"/>
      <c r="K2525" s="3"/>
      <c r="L2525" s="3"/>
      <c r="M2525" s="3"/>
      <c r="N2525" s="3"/>
      <c r="O2525" s="3"/>
      <c r="Q2525" s="3"/>
    </row>
    <row r="2526" spans="1:17">
      <c r="A2526" s="3"/>
      <c r="B2526" s="3"/>
      <c r="C2526" s="3"/>
      <c r="D2526" s="3"/>
      <c r="E2526" s="3"/>
      <c r="F2526" s="3"/>
      <c r="G2526" s="35"/>
      <c r="H2526" s="35"/>
      <c r="I2526" s="3"/>
      <c r="J2526" s="3"/>
      <c r="K2526" s="3"/>
      <c r="L2526" s="3"/>
      <c r="M2526" s="3"/>
      <c r="N2526" s="3"/>
      <c r="O2526" s="3"/>
      <c r="Q2526" s="3"/>
    </row>
    <row r="2527" spans="1:17">
      <c r="A2527" s="3"/>
      <c r="B2527" s="3"/>
      <c r="C2527" s="3"/>
      <c r="D2527" s="3"/>
      <c r="E2527" s="3"/>
      <c r="F2527" s="3"/>
      <c r="G2527" s="35"/>
      <c r="H2527" s="35"/>
      <c r="I2527" s="3"/>
      <c r="J2527" s="3"/>
      <c r="K2527" s="3"/>
      <c r="L2527" s="3"/>
      <c r="M2527" s="3"/>
      <c r="N2527" s="3"/>
      <c r="O2527" s="3"/>
      <c r="Q2527" s="3"/>
    </row>
    <row r="2528" spans="1:17">
      <c r="A2528" s="3"/>
      <c r="B2528" s="3"/>
      <c r="C2528" s="3"/>
      <c r="D2528" s="3"/>
      <c r="E2528" s="3"/>
      <c r="F2528" s="3"/>
      <c r="G2528" s="35"/>
      <c r="H2528" s="35"/>
      <c r="I2528" s="3"/>
      <c r="J2528" s="3"/>
      <c r="K2528" s="3"/>
      <c r="L2528" s="3"/>
      <c r="M2528" s="3"/>
      <c r="N2528" s="3"/>
      <c r="O2528" s="3"/>
      <c r="Q2528" s="3"/>
    </row>
    <row r="2529" spans="1:17">
      <c r="A2529" s="3"/>
      <c r="B2529" s="3"/>
      <c r="C2529" s="3"/>
      <c r="D2529" s="3"/>
      <c r="E2529" s="3"/>
      <c r="F2529" s="3"/>
      <c r="G2529" s="35"/>
      <c r="H2529" s="35"/>
      <c r="I2529" s="3"/>
      <c r="J2529" s="3"/>
      <c r="K2529" s="3"/>
      <c r="L2529" s="3"/>
      <c r="M2529" s="3"/>
      <c r="N2529" s="3"/>
      <c r="O2529" s="3"/>
      <c r="Q2529" s="3"/>
    </row>
  </sheetData>
  <autoFilter ref="A7:Y2183"/>
  <dataConsolidate/>
  <mergeCells count="30">
    <mergeCell ref="P170:P172"/>
    <mergeCell ref="P109:P125"/>
    <mergeCell ref="P127:P131"/>
    <mergeCell ref="P132:P152"/>
    <mergeCell ref="P153:P156"/>
    <mergeCell ref="P157:P160"/>
    <mergeCell ref="P162:P165"/>
    <mergeCell ref="A2:B3"/>
    <mergeCell ref="J3:L3"/>
    <mergeCell ref="I4:I7"/>
    <mergeCell ref="P1:P7"/>
    <mergeCell ref="A1:I1"/>
    <mergeCell ref="A4:A6"/>
    <mergeCell ref="B4:B6"/>
    <mergeCell ref="C4:C6"/>
    <mergeCell ref="G3:H3"/>
    <mergeCell ref="D4:E5"/>
    <mergeCell ref="F4:F5"/>
    <mergeCell ref="G4:H5"/>
    <mergeCell ref="P185:P188"/>
    <mergeCell ref="P190:P192"/>
    <mergeCell ref="P194:P200"/>
    <mergeCell ref="P202:P219"/>
    <mergeCell ref="P221:P241"/>
    <mergeCell ref="P374:P375"/>
    <mergeCell ref="P456:P457"/>
    <mergeCell ref="P488:P489"/>
    <mergeCell ref="P246:P249"/>
    <mergeCell ref="P250:P253"/>
    <mergeCell ref="P254:P259"/>
  </mergeCells>
  <dataValidations count="3">
    <dataValidation type="list" allowBlank="1" showInputMessage="1" showErrorMessage="1" sqref="L347:L348 K2185:K1048576 L2096 K327:L327 L2184:L1048576 K1:K9 L260 L1905:L2088 L1704 L1852 L1717 L1740 L1781 L1829 L1707 L1710 L1712 L1723 L1726 L1732 L1747 L1750 L1752 L1757 L1762:L1763 L1766 L1768:L1769 L1773 L1787 L1791 L1794 L1796 L1798 L1800 L1812 L1819 L1825 L1827 L1835 L1842 L1848 L1850 L1860 L1864 L1868:L1869 L1872 L1876 L1879:L1880 L1884 L1890:L1891 L1895 L1901 L1857 L1754 L1714 L1728 L1676 L1680 L1683 L1687 L1689 L1347:L1361 L1449:L1672">
      <formula1>#REF!</formula1>
    </dataValidation>
    <dataValidation type="list" allowBlank="1" showInputMessage="1" showErrorMessage="1" sqref="J2184:J1048576">
      <formula1>$B$4:$B$10</formula1>
    </dataValidation>
    <dataValidation type="list" allowBlank="1" showInputMessage="1" showErrorMessage="1" sqref="J327">
      <formula1>$B$4:$B$9</formula1>
    </dataValidation>
  </dataValidations>
  <pageMargins left="0.4" right="0" top="0.28000000000000003" bottom="0" header="0.1" footer="0"/>
  <pageSetup paperSize="8" scale="85" fitToHeight="0" orientation="landscape" horizontalDpi="4294967295" verticalDpi="4294967295"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14:formula1>
            <xm:f>Mã!$D$4:$D$6</xm:f>
          </x14:formula1>
          <xm:sqref>L530 L1:L10 L1229 L872:L911 L88:L95</xm:sqref>
        </x14:dataValidation>
        <x14:dataValidation type="list" allowBlank="1" showInputMessage="1" showErrorMessage="1">
          <x14:formula1>
            <xm:f>'D:\6. QHDC TT VIET NAM\TT KTTC\2024\Ket qua\Cac mang\[Masterlist 2024-2025 co Thue - Phi Gui cac mang...............xlsx]Mã'!#REF!</xm:f>
          </x14:formula1>
          <xm:sqref>L531 L615 L570 L577 L1111:L1142 L1254:L1346 L261:L326 L418:L512 L923:L1044 L2089:L2095 L328:L346 L1062:L1108 L665:L749 L830:L831 L349:L416 L519</xm:sqref>
        </x14:dataValidation>
        <x14:dataValidation type="list" allowBlank="1" showInputMessage="1" showErrorMessage="1">
          <x14:formula1>
            <xm:f>Mã!$B$4:$B$13</xm:f>
          </x14:formula1>
          <xm:sqref>J2155:J2159 J2161 J1:J11 J2163:J2171 J2173:J2174 J2177:J2183 J2150:J2151 J260 J347 J2112 J2099:J2100 J2102 J1905:J2096 J2114:J2115 J2119:J2121 J2123 J2125:J2131 J2133:J2134 J2137:J2138 J2140 J2142:J2148 J2104:J2110 J22:J95 J441:J511 J520:J1347 J513:J518</xm:sqref>
        </x14:dataValidation>
        <x14:dataValidation type="list" allowBlank="1" showInputMessage="1" showErrorMessage="1">
          <x14:formula1>
            <xm:f>'D:\6. QHDC TT VIET NAM\TT KTTC\2025\Ket qua\Cac mang\TD\14122024\[IP_WDM_Copy of Masterlist 2025-2026 co Thue - Phi (theo PA2)_Cap quang_14_Dec_2024 (2).xlsx]Mã'!#REF!</xm:f>
          </x14:formula1>
          <xm:sqref>L870:L871 J2160 J2162 J2172 J2152:J2154 L1045:L1061 J2175:J2176 L1151:L1228 J2097:J2098 J2101 J2103 J2113 J2116:J2118 J2122 J2124 J2132 J2135:J2136 J2139 J2141 J2149 L616:L664 L1109:L1110 L1143:L1147 L1230:L1253 L571:L576 L2097:L2183 J2111 L787:L829 L832 L912:L922</xm:sqref>
        </x14:dataValidation>
        <x14:dataValidation type="list" allowBlank="1" showInputMessage="1" showErrorMessage="1">
          <x14:formula1>
            <xm:f>'D:\6. QHDC TT VIET NAM\TT KTTC\2024\Ket qua\Tong hop\PDF\[Masterlist 2024-2025 co Thue - Phi (20122023).xlsx]Mã'!#REF!</xm:f>
          </x14:formula1>
          <xm:sqref>L11 L22:L87</xm:sqref>
        </x14:dataValidation>
        <x14:dataValidation type="list" allowBlank="1" showInputMessage="1" showErrorMessage="1">
          <x14:formula1>
            <xm:f>'D:\6. QHDC TT VIET NAM\TT KTTC\2025\Ket qua\Cac mang\VT\[QHTKVT_Masterlist 2025-2026 co Thue - Phi (theo PA2) gui cac mang.xlsx]Mã'!#REF!</xm:f>
          </x14:formula1>
          <xm:sqref>L12:L21 J12:J21</xm:sqref>
        </x14:dataValidation>
        <x14:dataValidation type="list" allowBlank="1" showInputMessage="1" showErrorMessage="1">
          <x14:formula1>
            <xm:f>Mã!$C$4:$C$33</xm:f>
          </x14:formula1>
          <xm:sqref>K10:K95 K260 K347 K1905:K2184 K354:K355 K513:K518 K494:K504 K491:K492 K488:K489 K484:K486 K470:K480 K467:K468 K464 K459:K462 K456:K457 K452:K454 K448:K449 K443:K444 K506:K511 K520:K1347</xm:sqref>
        </x14:dataValidation>
        <x14:dataValidation type="list" allowBlank="1" showInputMessage="1" showErrorMessage="1">
          <x14:formula1>
            <xm:f>'E:\work\2026\QHDC thi truong\MVT\Ket qua\masterlist\[Master list QHDC 2027_2028_ML_0809.xlsx]Mã'!#REF!</xm:f>
          </x14:formula1>
          <xm:sqref>J96:L96</xm:sqref>
        </x14:dataValidation>
        <x14:dataValidation type="list" allowBlank="1" showInputMessage="1" showErrorMessage="1">
          <x14:formula1>
            <xm:f>'https://d.docs.live.net/0ef064afb5ff4b56/VT/1.Quy Hoach ML/QHĐC Mozambique/QHDC MOV 2027 2028/[Master list QHDC 2027_2028_ML_0809.xlsx]Mã'!#REF!</xm:f>
          </x14:formula1>
          <xm:sqref>J97:L259</xm:sqref>
        </x14:dataValidation>
        <x14:dataValidation type="list" allowBlank="1" showInputMessage="1" showErrorMessage="1">
          <x14:formula1>
            <xm:f>'E:\work\2026\QHDC thi truong\MVT\Ket qua\masterlist\[Master list 2027_2028_CDBR_1209.xlsx]Mã'!#REF!</xm:f>
          </x14:formula1>
          <xm:sqref>J261:K326 J328:K329</xm:sqref>
        </x14:dataValidation>
        <x14:dataValidation type="list" allowBlank="1" showInputMessage="1" showErrorMessage="1">
          <x14:formula1>
            <xm:f>'E:\work\2026\QHDC thi truong\MVT\Ket qua\masterlist\[Masterlist 2027-2028_CNTT_1209.xlsx]Mã'!#REF!</xm:f>
          </x14:formula1>
          <xm:sqref>L417 J519:K519 J512:K512 K505 K493 K445:K447 K490 K487 K481:K483 K469 K465:K466 K463 K458 K455 K450:K451 J348:J440 K348:K353 K356:K442</xm:sqref>
        </x14:dataValidation>
        <x14:dataValidation type="list" allowBlank="1" showInputMessage="1" showErrorMessage="1">
          <x14:formula1>
            <xm:f>'E:\work\2026\QHDC thi truong\Burundi\Ket qua\Masterlist\[Masterlist 2027-2028 (Gui cac mang)_BRCD_1709.xlsx]Mã'!#REF!</xm:f>
          </x14:formula1>
          <xm:sqref>J330:K346</xm:sqref>
        </x14:dataValidation>
        <x14:dataValidation type="list" allowBlank="1" showInputMessage="1" showErrorMessage="1">
          <x14:formula1>
            <xm:f>'E:\work\2026\QHDC thi truong\Burundi\Ket qua\Masterlist\[Masterlist 2027-2028 (Gui cac mang)_CD_1709.xlsx]Mã'!#REF!</xm:f>
          </x14:formula1>
          <xm:sqref>J1704:K1704 J1707:K1904</xm:sqref>
        </x14:dataValidation>
        <x14:dataValidation type="list" allowBlank="1" showInputMessage="1" showErrorMessage="1">
          <x14:formula1>
            <xm:f>'D:\6. QHDC TT VIET NAM\TT KTTC\2025\Ket qua\Cac mang\CĐ\16122024\[Masterlist 2025-2026 co Thue - Phi (theo PA2) gui cac mang_16Dec.xlsx]Mã'!#REF!</xm:f>
          </x14:formula1>
          <xm:sqref>L1708:L1709 L1711 L1713 L1715:L1716 L1718:L1721 L1724:L1725 L1727 L1729:L1731 L1853:L1855 L1741:L1744 L1748:L1749 L1751 L1753 L1755:L1756 L1758:L1761 L1764:L1765 L1767 L1770:L1772 L1902:L1904 L1782:L1785 L1788:L1790 L1792:L1793 L1795 L1797 L1799 L1885:L1889 L1811 L1813:L1818 L1733:L1739 L1826 L1828 L1834 L1836:L1841 L1820:L1824 L1849 L1851 L1858:L1859 L1861:L1863 L1870:L1871 L1873:L1875 L1877:L1878 L1881:L1883 L1892:L1894 L1843:L1847 L1865:L1867 L1830:L1832 L1801:L1809 L1896:L1900 L1774:L1780</xm:sqref>
        </x14:dataValidation>
        <x14:dataValidation type="list" allowBlank="1" showInputMessage="1" showErrorMessage="1">
          <x14:formula1>
            <xm:f>'E:\work\2026\QHDC thi truong\Burundi\Ket qua\Masterlist\[Masterlist 2027-2028 (Gui cac mang)_CD_1909.xlsx]Mã'!#REF!</xm:f>
          </x14:formula1>
          <xm:sqref>L1673:L1675 L1677:L1679 L1681:L1682 L1684:L1686 L1690:L1701 L1688 L1362:L1448 J1348:K1701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outlinePr summaryBelow="0" summaryRight="0"/>
  </sheetPr>
  <dimension ref="A1:AI52"/>
  <sheetViews>
    <sheetView zoomScale="90" zoomScaleNormal="90" workbookViewId="0">
      <pane xSplit="3" ySplit="4" topLeftCell="Y5" activePane="bottomRight" state="frozen"/>
      <selection pane="topRight" activeCell="D1" sqref="D1"/>
      <selection pane="bottomLeft" activeCell="A5" sqref="A5"/>
      <selection pane="bottomRight" activeCell="AE9" sqref="AE9"/>
    </sheetView>
  </sheetViews>
  <sheetFormatPr defaultColWidth="8.7265625" defaultRowHeight="13" outlineLevelRow="1" outlineLevelCol="2"/>
  <cols>
    <col min="1" max="1" width="3.54296875" style="3" bestFit="1" customWidth="1"/>
    <col min="2" max="2" width="26.453125" style="3" customWidth="1"/>
    <col min="3" max="3" width="9.26953125" style="5" customWidth="1" outlineLevel="1" collapsed="1"/>
    <col min="4" max="4" width="6.08984375" style="3" hidden="1" customWidth="1" outlineLevel="2"/>
    <col min="5" max="5" width="7.1796875" style="3" hidden="1" customWidth="1" outlineLevel="2"/>
    <col min="6" max="6" width="7.6328125" style="3" hidden="1" customWidth="1" outlineLevel="2"/>
    <col min="7" max="7" width="6.08984375" style="3" hidden="1" customWidth="1" outlineLevel="2"/>
    <col min="8" max="8" width="4.81640625" style="3" hidden="1" customWidth="1" outlineLevel="2"/>
    <col min="9" max="9" width="5.453125" style="3" hidden="1" customWidth="1" outlineLevel="2"/>
    <col min="10" max="10" width="4.81640625" style="3" hidden="1" customWidth="1" outlineLevel="2"/>
    <col min="11" max="11" width="6.36328125" style="3" hidden="1" customWidth="1" outlineLevel="2"/>
    <col min="12" max="12" width="7.90625" style="3" hidden="1" customWidth="1" outlineLevel="2"/>
    <col min="13" max="13" width="8.453125" style="11" hidden="1" customWidth="1" outlineLevel="1"/>
    <col min="14" max="14" width="5.6328125" style="3" hidden="1" customWidth="1" outlineLevel="1" collapsed="1"/>
    <col min="15" max="15" width="5.6328125" style="3" hidden="1" customWidth="1" outlineLevel="2"/>
    <col min="16" max="16" width="7.1796875" style="3" hidden="1" customWidth="1" outlineLevel="2"/>
    <col min="17" max="17" width="7.08984375" style="3" hidden="1" customWidth="1" outlineLevel="2"/>
    <col min="18" max="18" width="6.36328125" style="3" hidden="1" customWidth="1" outlineLevel="2"/>
    <col min="19" max="19" width="4.6328125" style="3" hidden="1" customWidth="1" outlineLevel="2"/>
    <col min="20" max="21" width="4.81640625" style="3" hidden="1" customWidth="1" outlineLevel="2"/>
    <col min="22" max="22" width="6.36328125" style="3" hidden="1" customWidth="1" outlineLevel="2"/>
    <col min="23" max="23" width="7.7265625" style="3" hidden="1" customWidth="1" outlineLevel="2"/>
    <col min="24" max="24" width="24.90625" style="3" hidden="1" customWidth="1"/>
    <col min="25" max="25" width="8.7265625" style="5"/>
    <col min="26" max="26" width="8.6328125" style="3" customWidth="1"/>
    <col min="27" max="27" width="7.1796875" style="3" bestFit="1" customWidth="1"/>
    <col min="28" max="34" width="8.7265625" style="3"/>
    <col min="35" max="35" width="24.90625" style="3" customWidth="1"/>
    <col min="36" max="16384" width="8.7265625" style="3"/>
  </cols>
  <sheetData>
    <row r="1" spans="1:35">
      <c r="D1" s="24">
        <v>1000000</v>
      </c>
      <c r="H1" s="57"/>
      <c r="I1" s="57"/>
      <c r="R1" s="57"/>
      <c r="S1" s="57"/>
      <c r="X1" s="11"/>
      <c r="AI1" s="11"/>
    </row>
    <row r="2" spans="1:35" ht="13.15" customHeight="1">
      <c r="A2" s="61" t="s">
        <v>79</v>
      </c>
      <c r="B2" s="9" t="s">
        <v>71</v>
      </c>
      <c r="C2" s="25" t="s">
        <v>131</v>
      </c>
      <c r="D2" s="765" t="s">
        <v>284</v>
      </c>
      <c r="E2" s="766"/>
      <c r="F2" s="766"/>
      <c r="G2" s="766"/>
      <c r="H2" s="766"/>
      <c r="I2" s="766"/>
      <c r="J2" s="766"/>
      <c r="K2" s="766"/>
      <c r="L2" s="766"/>
      <c r="M2" s="767"/>
      <c r="N2" s="770" t="s">
        <v>285</v>
      </c>
      <c r="O2" s="771"/>
      <c r="P2" s="771"/>
      <c r="Q2" s="771"/>
      <c r="R2" s="771"/>
      <c r="S2" s="771"/>
      <c r="T2" s="771"/>
      <c r="U2" s="771"/>
      <c r="V2" s="771"/>
      <c r="W2" s="772"/>
      <c r="X2" s="768" t="s">
        <v>761</v>
      </c>
      <c r="Y2" s="765" t="s">
        <v>1542</v>
      </c>
      <c r="Z2" s="766"/>
      <c r="AA2" s="766"/>
      <c r="AB2" s="766"/>
      <c r="AC2" s="766"/>
      <c r="AD2" s="766"/>
      <c r="AE2" s="766"/>
      <c r="AF2" s="766"/>
      <c r="AG2" s="766"/>
      <c r="AH2" s="767"/>
      <c r="AI2" s="768" t="s">
        <v>761</v>
      </c>
    </row>
    <row r="3" spans="1:35" ht="39">
      <c r="A3" s="61"/>
      <c r="B3" s="9" t="s">
        <v>77</v>
      </c>
      <c r="C3" s="23" t="s">
        <v>75</v>
      </c>
      <c r="D3" s="53" t="s">
        <v>7</v>
      </c>
      <c r="E3" s="53" t="s">
        <v>18</v>
      </c>
      <c r="F3" s="53" t="s">
        <v>29</v>
      </c>
      <c r="G3" s="53" t="s">
        <v>38</v>
      </c>
      <c r="H3" s="53" t="s">
        <v>32</v>
      </c>
      <c r="I3" s="53" t="s">
        <v>21</v>
      </c>
      <c r="J3" s="53" t="s">
        <v>6</v>
      </c>
      <c r="K3" s="53" t="s">
        <v>10</v>
      </c>
      <c r="L3" s="54" t="s">
        <v>72</v>
      </c>
      <c r="M3" s="53" t="s">
        <v>73</v>
      </c>
      <c r="N3" s="55" t="s">
        <v>7</v>
      </c>
      <c r="O3" s="55" t="s">
        <v>18</v>
      </c>
      <c r="P3" s="55" t="s">
        <v>29</v>
      </c>
      <c r="Q3" s="55" t="s">
        <v>38</v>
      </c>
      <c r="R3" s="55" t="s">
        <v>32</v>
      </c>
      <c r="S3" s="55" t="s">
        <v>21</v>
      </c>
      <c r="T3" s="55" t="s">
        <v>6</v>
      </c>
      <c r="U3" s="55" t="s">
        <v>10</v>
      </c>
      <c r="V3" s="56" t="s">
        <v>72</v>
      </c>
      <c r="W3" s="55" t="s">
        <v>73</v>
      </c>
      <c r="X3" s="769"/>
      <c r="Y3" s="53" t="s">
        <v>7</v>
      </c>
      <c r="Z3" s="53" t="s">
        <v>18</v>
      </c>
      <c r="AA3" s="53" t="s">
        <v>29</v>
      </c>
      <c r="AB3" s="53" t="s">
        <v>38</v>
      </c>
      <c r="AC3" s="53" t="s">
        <v>32</v>
      </c>
      <c r="AD3" s="53" t="s">
        <v>21</v>
      </c>
      <c r="AE3" s="53" t="s">
        <v>6</v>
      </c>
      <c r="AF3" s="53" t="s">
        <v>10</v>
      </c>
      <c r="AG3" s="54" t="s">
        <v>72</v>
      </c>
      <c r="AH3" s="53" t="s">
        <v>73</v>
      </c>
      <c r="AI3" s="769"/>
    </row>
    <row r="4" spans="1:35" s="20" customFormat="1" outlineLevel="1">
      <c r="A4" s="75" t="s">
        <v>80</v>
      </c>
      <c r="B4" s="75" t="s">
        <v>72</v>
      </c>
      <c r="C4" s="14"/>
      <c r="D4" s="320">
        <f t="shared" ref="D4:K4" si="0">SUBTOTAL(9,D6:D35)</f>
        <v>8.2204683746071563</v>
      </c>
      <c r="E4" s="320">
        <f t="shared" si="0"/>
        <v>4.9719707771428574</v>
      </c>
      <c r="F4" s="320">
        <f t="shared" si="0"/>
        <v>0.41670820260526314</v>
      </c>
      <c r="G4" s="320">
        <f t="shared" si="0"/>
        <v>5.0310211999999996</v>
      </c>
      <c r="H4" s="320">
        <f t="shared" si="0"/>
        <v>3.7419479999999998</v>
      </c>
      <c r="I4" s="320">
        <f t="shared" si="0"/>
        <v>1.4899959285714286</v>
      </c>
      <c r="J4" s="320">
        <f t="shared" si="0"/>
        <v>5.4738317949999997</v>
      </c>
      <c r="K4" s="320">
        <f t="shared" si="0"/>
        <v>2.8569623980609413</v>
      </c>
      <c r="L4" s="320">
        <f>SUBTOTAL(9,L6:L35)</f>
        <v>32.202906675987649</v>
      </c>
      <c r="M4" s="104"/>
      <c r="N4" s="320">
        <f t="shared" ref="N4:U4" si="1">SUBTOTAL(9,N6:N35)</f>
        <v>7.4121915014244664</v>
      </c>
      <c r="O4" s="320">
        <f t="shared" si="1"/>
        <v>0.54549999999999998</v>
      </c>
      <c r="P4" s="320">
        <f t="shared" si="1"/>
        <v>0.30299880173684207</v>
      </c>
      <c r="Q4" s="320">
        <f t="shared" si="1"/>
        <v>9.9714008000000014</v>
      </c>
      <c r="R4" s="320">
        <f t="shared" si="1"/>
        <v>0.6982799999999999</v>
      </c>
      <c r="S4" s="320">
        <f t="shared" si="1"/>
        <v>1.5255163076923073</v>
      </c>
      <c r="T4" s="320">
        <f t="shared" si="1"/>
        <v>3.8435129400000001</v>
      </c>
      <c r="U4" s="320">
        <f t="shared" si="1"/>
        <v>3.7843435445557212</v>
      </c>
      <c r="V4" s="320">
        <f>SUBTOTAL(9,V6:V35)</f>
        <v>28.083743895409338</v>
      </c>
      <c r="W4" s="327"/>
      <c r="X4" s="85"/>
      <c r="Y4" s="320">
        <f t="shared" ref="Y4:AF4" si="2">SUBTOTAL(9,Y6:Y35)</f>
        <v>15.632659876031621</v>
      </c>
      <c r="Z4" s="320">
        <f t="shared" si="2"/>
        <v>5.5174707771428579</v>
      </c>
      <c r="AA4" s="320">
        <f t="shared" si="2"/>
        <v>0.71970700434210522</v>
      </c>
      <c r="AB4" s="320">
        <f t="shared" si="2"/>
        <v>15.002421999999999</v>
      </c>
      <c r="AC4" s="320">
        <f t="shared" si="2"/>
        <v>4.4402280000000003</v>
      </c>
      <c r="AD4" s="320">
        <f t="shared" si="2"/>
        <v>3.0155122362637354</v>
      </c>
      <c r="AE4" s="320">
        <f t="shared" si="2"/>
        <v>9.3173447350000007</v>
      </c>
      <c r="AF4" s="320">
        <f t="shared" si="2"/>
        <v>6.6413059426166621</v>
      </c>
      <c r="AG4" s="320">
        <f>SUBTOTAL(9,AG6:AG35)</f>
        <v>60.149853571396982</v>
      </c>
      <c r="AH4" s="85">
        <f>AG4/$AG$4</f>
        <v>1</v>
      </c>
      <c r="AI4" s="85"/>
    </row>
    <row r="5" spans="1:35" s="37" customFormat="1" ht="13.5" outlineLevel="1">
      <c r="A5" s="76"/>
      <c r="B5" s="76" t="s">
        <v>146</v>
      </c>
      <c r="C5" s="77"/>
      <c r="D5" s="333">
        <f t="shared" ref="D5:L5" si="3">D4/$L$4</f>
        <v>0.25527100572995209</v>
      </c>
      <c r="E5" s="333">
        <f t="shared" si="3"/>
        <v>0.1543950931873565</v>
      </c>
      <c r="F5" s="333">
        <f t="shared" si="3"/>
        <v>1.2940080434291507E-2</v>
      </c>
      <c r="G5" s="333">
        <f t="shared" si="3"/>
        <v>0.15622879172430171</v>
      </c>
      <c r="H5" s="333">
        <f t="shared" si="3"/>
        <v>0.1161990759918021</v>
      </c>
      <c r="I5" s="333">
        <f t="shared" si="3"/>
        <v>4.6268988807847453E-2</v>
      </c>
      <c r="J5" s="333">
        <f t="shared" si="3"/>
        <v>0.16997943229396759</v>
      </c>
      <c r="K5" s="333">
        <f t="shared" si="3"/>
        <v>8.8717531830480936E-2</v>
      </c>
      <c r="L5" s="333">
        <f t="shared" si="3"/>
        <v>1</v>
      </c>
      <c r="M5" s="105"/>
      <c r="N5" s="333">
        <f>N4/$V$4</f>
        <v>0.26393174389530333</v>
      </c>
      <c r="O5" s="333">
        <f>O4/$V$4</f>
        <v>1.9424048375870896E-2</v>
      </c>
      <c r="P5" s="333">
        <f>P4/$V$4</f>
        <v>1.0789117108647727E-2</v>
      </c>
      <c r="Q5" s="333">
        <f>Q4/$V$4</f>
        <v>0.35505952614921688</v>
      </c>
      <c r="R5" s="333">
        <f>R4/$L$4</f>
        <v>2.1683756905108129E-2</v>
      </c>
      <c r="S5" s="333">
        <f>S4/$L$4</f>
        <v>4.7372006603050541E-2</v>
      </c>
      <c r="T5" s="333">
        <f>T4/$V$4</f>
        <v>0.13685899409687585</v>
      </c>
      <c r="U5" s="333">
        <f>U4/$L$4</f>
        <v>0.11751558896941272</v>
      </c>
      <c r="V5" s="333">
        <f>V4/$L$4</f>
        <v>0.87208723665774568</v>
      </c>
      <c r="W5" s="328"/>
      <c r="X5" s="78"/>
      <c r="Y5" s="333">
        <f t="shared" ref="Y5:AF5" si="4">Y4/$AG$4</f>
        <v>0.25989522746677823</v>
      </c>
      <c r="Z5" s="333">
        <f t="shared" si="4"/>
        <v>9.1728748276896505E-2</v>
      </c>
      <c r="AA5" s="333">
        <f t="shared" si="4"/>
        <v>1.1965232857762883E-2</v>
      </c>
      <c r="AB5" s="333">
        <f t="shared" si="4"/>
        <v>0.24941743178464013</v>
      </c>
      <c r="AC5" s="333">
        <f t="shared" si="4"/>
        <v>7.3819431575664868E-2</v>
      </c>
      <c r="AD5" s="333">
        <f t="shared" si="4"/>
        <v>5.0133326304516557E-2</v>
      </c>
      <c r="AE5" s="333">
        <f t="shared" si="4"/>
        <v>0.15490220144826206</v>
      </c>
      <c r="AF5" s="333">
        <f t="shared" si="4"/>
        <v>0.11041267016109242</v>
      </c>
      <c r="AG5" s="333">
        <f>AG4/$AG$4</f>
        <v>1</v>
      </c>
      <c r="AH5" s="78"/>
      <c r="AI5" s="78"/>
    </row>
    <row r="6" spans="1:35" ht="26" outlineLevel="1">
      <c r="A6" s="55" t="s">
        <v>4</v>
      </c>
      <c r="B6" s="103" t="s">
        <v>185</v>
      </c>
      <c r="C6" s="82"/>
      <c r="D6" s="321">
        <f>SUBTOTAL(9,D7:D10)</f>
        <v>0</v>
      </c>
      <c r="E6" s="321">
        <f t="shared" ref="E6:L6" si="5">SUBTOTAL(9,E7:E10)</f>
        <v>0</v>
      </c>
      <c r="F6" s="321">
        <f t="shared" si="5"/>
        <v>0</v>
      </c>
      <c r="G6" s="321">
        <f t="shared" si="5"/>
        <v>0</v>
      </c>
      <c r="H6" s="321">
        <f t="shared" si="5"/>
        <v>0</v>
      </c>
      <c r="I6" s="321">
        <f t="shared" si="5"/>
        <v>0</v>
      </c>
      <c r="J6" s="321">
        <f t="shared" si="5"/>
        <v>0</v>
      </c>
      <c r="K6" s="321">
        <f t="shared" si="5"/>
        <v>0</v>
      </c>
      <c r="L6" s="321">
        <f t="shared" si="5"/>
        <v>0</v>
      </c>
      <c r="M6" s="106">
        <f>L6/$L$4</f>
        <v>0</v>
      </c>
      <c r="N6" s="321">
        <f>SUBTOTAL(9,N7:N10)</f>
        <v>0</v>
      </c>
      <c r="O6" s="321">
        <f t="shared" ref="O6:V6" si="6">SUBTOTAL(9,O7:O10)</f>
        <v>0</v>
      </c>
      <c r="P6" s="321">
        <f t="shared" si="6"/>
        <v>0</v>
      </c>
      <c r="Q6" s="321">
        <f t="shared" si="6"/>
        <v>0</v>
      </c>
      <c r="R6" s="321">
        <f t="shared" si="6"/>
        <v>0</v>
      </c>
      <c r="S6" s="321">
        <f t="shared" si="6"/>
        <v>0</v>
      </c>
      <c r="T6" s="321">
        <f t="shared" si="6"/>
        <v>0</v>
      </c>
      <c r="U6" s="321">
        <f t="shared" si="6"/>
        <v>0</v>
      </c>
      <c r="V6" s="321">
        <f t="shared" si="6"/>
        <v>0</v>
      </c>
      <c r="W6" s="106">
        <f>V6/$V$4</f>
        <v>0</v>
      </c>
      <c r="X6" s="84"/>
      <c r="Y6" s="805">
        <f t="shared" ref="Y6:AF6" si="7">SUBTOTAL(9,Y7:Y9)</f>
        <v>0</v>
      </c>
      <c r="Z6" s="805">
        <f t="shared" si="7"/>
        <v>0</v>
      </c>
      <c r="AA6" s="805">
        <f t="shared" si="7"/>
        <v>0</v>
      </c>
      <c r="AB6" s="805">
        <f t="shared" si="7"/>
        <v>0</v>
      </c>
      <c r="AC6" s="805">
        <f t="shared" si="7"/>
        <v>0</v>
      </c>
      <c r="AD6" s="805">
        <f t="shared" si="7"/>
        <v>0</v>
      </c>
      <c r="AE6" s="805">
        <f t="shared" si="7"/>
        <v>0</v>
      </c>
      <c r="AF6" s="805">
        <f t="shared" si="7"/>
        <v>0</v>
      </c>
      <c r="AG6" s="321">
        <f t="shared" ref="AG6" si="8">SUBTOTAL(9,AG7:AG10)</f>
        <v>0</v>
      </c>
      <c r="AH6" s="84">
        <f>AG6/$AG$4</f>
        <v>0</v>
      </c>
      <c r="AI6" s="84"/>
    </row>
    <row r="7" spans="1:35" ht="39" outlineLevel="1">
      <c r="A7" s="26">
        <v>1</v>
      </c>
      <c r="B7" s="66" t="s">
        <v>95</v>
      </c>
      <c r="C7" s="26" t="s">
        <v>78</v>
      </c>
      <c r="D7" s="322">
        <f>SUMIFS('PL1.1 ML2027-2028'!$G:$G,'PL1.1 ML2027-2028'!$J:$J,'TH theo DV_Tổng'!$D$3,'PL1.1 ML2027-2028'!$K:$K,'TH theo DV_Tổng'!C7)/$D$1</f>
        <v>0</v>
      </c>
      <c r="E7" s="322">
        <f>SUMIFS('PL1.1 ML2027-2028'!$G:$G,'PL1.1 ML2027-2028'!$J:$J,'TH theo DV_Tổng'!$E$3,'PL1.1 ML2027-2028'!$K:$K,'TH theo DV_Tổng'!C7)/$D$1</f>
        <v>0</v>
      </c>
      <c r="F7" s="322">
        <f>SUMIFS('PL1.1 ML2027-2028'!$G:$G,'PL1.1 ML2027-2028'!$J:$J,'TH theo DV_Tổng'!$F$3,'PL1.1 ML2027-2028'!$K:$K,'TH theo DV_Tổng'!C7)/$D$1</f>
        <v>0</v>
      </c>
      <c r="G7" s="322">
        <f>SUMIFS('PL1.1 ML2027-2028'!$G:$G,'PL1.1 ML2027-2028'!$J:$J,'TH theo DV_Tổng'!$G$3,'PL1.1 ML2027-2028'!$K:$K,'TH theo DV_Tổng'!C7)/$D$1</f>
        <v>0</v>
      </c>
      <c r="H7" s="143">
        <f>SUMIFS('PL1.1 ML2027-2028'!$G:$G,'PL1.1 ML2027-2028'!$J:$J,"TD",'PL1.1 ML2027-2028'!$M:$M,"IP",'PL1.1 ML2027-2028'!$K:$K,'TH theo DV_Tổng'!C7)/$D$1</f>
        <v>0</v>
      </c>
      <c r="I7" s="322">
        <f>SUMIFS('PL1.1 ML2027-2028'!$G:$G,'PL1.1 ML2027-2028'!$J:$J,"TD",'PL1.1 ML2027-2028'!$M:$M,"Mạng cáp",'PL1.1 ML2027-2028'!$K:$K,'TH theo DV_Tổng'!C7)/$D$1</f>
        <v>0</v>
      </c>
      <c r="J7" s="322">
        <f>SUMIFS('PL1.1 ML2027-2028'!$G:$G,'PL1.1 ML2027-2028'!$J:$J,'TH theo DV_Tổng'!$J$3,'PL1.1 ML2027-2028'!$K:$K,'TH theo DV_Tổng'!C7)/$D$1</f>
        <v>0</v>
      </c>
      <c r="K7" s="322">
        <f>SUMIFS('PL1.1 ML2027-2028'!$G:$G,'PL1.1 ML2027-2028'!$J:$J,'TH theo DV_Tổng'!K$3,'PL1.1 ML2027-2028'!$K:$K,'TH theo DV_Tổng'!C7)/$D$1</f>
        <v>0</v>
      </c>
      <c r="L7" s="323">
        <f>SUM(D7:K7)</f>
        <v>0</v>
      </c>
      <c r="M7" s="102">
        <f>L7/$L$4</f>
        <v>0</v>
      </c>
      <c r="N7" s="322">
        <f>SUMIFS('PL1.1 ML2027-2028'!$H:$H,'PL1.1 ML2027-2028'!$J:$J,'TH theo DV_Tổng'!N$3,'PL1.1 ML2027-2028'!$K:$K,'TH theo DV_Tổng'!$C7)/$D$1</f>
        <v>0</v>
      </c>
      <c r="O7" s="322">
        <f>SUMIFS('PL1.1 ML2027-2028'!$H:$H,'PL1.1 ML2027-2028'!$J:$J,'TH theo DV_Tổng'!O$3,'PL1.1 ML2027-2028'!$K:$K,'TH theo DV_Tổng'!$C7)/$D$1</f>
        <v>0</v>
      </c>
      <c r="P7" s="322">
        <f>SUMIFS('PL1.1 ML2027-2028'!$H:$H,'PL1.1 ML2027-2028'!$J:$J,'TH theo DV_Tổng'!P$3,'PL1.1 ML2027-2028'!$K:$K,'TH theo DV_Tổng'!$C7)/$D$1</f>
        <v>0</v>
      </c>
      <c r="Q7" s="322">
        <f>SUMIFS('PL1.1 ML2027-2028'!$H:$H,'PL1.1 ML2027-2028'!$J:$J,'TH theo DV_Tổng'!Q$3,'PL1.1 ML2027-2028'!$K:$K,'TH theo DV_Tổng'!$C7)/$D$1</f>
        <v>0</v>
      </c>
      <c r="R7" s="322">
        <f>SUMIFS('PL1.1 ML2027-2028'!$H:$H,'PL1.1 ML2027-2028'!$J:$J,"TD",'PL1.1 ML2027-2028'!$M:$M,"IP",'PL1.1 ML2027-2028'!$K:$K,'TH theo DV_Tổng'!C7)/$D$1</f>
        <v>0</v>
      </c>
      <c r="S7" s="322">
        <f>SUMIFS('PL1.1 ML2027-2028'!$H:$H,'PL1.1 ML2027-2028'!$J:$J,"TD",'PL1.1 ML2027-2028'!$M:$M,"Mạng cáp",'PL1.1 ML2027-2028'!$K:$K,'TH theo DV_Tổng'!C7)/$D$1</f>
        <v>0</v>
      </c>
      <c r="T7" s="322">
        <f>SUMIFS('PL1.1 ML2027-2028'!$H:$H,'PL1.1 ML2027-2028'!$J:$J,'TH theo DV_Tổng'!T$3,'PL1.1 ML2027-2028'!$K:$K,'TH theo DV_Tổng'!$C7)/$D$1</f>
        <v>0</v>
      </c>
      <c r="U7" s="322">
        <f>SUMIFS('PL1.1 ML2027-2028'!$H:$H,'PL1.1 ML2027-2028'!$J:$J,'TH theo DV_Tổng'!U$3,'PL1.1 ML2027-2028'!$K:$K,'TH theo DV_Tổng'!$C7)/$D$1</f>
        <v>0</v>
      </c>
      <c r="V7" s="323">
        <f>SUM(N7:U7)</f>
        <v>0</v>
      </c>
      <c r="W7" s="329"/>
      <c r="X7" s="733" t="s">
        <v>1540</v>
      </c>
      <c r="Y7" s="80">
        <f>D7+N7</f>
        <v>0</v>
      </c>
      <c r="Z7" s="80">
        <f t="shared" ref="Z7:AG8" si="9">E7+O7</f>
        <v>0</v>
      </c>
      <c r="AA7" s="80">
        <f t="shared" si="9"/>
        <v>0</v>
      </c>
      <c r="AB7" s="80">
        <f t="shared" si="9"/>
        <v>0</v>
      </c>
      <c r="AC7" s="80">
        <f t="shared" si="9"/>
        <v>0</v>
      </c>
      <c r="AD7" s="80">
        <f t="shared" si="9"/>
        <v>0</v>
      </c>
      <c r="AE7" s="80">
        <f t="shared" si="9"/>
        <v>0</v>
      </c>
      <c r="AF7" s="80">
        <f t="shared" si="9"/>
        <v>0</v>
      </c>
      <c r="AG7" s="323">
        <f>SUM(Y7:AF7)</f>
        <v>0</v>
      </c>
      <c r="AH7" s="84">
        <f t="shared" ref="AH7:AH35" si="10">AG7/$AG$4</f>
        <v>0</v>
      </c>
      <c r="AI7" s="733" t="s">
        <v>1540</v>
      </c>
    </row>
    <row r="8" spans="1:35" outlineLevel="1">
      <c r="A8" s="26">
        <v>2</v>
      </c>
      <c r="B8" s="66" t="s">
        <v>186</v>
      </c>
      <c r="C8" s="100" t="s">
        <v>186</v>
      </c>
      <c r="D8" s="322">
        <f>SUMIFS('PL1.1 ML2027-2028'!$G:$G,'PL1.1 ML2027-2028'!$J:$J,'TH theo DV_Tổng'!$D$3,'PL1.1 ML2027-2028'!$K:$K,'TH theo DV_Tổng'!C8)/$D$1</f>
        <v>0</v>
      </c>
      <c r="E8" s="322">
        <f>SUMIFS('PL1.1 ML2027-2028'!$G:$G,'PL1.1 ML2027-2028'!$J:$J,'TH theo DV_Tổng'!$E$3,'PL1.1 ML2027-2028'!$K:$K,'TH theo DV_Tổng'!C8)/$D$1</f>
        <v>0</v>
      </c>
      <c r="F8" s="322">
        <f>SUMIFS('PL1.1 ML2027-2028'!$G:$G,'PL1.1 ML2027-2028'!$J:$J,'TH theo DV_Tổng'!$F$3,'PL1.1 ML2027-2028'!$K:$K,'TH theo DV_Tổng'!C8)/$D$1</f>
        <v>0</v>
      </c>
      <c r="G8" s="322">
        <f>SUMIFS('PL1.1 ML2027-2028'!$G:$G,'PL1.1 ML2027-2028'!$J:$J,'TH theo DV_Tổng'!$G$3,'PL1.1 ML2027-2028'!$K:$K,'TH theo DV_Tổng'!C8)/$D$1 * 0.43287</f>
        <v>0</v>
      </c>
      <c r="H8" s="322">
        <f>SUMIFS('PL1.1 ML2027-2028'!$G:$G,'PL1.1 ML2027-2028'!$J:$J,"TD",'PL1.1 ML2027-2028'!$M:$M,"IP",'PL1.1 ML2027-2028'!$K:$K,'TH theo DV_Tổng'!C8)/$D$1</f>
        <v>0</v>
      </c>
      <c r="I8" s="322">
        <f>SUMIFS('PL1.1 ML2027-2028'!$G:$G,'PL1.1 ML2027-2028'!$J:$J,"TD",'PL1.1 ML2027-2028'!$M:$M,"Mạng cáp",'PL1.1 ML2027-2028'!$K:$K,'TH theo DV_Tổng'!C8)/$D$1</f>
        <v>0</v>
      </c>
      <c r="J8" s="322">
        <f>SUMIFS('PL1.1 ML2027-2028'!$G:$G,'PL1.1 ML2027-2028'!$J:$J,'TH theo DV_Tổng'!$J$3,'PL1.1 ML2027-2028'!$K:$K,'TH theo DV_Tổng'!C8)/$D$1</f>
        <v>0</v>
      </c>
      <c r="K8" s="322">
        <f>SUMIFS('PL1.1 ML2027-2028'!$G:$G,'PL1.1 ML2027-2028'!$J:$J,'TH theo DV_Tổng'!K$3,'PL1.1 ML2027-2028'!$K:$K,'TH theo DV_Tổng'!C8)/$D$1</f>
        <v>0</v>
      </c>
      <c r="L8" s="323">
        <f>SUM(D8:K8)</f>
        <v>0</v>
      </c>
      <c r="M8" s="102">
        <f t="shared" ref="M8:M35" si="11">L8/$L$4</f>
        <v>0</v>
      </c>
      <c r="N8" s="322">
        <f>SUMIFS('PL1.1 ML2027-2028'!$H:$H,'PL1.1 ML2027-2028'!$J:$J,'TH theo DV_Tổng'!N$3,'PL1.1 ML2027-2028'!$K:$K,'TH theo DV_Tổng'!$C8)/$D$1</f>
        <v>0</v>
      </c>
      <c r="O8" s="322">
        <f>SUMIFS('PL1.1 ML2027-2028'!$H:$H,'PL1.1 ML2027-2028'!$J:$J,'TH theo DV_Tổng'!O$3,'PL1.1 ML2027-2028'!$K:$K,'TH theo DV_Tổng'!$C8)/$D$1</f>
        <v>0</v>
      </c>
      <c r="P8" s="322">
        <f>SUMIFS('PL1.1 ML2027-2028'!$H:$H,'PL1.1 ML2027-2028'!$J:$J,'TH theo DV_Tổng'!P$3,'PL1.1 ML2027-2028'!$K:$K,'TH theo DV_Tổng'!$C8)/$D$1</f>
        <v>0</v>
      </c>
      <c r="Q8" s="322">
        <f>SUMIFS('PL1.1 ML2027-2028'!$H:$H,'PL1.1 ML2027-2028'!$J:$J,'TH theo DV_Tổng'!Q$3,'PL1.1 ML2027-2028'!$K:$K,'TH theo DV_Tổng'!$C8)/$D$1</f>
        <v>0</v>
      </c>
      <c r="R8" s="322">
        <f>SUMIFS('PL1.1 ML2027-2028'!$H:$H,'PL1.1 ML2027-2028'!$J:$J,"TD",'PL1.1 ML2027-2028'!$M:$M,"IP",'PL1.1 ML2027-2028'!$K:$K,'TH theo DV_Tổng'!C8)/$D$1</f>
        <v>0</v>
      </c>
      <c r="S8" s="322">
        <f>SUMIFS('PL1.1 ML2027-2028'!$H:$H,'PL1.1 ML2027-2028'!$J:$J,"TD",'PL1.1 ML2027-2028'!$M:$M,"Mạng cáp",'PL1.1 ML2027-2028'!$K:$K,'TH theo DV_Tổng'!C8)/$D$1</f>
        <v>0</v>
      </c>
      <c r="T8" s="322">
        <f>SUMIFS('PL1.1 ML2027-2028'!$H:$H,'PL1.1 ML2027-2028'!$J:$J,'TH theo DV_Tổng'!T$3,'PL1.1 ML2027-2028'!$K:$K,'TH theo DV_Tổng'!$C8)/$D$1</f>
        <v>0</v>
      </c>
      <c r="U8" s="322">
        <f>SUMIFS('PL1.1 ML2027-2028'!$H:$H,'PL1.1 ML2027-2028'!$J:$J,'TH theo DV_Tổng'!U$3,'PL1.1 ML2027-2028'!$K:$K,'TH theo DV_Tổng'!$C8)/$D$1</f>
        <v>0</v>
      </c>
      <c r="V8" s="323">
        <f>SUM(N8:U8)</f>
        <v>0</v>
      </c>
      <c r="W8" s="329"/>
      <c r="X8" s="10"/>
      <c r="Y8" s="80">
        <f>D8+N8</f>
        <v>0</v>
      </c>
      <c r="Z8" s="80">
        <f t="shared" ref="Z8:Z10" si="12">E8+O8</f>
        <v>0</v>
      </c>
      <c r="AA8" s="80">
        <f t="shared" ref="AA8:AA10" si="13">F8+P8</f>
        <v>0</v>
      </c>
      <c r="AB8" s="80">
        <f t="shared" ref="AB8:AB10" si="14">G8+Q8</f>
        <v>0</v>
      </c>
      <c r="AC8" s="80">
        <f t="shared" ref="AC8:AC10" si="15">H8+R8</f>
        <v>0</v>
      </c>
      <c r="AD8" s="80">
        <f t="shared" ref="AD8:AD10" si="16">I8+S8</f>
        <v>0</v>
      </c>
      <c r="AE8" s="80">
        <f t="shared" ref="AE8:AE10" si="17">J8+T8</f>
        <v>0</v>
      </c>
      <c r="AF8" s="80">
        <f t="shared" ref="AF8:AF10" si="18">K8+U8</f>
        <v>0</v>
      </c>
      <c r="AG8" s="323">
        <f>SUM(Y8:AF8)</f>
        <v>0</v>
      </c>
      <c r="AH8" s="84">
        <f t="shared" si="10"/>
        <v>0</v>
      </c>
      <c r="AI8" s="10"/>
    </row>
    <row r="9" spans="1:35" ht="39" outlineLevel="1">
      <c r="A9" s="26">
        <v>3</v>
      </c>
      <c r="B9" s="66" t="s">
        <v>187</v>
      </c>
      <c r="C9" s="63" t="s">
        <v>187</v>
      </c>
      <c r="D9" s="322">
        <f>SUMIFS('PL1.1 ML2027-2028'!$G:$G,'PL1.1 ML2027-2028'!$J:$J,'TH theo DV_Tổng'!$D$3,'PL1.1 ML2027-2028'!$K:$K,'TH theo DV_Tổng'!C9)/$D$1</f>
        <v>0</v>
      </c>
      <c r="E9" s="322">
        <f>SUMIFS('PL1.1 ML2027-2028'!$G:$G,'PL1.1 ML2027-2028'!$J:$J,'TH theo DV_Tổng'!$E$3,'PL1.1 ML2027-2028'!$K:$K,'TH theo DV_Tổng'!C9)/$D$1</f>
        <v>0</v>
      </c>
      <c r="F9" s="322">
        <f>SUMIFS('PL1.1 ML2027-2028'!$G:$G,'PL1.1 ML2027-2028'!$J:$J,'TH theo DV_Tổng'!$F$3,'PL1.1 ML2027-2028'!$K:$K,'TH theo DV_Tổng'!C9)/$D$1</f>
        <v>0</v>
      </c>
      <c r="G9" s="322"/>
      <c r="H9" s="322">
        <f>SUMIFS('PL1.1 ML2027-2028'!$G:$G,'PL1.1 ML2027-2028'!$J:$J,"TD",'PL1.1 ML2027-2028'!$M:$M,"IP",'PL1.1 ML2027-2028'!$K:$K,'TH theo DV_Tổng'!C9)/$D$1</f>
        <v>0</v>
      </c>
      <c r="I9" s="322">
        <f>SUMIFS('PL1.1 ML2027-2028'!$G:$G,'PL1.1 ML2027-2028'!$J:$J,"TD",'PL1.1 ML2027-2028'!$M:$M,"Mạng cáp",'PL1.1 ML2027-2028'!$K:$K,'TH theo DV_Tổng'!C9)/$D$1</f>
        <v>0</v>
      </c>
      <c r="J9" s="322">
        <f>SUMIFS('PL1.1 ML2027-2028'!$G:$G,'PL1.1 ML2027-2028'!$J:$J,'TH theo DV_Tổng'!$J$3,'PL1.1 ML2027-2028'!$K:$K,'TH theo DV_Tổng'!C9)/$D$1</f>
        <v>0</v>
      </c>
      <c r="K9" s="322">
        <f>SUMIFS('PL1.1 ML2027-2028'!$G:$G,'PL1.1 ML2027-2028'!$J:$J,'TH theo DV_Tổng'!K$3,'PL1.1 ML2027-2028'!$K:$K,'TH theo DV_Tổng'!C9)/$D$1</f>
        <v>0</v>
      </c>
      <c r="L9" s="323">
        <f>SUM(D9:K9)</f>
        <v>0</v>
      </c>
      <c r="M9" s="102">
        <f t="shared" si="11"/>
        <v>0</v>
      </c>
      <c r="N9" s="322">
        <f>SUMIFS('PL1.1 ML2027-2028'!$H:$H,'PL1.1 ML2027-2028'!$J:$J,'TH theo DV_Tổng'!N$3,'PL1.1 ML2027-2028'!$K:$K,'TH theo DV_Tổng'!$C9)/$D$1</f>
        <v>0</v>
      </c>
      <c r="O9" s="322">
        <f>SUMIFS('PL1.1 ML2027-2028'!$H:$H,'PL1.1 ML2027-2028'!$J:$J,'TH theo DV_Tổng'!O$3,'PL1.1 ML2027-2028'!$K:$K,'TH theo DV_Tổng'!$C9)/$D$1</f>
        <v>0</v>
      </c>
      <c r="P9" s="322">
        <f>SUMIFS('PL1.1 ML2027-2028'!$H:$H,'PL1.1 ML2027-2028'!$J:$J,'TH theo DV_Tổng'!P$3,'PL1.1 ML2027-2028'!$K:$K,'TH theo DV_Tổng'!$C9)/$D$1</f>
        <v>0</v>
      </c>
      <c r="Q9" s="322">
        <f>SUMIFS('PL1.1 ML2027-2028'!$H:$H,'PL1.1 ML2027-2028'!$J:$J,'TH theo DV_Tổng'!Q$3,'PL1.1 ML2027-2028'!$K:$K,'TH theo DV_Tổng'!$C9)/$D$1</f>
        <v>0</v>
      </c>
      <c r="R9" s="322">
        <f>SUMIFS('PL1.1 ML2027-2028'!$H:$H,'PL1.1 ML2027-2028'!$J:$J,"TD",'PL1.1 ML2027-2028'!$M:$M,"IP",'PL1.1 ML2027-2028'!$K:$K,'TH theo DV_Tổng'!C9)/$D$1</f>
        <v>0</v>
      </c>
      <c r="S9" s="322">
        <f>SUMIFS('PL1.1 ML2027-2028'!$H:$H,'PL1.1 ML2027-2028'!$J:$J,"TD",'PL1.1 ML2027-2028'!$M:$M,"Mạng cáp",'PL1.1 ML2027-2028'!$K:$K,'TH theo DV_Tổng'!C9)/$D$1</f>
        <v>0</v>
      </c>
      <c r="T9" s="322">
        <f>SUMIFS('PL1.1 ML2027-2028'!$H:$H,'PL1.1 ML2027-2028'!$J:$J,'TH theo DV_Tổng'!T$3,'PL1.1 ML2027-2028'!$K:$K,'TH theo DV_Tổng'!$C9)/$D$1</f>
        <v>0</v>
      </c>
      <c r="U9" s="322">
        <f>SUMIFS('PL1.1 ML2027-2028'!$H:$H,'PL1.1 ML2027-2028'!$J:$J,'TH theo DV_Tổng'!U$3,'PL1.1 ML2027-2028'!$K:$K,'TH theo DV_Tổng'!$C9)/$D$1</f>
        <v>0</v>
      </c>
      <c r="V9" s="323">
        <f>SUM(N9:U9)</f>
        <v>0</v>
      </c>
      <c r="W9" s="329"/>
      <c r="X9" s="733" t="s">
        <v>1541</v>
      </c>
      <c r="Y9" s="80">
        <f>D9+N9</f>
        <v>0</v>
      </c>
      <c r="Z9" s="80">
        <f t="shared" si="12"/>
        <v>0</v>
      </c>
      <c r="AA9" s="80">
        <f t="shared" si="13"/>
        <v>0</v>
      </c>
      <c r="AB9" s="80">
        <f t="shared" si="14"/>
        <v>0</v>
      </c>
      <c r="AC9" s="80">
        <f t="shared" si="15"/>
        <v>0</v>
      </c>
      <c r="AD9" s="80">
        <f t="shared" si="16"/>
        <v>0</v>
      </c>
      <c r="AE9" s="80">
        <f t="shared" si="17"/>
        <v>0</v>
      </c>
      <c r="AF9" s="80">
        <f t="shared" si="18"/>
        <v>0</v>
      </c>
      <c r="AG9" s="323">
        <f>SUM(Y9:AF9)</f>
        <v>0</v>
      </c>
      <c r="AH9" s="84">
        <f t="shared" si="10"/>
        <v>0</v>
      </c>
      <c r="AI9" s="733" t="s">
        <v>1541</v>
      </c>
    </row>
    <row r="10" spans="1:35" outlineLevel="1">
      <c r="A10" s="26">
        <v>4</v>
      </c>
      <c r="B10" s="66" t="s">
        <v>180</v>
      </c>
      <c r="C10" s="63" t="s">
        <v>188</v>
      </c>
      <c r="D10" s="322">
        <f>SUMIFS('PL1.1 ML2027-2028'!$G:$G,'PL1.1 ML2027-2028'!$J:$J,'TH theo DV_Tổng'!$D$3,'PL1.1 ML2027-2028'!$K:$K,'TH theo DV_Tổng'!C10)/$D$1</f>
        <v>0</v>
      </c>
      <c r="E10" s="322">
        <f>SUMIFS('PL1.1 ML2027-2028'!$G:$G,'PL1.1 ML2027-2028'!$J:$J,'TH theo DV_Tổng'!$E$3,'PL1.1 ML2027-2028'!$K:$K,'TH theo DV_Tổng'!C10)/$D$1</f>
        <v>0</v>
      </c>
      <c r="F10" s="322">
        <f>SUMIFS('PL1.1 ML2027-2028'!$G:$G,'PL1.1 ML2027-2028'!$J:$J,'TH theo DV_Tổng'!$F$3,'PL1.1 ML2027-2028'!$K:$K,'TH theo DV_Tổng'!C10)/$D$1</f>
        <v>0</v>
      </c>
      <c r="G10" s="322">
        <f>SUMIFS('PL1.1 ML2027-2028'!$G:$G,'PL1.1 ML2027-2028'!$J:$J,'TH theo DV_Tổng'!$G$3,'PL1.1 ML2027-2028'!$K:$K,'TH theo DV_Tổng'!C10)/$D$1</f>
        <v>0</v>
      </c>
      <c r="H10" s="322">
        <f>SUMIFS('PL1.1 ML2027-2028'!$G:$G,'PL1.1 ML2027-2028'!$J:$J,"TD",'PL1.1 ML2027-2028'!$M:$M,"IP",'PL1.1 ML2027-2028'!$K:$K,'TH theo DV_Tổng'!C10)/$D$1</f>
        <v>0</v>
      </c>
      <c r="I10" s="322">
        <f>SUMIFS('PL1.1 ML2027-2028'!$G:$G,'PL1.1 ML2027-2028'!$J:$J,"TD",'PL1.1 ML2027-2028'!$M:$M,"Mạng cáp",'PL1.1 ML2027-2028'!$K:$K,'TH theo DV_Tổng'!C10)/$D$1</f>
        <v>0</v>
      </c>
      <c r="J10" s="322">
        <f>SUMIFS('PL1.1 ML2027-2028'!$G:$G,'PL1.1 ML2027-2028'!$J:$J,'TH theo DV_Tổng'!$J$3,'PL1.1 ML2027-2028'!$K:$K,'TH theo DV_Tổng'!C10)/$D$1</f>
        <v>0</v>
      </c>
      <c r="K10" s="322">
        <f>SUMIFS('PL1.1 ML2027-2028'!$G:$G,'PL1.1 ML2027-2028'!$J:$J,'TH theo DV_Tổng'!K$3,'PL1.1 ML2027-2028'!$K:$K,'TH theo DV_Tổng'!C10)/$D$1</f>
        <v>0</v>
      </c>
      <c r="L10" s="323">
        <f>SUM(D10:K10)</f>
        <v>0</v>
      </c>
      <c r="M10" s="102">
        <f t="shared" si="11"/>
        <v>0</v>
      </c>
      <c r="N10" s="322">
        <f>SUMIFS('PL1.1 ML2027-2028'!$H:$H,'PL1.1 ML2027-2028'!$J:$J,'TH theo DV_Tổng'!N$3,'PL1.1 ML2027-2028'!$K:$K,'TH theo DV_Tổng'!$C10)/$D$1</f>
        <v>0</v>
      </c>
      <c r="O10" s="322">
        <f>SUMIFS('PL1.1 ML2027-2028'!$H:$H,'PL1.1 ML2027-2028'!$J:$J,'TH theo DV_Tổng'!O$3,'PL1.1 ML2027-2028'!$K:$K,'TH theo DV_Tổng'!$C10)/$D$1</f>
        <v>0</v>
      </c>
      <c r="P10" s="322">
        <f>SUMIFS('PL1.1 ML2027-2028'!$H:$H,'PL1.1 ML2027-2028'!$J:$J,'TH theo DV_Tổng'!P$3,'PL1.1 ML2027-2028'!$K:$K,'TH theo DV_Tổng'!$C10)/$D$1</f>
        <v>0</v>
      </c>
      <c r="Q10" s="322">
        <f>SUMIFS('PL1.1 ML2027-2028'!$H:$H,'PL1.1 ML2027-2028'!$J:$J,'TH theo DV_Tổng'!Q$3,'PL1.1 ML2027-2028'!$K:$K,'TH theo DV_Tổng'!$C10)/$D$1</f>
        <v>0</v>
      </c>
      <c r="R10" s="322">
        <f>SUMIFS('PL1.1 ML2027-2028'!$H:$H,'PL1.1 ML2027-2028'!$J:$J,"TD",'PL1.1 ML2027-2028'!$M:$M,"IP",'PL1.1 ML2027-2028'!$K:$K,'TH theo DV_Tổng'!C10)/$D$1</f>
        <v>0</v>
      </c>
      <c r="S10" s="322">
        <f>SUMIFS('PL1.1 ML2027-2028'!$H:$H,'PL1.1 ML2027-2028'!$J:$J,"TD",'PL1.1 ML2027-2028'!$M:$M,"Mạng cáp",'PL1.1 ML2027-2028'!$K:$K,'TH theo DV_Tổng'!C10)/$D$1</f>
        <v>0</v>
      </c>
      <c r="T10" s="322">
        <f>SUMIFS('PL1.1 ML2027-2028'!$H:$H,'PL1.1 ML2027-2028'!$J:$J,'TH theo DV_Tổng'!T$3,'PL1.1 ML2027-2028'!$K:$K,'TH theo DV_Tổng'!$C10)/$D$1</f>
        <v>0</v>
      </c>
      <c r="U10" s="322">
        <f>SUMIFS('PL1.1 ML2027-2028'!$H:$H,'PL1.1 ML2027-2028'!$J:$J,'TH theo DV_Tổng'!U$3,'PL1.1 ML2027-2028'!$K:$K,'TH theo DV_Tổng'!$C10)/$D$1</f>
        <v>0</v>
      </c>
      <c r="V10" s="323">
        <f>SUM(N10:U10)</f>
        <v>0</v>
      </c>
      <c r="W10" s="329"/>
      <c r="X10" s="10"/>
      <c r="Y10" s="80">
        <f>D10+N10</f>
        <v>0</v>
      </c>
      <c r="Z10" s="80">
        <f t="shared" si="12"/>
        <v>0</v>
      </c>
      <c r="AA10" s="80">
        <f t="shared" si="13"/>
        <v>0</v>
      </c>
      <c r="AB10" s="80">
        <f t="shared" si="14"/>
        <v>0</v>
      </c>
      <c r="AC10" s="80">
        <f t="shared" si="15"/>
        <v>0</v>
      </c>
      <c r="AD10" s="80">
        <f t="shared" si="16"/>
        <v>0</v>
      </c>
      <c r="AE10" s="80">
        <f t="shared" si="17"/>
        <v>0</v>
      </c>
      <c r="AF10" s="80">
        <f t="shared" si="18"/>
        <v>0</v>
      </c>
      <c r="AG10" s="323">
        <f>SUM(Y10:AF10)</f>
        <v>0</v>
      </c>
      <c r="AH10" s="84">
        <f t="shared" si="10"/>
        <v>0</v>
      </c>
      <c r="AI10" s="10"/>
    </row>
    <row r="11" spans="1:35" ht="26" outlineLevel="1">
      <c r="A11" s="55" t="s">
        <v>12</v>
      </c>
      <c r="B11" s="103" t="s">
        <v>189</v>
      </c>
      <c r="C11" s="83"/>
      <c r="D11" s="324">
        <f t="shared" ref="D11:G11" si="19">SUBTOTAL(9,D12:D29)</f>
        <v>7.6113818171415319</v>
      </c>
      <c r="E11" s="324">
        <f t="shared" si="19"/>
        <v>3.4853688571428574</v>
      </c>
      <c r="F11" s="324">
        <f t="shared" si="19"/>
        <v>0.41670820260526314</v>
      </c>
      <c r="G11" s="324">
        <f t="shared" si="19"/>
        <v>3.8280682000000001</v>
      </c>
      <c r="H11" s="324">
        <f>SUBTOTAL(9,H12:H29)</f>
        <v>3.7419479999999998</v>
      </c>
      <c r="I11" s="324">
        <f>SUBTOTAL(9,I12:I29)</f>
        <v>1.1321559285714287</v>
      </c>
      <c r="J11" s="324">
        <f>SUBTOTAL(9,J12:J29)</f>
        <v>3.2189876850000001</v>
      </c>
      <c r="K11" s="324">
        <f>SUBTOTAL(9,K12:K29)</f>
        <v>2.7723623980609413</v>
      </c>
      <c r="L11" s="324">
        <f>SUBTOTAL(9,L13:L29)</f>
        <v>26.206981088522024</v>
      </c>
      <c r="M11" s="106">
        <f>L11/$L$4</f>
        <v>0.81380793827730669</v>
      </c>
      <c r="N11" s="324">
        <f>SUBTOTAL(9,N12:N25)</f>
        <v>7.1631049439588423</v>
      </c>
      <c r="O11" s="324">
        <f t="shared" ref="O11:P11" si="20">SUBTOTAL(9,O12:O25)</f>
        <v>0.44550000000000001</v>
      </c>
      <c r="P11" s="324">
        <f t="shared" si="20"/>
        <v>0.30299880173684207</v>
      </c>
      <c r="Q11" s="324">
        <f>SUBTOTAL(9,Q12:Q25)</f>
        <v>6.7178118000000007</v>
      </c>
      <c r="R11" s="324">
        <f>SUBTOTAL(9,R12:R29)</f>
        <v>0.6982799999999999</v>
      </c>
      <c r="S11" s="324">
        <f>SUBTOTAL(9,S12:S29)</f>
        <v>1.1891763076923074</v>
      </c>
      <c r="T11" s="324">
        <f>SUBTOTAL(9,T12:T25)</f>
        <v>2.6670148400000002</v>
      </c>
      <c r="U11" s="324">
        <f>SUBTOTAL(9,U12:U29)</f>
        <v>3.7843435445557212</v>
      </c>
      <c r="V11" s="324">
        <f>SUBTOTAL(9,V13:V29)</f>
        <v>23.090174237943714</v>
      </c>
      <c r="W11" s="106">
        <f>V11/$V$4</f>
        <v>0.82219003007352276</v>
      </c>
      <c r="X11" s="84"/>
      <c r="Y11" s="324">
        <f t="shared" ref="Y11:AG11" si="21">SUBTOTAL(9,Y12:Y29)</f>
        <v>14.774486761100373</v>
      </c>
      <c r="Z11" s="324">
        <f t="shared" si="21"/>
        <v>3.9308688571428574</v>
      </c>
      <c r="AA11" s="324">
        <f t="shared" si="21"/>
        <v>0.71970700434210522</v>
      </c>
      <c r="AB11" s="324">
        <f t="shared" si="21"/>
        <v>10.667824</v>
      </c>
      <c r="AC11" s="324">
        <f t="shared" si="21"/>
        <v>4.4402280000000003</v>
      </c>
      <c r="AD11" s="324">
        <f t="shared" si="21"/>
        <v>2.3213322362637356</v>
      </c>
      <c r="AE11" s="324">
        <f t="shared" si="21"/>
        <v>5.8860025250000003</v>
      </c>
      <c r="AF11" s="324">
        <f t="shared" si="21"/>
        <v>6.5567059426166621</v>
      </c>
      <c r="AG11" s="324">
        <f>SUBTOTAL(9,AG13:AG29)</f>
        <v>49.160358326465733</v>
      </c>
      <c r="AH11" s="84">
        <f t="shared" si="10"/>
        <v>0.81729805490071761</v>
      </c>
      <c r="AI11" s="84"/>
    </row>
    <row r="12" spans="1:35" s="31" customFormat="1" outlineLevel="1">
      <c r="A12" s="75">
        <v>1</v>
      </c>
      <c r="B12" s="79" t="s">
        <v>374</v>
      </c>
      <c r="C12" s="75"/>
      <c r="D12" s="320">
        <f>SUBTOTAL(9,D13:D14)</f>
        <v>7.6113818171415319</v>
      </c>
      <c r="E12" s="320">
        <f>SUBTOTAL(9,E13:E14)</f>
        <v>3.4853688571428574</v>
      </c>
      <c r="F12" s="320">
        <f t="shared" ref="F12:K12" si="22">SUBTOTAL(9,F13:F14)</f>
        <v>0</v>
      </c>
      <c r="G12" s="320">
        <f t="shared" si="22"/>
        <v>0</v>
      </c>
      <c r="H12" s="320">
        <f t="shared" si="22"/>
        <v>2.52138624</v>
      </c>
      <c r="I12" s="320">
        <f t="shared" si="22"/>
        <v>0.86955899999999997</v>
      </c>
      <c r="J12" s="320">
        <f t="shared" si="22"/>
        <v>1.9053436849999998</v>
      </c>
      <c r="K12" s="320">
        <f t="shared" si="22"/>
        <v>2.6355653980609413</v>
      </c>
      <c r="L12" s="320">
        <f>SUBTOTAL(9,L13:L14)</f>
        <v>19.02860499734533</v>
      </c>
      <c r="M12" s="102">
        <f t="shared" si="11"/>
        <v>0.59089712580306175</v>
      </c>
      <c r="N12" s="320">
        <f>SUBTOTAL(9,N13:N14)</f>
        <v>7.1631049439588423</v>
      </c>
      <c r="O12" s="320">
        <f t="shared" ref="O12:U12" si="23">SUBTOTAL(9,O13:O14)</f>
        <v>0.44550000000000001</v>
      </c>
      <c r="P12" s="320">
        <f t="shared" si="23"/>
        <v>0</v>
      </c>
      <c r="Q12" s="320">
        <f t="shared" si="23"/>
        <v>0</v>
      </c>
      <c r="R12" s="320">
        <f t="shared" si="23"/>
        <v>0.60844799999999988</v>
      </c>
      <c r="S12" s="320">
        <f t="shared" si="23"/>
        <v>1.1872281476923074</v>
      </c>
      <c r="T12" s="320">
        <f t="shared" si="23"/>
        <v>1.83114284</v>
      </c>
      <c r="U12" s="320">
        <f t="shared" si="23"/>
        <v>3.7843435445557212</v>
      </c>
      <c r="V12" s="325">
        <f>SUBTOTAL(9,V13:V14)</f>
        <v>15.019767476206869</v>
      </c>
      <c r="W12" s="330">
        <f>V12/$V$4</f>
        <v>0.53482069670426136</v>
      </c>
      <c r="X12" s="101"/>
      <c r="Y12" s="320">
        <f t="shared" ref="Y12:AG12" si="24">SUBTOTAL(9,Y13:Y14)</f>
        <v>14.774486761100373</v>
      </c>
      <c r="Z12" s="320">
        <f t="shared" si="24"/>
        <v>3.9308688571428574</v>
      </c>
      <c r="AA12" s="320">
        <f t="shared" si="24"/>
        <v>0</v>
      </c>
      <c r="AB12" s="320">
        <f t="shared" si="24"/>
        <v>0</v>
      </c>
      <c r="AC12" s="320">
        <f t="shared" si="24"/>
        <v>3.1298342400000001</v>
      </c>
      <c r="AD12" s="320">
        <f t="shared" si="24"/>
        <v>2.0567871476923072</v>
      </c>
      <c r="AE12" s="320">
        <f t="shared" si="24"/>
        <v>3.7364865250000001</v>
      </c>
      <c r="AF12" s="320">
        <f t="shared" si="24"/>
        <v>6.4199089426166625</v>
      </c>
      <c r="AG12" s="325">
        <f>SUBTOTAL(9,AG13:AG14)</f>
        <v>34.048372473552206</v>
      </c>
      <c r="AH12" s="84">
        <f t="shared" si="10"/>
        <v>0.56605910824267081</v>
      </c>
      <c r="AI12" s="101"/>
    </row>
    <row r="13" spans="1:35" s="20" customFormat="1" outlineLevel="1">
      <c r="A13" s="14" t="s">
        <v>8</v>
      </c>
      <c r="B13" s="74" t="s">
        <v>375</v>
      </c>
      <c r="C13" s="14" t="s">
        <v>107</v>
      </c>
      <c r="D13" s="326">
        <f>SUMIFS('PL1.1 ML2027-2028'!$G:$G,'PL1.1 ML2027-2028'!$J:$J,'TH theo DV_Tổng'!$D$3,'PL1.1 ML2027-2028'!$K:$K,'TH theo DV_Tổng'!C13)/$D$1</f>
        <v>1.21246914194502</v>
      </c>
      <c r="E13" s="326">
        <f>SUMIFS('PL1.1 ML2027-2028'!$G:$G,'PL1.1 ML2027-2028'!$J:$J,'TH theo DV_Tổng'!$E$3,'PL1.1 ML2027-2028'!$K:$K,'TH theo DV_Tổng'!C13)/$D$1</f>
        <v>0</v>
      </c>
      <c r="F13" s="326">
        <f>SUMIFS('PL1.1 ML2027-2028'!$G:$G,'PL1.1 ML2027-2028'!$J:$J,'TH theo DV_Tổng'!$F$3,'PL1.1 ML2027-2028'!$K:$K,'TH theo DV_Tổng'!C13)/$D$1</f>
        <v>0</v>
      </c>
      <c r="G13" s="326">
        <f>SUMIFS('PL1.1 ML2027-2028'!$G:$G,'PL1.1 ML2027-2028'!$J:$J,'TH theo DV_Tổng'!$G$3,'PL1.1 ML2027-2028'!$K:$K,'TH theo DV_Tổng'!C13)/$D$1</f>
        <v>0</v>
      </c>
      <c r="H13" s="322">
        <f>SUMIFS('PL1.1 ML2027-2028'!$G:$G,'PL1.1 ML2027-2028'!$J:$J,"TD",'PL1.1 ML2027-2028'!$M:$M,"IP",'PL1.1 ML2027-2028'!$K:$K,'TH theo DV_Tổng'!C13)/$D$1</f>
        <v>0</v>
      </c>
      <c r="I13" s="322">
        <f>SUMIFS('PL1.1 ML2027-2028'!$G:$G,'PL1.1 ML2027-2028'!$J:$J,"TD",'PL1.1 ML2027-2028'!$M:$M,"Mạng cáp",'PL1.1 ML2027-2028'!$K:$K,'TH theo DV_Tổng'!C13)/$D$1</f>
        <v>0.83425899999999997</v>
      </c>
      <c r="J13" s="325">
        <f>SUMIFS('PL1.1 ML2027-2028'!$G:$G,'PL1.1 ML2027-2028'!$J:$J,'TH theo DV_Tổng'!$J$3,'PL1.1 ML2027-2028'!$K:$K,'TH theo DV_Tổng'!C13)/$D$1</f>
        <v>1.4700764149999999</v>
      </c>
      <c r="K13" s="322">
        <f>SUMIFS('PL1.1 ML2027-2028'!$G:$G,'PL1.1 ML2027-2028'!$J:$J,'TH theo DV_Tổng'!K$3,'PL1.1 ML2027-2028'!$K:$K,'TH theo DV_Tổng'!C13)/$D$1</f>
        <v>2.2636443076923074</v>
      </c>
      <c r="L13" s="323">
        <f>SUM(D13:K13)</f>
        <v>5.7804488646373269</v>
      </c>
      <c r="M13" s="102">
        <f t="shared" si="11"/>
        <v>0.17950084204503081</v>
      </c>
      <c r="N13" s="322">
        <f>SUMIFS('PL1.1 ML2027-2028'!$H:$H,'PL1.1 ML2027-2028'!$J:$J,'TH theo DV_Tổng'!N$3,'PL1.1 ML2027-2028'!$K:$K,'TH theo DV_Tổng'!$C13)/$D$1</f>
        <v>0.72962063605110006</v>
      </c>
      <c r="O13" s="322">
        <f>SUMIFS('PL1.1 ML2027-2028'!$H:$H,'PL1.1 ML2027-2028'!$J:$J,'TH theo DV_Tổng'!O$3,'PL1.1 ML2027-2028'!$K:$K,'TH theo DV_Tổng'!$C13)/$D$1</f>
        <v>0</v>
      </c>
      <c r="P13" s="322">
        <f>SUMIFS('PL1.1 ML2027-2028'!$H:$H,'PL1.1 ML2027-2028'!$J:$J,'TH theo DV_Tổng'!P$3,'PL1.1 ML2027-2028'!$K:$K,'TH theo DV_Tổng'!$C13)/$D$1</f>
        <v>0</v>
      </c>
      <c r="Q13" s="322">
        <f>SUMIFS('PL1.1 ML2027-2028'!$H:$H,'PL1.1 ML2027-2028'!$J:$J,'TH theo DV_Tổng'!Q$3,'PL1.1 ML2027-2028'!$K:$K,'TH theo DV_Tổng'!$C13)/$D$1</f>
        <v>0</v>
      </c>
      <c r="R13" s="322">
        <f>SUMIFS('PL1.1 ML2027-2028'!$H:$H,'PL1.1 ML2027-2028'!$J:$J,"TD",'PL1.1 ML2027-2028'!$M:$M,"IP",'PL1.1 ML2027-2028'!$K:$K,'TH theo DV_Tổng'!C13)/$D$1</f>
        <v>0</v>
      </c>
      <c r="S13" s="322">
        <f>SUMIFS('PL1.1 ML2027-2028'!$H:$H,'PL1.1 ML2027-2028'!$J:$J,"TD",'PL1.1 ML2027-2028'!$M:$M,"Mạng cáp",'PL1.1 ML2027-2028'!$K:$K,'TH theo DV_Tổng'!C13)/$D$1</f>
        <v>1.1404723076923076</v>
      </c>
      <c r="T13" s="322">
        <f>SUMIFS('PL1.1 ML2027-2028'!$H:$H,'PL1.1 ML2027-2028'!$J:$J,'TH theo DV_Tổng'!T$3,'PL1.1 ML2027-2028'!$K:$K,'TH theo DV_Tổng'!$C13)/$D$1</f>
        <v>0.97021670000000004</v>
      </c>
      <c r="U13" s="322">
        <f>SUMIFS('PL1.1 ML2027-2028'!$H:$H,'PL1.1 ML2027-2028'!$J:$J,'TH theo DV_Tổng'!U$3,'PL1.1 ML2027-2028'!$K:$K,'TH theo DV_Tổng'!$C13)/$D$1</f>
        <v>1.4610112307692307</v>
      </c>
      <c r="V13" s="323">
        <f>SUM(N13:U13)</f>
        <v>4.3013208745126379</v>
      </c>
      <c r="W13" s="331"/>
      <c r="X13" s="101"/>
      <c r="Y13" s="326">
        <f>D13+N13</f>
        <v>1.9420897779961201</v>
      </c>
      <c r="Z13" s="326">
        <f t="shared" ref="Z13:Z14" si="25">E13+O13</f>
        <v>0</v>
      </c>
      <c r="AA13" s="326">
        <f t="shared" ref="AA13:AA14" si="26">F13+P13</f>
        <v>0</v>
      </c>
      <c r="AB13" s="326">
        <f t="shared" ref="AB13:AB14" si="27">G13+Q13</f>
        <v>0</v>
      </c>
      <c r="AC13" s="326">
        <f t="shared" ref="AC13:AC14" si="28">H13+R13</f>
        <v>0</v>
      </c>
      <c r="AD13" s="326">
        <f t="shared" ref="AD13:AD14" si="29">I13+S13</f>
        <v>1.9747313076923074</v>
      </c>
      <c r="AE13" s="326">
        <f t="shared" ref="AE13:AE14" si="30">J13+T13</f>
        <v>2.4402931149999998</v>
      </c>
      <c r="AF13" s="326">
        <f t="shared" ref="AF13:AF14" si="31">K13+U13</f>
        <v>3.7246555384615379</v>
      </c>
      <c r="AG13" s="323">
        <f>SUM(Y13:AF13)</f>
        <v>10.081769739149966</v>
      </c>
      <c r="AH13" s="84">
        <f t="shared" si="10"/>
        <v>0.16761087750917059</v>
      </c>
      <c r="AI13" s="101"/>
    </row>
    <row r="14" spans="1:35" s="20" customFormat="1" outlineLevel="1">
      <c r="A14" s="14" t="s">
        <v>8</v>
      </c>
      <c r="B14" s="74" t="s">
        <v>376</v>
      </c>
      <c r="C14" s="14" t="s">
        <v>108</v>
      </c>
      <c r="D14" s="326">
        <f>SUMIFS('PL1.1 ML2027-2028'!$G:$G,'PL1.1 ML2027-2028'!$J:$J,'TH theo DV_Tổng'!$D$3,'PL1.1 ML2027-2028'!$K:$K,'TH theo DV_Tổng'!C14)/$D$1</f>
        <v>6.3989126751965122</v>
      </c>
      <c r="E14" s="326">
        <f>SUMIFS('PL1.1 ML2027-2028'!$G:$G,'PL1.1 ML2027-2028'!$J:$J,'TH theo DV_Tổng'!$E$3,'PL1.1 ML2027-2028'!$K:$K,'TH theo DV_Tổng'!C14)/$D$1</f>
        <v>3.4853688571428574</v>
      </c>
      <c r="F14" s="326">
        <f>SUMIFS('PL1.1 ML2027-2028'!$G:$G,'PL1.1 ML2027-2028'!$J:$J,'TH theo DV_Tổng'!$F$3,'PL1.1 ML2027-2028'!$K:$K,'TH theo DV_Tổng'!C14)/$D$1</f>
        <v>0</v>
      </c>
      <c r="G14" s="326">
        <f>SUMIFS('PL1.1 ML2027-2028'!$G:$G,'PL1.1 ML2027-2028'!$J:$J,'TH theo DV_Tổng'!$G$3,'PL1.1 ML2027-2028'!$K:$K,'TH theo DV_Tổng'!C14)/$D$1</f>
        <v>0</v>
      </c>
      <c r="H14" s="322">
        <f>(SUMIFS('PL1.1 ML2027-2028'!$G:$G,'PL1.1 ML2027-2028'!$J:$J,"TD",'PL1.1 ML2027-2028'!$M:$M,"IP",'PL1.1 ML2027-2028'!$K:$K,'TH theo DV_Tổng'!C17)/$D$1+SUMIFS('PL1.1 ML2027-2028'!$G:$G,'PL1.1 ML2027-2028'!$J:$J,"TD",'PL1.1 ML2027-2028'!$M:$M,"IP",'PL1.1 ML2027-2028'!$K:$K,'TH theo DV_Tổng'!C28)/$D$1+SUMIFS('PL1.1 ML2027-2028'!$G:$G,'PL1.1 ML2027-2028'!$J:$J,"TD",'PL1.1 ML2027-2028'!$M:$M,"IP",'PL1.1 ML2027-2028'!$K:$K,'TH theo DV_Tổng'!C29)/$D$1+SUMIFS('PL1.1 ML2027-2028'!$G:$G,'PL1.1 ML2027-2028'!$J:$J,"TD",'PL1.1 ML2027-2028'!$M:$M,"IP",'PL1.1 ML2027-2028'!$K:$K,'TH theo DV_Tổng'!C13)/$D$1+SUMIFS('PL1.1 ML2027-2028'!$G:$G,'PL1.1 ML2027-2028'!$J:$J,"TD",'PL1.1 ML2027-2028'!$M:$M,"IP",'PL1.1 ML2027-2028'!$K:$K,'TH theo DV_Tổng'!C14)/$D$1)*96/100-H13</f>
        <v>2.52138624</v>
      </c>
      <c r="I14" s="322">
        <f>SUMIFS('PL1.1 ML2027-2028'!$G:$G,'PL1.1 ML2027-2028'!$J:$J,"TD",'PL1.1 ML2027-2028'!$M:$M,"Mạng cáp",'PL1.1 ML2027-2028'!$K:$K,'TH theo DV_Tổng'!C14)/$D$1</f>
        <v>3.5299999999999998E-2</v>
      </c>
      <c r="J14" s="325">
        <f>SUMIFS('PL1.1 ML2027-2028'!$G:$G,'PL1.1 ML2027-2028'!$J:$J,'TH theo DV_Tổng'!$J$3,'PL1.1 ML2027-2028'!$K:$K,'TH theo DV_Tổng'!C14)/$D$1</f>
        <v>0.43526727000000004</v>
      </c>
      <c r="K14" s="322">
        <f>SUMIFS('PL1.1 ML2027-2028'!$G:$G,'PL1.1 ML2027-2028'!$J:$J,'TH theo DV_Tổng'!K$3,'PL1.1 ML2027-2028'!$K:$K,'TH theo DV_Tổng'!C14)/$D$1</f>
        <v>0.37192109036863408</v>
      </c>
      <c r="L14" s="323">
        <f>SUM(D14:K14)</f>
        <v>13.248156132708003</v>
      </c>
      <c r="M14" s="102">
        <f t="shared" si="11"/>
        <v>0.41139628375803089</v>
      </c>
      <c r="N14" s="322">
        <f>SUMIFS('PL1.1 ML2027-2028'!$H:$H,'PL1.1 ML2027-2028'!$J:$J,'TH theo DV_Tổng'!N$3,'PL1.1 ML2027-2028'!$K:$K,'TH theo DV_Tổng'!$C14)/$D$1</f>
        <v>6.433484307907742</v>
      </c>
      <c r="O14" s="322">
        <f>SUMIFS('PL1.1 ML2027-2028'!$H:$H,'PL1.1 ML2027-2028'!$J:$J,'TH theo DV_Tổng'!O$3,'PL1.1 ML2027-2028'!$K:$K,'TH theo DV_Tổng'!$C14)/$D$1</f>
        <v>0.44550000000000001</v>
      </c>
      <c r="P14" s="322">
        <f>SUMIFS('PL1.1 ML2027-2028'!$H:$H,'PL1.1 ML2027-2028'!$J:$J,'TH theo DV_Tổng'!P$3,'PL1.1 ML2027-2028'!$K:$K,'TH theo DV_Tổng'!$C14)/$D$1</f>
        <v>0</v>
      </c>
      <c r="Q14" s="322">
        <f>SUMIFS('PL1.1 ML2027-2028'!$H:$H,'PL1.1 ML2027-2028'!$J:$J,'TH theo DV_Tổng'!Q$3,'PL1.1 ML2027-2028'!$K:$K,'TH theo DV_Tổng'!$C14)/$D$1</f>
        <v>0</v>
      </c>
      <c r="R14" s="322">
        <f>(SUMIFS('PL1.1 ML2027-2028'!$H:$H,'PL1.1 ML2027-2028'!$J:$J,"TD",'PL1.1 ML2027-2028'!$M:$M,"IP",'PL1.1 ML2027-2028'!$K:$K,'TH theo DV_Tổng'!C17)/$D$1+SUMIFS('PL1.1 ML2027-2028'!$H:$H,'PL1.1 ML2027-2028'!$J:$J,"TD",'PL1.1 ML2027-2028'!$M:$M,"IP",'PL1.1 ML2027-2028'!$K:$K,'TH theo DV_Tổng'!C28)+SUMIFS('PL1.1 ML2027-2028'!$H:$H,'PL1.1 ML2027-2028'!$J:$J,"TD",'PL1.1 ML2027-2028'!$M:$M,"IP",'PL1.1 ML2027-2028'!$K:$K,'TH theo DV_Tổng'!C29)/$D$1)*96/100</f>
        <v>0.60844799999999988</v>
      </c>
      <c r="S14" s="322">
        <f>(SUMIFS('PL1.1 ML2027-2028'!$H:$H,'PL1.1 ML2027-2028'!$J:$J,"TD",'PL1.1 ML2027-2028'!$M:$M,"Mạng cáp",'PL1.1 ML2027-2028'!$K:$K,'TH theo DV_Tổng'!C14)/$D$1+SUMIFS('PL1.1 ML2027-2028'!$H:$H,'PL1.1 ML2027-2028'!$J:$J,"TD",'PL1.1 ML2027-2028'!$M:$M,"Mạng cáp",'PL1.1 ML2027-2028'!$K:$K,'TH theo DV_Tổng'!C17)/$D$1+SUMIFS('PL1.1 ML2027-2028'!$H:$H,'PL1.1 ML2027-2028'!$J:$J,"TD",'PL1.1 ML2027-2028'!$M:$M,"Mạng cáp",'PL1.1 ML2027-2028'!$K:$K,'TH theo DV_Tổng'!C28)/$D$1+SUMIFS('PL1.1 ML2027-2028'!$H:$H,'PL1.1 ML2027-2028'!$J:$J,"TD",'PL1.1 ML2027-2028'!$M:$M,"Mạng cáp",'PL1.1 ML2027-2028'!$K:$K,'TH theo DV_Tổng'!C29)/$D$1)*0.96</f>
        <v>4.6755839999999993E-2</v>
      </c>
      <c r="T14" s="322">
        <f>SUMIFS('PL1.1 ML2027-2028'!$H:$H,'PL1.1 ML2027-2028'!$J:$J,'TH theo DV_Tổng'!T$3,'PL1.1 ML2027-2028'!$K:$K,'TH theo DV_Tổng'!$C14)/$D$1</f>
        <v>0.86092614000000001</v>
      </c>
      <c r="U14" s="322">
        <f>SUMIFS('PL1.1 ML2027-2028'!$H:$H,'PL1.1 ML2027-2028'!$J:$J,'TH theo DV_Tổng'!U$3,'PL1.1 ML2027-2028'!$K:$K,'TH theo DV_Tổng'!$C14)/$D$1</f>
        <v>2.3233323137864903</v>
      </c>
      <c r="V14" s="323">
        <f>SUM(N14:U14)</f>
        <v>10.718446601694232</v>
      </c>
      <c r="W14" s="331"/>
      <c r="X14" s="101"/>
      <c r="Y14" s="326">
        <f>D14+N14</f>
        <v>12.832396983104253</v>
      </c>
      <c r="Z14" s="326">
        <f t="shared" si="25"/>
        <v>3.9308688571428574</v>
      </c>
      <c r="AA14" s="326">
        <f t="shared" si="26"/>
        <v>0</v>
      </c>
      <c r="AB14" s="326">
        <f t="shared" si="27"/>
        <v>0</v>
      </c>
      <c r="AC14" s="326">
        <f t="shared" si="28"/>
        <v>3.1298342400000001</v>
      </c>
      <c r="AD14" s="326">
        <f t="shared" si="29"/>
        <v>8.2055839999999991E-2</v>
      </c>
      <c r="AE14" s="326">
        <f t="shared" si="30"/>
        <v>1.2961934100000001</v>
      </c>
      <c r="AF14" s="326">
        <f t="shared" si="31"/>
        <v>2.6952534041551246</v>
      </c>
      <c r="AG14" s="323">
        <f>SUM(Y14:AF14)</f>
        <v>23.966602734402237</v>
      </c>
      <c r="AH14" s="84">
        <f t="shared" si="10"/>
        <v>0.39844823073350022</v>
      </c>
      <c r="AI14" s="101"/>
    </row>
    <row r="15" spans="1:35" s="20" customFormat="1" outlineLevel="1">
      <c r="A15" s="75">
        <v>2</v>
      </c>
      <c r="B15" s="79" t="s">
        <v>178</v>
      </c>
      <c r="C15" s="14"/>
      <c r="D15" s="325">
        <f t="shared" ref="D15:G15" si="32">SUBTOTAL(9,D16:D19)</f>
        <v>0</v>
      </c>
      <c r="E15" s="325">
        <f t="shared" si="32"/>
        <v>0</v>
      </c>
      <c r="F15" s="325">
        <f>SUBTOTAL(9,F16:F19)</f>
        <v>0.41670820260526314</v>
      </c>
      <c r="G15" s="325">
        <f t="shared" si="32"/>
        <v>0</v>
      </c>
      <c r="H15" s="325">
        <f>SUBTOTAL(9,H16:H19)</f>
        <v>0.10505775999999999</v>
      </c>
      <c r="I15" s="325">
        <f>SUBTOTAL(9,I16:I19)</f>
        <v>0</v>
      </c>
      <c r="J15" s="325">
        <f t="shared" ref="J15:K15" si="33">SUBTOTAL(9,J16:J19)</f>
        <v>0</v>
      </c>
      <c r="K15" s="325">
        <f t="shared" si="33"/>
        <v>0</v>
      </c>
      <c r="L15" s="325">
        <f>SUBTOTAL(9,L16:L19)</f>
        <v>0.52176596260526309</v>
      </c>
      <c r="M15" s="102">
        <f t="shared" si="11"/>
        <v>1.6202449296116552E-2</v>
      </c>
      <c r="N15" s="320">
        <f>SUBTOTAL(9,N16:N19)</f>
        <v>0</v>
      </c>
      <c r="O15" s="320">
        <f t="shared" ref="O15:U15" si="34">SUBTOTAL(9,O16:O19)</f>
        <v>0</v>
      </c>
      <c r="P15" s="320">
        <f t="shared" si="34"/>
        <v>0.30299880173684207</v>
      </c>
      <c r="Q15" s="320">
        <f t="shared" si="34"/>
        <v>0</v>
      </c>
      <c r="R15" s="325">
        <f>SUBTOTAL(9,R16:R19)</f>
        <v>2.5351999999999996E-2</v>
      </c>
      <c r="S15" s="325">
        <f>SUBTOTAL(9,S16:S19)</f>
        <v>1.94816E-3</v>
      </c>
      <c r="T15" s="320">
        <f t="shared" si="34"/>
        <v>0</v>
      </c>
      <c r="U15" s="325">
        <f t="shared" si="34"/>
        <v>0</v>
      </c>
      <c r="V15" s="325">
        <f>SUBTOTAL(9,V16:V19)</f>
        <v>0.33029896173684209</v>
      </c>
      <c r="W15" s="330">
        <f>V15/$V$4</f>
        <v>1.1761215419388363E-2</v>
      </c>
      <c r="X15" s="101"/>
      <c r="Y15" s="325">
        <f t="shared" ref="Y15:AG15" si="35">SUBTOTAL(9,Y16:Y19)</f>
        <v>0</v>
      </c>
      <c r="Z15" s="325">
        <f t="shared" si="35"/>
        <v>0</v>
      </c>
      <c r="AA15" s="325">
        <f t="shared" si="35"/>
        <v>0.71970700434210522</v>
      </c>
      <c r="AB15" s="325">
        <f t="shared" si="35"/>
        <v>0</v>
      </c>
      <c r="AC15" s="325">
        <f t="shared" si="35"/>
        <v>0.13040975999999999</v>
      </c>
      <c r="AD15" s="325">
        <f t="shared" si="35"/>
        <v>1.94816E-3</v>
      </c>
      <c r="AE15" s="325">
        <f t="shared" si="35"/>
        <v>0</v>
      </c>
      <c r="AF15" s="325">
        <f t="shared" si="35"/>
        <v>0</v>
      </c>
      <c r="AG15" s="325">
        <f>SUBTOTAL(9,AG16:AG19)</f>
        <v>0.85206492434210523</v>
      </c>
      <c r="AH15" s="84">
        <f t="shared" si="10"/>
        <v>1.416570238746661E-2</v>
      </c>
      <c r="AI15" s="101"/>
    </row>
    <row r="16" spans="1:35" s="20" customFormat="1" ht="14.65" customHeight="1" outlineLevel="1">
      <c r="A16" s="14" t="s">
        <v>8</v>
      </c>
      <c r="B16" s="74" t="s">
        <v>101</v>
      </c>
      <c r="C16" s="30" t="s">
        <v>109</v>
      </c>
      <c r="D16" s="326">
        <f>SUMIFS('PL1.1 ML2027-2028'!$G:$G,'PL1.1 ML2027-2028'!$J:$J,'TH theo DV_Tổng'!$D$3,'PL1.1 ML2027-2028'!$K:$K,'TH theo DV_Tổng'!C16)/$D$1</f>
        <v>0</v>
      </c>
      <c r="E16" s="326">
        <f>SUMIFS('PL1.1 ML2027-2028'!$G:$G,'PL1.1 ML2027-2028'!$J:$J,'TH theo DV_Tổng'!$E$3,'PL1.1 ML2027-2028'!$K:$K,'TH theo DV_Tổng'!C16)/$D$1</f>
        <v>0</v>
      </c>
      <c r="F16" s="326">
        <f>SUMIFS('PL1.1 ML2027-2028'!$G:$G,'PL1.1 ML2027-2028'!$J:$J,'TH theo DV_Tổng'!$F$3,'PL1.1 ML2027-2028'!$K:$K,'TH theo DV_Tổng'!C16)/$D$1</f>
        <v>0</v>
      </c>
      <c r="G16" s="326">
        <f>SUMIFS('PL1.1 ML2027-2028'!$G:$G,'PL1.1 ML2027-2028'!$J:$J,'TH theo DV_Tổng'!$G$3,'PL1.1 ML2027-2028'!$K:$K,'TH theo DV_Tổng'!C16)/$D$1</f>
        <v>0</v>
      </c>
      <c r="H16" s="322">
        <f>SUMIFS('PL1.1 ML2027-2028'!$G:$G,'PL1.1 ML2027-2028'!$J:$J,"TD",'PL1.1 ML2027-2028'!$M:$M,"IP",'PL1.1 ML2027-2028'!$K:$K,'TH theo DV_Tổng'!C16)/$D$1</f>
        <v>0</v>
      </c>
      <c r="I16" s="322">
        <f>SUMIFS('PL1.1 ML2027-2028'!$G:$G,'PL1.1 ML2027-2028'!$J:$J,"TD",'PL1.1 ML2027-2028'!$M:$M,"Mạng cáp",'PL1.1 ML2027-2028'!$K:$K,'TH theo DV_Tổng'!C16)/$D$1</f>
        <v>0</v>
      </c>
      <c r="J16" s="326">
        <f>SUMIFS('PL1.1 ML2027-2028'!$G:$G,'PL1.1 ML2027-2028'!$J:$J,'TH theo DV_Tổng'!$J$3,'PL1.1 ML2027-2028'!$K:$K,'TH theo DV_Tổng'!C16)/$D$1</f>
        <v>0</v>
      </c>
      <c r="K16" s="322">
        <f>SUMIFS('PL1.1 ML2027-2028'!$G:$G,'PL1.1 ML2027-2028'!$J:$J,'TH theo DV_Tổng'!K$3,'PL1.1 ML2027-2028'!$K:$K,'TH theo DV_Tổng'!C16)/$D$1</f>
        <v>0</v>
      </c>
      <c r="L16" s="323">
        <f t="shared" ref="L16:L21" si="36">SUM(D16:K16)</f>
        <v>0</v>
      </c>
      <c r="M16" s="102">
        <f t="shared" si="11"/>
        <v>0</v>
      </c>
      <c r="N16" s="322">
        <f>SUMIFS('PL1.1 ML2027-2028'!$H:$H,'PL1.1 ML2027-2028'!$J:$J,'TH theo DV_Tổng'!N$3,'PL1.1 ML2027-2028'!$K:$K,'TH theo DV_Tổng'!$C16)/$D$1</f>
        <v>0</v>
      </c>
      <c r="O16" s="322">
        <f>SUMIFS('PL1.1 ML2027-2028'!$H:$H,'PL1.1 ML2027-2028'!$J:$J,'TH theo DV_Tổng'!O$3,'PL1.1 ML2027-2028'!$K:$K,'TH theo DV_Tổng'!$C16)/$D$1</f>
        <v>0</v>
      </c>
      <c r="P16" s="322">
        <f>SUMIFS('PL1.1 ML2027-2028'!$H:$H,'PL1.1 ML2027-2028'!$J:$J,'TH theo DV_Tổng'!P$3,'PL1.1 ML2027-2028'!$K:$K,'TH theo DV_Tổng'!$C16)/$D$1</f>
        <v>0</v>
      </c>
      <c r="Q16" s="322">
        <f>SUMIFS('PL1.1 ML2027-2028'!$H:$H,'PL1.1 ML2027-2028'!$J:$J,'TH theo DV_Tổng'!Q$3,'PL1.1 ML2027-2028'!$K:$K,'TH theo DV_Tổng'!$C16)/$D$1</f>
        <v>0</v>
      </c>
      <c r="R16" s="322">
        <f>SUMIFS('PL1.1 ML2027-2028'!$H:$H,'PL1.1 ML2027-2028'!$J:$J,"TD",'PL1.1 ML2027-2028'!$M:$M,"IP",'PL1.1 ML2027-2028'!$K:$K,'TH theo DV_Tổng'!C16)/$D$1</f>
        <v>0</v>
      </c>
      <c r="S16" s="322">
        <f>SUMIFS('PL1.1 ML2027-2028'!$H:$H,'PL1.1 ML2027-2028'!$J:$J,"TD",'PL1.1 ML2027-2028'!$M:$M,"Mạng cáp",'PL1.1 ML2027-2028'!$K:$K,'TH theo DV_Tổng'!C16)/$D$1</f>
        <v>0</v>
      </c>
      <c r="T16" s="322">
        <f>SUMIFS('PL1.1 ML2027-2028'!$H:$H,'PL1.1 ML2027-2028'!$J:$J,'TH theo DV_Tổng'!T$3,'PL1.1 ML2027-2028'!$K:$K,'TH theo DV_Tổng'!$C16)/$D$1</f>
        <v>0</v>
      </c>
      <c r="U16" s="322">
        <f>SUMIFS('PL1.1 ML2027-2028'!$H:$H,'PL1.1 ML2027-2028'!$J:$J,'TH theo DV_Tổng'!U$3,'PL1.1 ML2027-2028'!$K:$K,'TH theo DV_Tổng'!$C16)/$D$1</f>
        <v>0</v>
      </c>
      <c r="V16" s="323">
        <f t="shared" ref="V16:V17" si="37">SUM(N16:U16)</f>
        <v>0</v>
      </c>
      <c r="W16" s="331"/>
      <c r="X16" s="102"/>
      <c r="Y16" s="326">
        <f>D16+N16</f>
        <v>0</v>
      </c>
      <c r="Z16" s="326">
        <f t="shared" ref="Z16:Z21" si="38">E16+O16</f>
        <v>0</v>
      </c>
      <c r="AA16" s="326">
        <f t="shared" ref="AA16:AA21" si="39">F16+P16</f>
        <v>0</v>
      </c>
      <c r="AB16" s="326">
        <f t="shared" ref="AB16:AB21" si="40">G16+Q16</f>
        <v>0</v>
      </c>
      <c r="AC16" s="326">
        <f t="shared" ref="AC16:AC21" si="41">H16+R16</f>
        <v>0</v>
      </c>
      <c r="AD16" s="326">
        <f t="shared" ref="AD16:AD21" si="42">I16+S16</f>
        <v>0</v>
      </c>
      <c r="AE16" s="326">
        <f t="shared" ref="AE16:AE21" si="43">J16+T16</f>
        <v>0</v>
      </c>
      <c r="AF16" s="326">
        <f t="shared" ref="AF16:AF21" si="44">K16+U16</f>
        <v>0</v>
      </c>
      <c r="AG16" s="323">
        <f t="shared" ref="AG16:AG17" si="45">SUM(Y16:AF16)</f>
        <v>0</v>
      </c>
      <c r="AH16" s="84">
        <f t="shared" si="10"/>
        <v>0</v>
      </c>
      <c r="AI16" s="102"/>
    </row>
    <row r="17" spans="1:35" s="20" customFormat="1" outlineLevel="1">
      <c r="A17" s="14" t="s">
        <v>8</v>
      </c>
      <c r="B17" s="74" t="s">
        <v>116</v>
      </c>
      <c r="C17" s="30" t="s">
        <v>110</v>
      </c>
      <c r="D17" s="326">
        <f>SUMIFS('PL1.1 ML2027-2028'!$G:$G,'PL1.1 ML2027-2028'!$J:$J,'TH theo DV_Tổng'!$D$3,'PL1.1 ML2027-2028'!$K:$K,'TH theo DV_Tổng'!C17)/$D$1</f>
        <v>0</v>
      </c>
      <c r="E17" s="326">
        <f>SUMIFS('PL1.1 ML2027-2028'!$G:$G,'PL1.1 ML2027-2028'!$J:$J,'TH theo DV_Tổng'!$E$3,'PL1.1 ML2027-2028'!$K:$K,'TH theo DV_Tổng'!C17)/$D$1</f>
        <v>0</v>
      </c>
      <c r="F17" s="326">
        <f>SUMIFS('PL1.1 ML2027-2028'!$G:$G,'PL1.1 ML2027-2028'!$J:$J,'TH theo DV_Tổng'!$F$3,'PL1.1 ML2027-2028'!$K:$K,'TH theo DV_Tổng'!C17)/$D$1</f>
        <v>0</v>
      </c>
      <c r="G17" s="326">
        <f>SUMIFS('PL1.1 ML2027-2028'!$G:$G,'PL1.1 ML2027-2028'!$J:$J,'TH theo DV_Tổng'!$G$3,'PL1.1 ML2027-2028'!$K:$K,'TH theo DV_Tổng'!C17)/$D$1</f>
        <v>0</v>
      </c>
      <c r="H17" s="322">
        <f>(SUMIFS('PL1.1 ML2027-2028'!$G:$G,'PL1.1 ML2027-2028'!$J:$J,"TD",'PL1.1 ML2027-2028'!$M:$M,"IP",'PL1.1 ML2027-2028'!$K:$K,'TH theo DV_Tổng'!C17)/$D$1+SUMIFS('PL1.1 ML2027-2028'!$G:$G,'PL1.1 ML2027-2028'!$J:$J,"TD",'PL1.1 ML2027-2028'!$M:$M,"IP",'PL1.1 ML2027-2028'!$K:$K,'TH theo DV_Tổng'!C28)+SUMIFS('PL1.1 ML2027-2028'!$G:$G,'PL1.1 ML2027-2028'!$J:$J,"TD",'PL1.1 ML2027-2028'!$M:$M,"IP",'PL1.1 ML2027-2028'!$K:$K,'TH theo DV_Tổng'!C29)/$D$1)*4/100</f>
        <v>0.10505775999999999</v>
      </c>
      <c r="I17" s="322">
        <f>SUMIFS('PL1.1 ML2027-2028'!$G:$G,'PL1.1 ML2027-2028'!$J:$J,"TD",'PL1.1 ML2027-2028'!$M:$M,"Mạng cáp",'PL1.1 ML2027-2028'!$K:$K,'TH theo DV_Tổng'!C17)/$D$1</f>
        <v>0</v>
      </c>
      <c r="J17" s="326">
        <f>SUMIFS('PL1.1 ML2027-2028'!$G:$G,'PL1.1 ML2027-2028'!$J:$J,'TH theo DV_Tổng'!$J$3,'PL1.1 ML2027-2028'!$K:$K,'TH theo DV_Tổng'!C17)/$D$1</f>
        <v>0</v>
      </c>
      <c r="K17" s="322">
        <f>SUMIFS('PL1.1 ML2027-2028'!$G:$G,'PL1.1 ML2027-2028'!$J:$J,'TH theo DV_Tổng'!K$3,'PL1.1 ML2027-2028'!$K:$K,'TH theo DV_Tổng'!C17)/$D$1</f>
        <v>0</v>
      </c>
      <c r="L17" s="323">
        <f t="shared" si="36"/>
        <v>0.10505775999999999</v>
      </c>
      <c r="M17" s="102">
        <f t="shared" si="11"/>
        <v>3.2623688618250457E-3</v>
      </c>
      <c r="N17" s="322">
        <f>SUMIFS('PL1.1 ML2027-2028'!$H:$H,'PL1.1 ML2027-2028'!$J:$J,'TH theo DV_Tổng'!N$3,'PL1.1 ML2027-2028'!$K:$K,'TH theo DV_Tổng'!$C17)/$D$1</f>
        <v>0</v>
      </c>
      <c r="O17" s="322">
        <f>SUMIFS('PL1.1 ML2027-2028'!$H:$H,'PL1.1 ML2027-2028'!$J:$J,'TH theo DV_Tổng'!O$3,'PL1.1 ML2027-2028'!$K:$K,'TH theo DV_Tổng'!$C17)/$D$1</f>
        <v>0</v>
      </c>
      <c r="P17" s="322">
        <f>SUMIFS('PL1.1 ML2027-2028'!$H:$H,'PL1.1 ML2027-2028'!$J:$J,'TH theo DV_Tổng'!P$3,'PL1.1 ML2027-2028'!$K:$K,'TH theo DV_Tổng'!$C17)/$D$1</f>
        <v>0</v>
      </c>
      <c r="Q17" s="322">
        <f>SUMIFS('PL1.1 ML2027-2028'!$H:$H,'PL1.1 ML2027-2028'!$J:$J,'TH theo DV_Tổng'!Q$3,'PL1.1 ML2027-2028'!$K:$K,'TH theo DV_Tổng'!$C17)/$D$1</f>
        <v>0</v>
      </c>
      <c r="R17" s="322">
        <f>(SUMIFS('PL1.1 ML2027-2028'!$H:$H,'PL1.1 ML2027-2028'!$J:$J,"TD",'PL1.1 ML2027-2028'!$M:$M,"IP",'PL1.1 ML2027-2028'!$K:$K,'TH theo DV_Tổng'!C17)/$D$1+SUMIFS('PL1.1 ML2027-2028'!$H:$H,'PL1.1 ML2027-2028'!$J:$J,"TD",'PL1.1 ML2027-2028'!$M:$M,"IP",'PL1.1 ML2027-2028'!$K:$K,'TH theo DV_Tổng'!C28)+SUMIFS('PL1.1 ML2027-2028'!$H:$H,'PL1.1 ML2027-2028'!$J:$J,"TD",'PL1.1 ML2027-2028'!$M:$M,"IP",'PL1.1 ML2027-2028'!$K:$K,'TH theo DV_Tổng'!C29)/$D$1)*4/100</f>
        <v>2.5351999999999996E-2</v>
      </c>
      <c r="S17" s="322">
        <f>(SUMIFS('PL1.1 ML2027-2028'!$H:$H,'PL1.1 ML2027-2028'!$J:$J,"TD",'PL1.1 ML2027-2028'!$M:$M,"Mạng cáp",'PL1.1 ML2027-2028'!$K:$K,'TH theo DV_Tổng'!C14)/$D$1+SUMIFS('PL1.1 ML2027-2028'!$H:$H,'PL1.1 ML2027-2028'!$J:$J,"TD",'PL1.1 ML2027-2028'!$M:$M,"Mạng cáp",'PL1.1 ML2027-2028'!$K:$K,'TH theo DV_Tổng'!C17)/$D$1+SUMIFS('PL1.1 ML2027-2028'!$H:$H,'PL1.1 ML2027-2028'!$J:$J,"TD",'PL1.1 ML2027-2028'!$M:$M,"Mạng cáp",'PL1.1 ML2027-2028'!$K:$K,'TH theo DV_Tổng'!C28)/$D$1+SUMIFS('PL1.1 ML2027-2028'!$H:$H,'PL1.1 ML2027-2028'!$J:$J,"TD",'PL1.1 ML2027-2028'!$M:$M,"Mạng cáp",'PL1.1 ML2027-2028'!$K:$K,'TH theo DV_Tổng'!C29)/$D$1)*0.04</f>
        <v>1.94816E-3</v>
      </c>
      <c r="T17" s="322">
        <f>SUMIFS('PL1.1 ML2027-2028'!$H:$H,'PL1.1 ML2027-2028'!$J:$J,'TH theo DV_Tổng'!T$3,'PL1.1 ML2027-2028'!$K:$K,'TH theo DV_Tổng'!$C17)/$D$1</f>
        <v>0</v>
      </c>
      <c r="U17" s="322">
        <f>SUMIFS('PL1.1 ML2027-2028'!$H:$H,'PL1.1 ML2027-2028'!$J:$J,'TH theo DV_Tổng'!U$3,'PL1.1 ML2027-2028'!$K:$K,'TH theo DV_Tổng'!$C17)/$D$1</f>
        <v>0</v>
      </c>
      <c r="V17" s="323">
        <f t="shared" si="37"/>
        <v>2.7300159999999997E-2</v>
      </c>
      <c r="W17" s="331"/>
      <c r="X17" s="102"/>
      <c r="Y17" s="326">
        <f>D17+N17</f>
        <v>0</v>
      </c>
      <c r="Z17" s="326">
        <f t="shared" si="38"/>
        <v>0</v>
      </c>
      <c r="AA17" s="326">
        <f t="shared" si="39"/>
        <v>0</v>
      </c>
      <c r="AB17" s="326">
        <f t="shared" si="40"/>
        <v>0</v>
      </c>
      <c r="AC17" s="326">
        <f t="shared" si="41"/>
        <v>0.13040975999999999</v>
      </c>
      <c r="AD17" s="326">
        <f t="shared" si="42"/>
        <v>1.94816E-3</v>
      </c>
      <c r="AE17" s="326">
        <f t="shared" si="43"/>
        <v>0</v>
      </c>
      <c r="AF17" s="326">
        <f t="shared" si="44"/>
        <v>0</v>
      </c>
      <c r="AG17" s="323">
        <f t="shared" si="45"/>
        <v>0.13235791999999999</v>
      </c>
      <c r="AH17" s="84">
        <f t="shared" si="10"/>
        <v>2.2004695297037275E-3</v>
      </c>
      <c r="AI17" s="102"/>
    </row>
    <row r="18" spans="1:35" s="20" customFormat="1" outlineLevel="1">
      <c r="A18" s="14" t="s">
        <v>8</v>
      </c>
      <c r="B18" s="74" t="s">
        <v>117</v>
      </c>
      <c r="C18" s="14" t="s">
        <v>105</v>
      </c>
      <c r="D18" s="326">
        <f>SUMIFS('PL1.1 ML2027-2028'!$G:$G,'PL1.1 ML2027-2028'!$J:$J,'TH theo DV_Tổng'!$D$3,'PL1.1 ML2027-2028'!$K:$K,'TH theo DV_Tổng'!C18)/$D$1</f>
        <v>0</v>
      </c>
      <c r="E18" s="326">
        <f>SUMIFS('PL1.1 ML2027-2028'!$G:$G,'PL1.1 ML2027-2028'!$J:$J,'TH theo DV_Tổng'!$E$3,'PL1.1 ML2027-2028'!$K:$K,'TH theo DV_Tổng'!C18)/$D$1</f>
        <v>0</v>
      </c>
      <c r="F18" s="326">
        <f>SUMIFS('PL1.1 ML2027-2028'!$G:$G,'PL1.1 ML2027-2028'!$J:$J,'TH theo DV_Tổng'!$F$3,'PL1.1 ML2027-2028'!$K:$K,'TH theo DV_Tổng'!C18)/$D$1</f>
        <v>0</v>
      </c>
      <c r="G18" s="326">
        <f>SUMIFS('PL1.1 ML2027-2028'!$G:$G,'PL1.1 ML2027-2028'!$J:$J,'TH theo DV_Tổng'!$G$3,'PL1.1 ML2027-2028'!$K:$K,'TH theo DV_Tổng'!C18)/$D$1</f>
        <v>0</v>
      </c>
      <c r="H18" s="322">
        <f>SUMIFS('PL1.1 ML2027-2028'!$G:$G,'PL1.1 ML2027-2028'!$J:$J,"TD",'PL1.1 ML2027-2028'!$M:$M,"IP",'PL1.1 ML2027-2028'!$K:$K,'TH theo DV_Tổng'!C18)/$D$1</f>
        <v>0</v>
      </c>
      <c r="I18" s="322">
        <f>SUMIFS('PL1.1 ML2027-2028'!$G:$G,'PL1.1 ML2027-2028'!$J:$J,"TD",'PL1.1 ML2027-2028'!$M:$M,"Mạng cáp",'PL1.1 ML2027-2028'!$K:$K,'TH theo DV_Tổng'!C18)/$D$1</f>
        <v>0</v>
      </c>
      <c r="J18" s="326">
        <f>SUMIFS('PL1.1 ML2027-2028'!$G:$G,'PL1.1 ML2027-2028'!$J:$J,'TH theo DV_Tổng'!$J$3,'PL1.1 ML2027-2028'!$K:$K,'TH theo DV_Tổng'!C18)/$D$1</f>
        <v>0</v>
      </c>
      <c r="K18" s="322">
        <f>SUMIFS('PL1.1 ML2027-2028'!$G:$G,'PL1.1 ML2027-2028'!$J:$J,'TH theo DV_Tổng'!K$3,'PL1.1 ML2027-2028'!$K:$K,'TH theo DV_Tổng'!C18)/$D$1</f>
        <v>0</v>
      </c>
      <c r="L18" s="323">
        <f t="shared" si="36"/>
        <v>0</v>
      </c>
      <c r="M18" s="102">
        <f t="shared" si="11"/>
        <v>0</v>
      </c>
      <c r="N18" s="322">
        <f>SUMIFS('PL1.1 ML2027-2028'!$H:$H,'PL1.1 ML2027-2028'!$J:$J,'TH theo DV_Tổng'!N$3,'PL1.1 ML2027-2028'!$K:$K,'TH theo DV_Tổng'!$C18)/$D$1</f>
        <v>0</v>
      </c>
      <c r="O18" s="322">
        <f>SUMIFS('PL1.1 ML2027-2028'!$H:$H,'PL1.1 ML2027-2028'!$J:$J,'TH theo DV_Tổng'!O$3,'PL1.1 ML2027-2028'!$K:$K,'TH theo DV_Tổng'!$C18)/$D$1</f>
        <v>0</v>
      </c>
      <c r="P18" s="322">
        <f>SUMIFS('PL1.1 ML2027-2028'!$H:$H,'PL1.1 ML2027-2028'!$J:$J,'TH theo DV_Tổng'!P$3,'PL1.1 ML2027-2028'!$K:$K,'TH theo DV_Tổng'!$C18)/$D$1</f>
        <v>0</v>
      </c>
      <c r="Q18" s="322">
        <f>SUMIFS('PL1.1 ML2027-2028'!$H:$H,'PL1.1 ML2027-2028'!$J:$J,'TH theo DV_Tổng'!Q$3,'PL1.1 ML2027-2028'!$K:$K,'TH theo DV_Tổng'!$C18)/$D$1</f>
        <v>0</v>
      </c>
      <c r="R18" s="322">
        <f>SUMIFS('PL1.1 ML2027-2028'!$H:$H,'PL1.1 ML2027-2028'!$J:$J,"TD",'PL1.1 ML2027-2028'!$M:$M,"IP",'PL1.1 ML2027-2028'!$K:$K,'TH theo DV_Tổng'!C18)/$D$1</f>
        <v>0</v>
      </c>
      <c r="S18" s="322">
        <f>SUMIFS('PL1.1 ML2027-2028'!$H:$H,'PL1.1 ML2027-2028'!$J:$J,"TD",'PL1.1 ML2027-2028'!$M:$M,"Mạng cáp",'PL1.1 ML2027-2028'!$K:$K,'TH theo DV_Tổng'!C18)/$D$1</f>
        <v>0</v>
      </c>
      <c r="T18" s="322">
        <f>SUMIFS('PL1.1 ML2027-2028'!$H:$H,'PL1.1 ML2027-2028'!$J:$J,'TH theo DV_Tổng'!T$3,'PL1.1 ML2027-2028'!$K:$K,'TH theo DV_Tổng'!$C18)/$D$1</f>
        <v>0</v>
      </c>
      <c r="U18" s="322">
        <f>SUMIFS('PL1.1 ML2027-2028'!$H:$H,'PL1.1 ML2027-2028'!$J:$J,'TH theo DV_Tổng'!U$3,'PL1.1 ML2027-2028'!$K:$K,'TH theo DV_Tổng'!$C18)/$D$1</f>
        <v>0</v>
      </c>
      <c r="V18" s="325">
        <f t="shared" ref="V18:V21" si="46">SUM(N18:T18)</f>
        <v>0</v>
      </c>
      <c r="W18" s="331"/>
      <c r="X18" s="102"/>
      <c r="Y18" s="326">
        <f>D18+N18</f>
        <v>0</v>
      </c>
      <c r="Z18" s="326">
        <f t="shared" si="38"/>
        <v>0</v>
      </c>
      <c r="AA18" s="326">
        <f t="shared" si="39"/>
        <v>0</v>
      </c>
      <c r="AB18" s="326">
        <f t="shared" si="40"/>
        <v>0</v>
      </c>
      <c r="AC18" s="326">
        <f t="shared" si="41"/>
        <v>0</v>
      </c>
      <c r="AD18" s="326">
        <f t="shared" si="42"/>
        <v>0</v>
      </c>
      <c r="AE18" s="326">
        <f t="shared" si="43"/>
        <v>0</v>
      </c>
      <c r="AF18" s="326">
        <f t="shared" si="44"/>
        <v>0</v>
      </c>
      <c r="AG18" s="325">
        <f t="shared" ref="AG18:AG21" si="47">SUM(Y18:AE18)</f>
        <v>0</v>
      </c>
      <c r="AH18" s="84">
        <f t="shared" si="10"/>
        <v>0</v>
      </c>
      <c r="AI18" s="102"/>
    </row>
    <row r="19" spans="1:35" s="20" customFormat="1" outlineLevel="1">
      <c r="A19" s="14" t="s">
        <v>8</v>
      </c>
      <c r="B19" s="74" t="s">
        <v>147</v>
      </c>
      <c r="C19" s="14" t="s">
        <v>163</v>
      </c>
      <c r="D19" s="326">
        <f>SUMIFS('PL1.1 ML2027-2028'!$G:$G,'PL1.1 ML2027-2028'!$J:$J,'TH theo DV_Tổng'!$D$3,'PL1.1 ML2027-2028'!$K:$K,'TH theo DV_Tổng'!C19)/$D$1</f>
        <v>0</v>
      </c>
      <c r="E19" s="326">
        <f>SUMIFS('PL1.1 ML2027-2028'!$G:$G,'PL1.1 ML2027-2028'!$J:$J,'TH theo DV_Tổng'!$E$3,'PL1.1 ML2027-2028'!$K:$K,'TH theo DV_Tổng'!C19)/$D$1</f>
        <v>0</v>
      </c>
      <c r="F19" s="326">
        <f>SUMIFS('PL1.1 ML2027-2028'!$G:$G,'PL1.1 ML2027-2028'!$J:$J,'TH theo DV_Tổng'!$F$3,'PL1.1 ML2027-2028'!$K:$K,'TH theo DV_Tổng'!C19)/$D$1</f>
        <v>0.41670820260526314</v>
      </c>
      <c r="G19" s="326">
        <f>SUMIFS('PL1.1 ML2027-2028'!$G:$G,'PL1.1 ML2027-2028'!$J:$J,'TH theo DV_Tổng'!$G$3,'PL1.1 ML2027-2028'!$K:$K,'TH theo DV_Tổng'!C19)/$D$1</f>
        <v>0</v>
      </c>
      <c r="H19" s="322">
        <f>SUMIFS('PL1.1 ML2027-2028'!$G:$G,'PL1.1 ML2027-2028'!$J:$J,"TD",'PL1.1 ML2027-2028'!$M:$M,"IP",'PL1.1 ML2027-2028'!$K:$K,'TH theo DV_Tổng'!C19)/$D$1</f>
        <v>0</v>
      </c>
      <c r="I19" s="322">
        <f>SUMIFS('PL1.1 ML2027-2028'!$G:$G,'PL1.1 ML2027-2028'!$J:$J,"TD",'PL1.1 ML2027-2028'!$M:$M,"Mạng cáp",'PL1.1 ML2027-2028'!$K:$K,'TH theo DV_Tổng'!C19)/$D$1</f>
        <v>0</v>
      </c>
      <c r="J19" s="326">
        <f>SUMIFS('PL1.1 ML2027-2028'!$G:$G,'PL1.1 ML2027-2028'!$J:$J,'TH theo DV_Tổng'!$J$3,'PL1.1 ML2027-2028'!$K:$K,'TH theo DV_Tổng'!C19)/$D$1</f>
        <v>0</v>
      </c>
      <c r="K19" s="322">
        <f>SUMIFS('PL1.1 ML2027-2028'!$G:$G,'PL1.1 ML2027-2028'!$J:$J,'TH theo DV_Tổng'!K$3,'PL1.1 ML2027-2028'!$K:$K,'TH theo DV_Tổng'!C19)/$D$1</f>
        <v>0</v>
      </c>
      <c r="L19" s="323">
        <f t="shared" si="36"/>
        <v>0.41670820260526314</v>
      </c>
      <c r="M19" s="102">
        <f t="shared" si="11"/>
        <v>1.2940080434291507E-2</v>
      </c>
      <c r="N19" s="322">
        <f>SUMIFS('PL1.1 ML2027-2028'!$H:$H,'PL1.1 ML2027-2028'!$J:$J,'TH theo DV_Tổng'!N$3,'PL1.1 ML2027-2028'!$K:$K,'TH theo DV_Tổng'!$C19)/$D$1</f>
        <v>0</v>
      </c>
      <c r="O19" s="322">
        <f>SUMIFS('PL1.1 ML2027-2028'!$H:$H,'PL1.1 ML2027-2028'!$J:$J,'TH theo DV_Tổng'!O$3,'PL1.1 ML2027-2028'!$K:$K,'TH theo DV_Tổng'!$C19)/$D$1</f>
        <v>0</v>
      </c>
      <c r="P19" s="322">
        <f>SUMIFS('PL1.1 ML2027-2028'!$H:$H,'PL1.1 ML2027-2028'!$J:$J,'TH theo DV_Tổng'!P$3,'PL1.1 ML2027-2028'!$K:$K,'TH theo DV_Tổng'!$C19)/$D$1</f>
        <v>0.30299880173684207</v>
      </c>
      <c r="Q19" s="322">
        <f>SUMIFS('PL1.1 ML2027-2028'!$H:$H,'PL1.1 ML2027-2028'!$J:$J,'TH theo DV_Tổng'!Q$3,'PL1.1 ML2027-2028'!$K:$K,'TH theo DV_Tổng'!$C19)/$D$1</f>
        <v>0</v>
      </c>
      <c r="R19" s="322">
        <f>SUMIFS('PL1.1 ML2027-2028'!$H:$H,'PL1.1 ML2027-2028'!$J:$J,"TD",'PL1.1 ML2027-2028'!$M:$M,"IP",'PL1.1 ML2027-2028'!$K:$K,'TH theo DV_Tổng'!C19)/$D$1</f>
        <v>0</v>
      </c>
      <c r="S19" s="322">
        <f>SUMIFS('PL1.1 ML2027-2028'!$H:$H,'PL1.1 ML2027-2028'!$J:$J,"TD",'PL1.1 ML2027-2028'!$M:$M,"Mạng cáp",'PL1.1 ML2027-2028'!$K:$K,'TH theo DV_Tổng'!C19)/$D$1</f>
        <v>0</v>
      </c>
      <c r="T19" s="322">
        <f>SUMIFS('PL1.1 ML2027-2028'!$H:$H,'PL1.1 ML2027-2028'!$J:$J,'TH theo DV_Tổng'!T$3,'PL1.1 ML2027-2028'!$K:$K,'TH theo DV_Tổng'!$C19)/$D$1</f>
        <v>0</v>
      </c>
      <c r="U19" s="322">
        <f>SUMIFS('PL1.1 ML2027-2028'!$H:$H,'PL1.1 ML2027-2028'!$J:$J,'TH theo DV_Tổng'!U$3,'PL1.1 ML2027-2028'!$K:$K,'TH theo DV_Tổng'!$C19)/$D$1</f>
        <v>0</v>
      </c>
      <c r="V19" s="325">
        <f t="shared" si="46"/>
        <v>0.30299880173684207</v>
      </c>
      <c r="W19" s="331"/>
      <c r="X19" s="102"/>
      <c r="Y19" s="326">
        <f>D19+N19</f>
        <v>0</v>
      </c>
      <c r="Z19" s="326">
        <f t="shared" si="38"/>
        <v>0</v>
      </c>
      <c r="AA19" s="326">
        <f t="shared" si="39"/>
        <v>0.71970700434210522</v>
      </c>
      <c r="AB19" s="326">
        <f t="shared" si="40"/>
        <v>0</v>
      </c>
      <c r="AC19" s="326">
        <f t="shared" si="41"/>
        <v>0</v>
      </c>
      <c r="AD19" s="326">
        <f t="shared" si="42"/>
        <v>0</v>
      </c>
      <c r="AE19" s="326">
        <f t="shared" si="43"/>
        <v>0</v>
      </c>
      <c r="AF19" s="326">
        <f t="shared" si="44"/>
        <v>0</v>
      </c>
      <c r="AG19" s="325">
        <f t="shared" si="47"/>
        <v>0.71970700434210522</v>
      </c>
      <c r="AH19" s="84">
        <f t="shared" si="10"/>
        <v>1.1965232857762883E-2</v>
      </c>
      <c r="AI19" s="102"/>
    </row>
    <row r="20" spans="1:35" s="20" customFormat="1" outlineLevel="1">
      <c r="A20" s="75">
        <v>3</v>
      </c>
      <c r="B20" s="79" t="s">
        <v>99</v>
      </c>
      <c r="C20" s="30" t="s">
        <v>103</v>
      </c>
      <c r="D20" s="326">
        <f>SUMIFS('PL1.1 ML2027-2028'!$G:$G,'PL1.1 ML2027-2028'!$J:$J,'TH theo DV_Tổng'!$D$3,'PL1.1 ML2027-2028'!$K:$K,'TH theo DV_Tổng'!C20)/$D$1</f>
        <v>0</v>
      </c>
      <c r="E20" s="326">
        <f>SUMIFS('PL1.1 ML2027-2028'!$G:$G,'PL1.1 ML2027-2028'!$J:$J,'TH theo DV_Tổng'!$E$3,'PL1.1 ML2027-2028'!$K:$K,'TH theo DV_Tổng'!C20)/$D$1</f>
        <v>0</v>
      </c>
      <c r="F20" s="326">
        <f>SUMIFS('PL1.1 ML2027-2028'!$G:$G,'PL1.1 ML2027-2028'!$J:$J,'TH theo DV_Tổng'!$F$3,'PL1.1 ML2027-2028'!$K:$K,'TH theo DV_Tổng'!C20)/$D$1</f>
        <v>0</v>
      </c>
      <c r="G20" s="326">
        <f>SUMIFS('PL1.1 ML2027-2028'!$G:$G,'PL1.1 ML2027-2028'!$J:$J,'TH theo DV_Tổng'!$G$3,'PL1.1 ML2027-2028'!$K:$K,'TH theo DV_Tổng'!C20)/$D$1</f>
        <v>0</v>
      </c>
      <c r="H20" s="322">
        <f>SUMIFS('PL1.1 ML2027-2028'!$G:$G,'PL1.1 ML2027-2028'!$J:$J,"TD",'PL1.1 ML2027-2028'!$M:$M,"IP",'PL1.1 ML2027-2028'!$K:$K,'TH theo DV_Tổng'!C20)/$D$1</f>
        <v>0</v>
      </c>
      <c r="I20" s="322">
        <f>SUMIFS('PL1.1 ML2027-2028'!$G:$G,'PL1.1 ML2027-2028'!$J:$J,"TD",'PL1.1 ML2027-2028'!$M:$M,"Mạng cáp",'PL1.1 ML2027-2028'!$K:$K,'TH theo DV_Tổng'!C20)/$D$1</f>
        <v>0</v>
      </c>
      <c r="J20" s="326">
        <f>SUMIFS('PL1.1 ML2027-2028'!$G:$G,'PL1.1 ML2027-2028'!$J:$J,'TH theo DV_Tổng'!$J$3,'PL1.1 ML2027-2028'!$K:$K,'TH theo DV_Tổng'!C20)/$D$1</f>
        <v>0</v>
      </c>
      <c r="K20" s="326">
        <f>SUMIFS('PL1.1 ML2027-2028'!$G:$G,'PL1.1 ML2027-2028'!$J:$J,'TH theo DV_Tổng'!$J$3,'PL1.1 ML2027-2028'!$K:$K,'TH theo DV_Tổng'!D20)/$D$1</f>
        <v>0</v>
      </c>
      <c r="L20" s="323">
        <f t="shared" si="36"/>
        <v>0</v>
      </c>
      <c r="M20" s="102">
        <f t="shared" si="11"/>
        <v>0</v>
      </c>
      <c r="N20" s="322">
        <f>SUMIFS('PL1.1 ML2027-2028'!$H:$H,'PL1.1 ML2027-2028'!$J:$J,'TH theo DV_Tổng'!N$3,'PL1.1 ML2027-2028'!$K:$K,'TH theo DV_Tổng'!$C20)/$D$1</f>
        <v>0</v>
      </c>
      <c r="O20" s="322">
        <f>SUMIFS('PL1.1 ML2027-2028'!$H:$H,'PL1.1 ML2027-2028'!$J:$J,'TH theo DV_Tổng'!O$3,'PL1.1 ML2027-2028'!$K:$K,'TH theo DV_Tổng'!$C20)/$D$1</f>
        <v>0</v>
      </c>
      <c r="P20" s="322">
        <f>SUMIFS('PL1.1 ML2027-2028'!$H:$H,'PL1.1 ML2027-2028'!$J:$J,'TH theo DV_Tổng'!P$3,'PL1.1 ML2027-2028'!$K:$K,'TH theo DV_Tổng'!$C20)/$D$1</f>
        <v>0</v>
      </c>
      <c r="Q20" s="322">
        <f>SUMIFS('PL1.1 ML2027-2028'!$H:$H,'PL1.1 ML2027-2028'!$J:$J,'TH theo DV_Tổng'!Q$3,'PL1.1 ML2027-2028'!$K:$K,'TH theo DV_Tổng'!$C20)/$D$1</f>
        <v>0</v>
      </c>
      <c r="R20" s="322">
        <f>SUMIFS('PL1.1 ML2027-2028'!$H:$H,'PL1.1 ML2027-2028'!$J:$J,"TD",'PL1.1 ML2027-2028'!$M:$M,"IP",'PL1.1 ML2027-2028'!$K:$K,'TH theo DV_Tổng'!C20)/$D$1</f>
        <v>0</v>
      </c>
      <c r="S20" s="322">
        <f>SUMIFS('PL1.1 ML2027-2028'!$H:$H,'PL1.1 ML2027-2028'!$J:$J,"TD",'PL1.1 ML2027-2028'!$M:$M,"Mạng cáp",'PL1.1 ML2027-2028'!$K:$K,'TH theo DV_Tổng'!C20)/$D$1</f>
        <v>0</v>
      </c>
      <c r="T20" s="322">
        <f>SUMIFS('PL1.1 ML2027-2028'!$H:$H,'PL1.1 ML2027-2028'!$J:$J,'TH theo DV_Tổng'!T$3,'PL1.1 ML2027-2028'!$K:$K,'TH theo DV_Tổng'!$C20)/$D$1</f>
        <v>0</v>
      </c>
      <c r="U20" s="326">
        <f>SUMIFS('PL1.1 ML2027-2028'!$G:$G,'PL1.1 ML2027-2028'!$J:$J,'TH theo DV_Tổng'!$J$3,'PL1.1 ML2027-2028'!$K:$K,'TH theo DV_Tổng'!N20)/$D$1</f>
        <v>0</v>
      </c>
      <c r="V20" s="325">
        <f t="shared" si="46"/>
        <v>0</v>
      </c>
      <c r="W20" s="331"/>
      <c r="X20" s="102"/>
      <c r="Y20" s="326">
        <f>D20+N20</f>
        <v>0</v>
      </c>
      <c r="Z20" s="326">
        <f t="shared" si="38"/>
        <v>0</v>
      </c>
      <c r="AA20" s="326">
        <f t="shared" si="39"/>
        <v>0</v>
      </c>
      <c r="AB20" s="326">
        <f t="shared" si="40"/>
        <v>0</v>
      </c>
      <c r="AC20" s="326">
        <f t="shared" si="41"/>
        <v>0</v>
      </c>
      <c r="AD20" s="326">
        <f t="shared" si="42"/>
        <v>0</v>
      </c>
      <c r="AE20" s="326">
        <f t="shared" si="43"/>
        <v>0</v>
      </c>
      <c r="AF20" s="326">
        <f t="shared" si="44"/>
        <v>0</v>
      </c>
      <c r="AG20" s="325">
        <f t="shared" si="47"/>
        <v>0</v>
      </c>
      <c r="AH20" s="84">
        <f t="shared" si="10"/>
        <v>0</v>
      </c>
      <c r="AI20" s="102"/>
    </row>
    <row r="21" spans="1:35" s="20" customFormat="1" outlineLevel="1">
      <c r="A21" s="75">
        <v>4</v>
      </c>
      <c r="B21" s="79" t="s">
        <v>100</v>
      </c>
      <c r="C21" s="14" t="s">
        <v>104</v>
      </c>
      <c r="D21" s="326">
        <f>SUMIFS('PL1.1 ML2027-2028'!$G:$G,'PL1.1 ML2027-2028'!$J:$J,'TH theo DV_Tổng'!$D$3,'PL1.1 ML2027-2028'!$K:$K,'TH theo DV_Tổng'!C21)/$D$1</f>
        <v>0</v>
      </c>
      <c r="E21" s="326">
        <f>SUMIFS('PL1.1 ML2027-2028'!$G:$G,'PL1.1 ML2027-2028'!$J:$J,'TH theo DV_Tổng'!$E$3,'PL1.1 ML2027-2028'!$K:$K,'TH theo DV_Tổng'!C21)/$D$1</f>
        <v>0</v>
      </c>
      <c r="F21" s="326">
        <f>SUMIFS('PL1.1 ML2027-2028'!$G:$G,'PL1.1 ML2027-2028'!$J:$J,'TH theo DV_Tổng'!$F$3,'PL1.1 ML2027-2028'!$K:$K,'TH theo DV_Tổng'!C21)/$D$1</f>
        <v>0</v>
      </c>
      <c r="G21" s="326">
        <f>SUMIFS('PL1.1 ML2027-2028'!$G:$G,'PL1.1 ML2027-2028'!$J:$J,'TH theo DV_Tổng'!$G$3,'PL1.1 ML2027-2028'!$K:$K,'TH theo DV_Tổng'!C21)/$D$1</f>
        <v>0</v>
      </c>
      <c r="H21" s="322">
        <f>SUMIFS('PL1.1 ML2027-2028'!$G:$G,'PL1.1 ML2027-2028'!$J:$J,"TD",'PL1.1 ML2027-2028'!$M:$M,"IP",'PL1.1 ML2027-2028'!$K:$K,'TH theo DV_Tổng'!C21)/$D$1</f>
        <v>1.1155040000000001</v>
      </c>
      <c r="I21" s="322">
        <f>SUMIFS('PL1.1 ML2027-2028'!$G:$G,'PL1.1 ML2027-2028'!$J:$J,"TD",'PL1.1 ML2027-2028'!$M:$M,"Mạng cáp",'PL1.1 ML2027-2028'!$K:$K,'TH theo DV_Tổng'!C21)/$D$1</f>
        <v>0.26259692857142858</v>
      </c>
      <c r="J21" s="326">
        <f>SUMIFS('PL1.1 ML2027-2028'!$G:$G,'PL1.1 ML2027-2028'!$J:$J,'TH theo DV_Tổng'!$J$3,'PL1.1 ML2027-2028'!$K:$K,'TH theo DV_Tổng'!C21)/$D$1</f>
        <v>1.313644</v>
      </c>
      <c r="K21" s="326">
        <f>SUMIFS('PL1.1 ML2027-2028'!$G:$G,'PL1.1 ML2027-2028'!$J:$J,'TH theo DV_Tổng'!$K$3,'PL1.1 ML2027-2028'!$K:$K,'TH theo DV_Tổng'!C21)/$D$1</f>
        <v>0.136797</v>
      </c>
      <c r="L21" s="323">
        <f t="shared" si="36"/>
        <v>2.8285419285714286</v>
      </c>
      <c r="M21" s="102">
        <f t="shared" si="11"/>
        <v>8.783498822112705E-2</v>
      </c>
      <c r="N21" s="322">
        <f>SUMIFS('PL1.1 ML2027-2028'!$H:$H,'PL1.1 ML2027-2028'!$J:$J,'TH theo DV_Tổng'!N$3,'PL1.1 ML2027-2028'!$K:$K,'TH theo DV_Tổng'!$C21)/$D$1</f>
        <v>0</v>
      </c>
      <c r="O21" s="322">
        <f>SUMIFS('PL1.1 ML2027-2028'!$H:$H,'PL1.1 ML2027-2028'!$J:$J,'TH theo DV_Tổng'!O$3,'PL1.1 ML2027-2028'!$K:$K,'TH theo DV_Tổng'!$C21)/$D$1</f>
        <v>0</v>
      </c>
      <c r="P21" s="322">
        <f>SUMIFS('PL1.1 ML2027-2028'!$H:$H,'PL1.1 ML2027-2028'!$J:$J,'TH theo DV_Tổng'!P$3,'PL1.1 ML2027-2028'!$K:$K,'TH theo DV_Tổng'!$C21)/$D$1</f>
        <v>0</v>
      </c>
      <c r="Q21" s="322">
        <f>SUMIFS('PL1.1 ML2027-2028'!$H:$H,'PL1.1 ML2027-2028'!$J:$J,'TH theo DV_Tổng'!Q$3,'PL1.1 ML2027-2028'!$K:$K,'TH theo DV_Tổng'!$C21)/$D$1</f>
        <v>0</v>
      </c>
      <c r="R21" s="322">
        <f>SUMIFS('PL1.1 ML2027-2028'!$H:$H,'PL1.1 ML2027-2028'!$J:$J,"TD",'PL1.1 ML2027-2028'!$M:$M,"IP",'PL1.1 ML2027-2028'!$K:$K,'TH theo DV_Tổng'!C21)/$D$1</f>
        <v>6.4479999999999996E-2</v>
      </c>
      <c r="S21" s="322">
        <f>SUMIFS('PL1.1 ML2027-2028'!$H:$H,'PL1.1 ML2027-2028'!$J:$J,"TD",'PL1.1 ML2027-2028'!$M:$M,"Mạng cáp",'PL1.1 ML2027-2028'!$K:$K,'TH theo DV_Tổng'!C21)/$D$1</f>
        <v>0</v>
      </c>
      <c r="T21" s="322">
        <f>SUMIFS('PL1.1 ML2027-2028'!$H:$H,'PL1.1 ML2027-2028'!$J:$J,'TH theo DV_Tổng'!T$3,'PL1.1 ML2027-2028'!$K:$K,'TH theo DV_Tổng'!$C21)/$D$1</f>
        <v>0.83587199999999995</v>
      </c>
      <c r="U21" s="326">
        <f>SUMIFS('PL1.1 ML2027-2028'!$G:$G,'PL1.1 ML2027-2028'!$J:$J,'TH theo DV_Tổng'!$J$3,'PL1.1 ML2027-2028'!$K:$K,'TH theo DV_Tổng'!N21)/$D$1</f>
        <v>0</v>
      </c>
      <c r="V21" s="325">
        <f t="shared" si="46"/>
        <v>0.90035199999999993</v>
      </c>
      <c r="W21" s="331"/>
      <c r="X21" s="102"/>
      <c r="Y21" s="326">
        <f>D21+N21</f>
        <v>0</v>
      </c>
      <c r="Z21" s="326">
        <f t="shared" si="38"/>
        <v>0</v>
      </c>
      <c r="AA21" s="326">
        <f t="shared" si="39"/>
        <v>0</v>
      </c>
      <c r="AB21" s="326">
        <f t="shared" si="40"/>
        <v>0</v>
      </c>
      <c r="AC21" s="326">
        <f t="shared" si="41"/>
        <v>1.1799840000000001</v>
      </c>
      <c r="AD21" s="326">
        <f t="shared" si="42"/>
        <v>0.26259692857142858</v>
      </c>
      <c r="AE21" s="326">
        <f t="shared" si="43"/>
        <v>2.1495160000000002</v>
      </c>
      <c r="AF21" s="326">
        <f t="shared" si="44"/>
        <v>0.136797</v>
      </c>
      <c r="AG21" s="325">
        <f t="shared" si="47"/>
        <v>3.5920969285714288</v>
      </c>
      <c r="AH21" s="84">
        <f t="shared" si="10"/>
        <v>5.9719130060851493E-2</v>
      </c>
      <c r="AI21" s="102"/>
    </row>
    <row r="22" spans="1:35" s="20" customFormat="1" outlineLevel="1">
      <c r="A22" s="75">
        <v>5</v>
      </c>
      <c r="B22" s="79" t="s">
        <v>181</v>
      </c>
      <c r="C22" s="14"/>
      <c r="D22" s="320">
        <f t="shared" ref="D22:K22" si="48">SUBTOTAL(9,D23:D26)</f>
        <v>0</v>
      </c>
      <c r="E22" s="320">
        <f t="shared" si="48"/>
        <v>0</v>
      </c>
      <c r="F22" s="320">
        <f t="shared" si="48"/>
        <v>0</v>
      </c>
      <c r="G22" s="320">
        <f t="shared" si="48"/>
        <v>3.8280682000000001</v>
      </c>
      <c r="H22" s="320">
        <f t="shared" si="48"/>
        <v>0</v>
      </c>
      <c r="I22" s="320">
        <f t="shared" si="48"/>
        <v>0</v>
      </c>
      <c r="J22" s="320">
        <f t="shared" si="48"/>
        <v>0</v>
      </c>
      <c r="K22" s="320">
        <f t="shared" si="48"/>
        <v>0</v>
      </c>
      <c r="L22" s="320">
        <f>SUBTOTAL(9,L23:L26)</f>
        <v>3.8280682000000001</v>
      </c>
      <c r="M22" s="102">
        <f t="shared" si="11"/>
        <v>0.1188733749570013</v>
      </c>
      <c r="N22" s="320">
        <f t="shared" ref="N22:U22" si="49">SUBTOTAL(9,N23:N26)</f>
        <v>0</v>
      </c>
      <c r="O22" s="320">
        <f t="shared" si="49"/>
        <v>0</v>
      </c>
      <c r="P22" s="320">
        <f t="shared" si="49"/>
        <v>0</v>
      </c>
      <c r="Q22" s="320">
        <f t="shared" si="49"/>
        <v>6.8397558000000007</v>
      </c>
      <c r="R22" s="320">
        <f t="shared" si="49"/>
        <v>0</v>
      </c>
      <c r="S22" s="320">
        <f t="shared" si="49"/>
        <v>0</v>
      </c>
      <c r="T22" s="320">
        <f t="shared" si="49"/>
        <v>0</v>
      </c>
      <c r="U22" s="320">
        <f t="shared" si="49"/>
        <v>0</v>
      </c>
      <c r="V22" s="320">
        <f t="shared" ref="O22:V22" si="50">SUBTOTAL(9,V23:V25)</f>
        <v>6.7178118000000007</v>
      </c>
      <c r="W22" s="330">
        <f>V22/$V$4</f>
        <v>0.2392064186676377</v>
      </c>
      <c r="X22" s="102"/>
      <c r="Y22" s="320">
        <f t="shared" ref="Y22:AG22" si="51">SUBTOTAL(9,Y23:Y26)</f>
        <v>0</v>
      </c>
      <c r="Z22" s="320">
        <f t="shared" si="51"/>
        <v>0</v>
      </c>
      <c r="AA22" s="320">
        <f t="shared" si="51"/>
        <v>0</v>
      </c>
      <c r="AB22" s="320">
        <f t="shared" si="51"/>
        <v>10.667824</v>
      </c>
      <c r="AC22" s="320">
        <f t="shared" si="51"/>
        <v>0</v>
      </c>
      <c r="AD22" s="320">
        <f t="shared" si="51"/>
        <v>0</v>
      </c>
      <c r="AE22" s="320">
        <f t="shared" si="51"/>
        <v>0</v>
      </c>
      <c r="AF22" s="320">
        <f t="shared" si="51"/>
        <v>0</v>
      </c>
      <c r="AG22" s="320">
        <f t="shared" si="51"/>
        <v>10.667824</v>
      </c>
      <c r="AH22" s="84">
        <f t="shared" si="10"/>
        <v>0.17735411420972871</v>
      </c>
      <c r="AI22" s="102"/>
    </row>
    <row r="23" spans="1:35" outlineLevel="1">
      <c r="A23" s="26" t="s">
        <v>8</v>
      </c>
      <c r="B23" s="60" t="s">
        <v>191</v>
      </c>
      <c r="C23" s="64" t="s">
        <v>194</v>
      </c>
      <c r="D23" s="322">
        <f>SUMIFS('PL1.1 ML2027-2028'!$G:$G,'PL1.1 ML2027-2028'!$J:$J,'TH theo DV_Tổng'!$D$3,'PL1.1 ML2027-2028'!$K:$K,'TH theo DV_Tổng'!C23)/$D$1</f>
        <v>0</v>
      </c>
      <c r="E23" s="322">
        <f>SUMIFS('PL1.1 ML2027-2028'!$G:$G,'PL1.1 ML2027-2028'!$J:$J,'TH theo DV_Tổng'!$E$3,'PL1.1 ML2027-2028'!$K:$K,'TH theo DV_Tổng'!C23)/$D$1</f>
        <v>0</v>
      </c>
      <c r="F23" s="322">
        <f>SUMIFS('PL1.1 ML2027-2028'!$G:$G,'PL1.1 ML2027-2028'!$J:$J,'TH theo DV_Tổng'!$F$3,'PL1.1 ML2027-2028'!$K:$K,'TH theo DV_Tổng'!C23)/$D$1</f>
        <v>0</v>
      </c>
      <c r="G23" s="120">
        <f>SUMIFS('PL1.1 ML2027-2028'!$G:$G,'PL1.1 ML2027-2028'!$J:$J,'TH theo DV_Tổng'!$G$3,'PL1.1 ML2027-2028'!$K:$K,'TH theo DV_Tổng'!C23)/$D$1</f>
        <v>9.3842999999999996E-2</v>
      </c>
      <c r="H23" s="322">
        <f>SUMIFS('PL1.1 ML2027-2028'!$G:$G,'PL1.1 ML2027-2028'!$J:$J,"TD",'PL1.1 ML2027-2028'!$M:$M,"IP",'PL1.1 ML2027-2028'!$K:$K,'TH theo DV_Tổng'!C23)/$D$1</f>
        <v>0</v>
      </c>
      <c r="I23" s="322">
        <f>SUMIFS('PL1.1 ML2027-2028'!$G:$G,'PL1.1 ML2027-2028'!$J:$J,"TD",'PL1.1 ML2027-2028'!$M:$M,"Mạng cáp",'PL1.1 ML2027-2028'!$K:$K,'TH theo DV_Tổng'!C23)/$D$1</f>
        <v>0</v>
      </c>
      <c r="J23" s="322">
        <f>SUMIFS('PL1.1 ML2027-2028'!$G:$G,'PL1.1 ML2027-2028'!$J:$J,'TH theo DV_Tổng'!$J$3,'PL1.1 ML2027-2028'!$K:$K,'TH theo DV_Tổng'!C23)/$D$1</f>
        <v>0</v>
      </c>
      <c r="K23" s="322">
        <f>SUMIFS('PL1.1 ML2027-2028'!$G:$G,'PL1.1 ML2027-2028'!$J:$J,'TH theo DV_Tổng'!K$3,'PL1.1 ML2027-2028'!$K:$K,'TH theo DV_Tổng'!C23)/$D$1</f>
        <v>0</v>
      </c>
      <c r="L23" s="323">
        <f>SUM(D23:K23)</f>
        <v>9.3842999999999996E-2</v>
      </c>
      <c r="M23" s="102">
        <f t="shared" si="11"/>
        <v>2.9141158263820566E-3</v>
      </c>
      <c r="N23" s="322">
        <f>SUMIFS('PL1.1 ML2027-2028'!$H:$H,'PL1.1 ML2027-2028'!$J:$J,'TH theo DV_Tổng'!N$3,'PL1.1 ML2027-2028'!$K:$K,'TH theo DV_Tổng'!$C23)/$D$1</f>
        <v>0</v>
      </c>
      <c r="O23" s="322">
        <f>SUMIFS('PL1.1 ML2027-2028'!$H:$H,'PL1.1 ML2027-2028'!$J:$J,'TH theo DV_Tổng'!O$3,'PL1.1 ML2027-2028'!$K:$K,'TH theo DV_Tổng'!$C23)/$D$1</f>
        <v>0</v>
      </c>
      <c r="P23" s="322">
        <f>SUMIFS('PL1.1 ML2027-2028'!$H:$H,'PL1.1 ML2027-2028'!$J:$J,'TH theo DV_Tổng'!P$3,'PL1.1 ML2027-2028'!$K:$K,'TH theo DV_Tổng'!$C23)/$D$1</f>
        <v>0</v>
      </c>
      <c r="Q23" s="322">
        <f>SUMIFS('PL1.1 ML2027-2028'!$H:$H,'PL1.1 ML2027-2028'!$J:$J,'TH theo DV_Tổng'!Q$3,'PL1.1 ML2027-2028'!$K:$K,'TH theo DV_Tổng'!$C23)/$D$1</f>
        <v>0</v>
      </c>
      <c r="R23" s="322">
        <f>SUMIFS('PL1.1 ML2027-2028'!$H:$H,'PL1.1 ML2027-2028'!$J:$J,"TD",'PL1.1 ML2027-2028'!$M:$M,"IP",'PL1.1 ML2027-2028'!$K:$K,'TH theo DV_Tổng'!C23)/$D$1</f>
        <v>0</v>
      </c>
      <c r="S23" s="322">
        <f>SUMIFS('PL1.1 ML2027-2028'!$H:$H,'PL1.1 ML2027-2028'!$J:$J,"TD",'PL1.1 ML2027-2028'!$M:$M,"Mạng cáp",'PL1.1 ML2027-2028'!$K:$K,'TH theo DV_Tổng'!C23)/$D$1</f>
        <v>0</v>
      </c>
      <c r="T23" s="322">
        <f>SUMIFS('PL1.1 ML2027-2028'!$H:$H,'PL1.1 ML2027-2028'!$J:$J,'TH theo DV_Tổng'!T$3,'PL1.1 ML2027-2028'!$K:$K,'TH theo DV_Tổng'!$C23)/$D$1</f>
        <v>0</v>
      </c>
      <c r="U23" s="322">
        <f>SUMIFS('PL1.1 ML2027-2028'!$H:$H,'PL1.1 ML2027-2028'!$J:$J,'TH theo DV_Tổng'!U$3,'PL1.1 ML2027-2028'!$K:$K,'TH theo DV_Tổng'!$C23)/$D$1</f>
        <v>0</v>
      </c>
      <c r="V23" s="323">
        <f>SUM(N23:U23)</f>
        <v>0</v>
      </c>
      <c r="W23" s="329"/>
      <c r="X23" s="59"/>
      <c r="Y23" s="326">
        <f>D23+N23</f>
        <v>0</v>
      </c>
      <c r="Z23" s="326">
        <f t="shared" ref="Z23:Z26" si="52">E23+O23</f>
        <v>0</v>
      </c>
      <c r="AA23" s="326">
        <f t="shared" ref="AA23:AA26" si="53">F23+P23</f>
        <v>0</v>
      </c>
      <c r="AB23" s="326">
        <f t="shared" ref="AB23:AB26" si="54">G23+Q23</f>
        <v>9.3842999999999996E-2</v>
      </c>
      <c r="AC23" s="326">
        <f t="shared" ref="AC23:AC26" si="55">H23+R23</f>
        <v>0</v>
      </c>
      <c r="AD23" s="326">
        <f t="shared" ref="AD23:AD26" si="56">I23+S23</f>
        <v>0</v>
      </c>
      <c r="AE23" s="326">
        <f t="shared" ref="AE23:AE26" si="57">J23+T23</f>
        <v>0</v>
      </c>
      <c r="AF23" s="326">
        <f t="shared" ref="AF23:AF26" si="58">K23+U23</f>
        <v>0</v>
      </c>
      <c r="AG23" s="323">
        <f>SUM(Y23:AF23)</f>
        <v>9.3842999999999996E-2</v>
      </c>
      <c r="AH23" s="84">
        <f t="shared" si="10"/>
        <v>1.5601534239582104E-3</v>
      </c>
      <c r="AI23" s="59"/>
    </row>
    <row r="24" spans="1:35" outlineLevel="1">
      <c r="A24" s="26" t="s">
        <v>8</v>
      </c>
      <c r="B24" s="60" t="s">
        <v>192</v>
      </c>
      <c r="C24" s="64" t="s">
        <v>195</v>
      </c>
      <c r="D24" s="322">
        <f>SUMIFS('PL1.1 ML2027-2028'!$G:$G,'PL1.1 ML2027-2028'!$J:$J,'TH theo DV_Tổng'!$D$3,'PL1.1 ML2027-2028'!$K:$K,'TH theo DV_Tổng'!C24)/$D$1</f>
        <v>0</v>
      </c>
      <c r="E24" s="322">
        <f>SUMIFS('PL1.1 ML2027-2028'!$G:$G,'PL1.1 ML2027-2028'!$J:$J,'TH theo DV_Tổng'!$E$3,'PL1.1 ML2027-2028'!$K:$K,'TH theo DV_Tổng'!C24)/$D$1</f>
        <v>0</v>
      </c>
      <c r="F24" s="322">
        <f>SUMIFS('PL1.1 ML2027-2028'!$G:$G,'PL1.1 ML2027-2028'!$J:$J,'TH theo DV_Tổng'!$F$3,'PL1.1 ML2027-2028'!$K:$K,'TH theo DV_Tổng'!C24)/$D$1</f>
        <v>0</v>
      </c>
      <c r="G24" s="326">
        <f>SUMIFS('PL1.1 ML2027-2028'!$G:$G,'PL1.1 ML2027-2028'!$J:$J,'TH theo DV_Tổng'!$G$3,'PL1.1 ML2027-2028'!$K:$K,'TH theo DV_Tổng'!C24)/$D$1+SUMIFS('PL1.1 ML2027-2028'!$G:$G,'PL1.1 ML2027-2028'!$J:$J,'TH theo DV_Tổng'!G$3,'PL1.1 ML2027-2028'!$K:$K,"AI/GPU")/$D$1</f>
        <v>3.1325821999999999</v>
      </c>
      <c r="H24" s="322">
        <f>SUMIFS('PL1.1 ML2027-2028'!$G:$G,'PL1.1 ML2027-2028'!$J:$J,"TD",'PL1.1 ML2027-2028'!$M:$M,"IP",'PL1.1 ML2027-2028'!$K:$K,'TH theo DV_Tổng'!C24)/$D$1</f>
        <v>0</v>
      </c>
      <c r="I24" s="322">
        <f>SUMIFS('PL1.1 ML2027-2028'!$G:$G,'PL1.1 ML2027-2028'!$J:$J,"TD",'PL1.1 ML2027-2028'!$M:$M,"Mạng cáp",'PL1.1 ML2027-2028'!$K:$K,'TH theo DV_Tổng'!C24)/$D$1</f>
        <v>0</v>
      </c>
      <c r="J24" s="322">
        <f>SUMIFS('PL1.1 ML2027-2028'!$G:$G,'PL1.1 ML2027-2028'!$J:$J,'TH theo DV_Tổng'!$J$3,'PL1.1 ML2027-2028'!$K:$K,'TH theo DV_Tổng'!C24)/$D$1</f>
        <v>0</v>
      </c>
      <c r="K24" s="322">
        <f>SUMIFS('PL1.1 ML2027-2028'!$G:$G,'PL1.1 ML2027-2028'!$J:$J,'TH theo DV_Tổng'!K$3,'PL1.1 ML2027-2028'!$K:$K,'TH theo DV_Tổng'!C24)/$D$1</f>
        <v>0</v>
      </c>
      <c r="L24" s="323">
        <f>SUM(D24:K24)</f>
        <v>3.1325821999999999</v>
      </c>
      <c r="M24" s="102">
        <f t="shared" si="11"/>
        <v>9.7276380406239371E-2</v>
      </c>
      <c r="N24" s="322">
        <f>SUMIFS('PL1.1 ML2027-2028'!$H:$H,'PL1.1 ML2027-2028'!$J:$J,'TH theo DV_Tổng'!N$3,'PL1.1 ML2027-2028'!$K:$K,'TH theo DV_Tổng'!$C24)/$D$1</f>
        <v>0</v>
      </c>
      <c r="O24" s="322">
        <f>SUMIFS('PL1.1 ML2027-2028'!$H:$H,'PL1.1 ML2027-2028'!$J:$J,'TH theo DV_Tổng'!O$3,'PL1.1 ML2027-2028'!$K:$K,'TH theo DV_Tổng'!$C24)/$D$1</f>
        <v>0</v>
      </c>
      <c r="P24" s="322">
        <f>SUMIFS('PL1.1 ML2027-2028'!$H:$H,'PL1.1 ML2027-2028'!$J:$J,'TH theo DV_Tổng'!P$3,'PL1.1 ML2027-2028'!$K:$K,'TH theo DV_Tổng'!$C24)/$D$1</f>
        <v>0</v>
      </c>
      <c r="Q24" s="322">
        <f>SUMIFS('PL1.1 ML2027-2028'!$H:$H,'PL1.1 ML2027-2028'!$J:$J,'TH theo DV_Tổng'!Q$3,'PL1.1 ML2027-2028'!$K:$K,'TH theo DV_Tổng'!$C24)/$D$1</f>
        <v>6.0409278000000004</v>
      </c>
      <c r="R24" s="322">
        <f>SUMIFS('PL1.1 ML2027-2028'!$H:$H,'PL1.1 ML2027-2028'!$J:$J,"TD",'PL1.1 ML2027-2028'!$M:$M,"IP",'PL1.1 ML2027-2028'!$K:$K,'TH theo DV_Tổng'!C24)/$D$1</f>
        <v>0</v>
      </c>
      <c r="S24" s="322">
        <f>SUMIFS('PL1.1 ML2027-2028'!$H:$H,'PL1.1 ML2027-2028'!$J:$J,"TD",'PL1.1 ML2027-2028'!$M:$M,"Mạng cáp",'PL1.1 ML2027-2028'!$K:$K,'TH theo DV_Tổng'!C24)/$D$1</f>
        <v>0</v>
      </c>
      <c r="T24" s="322">
        <f>SUMIFS('PL1.1 ML2027-2028'!$H:$H,'PL1.1 ML2027-2028'!$J:$J,'TH theo DV_Tổng'!T$3,'PL1.1 ML2027-2028'!$K:$K,'TH theo DV_Tổng'!$C24)/$D$1</f>
        <v>0</v>
      </c>
      <c r="U24" s="322">
        <f>SUMIFS('PL1.1 ML2027-2028'!$H:$H,'PL1.1 ML2027-2028'!$J:$J,'TH theo DV_Tổng'!U$3,'PL1.1 ML2027-2028'!$K:$K,'TH theo DV_Tổng'!$C24)/$D$1</f>
        <v>0</v>
      </c>
      <c r="V24" s="323">
        <f>SUM(N24:U24)</f>
        <v>6.0409278000000004</v>
      </c>
      <c r="W24" s="329"/>
      <c r="X24" s="59"/>
      <c r="Y24" s="326">
        <f>D24+N24</f>
        <v>0</v>
      </c>
      <c r="Z24" s="326">
        <f t="shared" si="52"/>
        <v>0</v>
      </c>
      <c r="AA24" s="326">
        <f t="shared" si="53"/>
        <v>0</v>
      </c>
      <c r="AB24" s="326">
        <f t="shared" si="54"/>
        <v>9.1735100000000003</v>
      </c>
      <c r="AC24" s="326">
        <f t="shared" si="55"/>
        <v>0</v>
      </c>
      <c r="AD24" s="326">
        <f t="shared" si="56"/>
        <v>0</v>
      </c>
      <c r="AE24" s="326">
        <f t="shared" si="57"/>
        <v>0</v>
      </c>
      <c r="AF24" s="326">
        <f t="shared" si="58"/>
        <v>0</v>
      </c>
      <c r="AG24" s="323">
        <f>SUM(Y24:AF24)</f>
        <v>9.1735100000000003</v>
      </c>
      <c r="AH24" s="84">
        <f t="shared" si="10"/>
        <v>0.1525109282121723</v>
      </c>
      <c r="AI24" s="59"/>
    </row>
    <row r="25" spans="1:35" outlineLevel="1">
      <c r="A25" s="26" t="s">
        <v>8</v>
      </c>
      <c r="B25" s="60" t="s">
        <v>84</v>
      </c>
      <c r="C25" s="64" t="s">
        <v>84</v>
      </c>
      <c r="D25" s="322">
        <f>SUMIFS('PL1.1 ML2027-2028'!$G:$G,'PL1.1 ML2027-2028'!$J:$J,'TH theo DV_Tổng'!$D$3,'PL1.1 ML2027-2028'!$K:$K,'TH theo DV_Tổng'!C25)/$D$1</f>
        <v>0</v>
      </c>
      <c r="E25" s="322">
        <f>SUMIFS('PL1.1 ML2027-2028'!$G:$G,'PL1.1 ML2027-2028'!$J:$J,'TH theo DV_Tổng'!$E$3,'PL1.1 ML2027-2028'!$K:$K,'TH theo DV_Tổng'!C25)/$D$1</f>
        <v>0</v>
      </c>
      <c r="F25" s="322">
        <f>SUMIFS('PL1.1 ML2027-2028'!$G:$G,'PL1.1 ML2027-2028'!$J:$J,'TH theo DV_Tổng'!$F$3,'PL1.1 ML2027-2028'!$K:$K,'TH theo DV_Tổng'!C25)/$D$1</f>
        <v>0</v>
      </c>
      <c r="G25" s="322">
        <f>SUMIFS('PL1.1 ML2027-2028'!$G:$G,'PL1.1 ML2027-2028'!$J:$J,'TH theo DV_Tổng'!$G$3,'PL1.1 ML2027-2028'!$K:$K,'TH theo DV_Tổng'!C25)/$D$1</f>
        <v>0.39038400000000001</v>
      </c>
      <c r="H25" s="322">
        <f>SUMIFS('PL1.1 ML2027-2028'!$G:$G,'PL1.1 ML2027-2028'!$J:$J,"TD",'PL1.1 ML2027-2028'!$M:$M,"IP",'PL1.1 ML2027-2028'!$K:$K,'TH theo DV_Tổng'!C25)/$D$1</f>
        <v>0</v>
      </c>
      <c r="I25" s="322">
        <f>SUMIFS('PL1.1 ML2027-2028'!$G:$G,'PL1.1 ML2027-2028'!$J:$J,"TD",'PL1.1 ML2027-2028'!$M:$M,"Mạng cáp",'PL1.1 ML2027-2028'!$K:$K,'TH theo DV_Tổng'!C25)/$D$1</f>
        <v>0</v>
      </c>
      <c r="J25" s="322">
        <f>SUMIFS('PL1.1 ML2027-2028'!$G:$G,'PL1.1 ML2027-2028'!$J:$J,'TH theo DV_Tổng'!$J$3,'PL1.1 ML2027-2028'!$K:$K,'TH theo DV_Tổng'!C25)/$D$1</f>
        <v>0</v>
      </c>
      <c r="K25" s="322">
        <f>SUMIFS('PL1.1 ML2027-2028'!$G:$G,'PL1.1 ML2027-2028'!$J:$J,'TH theo DV_Tổng'!K$3,'PL1.1 ML2027-2028'!$K:$K,'TH theo DV_Tổng'!C25)/$D$1</f>
        <v>0</v>
      </c>
      <c r="L25" s="323">
        <f>SUM(D25:K25)</f>
        <v>0.39038400000000001</v>
      </c>
      <c r="M25" s="102">
        <f t="shared" si="11"/>
        <v>1.2122632404828627E-2</v>
      </c>
      <c r="N25" s="322">
        <f>SUMIFS('PL1.1 ML2027-2028'!$H:$H,'PL1.1 ML2027-2028'!$J:$J,'TH theo DV_Tổng'!N$3,'PL1.1 ML2027-2028'!$K:$K,'TH theo DV_Tổng'!$C25)/$D$1</f>
        <v>0</v>
      </c>
      <c r="O25" s="322">
        <f>SUMIFS('PL1.1 ML2027-2028'!$H:$H,'PL1.1 ML2027-2028'!$J:$J,'TH theo DV_Tổng'!O$3,'PL1.1 ML2027-2028'!$K:$K,'TH theo DV_Tổng'!$C25)/$D$1</f>
        <v>0</v>
      </c>
      <c r="P25" s="322">
        <f>SUMIFS('PL1.1 ML2027-2028'!$H:$H,'PL1.1 ML2027-2028'!$J:$J,'TH theo DV_Tổng'!P$3,'PL1.1 ML2027-2028'!$K:$K,'TH theo DV_Tổng'!$C25)/$D$1</f>
        <v>0</v>
      </c>
      <c r="Q25" s="322">
        <f>SUMIFS('PL1.1 ML2027-2028'!$H:$H,'PL1.1 ML2027-2028'!$J:$J,'TH theo DV_Tổng'!Q$3,'PL1.1 ML2027-2028'!$K:$K,'TH theo DV_Tổng'!$C25)/$D$1</f>
        <v>0.67688400000000004</v>
      </c>
      <c r="R25" s="322">
        <f>SUMIFS('PL1.1 ML2027-2028'!$H:$H,'PL1.1 ML2027-2028'!$J:$J,"TD",'PL1.1 ML2027-2028'!$M:$M,"IP",'PL1.1 ML2027-2028'!$K:$K,'TH theo DV_Tổng'!C25)/$D$1</f>
        <v>0</v>
      </c>
      <c r="S25" s="322">
        <f>SUMIFS('PL1.1 ML2027-2028'!$H:$H,'PL1.1 ML2027-2028'!$J:$J,"TD",'PL1.1 ML2027-2028'!$M:$M,"Mạng cáp",'PL1.1 ML2027-2028'!$K:$K,'TH theo DV_Tổng'!C25)/$D$1</f>
        <v>0</v>
      </c>
      <c r="T25" s="322">
        <f>SUMIFS('PL1.1 ML2027-2028'!$H:$H,'PL1.1 ML2027-2028'!$J:$J,'TH theo DV_Tổng'!T$3,'PL1.1 ML2027-2028'!$K:$K,'TH theo DV_Tổng'!$C25)/$D$1</f>
        <v>0</v>
      </c>
      <c r="U25" s="322">
        <f>SUMIFS('PL1.1 ML2027-2028'!$H:$H,'PL1.1 ML2027-2028'!$J:$J,'TH theo DV_Tổng'!U$3,'PL1.1 ML2027-2028'!$K:$K,'TH theo DV_Tổng'!$C25)/$D$1</f>
        <v>0</v>
      </c>
      <c r="V25" s="323">
        <f>SUM(N25:T25)</f>
        <v>0.67688400000000004</v>
      </c>
      <c r="W25" s="329"/>
      <c r="X25" s="59"/>
      <c r="Y25" s="326">
        <f>D25+N25</f>
        <v>0</v>
      </c>
      <c r="Z25" s="326">
        <f t="shared" si="52"/>
        <v>0</v>
      </c>
      <c r="AA25" s="326">
        <f t="shared" si="53"/>
        <v>0</v>
      </c>
      <c r="AB25" s="326">
        <f t="shared" si="54"/>
        <v>1.0672680000000001</v>
      </c>
      <c r="AC25" s="326">
        <f t="shared" si="55"/>
        <v>0</v>
      </c>
      <c r="AD25" s="326">
        <f t="shared" si="56"/>
        <v>0</v>
      </c>
      <c r="AE25" s="326">
        <f t="shared" si="57"/>
        <v>0</v>
      </c>
      <c r="AF25" s="326">
        <f t="shared" si="58"/>
        <v>0</v>
      </c>
      <c r="AG25" s="323">
        <f>SUM(Y25:AE25)</f>
        <v>1.0672680000000001</v>
      </c>
      <c r="AH25" s="84">
        <f t="shared" si="10"/>
        <v>1.7743484591083315E-2</v>
      </c>
      <c r="AI25" s="59"/>
    </row>
    <row r="26" spans="1:35" outlineLevel="1">
      <c r="A26" s="26" t="s">
        <v>8</v>
      </c>
      <c r="B26" s="60" t="s">
        <v>1371</v>
      </c>
      <c r="C26" s="64" t="s">
        <v>1369</v>
      </c>
      <c r="D26" s="322">
        <f>SUMIFS('PL1.1 ML2027-2028'!$G:$G,'PL1.1 ML2027-2028'!$J:$J,'TH theo DV_Tổng'!$D$3,'PL1.1 ML2027-2028'!$K:$K,'TH theo DV_Tổng'!C26)/$D$1</f>
        <v>0</v>
      </c>
      <c r="E26" s="322">
        <f>SUMIFS('PL1.1 ML2027-2028'!$G:$G,'PL1.1 ML2027-2028'!$J:$J,'TH theo DV_Tổng'!$E$3,'PL1.1 ML2027-2028'!$K:$K,'TH theo DV_Tổng'!C26)/$D$1</f>
        <v>0</v>
      </c>
      <c r="F26" s="322">
        <f>SUMIFS('PL1.1 ML2027-2028'!$G:$G,'PL1.1 ML2027-2028'!$J:$J,'TH theo DV_Tổng'!$F$3,'PL1.1 ML2027-2028'!$K:$K,'TH theo DV_Tổng'!C26)/$D$1</f>
        <v>0</v>
      </c>
      <c r="G26" s="322">
        <f>SUMIFS('PL1.1 ML2027-2028'!$G:$G,'PL1.1 ML2027-2028'!$J:$J,'TH theo DV_Tổng'!$G$3,'PL1.1 ML2027-2028'!$K:$K,'TH theo DV_Tổng'!C26)/$D$1</f>
        <v>0.211259</v>
      </c>
      <c r="H26" s="322">
        <f>SUMIFS('PL1.1 ML2027-2028'!$G:$G,'PL1.1 ML2027-2028'!$J:$J,"TD",'PL1.1 ML2027-2028'!$M:$M,"IP",'PL1.1 ML2027-2028'!$K:$K,'TH theo DV_Tổng'!C26)/$D$1</f>
        <v>0</v>
      </c>
      <c r="I26" s="322">
        <f>SUMIFS('PL1.1 ML2027-2028'!$G:$G,'PL1.1 ML2027-2028'!$J:$J,"TD",'PL1.1 ML2027-2028'!$M:$M,"Mạng cáp",'PL1.1 ML2027-2028'!$K:$K,'TH theo DV_Tổng'!C26)/$D$1</f>
        <v>0</v>
      </c>
      <c r="J26" s="322">
        <f>SUMIFS('PL1.1 ML2027-2028'!$G:$G,'PL1.1 ML2027-2028'!$J:$J,'TH theo DV_Tổng'!$J$3,'PL1.1 ML2027-2028'!$K:$K,'TH theo DV_Tổng'!C26)/$D$1</f>
        <v>0</v>
      </c>
      <c r="K26" s="322">
        <f>SUMIFS('PL1.1 ML2027-2028'!$G:$G,'PL1.1 ML2027-2028'!$J:$J,'TH theo DV_Tổng'!K$3,'PL1.1 ML2027-2028'!$K:$K,'TH theo DV_Tổng'!C26)/$D$1</f>
        <v>0</v>
      </c>
      <c r="L26" s="323">
        <f>SUM(D26:K26)</f>
        <v>0.211259</v>
      </c>
      <c r="M26" s="102">
        <f t="shared" si="11"/>
        <v>6.5602463195512392E-3</v>
      </c>
      <c r="N26" s="322">
        <f>SUMIFS('PL1.1 ML2027-2028'!$H:$H,'PL1.1 ML2027-2028'!$J:$J,'TH theo DV_Tổng'!N$3,'PL1.1 ML2027-2028'!$K:$K,'TH theo DV_Tổng'!$C26)/$D$1</f>
        <v>0</v>
      </c>
      <c r="O26" s="322">
        <f>SUMIFS('PL1.1 ML2027-2028'!$H:$H,'PL1.1 ML2027-2028'!$J:$J,'TH theo DV_Tổng'!O$3,'PL1.1 ML2027-2028'!$K:$K,'TH theo DV_Tổng'!$C26)/$D$1</f>
        <v>0</v>
      </c>
      <c r="P26" s="322">
        <f>SUMIFS('PL1.1 ML2027-2028'!$H:$H,'PL1.1 ML2027-2028'!$J:$J,'TH theo DV_Tổng'!P$3,'PL1.1 ML2027-2028'!$K:$K,'TH theo DV_Tổng'!$C26)/$D$1</f>
        <v>0</v>
      </c>
      <c r="Q26" s="322">
        <f>SUMIFS('PL1.1 ML2027-2028'!$H:$H,'PL1.1 ML2027-2028'!$J:$J,'TH theo DV_Tổng'!Q$3,'PL1.1 ML2027-2028'!$K:$K,'TH theo DV_Tổng'!$C26)/$D$1</f>
        <v>0.121944</v>
      </c>
      <c r="R26" s="322">
        <f>SUMIFS('PL1.1 ML2027-2028'!$H:$H,'PL1.1 ML2027-2028'!$J:$J,"TD",'PL1.1 ML2027-2028'!$M:$M,"IP",'PL1.1 ML2027-2028'!$K:$K,'TH theo DV_Tổng'!C26)/$D$1</f>
        <v>0</v>
      </c>
      <c r="S26" s="322">
        <f>SUMIFS('PL1.1 ML2027-2028'!$H:$H,'PL1.1 ML2027-2028'!$J:$J,"TD",'PL1.1 ML2027-2028'!$M:$M,"Mạng cáp",'PL1.1 ML2027-2028'!$K:$K,'TH theo DV_Tổng'!C26)/$D$1</f>
        <v>0</v>
      </c>
      <c r="T26" s="322">
        <f>SUMIFS('PL1.1 ML2027-2028'!$H:$H,'PL1.1 ML2027-2028'!$J:$J,'TH theo DV_Tổng'!T$3,'PL1.1 ML2027-2028'!$K:$K,'TH theo DV_Tổng'!$C26)/$D$1</f>
        <v>0</v>
      </c>
      <c r="U26" s="322">
        <f>SUMIFS('PL1.1 ML2027-2028'!$H:$H,'PL1.1 ML2027-2028'!$J:$J,'TH theo DV_Tổng'!U$3,'PL1.1 ML2027-2028'!$K:$K,'TH theo DV_Tổng'!$C26)/$D$1</f>
        <v>0</v>
      </c>
      <c r="V26" s="323">
        <f>SUM(N26:T26)</f>
        <v>0.121944</v>
      </c>
      <c r="W26" s="329"/>
      <c r="X26" s="59"/>
      <c r="Y26" s="326">
        <f>D26+N26</f>
        <v>0</v>
      </c>
      <c r="Z26" s="326">
        <f t="shared" si="52"/>
        <v>0</v>
      </c>
      <c r="AA26" s="326">
        <f t="shared" si="53"/>
        <v>0</v>
      </c>
      <c r="AB26" s="326">
        <f t="shared" si="54"/>
        <v>0.33320300000000003</v>
      </c>
      <c r="AC26" s="326">
        <f t="shared" si="55"/>
        <v>0</v>
      </c>
      <c r="AD26" s="326">
        <f t="shared" si="56"/>
        <v>0</v>
      </c>
      <c r="AE26" s="326">
        <f t="shared" si="57"/>
        <v>0</v>
      </c>
      <c r="AF26" s="326">
        <f t="shared" si="58"/>
        <v>0</v>
      </c>
      <c r="AG26" s="323">
        <f>SUM(Y26:AE26)</f>
        <v>0.33320300000000003</v>
      </c>
      <c r="AH26" s="84">
        <f t="shared" si="10"/>
        <v>5.5395479825149207E-3</v>
      </c>
      <c r="AI26" s="59"/>
    </row>
    <row r="27" spans="1:35" s="20" customFormat="1" outlineLevel="1">
      <c r="A27" s="75">
        <v>5</v>
      </c>
      <c r="B27" s="79" t="s">
        <v>672</v>
      </c>
      <c r="C27" s="14"/>
      <c r="D27" s="325">
        <f t="shared" ref="D27:K27" si="59">SUBTOTAL(9,D28:D30)</f>
        <v>0</v>
      </c>
      <c r="E27" s="325">
        <f t="shared" si="59"/>
        <v>0</v>
      </c>
      <c r="F27" s="325">
        <f t="shared" si="59"/>
        <v>0</v>
      </c>
      <c r="G27" s="325">
        <f t="shared" si="59"/>
        <v>0</v>
      </c>
      <c r="H27" s="325"/>
      <c r="I27" s="325"/>
      <c r="J27" s="325">
        <f t="shared" si="59"/>
        <v>0</v>
      </c>
      <c r="K27" s="325">
        <f t="shared" si="59"/>
        <v>0</v>
      </c>
      <c r="L27" s="325">
        <f>SUBTOTAL(9,L28:L29)</f>
        <v>0</v>
      </c>
      <c r="M27" s="102">
        <f t="shared" si="11"/>
        <v>0</v>
      </c>
      <c r="N27" s="320">
        <f>SUBTOTAL(9,N28:N30)</f>
        <v>0</v>
      </c>
      <c r="O27" s="320">
        <f t="shared" ref="O27:U27" si="60">SUBTOTAL(9,O28:O30)</f>
        <v>0</v>
      </c>
      <c r="P27" s="320">
        <f t="shared" si="60"/>
        <v>0</v>
      </c>
      <c r="Q27" s="320">
        <f t="shared" si="60"/>
        <v>0</v>
      </c>
      <c r="R27" s="325"/>
      <c r="S27" s="325">
        <f>SUBTOTAL(9,S28:S29)</f>
        <v>0</v>
      </c>
      <c r="T27" s="320">
        <f t="shared" si="60"/>
        <v>0</v>
      </c>
      <c r="U27" s="325">
        <f t="shared" si="60"/>
        <v>0</v>
      </c>
      <c r="V27" s="325">
        <f>SUBTOTAL(9,V28:V29)</f>
        <v>0</v>
      </c>
      <c r="W27" s="330">
        <f>V27/$V$4</f>
        <v>0</v>
      </c>
      <c r="X27" s="102"/>
      <c r="Y27" s="325">
        <f t="shared" ref="Y27:AF27" si="61">SUBTOTAL(9,Y28:Y30)</f>
        <v>0</v>
      </c>
      <c r="Z27" s="325">
        <f t="shared" si="61"/>
        <v>0</v>
      </c>
      <c r="AA27" s="325">
        <f t="shared" si="61"/>
        <v>0</v>
      </c>
      <c r="AB27" s="325">
        <f t="shared" si="61"/>
        <v>0</v>
      </c>
      <c r="AC27" s="325">
        <f t="shared" si="61"/>
        <v>0</v>
      </c>
      <c r="AD27" s="325">
        <f t="shared" si="61"/>
        <v>0</v>
      </c>
      <c r="AE27" s="325">
        <f t="shared" si="61"/>
        <v>0</v>
      </c>
      <c r="AF27" s="325">
        <f t="shared" si="61"/>
        <v>0</v>
      </c>
      <c r="AG27" s="325">
        <f>SUBTOTAL(9,AG28:AG29)</f>
        <v>0</v>
      </c>
      <c r="AH27" s="84">
        <f t="shared" si="10"/>
        <v>0</v>
      </c>
      <c r="AI27" s="102"/>
    </row>
    <row r="28" spans="1:35" outlineLevel="1">
      <c r="A28" s="26" t="s">
        <v>8</v>
      </c>
      <c r="B28" s="60" t="s">
        <v>670</v>
      </c>
      <c r="C28" s="64" t="s">
        <v>127</v>
      </c>
      <c r="D28" s="322">
        <f>SUMIFS('PL1.1 ML2027-2028'!$G:$G,'PL1.1 ML2027-2028'!$J:$J,'TH theo DV_Tổng'!$D$3,'PL1.1 ML2027-2028'!$K:$K,'TH theo DV_Tổng'!C28)/$D$1</f>
        <v>0</v>
      </c>
      <c r="E28" s="322">
        <f>SUMIFS('PL1.1 ML2027-2028'!$G:$G,'PL1.1 ML2027-2028'!$J:$J,'TH theo DV_Tổng'!$E$3,'PL1.1 ML2027-2028'!$K:$K,'TH theo DV_Tổng'!C28)/$D$1</f>
        <v>0</v>
      </c>
      <c r="F28" s="322">
        <f>SUMIFS('PL1.1 ML2027-2028'!$G:$G,'PL1.1 ML2027-2028'!$J:$J,'TH theo DV_Tổng'!$F$3,'PL1.1 ML2027-2028'!$K:$K,'TH theo DV_Tổng'!C28)/$D$1</f>
        <v>0</v>
      </c>
      <c r="G28" s="326">
        <f>SUMIFS('PL1.1 ML2027-2028'!$G:$G,'PL1.1 ML2027-2028'!$J:$J,'TH theo DV_Tổng'!$G$3,'PL1.1 ML2027-2028'!$K:$K,'TH theo DV_Tổng'!C28)/$D$1</f>
        <v>0</v>
      </c>
      <c r="H28" s="322"/>
      <c r="I28" s="143"/>
      <c r="J28" s="322">
        <f>SUMIFS('PL1.1 ML2027-2028'!$G:$G,'PL1.1 ML2027-2028'!$J:$J,'TH theo DV_Tổng'!$J$3,'PL1.1 ML2027-2028'!$K:$K,'TH theo DV_Tổng'!C28)/$D$1</f>
        <v>0</v>
      </c>
      <c r="K28" s="322">
        <f>SUMIFS('PL1.1 ML2027-2028'!$G:$G,'PL1.1 ML2027-2028'!$J:$J,'TH theo DV_Tổng'!K$3,'PL1.1 ML2027-2028'!$K:$K,'TH theo DV_Tổng'!C28)/$D$1</f>
        <v>0</v>
      </c>
      <c r="L28" s="323">
        <f>SUM(D28:K28)</f>
        <v>0</v>
      </c>
      <c r="M28" s="102">
        <f t="shared" si="11"/>
        <v>0</v>
      </c>
      <c r="N28" s="322">
        <f>SUMIFS('PL1.1 ML2027-2028'!$H:$H,'PL1.1 ML2027-2028'!$J:$J,'TH theo DV_Tổng'!N$3,'PL1.1 ML2027-2028'!$K:$K,'TH theo DV_Tổng'!$C28)/$D$1</f>
        <v>0</v>
      </c>
      <c r="O28" s="322">
        <f>SUMIFS('PL1.1 ML2027-2028'!$H:$H,'PL1.1 ML2027-2028'!$J:$J,'TH theo DV_Tổng'!O$3,'PL1.1 ML2027-2028'!$K:$K,'TH theo DV_Tổng'!$C28)/$D$1</f>
        <v>0</v>
      </c>
      <c r="P28" s="322">
        <f>SUMIFS('PL1.1 ML2027-2028'!$H:$H,'PL1.1 ML2027-2028'!$J:$J,'TH theo DV_Tổng'!P$3,'PL1.1 ML2027-2028'!$K:$K,'TH theo DV_Tổng'!$C28)/$D$1</f>
        <v>0</v>
      </c>
      <c r="Q28" s="322">
        <f>SUMIFS('PL1.1 ML2027-2028'!$H:$H,'PL1.1 ML2027-2028'!$J:$J,'TH theo DV_Tổng'!Q$3,'PL1.1 ML2027-2028'!$K:$K,'TH theo DV_Tổng'!$C28)/$D$1</f>
        <v>0</v>
      </c>
      <c r="R28" s="322"/>
      <c r="S28" s="322"/>
      <c r="T28" s="322">
        <f>SUMIFS('PL1.1 ML2027-2028'!$H:$H,'PL1.1 ML2027-2028'!$J:$J,'TH theo DV_Tổng'!T$3,'PL1.1 ML2027-2028'!$K:$K,'TH theo DV_Tổng'!$C28)/$D$1</f>
        <v>0</v>
      </c>
      <c r="U28" s="322">
        <f>SUMIFS('PL1.1 ML2027-2028'!$H:$H,'PL1.1 ML2027-2028'!$J:$J,'TH theo DV_Tổng'!U$3,'PL1.1 ML2027-2028'!$K:$K,'TH theo DV_Tổng'!$C28)/$D$1</f>
        <v>0</v>
      </c>
      <c r="V28" s="323">
        <f>SUM(N28:U28)</f>
        <v>0</v>
      </c>
      <c r="W28" s="329"/>
      <c r="X28" s="59"/>
      <c r="Y28" s="326">
        <f>D28+N28</f>
        <v>0</v>
      </c>
      <c r="Z28" s="326">
        <f t="shared" ref="Z28:Z29" si="62">E28+O28</f>
        <v>0</v>
      </c>
      <c r="AA28" s="326">
        <f t="shared" ref="AA28:AA29" si="63">F28+P28</f>
        <v>0</v>
      </c>
      <c r="AB28" s="326">
        <f t="shared" ref="AB28:AB29" si="64">G28+Q28</f>
        <v>0</v>
      </c>
      <c r="AC28" s="326">
        <f t="shared" ref="AC28:AC29" si="65">H28+R28</f>
        <v>0</v>
      </c>
      <c r="AD28" s="326">
        <f t="shared" ref="AD28:AD29" si="66">I28+S28</f>
        <v>0</v>
      </c>
      <c r="AE28" s="326">
        <f t="shared" ref="AE28:AE29" si="67">J28+T28</f>
        <v>0</v>
      </c>
      <c r="AF28" s="326">
        <f t="shared" ref="AF28:AF29" si="68">K28+U28</f>
        <v>0</v>
      </c>
      <c r="AG28" s="323">
        <f>SUM(Y28:AE28)</f>
        <v>0</v>
      </c>
      <c r="AH28" s="84">
        <f t="shared" si="10"/>
        <v>0</v>
      </c>
      <c r="AI28" s="59"/>
    </row>
    <row r="29" spans="1:35" outlineLevel="1">
      <c r="A29" s="26" t="s">
        <v>8</v>
      </c>
      <c r="B29" s="60" t="s">
        <v>671</v>
      </c>
      <c r="C29" s="64" t="s">
        <v>128</v>
      </c>
      <c r="D29" s="322">
        <f>SUMIFS('PL1.1 ML2027-2028'!$G:$G,'PL1.1 ML2027-2028'!$J:$J,'TH theo DV_Tổng'!$D$3,'PL1.1 ML2027-2028'!$K:$K,'TH theo DV_Tổng'!C29)/$D$1</f>
        <v>0</v>
      </c>
      <c r="E29" s="322">
        <f>SUMIFS('PL1.1 ML2027-2028'!$G:$G,'PL1.1 ML2027-2028'!$J:$J,'TH theo DV_Tổng'!$E$3,'PL1.1 ML2027-2028'!$K:$K,'TH theo DV_Tổng'!C29)/$D$1</f>
        <v>0</v>
      </c>
      <c r="F29" s="322">
        <f>SUMIFS('PL1.1 ML2027-2028'!$G:$G,'PL1.1 ML2027-2028'!$J:$J,'TH theo DV_Tổng'!$F$3,'PL1.1 ML2027-2028'!$K:$K,'TH theo DV_Tổng'!C29)/$D$1</f>
        <v>0</v>
      </c>
      <c r="G29" s="326">
        <f>SUMIFS('PL1.1 ML2027-2028'!$G:$G,'PL1.1 ML2027-2028'!$J:$J,'TH theo DV_Tổng'!$G$3,'PL1.1 ML2027-2028'!$K:$K,'TH theo DV_Tổng'!C29)/$D$1</f>
        <v>0</v>
      </c>
      <c r="H29" s="322"/>
      <c r="I29" s="322"/>
      <c r="J29" s="322">
        <f>SUMIFS('PL1.1 ML2027-2028'!$G:$G,'PL1.1 ML2027-2028'!$J:$J,'TH theo DV_Tổng'!$J$3,'PL1.1 ML2027-2028'!$K:$K,'TH theo DV_Tổng'!C29)/$D$1</f>
        <v>0</v>
      </c>
      <c r="K29" s="322">
        <f>SUMIFS('PL1.1 ML2027-2028'!$G:$G,'PL1.1 ML2027-2028'!$J:$J,'TH theo DV_Tổng'!K$3,'PL1.1 ML2027-2028'!$K:$K,'TH theo DV_Tổng'!C29)/$D$1</f>
        <v>0</v>
      </c>
      <c r="L29" s="323">
        <f>SUM(D29:K29)</f>
        <v>0</v>
      </c>
      <c r="M29" s="102">
        <f t="shared" si="11"/>
        <v>0</v>
      </c>
      <c r="N29" s="322">
        <f>SUMIFS('PL1.1 ML2027-2028'!$H:$H,'PL1.1 ML2027-2028'!$J:$J,'TH theo DV_Tổng'!N$3,'PL1.1 ML2027-2028'!$K:$K,'TH theo DV_Tổng'!$C29)/$D$1</f>
        <v>0</v>
      </c>
      <c r="O29" s="322">
        <f>SUMIFS('PL1.1 ML2027-2028'!$H:$H,'PL1.1 ML2027-2028'!$J:$J,'TH theo DV_Tổng'!O$3,'PL1.1 ML2027-2028'!$K:$K,'TH theo DV_Tổng'!$C29)/$D$1</f>
        <v>0</v>
      </c>
      <c r="P29" s="322">
        <f>SUMIFS('PL1.1 ML2027-2028'!$H:$H,'PL1.1 ML2027-2028'!$J:$J,'TH theo DV_Tổng'!P$3,'PL1.1 ML2027-2028'!$K:$K,'TH theo DV_Tổng'!$C29)/$D$1</f>
        <v>0</v>
      </c>
      <c r="Q29" s="322">
        <f>SUMIFS('PL1.1 ML2027-2028'!$H:$H,'PL1.1 ML2027-2028'!$J:$J,'TH theo DV_Tổng'!Q$3,'PL1.1 ML2027-2028'!$K:$K,'TH theo DV_Tổng'!$C29)/$D$1</f>
        <v>0</v>
      </c>
      <c r="R29" s="322"/>
      <c r="S29" s="322"/>
      <c r="T29" s="322">
        <f>SUMIFS('PL1.1 ML2027-2028'!$H:$H,'PL1.1 ML2027-2028'!$J:$J,'TH theo DV_Tổng'!T$3,'PL1.1 ML2027-2028'!$K:$K,'TH theo DV_Tổng'!$C29)/$D$1</f>
        <v>0</v>
      </c>
      <c r="U29" s="322">
        <f>SUMIFS('PL1.1 ML2027-2028'!$H:$H,'PL1.1 ML2027-2028'!$J:$J,'TH theo DV_Tổng'!U$3,'PL1.1 ML2027-2028'!$K:$K,'TH theo DV_Tổng'!$C29)/$D$1</f>
        <v>0</v>
      </c>
      <c r="V29" s="323">
        <f>SUM(N29:U29)</f>
        <v>0</v>
      </c>
      <c r="W29" s="329"/>
      <c r="X29" s="59"/>
      <c r="Y29" s="326">
        <f>D29+N29</f>
        <v>0</v>
      </c>
      <c r="Z29" s="326">
        <f t="shared" si="62"/>
        <v>0</v>
      </c>
      <c r="AA29" s="326">
        <f t="shared" si="63"/>
        <v>0</v>
      </c>
      <c r="AB29" s="326">
        <f t="shared" si="64"/>
        <v>0</v>
      </c>
      <c r="AC29" s="326">
        <f t="shared" si="65"/>
        <v>0</v>
      </c>
      <c r="AD29" s="326">
        <f t="shared" si="66"/>
        <v>0</v>
      </c>
      <c r="AE29" s="326">
        <f t="shared" si="67"/>
        <v>0</v>
      </c>
      <c r="AF29" s="326">
        <f t="shared" si="68"/>
        <v>0</v>
      </c>
      <c r="AG29" s="323">
        <f>SUM(Y29:AE29)</f>
        <v>0</v>
      </c>
      <c r="AH29" s="84">
        <f t="shared" si="10"/>
        <v>0</v>
      </c>
      <c r="AI29" s="59"/>
    </row>
    <row r="30" spans="1:35" ht="26" outlineLevel="1">
      <c r="A30" s="55" t="s">
        <v>19</v>
      </c>
      <c r="B30" s="103" t="s">
        <v>193</v>
      </c>
      <c r="C30" s="82"/>
      <c r="D30" s="321">
        <f t="shared" ref="D30:F30" si="69">SUBTOTAL(9,D31:D34)</f>
        <v>0.60908655746562401</v>
      </c>
      <c r="E30" s="321">
        <f t="shared" si="69"/>
        <v>1.48660192</v>
      </c>
      <c r="F30" s="321">
        <f t="shared" si="69"/>
        <v>0</v>
      </c>
      <c r="G30" s="321">
        <f>SUBTOTAL(9,G31:G34)</f>
        <v>1.2029529999999999</v>
      </c>
      <c r="H30" s="321">
        <f t="shared" ref="H30:L30" si="70">SUBTOTAL(9,H31:H34)</f>
        <v>0</v>
      </c>
      <c r="I30" s="321">
        <f t="shared" si="70"/>
        <v>0.35783999999999999</v>
      </c>
      <c r="J30" s="321">
        <f t="shared" si="70"/>
        <v>2.2548441100000001</v>
      </c>
      <c r="K30" s="321">
        <f t="shared" si="70"/>
        <v>8.4599999999999995E-2</v>
      </c>
      <c r="L30" s="321">
        <f t="shared" si="70"/>
        <v>5.9959255874656234</v>
      </c>
      <c r="M30" s="106">
        <f t="shared" si="11"/>
        <v>0.18619206172269326</v>
      </c>
      <c r="N30" s="321">
        <f t="shared" ref="N30" si="71">SUBTOTAL(9,N31:N34)</f>
        <v>0.24908655746562403</v>
      </c>
      <c r="O30" s="321">
        <f>SUBTOTAL(9,O31:O34)</f>
        <v>0.1</v>
      </c>
      <c r="P30" s="321">
        <f t="shared" ref="P30:V30" si="72">SUBTOTAL(9,P31:P34)</f>
        <v>0</v>
      </c>
      <c r="Q30" s="321">
        <f t="shared" si="72"/>
        <v>0.74912500000000004</v>
      </c>
      <c r="R30" s="321">
        <f t="shared" si="72"/>
        <v>0</v>
      </c>
      <c r="S30" s="321">
        <f t="shared" si="72"/>
        <v>0.33633999999999997</v>
      </c>
      <c r="T30" s="321">
        <f t="shared" si="72"/>
        <v>1.1764980999999999</v>
      </c>
      <c r="U30" s="321">
        <f t="shared" si="72"/>
        <v>0</v>
      </c>
      <c r="V30" s="321">
        <f t="shared" si="72"/>
        <v>2.6110496574656237</v>
      </c>
      <c r="W30" s="106">
        <f t="shared" ref="W30:W35" si="73">V30/$V$4</f>
        <v>9.2973702765194163E-2</v>
      </c>
      <c r="X30" s="106"/>
      <c r="Y30" s="321">
        <f t="shared" ref="Y30" si="74">SUBTOTAL(9,Y31:Y34)</f>
        <v>0.85817311493124804</v>
      </c>
      <c r="Z30" s="321">
        <f>SUBTOTAL(9,Z31:Z34)</f>
        <v>1.5866019199999999</v>
      </c>
      <c r="AA30" s="321">
        <f t="shared" ref="AA30:AG30" si="75">SUBTOTAL(9,AA31:AA34)</f>
        <v>0</v>
      </c>
      <c r="AB30" s="321">
        <f t="shared" si="75"/>
        <v>1.952078</v>
      </c>
      <c r="AC30" s="321">
        <f t="shared" si="75"/>
        <v>0</v>
      </c>
      <c r="AD30" s="321">
        <f t="shared" si="75"/>
        <v>0.69418000000000002</v>
      </c>
      <c r="AE30" s="321">
        <f t="shared" si="75"/>
        <v>3.4313422100000004</v>
      </c>
      <c r="AF30" s="321">
        <f t="shared" si="75"/>
        <v>8.4599999999999995E-2</v>
      </c>
      <c r="AG30" s="321">
        <f t="shared" si="75"/>
        <v>8.6069752449312489</v>
      </c>
      <c r="AH30" s="84">
        <f t="shared" si="10"/>
        <v>0.14309220611343462</v>
      </c>
      <c r="AI30" s="106"/>
    </row>
    <row r="31" spans="1:35" s="20" customFormat="1" outlineLevel="1">
      <c r="A31" s="14">
        <v>1</v>
      </c>
      <c r="B31" s="43" t="s">
        <v>287</v>
      </c>
      <c r="C31" s="14" t="s">
        <v>288</v>
      </c>
      <c r="D31" s="326">
        <f>SUMIFS('PL1.1 ML2027-2028'!$G:$G,'PL1.1 ML2027-2028'!$J:$J,'TH theo DV_Tổng'!$D$3,'PL1.1 ML2027-2028'!$K:$K,'TH theo DV_Tổng'!C31)/$D$1</f>
        <v>0.24908655746562403</v>
      </c>
      <c r="E31" s="326">
        <f>SUMIFS('PL1.1 ML2027-2028'!$G:$G,'PL1.1 ML2027-2028'!$J:$J,'TH theo DV_Tổng'!$E$3,'PL1.1 ML2027-2028'!$K:$K,'TH theo DV_Tổng'!C31)/$D$1</f>
        <v>0.1</v>
      </c>
      <c r="F31" s="326">
        <f>SUMIFS('PL1.1 ML2027-2028'!$G:$G,'PL1.1 ML2027-2028'!$J:$J,'TH theo DV_Tổng'!$F$3,'PL1.1 ML2027-2028'!$K:$K,'TH theo DV_Tổng'!C31)/$D$1</f>
        <v>0</v>
      </c>
      <c r="G31" s="322">
        <f>SUMIFS('PL1.1 ML2027-2028'!$G:$G,'PL1.1 ML2027-2028'!$J:$J,'TH theo DV_Tổng'!$G$3,'PL1.1 ML2027-2028'!$K:$K,'TH theo DV_Tổng'!C31)/$D$1</f>
        <v>0</v>
      </c>
      <c r="H31" s="322">
        <f>SUMIFS('PL1.1 ML2027-2028'!$G:$G,'PL1.1 ML2027-2028'!$J:$J,"TD",'PL1.1 ML2027-2028'!$M:$M,"IP",'PL1.1 ML2027-2028'!$K:$K,'TH theo DV_Tổng'!C31)/$D$1</f>
        <v>0</v>
      </c>
      <c r="I31" s="322">
        <f>SUMIFS('PL1.1 ML2027-2028'!$G:$G,'PL1.1 ML2027-2028'!$J:$J,"TD",'PL1.1 ML2027-2028'!$M:$M,"Mạng cáp",'PL1.1 ML2027-2028'!$K:$K,'TH theo DV_Tổng'!C31)/$D$1</f>
        <v>0.12573999999999999</v>
      </c>
      <c r="J31" s="326">
        <f>SUMIFS('PL1.1 ML2027-2028'!$G:$G,'PL1.1 ML2027-2028'!$J:$J,'TH theo DV_Tổng'!$J$3,'PL1.1 ML2027-2028'!$K:$K,'TH theo DV_Tổng'!C31)/$D$1</f>
        <v>0.40219909999999998</v>
      </c>
      <c r="K31" s="322">
        <f>SUMIFS('PL1.1 ML2027-2028'!$G:$G,'PL1.1 ML2027-2028'!$J:$J,'TH theo DV_Tổng'!K$3,'PL1.1 ML2027-2028'!$K:$K,'TH theo DV_Tổng'!C31)/$D$1</f>
        <v>0</v>
      </c>
      <c r="L31" s="323">
        <f t="shared" ref="L31:L35" si="76">SUM(D31:K31)</f>
        <v>0.87702565746562389</v>
      </c>
      <c r="M31" s="102">
        <f t="shared" si="11"/>
        <v>2.7234363229688984E-2</v>
      </c>
      <c r="N31" s="326">
        <f>SUMIFS('PL1.1 ML2027-2028'!$H:$H,'PL1.1 ML2027-2028'!$J:$J,'TH theo DV_Tổng'!N$3,'PL1.1 ML2027-2028'!$K:$K,'TH theo DV_Tổng'!$C31)/$D$1</f>
        <v>0.24908655746562403</v>
      </c>
      <c r="O31" s="326">
        <f>SUMIFS('PL1.1 ML2027-2028'!$H:$H,'PL1.1 ML2027-2028'!$J:$J,'TH theo DV_Tổng'!O$3,'PL1.1 ML2027-2028'!$K:$K,'TH theo DV_Tổng'!$C31)/$D$1</f>
        <v>0.1</v>
      </c>
      <c r="P31" s="326">
        <f>SUMIFS('PL1.1 ML2027-2028'!$H:$H,'PL1.1 ML2027-2028'!$J:$J,'TH theo DV_Tổng'!P$3,'PL1.1 ML2027-2028'!$K:$K,'TH theo DV_Tổng'!$C31)/$D$1</f>
        <v>0</v>
      </c>
      <c r="Q31" s="326">
        <f>SUMIFS('PL1.1 ML2027-2028'!$H:$H,'PL1.1 ML2027-2028'!$J:$J,'TH theo DV_Tổng'!Q$3,'PL1.1 ML2027-2028'!$K:$K,'TH theo DV_Tổng'!$C31)/$D$1</f>
        <v>0</v>
      </c>
      <c r="R31" s="322">
        <f>SUMIFS('PL1.1 ML2027-2028'!$H:$H,'PL1.1 ML2027-2028'!$J:$J,"TD",'PL1.1 ML2027-2028'!$M:$M,"IP",'PL1.1 ML2027-2028'!$K:$K,'TH theo DV_Tổng'!C31)/$D$1</f>
        <v>0</v>
      </c>
      <c r="S31" s="322">
        <f>SUMIFS('PL1.1 ML2027-2028'!$H:$H,'PL1.1 ML2027-2028'!$J:$J,"TD",'PL1.1 ML2027-2028'!$M:$M,"Mạng cáp",'PL1.1 ML2027-2028'!$K:$K,'TH theo DV_Tổng'!C31)/$D$1</f>
        <v>0.10424</v>
      </c>
      <c r="T31" s="326">
        <f>SUMIFS('PL1.1 ML2027-2028'!$H:$H,'PL1.1 ML2027-2028'!$J:$J,'TH theo DV_Tổng'!T$3,'PL1.1 ML2027-2028'!$K:$K,'TH theo DV_Tổng'!$C31)/$D$1</f>
        <v>0.34184909999999996</v>
      </c>
      <c r="U31" s="322">
        <f>SUMIFS('PL1.1 ML2027-2028'!$H:$H,'PL1.1 ML2027-2028'!$J:$J,'TH theo DV_Tổng'!U$3,'PL1.1 ML2027-2028'!$K:$K,'TH theo DV_Tổng'!$C31)/$D$1</f>
        <v>0</v>
      </c>
      <c r="V31" s="323">
        <f t="shared" ref="V31:V35" si="77">SUM(N31:U31)</f>
        <v>0.79517565746562391</v>
      </c>
      <c r="W31" s="330">
        <f t="shared" si="73"/>
        <v>2.8314446265677775E-2</v>
      </c>
      <c r="X31" s="102"/>
      <c r="Y31" s="80">
        <f>D31+N31</f>
        <v>0.49817311493124805</v>
      </c>
      <c r="Z31" s="80">
        <f t="shared" ref="Z31:Z34" si="78">E31+O31</f>
        <v>0.2</v>
      </c>
      <c r="AA31" s="80">
        <f t="shared" ref="AA31:AA34" si="79">F31+P31</f>
        <v>0</v>
      </c>
      <c r="AB31" s="80">
        <f t="shared" ref="AB31:AB34" si="80">G31+Q31</f>
        <v>0</v>
      </c>
      <c r="AC31" s="80">
        <f t="shared" ref="AC31:AC34" si="81">H31+R31</f>
        <v>0</v>
      </c>
      <c r="AD31" s="80">
        <f t="shared" ref="AD31:AD34" si="82">I31+S31</f>
        <v>0.22997999999999999</v>
      </c>
      <c r="AE31" s="80">
        <f t="shared" ref="AE31:AE34" si="83">J31+T31</f>
        <v>0.74404819999999994</v>
      </c>
      <c r="AF31" s="80">
        <f t="shared" ref="AF31:AF34" si="84">K31+U31</f>
        <v>0</v>
      </c>
      <c r="AG31" s="323">
        <f t="shared" ref="AG31:AG35" si="85">SUM(Y31:AF31)</f>
        <v>1.672201314931248</v>
      </c>
      <c r="AH31" s="84">
        <f t="shared" si="10"/>
        <v>2.7800588291480542E-2</v>
      </c>
      <c r="AI31" s="102"/>
    </row>
    <row r="32" spans="1:35" ht="26" outlineLevel="1">
      <c r="A32" s="26">
        <v>2</v>
      </c>
      <c r="B32" s="81" t="s">
        <v>286</v>
      </c>
      <c r="C32" s="64" t="s">
        <v>122</v>
      </c>
      <c r="D32" s="326">
        <f>SUMIFS('PL1.1 ML2027-2028'!$G:$G,'PL1.1 ML2027-2028'!$J:$J,'TH theo DV_Tổng'!$D$3,'PL1.1 ML2027-2028'!$K:$K,'TH theo DV_Tổng'!C32)/$D$1</f>
        <v>0.36</v>
      </c>
      <c r="E32" s="326">
        <f>SUMIFS('PL1.1 ML2027-2028'!$G:$G,'PL1.1 ML2027-2028'!$J:$J,'TH theo DV_Tổng'!$E$3,'PL1.1 ML2027-2028'!$K:$K,'TH theo DV_Tổng'!C32)/$D$1</f>
        <v>1.3866019199999999</v>
      </c>
      <c r="F32" s="326">
        <f>SUMIFS('PL1.1 ML2027-2028'!$G:$G,'PL1.1 ML2027-2028'!$J:$J,'TH theo DV_Tổng'!$F$3,'PL1.1 ML2027-2028'!$K:$K,'TH theo DV_Tổng'!C32)/$D$1</f>
        <v>0</v>
      </c>
      <c r="G32" s="322">
        <f>SUMIFS('PL1.1 ML2027-2028'!$G:$G,'PL1.1 ML2027-2028'!$J:$J,'TH theo DV_Tổng'!$G$3,'PL1.1 ML2027-2028'!$K:$K,'TH theo DV_Tổng'!C32)/$D$1</f>
        <v>1.2029529999999999</v>
      </c>
      <c r="H32" s="322">
        <f>SUMIFS('PL1.1 ML2027-2028'!$G:$G,'PL1.1 ML2027-2028'!$J:$J,"TD",'PL1.1 ML2027-2028'!$M:$M,"IP",'PL1.1 ML2027-2028'!$K:$K,'TH theo DV_Tổng'!C32)/$D$1</f>
        <v>0</v>
      </c>
      <c r="I32" s="322">
        <f>SUMIFS('PL1.1 ML2027-2028'!$G:$G,'PL1.1 ML2027-2028'!$J:$J,"TD",'PL1.1 ML2027-2028'!$M:$M,"Mạng cáp",'PL1.1 ML2027-2028'!$K:$K,'TH theo DV_Tổng'!C32)/$D$1</f>
        <v>0</v>
      </c>
      <c r="J32" s="326">
        <f>SUMIFS('PL1.1 ML2027-2028'!$G:$G,'PL1.1 ML2027-2028'!$J:$J,'TH theo DV_Tổng'!$J$3,'PL1.1 ML2027-2028'!$K:$K,'TH theo DV_Tổng'!C32)/$D$1</f>
        <v>0.25223000000000001</v>
      </c>
      <c r="K32" s="322">
        <f>SUMIFS('PL1.1 ML2027-2028'!$G:$G,'PL1.1 ML2027-2028'!$J:$J,'TH theo DV_Tổng'!K$3,'PL1.1 ML2027-2028'!$K:$K,'TH theo DV_Tổng'!C32)/$D$1</f>
        <v>0</v>
      </c>
      <c r="L32" s="323">
        <f t="shared" si="76"/>
        <v>3.2017849199999997</v>
      </c>
      <c r="M32" s="59">
        <f t="shared" si="11"/>
        <v>9.9425339215960779E-2</v>
      </c>
      <c r="N32" s="322">
        <f>SUMIFS('PL1.1 ML2027-2028'!$H:$H,'PL1.1 ML2027-2028'!$J:$J,'TH theo DV_Tổng'!N$3,'PL1.1 ML2027-2028'!$K:$K,'TH theo DV_Tổng'!$C32)/$D$1</f>
        <v>0</v>
      </c>
      <c r="O32" s="322">
        <f>SUMIFS('PL1.1 ML2027-2028'!$H:$H,'PL1.1 ML2027-2028'!$J:$J,'TH theo DV_Tổng'!O$3,'PL1.1 ML2027-2028'!$K:$K,'TH theo DV_Tổng'!$C32)/$D$1</f>
        <v>0</v>
      </c>
      <c r="P32" s="322">
        <f>SUMIFS('PL1.1 ML2027-2028'!$H:$H,'PL1.1 ML2027-2028'!$J:$J,'TH theo DV_Tổng'!P$3,'PL1.1 ML2027-2028'!$K:$K,'TH theo DV_Tổng'!$C32)/$D$1</f>
        <v>0</v>
      </c>
      <c r="Q32" s="322">
        <f>SUMIFS('PL1.1 ML2027-2028'!$H:$H,'PL1.1 ML2027-2028'!$J:$J,'TH theo DV_Tổng'!Q$3,'PL1.1 ML2027-2028'!$K:$K,'TH theo DV_Tổng'!$C32)/$D$1</f>
        <v>0.74912500000000004</v>
      </c>
      <c r="R32" s="322">
        <f>SUMIFS('PL1.1 ML2027-2028'!$H:$H,'PL1.1 ML2027-2028'!$J:$J,"TD",'PL1.1 ML2027-2028'!$M:$M,"IP",'PL1.1 ML2027-2028'!$K:$K,'TH theo DV_Tổng'!C32)/$D$1</f>
        <v>0</v>
      </c>
      <c r="S32" s="322">
        <f>SUMIFS('PL1.1 ML2027-2028'!$H:$H,'PL1.1 ML2027-2028'!$J:$J,"TD",'PL1.1 ML2027-2028'!$M:$M,"Mạng cáp",'PL1.1 ML2027-2028'!$K:$K,'TH theo DV_Tổng'!C32)/$D$1</f>
        <v>0</v>
      </c>
      <c r="T32" s="322">
        <f>SUMIFS('PL1.1 ML2027-2028'!$H:$H,'PL1.1 ML2027-2028'!$J:$J,'TH theo DV_Tổng'!T$3,'PL1.1 ML2027-2028'!$K:$K,'TH theo DV_Tổng'!$C32)/$D$1</f>
        <v>5.2249999999999998E-2</v>
      </c>
      <c r="U32" s="322">
        <f>SUMIFS('PL1.1 ML2027-2028'!$H:$H,'PL1.1 ML2027-2028'!$J:$J,'TH theo DV_Tổng'!U$3,'PL1.1 ML2027-2028'!$K:$K,'TH theo DV_Tổng'!$C32)/$D$1</f>
        <v>0</v>
      </c>
      <c r="V32" s="323">
        <f t="shared" si="77"/>
        <v>0.80137500000000006</v>
      </c>
      <c r="W32" s="332">
        <f t="shared" si="73"/>
        <v>2.8535191140629773E-2</v>
      </c>
      <c r="X32" s="59"/>
      <c r="Y32" s="80">
        <f>D32+N32</f>
        <v>0.36</v>
      </c>
      <c r="Z32" s="80">
        <f t="shared" si="78"/>
        <v>1.3866019199999999</v>
      </c>
      <c r="AA32" s="80">
        <f t="shared" si="79"/>
        <v>0</v>
      </c>
      <c r="AB32" s="80">
        <f t="shared" si="80"/>
        <v>1.952078</v>
      </c>
      <c r="AC32" s="80">
        <f t="shared" si="81"/>
        <v>0</v>
      </c>
      <c r="AD32" s="80">
        <f t="shared" si="82"/>
        <v>0</v>
      </c>
      <c r="AE32" s="80">
        <f t="shared" si="83"/>
        <v>0.30448000000000003</v>
      </c>
      <c r="AF32" s="80">
        <f t="shared" si="84"/>
        <v>0</v>
      </c>
      <c r="AG32" s="323">
        <f t="shared" si="85"/>
        <v>4.0031599199999999</v>
      </c>
      <c r="AH32" s="84">
        <f t="shared" si="10"/>
        <v>6.6553111642213864E-2</v>
      </c>
      <c r="AI32" s="59"/>
    </row>
    <row r="33" spans="1:35" ht="17.649999999999999" customHeight="1" outlineLevel="1">
      <c r="A33" s="14">
        <v>3</v>
      </c>
      <c r="B33" s="66" t="s">
        <v>289</v>
      </c>
      <c r="C33" s="26" t="s">
        <v>196</v>
      </c>
      <c r="D33" s="326">
        <f>SUMIFS('PL1.1 ML2027-2028'!$G:$G,'PL1.1 ML2027-2028'!$J:$J,'TH theo DV_Tổng'!$D$3,'PL1.1 ML2027-2028'!$K:$K,'TH theo DV_Tổng'!C33)/$D$1</f>
        <v>0</v>
      </c>
      <c r="E33" s="326">
        <f>SUMIFS('PL1.1 ML2027-2028'!$G:$G,'PL1.1 ML2027-2028'!$J:$J,'TH theo DV_Tổng'!$E$3,'PL1.1 ML2027-2028'!$K:$K,'TH theo DV_Tổng'!C33)/$D$1</f>
        <v>0</v>
      </c>
      <c r="F33" s="120">
        <f>SUMIFS('PL1.1 ML2027-2028'!$G:$G,'PL1.1 ML2027-2028'!$J:$J,'TH theo DV_Tổng'!$F$3,'PL1.1 ML2027-2028'!$K:$K,'TH theo DV_Tổng'!C33)/$D$1</f>
        <v>0</v>
      </c>
      <c r="G33" s="322">
        <f>SUMIFS('PL1.1 ML2027-2028'!$G:$G,'PL1.1 ML2027-2028'!$J:$J,'TH theo DV_Tổng'!$G$3,'PL1.1 ML2027-2028'!$K:$K,'TH theo DV_Tổng'!C33)/$D$1</f>
        <v>0</v>
      </c>
      <c r="H33" s="322">
        <f>SUMIFS('PL1.1 ML2027-2028'!$G:$G,'PL1.1 ML2027-2028'!$J:$J,"TD",'PL1.1 ML2027-2028'!$M:$M,"IP",'PL1.1 ML2027-2028'!$K:$K,'TH theo DV_Tổng'!C33)/$D$1</f>
        <v>0</v>
      </c>
      <c r="I33" s="322">
        <f>SUMIFS('PL1.1 ML2027-2028'!$G:$G,'PL1.1 ML2027-2028'!$J:$J,"TD",'PL1.1 ML2027-2028'!$M:$M,"Mạng cáp",'PL1.1 ML2027-2028'!$K:$K,'TH theo DV_Tổng'!C33)/$D$1</f>
        <v>0.2321</v>
      </c>
      <c r="J33" s="326">
        <f>SUMIFS('PL1.1 ML2027-2028'!$G:$G,'PL1.1 ML2027-2028'!$J:$J,'TH theo DV_Tổng'!$J$3,'PL1.1 ML2027-2028'!$K:$K,'TH theo DV_Tổng'!C33)/$D$1</f>
        <v>1.6004150100000001</v>
      </c>
      <c r="K33" s="322">
        <f>SUMIFS('PL1.1 ML2027-2028'!$G:$G,'PL1.1 ML2027-2028'!$J:$J,'TH theo DV_Tổng'!K$3,'PL1.1 ML2027-2028'!$K:$K,'TH theo DV_Tổng'!C33)/$D$1</f>
        <v>8.4599999999999995E-2</v>
      </c>
      <c r="L33" s="323">
        <f t="shared" si="76"/>
        <v>1.9171150100000001</v>
      </c>
      <c r="M33" s="59">
        <f t="shared" si="11"/>
        <v>5.953235927704352E-2</v>
      </c>
      <c r="N33" s="322">
        <f>SUMIFS('PL1.1 ML2027-2028'!$H:$H,'PL1.1 ML2027-2028'!$J:$J,'TH theo DV_Tổng'!N$3,'PL1.1 ML2027-2028'!$K:$K,'TH theo DV_Tổng'!$C33)/$D$1</f>
        <v>0</v>
      </c>
      <c r="O33" s="322">
        <f>SUMIFS('PL1.1 ML2027-2028'!$H:$H,'PL1.1 ML2027-2028'!$J:$J,'TH theo DV_Tổng'!O$3,'PL1.1 ML2027-2028'!$K:$K,'TH theo DV_Tổng'!$C33)/$D$1</f>
        <v>0</v>
      </c>
      <c r="P33" s="143">
        <f>SUMIFS('PL1.1 ML2027-2028'!$H:$H,'PL1.1 ML2027-2028'!$J:$J,'TH theo DV_Tổng'!P$3,'PL1.1 ML2027-2028'!$K:$K,'TH theo DV_Tổng'!$C33)/$D$1</f>
        <v>0</v>
      </c>
      <c r="Q33" s="322">
        <f>SUMIFS('PL1.1 ML2027-2028'!$H:$H,'PL1.1 ML2027-2028'!$J:$J,'TH theo DV_Tổng'!Q$3,'PL1.1 ML2027-2028'!$K:$K,'TH theo DV_Tổng'!$C33)/$D$1</f>
        <v>0</v>
      </c>
      <c r="R33" s="322">
        <f>SUMIFS('PL1.1 ML2027-2028'!$H:$H,'PL1.1 ML2027-2028'!$J:$J,"TD",'PL1.1 ML2027-2028'!$M:$M,"IP",'PL1.1 ML2027-2028'!$K:$K,'TH theo DV_Tổng'!C33)/$D$1</f>
        <v>0</v>
      </c>
      <c r="S33" s="322">
        <f>SUMIFS('PL1.1 ML2027-2028'!$H:$H,'PL1.1 ML2027-2028'!$J:$J,"TD",'PL1.1 ML2027-2028'!$M:$M,"Mạng cáp",'PL1.1 ML2027-2028'!$K:$K,'TH theo DV_Tổng'!C33)/$D$1</f>
        <v>0.2321</v>
      </c>
      <c r="T33" s="322">
        <f>SUMIFS('PL1.1 ML2027-2028'!$H:$H,'PL1.1 ML2027-2028'!$J:$J,'TH theo DV_Tổng'!T$3,'PL1.1 ML2027-2028'!$K:$K,'TH theo DV_Tổng'!$C33)/$D$1</f>
        <v>0.78239899999999996</v>
      </c>
      <c r="U33" s="322">
        <f>SUMIFS('PL1.1 ML2027-2028'!$H:$H,'PL1.1 ML2027-2028'!$J:$J,'TH theo DV_Tổng'!U$3,'PL1.1 ML2027-2028'!$K:$K,'TH theo DV_Tổng'!$C33)/$D$1</f>
        <v>0</v>
      </c>
      <c r="V33" s="323">
        <f t="shared" si="77"/>
        <v>1.014499</v>
      </c>
      <c r="W33" s="332">
        <f t="shared" si="73"/>
        <v>3.6124065358886619E-2</v>
      </c>
      <c r="X33" s="59"/>
      <c r="Y33" s="80">
        <f>D33+N33</f>
        <v>0</v>
      </c>
      <c r="Z33" s="80">
        <f t="shared" si="78"/>
        <v>0</v>
      </c>
      <c r="AA33" s="80">
        <f t="shared" si="79"/>
        <v>0</v>
      </c>
      <c r="AB33" s="80">
        <f t="shared" si="80"/>
        <v>0</v>
      </c>
      <c r="AC33" s="80">
        <f t="shared" si="81"/>
        <v>0</v>
      </c>
      <c r="AD33" s="80">
        <f t="shared" si="82"/>
        <v>0.4642</v>
      </c>
      <c r="AE33" s="80">
        <f t="shared" si="83"/>
        <v>2.3828140100000001</v>
      </c>
      <c r="AF33" s="80">
        <f t="shared" si="84"/>
        <v>8.4599999999999995E-2</v>
      </c>
      <c r="AG33" s="323">
        <f t="shared" si="85"/>
        <v>2.9316140100000001</v>
      </c>
      <c r="AH33" s="84">
        <f t="shared" si="10"/>
        <v>4.8738506179740203E-2</v>
      </c>
      <c r="AI33" s="59"/>
    </row>
    <row r="34" spans="1:35" s="20" customFormat="1" outlineLevel="1">
      <c r="A34" s="14">
        <v>4</v>
      </c>
      <c r="B34" s="81" t="s">
        <v>173</v>
      </c>
      <c r="C34" s="14" t="s">
        <v>174</v>
      </c>
      <c r="D34" s="326">
        <f>SUMIFS('PL1.1 ML2027-2028'!$G:$G,'PL1.1 ML2027-2028'!$J:$J,'TH theo DV_Tổng'!$D$3,'PL1.1 ML2027-2028'!$K:$K,'TH theo DV_Tổng'!C34)/$D$1</f>
        <v>0</v>
      </c>
      <c r="E34" s="80">
        <f>SUMIFS('PL1.1 ML2027-2028'!$G:$G,'PL1.1 ML2027-2028'!$J:$J,'TH theo DV_Tổng'!$E$3,'PL1.1 ML2027-2028'!$K:$K,'TH theo DV_Tổng'!C34)/$D$1</f>
        <v>0</v>
      </c>
      <c r="F34" s="80">
        <f>SUMIFS('PL1.1 ML2027-2028'!$G:$G,'PL1.1 ML2027-2028'!$J:$J,'TH theo DV_Tổng'!$F$3,'PL1.1 ML2027-2028'!$K:$K,'TH theo DV_Tổng'!C34)/$D$1</f>
        <v>0</v>
      </c>
      <c r="G34" s="58">
        <f>SUMIFS('PL1.1 ML2027-2028'!$G:$G,'PL1.1 ML2027-2028'!$J:$J,'TH theo DV_Tổng'!$G$3,'PL1.1 ML2027-2028'!$K:$K,'TH theo DV_Tổng'!C34)/$D$1</f>
        <v>0</v>
      </c>
      <c r="H34" s="322">
        <f>SUMIFS('PL1.1 ML2027-2028'!$G:$G,'PL1.1 ML2027-2028'!$J:$J,"TD",'PL1.1 ML2027-2028'!$M:$M,"IP",'PL1.1 ML2027-2028'!$K:$K,'TH theo DV_Tổng'!C34)/$D$1</f>
        <v>0</v>
      </c>
      <c r="I34" s="322">
        <f>SUMIFS('PL1.1 ML2027-2028'!$G:$G,'PL1.1 ML2027-2028'!$J:$J,"TD",'PL1.1 ML2027-2028'!$M:$M,"Mạng cáp",'PL1.1 ML2027-2028'!$K:$K,'TH theo DV_Tổng'!C34)/$D$1</f>
        <v>0</v>
      </c>
      <c r="J34" s="80">
        <f>SUMIFS('PL1.1 ML2027-2028'!$G:$G,'PL1.1 ML2027-2028'!$J:$J,'TH theo DV_Tổng'!$J$3,'PL1.1 ML2027-2028'!$K:$K,'TH theo DV_Tổng'!C34)/$D$1</f>
        <v>0</v>
      </c>
      <c r="K34" s="322">
        <f>SUMIFS('PL1.1 ML2027-2028'!$G:$G,'PL1.1 ML2027-2028'!$J:$J,'TH theo DV_Tổng'!K$3,'PL1.1 ML2027-2028'!$K:$K,'TH theo DV_Tổng'!C34)/$D$1</f>
        <v>0</v>
      </c>
      <c r="L34" s="323">
        <f t="shared" si="76"/>
        <v>0</v>
      </c>
      <c r="M34" s="59">
        <f t="shared" si="11"/>
        <v>0</v>
      </c>
      <c r="N34" s="58">
        <f>SUMIFS('PL1.1 ML2027-2028'!$H:$H,'PL1.1 ML2027-2028'!$J:$J,'TH theo DV_Tổng'!N$3,'PL1.1 ML2027-2028'!$K:$K,'TH theo DV_Tổng'!$C34)/$D$1</f>
        <v>0</v>
      </c>
      <c r="O34" s="58">
        <f>SUMIFS('PL1.1 ML2027-2028'!$H:$H,'PL1.1 ML2027-2028'!$J:$J,'TH theo DV_Tổng'!O$3,'PL1.1 ML2027-2028'!$K:$K,'TH theo DV_Tổng'!$C34)/$D$1</f>
        <v>0</v>
      </c>
      <c r="P34" s="58">
        <f>SUMIFS('PL1.1 ML2027-2028'!$H:$H,'PL1.1 ML2027-2028'!$J:$J,'TH theo DV_Tổng'!P$3,'PL1.1 ML2027-2028'!$K:$K,'TH theo DV_Tổng'!$C34)/$D$1</f>
        <v>0</v>
      </c>
      <c r="Q34" s="58">
        <f>SUMIFS('PL1.1 ML2027-2028'!$H:$H,'PL1.1 ML2027-2028'!$J:$J,'TH theo DV_Tổng'!Q$3,'PL1.1 ML2027-2028'!$K:$K,'TH theo DV_Tổng'!$C34)/$D$1</f>
        <v>0</v>
      </c>
      <c r="R34" s="322">
        <f>SUMIFS('PL1.1 ML2027-2028'!$H:$H,'PL1.1 ML2027-2028'!$J:$J,"TD",'PL1.1 ML2027-2028'!$M:$M,"IP",'PL1.1 ML2027-2028'!$K:$K,'TH theo DV_Tổng'!C34)/$D$1</f>
        <v>0</v>
      </c>
      <c r="S34" s="322">
        <f>SUMIFS('PL1.1 ML2027-2028'!$H:$H,'PL1.1 ML2027-2028'!$J:$J,"TD",'PL1.1 ML2027-2028'!$M:$M,"Mạng cáp",'PL1.1 ML2027-2028'!$K:$K,'TH theo DV_Tổng'!C34)/$D$1</f>
        <v>0</v>
      </c>
      <c r="T34" s="58">
        <f>SUMIFS('PL1.1 ML2027-2028'!$H:$H,'PL1.1 ML2027-2028'!$J:$J,'TH theo DV_Tổng'!T$3,'PL1.1 ML2027-2028'!$K:$K,'TH theo DV_Tổng'!$C34)/$D$1</f>
        <v>0</v>
      </c>
      <c r="U34" s="322">
        <f>SUMIFS('PL1.1 ML2027-2028'!$H:$H,'PL1.1 ML2027-2028'!$J:$J,'TH theo DV_Tổng'!U$3,'PL1.1 ML2027-2028'!$K:$K,'TH theo DV_Tổng'!$C34)/$D$1</f>
        <v>0</v>
      </c>
      <c r="V34" s="323">
        <f t="shared" si="77"/>
        <v>0</v>
      </c>
      <c r="W34" s="332">
        <f t="shared" si="73"/>
        <v>0</v>
      </c>
      <c r="X34" s="59"/>
      <c r="Y34" s="80">
        <f>D34+N34</f>
        <v>0</v>
      </c>
      <c r="Z34" s="80">
        <f t="shared" si="78"/>
        <v>0</v>
      </c>
      <c r="AA34" s="80">
        <f t="shared" si="79"/>
        <v>0</v>
      </c>
      <c r="AB34" s="80">
        <f t="shared" si="80"/>
        <v>0</v>
      </c>
      <c r="AC34" s="80">
        <f t="shared" si="81"/>
        <v>0</v>
      </c>
      <c r="AD34" s="80">
        <f t="shared" si="82"/>
        <v>0</v>
      </c>
      <c r="AE34" s="80">
        <f t="shared" si="83"/>
        <v>0</v>
      </c>
      <c r="AF34" s="80">
        <f t="shared" si="84"/>
        <v>0</v>
      </c>
      <c r="AG34" s="323">
        <f t="shared" si="85"/>
        <v>0</v>
      </c>
      <c r="AH34" s="84">
        <f t="shared" si="10"/>
        <v>0</v>
      </c>
      <c r="AI34" s="59"/>
    </row>
    <row r="35" spans="1:35" outlineLevel="1">
      <c r="A35" s="55" t="s">
        <v>26</v>
      </c>
      <c r="B35" s="103" t="s">
        <v>1383</v>
      </c>
      <c r="C35" s="82" t="s">
        <v>1384</v>
      </c>
      <c r="D35" s="671">
        <f>SUMIFS('PL1.1 ML2027-2028'!$G:$G,'PL1.1 ML2027-2028'!$J:$J,'TH theo DV_Tổng'!$D$3,'PL1.1 ML2027-2028'!$K:$K,'TH theo DV_Tổng'!C35)/$D$1</f>
        <v>0</v>
      </c>
      <c r="E35" s="671">
        <f>SUMIFS('PL1.1 ML2027-2028'!$G:$G,'PL1.1 ML2027-2028'!$J:$J,'TH theo DV_Tổng'!$E$3,'PL1.1 ML2027-2028'!$K:$K,'TH theo DV_Tổng'!C35)/$D$1</f>
        <v>0</v>
      </c>
      <c r="F35" s="671">
        <f>SUMIFS('PL1.1 ML2027-2028'!$G:$G,'PL1.1 ML2027-2028'!$J:$J,'TH theo DV_Tổng'!$F$3,'PL1.1 ML2027-2028'!$K:$K,'TH theo DV_Tổng'!C35)/$D$1</f>
        <v>0</v>
      </c>
      <c r="G35" s="671">
        <f>SUMIFS('PL1.1 ML2027-2028'!$G:$G,'PL1.1 ML2027-2028'!$J:$J,'TH theo DV_Tổng'!$G$3,'PL1.1 ML2027-2028'!$K:$K,'TH theo DV_Tổng'!C35)/$D$1</f>
        <v>0</v>
      </c>
      <c r="H35" s="671">
        <f>SUMIFS('PL1.1 ML2027-2028'!$G:$G,'PL1.1 ML2027-2028'!$J:$J,"TD",'PL1.1 ML2027-2028'!$M:$M,"IP",'PL1.1 ML2027-2028'!$K:$K,'TH theo DV_Tổng'!C35)/$D$1</f>
        <v>0</v>
      </c>
      <c r="I35" s="671">
        <f>SUMIFS('PL1.1 ML2027-2028'!$G:$G,'PL1.1 ML2027-2028'!$J:$J,"TD",'PL1.1 ML2027-2028'!$M:$M,"Mạng cáp",'PL1.1 ML2027-2028'!$K:$K,'TH theo DV_Tổng'!C35)/$D$1</f>
        <v>0</v>
      </c>
      <c r="J35" s="671">
        <f>SUMIFS('PL1.1 ML2027-2028'!$G:$G,'PL1.1 ML2027-2028'!$J:$J,'TH theo DV_Tổng'!$J$3,'PL1.1 ML2027-2028'!$K:$K,'TH theo DV_Tổng'!C35)/$D$1</f>
        <v>0</v>
      </c>
      <c r="K35" s="671">
        <f>SUMIFS('PL1.1 ML2027-2028'!$G:$G,'PL1.1 ML2027-2028'!$J:$J,'TH theo DV_Tổng'!K$3,'PL1.1 ML2027-2028'!$K:$K,'TH theo DV_Tổng'!C35)/$D$1</f>
        <v>0</v>
      </c>
      <c r="L35" s="672">
        <f t="shared" si="76"/>
        <v>0</v>
      </c>
      <c r="M35" s="106">
        <f t="shared" si="11"/>
        <v>0</v>
      </c>
      <c r="N35" s="673">
        <f>SUMIFS('PL1.1 ML2027-2028'!$H:$H,'PL1.1 ML2027-2028'!$J:$J,'TH theo DV_Tổng'!N$3,'PL1.1 ML2027-2028'!$K:$K,'TH theo DV_Tổng'!$C35)/$D$1</f>
        <v>0</v>
      </c>
      <c r="O35" s="673">
        <f>SUMIFS('PL1.1 ML2027-2028'!$H:$H,'PL1.1 ML2027-2028'!$J:$J,'TH theo DV_Tổng'!O$3,'PL1.1 ML2027-2028'!$K:$K,'TH theo DV_Tổng'!$C35)/$D$1</f>
        <v>0</v>
      </c>
      <c r="P35" s="673">
        <f>SUMIFS('PL1.1 ML2027-2028'!$H:$H,'PL1.1 ML2027-2028'!$J:$J,'TH theo DV_Tổng'!P$3,'PL1.1 ML2027-2028'!$K:$K,'TH theo DV_Tổng'!$C35)/$D$1</f>
        <v>0</v>
      </c>
      <c r="Q35" s="671">
        <f>SUMIFS('PL1.1 ML2027-2028'!$H:$H,'PL1.1 ML2027-2028'!$J:$J,'TH theo DV_Tổng'!Q$3,'PL1.1 ML2027-2028'!$K:$K,'TH theo DV_Tổng'!$C35)/$D$1</f>
        <v>2.38252</v>
      </c>
      <c r="R35" s="671">
        <f>SUMIFS('PL1.1 ML2027-2028'!$H:$H,'PL1.1 ML2027-2028'!$J:$J,"TD",'PL1.1 ML2027-2028'!$M:$M,"IP",'PL1.1 ML2027-2028'!$K:$K,'TH theo DV_Tổng'!C35)/$D$1</f>
        <v>0</v>
      </c>
      <c r="S35" s="671">
        <f>SUMIFS('PL1.1 ML2027-2028'!$H:$H,'PL1.1 ML2027-2028'!$J:$J,"TD",'PL1.1 ML2027-2028'!$M:$M,"Mạng cáp",'PL1.1 ML2027-2028'!$K:$K,'TH theo DV_Tổng'!C35)/$D$1</f>
        <v>0</v>
      </c>
      <c r="T35" s="673">
        <f>SUMIFS('PL1.1 ML2027-2028'!$H:$H,'PL1.1 ML2027-2028'!$J:$J,'TH theo DV_Tổng'!T$3,'PL1.1 ML2027-2028'!$K:$K,'TH theo DV_Tổng'!$C35)/$D$1</f>
        <v>0</v>
      </c>
      <c r="U35" s="671">
        <f>SUMIFS('PL1.1 ML2027-2028'!$H:$H,'PL1.1 ML2027-2028'!$J:$J,'TH theo DV_Tổng'!U$3,'PL1.1 ML2027-2028'!$K:$K,'TH theo DV_Tổng'!$C35)/$D$1</f>
        <v>0</v>
      </c>
      <c r="V35" s="672">
        <f t="shared" si="77"/>
        <v>2.38252</v>
      </c>
      <c r="W35" s="106">
        <f t="shared" si="73"/>
        <v>8.4836267161283105E-2</v>
      </c>
      <c r="X35" s="106"/>
      <c r="Y35" s="80">
        <f>D35+N35</f>
        <v>0</v>
      </c>
      <c r="Z35" s="80">
        <f t="shared" ref="Z35" si="86">E35+O35</f>
        <v>0</v>
      </c>
      <c r="AA35" s="80">
        <f t="shared" ref="AA35" si="87">F35+P35</f>
        <v>0</v>
      </c>
      <c r="AB35" s="80">
        <f t="shared" ref="AB35" si="88">G35+Q35</f>
        <v>2.38252</v>
      </c>
      <c r="AC35" s="80">
        <f t="shared" ref="AC35" si="89">H35+R35</f>
        <v>0</v>
      </c>
      <c r="AD35" s="80">
        <f t="shared" ref="AD35" si="90">I35+S35</f>
        <v>0</v>
      </c>
      <c r="AE35" s="80">
        <f t="shared" ref="AE35" si="91">J35+T35</f>
        <v>0</v>
      </c>
      <c r="AF35" s="80">
        <f t="shared" ref="AF35" si="92">K35+U35</f>
        <v>0</v>
      </c>
      <c r="AG35" s="672">
        <f t="shared" si="85"/>
        <v>2.38252</v>
      </c>
      <c r="AH35" s="84">
        <f t="shared" si="10"/>
        <v>3.9609738985847805E-2</v>
      </c>
      <c r="AI35" s="106"/>
    </row>
    <row r="36" spans="1:35" s="20" customFormat="1">
      <c r="A36" s="93"/>
      <c r="B36" s="94"/>
      <c r="C36" s="95"/>
      <c r="D36" s="96"/>
      <c r="E36" s="97"/>
      <c r="F36" s="96"/>
      <c r="G36" s="96"/>
      <c r="H36" s="97"/>
      <c r="I36" s="97"/>
      <c r="J36" s="96"/>
      <c r="K36" s="96"/>
      <c r="L36" s="98"/>
      <c r="M36" s="99"/>
      <c r="N36" s="96"/>
      <c r="O36" s="96"/>
      <c r="P36" s="96"/>
      <c r="Q36" s="96"/>
      <c r="R36" s="97"/>
      <c r="S36" s="97"/>
      <c r="T36" s="96"/>
      <c r="U36" s="96"/>
      <c r="V36" s="98"/>
      <c r="W36" s="3"/>
      <c r="X36" s="3"/>
      <c r="Y36" s="3"/>
      <c r="Z36" s="3"/>
      <c r="AA36" s="3"/>
      <c r="AB36" s="3"/>
      <c r="AI36" s="3"/>
    </row>
    <row r="37" spans="1:35">
      <c r="D37" s="11"/>
      <c r="E37" s="11"/>
      <c r="F37" s="11"/>
      <c r="G37" s="11"/>
      <c r="H37" s="11"/>
      <c r="I37" s="11"/>
      <c r="J37" s="11"/>
      <c r="K37" s="11"/>
      <c r="L37" s="11"/>
      <c r="M37" s="11" t="e">
        <f>#REF!-#REF!</f>
        <v>#REF!</v>
      </c>
      <c r="N37" s="11" t="e">
        <f>#REF!-#REF!</f>
        <v>#REF!</v>
      </c>
      <c r="O37" s="11" t="e">
        <f>#REF!-#REF!</f>
        <v>#REF!</v>
      </c>
      <c r="P37" s="11" t="e">
        <f>#REF!-#REF!</f>
        <v>#REF!</v>
      </c>
      <c r="Q37" s="11"/>
      <c r="R37" s="11"/>
      <c r="S37" s="11"/>
      <c r="U37" s="11"/>
      <c r="Y37" s="3"/>
    </row>
    <row r="38" spans="1:35" outlineLevel="1">
      <c r="B38" s="20"/>
      <c r="C38" s="20"/>
      <c r="D38" s="51"/>
      <c r="E38" s="51"/>
      <c r="F38" s="51"/>
      <c r="G38" s="51"/>
      <c r="H38" s="51"/>
      <c r="I38" s="51"/>
      <c r="J38" s="35"/>
      <c r="K38" s="35"/>
      <c r="L38" s="51"/>
      <c r="M38" s="20"/>
      <c r="R38" s="51"/>
      <c r="S38" s="51"/>
      <c r="U38" s="35"/>
      <c r="V38" s="674">
        <f>V4-V35</f>
        <v>25.701223895409338</v>
      </c>
      <c r="Y38" s="3"/>
    </row>
    <row r="39" spans="1:35">
      <c r="C39" s="3"/>
      <c r="M39" s="3"/>
    </row>
    <row r="40" spans="1:35">
      <c r="C40" s="3"/>
      <c r="M40" s="3"/>
    </row>
    <row r="41" spans="1:35" s="29" customFormat="1">
      <c r="B41" s="3"/>
      <c r="C41" s="3"/>
      <c r="D41" s="3"/>
      <c r="E41" s="3"/>
      <c r="F41" s="3"/>
      <c r="G41" s="3"/>
      <c r="H41" s="3"/>
      <c r="I41" s="3"/>
      <c r="J41" s="3"/>
      <c r="K41" s="3"/>
      <c r="L41" s="3"/>
      <c r="M41" s="3"/>
      <c r="N41" s="3"/>
      <c r="O41" s="3"/>
      <c r="P41" s="3"/>
      <c r="Q41" s="3"/>
      <c r="R41" s="3"/>
      <c r="S41" s="3"/>
      <c r="T41" s="3"/>
      <c r="U41" s="3"/>
      <c r="W41" s="3"/>
      <c r="Y41" s="107"/>
    </row>
    <row r="42" spans="1:35" s="29" customFormat="1">
      <c r="B42" s="3"/>
      <c r="C42" s="3"/>
      <c r="D42" s="3"/>
      <c r="E42" s="3"/>
      <c r="F42" s="3"/>
      <c r="G42" s="3"/>
      <c r="H42" s="3"/>
      <c r="I42" s="3"/>
      <c r="J42" s="3"/>
      <c r="K42" s="3"/>
      <c r="L42" s="3"/>
      <c r="M42" s="88"/>
      <c r="R42" s="3"/>
      <c r="S42" s="3"/>
      <c r="U42" s="3"/>
      <c r="Y42" s="107"/>
    </row>
    <row r="43" spans="1:35">
      <c r="C43" s="3"/>
    </row>
    <row r="44" spans="1:35" s="29" customFormat="1">
      <c r="B44" s="3"/>
      <c r="C44" s="3"/>
      <c r="D44" s="3"/>
      <c r="E44" s="3"/>
      <c r="F44" s="3"/>
      <c r="G44" s="3"/>
      <c r="H44" s="3"/>
      <c r="I44" s="3"/>
      <c r="J44" s="3"/>
      <c r="K44" s="3"/>
      <c r="L44" s="3"/>
      <c r="M44" s="88"/>
      <c r="R44" s="3"/>
      <c r="S44" s="3"/>
      <c r="U44" s="3"/>
      <c r="Y44" s="107"/>
    </row>
    <row r="45" spans="1:35" s="29" customFormat="1">
      <c r="B45" s="3"/>
      <c r="C45" s="3"/>
      <c r="D45" s="3"/>
      <c r="E45" s="3"/>
      <c r="F45" s="3"/>
      <c r="G45" s="3"/>
      <c r="H45" s="3"/>
      <c r="I45" s="3"/>
      <c r="J45" s="3"/>
      <c r="K45" s="3"/>
      <c r="L45" s="3"/>
      <c r="M45" s="88"/>
      <c r="R45" s="3"/>
      <c r="S45" s="3"/>
      <c r="U45" s="3"/>
      <c r="Y45" s="107"/>
    </row>
    <row r="46" spans="1:35">
      <c r="C46" s="3"/>
    </row>
    <row r="47" spans="1:35">
      <c r="C47" s="3"/>
    </row>
    <row r="48" spans="1:35">
      <c r="C48" s="3"/>
    </row>
    <row r="49" spans="3:3">
      <c r="C49" s="3"/>
    </row>
    <row r="50" spans="3:3">
      <c r="C50" s="3"/>
    </row>
    <row r="51" spans="3:3">
      <c r="C51" s="3"/>
    </row>
    <row r="52" spans="3:3">
      <c r="C52" s="3"/>
    </row>
  </sheetData>
  <mergeCells count="5">
    <mergeCell ref="D2:M2"/>
    <mergeCell ref="N2:W2"/>
    <mergeCell ref="X2:X3"/>
    <mergeCell ref="Y2:AH2"/>
    <mergeCell ref="AI2:AI3"/>
  </mergeCells>
  <pageMargins left="0.7" right="0.7" top="0.75" bottom="0.75" header="0.3" footer="0.3"/>
  <pageSetup paperSize="9" orientation="portrait"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Mã!$C$4:$C$26</xm:f>
          </x14:formula1>
          <xm:sqref>C6</xm:sqref>
        </x14:dataValidation>
        <x14:dataValidation type="list" allowBlank="1" showInputMessage="1" showErrorMessage="1">
          <x14:formula1>
            <xm:f>Mã!$C$4:$C$30</xm:f>
          </x14:formula1>
          <xm:sqref>C7:C27 C30:C36</xm:sqref>
        </x14:dataValidation>
        <x14:dataValidation type="list" allowBlank="1" showInputMessage="1" showErrorMessage="1">
          <x14:formula1>
            <xm:f>Mã!$C$4:$C$33</xm:f>
          </x14:formula1>
          <xm:sqref>C28:C29</xm:sqref>
        </x14:dataValidation>
        <x14:dataValidation type="list" allowBlank="1" showInputMessage="1" showErrorMessage="1">
          <x14:formula1>
            <xm:f>Mã!$B$4:$B$13</xm:f>
          </x14:formula1>
          <xm:sqref>K3 U3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00FF"/>
    <outlinePr summaryBelow="0" summaryRight="0"/>
  </sheetPr>
  <dimension ref="A1:R52"/>
  <sheetViews>
    <sheetView zoomScale="99" zoomScaleNormal="99" workbookViewId="0">
      <pane xSplit="3" ySplit="4" topLeftCell="D23" activePane="bottomRight" state="frozen"/>
      <selection pane="topRight" activeCell="D1" sqref="D1"/>
      <selection pane="bottomLeft" activeCell="A5" sqref="A5"/>
      <selection pane="bottomRight" activeCell="B30" sqref="B30"/>
    </sheetView>
  </sheetViews>
  <sheetFormatPr defaultColWidth="8.7265625" defaultRowHeight="13" outlineLevelRow="1" outlineLevelCol="2"/>
  <cols>
    <col min="1" max="1" width="3.54296875" style="3" bestFit="1" customWidth="1"/>
    <col min="2" max="2" width="26.453125" style="3" customWidth="1"/>
    <col min="3" max="3" width="9.26953125" style="5" customWidth="1" outlineLevel="1"/>
    <col min="4" max="4" width="6.08984375" style="3" customWidth="1" outlineLevel="2"/>
    <col min="5" max="5" width="4.81640625" style="3" customWidth="1" outlineLevel="2"/>
    <col min="6" max="6" width="7.6328125" style="3" customWidth="1" outlineLevel="2"/>
    <col min="7" max="7" width="6.08984375" style="3" customWidth="1" outlineLevel="2"/>
    <col min="8" max="8" width="4.81640625" style="3" customWidth="1" outlineLevel="2"/>
    <col min="9" max="9" width="5.453125" style="3" customWidth="1" outlineLevel="2"/>
    <col min="10" max="10" width="4.81640625" style="3" customWidth="1" outlineLevel="2"/>
    <col min="11" max="11" width="4.6328125" style="3" customWidth="1" outlineLevel="2"/>
    <col min="12" max="12" width="7.90625" style="3" customWidth="1" outlineLevel="2"/>
    <col min="13" max="13" width="8.453125" style="11" customWidth="1" outlineLevel="1"/>
    <col min="14" max="14" width="23.453125" style="3" customWidth="1"/>
    <col min="15" max="15" width="8.7265625" style="5"/>
    <col min="16" max="16" width="4.1796875" style="3" bestFit="1" customWidth="1"/>
    <col min="17" max="17" width="4.7265625" style="3" bestFit="1" customWidth="1"/>
    <col min="18" max="16384" width="8.7265625" style="3"/>
  </cols>
  <sheetData>
    <row r="1" spans="1:17">
      <c r="D1" s="24">
        <v>1000000</v>
      </c>
      <c r="H1" s="57"/>
      <c r="I1" s="57"/>
      <c r="N1" s="11"/>
    </row>
    <row r="2" spans="1:17" ht="13.15" customHeight="1">
      <c r="A2" s="61" t="s">
        <v>79</v>
      </c>
      <c r="B2" s="9" t="s">
        <v>71</v>
      </c>
      <c r="C2" s="25" t="s">
        <v>131</v>
      </c>
      <c r="D2" s="765" t="s">
        <v>284</v>
      </c>
      <c r="E2" s="766"/>
      <c r="F2" s="766"/>
      <c r="G2" s="766"/>
      <c r="H2" s="766"/>
      <c r="I2" s="766"/>
      <c r="J2" s="766"/>
      <c r="K2" s="766"/>
      <c r="L2" s="766"/>
      <c r="M2" s="767"/>
      <c r="N2" s="768" t="s">
        <v>761</v>
      </c>
    </row>
    <row r="3" spans="1:17" ht="26">
      <c r="A3" s="61"/>
      <c r="B3" s="9" t="s">
        <v>77</v>
      </c>
      <c r="C3" s="23" t="s">
        <v>75</v>
      </c>
      <c r="D3" s="53" t="s">
        <v>7</v>
      </c>
      <c r="E3" s="53" t="s">
        <v>18</v>
      </c>
      <c r="F3" s="53" t="s">
        <v>29</v>
      </c>
      <c r="G3" s="53" t="s">
        <v>38</v>
      </c>
      <c r="H3" s="53" t="s">
        <v>32</v>
      </c>
      <c r="I3" s="53" t="s">
        <v>21</v>
      </c>
      <c r="J3" s="53" t="s">
        <v>6</v>
      </c>
      <c r="K3" s="53" t="s">
        <v>10</v>
      </c>
      <c r="L3" s="54" t="s">
        <v>72</v>
      </c>
      <c r="M3" s="53" t="s">
        <v>73</v>
      </c>
      <c r="N3" s="769"/>
    </row>
    <row r="4" spans="1:17" s="20" customFormat="1" outlineLevel="1">
      <c r="A4" s="75" t="s">
        <v>80</v>
      </c>
      <c r="B4" s="75" t="s">
        <v>72</v>
      </c>
      <c r="C4" s="14"/>
      <c r="D4" s="320">
        <f t="shared" ref="D4:K4" si="0">SUBTOTAL(9,D6:D35)</f>
        <v>8.2204683746071563</v>
      </c>
      <c r="E4" s="320">
        <f t="shared" si="0"/>
        <v>4.9719707771428574</v>
      </c>
      <c r="F4" s="320">
        <f t="shared" si="0"/>
        <v>0.41670820260526314</v>
      </c>
      <c r="G4" s="320">
        <f t="shared" si="0"/>
        <v>5.0310211999999996</v>
      </c>
      <c r="H4" s="320">
        <f t="shared" si="0"/>
        <v>3.7419479999999998</v>
      </c>
      <c r="I4" s="320">
        <f t="shared" si="0"/>
        <v>1.5034559285714284</v>
      </c>
      <c r="J4" s="320">
        <f t="shared" si="0"/>
        <v>5.4738317949999997</v>
      </c>
      <c r="K4" s="320">
        <f t="shared" si="0"/>
        <v>2.8569623980609413</v>
      </c>
      <c r="L4" s="320">
        <f>SUBTOTAL(9,L6:L35)</f>
        <v>32.216366675987643</v>
      </c>
      <c r="M4" s="104"/>
      <c r="N4" s="85"/>
      <c r="O4" s="32"/>
    </row>
    <row r="5" spans="1:17" s="37" customFormat="1" ht="13.5" outlineLevel="1">
      <c r="A5" s="76"/>
      <c r="B5" s="76" t="s">
        <v>146</v>
      </c>
      <c r="C5" s="77"/>
      <c r="D5" s="333">
        <f t="shared" ref="D5:L5" si="1">D4/$L$4</f>
        <v>0.25516435348788891</v>
      </c>
      <c r="E5" s="333">
        <f t="shared" si="1"/>
        <v>0.15433058690782467</v>
      </c>
      <c r="F5" s="333">
        <f t="shared" si="1"/>
        <v>1.2934674067881626E-2</v>
      </c>
      <c r="G5" s="333">
        <f t="shared" si="1"/>
        <v>0.15616351932540717</v>
      </c>
      <c r="H5" s="333">
        <f t="shared" si="1"/>
        <v>0.11615052801062907</v>
      </c>
      <c r="I5" s="333">
        <f t="shared" si="1"/>
        <v>4.6667457683613467E-2</v>
      </c>
      <c r="J5" s="333">
        <f t="shared" si="1"/>
        <v>0.16990841487658823</v>
      </c>
      <c r="K5" s="333">
        <f t="shared" si="1"/>
        <v>8.8680465640166933E-2</v>
      </c>
      <c r="L5" s="333">
        <f t="shared" si="1"/>
        <v>1</v>
      </c>
      <c r="M5" s="105"/>
      <c r="N5" s="78"/>
      <c r="O5" s="36"/>
    </row>
    <row r="6" spans="1:17" ht="26" outlineLevel="1">
      <c r="A6" s="55" t="s">
        <v>4</v>
      </c>
      <c r="B6" s="103" t="s">
        <v>185</v>
      </c>
      <c r="C6" s="82"/>
      <c r="D6" s="321">
        <f>SUBTOTAL(9,D7:D10)</f>
        <v>0</v>
      </c>
      <c r="E6" s="321">
        <f t="shared" ref="E6:L6" si="2">SUBTOTAL(9,E7:E10)</f>
        <v>0</v>
      </c>
      <c r="F6" s="321">
        <f t="shared" si="2"/>
        <v>0</v>
      </c>
      <c r="G6" s="321">
        <f t="shared" si="2"/>
        <v>0</v>
      </c>
      <c r="H6" s="321">
        <f t="shared" si="2"/>
        <v>0</v>
      </c>
      <c r="I6" s="321">
        <f t="shared" ref="I6" si="3">SUBTOTAL(9,I7:I10)</f>
        <v>0</v>
      </c>
      <c r="J6" s="321">
        <f t="shared" si="2"/>
        <v>0</v>
      </c>
      <c r="K6" s="321">
        <f t="shared" ref="K6" si="4">SUBTOTAL(9,K7:K10)</f>
        <v>0</v>
      </c>
      <c r="L6" s="321">
        <f t="shared" si="2"/>
        <v>0</v>
      </c>
      <c r="M6" s="106">
        <f>L6/$L$4</f>
        <v>0</v>
      </c>
      <c r="N6" s="84"/>
      <c r="O6" s="109"/>
    </row>
    <row r="7" spans="1:17" ht="39" outlineLevel="1">
      <c r="A7" s="26">
        <v>1</v>
      </c>
      <c r="B7" s="66" t="s">
        <v>95</v>
      </c>
      <c r="C7" s="26" t="s">
        <v>78</v>
      </c>
      <c r="D7" s="322">
        <f>SUMIFS('PL1.1 ML2027-2028'!$G:$G,'PL1.1 ML2027-2028'!$J:$J,'TH theo DV_2027'!$D$3,'PL1.1 ML2027-2028'!$K:$K,'TH theo DV_2027'!C7)/$D$1</f>
        <v>0</v>
      </c>
      <c r="E7" s="322">
        <f>SUMIFS('PL1.1 ML2027-2028'!$G:$G,'PL1.1 ML2027-2028'!$J:$J,'TH theo DV_2027'!$E$3,'PL1.1 ML2027-2028'!$K:$K,'TH theo DV_2027'!C7)/$D$1</f>
        <v>0</v>
      </c>
      <c r="F7" s="322">
        <f>SUMIFS('PL1.1 ML2027-2028'!$G:$G,'PL1.1 ML2027-2028'!$J:$J,'TH theo DV_2027'!$F$3,'PL1.1 ML2027-2028'!$K:$K,'TH theo DV_2027'!C7)/$D$1</f>
        <v>0</v>
      </c>
      <c r="G7" s="322">
        <f>SUMIFS('PL1.1 ML2027-2028'!$G:$G,'PL1.1 ML2027-2028'!$J:$J,'TH theo DV_2027'!$G$3,'PL1.1 ML2027-2028'!$K:$K,'TH theo DV_2027'!C7)/$D$1</f>
        <v>0</v>
      </c>
      <c r="H7" s="143">
        <f>SUMIFS('PL1.1 ML2027-2028'!$G:$G,'PL1.1 ML2027-2028'!$J:$J,"TD",'PL1.1 ML2027-2028'!$M:$M,"IP",'PL1.1 ML2027-2028'!$K:$K,'TH theo DV_2027'!C7)/$D$1</f>
        <v>0</v>
      </c>
      <c r="I7" s="322">
        <f>SUMIFS('PL1.1 ML2027-2028'!$G:$G,'PL1.1 ML2027-2028'!$J:$J,"TD",'PL1.1 ML2027-2028'!$M:$M,"Mạng cáp",'PL1.1 ML2027-2028'!$K:$K,'TH theo DV_2027'!C7)/$D$1</f>
        <v>0</v>
      </c>
      <c r="J7" s="322">
        <f>SUMIFS('PL1.1 ML2027-2028'!$G:$G,'PL1.1 ML2027-2028'!$J:$J,'TH theo DV_2027'!$J$3,'PL1.1 ML2027-2028'!$K:$K,'TH theo DV_2027'!C7)/$D$1</f>
        <v>0</v>
      </c>
      <c r="K7" s="322">
        <f>SUMIFS('PL1.1 ML2027-2028'!$G:$G,'PL1.1 ML2027-2028'!$J:$J,'TH theo DV_2027'!K$3,'PL1.1 ML2027-2028'!$K:$K,'TH theo DV_2027'!C7)/$D$1</f>
        <v>0</v>
      </c>
      <c r="L7" s="323">
        <f>SUM(D7:K7)</f>
        <v>0</v>
      </c>
      <c r="M7" s="102">
        <f>L7/$L$4</f>
        <v>0</v>
      </c>
      <c r="N7" s="733" t="s">
        <v>1540</v>
      </c>
      <c r="O7" s="108"/>
      <c r="P7" s="87"/>
      <c r="Q7" s="28"/>
    </row>
    <row r="8" spans="1:17" outlineLevel="1">
      <c r="A8" s="26">
        <v>2</v>
      </c>
      <c r="B8" s="66" t="s">
        <v>186</v>
      </c>
      <c r="C8" s="100" t="s">
        <v>186</v>
      </c>
      <c r="D8" s="322">
        <f>SUMIFS('PL1.1 ML2027-2028'!$G:$G,'PL1.1 ML2027-2028'!$J:$J,'TH theo DV_2027'!$D$3,'PL1.1 ML2027-2028'!$K:$K,'TH theo DV_2027'!C8)/$D$1</f>
        <v>0</v>
      </c>
      <c r="E8" s="322">
        <f>SUMIFS('PL1.1 ML2027-2028'!$G:$G,'PL1.1 ML2027-2028'!$J:$J,'TH theo DV_2027'!$E$3,'PL1.1 ML2027-2028'!$K:$K,'TH theo DV_2027'!C8)/$D$1</f>
        <v>0</v>
      </c>
      <c r="F8" s="322">
        <f>SUMIFS('PL1.1 ML2027-2028'!$G:$G,'PL1.1 ML2027-2028'!$J:$J,'TH theo DV_2027'!$F$3,'PL1.1 ML2027-2028'!$K:$K,'TH theo DV_2027'!C8)/$D$1</f>
        <v>0</v>
      </c>
      <c r="G8" s="322">
        <f>SUMIFS('PL1.1 ML2027-2028'!$G:$G,'PL1.1 ML2027-2028'!$J:$J,'TH theo DV_2027'!$G$3,'PL1.1 ML2027-2028'!$K:$K,'TH theo DV_2027'!C8)/$D$1 * 0.43287</f>
        <v>0</v>
      </c>
      <c r="H8" s="322">
        <f>SUMIFS('PL1.1 ML2027-2028'!$G:$G,'PL1.1 ML2027-2028'!$J:$J,"TD",'PL1.1 ML2027-2028'!$M:$M,"IP",'PL1.1 ML2027-2028'!$K:$K,'TH theo DV_2027'!C8)/$D$1</f>
        <v>0</v>
      </c>
      <c r="I8" s="322">
        <f>SUMIFS('PL1.1 ML2027-2028'!$G:$G,'PL1.1 ML2027-2028'!$J:$J,"TD",'PL1.1 ML2027-2028'!$M:$M,"Mạng cáp",'PL1.1 ML2027-2028'!$K:$K,'TH theo DV_2027'!C8)/$D$1</f>
        <v>0</v>
      </c>
      <c r="J8" s="322">
        <f>SUMIFS('PL1.1 ML2027-2028'!$G:$G,'PL1.1 ML2027-2028'!$J:$J,'TH theo DV_2027'!$J$3,'PL1.1 ML2027-2028'!$K:$K,'TH theo DV_2027'!C8)/$D$1</f>
        <v>0</v>
      </c>
      <c r="K8" s="322">
        <f>SUMIFS('PL1.1 ML2027-2028'!$G:$G,'PL1.1 ML2027-2028'!$J:$J,'TH theo DV_2027'!K$3,'PL1.1 ML2027-2028'!$K:$K,'TH theo DV_2027'!C8)/$D$1</f>
        <v>0</v>
      </c>
      <c r="L8" s="323">
        <f>SUM(D8:K8)</f>
        <v>0</v>
      </c>
      <c r="M8" s="102">
        <f t="shared" ref="M8:M25" si="5">L8/$L$4</f>
        <v>0</v>
      </c>
      <c r="N8" s="10"/>
    </row>
    <row r="9" spans="1:17" ht="39" outlineLevel="1">
      <c r="A9" s="26">
        <v>3</v>
      </c>
      <c r="B9" s="66" t="s">
        <v>187</v>
      </c>
      <c r="C9" s="63" t="s">
        <v>187</v>
      </c>
      <c r="D9" s="322">
        <f>SUMIFS('PL1.1 ML2027-2028'!$G:$G,'PL1.1 ML2027-2028'!$J:$J,'TH theo DV_2027'!$D$3,'PL1.1 ML2027-2028'!$K:$K,'TH theo DV_2027'!C9)/$D$1</f>
        <v>0</v>
      </c>
      <c r="E9" s="322">
        <f>SUMIFS('PL1.1 ML2027-2028'!$G:$G,'PL1.1 ML2027-2028'!$J:$J,'TH theo DV_2027'!$E$3,'PL1.1 ML2027-2028'!$K:$K,'TH theo DV_2027'!C9)/$D$1</f>
        <v>0</v>
      </c>
      <c r="F9" s="322">
        <f>SUMIFS('PL1.1 ML2027-2028'!$G:$G,'PL1.1 ML2027-2028'!$J:$J,'TH theo DV_2027'!$F$3,'PL1.1 ML2027-2028'!$K:$K,'TH theo DV_2027'!C9)/$D$1</f>
        <v>0</v>
      </c>
      <c r="G9" s="322"/>
      <c r="H9" s="322">
        <f>SUMIFS('PL1.1 ML2027-2028'!$G:$G,'PL1.1 ML2027-2028'!$J:$J,"TD",'PL1.1 ML2027-2028'!$M:$M,"IP",'PL1.1 ML2027-2028'!$K:$K,'TH theo DV_2027'!C9)/$D$1</f>
        <v>0</v>
      </c>
      <c r="I9" s="322">
        <f>SUMIFS('PL1.1 ML2027-2028'!$G:$G,'PL1.1 ML2027-2028'!$J:$J,"TD",'PL1.1 ML2027-2028'!$M:$M,"Mạng cáp",'PL1.1 ML2027-2028'!$K:$K,'TH theo DV_2027'!C9)/$D$1</f>
        <v>0</v>
      </c>
      <c r="J9" s="322">
        <f>SUMIFS('PL1.1 ML2027-2028'!$G:$G,'PL1.1 ML2027-2028'!$J:$J,'TH theo DV_2027'!$J$3,'PL1.1 ML2027-2028'!$K:$K,'TH theo DV_2027'!C9)/$D$1</f>
        <v>0</v>
      </c>
      <c r="K9" s="322">
        <f>SUMIFS('PL1.1 ML2027-2028'!$G:$G,'PL1.1 ML2027-2028'!$J:$J,'TH theo DV_2027'!K$3,'PL1.1 ML2027-2028'!$K:$K,'TH theo DV_2027'!C9)/$D$1</f>
        <v>0</v>
      </c>
      <c r="L9" s="323">
        <f>SUM(D9:K9)</f>
        <v>0</v>
      </c>
      <c r="M9" s="102">
        <f t="shared" si="5"/>
        <v>0</v>
      </c>
      <c r="N9" s="733" t="s">
        <v>1541</v>
      </c>
    </row>
    <row r="10" spans="1:17" outlineLevel="1">
      <c r="A10" s="26">
        <v>4</v>
      </c>
      <c r="B10" s="66" t="s">
        <v>180</v>
      </c>
      <c r="C10" s="63" t="s">
        <v>188</v>
      </c>
      <c r="D10" s="322">
        <f>SUMIFS('PL1.1 ML2027-2028'!$G:$G,'PL1.1 ML2027-2028'!$J:$J,'TH theo DV_2027'!$D$3,'PL1.1 ML2027-2028'!$K:$K,'TH theo DV_2027'!C10)/$D$1</f>
        <v>0</v>
      </c>
      <c r="E10" s="322">
        <f>SUMIFS('PL1.1 ML2027-2028'!$G:$G,'PL1.1 ML2027-2028'!$J:$J,'TH theo DV_2027'!$E$3,'PL1.1 ML2027-2028'!$K:$K,'TH theo DV_2027'!C10)/$D$1</f>
        <v>0</v>
      </c>
      <c r="F10" s="322">
        <f>SUMIFS('PL1.1 ML2027-2028'!$G:$G,'PL1.1 ML2027-2028'!$J:$J,'TH theo DV_2027'!$F$3,'PL1.1 ML2027-2028'!$K:$K,'TH theo DV_2027'!C10)/$D$1</f>
        <v>0</v>
      </c>
      <c r="G10" s="322">
        <f>SUMIFS('PL1.1 ML2027-2028'!$G:$G,'PL1.1 ML2027-2028'!$J:$J,'TH theo DV_2027'!$G$3,'PL1.1 ML2027-2028'!$K:$K,'TH theo DV_2027'!C10)/$D$1</f>
        <v>0</v>
      </c>
      <c r="H10" s="322">
        <f>SUMIFS('PL1.1 ML2027-2028'!$G:$G,'PL1.1 ML2027-2028'!$J:$J,"TD",'PL1.1 ML2027-2028'!$M:$M,"IP",'PL1.1 ML2027-2028'!$K:$K,'TH theo DV_2027'!C10)/$D$1</f>
        <v>0</v>
      </c>
      <c r="I10" s="322">
        <f>SUMIFS('PL1.1 ML2027-2028'!$G:$G,'PL1.1 ML2027-2028'!$J:$J,"TD",'PL1.1 ML2027-2028'!$M:$M,"Mạng cáp",'PL1.1 ML2027-2028'!$K:$K,'TH theo DV_2027'!C10)/$D$1</f>
        <v>0</v>
      </c>
      <c r="J10" s="322">
        <f>SUMIFS('PL1.1 ML2027-2028'!$G:$G,'PL1.1 ML2027-2028'!$J:$J,'TH theo DV_2027'!$J$3,'PL1.1 ML2027-2028'!$K:$K,'TH theo DV_2027'!C10)/$D$1</f>
        <v>0</v>
      </c>
      <c r="K10" s="322">
        <f>SUMIFS('PL1.1 ML2027-2028'!$G:$G,'PL1.1 ML2027-2028'!$J:$J,'TH theo DV_2027'!K$3,'PL1.1 ML2027-2028'!$K:$K,'TH theo DV_2027'!C10)/$D$1</f>
        <v>0</v>
      </c>
      <c r="L10" s="323">
        <f>SUM(D10:K10)</f>
        <v>0</v>
      </c>
      <c r="M10" s="102">
        <f t="shared" si="5"/>
        <v>0</v>
      </c>
      <c r="N10" s="10"/>
    </row>
    <row r="11" spans="1:17" ht="26" outlineLevel="1">
      <c r="A11" s="55" t="s">
        <v>12</v>
      </c>
      <c r="B11" s="103" t="s">
        <v>189</v>
      </c>
      <c r="C11" s="83"/>
      <c r="D11" s="324">
        <f t="shared" ref="D11:G11" si="6">SUBTOTAL(9,D12:D29)</f>
        <v>7.6113818171415319</v>
      </c>
      <c r="E11" s="324">
        <f t="shared" si="6"/>
        <v>3.4853688571428574</v>
      </c>
      <c r="F11" s="324">
        <f t="shared" si="6"/>
        <v>0.41670820260526314</v>
      </c>
      <c r="G11" s="324">
        <f t="shared" si="6"/>
        <v>3.8280682000000001</v>
      </c>
      <c r="H11" s="324">
        <f>SUBTOTAL(9,H12:H29)</f>
        <v>3.7419479999999998</v>
      </c>
      <c r="I11" s="324">
        <f>SUBTOTAL(9,I12:I29)</f>
        <v>1.1456159285714285</v>
      </c>
      <c r="J11" s="324">
        <f>SUBTOTAL(9,J12:J29)</f>
        <v>3.2189876850000001</v>
      </c>
      <c r="K11" s="324">
        <f>SUBTOTAL(9,K12:K29)</f>
        <v>2.7723623980609413</v>
      </c>
      <c r="L11" s="324">
        <f>SUBTOTAL(9,L13:L29)</f>
        <v>26.220441088522019</v>
      </c>
      <c r="M11" s="106">
        <f>L11/$L$4</f>
        <v>0.81388572933226933</v>
      </c>
      <c r="N11" s="84"/>
    </row>
    <row r="12" spans="1:17" s="31" customFormat="1" outlineLevel="1">
      <c r="A12" s="75">
        <v>1</v>
      </c>
      <c r="B12" s="79" t="s">
        <v>374</v>
      </c>
      <c r="C12" s="75"/>
      <c r="D12" s="320">
        <f>SUBTOTAL(9,D13:D14)</f>
        <v>7.6113818171415319</v>
      </c>
      <c r="E12" s="320">
        <f>SUBTOTAL(9,E13:E14)</f>
        <v>3.4853688571428574</v>
      </c>
      <c r="F12" s="320">
        <f t="shared" ref="F12:J12" si="7">SUBTOTAL(9,F13:F14)</f>
        <v>0</v>
      </c>
      <c r="G12" s="320">
        <f t="shared" si="7"/>
        <v>0</v>
      </c>
      <c r="H12" s="320">
        <f t="shared" si="7"/>
        <v>2.52138624</v>
      </c>
      <c r="I12" s="320">
        <f t="shared" ref="I12" si="8">SUBTOTAL(9,I13:I14)</f>
        <v>0.88106859999999998</v>
      </c>
      <c r="J12" s="320">
        <f t="shared" si="7"/>
        <v>1.9053436849999998</v>
      </c>
      <c r="K12" s="320">
        <f t="shared" ref="K12" si="9">SUBTOTAL(9,K13:K14)</f>
        <v>2.6355653980609413</v>
      </c>
      <c r="L12" s="320">
        <f>SUBTOTAL(9,L13:L14)</f>
        <v>19.04011459734533</v>
      </c>
      <c r="M12" s="102">
        <f t="shared" si="5"/>
        <v>0.59100750835248017</v>
      </c>
      <c r="N12" s="101"/>
      <c r="O12" s="22"/>
    </row>
    <row r="13" spans="1:17" s="20" customFormat="1" outlineLevel="1">
      <c r="A13" s="14" t="s">
        <v>8</v>
      </c>
      <c r="B13" s="74" t="s">
        <v>375</v>
      </c>
      <c r="C13" s="14" t="s">
        <v>107</v>
      </c>
      <c r="D13" s="326">
        <f>SUMIFS('PL1.1 ML2027-2028'!$G:$G,'PL1.1 ML2027-2028'!$J:$J,'TH theo DV_2027'!$D$3,'PL1.1 ML2027-2028'!$K:$K,'TH theo DV_2027'!C13)/$D$1</f>
        <v>1.21246914194502</v>
      </c>
      <c r="E13" s="326">
        <f>SUMIFS('PL1.1 ML2027-2028'!$G:$G,'PL1.1 ML2027-2028'!$J:$J,'TH theo DV_2027'!$E$3,'PL1.1 ML2027-2028'!$K:$K,'TH theo DV_2027'!C13)/$D$1</f>
        <v>0</v>
      </c>
      <c r="F13" s="326">
        <f>SUMIFS('PL1.1 ML2027-2028'!$G:$G,'PL1.1 ML2027-2028'!$J:$J,'TH theo DV_2027'!$F$3,'PL1.1 ML2027-2028'!$K:$K,'TH theo DV_2027'!C13)/$D$1</f>
        <v>0</v>
      </c>
      <c r="G13" s="326">
        <f>SUMIFS('PL1.1 ML2027-2028'!$G:$G,'PL1.1 ML2027-2028'!$J:$J,'TH theo DV_2027'!$G$3,'PL1.1 ML2027-2028'!$K:$K,'TH theo DV_2027'!C13)/$D$1</f>
        <v>0</v>
      </c>
      <c r="H13" s="322">
        <f>SUMIFS('PL1.1 ML2027-2028'!$G:$G,'PL1.1 ML2027-2028'!$J:$J,"TD",'PL1.1 ML2027-2028'!$M:$M,"IP",'PL1.1 ML2027-2028'!$K:$K,'TH theo DV_2027'!C13)/$D$1</f>
        <v>0</v>
      </c>
      <c r="I13" s="322">
        <f>SUMIFS('PL1.1 ML2027-2028'!$G:$G,'PL1.1 ML2027-2028'!$J:$J,"TD",'PL1.1 ML2027-2028'!$M:$M,"Mạng cáp",'PL1.1 ML2027-2028'!$K:$K,'TH theo DV_2027'!C13)/$D$1</f>
        <v>0.83425899999999997</v>
      </c>
      <c r="J13" s="325">
        <f>SUMIFS('PL1.1 ML2027-2028'!$G:$G,'PL1.1 ML2027-2028'!$J:$J,'TH theo DV_2027'!$J$3,'PL1.1 ML2027-2028'!$K:$K,'TH theo DV_2027'!C13)/$D$1</f>
        <v>1.4700764149999999</v>
      </c>
      <c r="K13" s="322">
        <f>SUMIFS('PL1.1 ML2027-2028'!$G:$G,'PL1.1 ML2027-2028'!$J:$J,'TH theo DV_2027'!K$3,'PL1.1 ML2027-2028'!$K:$K,'TH theo DV_2027'!C13)/$D$1</f>
        <v>2.2636443076923074</v>
      </c>
      <c r="L13" s="323">
        <f>SUM(D13:K13)</f>
        <v>5.7804488646373269</v>
      </c>
      <c r="M13" s="102">
        <f t="shared" si="5"/>
        <v>0.17942584658206551</v>
      </c>
      <c r="N13" s="101"/>
      <c r="O13" s="108"/>
    </row>
    <row r="14" spans="1:17" s="20" customFormat="1" outlineLevel="1">
      <c r="A14" s="14" t="s">
        <v>8</v>
      </c>
      <c r="B14" s="74" t="s">
        <v>376</v>
      </c>
      <c r="C14" s="14" t="s">
        <v>108</v>
      </c>
      <c r="D14" s="326">
        <f>SUMIFS('PL1.1 ML2027-2028'!$G:$G,'PL1.1 ML2027-2028'!$J:$J,'TH theo DV_2027'!$D$3,'PL1.1 ML2027-2028'!$K:$K,'TH theo DV_2027'!C14)/$D$1</f>
        <v>6.3989126751965122</v>
      </c>
      <c r="E14" s="326">
        <f>SUMIFS('PL1.1 ML2027-2028'!$G:$G,'PL1.1 ML2027-2028'!$J:$J,'TH theo DV_2027'!$E$3,'PL1.1 ML2027-2028'!$K:$K,'TH theo DV_2027'!C14)/$D$1</f>
        <v>3.4853688571428574</v>
      </c>
      <c r="F14" s="326">
        <f>SUMIFS('PL1.1 ML2027-2028'!$G:$G,'PL1.1 ML2027-2028'!$J:$J,'TH theo DV_2027'!$F$3,'PL1.1 ML2027-2028'!$K:$K,'TH theo DV_2027'!C14)/$D$1</f>
        <v>0</v>
      </c>
      <c r="G14" s="326">
        <f>SUMIFS('PL1.1 ML2027-2028'!$G:$G,'PL1.1 ML2027-2028'!$J:$J,'TH theo DV_2027'!$G$3,'PL1.1 ML2027-2028'!$K:$K,'TH theo DV_2027'!C14)/$D$1</f>
        <v>0</v>
      </c>
      <c r="H14" s="322">
        <f>(SUMIFS('PL1.1 ML2027-2028'!$G:$G,'PL1.1 ML2027-2028'!$J:$J,"TD",'PL1.1 ML2027-2028'!$M:$M,"IP",'PL1.1 ML2027-2028'!$K:$K,'TH theo DV_2027'!C17)/$D$1+SUMIFS('PL1.1 ML2027-2028'!$G:$G,'PL1.1 ML2027-2028'!$J:$J,"TD",'PL1.1 ML2027-2028'!$M:$M,"IP",'PL1.1 ML2027-2028'!$K:$K,'TH theo DV_2027'!C28)/$D$1+SUMIFS('PL1.1 ML2027-2028'!$G:$G,'PL1.1 ML2027-2028'!$J:$J,"TD",'PL1.1 ML2027-2028'!$M:$M,"IP",'PL1.1 ML2027-2028'!$K:$K,'TH theo DV_2027'!C29)/$D$1+SUMIFS('PL1.1 ML2027-2028'!$G:$G,'PL1.1 ML2027-2028'!$J:$J,"TD",'PL1.1 ML2027-2028'!$M:$M,"IP",'PL1.1 ML2027-2028'!$K:$K,'TH theo DV_2027'!C13)/$D$1+SUMIFS('PL1.1 ML2027-2028'!$G:$G,'PL1.1 ML2027-2028'!$J:$J,"TD",'PL1.1 ML2027-2028'!$M:$M,"IP",'PL1.1 ML2027-2028'!$K:$K,'TH theo DV_2027'!C14)/$D$1)*96/100-H13</f>
        <v>2.52138624</v>
      </c>
      <c r="I14" s="322">
        <f>(SUMIFS('PL1.1 ML2027-2028'!$G:$G,'PL1.1 ML2027-2028'!$J:$J,"TD",'PL1.1 ML2027-2028'!$M:$M,"Mạng cáp",'PL1.1 ML2027-2028'!$K:$K,'TH theo DV_2027'!C14)/$D$1+SUMIFS('PL1.1 ML2027-2028'!$G:$G,'PL1.1 ML2027-2028'!$J:$J,"TD",'PL1.1 ML2027-2028'!$M:$M,"Mạng cáp",'PL1.1 ML2027-2028'!$K:$K,'TH theo DV_2027'!C17)/$D$1+SUMIFS('PL1.1 ML2027-2028'!$G:$G,'PL1.1 ML2027-2028'!$J:$J,"TD",'PL1.1 ML2027-2028'!$M:$M,"Mạng cáp",'PL1.1 ML2027-2028'!$K:$K,'TH theo DV_2027'!C28)/$D$1+SUMIFS('PL1.1 ML2027-2028'!$G:$G,'PL1.1 ML2027-2028'!$J:$J,"TD",'PL1.1 ML2027-2028'!$M:$M,"Mạng cáp",'PL1.1 ML2027-2028'!$K:$K,'TH theo DV_2027'!C29)/$D$1)*0.96</f>
        <v>4.6809599999999993E-2</v>
      </c>
      <c r="J14" s="325">
        <f>SUMIFS('PL1.1 ML2027-2028'!$G:$G,'PL1.1 ML2027-2028'!$J:$J,'TH theo DV_2027'!$J$3,'PL1.1 ML2027-2028'!$K:$K,'TH theo DV_2027'!C14)/$D$1</f>
        <v>0.43526727000000004</v>
      </c>
      <c r="K14" s="322">
        <f>SUMIFS('PL1.1 ML2027-2028'!$G:$G,'PL1.1 ML2027-2028'!$J:$J,'TH theo DV_2027'!K$3,'PL1.1 ML2027-2028'!$K:$K,'TH theo DV_2027'!C14)/$D$1</f>
        <v>0.37192109036863408</v>
      </c>
      <c r="L14" s="323">
        <f>SUM(D14:K14)</f>
        <v>13.259665732708003</v>
      </c>
      <c r="M14" s="102">
        <f t="shared" si="5"/>
        <v>0.41158166177041461</v>
      </c>
      <c r="N14" s="101"/>
      <c r="O14" s="32"/>
    </row>
    <row r="15" spans="1:17" s="20" customFormat="1" outlineLevel="1">
      <c r="A15" s="75">
        <v>2</v>
      </c>
      <c r="B15" s="79" t="s">
        <v>178</v>
      </c>
      <c r="C15" s="14"/>
      <c r="D15" s="325">
        <f t="shared" ref="D15:G15" si="10">SUBTOTAL(9,D16:D19)</f>
        <v>0</v>
      </c>
      <c r="E15" s="325">
        <f t="shared" si="10"/>
        <v>0</v>
      </c>
      <c r="F15" s="325">
        <f>SUBTOTAL(9,F16:F19)</f>
        <v>0.41670820260526314</v>
      </c>
      <c r="G15" s="325">
        <f t="shared" si="10"/>
        <v>0</v>
      </c>
      <c r="H15" s="325">
        <f>SUBTOTAL(9,H16:H19)</f>
        <v>0.10505775999999999</v>
      </c>
      <c r="I15" s="325">
        <f>SUBTOTAL(9,I16:I19)</f>
        <v>1.9503999999999999E-3</v>
      </c>
      <c r="J15" s="325">
        <f t="shared" ref="J15:K15" si="11">SUBTOTAL(9,J16:J19)</f>
        <v>0</v>
      </c>
      <c r="K15" s="325">
        <f t="shared" si="11"/>
        <v>0</v>
      </c>
      <c r="L15" s="325">
        <f>SUBTOTAL(9,L16:L19)</f>
        <v>0.52371636260526311</v>
      </c>
      <c r="M15" s="102">
        <f t="shared" si="5"/>
        <v>1.6256220568646968E-2</v>
      </c>
      <c r="N15" s="101"/>
      <c r="O15" s="32"/>
    </row>
    <row r="16" spans="1:17" s="20" customFormat="1" ht="14.65" customHeight="1" outlineLevel="1">
      <c r="A16" s="14" t="s">
        <v>8</v>
      </c>
      <c r="B16" s="74" t="s">
        <v>101</v>
      </c>
      <c r="C16" s="30" t="s">
        <v>109</v>
      </c>
      <c r="D16" s="326">
        <f>SUMIFS('PL1.1 ML2027-2028'!$G:$G,'PL1.1 ML2027-2028'!$J:$J,'TH theo DV_2027'!$D$3,'PL1.1 ML2027-2028'!$K:$K,'TH theo DV_2027'!C16)/$D$1</f>
        <v>0</v>
      </c>
      <c r="E16" s="326">
        <f>SUMIFS('PL1.1 ML2027-2028'!$G:$G,'PL1.1 ML2027-2028'!$J:$J,'TH theo DV_2027'!$E$3,'PL1.1 ML2027-2028'!$K:$K,'TH theo DV_2027'!C16)/$D$1</f>
        <v>0</v>
      </c>
      <c r="F16" s="326">
        <f>SUMIFS('PL1.1 ML2027-2028'!$G:$G,'PL1.1 ML2027-2028'!$J:$J,'TH theo DV_2027'!$F$3,'PL1.1 ML2027-2028'!$K:$K,'TH theo DV_2027'!C16)/$D$1</f>
        <v>0</v>
      </c>
      <c r="G16" s="326">
        <f>SUMIFS('PL1.1 ML2027-2028'!$G:$G,'PL1.1 ML2027-2028'!$J:$J,'TH theo DV_2027'!$G$3,'PL1.1 ML2027-2028'!$K:$K,'TH theo DV_2027'!C16)/$D$1</f>
        <v>0</v>
      </c>
      <c r="H16" s="322">
        <f>SUMIFS('PL1.1 ML2027-2028'!$G:$G,'PL1.1 ML2027-2028'!$J:$J,"TD",'PL1.1 ML2027-2028'!$M:$M,"IP",'PL1.1 ML2027-2028'!$K:$K,'TH theo DV_2027'!C16)/$D$1</f>
        <v>0</v>
      </c>
      <c r="I16" s="322">
        <f>SUMIFS('PL1.1 ML2027-2028'!$G:$G,'PL1.1 ML2027-2028'!$J:$J,"TD",'PL1.1 ML2027-2028'!$M:$M,"Mạng cáp",'PL1.1 ML2027-2028'!$K:$K,'TH theo DV_2027'!C16)/$D$1</f>
        <v>0</v>
      </c>
      <c r="J16" s="326">
        <f>SUMIFS('PL1.1 ML2027-2028'!$G:$G,'PL1.1 ML2027-2028'!$J:$J,'TH theo DV_2027'!$J$3,'PL1.1 ML2027-2028'!$K:$K,'TH theo DV_2027'!C16)/$D$1</f>
        <v>0</v>
      </c>
      <c r="K16" s="322">
        <f>SUMIFS('PL1.1 ML2027-2028'!$G:$G,'PL1.1 ML2027-2028'!$J:$J,'TH theo DV_2027'!K$3,'PL1.1 ML2027-2028'!$K:$K,'TH theo DV_2027'!C16)/$D$1</f>
        <v>0</v>
      </c>
      <c r="L16" s="323">
        <f t="shared" ref="L16:L21" si="12">SUM(D16:K16)</f>
        <v>0</v>
      </c>
      <c r="M16" s="102">
        <f t="shared" si="5"/>
        <v>0</v>
      </c>
      <c r="N16" s="102"/>
      <c r="O16" s="32"/>
    </row>
    <row r="17" spans="1:17" s="20" customFormat="1" outlineLevel="1">
      <c r="A17" s="14" t="s">
        <v>8</v>
      </c>
      <c r="B17" s="74" t="s">
        <v>116</v>
      </c>
      <c r="C17" s="30" t="s">
        <v>110</v>
      </c>
      <c r="D17" s="326">
        <f>SUMIFS('PL1.1 ML2027-2028'!$G:$G,'PL1.1 ML2027-2028'!$J:$J,'TH theo DV_2027'!$D$3,'PL1.1 ML2027-2028'!$K:$K,'TH theo DV_2027'!C17)/$D$1</f>
        <v>0</v>
      </c>
      <c r="E17" s="326">
        <f>SUMIFS('PL1.1 ML2027-2028'!$G:$G,'PL1.1 ML2027-2028'!$J:$J,'TH theo DV_2027'!$E$3,'PL1.1 ML2027-2028'!$K:$K,'TH theo DV_2027'!C17)/$D$1</f>
        <v>0</v>
      </c>
      <c r="F17" s="326">
        <f>SUMIFS('PL1.1 ML2027-2028'!$G:$G,'PL1.1 ML2027-2028'!$J:$J,'TH theo DV_2027'!$F$3,'PL1.1 ML2027-2028'!$K:$K,'TH theo DV_2027'!C17)/$D$1</f>
        <v>0</v>
      </c>
      <c r="G17" s="326">
        <f>SUMIFS('PL1.1 ML2027-2028'!$G:$G,'PL1.1 ML2027-2028'!$J:$J,'TH theo DV_2027'!$G$3,'PL1.1 ML2027-2028'!$K:$K,'TH theo DV_2027'!C17)/$D$1</f>
        <v>0</v>
      </c>
      <c r="H17" s="322">
        <f>(SUMIFS('PL1.1 ML2027-2028'!$G:$G,'PL1.1 ML2027-2028'!$J:$J,"TD",'PL1.1 ML2027-2028'!$M:$M,"IP",'PL1.1 ML2027-2028'!$K:$K,'TH theo DV_2027'!C17)/$D$1+SUMIFS('PL1.1 ML2027-2028'!$G:$G,'PL1.1 ML2027-2028'!$J:$J,"TD",'PL1.1 ML2027-2028'!$M:$M,"IP",'PL1.1 ML2027-2028'!$K:$K,'TH theo DV_2027'!C28)+SUMIFS('PL1.1 ML2027-2028'!$G:$G,'PL1.1 ML2027-2028'!$J:$J,"TD",'PL1.1 ML2027-2028'!$M:$M,"IP",'PL1.1 ML2027-2028'!$K:$K,'TH theo DV_2027'!C29)/$D$1)*4/100</f>
        <v>0.10505775999999999</v>
      </c>
      <c r="I17" s="322">
        <f>(SUMIFS('PL1.1 ML2027-2028'!$G:$G,'PL1.1 ML2027-2028'!$J:$J,"TD",'PL1.1 ML2027-2028'!$M:$M,"Mạng cáp",'PL1.1 ML2027-2028'!$K:$K,'TH theo DV_2027'!C14)/$D$1+SUMIFS('PL1.1 ML2027-2028'!$G:$G,'PL1.1 ML2027-2028'!$J:$J,"TD",'PL1.1 ML2027-2028'!$M:$M,"Mạng cáp",'PL1.1 ML2027-2028'!$K:$K,'TH theo DV_2027'!C17)/$D$1+SUMIFS('PL1.1 ML2027-2028'!$G:$G,'PL1.1 ML2027-2028'!$J:$J,"TD",'PL1.1 ML2027-2028'!$M:$M,"Mạng cáp",'PL1.1 ML2027-2028'!$K:$K,'TH theo DV_2027'!C28)/$D$1+SUMIFS('PL1.1 ML2027-2028'!$G:$G,'PL1.1 ML2027-2028'!$J:$J,"TD",'PL1.1 ML2027-2028'!$M:$M,"Mạng cáp",'PL1.1 ML2027-2028'!$K:$K,'TH theo DV_2027'!C29)/$D$1)*0.04</f>
        <v>1.9503999999999999E-3</v>
      </c>
      <c r="J17" s="326">
        <f>SUMIFS('PL1.1 ML2027-2028'!$G:$G,'PL1.1 ML2027-2028'!$J:$J,'TH theo DV_2027'!$J$3,'PL1.1 ML2027-2028'!$K:$K,'TH theo DV_2027'!C17)/$D$1</f>
        <v>0</v>
      </c>
      <c r="K17" s="322">
        <f>SUMIFS('PL1.1 ML2027-2028'!$G:$G,'PL1.1 ML2027-2028'!$J:$J,'TH theo DV_2027'!K$3,'PL1.1 ML2027-2028'!$K:$K,'TH theo DV_2027'!C17)/$D$1</f>
        <v>0</v>
      </c>
      <c r="L17" s="323">
        <f t="shared" si="12"/>
        <v>0.10700815999999999</v>
      </c>
      <c r="M17" s="102">
        <f t="shared" si="5"/>
        <v>3.321546500765344E-3</v>
      </c>
      <c r="N17" s="102"/>
      <c r="O17" s="108"/>
      <c r="P17" s="87"/>
      <c r="Q17" s="28"/>
    </row>
    <row r="18" spans="1:17" s="20" customFormat="1" outlineLevel="1">
      <c r="A18" s="14" t="s">
        <v>8</v>
      </c>
      <c r="B18" s="74" t="s">
        <v>117</v>
      </c>
      <c r="C18" s="14" t="s">
        <v>105</v>
      </c>
      <c r="D18" s="326">
        <f>SUMIFS('PL1.1 ML2027-2028'!$G:$G,'PL1.1 ML2027-2028'!$J:$J,'TH theo DV_2027'!$D$3,'PL1.1 ML2027-2028'!$K:$K,'TH theo DV_2027'!C18)/$D$1</f>
        <v>0</v>
      </c>
      <c r="E18" s="326">
        <f>SUMIFS('PL1.1 ML2027-2028'!$G:$G,'PL1.1 ML2027-2028'!$J:$J,'TH theo DV_2027'!$E$3,'PL1.1 ML2027-2028'!$K:$K,'TH theo DV_2027'!C18)/$D$1</f>
        <v>0</v>
      </c>
      <c r="F18" s="326">
        <f>SUMIFS('PL1.1 ML2027-2028'!$G:$G,'PL1.1 ML2027-2028'!$J:$J,'TH theo DV_2027'!$F$3,'PL1.1 ML2027-2028'!$K:$K,'TH theo DV_2027'!C18)/$D$1</f>
        <v>0</v>
      </c>
      <c r="G18" s="326">
        <f>SUMIFS('PL1.1 ML2027-2028'!$G:$G,'PL1.1 ML2027-2028'!$J:$J,'TH theo DV_2027'!$G$3,'PL1.1 ML2027-2028'!$K:$K,'TH theo DV_2027'!C18)/$D$1</f>
        <v>0</v>
      </c>
      <c r="H18" s="322">
        <f>SUMIFS('PL1.1 ML2027-2028'!$G:$G,'PL1.1 ML2027-2028'!$J:$J,"TD",'PL1.1 ML2027-2028'!$M:$M,"IP",'PL1.1 ML2027-2028'!$K:$K,'TH theo DV_2027'!C18)/$D$1</f>
        <v>0</v>
      </c>
      <c r="I18" s="322">
        <f>SUMIFS('PL1.1 ML2027-2028'!$G:$G,'PL1.1 ML2027-2028'!$J:$J,"TD",'PL1.1 ML2027-2028'!$M:$M,"Mạng cáp",'PL1.1 ML2027-2028'!$K:$K,'TH theo DV_2027'!C18)/$D$1</f>
        <v>0</v>
      </c>
      <c r="J18" s="326">
        <f>SUMIFS('PL1.1 ML2027-2028'!$G:$G,'PL1.1 ML2027-2028'!$J:$J,'TH theo DV_2027'!$J$3,'PL1.1 ML2027-2028'!$K:$K,'TH theo DV_2027'!C18)/$D$1</f>
        <v>0</v>
      </c>
      <c r="K18" s="322">
        <f>SUMIFS('PL1.1 ML2027-2028'!$G:$G,'PL1.1 ML2027-2028'!$J:$J,'TH theo DV_2027'!K$3,'PL1.1 ML2027-2028'!$K:$K,'TH theo DV_2027'!C18)/$D$1</f>
        <v>0</v>
      </c>
      <c r="L18" s="323">
        <f t="shared" si="12"/>
        <v>0</v>
      </c>
      <c r="M18" s="102">
        <f t="shared" si="5"/>
        <v>0</v>
      </c>
      <c r="N18" s="102"/>
      <c r="O18" s="108"/>
      <c r="P18" s="87"/>
      <c r="Q18" s="28"/>
    </row>
    <row r="19" spans="1:17" s="20" customFormat="1" outlineLevel="1">
      <c r="A19" s="14" t="s">
        <v>8</v>
      </c>
      <c r="B19" s="74" t="s">
        <v>147</v>
      </c>
      <c r="C19" s="14" t="s">
        <v>163</v>
      </c>
      <c r="D19" s="326">
        <f>SUMIFS('PL1.1 ML2027-2028'!$G:$G,'PL1.1 ML2027-2028'!$J:$J,'TH theo DV_2027'!$D$3,'PL1.1 ML2027-2028'!$K:$K,'TH theo DV_2027'!C19)/$D$1</f>
        <v>0</v>
      </c>
      <c r="E19" s="326">
        <f>SUMIFS('PL1.1 ML2027-2028'!$G:$G,'PL1.1 ML2027-2028'!$J:$J,'TH theo DV_2027'!$E$3,'PL1.1 ML2027-2028'!$K:$K,'TH theo DV_2027'!C19)/$D$1</f>
        <v>0</v>
      </c>
      <c r="F19" s="326">
        <f>SUMIFS('PL1.1 ML2027-2028'!$G:$G,'PL1.1 ML2027-2028'!$J:$J,'TH theo DV_2027'!$F$3,'PL1.1 ML2027-2028'!$K:$K,'TH theo DV_2027'!C19)/$D$1</f>
        <v>0.41670820260526314</v>
      </c>
      <c r="G19" s="326">
        <f>SUMIFS('PL1.1 ML2027-2028'!$G:$G,'PL1.1 ML2027-2028'!$J:$J,'TH theo DV_2027'!$G$3,'PL1.1 ML2027-2028'!$K:$K,'TH theo DV_2027'!C19)/$D$1</f>
        <v>0</v>
      </c>
      <c r="H19" s="322">
        <f>SUMIFS('PL1.1 ML2027-2028'!$G:$G,'PL1.1 ML2027-2028'!$J:$J,"TD",'PL1.1 ML2027-2028'!$M:$M,"IP",'PL1.1 ML2027-2028'!$K:$K,'TH theo DV_2027'!C19)/$D$1</f>
        <v>0</v>
      </c>
      <c r="I19" s="322">
        <f>SUMIFS('PL1.1 ML2027-2028'!$G:$G,'PL1.1 ML2027-2028'!$J:$J,"TD",'PL1.1 ML2027-2028'!$M:$M,"Mạng cáp",'PL1.1 ML2027-2028'!$K:$K,'TH theo DV_2027'!C19)/$D$1</f>
        <v>0</v>
      </c>
      <c r="J19" s="326">
        <f>SUMIFS('PL1.1 ML2027-2028'!$G:$G,'PL1.1 ML2027-2028'!$J:$J,'TH theo DV_2027'!$J$3,'PL1.1 ML2027-2028'!$K:$K,'TH theo DV_2027'!C19)/$D$1</f>
        <v>0</v>
      </c>
      <c r="K19" s="322">
        <f>SUMIFS('PL1.1 ML2027-2028'!$G:$G,'PL1.1 ML2027-2028'!$J:$J,'TH theo DV_2027'!K$3,'PL1.1 ML2027-2028'!$K:$K,'TH theo DV_2027'!C19)/$D$1</f>
        <v>0</v>
      </c>
      <c r="L19" s="323">
        <f t="shared" si="12"/>
        <v>0.41670820260526314</v>
      </c>
      <c r="M19" s="102">
        <f t="shared" si="5"/>
        <v>1.2934674067881626E-2</v>
      </c>
      <c r="N19" s="102"/>
      <c r="O19" s="108"/>
      <c r="P19" s="87"/>
      <c r="Q19" s="28"/>
    </row>
    <row r="20" spans="1:17" s="20" customFormat="1" outlineLevel="1">
      <c r="A20" s="75">
        <v>3</v>
      </c>
      <c r="B20" s="79" t="s">
        <v>99</v>
      </c>
      <c r="C20" s="30" t="s">
        <v>103</v>
      </c>
      <c r="D20" s="326">
        <f>SUMIFS('PL1.1 ML2027-2028'!$G:$G,'PL1.1 ML2027-2028'!$J:$J,'TH theo DV_2027'!$D$3,'PL1.1 ML2027-2028'!$K:$K,'TH theo DV_2027'!C20)/$D$1</f>
        <v>0</v>
      </c>
      <c r="E20" s="326">
        <f>SUMIFS('PL1.1 ML2027-2028'!$G:$G,'PL1.1 ML2027-2028'!$J:$J,'TH theo DV_2027'!$E$3,'PL1.1 ML2027-2028'!$K:$K,'TH theo DV_2027'!C20)/$D$1</f>
        <v>0</v>
      </c>
      <c r="F20" s="326">
        <f>SUMIFS('PL1.1 ML2027-2028'!$G:$G,'PL1.1 ML2027-2028'!$J:$J,'TH theo DV_2027'!$F$3,'PL1.1 ML2027-2028'!$K:$K,'TH theo DV_2027'!C20)/$D$1</f>
        <v>0</v>
      </c>
      <c r="G20" s="326">
        <f>SUMIFS('PL1.1 ML2027-2028'!$G:$G,'PL1.1 ML2027-2028'!$J:$J,'TH theo DV_2027'!$G$3,'PL1.1 ML2027-2028'!$K:$K,'TH theo DV_2027'!C20)/$D$1</f>
        <v>0</v>
      </c>
      <c r="H20" s="322">
        <f>SUMIFS('PL1.1 ML2027-2028'!$G:$G,'PL1.1 ML2027-2028'!$J:$J,"TD",'PL1.1 ML2027-2028'!$M:$M,"IP",'PL1.1 ML2027-2028'!$K:$K,'TH theo DV_2027'!C20)/$D$1</f>
        <v>0</v>
      </c>
      <c r="I20" s="322">
        <f>SUMIFS('PL1.1 ML2027-2028'!$G:$G,'PL1.1 ML2027-2028'!$J:$J,"TD",'PL1.1 ML2027-2028'!$M:$M,"Mạng cáp",'PL1.1 ML2027-2028'!$K:$K,'TH theo DV_2027'!C20)/$D$1</f>
        <v>0</v>
      </c>
      <c r="J20" s="326">
        <f>SUMIFS('PL1.1 ML2027-2028'!$G:$G,'PL1.1 ML2027-2028'!$J:$J,'TH theo DV_2027'!$J$3,'PL1.1 ML2027-2028'!$K:$K,'TH theo DV_2027'!C20)/$D$1</f>
        <v>0</v>
      </c>
      <c r="K20" s="326">
        <f>SUMIFS('PL1.1 ML2027-2028'!$G:$G,'PL1.1 ML2027-2028'!$J:$J,'TH theo DV_2027'!$J$3,'PL1.1 ML2027-2028'!$K:$K,'TH theo DV_2027'!D20)/$D$1</f>
        <v>0</v>
      </c>
      <c r="L20" s="323">
        <f t="shared" si="12"/>
        <v>0</v>
      </c>
      <c r="M20" s="102">
        <f t="shared" si="5"/>
        <v>0</v>
      </c>
      <c r="N20" s="102"/>
      <c r="O20" s="108"/>
      <c r="P20" s="87"/>
      <c r="Q20" s="28"/>
    </row>
    <row r="21" spans="1:17" s="20" customFormat="1" outlineLevel="1">
      <c r="A21" s="75">
        <v>4</v>
      </c>
      <c r="B21" s="79" t="s">
        <v>100</v>
      </c>
      <c r="C21" s="14" t="s">
        <v>104</v>
      </c>
      <c r="D21" s="326">
        <f>SUMIFS('PL1.1 ML2027-2028'!$G:$G,'PL1.1 ML2027-2028'!$J:$J,'TH theo DV_2027'!$D$3,'PL1.1 ML2027-2028'!$K:$K,'TH theo DV_2027'!C21)/$D$1</f>
        <v>0</v>
      </c>
      <c r="E21" s="326">
        <f>SUMIFS('PL1.1 ML2027-2028'!$G:$G,'PL1.1 ML2027-2028'!$J:$J,'TH theo DV_2027'!$E$3,'PL1.1 ML2027-2028'!$K:$K,'TH theo DV_2027'!C21)/$D$1</f>
        <v>0</v>
      </c>
      <c r="F21" s="326">
        <f>SUMIFS('PL1.1 ML2027-2028'!$G:$G,'PL1.1 ML2027-2028'!$J:$J,'TH theo DV_2027'!$F$3,'PL1.1 ML2027-2028'!$K:$K,'TH theo DV_2027'!C21)/$D$1</f>
        <v>0</v>
      </c>
      <c r="G21" s="326">
        <f>SUMIFS('PL1.1 ML2027-2028'!$G:$G,'PL1.1 ML2027-2028'!$J:$J,'TH theo DV_2027'!$G$3,'PL1.1 ML2027-2028'!$K:$K,'TH theo DV_2027'!C21)/$D$1</f>
        <v>0</v>
      </c>
      <c r="H21" s="322">
        <f>SUMIFS('PL1.1 ML2027-2028'!$G:$G,'PL1.1 ML2027-2028'!$J:$J,"TD",'PL1.1 ML2027-2028'!$M:$M,"IP",'PL1.1 ML2027-2028'!$K:$K,'TH theo DV_2027'!C21)/$D$1</f>
        <v>1.1155040000000001</v>
      </c>
      <c r="I21" s="322">
        <f>SUMIFS('PL1.1 ML2027-2028'!$G:$G,'PL1.1 ML2027-2028'!$J:$J,"TD",'PL1.1 ML2027-2028'!$M:$M,"Mạng cáp",'PL1.1 ML2027-2028'!$K:$K,'TH theo DV_2027'!C21)/$D$1</f>
        <v>0.26259692857142858</v>
      </c>
      <c r="J21" s="326">
        <f>SUMIFS('PL1.1 ML2027-2028'!$G:$G,'PL1.1 ML2027-2028'!$J:$J,'TH theo DV_2027'!$J$3,'PL1.1 ML2027-2028'!$K:$K,'TH theo DV_2027'!C21)/$D$1</f>
        <v>1.313644</v>
      </c>
      <c r="K21" s="326">
        <f>SUMIFS('PL1.1 ML2027-2028'!$G:$G,'PL1.1 ML2027-2028'!$J:$J,'TH theo DV_2027'!$K$3,'PL1.1 ML2027-2028'!$K:$K,'TH theo DV_2027'!C21)/$D$1</f>
        <v>0.136797</v>
      </c>
      <c r="L21" s="323">
        <f t="shared" si="12"/>
        <v>2.8285419285714286</v>
      </c>
      <c r="M21" s="102">
        <f t="shared" si="5"/>
        <v>8.7798290757587896E-2</v>
      </c>
      <c r="N21" s="102"/>
      <c r="O21" s="108"/>
    </row>
    <row r="22" spans="1:17" s="20" customFormat="1" outlineLevel="1">
      <c r="A22" s="75">
        <v>5</v>
      </c>
      <c r="B22" s="79" t="s">
        <v>181</v>
      </c>
      <c r="C22" s="14"/>
      <c r="D22" s="325">
        <f t="shared" ref="D22:L22" si="13">SUBTOTAL(9,D23:D25)</f>
        <v>0</v>
      </c>
      <c r="E22" s="325">
        <f t="shared" si="13"/>
        <v>0</v>
      </c>
      <c r="F22" s="325">
        <f t="shared" si="13"/>
        <v>0</v>
      </c>
      <c r="G22" s="320">
        <f t="shared" si="13"/>
        <v>3.6168092000000001</v>
      </c>
      <c r="H22" s="325">
        <f t="shared" si="13"/>
        <v>0</v>
      </c>
      <c r="I22" s="325">
        <f t="shared" ref="I22" si="14">SUBTOTAL(9,I23:I25)</f>
        <v>0</v>
      </c>
      <c r="J22" s="325">
        <f t="shared" si="13"/>
        <v>0</v>
      </c>
      <c r="K22" s="325">
        <f t="shared" ref="K22" si="15">SUBTOTAL(9,K23:K25)</f>
        <v>0</v>
      </c>
      <c r="L22" s="320">
        <f t="shared" si="13"/>
        <v>3.6168092000000001</v>
      </c>
      <c r="M22" s="102">
        <f t="shared" si="5"/>
        <v>0.11226620420532325</v>
      </c>
      <c r="N22" s="102"/>
      <c r="O22" s="32"/>
    </row>
    <row r="23" spans="1:17" outlineLevel="1">
      <c r="A23" s="26" t="s">
        <v>8</v>
      </c>
      <c r="B23" s="60" t="s">
        <v>191</v>
      </c>
      <c r="C23" s="64" t="s">
        <v>194</v>
      </c>
      <c r="D23" s="322">
        <f>SUMIFS('PL1.1 ML2027-2028'!$G:$G,'PL1.1 ML2027-2028'!$J:$J,'TH theo DV_2027'!$D$3,'PL1.1 ML2027-2028'!$K:$K,'TH theo DV_2027'!C23)/$D$1</f>
        <v>0</v>
      </c>
      <c r="E23" s="322">
        <f>SUMIFS('PL1.1 ML2027-2028'!$G:$G,'PL1.1 ML2027-2028'!$J:$J,'TH theo DV_2027'!$E$3,'PL1.1 ML2027-2028'!$K:$K,'TH theo DV_2027'!C23)/$D$1</f>
        <v>0</v>
      </c>
      <c r="F23" s="322">
        <f>SUMIFS('PL1.1 ML2027-2028'!$G:$G,'PL1.1 ML2027-2028'!$J:$J,'TH theo DV_2027'!$F$3,'PL1.1 ML2027-2028'!$K:$K,'TH theo DV_2027'!C23)/$D$1</f>
        <v>0</v>
      </c>
      <c r="G23" s="120">
        <f>SUMIFS('PL1.1 ML2027-2028'!$G:$G,'PL1.1 ML2027-2028'!$J:$J,'TH theo DV_2027'!$G$3,'PL1.1 ML2027-2028'!$K:$K,'TH theo DV_2027'!C23)/$D$1</f>
        <v>9.3842999999999996E-2</v>
      </c>
      <c r="H23" s="322">
        <f>SUMIFS('PL1.1 ML2027-2028'!$G:$G,'PL1.1 ML2027-2028'!$J:$J,"TD",'PL1.1 ML2027-2028'!$M:$M,"IP",'PL1.1 ML2027-2028'!$K:$K,'TH theo DV_2027'!C23)/$D$1</f>
        <v>0</v>
      </c>
      <c r="I23" s="322">
        <f>SUMIFS('PL1.1 ML2027-2028'!$G:$G,'PL1.1 ML2027-2028'!$J:$J,"TD",'PL1.1 ML2027-2028'!$M:$M,"Mạng cáp",'PL1.1 ML2027-2028'!$K:$K,'TH theo DV_2027'!C23)/$D$1</f>
        <v>0</v>
      </c>
      <c r="J23" s="322">
        <f>SUMIFS('PL1.1 ML2027-2028'!$G:$G,'PL1.1 ML2027-2028'!$J:$J,'TH theo DV_2027'!$J$3,'PL1.1 ML2027-2028'!$K:$K,'TH theo DV_2027'!C23)/$D$1</f>
        <v>0</v>
      </c>
      <c r="K23" s="322">
        <f>SUMIFS('PL1.1 ML2027-2028'!$G:$G,'PL1.1 ML2027-2028'!$J:$J,'TH theo DV_2027'!K$3,'PL1.1 ML2027-2028'!$K:$K,'TH theo DV_2027'!C23)/$D$1</f>
        <v>0</v>
      </c>
      <c r="L23" s="323">
        <f>SUM(D23:K23)</f>
        <v>9.3842999999999996E-2</v>
      </c>
      <c r="M23" s="102">
        <f t="shared" si="5"/>
        <v>2.9128983086086349E-3</v>
      </c>
      <c r="N23" s="59"/>
    </row>
    <row r="24" spans="1:17" outlineLevel="1">
      <c r="A24" s="26" t="s">
        <v>8</v>
      </c>
      <c r="B24" s="60" t="s">
        <v>192</v>
      </c>
      <c r="C24" s="64" t="s">
        <v>195</v>
      </c>
      <c r="D24" s="322">
        <f>SUMIFS('PL1.1 ML2027-2028'!$G:$G,'PL1.1 ML2027-2028'!$J:$J,'TH theo DV_2027'!$D$3,'PL1.1 ML2027-2028'!$K:$K,'TH theo DV_2027'!C24)/$D$1</f>
        <v>0</v>
      </c>
      <c r="E24" s="322">
        <f>SUMIFS('PL1.1 ML2027-2028'!$G:$G,'PL1.1 ML2027-2028'!$J:$J,'TH theo DV_2027'!$E$3,'PL1.1 ML2027-2028'!$K:$K,'TH theo DV_2027'!C24)/$D$1</f>
        <v>0</v>
      </c>
      <c r="F24" s="322">
        <f>SUMIFS('PL1.1 ML2027-2028'!$G:$G,'PL1.1 ML2027-2028'!$J:$J,'TH theo DV_2027'!$F$3,'PL1.1 ML2027-2028'!$K:$K,'TH theo DV_2027'!C24)/$D$1</f>
        <v>0</v>
      </c>
      <c r="G24" s="326">
        <f>SUMIFS('PL1.1 ML2027-2028'!$G:$G,'PL1.1 ML2027-2028'!$J:$J,'TH theo DV_2027'!$G$3,'PL1.1 ML2027-2028'!$K:$K,'TH theo DV_2027'!C24)/$D$1+SUMIFS('PL1.1 ML2027-2028'!$G:$G,'PL1.1 ML2027-2028'!$J:$J,'TH theo DV_2027'!G$3,'PL1.1 ML2027-2028'!$K:$K,"AI/GPU")/$D$1</f>
        <v>3.1325821999999999</v>
      </c>
      <c r="H24" s="322">
        <f>SUMIFS('PL1.1 ML2027-2028'!$G:$G,'PL1.1 ML2027-2028'!$J:$J,"TD",'PL1.1 ML2027-2028'!$M:$M,"IP",'PL1.1 ML2027-2028'!$K:$K,'TH theo DV_2027'!C24)/$D$1</f>
        <v>0</v>
      </c>
      <c r="I24" s="322">
        <f>SUMIFS('PL1.1 ML2027-2028'!$G:$G,'PL1.1 ML2027-2028'!$J:$J,"TD",'PL1.1 ML2027-2028'!$M:$M,"Mạng cáp",'PL1.1 ML2027-2028'!$K:$K,'TH theo DV_2027'!C24)/$D$1</f>
        <v>0</v>
      </c>
      <c r="J24" s="322">
        <f>SUMIFS('PL1.1 ML2027-2028'!$G:$G,'PL1.1 ML2027-2028'!$J:$J,'TH theo DV_2027'!$J$3,'PL1.1 ML2027-2028'!$K:$K,'TH theo DV_2027'!C24)/$D$1</f>
        <v>0</v>
      </c>
      <c r="K24" s="322">
        <f>SUMIFS('PL1.1 ML2027-2028'!$G:$G,'PL1.1 ML2027-2028'!$J:$J,'TH theo DV_2027'!K$3,'PL1.1 ML2027-2028'!$K:$K,'TH theo DV_2027'!C24)/$D$1</f>
        <v>0</v>
      </c>
      <c r="L24" s="323">
        <f>SUM(D24:K24)</f>
        <v>3.1325821999999999</v>
      </c>
      <c r="M24" s="102">
        <f t="shared" si="5"/>
        <v>9.7235738328458346E-2</v>
      </c>
      <c r="N24" s="59"/>
    </row>
    <row r="25" spans="1:17" outlineLevel="1">
      <c r="A25" s="26" t="s">
        <v>8</v>
      </c>
      <c r="B25" s="60" t="s">
        <v>84</v>
      </c>
      <c r="C25" s="64" t="s">
        <v>84</v>
      </c>
      <c r="D25" s="322">
        <f>SUMIFS('PL1.1 ML2027-2028'!$G:$G,'PL1.1 ML2027-2028'!$J:$J,'TH theo DV_2027'!$D$3,'PL1.1 ML2027-2028'!$K:$K,'TH theo DV_2027'!C25)/$D$1</f>
        <v>0</v>
      </c>
      <c r="E25" s="322">
        <f>SUMIFS('PL1.1 ML2027-2028'!$G:$G,'PL1.1 ML2027-2028'!$J:$J,'TH theo DV_2027'!$E$3,'PL1.1 ML2027-2028'!$K:$K,'TH theo DV_2027'!C25)/$D$1</f>
        <v>0</v>
      </c>
      <c r="F25" s="322">
        <f>SUMIFS('PL1.1 ML2027-2028'!$G:$G,'PL1.1 ML2027-2028'!$J:$J,'TH theo DV_2027'!$F$3,'PL1.1 ML2027-2028'!$K:$K,'TH theo DV_2027'!C25)/$D$1</f>
        <v>0</v>
      </c>
      <c r="G25" s="322">
        <f>SUMIFS('PL1.1 ML2027-2028'!$G:$G,'PL1.1 ML2027-2028'!$J:$J,'TH theo DV_2027'!$G$3,'PL1.1 ML2027-2028'!$K:$K,'TH theo DV_2027'!C25)/$D$1</f>
        <v>0.39038400000000001</v>
      </c>
      <c r="H25" s="322">
        <f>SUMIFS('PL1.1 ML2027-2028'!$G:$G,'PL1.1 ML2027-2028'!$J:$J,"TD",'PL1.1 ML2027-2028'!$M:$M,"IP",'PL1.1 ML2027-2028'!$K:$K,'TH theo DV_2027'!C25)/$D$1</f>
        <v>0</v>
      </c>
      <c r="I25" s="322">
        <f>SUMIFS('PL1.1 ML2027-2028'!$G:$G,'PL1.1 ML2027-2028'!$J:$J,"TD",'PL1.1 ML2027-2028'!$M:$M,"Mạng cáp",'PL1.1 ML2027-2028'!$K:$K,'TH theo DV_2027'!C25)/$D$1</f>
        <v>0</v>
      </c>
      <c r="J25" s="322">
        <f>SUMIFS('PL1.1 ML2027-2028'!$G:$G,'PL1.1 ML2027-2028'!$J:$J,'TH theo DV_2027'!$J$3,'PL1.1 ML2027-2028'!$K:$K,'TH theo DV_2027'!C25)/$D$1</f>
        <v>0</v>
      </c>
      <c r="K25" s="322">
        <f>SUMIFS('PL1.1 ML2027-2028'!$G:$G,'PL1.1 ML2027-2028'!$J:$J,'TH theo DV_2027'!K$3,'PL1.1 ML2027-2028'!$K:$K,'TH theo DV_2027'!C25)/$D$1</f>
        <v>0</v>
      </c>
      <c r="L25" s="323">
        <f>SUM(D25:K25)</f>
        <v>0.39038400000000001</v>
      </c>
      <c r="M25" s="102">
        <f t="shared" si="5"/>
        <v>1.2117567568256273E-2</v>
      </c>
      <c r="N25" s="59"/>
    </row>
    <row r="26" spans="1:17" outlineLevel="1">
      <c r="A26" s="26" t="s">
        <v>8</v>
      </c>
      <c r="B26" s="60" t="s">
        <v>1371</v>
      </c>
      <c r="C26" s="64" t="s">
        <v>1369</v>
      </c>
      <c r="D26" s="322">
        <f>SUMIFS('PL1.1 ML2027-2028'!$G:$G,'PL1.1 ML2027-2028'!$J:$J,'TH theo DV_2027'!$D$3,'PL1.1 ML2027-2028'!$K:$K,'TH theo DV_2027'!C26)/$D$1</f>
        <v>0</v>
      </c>
      <c r="E26" s="322">
        <f>SUMIFS('PL1.1 ML2027-2028'!$G:$G,'PL1.1 ML2027-2028'!$J:$J,'TH theo DV_2027'!$E$3,'PL1.1 ML2027-2028'!$K:$K,'TH theo DV_2027'!C26)/$D$1</f>
        <v>0</v>
      </c>
      <c r="F26" s="322">
        <f>SUMIFS('PL1.1 ML2027-2028'!$G:$G,'PL1.1 ML2027-2028'!$J:$J,'TH theo DV_2027'!$F$3,'PL1.1 ML2027-2028'!$K:$K,'TH theo DV_2027'!C26)/$D$1</f>
        <v>0</v>
      </c>
      <c r="G26" s="322">
        <f>SUMIFS('PL1.1 ML2027-2028'!$G:$G,'PL1.1 ML2027-2028'!$J:$J,'TH theo DV_2027'!$G$3,'PL1.1 ML2027-2028'!$K:$K,'TH theo DV_2027'!C26)/$D$1</f>
        <v>0.211259</v>
      </c>
      <c r="H26" s="322">
        <f>SUMIFS('PL1.1 ML2027-2028'!$G:$G,'PL1.1 ML2027-2028'!$J:$J,"TD",'PL1.1 ML2027-2028'!$M:$M,"IP",'PL1.1 ML2027-2028'!$K:$K,'TH theo DV_2027'!C26)/$D$1</f>
        <v>0</v>
      </c>
      <c r="I26" s="322">
        <f>SUMIFS('PL1.1 ML2027-2028'!$G:$G,'PL1.1 ML2027-2028'!$J:$J,"TD",'PL1.1 ML2027-2028'!$M:$M,"Mạng cáp",'PL1.1 ML2027-2028'!$K:$K,'TH theo DV_2027'!C26)/$D$1</f>
        <v>0</v>
      </c>
      <c r="J26" s="322">
        <f>SUMIFS('PL1.1 ML2027-2028'!$G:$G,'PL1.1 ML2027-2028'!$J:$J,'TH theo DV_2027'!$J$3,'PL1.1 ML2027-2028'!$K:$K,'TH theo DV_2027'!C26)/$D$1</f>
        <v>0</v>
      </c>
      <c r="K26" s="322">
        <f>SUMIFS('PL1.1 ML2027-2028'!$G:$G,'PL1.1 ML2027-2028'!$J:$J,'TH theo DV_2027'!K$3,'PL1.1 ML2027-2028'!$K:$K,'TH theo DV_2027'!C26)/$D$1</f>
        <v>0</v>
      </c>
      <c r="L26" s="323">
        <f>SUM(D26:K26)</f>
        <v>0.211259</v>
      </c>
      <c r="M26" s="102">
        <f t="shared" ref="M26" si="16">L26/$L$4</f>
        <v>6.5575054482311058E-3</v>
      </c>
      <c r="N26" s="59"/>
    </row>
    <row r="27" spans="1:17" s="20" customFormat="1" hidden="1" outlineLevel="1">
      <c r="A27" s="75">
        <v>5</v>
      </c>
      <c r="B27" s="79" t="s">
        <v>672</v>
      </c>
      <c r="C27" s="14"/>
      <c r="D27" s="325">
        <f t="shared" ref="D27:J27" si="17">SUBTOTAL(9,D28:D30)</f>
        <v>0</v>
      </c>
      <c r="E27" s="325">
        <f t="shared" si="17"/>
        <v>0</v>
      </c>
      <c r="F27" s="325">
        <f t="shared" si="17"/>
        <v>0</v>
      </c>
      <c r="G27" s="325">
        <f t="shared" si="17"/>
        <v>0</v>
      </c>
      <c r="H27" s="325">
        <f>SUBTOTAL(9,H28:H29)</f>
        <v>0</v>
      </c>
      <c r="I27" s="325">
        <f>SUBTOTAL(9,I28:I29)</f>
        <v>0</v>
      </c>
      <c r="J27" s="325">
        <f t="shared" si="17"/>
        <v>0</v>
      </c>
      <c r="K27" s="325">
        <f t="shared" ref="K27" si="18">SUBTOTAL(9,K28:K30)</f>
        <v>0</v>
      </c>
      <c r="L27" s="325">
        <f>SUBTOTAL(9,L28:L29)</f>
        <v>0</v>
      </c>
      <c r="M27" s="102">
        <f t="shared" ref="M27:M29" si="19">L27/$L$4</f>
        <v>0</v>
      </c>
      <c r="N27" s="102"/>
      <c r="O27" s="32"/>
    </row>
    <row r="28" spans="1:17" hidden="1" outlineLevel="1">
      <c r="A28" s="26" t="s">
        <v>8</v>
      </c>
      <c r="B28" s="60" t="s">
        <v>670</v>
      </c>
      <c r="C28" s="64" t="s">
        <v>127</v>
      </c>
      <c r="D28" s="322">
        <f>SUMIFS('PL1.1 ML2027-2028'!$G:$G,'PL1.1 ML2027-2028'!$J:$J,'TH theo DV_2027'!$D$3,'PL1.1 ML2027-2028'!$K:$K,'TH theo DV_2027'!C28)/$D$1</f>
        <v>0</v>
      </c>
      <c r="E28" s="322">
        <f>SUMIFS('PL1.1 ML2027-2028'!$G:$G,'PL1.1 ML2027-2028'!$J:$J,'TH theo DV_2027'!$E$3,'PL1.1 ML2027-2028'!$K:$K,'TH theo DV_2027'!C28)/$D$1</f>
        <v>0</v>
      </c>
      <c r="F28" s="322">
        <f>SUMIFS('PL1.1 ML2027-2028'!$G:$G,'PL1.1 ML2027-2028'!$J:$J,'TH theo DV_2027'!$F$3,'PL1.1 ML2027-2028'!$K:$K,'TH theo DV_2027'!C28)/$D$1</f>
        <v>0</v>
      </c>
      <c r="G28" s="326">
        <f>SUMIFS('PL1.1 ML2027-2028'!$G:$G,'PL1.1 ML2027-2028'!$J:$J,'TH theo DV_2027'!$G$3,'PL1.1 ML2027-2028'!$K:$K,'TH theo DV_2027'!C28)/$D$1</f>
        <v>0</v>
      </c>
      <c r="H28" s="322"/>
      <c r="I28" s="143"/>
      <c r="J28" s="322">
        <f>SUMIFS('PL1.1 ML2027-2028'!$G:$G,'PL1.1 ML2027-2028'!$J:$J,'TH theo DV_2027'!$J$3,'PL1.1 ML2027-2028'!$K:$K,'TH theo DV_2027'!C28)/$D$1</f>
        <v>0</v>
      </c>
      <c r="K28" s="322">
        <f>SUMIFS('PL1.1 ML2027-2028'!$G:$G,'PL1.1 ML2027-2028'!$J:$J,'TH theo DV_2027'!K$3,'PL1.1 ML2027-2028'!$K:$K,'TH theo DV_2027'!C28)/$D$1</f>
        <v>0</v>
      </c>
      <c r="L28" s="323">
        <f>SUM(D28:K28)</f>
        <v>0</v>
      </c>
      <c r="M28" s="102">
        <f t="shared" si="19"/>
        <v>0</v>
      </c>
      <c r="N28" s="59"/>
    </row>
    <row r="29" spans="1:17" hidden="1" outlineLevel="1">
      <c r="A29" s="26" t="s">
        <v>8</v>
      </c>
      <c r="B29" s="60" t="s">
        <v>671</v>
      </c>
      <c r="C29" s="64" t="s">
        <v>128</v>
      </c>
      <c r="D29" s="322">
        <f>SUMIFS('PL1.1 ML2027-2028'!$G:$G,'PL1.1 ML2027-2028'!$J:$J,'TH theo DV_2027'!$D$3,'PL1.1 ML2027-2028'!$K:$K,'TH theo DV_2027'!C29)/$D$1</f>
        <v>0</v>
      </c>
      <c r="E29" s="322">
        <f>SUMIFS('PL1.1 ML2027-2028'!$G:$G,'PL1.1 ML2027-2028'!$J:$J,'TH theo DV_2027'!$E$3,'PL1.1 ML2027-2028'!$K:$K,'TH theo DV_2027'!C29)/$D$1</f>
        <v>0</v>
      </c>
      <c r="F29" s="322">
        <f>SUMIFS('PL1.1 ML2027-2028'!$G:$G,'PL1.1 ML2027-2028'!$J:$J,'TH theo DV_2027'!$F$3,'PL1.1 ML2027-2028'!$K:$K,'TH theo DV_2027'!C29)/$D$1</f>
        <v>0</v>
      </c>
      <c r="G29" s="326">
        <f>SUMIFS('PL1.1 ML2027-2028'!$G:$G,'PL1.1 ML2027-2028'!$J:$J,'TH theo DV_2027'!$G$3,'PL1.1 ML2027-2028'!$K:$K,'TH theo DV_2027'!C29)/$D$1</f>
        <v>0</v>
      </c>
      <c r="H29" s="322"/>
      <c r="I29" s="322"/>
      <c r="J29" s="322">
        <f>SUMIFS('PL1.1 ML2027-2028'!$G:$G,'PL1.1 ML2027-2028'!$J:$J,'TH theo DV_2027'!$J$3,'PL1.1 ML2027-2028'!$K:$K,'TH theo DV_2027'!C29)/$D$1</f>
        <v>0</v>
      </c>
      <c r="K29" s="322">
        <f>SUMIFS('PL1.1 ML2027-2028'!$G:$G,'PL1.1 ML2027-2028'!$J:$J,'TH theo DV_2027'!K$3,'PL1.1 ML2027-2028'!$K:$K,'TH theo DV_2027'!C29)/$D$1</f>
        <v>0</v>
      </c>
      <c r="L29" s="323">
        <f>SUM(D29:K29)</f>
        <v>0</v>
      </c>
      <c r="M29" s="102">
        <f t="shared" si="19"/>
        <v>0</v>
      </c>
      <c r="N29" s="59"/>
    </row>
    <row r="30" spans="1:17" ht="26" outlineLevel="1">
      <c r="A30" s="55" t="s">
        <v>19</v>
      </c>
      <c r="B30" s="103" t="s">
        <v>193</v>
      </c>
      <c r="C30" s="82"/>
      <c r="D30" s="321">
        <f t="shared" ref="D30:F30" si="20">SUBTOTAL(9,D31:D34)</f>
        <v>0.60908655746562401</v>
      </c>
      <c r="E30" s="321">
        <f t="shared" si="20"/>
        <v>1.48660192</v>
      </c>
      <c r="F30" s="321">
        <f t="shared" si="20"/>
        <v>0</v>
      </c>
      <c r="G30" s="321">
        <f>SUBTOTAL(9,G31:G34)</f>
        <v>1.2029529999999999</v>
      </c>
      <c r="H30" s="321">
        <f t="shared" ref="H30:L30" si="21">SUBTOTAL(9,H31:H34)</f>
        <v>0</v>
      </c>
      <c r="I30" s="321">
        <f t="shared" ref="I30" si="22">SUBTOTAL(9,I31:I34)</f>
        <v>0.35783999999999999</v>
      </c>
      <c r="J30" s="321">
        <f t="shared" si="21"/>
        <v>2.2548441100000001</v>
      </c>
      <c r="K30" s="321">
        <f t="shared" ref="K30" si="23">SUBTOTAL(9,K31:K34)</f>
        <v>8.4599999999999995E-2</v>
      </c>
      <c r="L30" s="321">
        <f t="shared" si="21"/>
        <v>5.9959255874656234</v>
      </c>
      <c r="M30" s="106">
        <f t="shared" ref="M30:M35" si="24">L30/$L$4</f>
        <v>0.18611427066773067</v>
      </c>
      <c r="N30" s="106"/>
    </row>
    <row r="31" spans="1:17" s="20" customFormat="1" outlineLevel="1">
      <c r="A31" s="14">
        <v>1</v>
      </c>
      <c r="B31" s="43" t="s">
        <v>287</v>
      </c>
      <c r="C31" s="14" t="s">
        <v>288</v>
      </c>
      <c r="D31" s="326">
        <f>SUMIFS('PL1.1 ML2027-2028'!$G:$G,'PL1.1 ML2027-2028'!$J:$J,'TH theo DV_2027'!$D$3,'PL1.1 ML2027-2028'!$K:$K,'TH theo DV_2027'!C31)/$D$1</f>
        <v>0.24908655746562403</v>
      </c>
      <c r="E31" s="326">
        <f>SUMIFS('PL1.1 ML2027-2028'!$G:$G,'PL1.1 ML2027-2028'!$J:$J,'TH theo DV_2027'!$E$3,'PL1.1 ML2027-2028'!$K:$K,'TH theo DV_2027'!C31)/$D$1</f>
        <v>0.1</v>
      </c>
      <c r="F31" s="326">
        <f>SUMIFS('PL1.1 ML2027-2028'!$G:$G,'PL1.1 ML2027-2028'!$J:$J,'TH theo DV_2027'!$F$3,'PL1.1 ML2027-2028'!$K:$K,'TH theo DV_2027'!C31)/$D$1</f>
        <v>0</v>
      </c>
      <c r="G31" s="322">
        <f>SUMIFS('PL1.1 ML2027-2028'!$G:$G,'PL1.1 ML2027-2028'!$J:$J,'TH theo DV_2027'!$G$3,'PL1.1 ML2027-2028'!$K:$K,'TH theo DV_2027'!C31)/$D$1</f>
        <v>0</v>
      </c>
      <c r="H31" s="322">
        <f>SUMIFS('PL1.1 ML2027-2028'!$G:$G,'PL1.1 ML2027-2028'!$J:$J,"TD",'PL1.1 ML2027-2028'!$M:$M,"IP",'PL1.1 ML2027-2028'!$K:$K,'TH theo DV_2027'!C31)/$D$1</f>
        <v>0</v>
      </c>
      <c r="I31" s="322">
        <f>SUMIFS('PL1.1 ML2027-2028'!$G:$G,'PL1.1 ML2027-2028'!$J:$J,"TD",'PL1.1 ML2027-2028'!$M:$M,"Mạng cáp",'PL1.1 ML2027-2028'!$K:$K,'TH theo DV_2027'!C31)/$D$1</f>
        <v>0.12573999999999999</v>
      </c>
      <c r="J31" s="326">
        <f>SUMIFS('PL1.1 ML2027-2028'!$G:$G,'PL1.1 ML2027-2028'!$J:$J,'TH theo DV_2027'!$J$3,'PL1.1 ML2027-2028'!$K:$K,'TH theo DV_2027'!C31)/$D$1</f>
        <v>0.40219909999999998</v>
      </c>
      <c r="K31" s="322">
        <f>SUMIFS('PL1.1 ML2027-2028'!$G:$G,'PL1.1 ML2027-2028'!$J:$J,'TH theo DV_2027'!K$3,'PL1.1 ML2027-2028'!$K:$K,'TH theo DV_2027'!C31)/$D$1</f>
        <v>0</v>
      </c>
      <c r="L31" s="323">
        <f t="shared" ref="L31:L34" si="25">SUM(D31:K31)</f>
        <v>0.87702565746562389</v>
      </c>
      <c r="M31" s="102">
        <f t="shared" si="24"/>
        <v>2.7222984711038564E-2</v>
      </c>
      <c r="N31" s="102"/>
      <c r="O31" s="32"/>
    </row>
    <row r="32" spans="1:17" ht="26" outlineLevel="1">
      <c r="A32" s="26">
        <v>2</v>
      </c>
      <c r="B32" s="81" t="s">
        <v>286</v>
      </c>
      <c r="C32" s="64" t="s">
        <v>122</v>
      </c>
      <c r="D32" s="326">
        <f>SUMIFS('PL1.1 ML2027-2028'!$G:$G,'PL1.1 ML2027-2028'!$J:$J,'TH theo DV_2027'!$D$3,'PL1.1 ML2027-2028'!$K:$K,'TH theo DV_2027'!C32)/$D$1</f>
        <v>0.36</v>
      </c>
      <c r="E32" s="326">
        <f>SUMIFS('PL1.1 ML2027-2028'!$G:$G,'PL1.1 ML2027-2028'!$J:$J,'TH theo DV_2027'!$E$3,'PL1.1 ML2027-2028'!$K:$K,'TH theo DV_2027'!C32)/$D$1</f>
        <v>1.3866019199999999</v>
      </c>
      <c r="F32" s="326">
        <f>SUMIFS('PL1.1 ML2027-2028'!$G:$G,'PL1.1 ML2027-2028'!$J:$J,'TH theo DV_2027'!$F$3,'PL1.1 ML2027-2028'!$K:$K,'TH theo DV_2027'!C32)/$D$1</f>
        <v>0</v>
      </c>
      <c r="G32" s="322">
        <f>SUMIFS('PL1.1 ML2027-2028'!$G:$G,'PL1.1 ML2027-2028'!$J:$J,'TH theo DV_2027'!$G$3,'PL1.1 ML2027-2028'!$K:$K,'TH theo DV_2027'!C32)/$D$1</f>
        <v>1.2029529999999999</v>
      </c>
      <c r="H32" s="322">
        <f>SUMIFS('PL1.1 ML2027-2028'!$G:$G,'PL1.1 ML2027-2028'!$J:$J,"TD",'PL1.1 ML2027-2028'!$M:$M,"IP",'PL1.1 ML2027-2028'!$K:$K,'TH theo DV_2027'!C32)/$D$1</f>
        <v>0</v>
      </c>
      <c r="I32" s="322">
        <f>SUMIFS('PL1.1 ML2027-2028'!$G:$G,'PL1.1 ML2027-2028'!$J:$J,"TD",'PL1.1 ML2027-2028'!$M:$M,"Mạng cáp",'PL1.1 ML2027-2028'!$K:$K,'TH theo DV_2027'!C32)/$D$1</f>
        <v>0</v>
      </c>
      <c r="J32" s="326">
        <f>SUMIFS('PL1.1 ML2027-2028'!$G:$G,'PL1.1 ML2027-2028'!$J:$J,'TH theo DV_2027'!$J$3,'PL1.1 ML2027-2028'!$K:$K,'TH theo DV_2027'!C32)/$D$1</f>
        <v>0.25223000000000001</v>
      </c>
      <c r="K32" s="322">
        <f>SUMIFS('PL1.1 ML2027-2028'!$G:$G,'PL1.1 ML2027-2028'!$J:$J,'TH theo DV_2027'!K$3,'PL1.1 ML2027-2028'!$K:$K,'TH theo DV_2027'!C32)/$D$1</f>
        <v>0</v>
      </c>
      <c r="L32" s="323">
        <f t="shared" si="25"/>
        <v>3.2017849199999997</v>
      </c>
      <c r="M32" s="59">
        <f t="shared" si="24"/>
        <v>9.9383799303055451E-2</v>
      </c>
      <c r="N32" s="59"/>
      <c r="O32" s="108"/>
      <c r="P32" s="87"/>
      <c r="Q32" s="28"/>
    </row>
    <row r="33" spans="1:18" ht="17.649999999999999" customHeight="1" outlineLevel="1">
      <c r="A33" s="14">
        <v>3</v>
      </c>
      <c r="B33" s="66" t="s">
        <v>289</v>
      </c>
      <c r="C33" s="26" t="s">
        <v>196</v>
      </c>
      <c r="D33" s="326">
        <f>SUMIFS('PL1.1 ML2027-2028'!$G:$G,'PL1.1 ML2027-2028'!$J:$J,'TH theo DV_2027'!$D$3,'PL1.1 ML2027-2028'!$K:$K,'TH theo DV_2027'!C33)/$D$1</f>
        <v>0</v>
      </c>
      <c r="E33" s="326">
        <f>SUMIFS('PL1.1 ML2027-2028'!$G:$G,'PL1.1 ML2027-2028'!$J:$J,'TH theo DV_2027'!$E$3,'PL1.1 ML2027-2028'!$K:$K,'TH theo DV_2027'!C33)/$D$1</f>
        <v>0</v>
      </c>
      <c r="F33" s="120">
        <f>SUMIFS('PL1.1 ML2027-2028'!$G:$G,'PL1.1 ML2027-2028'!$J:$J,'TH theo DV_2027'!$F$3,'PL1.1 ML2027-2028'!$K:$K,'TH theo DV_2027'!C33)/$D$1</f>
        <v>0</v>
      </c>
      <c r="G33" s="322">
        <f>SUMIFS('PL1.1 ML2027-2028'!$G:$G,'PL1.1 ML2027-2028'!$J:$J,'TH theo DV_2027'!$G$3,'PL1.1 ML2027-2028'!$K:$K,'TH theo DV_2027'!C33)/$D$1</f>
        <v>0</v>
      </c>
      <c r="H33" s="322">
        <f>SUMIFS('PL1.1 ML2027-2028'!$G:$G,'PL1.1 ML2027-2028'!$J:$J,"TD",'PL1.1 ML2027-2028'!$M:$M,"IP",'PL1.1 ML2027-2028'!$K:$K,'TH theo DV_2027'!C33)/$D$1</f>
        <v>0</v>
      </c>
      <c r="I33" s="322">
        <f>SUMIFS('PL1.1 ML2027-2028'!$G:$G,'PL1.1 ML2027-2028'!$J:$J,"TD",'PL1.1 ML2027-2028'!$M:$M,"Mạng cáp",'PL1.1 ML2027-2028'!$K:$K,'TH theo DV_2027'!C33)/$D$1</f>
        <v>0.2321</v>
      </c>
      <c r="J33" s="326">
        <f>SUMIFS('PL1.1 ML2027-2028'!$G:$G,'PL1.1 ML2027-2028'!$J:$J,'TH theo DV_2027'!$J$3,'PL1.1 ML2027-2028'!$K:$K,'TH theo DV_2027'!C33)/$D$1</f>
        <v>1.6004150100000001</v>
      </c>
      <c r="K33" s="322">
        <f>SUMIFS('PL1.1 ML2027-2028'!$G:$G,'PL1.1 ML2027-2028'!$J:$J,'TH theo DV_2027'!K$3,'PL1.1 ML2027-2028'!$K:$K,'TH theo DV_2027'!C33)/$D$1</f>
        <v>8.4599999999999995E-2</v>
      </c>
      <c r="L33" s="323">
        <f t="shared" si="25"/>
        <v>1.9171150100000001</v>
      </c>
      <c r="M33" s="59">
        <f t="shared" si="24"/>
        <v>5.9507486653636678E-2</v>
      </c>
      <c r="N33" s="59"/>
      <c r="O33" s="108"/>
    </row>
    <row r="34" spans="1:18" s="20" customFormat="1" outlineLevel="1">
      <c r="A34" s="14">
        <v>4</v>
      </c>
      <c r="B34" s="81" t="s">
        <v>173</v>
      </c>
      <c r="C34" s="14" t="s">
        <v>174</v>
      </c>
      <c r="D34" s="326">
        <f>SUMIFS('PL1.1 ML2027-2028'!$G:$G,'PL1.1 ML2027-2028'!$J:$J,'TH theo DV_2027'!$D$3,'PL1.1 ML2027-2028'!$K:$K,'TH theo DV_2027'!C34)/$D$1</f>
        <v>0</v>
      </c>
      <c r="E34" s="80">
        <f>SUMIFS('PL1.1 ML2027-2028'!$G:$G,'PL1.1 ML2027-2028'!$J:$J,'TH theo DV_2027'!$E$3,'PL1.1 ML2027-2028'!$K:$K,'TH theo DV_2027'!C34)/$D$1</f>
        <v>0</v>
      </c>
      <c r="F34" s="80">
        <f>SUMIFS('PL1.1 ML2027-2028'!$G:$G,'PL1.1 ML2027-2028'!$J:$J,'TH theo DV_2027'!$F$3,'PL1.1 ML2027-2028'!$K:$K,'TH theo DV_2027'!C34)/$D$1</f>
        <v>0</v>
      </c>
      <c r="G34" s="58">
        <f>SUMIFS('PL1.1 ML2027-2028'!$G:$G,'PL1.1 ML2027-2028'!$J:$J,'TH theo DV_2027'!$G$3,'PL1.1 ML2027-2028'!$K:$K,'TH theo DV_2027'!C34)/$D$1</f>
        <v>0</v>
      </c>
      <c r="H34" s="322">
        <f>SUMIFS('PL1.1 ML2027-2028'!$G:$G,'PL1.1 ML2027-2028'!$J:$J,"TD",'PL1.1 ML2027-2028'!$M:$M,"IP",'PL1.1 ML2027-2028'!$K:$K,'TH theo DV_2027'!C34)/$D$1</f>
        <v>0</v>
      </c>
      <c r="I34" s="322">
        <f>SUMIFS('PL1.1 ML2027-2028'!$G:$G,'PL1.1 ML2027-2028'!$J:$J,"TD",'PL1.1 ML2027-2028'!$M:$M,"Mạng cáp",'PL1.1 ML2027-2028'!$K:$K,'TH theo DV_2027'!C34)/$D$1</f>
        <v>0</v>
      </c>
      <c r="J34" s="80">
        <f>SUMIFS('PL1.1 ML2027-2028'!$G:$G,'PL1.1 ML2027-2028'!$J:$J,'TH theo DV_2027'!$J$3,'PL1.1 ML2027-2028'!$K:$K,'TH theo DV_2027'!C34)/$D$1</f>
        <v>0</v>
      </c>
      <c r="K34" s="322">
        <f>SUMIFS('PL1.1 ML2027-2028'!$G:$G,'PL1.1 ML2027-2028'!$J:$J,'TH theo DV_2027'!K$3,'PL1.1 ML2027-2028'!$K:$K,'TH theo DV_2027'!C34)/$D$1</f>
        <v>0</v>
      </c>
      <c r="L34" s="323">
        <f t="shared" si="25"/>
        <v>0</v>
      </c>
      <c r="M34" s="59">
        <f t="shared" si="24"/>
        <v>0</v>
      </c>
      <c r="N34" s="59"/>
      <c r="O34" s="108"/>
      <c r="P34" s="87"/>
      <c r="Q34" s="28"/>
    </row>
    <row r="35" spans="1:18" outlineLevel="1">
      <c r="A35" s="55" t="s">
        <v>26</v>
      </c>
      <c r="B35" s="103" t="s">
        <v>1383</v>
      </c>
      <c r="C35" s="82" t="s">
        <v>1384</v>
      </c>
      <c r="D35" s="671">
        <f>SUMIFS('PL1.1 ML2027-2028'!$G:$G,'PL1.1 ML2027-2028'!$J:$J,'TH theo DV_2027'!$D$3,'PL1.1 ML2027-2028'!$K:$K,'TH theo DV_2027'!C35)/$D$1</f>
        <v>0</v>
      </c>
      <c r="E35" s="671">
        <f>SUMIFS('PL1.1 ML2027-2028'!$G:$G,'PL1.1 ML2027-2028'!$J:$J,'TH theo DV_2027'!$E$3,'PL1.1 ML2027-2028'!$K:$K,'TH theo DV_2027'!C35)/$D$1</f>
        <v>0</v>
      </c>
      <c r="F35" s="671">
        <f>SUMIFS('PL1.1 ML2027-2028'!$G:$G,'PL1.1 ML2027-2028'!$J:$J,'TH theo DV_2027'!$F$3,'PL1.1 ML2027-2028'!$K:$K,'TH theo DV_2027'!C35)/$D$1</f>
        <v>0</v>
      </c>
      <c r="G35" s="671">
        <f>SUMIFS('PL1.1 ML2027-2028'!$G:$G,'PL1.1 ML2027-2028'!$J:$J,'TH theo DV_2027'!$G$3,'PL1.1 ML2027-2028'!$K:$K,'TH theo DV_2027'!C35)/$D$1</f>
        <v>0</v>
      </c>
      <c r="H35" s="671">
        <f>SUMIFS('PL1.1 ML2027-2028'!$G:$G,'PL1.1 ML2027-2028'!$J:$J,"TD",'PL1.1 ML2027-2028'!$M:$M,"IP",'PL1.1 ML2027-2028'!$K:$K,'TH theo DV_2027'!C35)/$D$1</f>
        <v>0</v>
      </c>
      <c r="I35" s="671">
        <f>SUMIFS('PL1.1 ML2027-2028'!$G:$G,'PL1.1 ML2027-2028'!$J:$J,"TD",'PL1.1 ML2027-2028'!$M:$M,"Mạng cáp",'PL1.1 ML2027-2028'!$K:$K,'TH theo DV_2027'!C35)/$D$1</f>
        <v>0</v>
      </c>
      <c r="J35" s="671">
        <f>SUMIFS('PL1.1 ML2027-2028'!$G:$G,'PL1.1 ML2027-2028'!$J:$J,'TH theo DV_2027'!$J$3,'PL1.1 ML2027-2028'!$K:$K,'TH theo DV_2027'!C35)/$D$1</f>
        <v>0</v>
      </c>
      <c r="K35" s="671">
        <f>SUMIFS('PL1.1 ML2027-2028'!$G:$G,'PL1.1 ML2027-2028'!$J:$J,'TH theo DV_2027'!K$3,'PL1.1 ML2027-2028'!$K:$K,'TH theo DV_2027'!C35)/$D$1</f>
        <v>0</v>
      </c>
      <c r="L35" s="672">
        <f t="shared" ref="L35" si="26">SUM(D35:K35)</f>
        <v>0</v>
      </c>
      <c r="M35" s="106">
        <f t="shared" si="24"/>
        <v>0</v>
      </c>
      <c r="N35" s="106"/>
    </row>
    <row r="36" spans="1:18" s="20" customFormat="1">
      <c r="A36" s="93"/>
      <c r="B36" s="94"/>
      <c r="C36" s="95"/>
      <c r="D36" s="96"/>
      <c r="E36" s="97"/>
      <c r="F36" s="96"/>
      <c r="G36" s="96"/>
      <c r="H36" s="97"/>
      <c r="I36" s="97"/>
      <c r="J36" s="96"/>
      <c r="K36" s="96"/>
      <c r="L36" s="98"/>
      <c r="M36" s="99"/>
      <c r="N36" s="3"/>
      <c r="O36" s="3"/>
      <c r="P36" s="3"/>
      <c r="Q36" s="3"/>
      <c r="R36" s="3"/>
    </row>
    <row r="37" spans="1:18">
      <c r="D37" s="11"/>
      <c r="E37" s="11"/>
      <c r="F37" s="11"/>
      <c r="G37" s="11"/>
      <c r="H37" s="11"/>
      <c r="I37" s="11"/>
      <c r="J37" s="11"/>
      <c r="K37" s="11"/>
      <c r="L37" s="11"/>
      <c r="M37" s="11" t="e">
        <f>#REF!-#REF!</f>
        <v>#REF!</v>
      </c>
      <c r="O37" s="3"/>
    </row>
    <row r="38" spans="1:18" outlineLevel="1">
      <c r="B38" s="20"/>
      <c r="C38" s="20"/>
      <c r="D38" s="51"/>
      <c r="E38" s="51"/>
      <c r="F38" s="51"/>
      <c r="G38" s="51"/>
      <c r="H38" s="51"/>
      <c r="I38" s="51"/>
      <c r="J38" s="35"/>
      <c r="K38" s="35"/>
      <c r="L38" s="51"/>
      <c r="M38" s="20"/>
      <c r="O38" s="3"/>
    </row>
    <row r="39" spans="1:18">
      <c r="C39" s="3"/>
      <c r="M39" s="3"/>
    </row>
    <row r="40" spans="1:18">
      <c r="C40" s="3"/>
      <c r="M40" s="3"/>
    </row>
    <row r="41" spans="1:18" s="29" customFormat="1">
      <c r="B41" s="3"/>
      <c r="C41" s="3"/>
      <c r="D41" s="3"/>
      <c r="E41" s="3"/>
      <c r="F41" s="3"/>
      <c r="G41" s="3"/>
      <c r="H41" s="3"/>
      <c r="I41" s="3"/>
      <c r="J41" s="3"/>
      <c r="K41" s="3"/>
      <c r="L41" s="3"/>
      <c r="M41" s="3"/>
      <c r="O41" s="107"/>
    </row>
    <row r="42" spans="1:18" s="29" customFormat="1">
      <c r="B42" s="3"/>
      <c r="C42" s="3"/>
      <c r="D42" s="3"/>
      <c r="E42" s="3"/>
      <c r="F42" s="3"/>
      <c r="G42" s="3"/>
      <c r="H42" s="3"/>
      <c r="I42" s="3"/>
      <c r="J42" s="3"/>
      <c r="K42" s="3"/>
      <c r="L42" s="3"/>
      <c r="M42" s="88"/>
      <c r="O42" s="107"/>
    </row>
    <row r="43" spans="1:18">
      <c r="C43" s="3"/>
    </row>
    <row r="44" spans="1:18" s="29" customFormat="1">
      <c r="B44" s="3"/>
      <c r="C44" s="3"/>
      <c r="D44" s="3"/>
      <c r="E44" s="3"/>
      <c r="F44" s="3"/>
      <c r="G44" s="3"/>
      <c r="H44" s="3"/>
      <c r="I44" s="3"/>
      <c r="J44" s="3"/>
      <c r="K44" s="3"/>
      <c r="L44" s="3"/>
      <c r="M44" s="88"/>
      <c r="O44" s="107"/>
    </row>
    <row r="45" spans="1:18" s="29" customFormat="1">
      <c r="B45" s="3"/>
      <c r="C45" s="3"/>
      <c r="D45" s="3"/>
      <c r="E45" s="3"/>
      <c r="F45" s="3"/>
      <c r="G45" s="3"/>
      <c r="H45" s="3"/>
      <c r="I45" s="3"/>
      <c r="J45" s="3"/>
      <c r="K45" s="3"/>
      <c r="L45" s="3"/>
      <c r="M45" s="88"/>
      <c r="O45" s="107"/>
    </row>
    <row r="46" spans="1:18">
      <c r="C46" s="3"/>
    </row>
    <row r="47" spans="1:18">
      <c r="C47" s="3"/>
    </row>
    <row r="48" spans="1:18">
      <c r="C48" s="3"/>
    </row>
    <row r="49" spans="3:3">
      <c r="C49" s="3"/>
    </row>
    <row r="50" spans="3:3">
      <c r="C50" s="3"/>
    </row>
    <row r="51" spans="3:3">
      <c r="C51" s="3"/>
    </row>
    <row r="52" spans="3:3">
      <c r="C52" s="3"/>
    </row>
  </sheetData>
  <mergeCells count="2">
    <mergeCell ref="D2:M2"/>
    <mergeCell ref="N2:N3"/>
  </mergeCells>
  <pageMargins left="0.7" right="0.7" top="0.75" bottom="0.75" header="0.3" footer="0.3"/>
  <pageSetup paperSize="9" orientation="portrait" verticalDpi="300"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14:formula1>
            <xm:f>Mã!$C$4:$C$26</xm:f>
          </x14:formula1>
          <xm:sqref>C6</xm:sqref>
        </x14:dataValidation>
        <x14:dataValidation type="list" allowBlank="1" showInputMessage="1" showErrorMessage="1">
          <x14:formula1>
            <xm:f>Mã!$C$4:$C$30</xm:f>
          </x14:formula1>
          <xm:sqref>C7:C27 C30:C36</xm:sqref>
        </x14:dataValidation>
        <x14:dataValidation type="list" allowBlank="1" showInputMessage="1" showErrorMessage="1">
          <x14:formula1>
            <xm:f>Mã!$C$4:$C$33</xm:f>
          </x14:formula1>
          <xm:sqref>C28:C29</xm:sqref>
        </x14:dataValidation>
        <x14:dataValidation type="list" allowBlank="1" showInputMessage="1" showErrorMessage="1">
          <x14:formula1>
            <xm:f>Mã!$B$4:$B$13</xm:f>
          </x14:formula1>
          <xm:sqref>K3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outlinePr summaryBelow="0" summaryRight="0"/>
  </sheetPr>
  <dimension ref="A1:AB52"/>
  <sheetViews>
    <sheetView zoomScale="98" zoomScaleNormal="98" workbookViewId="0">
      <pane xSplit="3" ySplit="4" topLeftCell="N5" activePane="bottomRight" state="frozen"/>
      <selection pane="topRight" activeCell="D1" sqref="D1"/>
      <selection pane="bottomLeft" activeCell="A5" sqref="A5"/>
      <selection pane="bottomRight" activeCell="T17" sqref="T17"/>
    </sheetView>
  </sheetViews>
  <sheetFormatPr defaultColWidth="8.7265625" defaultRowHeight="13" outlineLevelRow="1" outlineLevelCol="2"/>
  <cols>
    <col min="1" max="1" width="3.54296875" style="3" bestFit="1" customWidth="1"/>
    <col min="2" max="2" width="26.453125" style="3" customWidth="1"/>
    <col min="3" max="3" width="9.26953125" style="5" customWidth="1" outlineLevel="1" collapsed="1"/>
    <col min="4" max="4" width="6.08984375" style="3" hidden="1" customWidth="1" outlineLevel="2"/>
    <col min="5" max="5" width="4.81640625" style="3" hidden="1" customWidth="1" outlineLevel="2"/>
    <col min="6" max="6" width="7.6328125" style="3" hidden="1" customWidth="1" outlineLevel="2"/>
    <col min="7" max="7" width="6.08984375" style="3" hidden="1" customWidth="1" outlineLevel="2"/>
    <col min="8" max="8" width="4.81640625" style="3" hidden="1" customWidth="1" outlineLevel="2"/>
    <col min="9" max="9" width="5.453125" style="3" hidden="1" customWidth="1" outlineLevel="2"/>
    <col min="10" max="10" width="4.81640625" style="3" hidden="1" customWidth="1" outlineLevel="2"/>
    <col min="11" max="11" width="4.6328125" style="3" hidden="1" customWidth="1" outlineLevel="2"/>
    <col min="12" max="12" width="7.90625" style="3" hidden="1" customWidth="1" outlineLevel="2"/>
    <col min="13" max="13" width="8.453125" style="11" hidden="1" customWidth="1" outlineLevel="1"/>
    <col min="14" max="14" width="5.6328125" style="3" bestFit="1" customWidth="1" outlineLevel="1"/>
    <col min="15" max="15" width="5.6328125" style="3" customWidth="1" outlineLevel="2"/>
    <col min="16" max="16" width="7.1796875" style="3" customWidth="1" outlineLevel="2"/>
    <col min="17" max="17" width="7.08984375" style="3" customWidth="1" outlineLevel="2"/>
    <col min="18" max="19" width="4.6328125" style="3" customWidth="1" outlineLevel="2"/>
    <col min="20" max="21" width="4.81640625" style="3" customWidth="1" outlineLevel="2"/>
    <col min="22" max="22" width="6.36328125" style="3" customWidth="1" outlineLevel="2"/>
    <col min="23" max="23" width="7.7265625" style="3" customWidth="1" outlineLevel="2"/>
    <col min="24" max="24" width="24.90625" style="3" customWidth="1"/>
    <col min="25" max="25" width="8.7265625" style="5"/>
    <col min="26" max="26" width="4.1796875" style="3" bestFit="1" customWidth="1"/>
    <col min="27" max="27" width="4.7265625" style="3" bestFit="1" customWidth="1"/>
    <col min="28" max="16384" width="8.7265625" style="3"/>
  </cols>
  <sheetData>
    <row r="1" spans="1:27">
      <c r="D1" s="24">
        <v>1000000</v>
      </c>
      <c r="H1" s="57"/>
      <c r="I1" s="57"/>
      <c r="R1" s="57"/>
      <c r="S1" s="57"/>
      <c r="X1" s="11"/>
    </row>
    <row r="2" spans="1:27" ht="13.15" customHeight="1">
      <c r="A2" s="61" t="s">
        <v>79</v>
      </c>
      <c r="B2" s="9" t="s">
        <v>71</v>
      </c>
      <c r="C2" s="25" t="s">
        <v>131</v>
      </c>
      <c r="D2" s="765" t="s">
        <v>284</v>
      </c>
      <c r="E2" s="766"/>
      <c r="F2" s="766"/>
      <c r="G2" s="766"/>
      <c r="H2" s="766"/>
      <c r="I2" s="766"/>
      <c r="J2" s="766"/>
      <c r="K2" s="766"/>
      <c r="L2" s="766"/>
      <c r="M2" s="767"/>
      <c r="N2" s="770" t="s">
        <v>285</v>
      </c>
      <c r="O2" s="771"/>
      <c r="P2" s="771"/>
      <c r="Q2" s="771"/>
      <c r="R2" s="771"/>
      <c r="S2" s="771"/>
      <c r="T2" s="771"/>
      <c r="U2" s="771"/>
      <c r="V2" s="771"/>
      <c r="W2" s="772"/>
      <c r="X2" s="768" t="s">
        <v>761</v>
      </c>
    </row>
    <row r="3" spans="1:27" ht="39">
      <c r="A3" s="61"/>
      <c r="B3" s="9" t="s">
        <v>77</v>
      </c>
      <c r="C3" s="23" t="s">
        <v>75</v>
      </c>
      <c r="D3" s="53" t="s">
        <v>7</v>
      </c>
      <c r="E3" s="53" t="s">
        <v>18</v>
      </c>
      <c r="F3" s="53" t="s">
        <v>29</v>
      </c>
      <c r="G3" s="53" t="s">
        <v>38</v>
      </c>
      <c r="H3" s="53" t="s">
        <v>32</v>
      </c>
      <c r="I3" s="53" t="s">
        <v>21</v>
      </c>
      <c r="J3" s="53" t="s">
        <v>6</v>
      </c>
      <c r="K3" s="53" t="s">
        <v>10</v>
      </c>
      <c r="L3" s="54" t="s">
        <v>72</v>
      </c>
      <c r="M3" s="53" t="s">
        <v>73</v>
      </c>
      <c r="N3" s="55" t="s">
        <v>7</v>
      </c>
      <c r="O3" s="55" t="s">
        <v>18</v>
      </c>
      <c r="P3" s="55" t="s">
        <v>29</v>
      </c>
      <c r="Q3" s="55" t="s">
        <v>38</v>
      </c>
      <c r="R3" s="55" t="s">
        <v>32</v>
      </c>
      <c r="S3" s="55" t="s">
        <v>21</v>
      </c>
      <c r="T3" s="55" t="s">
        <v>6</v>
      </c>
      <c r="U3" s="55" t="s">
        <v>10</v>
      </c>
      <c r="V3" s="56" t="s">
        <v>72</v>
      </c>
      <c r="W3" s="55" t="s">
        <v>73</v>
      </c>
      <c r="X3" s="769"/>
    </row>
    <row r="4" spans="1:27" s="20" customFormat="1" outlineLevel="1">
      <c r="A4" s="75" t="s">
        <v>80</v>
      </c>
      <c r="B4" s="75" t="s">
        <v>72</v>
      </c>
      <c r="C4" s="14"/>
      <c r="D4" s="320">
        <f t="shared" ref="D4:K4" si="0">SUBTOTAL(9,D6:D35)</f>
        <v>8.2204683746071563</v>
      </c>
      <c r="E4" s="320">
        <f t="shared" si="0"/>
        <v>4.9719707771428574</v>
      </c>
      <c r="F4" s="320">
        <f t="shared" si="0"/>
        <v>0.41670820260526314</v>
      </c>
      <c r="G4" s="320">
        <f t="shared" si="0"/>
        <v>5.0310211999999996</v>
      </c>
      <c r="H4" s="320">
        <f t="shared" si="0"/>
        <v>3.7419479999999998</v>
      </c>
      <c r="I4" s="320">
        <f t="shared" si="0"/>
        <v>1.5034559285714286</v>
      </c>
      <c r="J4" s="320">
        <f t="shared" si="0"/>
        <v>5.4738317949999997</v>
      </c>
      <c r="K4" s="320">
        <f t="shared" si="0"/>
        <v>2.8569623980609413</v>
      </c>
      <c r="L4" s="320">
        <f>SUBTOTAL(9,L6:L35)</f>
        <v>32.216366675987651</v>
      </c>
      <c r="M4" s="104"/>
      <c r="N4" s="320">
        <f t="shared" ref="N4:U4" si="1">SUBTOTAL(9,N6:N35)</f>
        <v>7.4121915014244664</v>
      </c>
      <c r="O4" s="320">
        <f t="shared" si="1"/>
        <v>0.54549999999999998</v>
      </c>
      <c r="P4" s="320">
        <f t="shared" si="1"/>
        <v>0.30299880173684207</v>
      </c>
      <c r="Q4" s="320">
        <f t="shared" si="1"/>
        <v>9.9714008000000014</v>
      </c>
      <c r="R4" s="320">
        <f t="shared" si="1"/>
        <v>0.6982799999999999</v>
      </c>
      <c r="S4" s="320">
        <f t="shared" si="1"/>
        <v>1.5255163076923073</v>
      </c>
      <c r="T4" s="320">
        <f t="shared" si="1"/>
        <v>3.8435129400000001</v>
      </c>
      <c r="U4" s="320">
        <f t="shared" si="1"/>
        <v>3.7843435445557212</v>
      </c>
      <c r="V4" s="320">
        <f>SUBTOTAL(9,V6:V35)</f>
        <v>28.083743895409338</v>
      </c>
      <c r="W4" s="327"/>
      <c r="X4" s="85"/>
      <c r="Y4" s="32"/>
    </row>
    <row r="5" spans="1:27" s="37" customFormat="1" ht="13.5" outlineLevel="1">
      <c r="A5" s="76"/>
      <c r="B5" s="76" t="s">
        <v>146</v>
      </c>
      <c r="C5" s="77"/>
      <c r="D5" s="333">
        <f t="shared" ref="D5:L5" si="2">D4/$L$4</f>
        <v>0.25516435348788885</v>
      </c>
      <c r="E5" s="333">
        <f t="shared" si="2"/>
        <v>0.15433058690782464</v>
      </c>
      <c r="F5" s="333">
        <f t="shared" si="2"/>
        <v>1.2934674067881622E-2</v>
      </c>
      <c r="G5" s="333">
        <f t="shared" si="2"/>
        <v>0.15616351932540712</v>
      </c>
      <c r="H5" s="333">
        <f t="shared" si="2"/>
        <v>0.11615052801062904</v>
      </c>
      <c r="I5" s="333">
        <f t="shared" si="2"/>
        <v>4.6667457683613467E-2</v>
      </c>
      <c r="J5" s="333">
        <f t="shared" si="2"/>
        <v>0.16990841487658817</v>
      </c>
      <c r="K5" s="333">
        <f t="shared" si="2"/>
        <v>8.8680465640166919E-2</v>
      </c>
      <c r="L5" s="333">
        <f t="shared" si="2"/>
        <v>1</v>
      </c>
      <c r="M5" s="105"/>
      <c r="N5" s="333">
        <f>N4/$V$4</f>
        <v>0.26393174389530333</v>
      </c>
      <c r="O5" s="333">
        <f>O4/$V$4</f>
        <v>1.9424048375870896E-2</v>
      </c>
      <c r="P5" s="333">
        <f>P4/$V$4</f>
        <v>1.0789117108647727E-2</v>
      </c>
      <c r="Q5" s="333">
        <f>Q4/$V$4</f>
        <v>0.35505952614921688</v>
      </c>
      <c r="R5" s="333">
        <f>R4/$L$4</f>
        <v>2.1674697430125175E-2</v>
      </c>
      <c r="S5" s="333">
        <f>S4/$L$4</f>
        <v>4.7352214575746843E-2</v>
      </c>
      <c r="T5" s="333">
        <f>T4/$V$4</f>
        <v>0.13685899409687585</v>
      </c>
      <c r="U5" s="333">
        <f>U4/$L$4</f>
        <v>0.11746649094903577</v>
      </c>
      <c r="V5" s="333">
        <f>V4/$L$4</f>
        <v>0.87172287855605557</v>
      </c>
      <c r="W5" s="328"/>
      <c r="X5" s="78"/>
      <c r="Y5" s="36"/>
    </row>
    <row r="6" spans="1:27" ht="26" outlineLevel="1">
      <c r="A6" s="55" t="s">
        <v>4</v>
      </c>
      <c r="B6" s="103" t="s">
        <v>185</v>
      </c>
      <c r="C6" s="82"/>
      <c r="D6" s="321">
        <f>SUBTOTAL(9,D7:D10)</f>
        <v>0</v>
      </c>
      <c r="E6" s="321">
        <f t="shared" ref="E6:L6" si="3">SUBTOTAL(9,E7:E10)</f>
        <v>0</v>
      </c>
      <c r="F6" s="321">
        <f t="shared" si="3"/>
        <v>0</v>
      </c>
      <c r="G6" s="321">
        <f t="shared" si="3"/>
        <v>0</v>
      </c>
      <c r="H6" s="321">
        <f t="shared" si="3"/>
        <v>0</v>
      </c>
      <c r="I6" s="321">
        <f t="shared" si="3"/>
        <v>0</v>
      </c>
      <c r="J6" s="321">
        <f t="shared" si="3"/>
        <v>0</v>
      </c>
      <c r="K6" s="321">
        <f t="shared" si="3"/>
        <v>0</v>
      </c>
      <c r="L6" s="321">
        <f t="shared" si="3"/>
        <v>0</v>
      </c>
      <c r="M6" s="106">
        <f>L6/$L$4</f>
        <v>0</v>
      </c>
      <c r="N6" s="321">
        <f>SUBTOTAL(9,N7:N10)</f>
        <v>0</v>
      </c>
      <c r="O6" s="321">
        <f t="shared" ref="O6:V6" si="4">SUBTOTAL(9,O7:O10)</f>
        <v>0</v>
      </c>
      <c r="P6" s="321">
        <f t="shared" si="4"/>
        <v>0</v>
      </c>
      <c r="Q6" s="321">
        <f t="shared" si="4"/>
        <v>0</v>
      </c>
      <c r="R6" s="321">
        <f t="shared" si="4"/>
        <v>0</v>
      </c>
      <c r="S6" s="321">
        <f t="shared" si="4"/>
        <v>0</v>
      </c>
      <c r="T6" s="321">
        <f t="shared" si="4"/>
        <v>0</v>
      </c>
      <c r="U6" s="321">
        <f t="shared" si="4"/>
        <v>0</v>
      </c>
      <c r="V6" s="321">
        <f t="shared" si="4"/>
        <v>0</v>
      </c>
      <c r="W6" s="106">
        <f>V6/$V$4</f>
        <v>0</v>
      </c>
      <c r="X6" s="84"/>
      <c r="Y6" s="109"/>
    </row>
    <row r="7" spans="1:27" ht="39" outlineLevel="1">
      <c r="A7" s="26">
        <v>1</v>
      </c>
      <c r="B7" s="66" t="s">
        <v>95</v>
      </c>
      <c r="C7" s="26" t="s">
        <v>78</v>
      </c>
      <c r="D7" s="322">
        <f>SUMIFS('PL1.1 ML2027-2028'!$G:$G,'PL1.1 ML2027-2028'!$J:$J,'TH theo DV_2028'!$D$3,'PL1.1 ML2027-2028'!$K:$K,'TH theo DV_2028'!C7)/$D$1</f>
        <v>0</v>
      </c>
      <c r="E7" s="322">
        <f>SUMIFS('PL1.1 ML2027-2028'!$G:$G,'PL1.1 ML2027-2028'!$J:$J,'TH theo DV_2028'!$E$3,'PL1.1 ML2027-2028'!$K:$K,'TH theo DV_2028'!C7)/$D$1</f>
        <v>0</v>
      </c>
      <c r="F7" s="322">
        <f>SUMIFS('PL1.1 ML2027-2028'!$G:$G,'PL1.1 ML2027-2028'!$J:$J,'TH theo DV_2028'!$F$3,'PL1.1 ML2027-2028'!$K:$K,'TH theo DV_2028'!C7)/$D$1</f>
        <v>0</v>
      </c>
      <c r="G7" s="322">
        <f>SUMIFS('PL1.1 ML2027-2028'!$G:$G,'PL1.1 ML2027-2028'!$J:$J,'TH theo DV_2028'!$G$3,'PL1.1 ML2027-2028'!$K:$K,'TH theo DV_2028'!C7)/$D$1</f>
        <v>0</v>
      </c>
      <c r="H7" s="143">
        <f>SUMIFS('PL1.1 ML2027-2028'!$G:$G,'PL1.1 ML2027-2028'!$J:$J,"TD",'PL1.1 ML2027-2028'!$M:$M,"IP",'PL1.1 ML2027-2028'!$K:$K,'TH theo DV_2028'!C7)/$D$1</f>
        <v>0</v>
      </c>
      <c r="I7" s="322">
        <f>SUMIFS('PL1.1 ML2027-2028'!$G:$G,'PL1.1 ML2027-2028'!$J:$J,"TD",'PL1.1 ML2027-2028'!$M:$M,"Mạng cáp",'PL1.1 ML2027-2028'!$K:$K,'TH theo DV_2028'!C7)/$D$1</f>
        <v>0</v>
      </c>
      <c r="J7" s="322">
        <f>SUMIFS('PL1.1 ML2027-2028'!$G:$G,'PL1.1 ML2027-2028'!$J:$J,'TH theo DV_2028'!$J$3,'PL1.1 ML2027-2028'!$K:$K,'TH theo DV_2028'!C7)/$D$1</f>
        <v>0</v>
      </c>
      <c r="K7" s="322">
        <f>SUMIFS('PL1.1 ML2027-2028'!$G:$G,'PL1.1 ML2027-2028'!$J:$J,'TH theo DV_2028'!K$3,'PL1.1 ML2027-2028'!$K:$K,'TH theo DV_2028'!C7)/$D$1</f>
        <v>0</v>
      </c>
      <c r="L7" s="323">
        <f>SUM(D7:K7)</f>
        <v>0</v>
      </c>
      <c r="M7" s="102">
        <f>L7/$L$4</f>
        <v>0</v>
      </c>
      <c r="N7" s="322">
        <f>SUMIFS('PL1.1 ML2027-2028'!$H:$H,'PL1.1 ML2027-2028'!$J:$J,'TH theo DV_2028'!N$3,'PL1.1 ML2027-2028'!$K:$K,'TH theo DV_2028'!$C7)/$D$1</f>
        <v>0</v>
      </c>
      <c r="O7" s="322">
        <f>SUMIFS('PL1.1 ML2027-2028'!$H:$H,'PL1.1 ML2027-2028'!$J:$J,'TH theo DV_2028'!O$3,'PL1.1 ML2027-2028'!$K:$K,'TH theo DV_2028'!$C7)/$D$1</f>
        <v>0</v>
      </c>
      <c r="P7" s="322">
        <f>SUMIFS('PL1.1 ML2027-2028'!$H:$H,'PL1.1 ML2027-2028'!$J:$J,'TH theo DV_2028'!P$3,'PL1.1 ML2027-2028'!$K:$K,'TH theo DV_2028'!$C7)/$D$1</f>
        <v>0</v>
      </c>
      <c r="Q7" s="322">
        <f>SUMIFS('PL1.1 ML2027-2028'!$H:$H,'PL1.1 ML2027-2028'!$J:$J,'TH theo DV_2028'!Q$3,'PL1.1 ML2027-2028'!$K:$K,'TH theo DV_2028'!$C7)/$D$1</f>
        <v>0</v>
      </c>
      <c r="R7" s="322">
        <f>SUMIFS('PL1.1 ML2027-2028'!$H:$H,'PL1.1 ML2027-2028'!$J:$J,"TD",'PL1.1 ML2027-2028'!$M:$M,"IP",'PL1.1 ML2027-2028'!$K:$K,'TH theo DV_2028'!C7)/$D$1</f>
        <v>0</v>
      </c>
      <c r="S7" s="322">
        <f>SUMIFS('PL1.1 ML2027-2028'!$H:$H,'PL1.1 ML2027-2028'!$J:$J,"TD",'PL1.1 ML2027-2028'!$M:$M,"Mạng cáp",'PL1.1 ML2027-2028'!$K:$K,'TH theo DV_2028'!C7)/$D$1</f>
        <v>0</v>
      </c>
      <c r="T7" s="322">
        <f>SUMIFS('PL1.1 ML2027-2028'!$H:$H,'PL1.1 ML2027-2028'!$J:$J,'TH theo DV_2028'!T$3,'PL1.1 ML2027-2028'!$K:$K,'TH theo DV_2028'!$C7)/$D$1</f>
        <v>0</v>
      </c>
      <c r="U7" s="322">
        <f>SUMIFS('PL1.1 ML2027-2028'!$H:$H,'PL1.1 ML2027-2028'!$J:$J,'TH theo DV_2028'!U$3,'PL1.1 ML2027-2028'!$K:$K,'TH theo DV_2028'!$C7)/$D$1</f>
        <v>0</v>
      </c>
      <c r="V7" s="323">
        <f>SUM(N7:U7)</f>
        <v>0</v>
      </c>
      <c r="W7" s="329"/>
      <c r="X7" s="733" t="s">
        <v>1540</v>
      </c>
      <c r="Y7" s="108"/>
      <c r="Z7" s="87"/>
      <c r="AA7" s="28"/>
    </row>
    <row r="8" spans="1:27" outlineLevel="1">
      <c r="A8" s="26">
        <v>2</v>
      </c>
      <c r="B8" s="66" t="s">
        <v>186</v>
      </c>
      <c r="C8" s="100" t="s">
        <v>186</v>
      </c>
      <c r="D8" s="322">
        <f>SUMIFS('PL1.1 ML2027-2028'!$G:$G,'PL1.1 ML2027-2028'!$J:$J,'TH theo DV_2028'!$D$3,'PL1.1 ML2027-2028'!$K:$K,'TH theo DV_2028'!C8)/$D$1</f>
        <v>0</v>
      </c>
      <c r="E8" s="322">
        <f>SUMIFS('PL1.1 ML2027-2028'!$G:$G,'PL1.1 ML2027-2028'!$J:$J,'TH theo DV_2028'!$E$3,'PL1.1 ML2027-2028'!$K:$K,'TH theo DV_2028'!C8)/$D$1</f>
        <v>0</v>
      </c>
      <c r="F8" s="322">
        <f>SUMIFS('PL1.1 ML2027-2028'!$G:$G,'PL1.1 ML2027-2028'!$J:$J,'TH theo DV_2028'!$F$3,'PL1.1 ML2027-2028'!$K:$K,'TH theo DV_2028'!C8)/$D$1</f>
        <v>0</v>
      </c>
      <c r="G8" s="322">
        <f>SUMIFS('PL1.1 ML2027-2028'!$G:$G,'PL1.1 ML2027-2028'!$J:$J,'TH theo DV_2028'!$G$3,'PL1.1 ML2027-2028'!$K:$K,'TH theo DV_2028'!C8)/$D$1 * 0.43287</f>
        <v>0</v>
      </c>
      <c r="H8" s="322">
        <f>SUMIFS('PL1.1 ML2027-2028'!$G:$G,'PL1.1 ML2027-2028'!$J:$J,"TD",'PL1.1 ML2027-2028'!$M:$M,"IP",'PL1.1 ML2027-2028'!$K:$K,'TH theo DV_2028'!C8)/$D$1</f>
        <v>0</v>
      </c>
      <c r="I8" s="322">
        <f>SUMIFS('PL1.1 ML2027-2028'!$G:$G,'PL1.1 ML2027-2028'!$J:$J,"TD",'PL1.1 ML2027-2028'!$M:$M,"Mạng cáp",'PL1.1 ML2027-2028'!$K:$K,'TH theo DV_2028'!C8)/$D$1</f>
        <v>0</v>
      </c>
      <c r="J8" s="322">
        <f>SUMIFS('PL1.1 ML2027-2028'!$G:$G,'PL1.1 ML2027-2028'!$J:$J,'TH theo DV_2028'!$J$3,'PL1.1 ML2027-2028'!$K:$K,'TH theo DV_2028'!C8)/$D$1</f>
        <v>0</v>
      </c>
      <c r="K8" s="322">
        <f>SUMIFS('PL1.1 ML2027-2028'!$G:$G,'PL1.1 ML2027-2028'!$J:$J,'TH theo DV_2028'!K$3,'PL1.1 ML2027-2028'!$K:$K,'TH theo DV_2028'!C8)/$D$1</f>
        <v>0</v>
      </c>
      <c r="L8" s="323">
        <f>SUM(D8:K8)</f>
        <v>0</v>
      </c>
      <c r="M8" s="102">
        <f t="shared" ref="M8:M35" si="5">L8/$L$4</f>
        <v>0</v>
      </c>
      <c r="N8" s="322">
        <f>SUMIFS('PL1.1 ML2027-2028'!$H:$H,'PL1.1 ML2027-2028'!$J:$J,'TH theo DV_2028'!N$3,'PL1.1 ML2027-2028'!$K:$K,'TH theo DV_2028'!$C8)/$D$1</f>
        <v>0</v>
      </c>
      <c r="O8" s="322">
        <f>SUMIFS('PL1.1 ML2027-2028'!$H:$H,'PL1.1 ML2027-2028'!$J:$J,'TH theo DV_2028'!O$3,'PL1.1 ML2027-2028'!$K:$K,'TH theo DV_2028'!$C8)/$D$1</f>
        <v>0</v>
      </c>
      <c r="P8" s="322">
        <f>SUMIFS('PL1.1 ML2027-2028'!$H:$H,'PL1.1 ML2027-2028'!$J:$J,'TH theo DV_2028'!P$3,'PL1.1 ML2027-2028'!$K:$K,'TH theo DV_2028'!$C8)/$D$1</f>
        <v>0</v>
      </c>
      <c r="Q8" s="322">
        <f>SUMIFS('PL1.1 ML2027-2028'!$H:$H,'PL1.1 ML2027-2028'!$J:$J,'TH theo DV_2028'!Q$3,'PL1.1 ML2027-2028'!$K:$K,'TH theo DV_2028'!$C8)/$D$1</f>
        <v>0</v>
      </c>
      <c r="R8" s="322">
        <f>SUMIFS('PL1.1 ML2027-2028'!$H:$H,'PL1.1 ML2027-2028'!$J:$J,"TD",'PL1.1 ML2027-2028'!$M:$M,"IP",'PL1.1 ML2027-2028'!$K:$K,'TH theo DV_2028'!C8)/$D$1</f>
        <v>0</v>
      </c>
      <c r="S8" s="322">
        <f>SUMIFS('PL1.1 ML2027-2028'!$H:$H,'PL1.1 ML2027-2028'!$J:$J,"TD",'PL1.1 ML2027-2028'!$M:$M,"Mạng cáp",'PL1.1 ML2027-2028'!$K:$K,'TH theo DV_2028'!C8)/$D$1</f>
        <v>0</v>
      </c>
      <c r="T8" s="322">
        <f>SUMIFS('PL1.1 ML2027-2028'!$H:$H,'PL1.1 ML2027-2028'!$J:$J,'TH theo DV_2028'!T$3,'PL1.1 ML2027-2028'!$K:$K,'TH theo DV_2028'!$C8)/$D$1</f>
        <v>0</v>
      </c>
      <c r="U8" s="322">
        <f>SUMIFS('PL1.1 ML2027-2028'!$H:$H,'PL1.1 ML2027-2028'!$J:$J,'TH theo DV_2028'!U$3,'PL1.1 ML2027-2028'!$K:$K,'TH theo DV_2028'!$C8)/$D$1</f>
        <v>0</v>
      </c>
      <c r="V8" s="323">
        <f>SUM(N8:U8)</f>
        <v>0</v>
      </c>
      <c r="W8" s="329"/>
      <c r="X8" s="10"/>
    </row>
    <row r="9" spans="1:27" ht="39" outlineLevel="1">
      <c r="A9" s="26">
        <v>3</v>
      </c>
      <c r="B9" s="66" t="s">
        <v>187</v>
      </c>
      <c r="C9" s="63" t="s">
        <v>187</v>
      </c>
      <c r="D9" s="322">
        <f>SUMIFS('PL1.1 ML2027-2028'!$G:$G,'PL1.1 ML2027-2028'!$J:$J,'TH theo DV_2028'!$D$3,'PL1.1 ML2027-2028'!$K:$K,'TH theo DV_2028'!C9)/$D$1</f>
        <v>0</v>
      </c>
      <c r="E9" s="322">
        <f>SUMIFS('PL1.1 ML2027-2028'!$G:$G,'PL1.1 ML2027-2028'!$J:$J,'TH theo DV_2028'!$E$3,'PL1.1 ML2027-2028'!$K:$K,'TH theo DV_2028'!C9)/$D$1</f>
        <v>0</v>
      </c>
      <c r="F9" s="322">
        <f>SUMIFS('PL1.1 ML2027-2028'!$G:$G,'PL1.1 ML2027-2028'!$J:$J,'TH theo DV_2028'!$F$3,'PL1.1 ML2027-2028'!$K:$K,'TH theo DV_2028'!C9)/$D$1</f>
        <v>0</v>
      </c>
      <c r="G9" s="322"/>
      <c r="H9" s="322">
        <f>SUMIFS('PL1.1 ML2027-2028'!$G:$G,'PL1.1 ML2027-2028'!$J:$J,"TD",'PL1.1 ML2027-2028'!$M:$M,"IP",'PL1.1 ML2027-2028'!$K:$K,'TH theo DV_2028'!C9)/$D$1</f>
        <v>0</v>
      </c>
      <c r="I9" s="322">
        <f>SUMIFS('PL1.1 ML2027-2028'!$G:$G,'PL1.1 ML2027-2028'!$J:$J,"TD",'PL1.1 ML2027-2028'!$M:$M,"Mạng cáp",'PL1.1 ML2027-2028'!$K:$K,'TH theo DV_2028'!C9)/$D$1</f>
        <v>0</v>
      </c>
      <c r="J9" s="322">
        <f>SUMIFS('PL1.1 ML2027-2028'!$G:$G,'PL1.1 ML2027-2028'!$J:$J,'TH theo DV_2028'!$J$3,'PL1.1 ML2027-2028'!$K:$K,'TH theo DV_2028'!C9)/$D$1</f>
        <v>0</v>
      </c>
      <c r="K9" s="322">
        <f>SUMIFS('PL1.1 ML2027-2028'!$G:$G,'PL1.1 ML2027-2028'!$J:$J,'TH theo DV_2028'!K$3,'PL1.1 ML2027-2028'!$K:$K,'TH theo DV_2028'!C9)/$D$1</f>
        <v>0</v>
      </c>
      <c r="L9" s="323">
        <f>SUM(D9:K9)</f>
        <v>0</v>
      </c>
      <c r="M9" s="102">
        <f t="shared" si="5"/>
        <v>0</v>
      </c>
      <c r="N9" s="322">
        <f>SUMIFS('PL1.1 ML2027-2028'!$H:$H,'PL1.1 ML2027-2028'!$J:$J,'TH theo DV_2028'!N$3,'PL1.1 ML2027-2028'!$K:$K,'TH theo DV_2028'!$C9)/$D$1</f>
        <v>0</v>
      </c>
      <c r="O9" s="322">
        <f>SUMIFS('PL1.1 ML2027-2028'!$H:$H,'PL1.1 ML2027-2028'!$J:$J,'TH theo DV_2028'!O$3,'PL1.1 ML2027-2028'!$K:$K,'TH theo DV_2028'!$C9)/$D$1</f>
        <v>0</v>
      </c>
      <c r="P9" s="322">
        <f>SUMIFS('PL1.1 ML2027-2028'!$H:$H,'PL1.1 ML2027-2028'!$J:$J,'TH theo DV_2028'!P$3,'PL1.1 ML2027-2028'!$K:$K,'TH theo DV_2028'!$C9)/$D$1</f>
        <v>0</v>
      </c>
      <c r="Q9" s="322">
        <f>SUMIFS('PL1.1 ML2027-2028'!$H:$H,'PL1.1 ML2027-2028'!$J:$J,'TH theo DV_2028'!Q$3,'PL1.1 ML2027-2028'!$K:$K,'TH theo DV_2028'!$C9)/$D$1</f>
        <v>0</v>
      </c>
      <c r="R9" s="322">
        <f>SUMIFS('PL1.1 ML2027-2028'!$H:$H,'PL1.1 ML2027-2028'!$J:$J,"TD",'PL1.1 ML2027-2028'!$M:$M,"IP",'PL1.1 ML2027-2028'!$K:$K,'TH theo DV_2028'!C9)/$D$1</f>
        <v>0</v>
      </c>
      <c r="S9" s="322">
        <f>SUMIFS('PL1.1 ML2027-2028'!$H:$H,'PL1.1 ML2027-2028'!$J:$J,"TD",'PL1.1 ML2027-2028'!$M:$M,"Mạng cáp",'PL1.1 ML2027-2028'!$K:$K,'TH theo DV_2028'!C9)/$D$1</f>
        <v>0</v>
      </c>
      <c r="T9" s="322">
        <f>SUMIFS('PL1.1 ML2027-2028'!$H:$H,'PL1.1 ML2027-2028'!$J:$J,'TH theo DV_2028'!T$3,'PL1.1 ML2027-2028'!$K:$K,'TH theo DV_2028'!$C9)/$D$1</f>
        <v>0</v>
      </c>
      <c r="U9" s="322">
        <f>SUMIFS('PL1.1 ML2027-2028'!$H:$H,'PL1.1 ML2027-2028'!$J:$J,'TH theo DV_2028'!U$3,'PL1.1 ML2027-2028'!$K:$K,'TH theo DV_2028'!$C9)/$D$1</f>
        <v>0</v>
      </c>
      <c r="V9" s="323">
        <f>SUM(N9:U9)</f>
        <v>0</v>
      </c>
      <c r="W9" s="329"/>
      <c r="X9" s="733" t="s">
        <v>1541</v>
      </c>
    </row>
    <row r="10" spans="1:27" outlineLevel="1">
      <c r="A10" s="26">
        <v>4</v>
      </c>
      <c r="B10" s="66" t="s">
        <v>180</v>
      </c>
      <c r="C10" s="63" t="s">
        <v>188</v>
      </c>
      <c r="D10" s="322">
        <f>SUMIFS('PL1.1 ML2027-2028'!$G:$G,'PL1.1 ML2027-2028'!$J:$J,'TH theo DV_2028'!$D$3,'PL1.1 ML2027-2028'!$K:$K,'TH theo DV_2028'!C10)/$D$1</f>
        <v>0</v>
      </c>
      <c r="E10" s="322">
        <f>SUMIFS('PL1.1 ML2027-2028'!$G:$G,'PL1.1 ML2027-2028'!$J:$J,'TH theo DV_2028'!$E$3,'PL1.1 ML2027-2028'!$K:$K,'TH theo DV_2028'!C10)/$D$1</f>
        <v>0</v>
      </c>
      <c r="F10" s="322">
        <f>SUMIFS('PL1.1 ML2027-2028'!$G:$G,'PL1.1 ML2027-2028'!$J:$J,'TH theo DV_2028'!$F$3,'PL1.1 ML2027-2028'!$K:$K,'TH theo DV_2028'!C10)/$D$1</f>
        <v>0</v>
      </c>
      <c r="G10" s="322">
        <f>SUMIFS('PL1.1 ML2027-2028'!$G:$G,'PL1.1 ML2027-2028'!$J:$J,'TH theo DV_2028'!$G$3,'PL1.1 ML2027-2028'!$K:$K,'TH theo DV_2028'!C10)/$D$1</f>
        <v>0</v>
      </c>
      <c r="H10" s="322">
        <f>SUMIFS('PL1.1 ML2027-2028'!$G:$G,'PL1.1 ML2027-2028'!$J:$J,"TD",'PL1.1 ML2027-2028'!$M:$M,"IP",'PL1.1 ML2027-2028'!$K:$K,'TH theo DV_2028'!C10)/$D$1</f>
        <v>0</v>
      </c>
      <c r="I10" s="322">
        <f>SUMIFS('PL1.1 ML2027-2028'!$G:$G,'PL1.1 ML2027-2028'!$J:$J,"TD",'PL1.1 ML2027-2028'!$M:$M,"Mạng cáp",'PL1.1 ML2027-2028'!$K:$K,'TH theo DV_2028'!C10)/$D$1</f>
        <v>0</v>
      </c>
      <c r="J10" s="322">
        <f>SUMIFS('PL1.1 ML2027-2028'!$G:$G,'PL1.1 ML2027-2028'!$J:$J,'TH theo DV_2028'!$J$3,'PL1.1 ML2027-2028'!$K:$K,'TH theo DV_2028'!C10)/$D$1</f>
        <v>0</v>
      </c>
      <c r="K10" s="322">
        <f>SUMIFS('PL1.1 ML2027-2028'!$G:$G,'PL1.1 ML2027-2028'!$J:$J,'TH theo DV_2028'!K$3,'PL1.1 ML2027-2028'!$K:$K,'TH theo DV_2028'!C10)/$D$1</f>
        <v>0</v>
      </c>
      <c r="L10" s="323">
        <f>SUM(D10:K10)</f>
        <v>0</v>
      </c>
      <c r="M10" s="102">
        <f t="shared" si="5"/>
        <v>0</v>
      </c>
      <c r="N10" s="322">
        <f>SUMIFS('PL1.1 ML2027-2028'!$H:$H,'PL1.1 ML2027-2028'!$J:$J,'TH theo DV_2028'!N$3,'PL1.1 ML2027-2028'!$K:$K,'TH theo DV_2028'!$C10)/$D$1</f>
        <v>0</v>
      </c>
      <c r="O10" s="322">
        <f>SUMIFS('PL1.1 ML2027-2028'!$H:$H,'PL1.1 ML2027-2028'!$J:$J,'TH theo DV_2028'!O$3,'PL1.1 ML2027-2028'!$K:$K,'TH theo DV_2028'!$C10)/$D$1</f>
        <v>0</v>
      </c>
      <c r="P10" s="322">
        <f>SUMIFS('PL1.1 ML2027-2028'!$H:$H,'PL1.1 ML2027-2028'!$J:$J,'TH theo DV_2028'!P$3,'PL1.1 ML2027-2028'!$K:$K,'TH theo DV_2028'!$C10)/$D$1</f>
        <v>0</v>
      </c>
      <c r="Q10" s="322">
        <f>SUMIFS('PL1.1 ML2027-2028'!$H:$H,'PL1.1 ML2027-2028'!$J:$J,'TH theo DV_2028'!Q$3,'PL1.1 ML2027-2028'!$K:$K,'TH theo DV_2028'!$C10)/$D$1</f>
        <v>0</v>
      </c>
      <c r="R10" s="322">
        <f>SUMIFS('PL1.1 ML2027-2028'!$H:$H,'PL1.1 ML2027-2028'!$J:$J,"TD",'PL1.1 ML2027-2028'!$M:$M,"IP",'PL1.1 ML2027-2028'!$K:$K,'TH theo DV_2028'!C10)/$D$1</f>
        <v>0</v>
      </c>
      <c r="S10" s="322">
        <f>SUMIFS('PL1.1 ML2027-2028'!$H:$H,'PL1.1 ML2027-2028'!$J:$J,"TD",'PL1.1 ML2027-2028'!$M:$M,"Mạng cáp",'PL1.1 ML2027-2028'!$K:$K,'TH theo DV_2028'!C10)/$D$1</f>
        <v>0</v>
      </c>
      <c r="T10" s="322">
        <f>SUMIFS('PL1.1 ML2027-2028'!$H:$H,'PL1.1 ML2027-2028'!$J:$J,'TH theo DV_2028'!T$3,'PL1.1 ML2027-2028'!$K:$K,'TH theo DV_2028'!$C10)/$D$1</f>
        <v>0</v>
      </c>
      <c r="U10" s="322">
        <f>SUMIFS('PL1.1 ML2027-2028'!$H:$H,'PL1.1 ML2027-2028'!$J:$J,'TH theo DV_2028'!U$3,'PL1.1 ML2027-2028'!$K:$K,'TH theo DV_2028'!$C10)/$D$1</f>
        <v>0</v>
      </c>
      <c r="V10" s="323">
        <f>SUM(N10:U10)</f>
        <v>0</v>
      </c>
      <c r="W10" s="329"/>
      <c r="X10" s="10"/>
    </row>
    <row r="11" spans="1:27" ht="26" outlineLevel="1">
      <c r="A11" s="55" t="s">
        <v>12</v>
      </c>
      <c r="B11" s="103" t="s">
        <v>189</v>
      </c>
      <c r="C11" s="83"/>
      <c r="D11" s="324">
        <f t="shared" ref="D11:G11" si="6">SUBTOTAL(9,D12:D29)</f>
        <v>7.6113818171415319</v>
      </c>
      <c r="E11" s="324">
        <f t="shared" si="6"/>
        <v>3.4853688571428574</v>
      </c>
      <c r="F11" s="324">
        <f t="shared" si="6"/>
        <v>0.41670820260526314</v>
      </c>
      <c r="G11" s="324">
        <f t="shared" si="6"/>
        <v>3.8280682000000001</v>
      </c>
      <c r="H11" s="324">
        <f>SUBTOTAL(9,H12:H29)</f>
        <v>3.7419479999999998</v>
      </c>
      <c r="I11" s="324">
        <f>SUBTOTAL(9,I12:I29)</f>
        <v>1.1456159285714287</v>
      </c>
      <c r="J11" s="324">
        <f>SUBTOTAL(9,J12:J29)</f>
        <v>3.2189876850000001</v>
      </c>
      <c r="K11" s="324">
        <f>SUBTOTAL(9,K12:K29)</f>
        <v>2.7723623980609413</v>
      </c>
      <c r="L11" s="324">
        <f>SUBTOTAL(9,L13:L29)</f>
        <v>26.220441088522023</v>
      </c>
      <c r="M11" s="106">
        <f>L11/$L$4</f>
        <v>0.81388572933226921</v>
      </c>
      <c r="N11" s="324">
        <f>SUBTOTAL(9,N12:N25)</f>
        <v>7.1631049439588423</v>
      </c>
      <c r="O11" s="324">
        <f t="shared" ref="O11:P11" si="7">SUBTOTAL(9,O12:O25)</f>
        <v>0.44550000000000001</v>
      </c>
      <c r="P11" s="324">
        <f t="shared" si="7"/>
        <v>0.30299880173684207</v>
      </c>
      <c r="Q11" s="324">
        <f>SUBTOTAL(9,Q12:Q25)</f>
        <v>6.7178118000000007</v>
      </c>
      <c r="R11" s="324">
        <f>SUBTOTAL(9,R12:R29)</f>
        <v>0.6982799999999999</v>
      </c>
      <c r="S11" s="324">
        <f>SUBTOTAL(9,S12:S29)</f>
        <v>1.1891763076923074</v>
      </c>
      <c r="T11" s="324">
        <f>SUBTOTAL(9,T12:T25)</f>
        <v>2.6670148400000002</v>
      </c>
      <c r="U11" s="324">
        <f>SUBTOTAL(9,U12:U29)</f>
        <v>3.7843435445557212</v>
      </c>
      <c r="V11" s="324">
        <f>SUBTOTAL(9,V13:V29)</f>
        <v>23.090174237943714</v>
      </c>
      <c r="W11" s="106">
        <f>V11/$V$4</f>
        <v>0.82219003007352276</v>
      </c>
      <c r="X11" s="84"/>
    </row>
    <row r="12" spans="1:27" s="31" customFormat="1" outlineLevel="1">
      <c r="A12" s="75">
        <v>1</v>
      </c>
      <c r="B12" s="79" t="s">
        <v>374</v>
      </c>
      <c r="C12" s="75"/>
      <c r="D12" s="320">
        <f>SUBTOTAL(9,D13:D14)</f>
        <v>7.6113818171415319</v>
      </c>
      <c r="E12" s="320">
        <f>SUBTOTAL(9,E13:E14)</f>
        <v>3.4853688571428574</v>
      </c>
      <c r="F12" s="320">
        <f t="shared" ref="F12:K12" si="8">SUBTOTAL(9,F13:F14)</f>
        <v>0</v>
      </c>
      <c r="G12" s="320">
        <f t="shared" si="8"/>
        <v>0</v>
      </c>
      <c r="H12" s="320">
        <f t="shared" si="8"/>
        <v>2.52138624</v>
      </c>
      <c r="I12" s="320">
        <f t="shared" si="8"/>
        <v>0.86955899999999997</v>
      </c>
      <c r="J12" s="320">
        <f t="shared" si="8"/>
        <v>1.9053436849999998</v>
      </c>
      <c r="K12" s="320">
        <f t="shared" si="8"/>
        <v>2.6355653980609413</v>
      </c>
      <c r="L12" s="320">
        <f>SUBTOTAL(9,L13:L14)</f>
        <v>19.02860499734533</v>
      </c>
      <c r="M12" s="102">
        <f t="shared" si="5"/>
        <v>0.59065024894716722</v>
      </c>
      <c r="N12" s="320">
        <f>SUBTOTAL(9,N13:N14)</f>
        <v>7.1631049439588423</v>
      </c>
      <c r="O12" s="320">
        <f t="shared" ref="O12:U12" si="9">SUBTOTAL(9,O13:O14)</f>
        <v>0.44550000000000001</v>
      </c>
      <c r="P12" s="320">
        <f t="shared" si="9"/>
        <v>0</v>
      </c>
      <c r="Q12" s="320">
        <f t="shared" si="9"/>
        <v>0</v>
      </c>
      <c r="R12" s="320">
        <f t="shared" si="9"/>
        <v>0.60844799999999988</v>
      </c>
      <c r="S12" s="320">
        <f t="shared" si="9"/>
        <v>1.1872281476923074</v>
      </c>
      <c r="T12" s="320">
        <f t="shared" si="9"/>
        <v>1.83114284</v>
      </c>
      <c r="U12" s="320">
        <f t="shared" si="9"/>
        <v>3.7843435445557212</v>
      </c>
      <c r="V12" s="325">
        <f>SUBTOTAL(9,V13:V14)</f>
        <v>15.019767476206869</v>
      </c>
      <c r="W12" s="330">
        <f>V12/$V$4</f>
        <v>0.53482069670426136</v>
      </c>
      <c r="X12" s="101"/>
      <c r="Y12" s="22"/>
    </row>
    <row r="13" spans="1:27" s="20" customFormat="1" outlineLevel="1">
      <c r="A13" s="14" t="s">
        <v>8</v>
      </c>
      <c r="B13" s="74" t="s">
        <v>375</v>
      </c>
      <c r="C13" s="14" t="s">
        <v>107</v>
      </c>
      <c r="D13" s="326">
        <f>SUMIFS('PL1.1 ML2027-2028'!$G:$G,'PL1.1 ML2027-2028'!$J:$J,'TH theo DV_2028'!$D$3,'PL1.1 ML2027-2028'!$K:$K,'TH theo DV_2028'!C13)/$D$1</f>
        <v>1.21246914194502</v>
      </c>
      <c r="E13" s="326">
        <f>SUMIFS('PL1.1 ML2027-2028'!$G:$G,'PL1.1 ML2027-2028'!$J:$J,'TH theo DV_2028'!$E$3,'PL1.1 ML2027-2028'!$K:$K,'TH theo DV_2028'!C13)/$D$1</f>
        <v>0</v>
      </c>
      <c r="F13" s="326">
        <f>SUMIFS('PL1.1 ML2027-2028'!$G:$G,'PL1.1 ML2027-2028'!$J:$J,'TH theo DV_2028'!$F$3,'PL1.1 ML2027-2028'!$K:$K,'TH theo DV_2028'!C13)/$D$1</f>
        <v>0</v>
      </c>
      <c r="G13" s="326">
        <f>SUMIFS('PL1.1 ML2027-2028'!$G:$G,'PL1.1 ML2027-2028'!$J:$J,'TH theo DV_2028'!$G$3,'PL1.1 ML2027-2028'!$K:$K,'TH theo DV_2028'!C13)/$D$1</f>
        <v>0</v>
      </c>
      <c r="H13" s="322">
        <f>SUMIFS('PL1.1 ML2027-2028'!$G:$G,'PL1.1 ML2027-2028'!$J:$J,"TD",'PL1.1 ML2027-2028'!$M:$M,"IP",'PL1.1 ML2027-2028'!$K:$K,'TH theo DV_2028'!C13)/$D$1</f>
        <v>0</v>
      </c>
      <c r="I13" s="322">
        <f>SUMIFS('PL1.1 ML2027-2028'!$G:$G,'PL1.1 ML2027-2028'!$J:$J,"TD",'PL1.1 ML2027-2028'!$M:$M,"Mạng cáp",'PL1.1 ML2027-2028'!$K:$K,'TH theo DV_2028'!C13)/$D$1</f>
        <v>0.83425899999999997</v>
      </c>
      <c r="J13" s="325">
        <f>SUMIFS('PL1.1 ML2027-2028'!$G:$G,'PL1.1 ML2027-2028'!$J:$J,'TH theo DV_2028'!$J$3,'PL1.1 ML2027-2028'!$K:$K,'TH theo DV_2028'!C13)/$D$1</f>
        <v>1.4700764149999999</v>
      </c>
      <c r="K13" s="322">
        <f>SUMIFS('PL1.1 ML2027-2028'!$G:$G,'PL1.1 ML2027-2028'!$J:$J,'TH theo DV_2028'!K$3,'PL1.1 ML2027-2028'!$K:$K,'TH theo DV_2028'!C13)/$D$1</f>
        <v>2.2636443076923074</v>
      </c>
      <c r="L13" s="323">
        <f>SUM(D13:K13)</f>
        <v>5.7804488646373269</v>
      </c>
      <c r="M13" s="102">
        <f t="shared" si="5"/>
        <v>0.17942584658206548</v>
      </c>
      <c r="N13" s="322">
        <f>SUMIFS('PL1.1 ML2027-2028'!$H:$H,'PL1.1 ML2027-2028'!$J:$J,'TH theo DV_2028'!N$3,'PL1.1 ML2027-2028'!$K:$K,'TH theo DV_2028'!$C13)/$D$1</f>
        <v>0.72962063605110006</v>
      </c>
      <c r="O13" s="322">
        <f>SUMIFS('PL1.1 ML2027-2028'!$H:$H,'PL1.1 ML2027-2028'!$J:$J,'TH theo DV_2028'!O$3,'PL1.1 ML2027-2028'!$K:$K,'TH theo DV_2028'!$C13)/$D$1</f>
        <v>0</v>
      </c>
      <c r="P13" s="322">
        <f>SUMIFS('PL1.1 ML2027-2028'!$H:$H,'PL1.1 ML2027-2028'!$J:$J,'TH theo DV_2028'!P$3,'PL1.1 ML2027-2028'!$K:$K,'TH theo DV_2028'!$C13)/$D$1</f>
        <v>0</v>
      </c>
      <c r="Q13" s="322">
        <f>SUMIFS('PL1.1 ML2027-2028'!$H:$H,'PL1.1 ML2027-2028'!$J:$J,'TH theo DV_2028'!Q$3,'PL1.1 ML2027-2028'!$K:$K,'TH theo DV_2028'!$C13)/$D$1</f>
        <v>0</v>
      </c>
      <c r="R13" s="322">
        <f>SUMIFS('PL1.1 ML2027-2028'!$H:$H,'PL1.1 ML2027-2028'!$J:$J,"TD",'PL1.1 ML2027-2028'!$M:$M,"IP",'PL1.1 ML2027-2028'!$K:$K,'TH theo DV_2028'!C13)/$D$1</f>
        <v>0</v>
      </c>
      <c r="S13" s="322">
        <f>SUMIFS('PL1.1 ML2027-2028'!$H:$H,'PL1.1 ML2027-2028'!$J:$J,"TD",'PL1.1 ML2027-2028'!$M:$M,"Mạng cáp",'PL1.1 ML2027-2028'!$K:$K,'TH theo DV_2028'!C13)/$D$1</f>
        <v>1.1404723076923076</v>
      </c>
      <c r="T13" s="322">
        <f>SUMIFS('PL1.1 ML2027-2028'!$H:$H,'PL1.1 ML2027-2028'!$J:$J,'TH theo DV_2028'!T$3,'PL1.1 ML2027-2028'!$K:$K,'TH theo DV_2028'!$C13)/$D$1</f>
        <v>0.97021670000000004</v>
      </c>
      <c r="U13" s="322">
        <f>SUMIFS('PL1.1 ML2027-2028'!$H:$H,'PL1.1 ML2027-2028'!$J:$J,'TH theo DV_2028'!U$3,'PL1.1 ML2027-2028'!$K:$K,'TH theo DV_2028'!$C13)/$D$1</f>
        <v>1.4610112307692307</v>
      </c>
      <c r="V13" s="323">
        <f>SUM(N13:U13)</f>
        <v>4.3013208745126379</v>
      </c>
      <c r="W13" s="331"/>
      <c r="X13" s="101"/>
      <c r="Y13" s="108"/>
    </row>
    <row r="14" spans="1:27" s="20" customFormat="1" outlineLevel="1">
      <c r="A14" s="14" t="s">
        <v>8</v>
      </c>
      <c r="B14" s="74" t="s">
        <v>376</v>
      </c>
      <c r="C14" s="14" t="s">
        <v>108</v>
      </c>
      <c r="D14" s="326">
        <f>SUMIFS('PL1.1 ML2027-2028'!$G:$G,'PL1.1 ML2027-2028'!$J:$J,'TH theo DV_2028'!$D$3,'PL1.1 ML2027-2028'!$K:$K,'TH theo DV_2028'!C14)/$D$1</f>
        <v>6.3989126751965122</v>
      </c>
      <c r="E14" s="326">
        <f>SUMIFS('PL1.1 ML2027-2028'!$G:$G,'PL1.1 ML2027-2028'!$J:$J,'TH theo DV_2028'!$E$3,'PL1.1 ML2027-2028'!$K:$K,'TH theo DV_2028'!C14)/$D$1</f>
        <v>3.4853688571428574</v>
      </c>
      <c r="F14" s="326">
        <f>SUMIFS('PL1.1 ML2027-2028'!$G:$G,'PL1.1 ML2027-2028'!$J:$J,'TH theo DV_2028'!$F$3,'PL1.1 ML2027-2028'!$K:$K,'TH theo DV_2028'!C14)/$D$1</f>
        <v>0</v>
      </c>
      <c r="G14" s="326">
        <f>SUMIFS('PL1.1 ML2027-2028'!$G:$G,'PL1.1 ML2027-2028'!$J:$J,'TH theo DV_2028'!$G$3,'PL1.1 ML2027-2028'!$K:$K,'TH theo DV_2028'!C14)/$D$1</f>
        <v>0</v>
      </c>
      <c r="H14" s="322">
        <f>(SUMIFS('PL1.1 ML2027-2028'!$G:$G,'PL1.1 ML2027-2028'!$J:$J,"TD",'PL1.1 ML2027-2028'!$M:$M,"IP",'PL1.1 ML2027-2028'!$K:$K,'TH theo DV_2028'!C17)/$D$1+SUMIFS('PL1.1 ML2027-2028'!$G:$G,'PL1.1 ML2027-2028'!$J:$J,"TD",'PL1.1 ML2027-2028'!$M:$M,"IP",'PL1.1 ML2027-2028'!$K:$K,'TH theo DV_2028'!C28)/$D$1+SUMIFS('PL1.1 ML2027-2028'!$G:$G,'PL1.1 ML2027-2028'!$J:$J,"TD",'PL1.1 ML2027-2028'!$M:$M,"IP",'PL1.1 ML2027-2028'!$K:$K,'TH theo DV_2028'!C29)/$D$1+SUMIFS('PL1.1 ML2027-2028'!$G:$G,'PL1.1 ML2027-2028'!$J:$J,"TD",'PL1.1 ML2027-2028'!$M:$M,"IP",'PL1.1 ML2027-2028'!$K:$K,'TH theo DV_2028'!C13)/$D$1+SUMIFS('PL1.1 ML2027-2028'!$G:$G,'PL1.1 ML2027-2028'!$J:$J,"TD",'PL1.1 ML2027-2028'!$M:$M,"IP",'PL1.1 ML2027-2028'!$K:$K,'TH theo DV_2028'!C14)/$D$1)*96/100-H13</f>
        <v>2.52138624</v>
      </c>
      <c r="I14" s="322">
        <f>SUMIFS('PL1.1 ML2027-2028'!$G:$G,'PL1.1 ML2027-2028'!$J:$J,"TD",'PL1.1 ML2027-2028'!$M:$M,"Mạng cáp",'PL1.1 ML2027-2028'!$K:$K,'TH theo DV_2028'!C14)/$D$1</f>
        <v>3.5299999999999998E-2</v>
      </c>
      <c r="J14" s="325">
        <f>SUMIFS('PL1.1 ML2027-2028'!$G:$G,'PL1.1 ML2027-2028'!$J:$J,'TH theo DV_2028'!$J$3,'PL1.1 ML2027-2028'!$K:$K,'TH theo DV_2028'!C14)/$D$1</f>
        <v>0.43526727000000004</v>
      </c>
      <c r="K14" s="322">
        <f>SUMIFS('PL1.1 ML2027-2028'!$G:$G,'PL1.1 ML2027-2028'!$J:$J,'TH theo DV_2028'!K$3,'PL1.1 ML2027-2028'!$K:$K,'TH theo DV_2028'!C14)/$D$1</f>
        <v>0.37192109036863408</v>
      </c>
      <c r="L14" s="323">
        <f>SUM(D14:K14)</f>
        <v>13.248156132708003</v>
      </c>
      <c r="M14" s="102">
        <f t="shared" si="5"/>
        <v>0.41122440236510177</v>
      </c>
      <c r="N14" s="322">
        <f>SUMIFS('PL1.1 ML2027-2028'!$H:$H,'PL1.1 ML2027-2028'!$J:$J,'TH theo DV_2028'!N$3,'PL1.1 ML2027-2028'!$K:$K,'TH theo DV_2028'!$C14)/$D$1</f>
        <v>6.433484307907742</v>
      </c>
      <c r="O14" s="322">
        <f>SUMIFS('PL1.1 ML2027-2028'!$H:$H,'PL1.1 ML2027-2028'!$J:$J,'TH theo DV_2028'!O$3,'PL1.1 ML2027-2028'!$K:$K,'TH theo DV_2028'!$C14)/$D$1</f>
        <v>0.44550000000000001</v>
      </c>
      <c r="P14" s="322">
        <f>SUMIFS('PL1.1 ML2027-2028'!$H:$H,'PL1.1 ML2027-2028'!$J:$J,'TH theo DV_2028'!P$3,'PL1.1 ML2027-2028'!$K:$K,'TH theo DV_2028'!$C14)/$D$1</f>
        <v>0</v>
      </c>
      <c r="Q14" s="322">
        <f>SUMIFS('PL1.1 ML2027-2028'!$H:$H,'PL1.1 ML2027-2028'!$J:$J,'TH theo DV_2028'!Q$3,'PL1.1 ML2027-2028'!$K:$K,'TH theo DV_2028'!$C14)/$D$1</f>
        <v>0</v>
      </c>
      <c r="R14" s="322">
        <f>(SUMIFS('PL1.1 ML2027-2028'!$H:$H,'PL1.1 ML2027-2028'!$J:$J,"TD",'PL1.1 ML2027-2028'!$M:$M,"IP",'PL1.1 ML2027-2028'!$K:$K,'TH theo DV_2028'!C17)/$D$1+SUMIFS('PL1.1 ML2027-2028'!$H:$H,'PL1.1 ML2027-2028'!$J:$J,"TD",'PL1.1 ML2027-2028'!$M:$M,"IP",'PL1.1 ML2027-2028'!$K:$K,'TH theo DV_2028'!C28)+SUMIFS('PL1.1 ML2027-2028'!$H:$H,'PL1.1 ML2027-2028'!$J:$J,"TD",'PL1.1 ML2027-2028'!$M:$M,"IP",'PL1.1 ML2027-2028'!$K:$K,'TH theo DV_2028'!C29)/$D$1)*96/100</f>
        <v>0.60844799999999988</v>
      </c>
      <c r="S14" s="322">
        <f>(SUMIFS('PL1.1 ML2027-2028'!$H:$H,'PL1.1 ML2027-2028'!$J:$J,"TD",'PL1.1 ML2027-2028'!$M:$M,"Mạng cáp",'PL1.1 ML2027-2028'!$K:$K,'TH theo DV_2028'!C14)/$D$1+SUMIFS('PL1.1 ML2027-2028'!$H:$H,'PL1.1 ML2027-2028'!$J:$J,"TD",'PL1.1 ML2027-2028'!$M:$M,"Mạng cáp",'PL1.1 ML2027-2028'!$K:$K,'TH theo DV_2028'!C17)/$D$1+SUMIFS('PL1.1 ML2027-2028'!$H:$H,'PL1.1 ML2027-2028'!$J:$J,"TD",'PL1.1 ML2027-2028'!$M:$M,"Mạng cáp",'PL1.1 ML2027-2028'!$K:$K,'TH theo DV_2028'!C28)/$D$1+SUMIFS('PL1.1 ML2027-2028'!$H:$H,'PL1.1 ML2027-2028'!$J:$J,"TD",'PL1.1 ML2027-2028'!$M:$M,"Mạng cáp",'PL1.1 ML2027-2028'!$K:$K,'TH theo DV_2028'!C29)/$D$1)*0.96</f>
        <v>4.6755839999999993E-2</v>
      </c>
      <c r="T14" s="322">
        <f>SUMIFS('PL1.1 ML2027-2028'!$H:$H,'PL1.1 ML2027-2028'!$J:$J,'TH theo DV_2028'!T$3,'PL1.1 ML2027-2028'!$K:$K,'TH theo DV_2028'!$C14)/$D$1</f>
        <v>0.86092614000000001</v>
      </c>
      <c r="U14" s="322">
        <f>SUMIFS('PL1.1 ML2027-2028'!$H:$H,'PL1.1 ML2027-2028'!$J:$J,'TH theo DV_2028'!U$3,'PL1.1 ML2027-2028'!$K:$K,'TH theo DV_2028'!$C14)/$D$1</f>
        <v>2.3233323137864903</v>
      </c>
      <c r="V14" s="323">
        <f>SUM(N14:U14)</f>
        <v>10.718446601694232</v>
      </c>
      <c r="W14" s="331"/>
      <c r="X14" s="101"/>
      <c r="Y14" s="32"/>
    </row>
    <row r="15" spans="1:27" s="20" customFormat="1" outlineLevel="1">
      <c r="A15" s="75">
        <v>2</v>
      </c>
      <c r="B15" s="79" t="s">
        <v>178</v>
      </c>
      <c r="C15" s="14"/>
      <c r="D15" s="325">
        <f t="shared" ref="D15:G15" si="10">SUBTOTAL(9,D16:D19)</f>
        <v>0</v>
      </c>
      <c r="E15" s="325">
        <f t="shared" si="10"/>
        <v>0</v>
      </c>
      <c r="F15" s="325">
        <f>SUBTOTAL(9,F16:F19)</f>
        <v>0.41670820260526314</v>
      </c>
      <c r="G15" s="325">
        <f t="shared" si="10"/>
        <v>0</v>
      </c>
      <c r="H15" s="325">
        <f>SUBTOTAL(9,H16:H19)</f>
        <v>0.10505775999999999</v>
      </c>
      <c r="I15" s="325">
        <f>SUBTOTAL(9,I16:I19)</f>
        <v>0</v>
      </c>
      <c r="J15" s="325">
        <f t="shared" ref="J15:K15" si="11">SUBTOTAL(9,J16:J19)</f>
        <v>0</v>
      </c>
      <c r="K15" s="325">
        <f t="shared" si="11"/>
        <v>0</v>
      </c>
      <c r="L15" s="325">
        <f>SUBTOTAL(9,L16:L19)</f>
        <v>0.52176596260526309</v>
      </c>
      <c r="M15" s="102">
        <f t="shared" si="5"/>
        <v>1.6195679911793388E-2</v>
      </c>
      <c r="N15" s="320">
        <f>SUBTOTAL(9,N16:N19)</f>
        <v>0</v>
      </c>
      <c r="O15" s="320">
        <f t="shared" ref="O15:U15" si="12">SUBTOTAL(9,O16:O19)</f>
        <v>0</v>
      </c>
      <c r="P15" s="320">
        <f t="shared" si="12"/>
        <v>0.30299880173684207</v>
      </c>
      <c r="Q15" s="320">
        <f t="shared" si="12"/>
        <v>0</v>
      </c>
      <c r="R15" s="325">
        <f>SUBTOTAL(9,R16:R19)</f>
        <v>2.5351999999999996E-2</v>
      </c>
      <c r="S15" s="325">
        <f>SUBTOTAL(9,S16:S19)</f>
        <v>1.94816E-3</v>
      </c>
      <c r="T15" s="320">
        <f t="shared" si="12"/>
        <v>0</v>
      </c>
      <c r="U15" s="325">
        <f t="shared" si="12"/>
        <v>0</v>
      </c>
      <c r="V15" s="325">
        <f>SUBTOTAL(9,V16:V19)</f>
        <v>0.33029896173684209</v>
      </c>
      <c r="W15" s="330">
        <f>V15/$V$4</f>
        <v>1.1761215419388363E-2</v>
      </c>
      <c r="X15" s="101"/>
      <c r="Y15" s="32"/>
    </row>
    <row r="16" spans="1:27" s="20" customFormat="1" ht="14.65" customHeight="1" outlineLevel="1">
      <c r="A16" s="14" t="s">
        <v>8</v>
      </c>
      <c r="B16" s="74" t="s">
        <v>101</v>
      </c>
      <c r="C16" s="30" t="s">
        <v>109</v>
      </c>
      <c r="D16" s="326">
        <f>SUMIFS('PL1.1 ML2027-2028'!$G:$G,'PL1.1 ML2027-2028'!$J:$J,'TH theo DV_2028'!$D$3,'PL1.1 ML2027-2028'!$K:$K,'TH theo DV_2028'!C16)/$D$1</f>
        <v>0</v>
      </c>
      <c r="E16" s="326">
        <f>SUMIFS('PL1.1 ML2027-2028'!$G:$G,'PL1.1 ML2027-2028'!$J:$J,'TH theo DV_2028'!$E$3,'PL1.1 ML2027-2028'!$K:$K,'TH theo DV_2028'!C16)/$D$1</f>
        <v>0</v>
      </c>
      <c r="F16" s="326">
        <f>SUMIFS('PL1.1 ML2027-2028'!$G:$G,'PL1.1 ML2027-2028'!$J:$J,'TH theo DV_2028'!$F$3,'PL1.1 ML2027-2028'!$K:$K,'TH theo DV_2028'!C16)/$D$1</f>
        <v>0</v>
      </c>
      <c r="G16" s="326">
        <f>SUMIFS('PL1.1 ML2027-2028'!$G:$G,'PL1.1 ML2027-2028'!$J:$J,'TH theo DV_2028'!$G$3,'PL1.1 ML2027-2028'!$K:$K,'TH theo DV_2028'!C16)/$D$1</f>
        <v>0</v>
      </c>
      <c r="H16" s="322">
        <f>SUMIFS('PL1.1 ML2027-2028'!$G:$G,'PL1.1 ML2027-2028'!$J:$J,"TD",'PL1.1 ML2027-2028'!$M:$M,"IP",'PL1.1 ML2027-2028'!$K:$K,'TH theo DV_2028'!C16)/$D$1</f>
        <v>0</v>
      </c>
      <c r="I16" s="322">
        <f>SUMIFS('PL1.1 ML2027-2028'!$G:$G,'PL1.1 ML2027-2028'!$J:$J,"TD",'PL1.1 ML2027-2028'!$M:$M,"Mạng cáp",'PL1.1 ML2027-2028'!$K:$K,'TH theo DV_2028'!C16)/$D$1</f>
        <v>0</v>
      </c>
      <c r="J16" s="326">
        <f>SUMIFS('PL1.1 ML2027-2028'!$G:$G,'PL1.1 ML2027-2028'!$J:$J,'TH theo DV_2028'!$J$3,'PL1.1 ML2027-2028'!$K:$K,'TH theo DV_2028'!C16)/$D$1</f>
        <v>0</v>
      </c>
      <c r="K16" s="322">
        <f>SUMIFS('PL1.1 ML2027-2028'!$G:$G,'PL1.1 ML2027-2028'!$J:$J,'TH theo DV_2028'!K$3,'PL1.1 ML2027-2028'!$K:$K,'TH theo DV_2028'!C16)/$D$1</f>
        <v>0</v>
      </c>
      <c r="L16" s="323">
        <f t="shared" ref="L16:L21" si="13">SUM(D16:K16)</f>
        <v>0</v>
      </c>
      <c r="M16" s="102">
        <f t="shared" si="5"/>
        <v>0</v>
      </c>
      <c r="N16" s="322">
        <f>SUMIFS('PL1.1 ML2027-2028'!$H:$H,'PL1.1 ML2027-2028'!$J:$J,'TH theo DV_2028'!N$3,'PL1.1 ML2027-2028'!$K:$K,'TH theo DV_2028'!$C16)/$D$1</f>
        <v>0</v>
      </c>
      <c r="O16" s="322">
        <f>SUMIFS('PL1.1 ML2027-2028'!$H:$H,'PL1.1 ML2027-2028'!$J:$J,'TH theo DV_2028'!O$3,'PL1.1 ML2027-2028'!$K:$K,'TH theo DV_2028'!$C16)/$D$1</f>
        <v>0</v>
      </c>
      <c r="P16" s="322">
        <f>SUMIFS('PL1.1 ML2027-2028'!$H:$H,'PL1.1 ML2027-2028'!$J:$J,'TH theo DV_2028'!P$3,'PL1.1 ML2027-2028'!$K:$K,'TH theo DV_2028'!$C16)/$D$1</f>
        <v>0</v>
      </c>
      <c r="Q16" s="322">
        <f>SUMIFS('PL1.1 ML2027-2028'!$H:$H,'PL1.1 ML2027-2028'!$J:$J,'TH theo DV_2028'!Q$3,'PL1.1 ML2027-2028'!$K:$K,'TH theo DV_2028'!$C16)/$D$1</f>
        <v>0</v>
      </c>
      <c r="R16" s="322">
        <f>SUMIFS('PL1.1 ML2027-2028'!$H:$H,'PL1.1 ML2027-2028'!$J:$J,"TD",'PL1.1 ML2027-2028'!$M:$M,"IP",'PL1.1 ML2027-2028'!$K:$K,'TH theo DV_2028'!C16)/$D$1</f>
        <v>0</v>
      </c>
      <c r="S16" s="322">
        <f>SUMIFS('PL1.1 ML2027-2028'!$H:$H,'PL1.1 ML2027-2028'!$J:$J,"TD",'PL1.1 ML2027-2028'!$M:$M,"Mạng cáp",'PL1.1 ML2027-2028'!$K:$K,'TH theo DV_2028'!C16)/$D$1</f>
        <v>0</v>
      </c>
      <c r="T16" s="322">
        <f>SUMIFS('PL1.1 ML2027-2028'!$H:$H,'PL1.1 ML2027-2028'!$J:$J,'TH theo DV_2028'!T$3,'PL1.1 ML2027-2028'!$K:$K,'TH theo DV_2028'!$C16)/$D$1</f>
        <v>0</v>
      </c>
      <c r="U16" s="322">
        <f>SUMIFS('PL1.1 ML2027-2028'!$H:$H,'PL1.1 ML2027-2028'!$J:$J,'TH theo DV_2028'!U$3,'PL1.1 ML2027-2028'!$K:$K,'TH theo DV_2028'!$C16)/$D$1</f>
        <v>0</v>
      </c>
      <c r="V16" s="323">
        <f t="shared" ref="V16:V17" si="14">SUM(N16:U16)</f>
        <v>0</v>
      </c>
      <c r="W16" s="331"/>
      <c r="X16" s="102"/>
      <c r="Y16" s="32"/>
    </row>
    <row r="17" spans="1:27" s="20" customFormat="1" outlineLevel="1">
      <c r="A17" s="14" t="s">
        <v>8</v>
      </c>
      <c r="B17" s="74" t="s">
        <v>116</v>
      </c>
      <c r="C17" s="30" t="s">
        <v>110</v>
      </c>
      <c r="D17" s="326">
        <f>SUMIFS('PL1.1 ML2027-2028'!$G:$G,'PL1.1 ML2027-2028'!$J:$J,'TH theo DV_2028'!$D$3,'PL1.1 ML2027-2028'!$K:$K,'TH theo DV_2028'!C17)/$D$1</f>
        <v>0</v>
      </c>
      <c r="E17" s="326">
        <f>SUMIFS('PL1.1 ML2027-2028'!$G:$G,'PL1.1 ML2027-2028'!$J:$J,'TH theo DV_2028'!$E$3,'PL1.1 ML2027-2028'!$K:$K,'TH theo DV_2028'!C17)/$D$1</f>
        <v>0</v>
      </c>
      <c r="F17" s="326">
        <f>SUMIFS('PL1.1 ML2027-2028'!$G:$G,'PL1.1 ML2027-2028'!$J:$J,'TH theo DV_2028'!$F$3,'PL1.1 ML2027-2028'!$K:$K,'TH theo DV_2028'!C17)/$D$1</f>
        <v>0</v>
      </c>
      <c r="G17" s="326">
        <f>SUMIFS('PL1.1 ML2027-2028'!$G:$G,'PL1.1 ML2027-2028'!$J:$J,'TH theo DV_2028'!$G$3,'PL1.1 ML2027-2028'!$K:$K,'TH theo DV_2028'!C17)/$D$1</f>
        <v>0</v>
      </c>
      <c r="H17" s="322">
        <f>(SUMIFS('PL1.1 ML2027-2028'!$G:$G,'PL1.1 ML2027-2028'!$J:$J,"TD",'PL1.1 ML2027-2028'!$M:$M,"IP",'PL1.1 ML2027-2028'!$K:$K,'TH theo DV_2028'!C17)/$D$1+SUMIFS('PL1.1 ML2027-2028'!$G:$G,'PL1.1 ML2027-2028'!$J:$J,"TD",'PL1.1 ML2027-2028'!$M:$M,"IP",'PL1.1 ML2027-2028'!$K:$K,'TH theo DV_2028'!C28)+SUMIFS('PL1.1 ML2027-2028'!$G:$G,'PL1.1 ML2027-2028'!$J:$J,"TD",'PL1.1 ML2027-2028'!$M:$M,"IP",'PL1.1 ML2027-2028'!$K:$K,'TH theo DV_2028'!C29)/$D$1)*4/100</f>
        <v>0.10505775999999999</v>
      </c>
      <c r="I17" s="322">
        <f>SUMIFS('PL1.1 ML2027-2028'!$G:$G,'PL1.1 ML2027-2028'!$J:$J,"TD",'PL1.1 ML2027-2028'!$M:$M,"Mạng cáp",'PL1.1 ML2027-2028'!$K:$K,'TH theo DV_2028'!C17)/$D$1</f>
        <v>0</v>
      </c>
      <c r="J17" s="326">
        <f>SUMIFS('PL1.1 ML2027-2028'!$G:$G,'PL1.1 ML2027-2028'!$J:$J,'TH theo DV_2028'!$J$3,'PL1.1 ML2027-2028'!$K:$K,'TH theo DV_2028'!C17)/$D$1</f>
        <v>0</v>
      </c>
      <c r="K17" s="322">
        <f>SUMIFS('PL1.1 ML2027-2028'!$G:$G,'PL1.1 ML2027-2028'!$J:$J,'TH theo DV_2028'!K$3,'PL1.1 ML2027-2028'!$K:$K,'TH theo DV_2028'!C17)/$D$1</f>
        <v>0</v>
      </c>
      <c r="L17" s="323">
        <f t="shared" si="13"/>
        <v>0.10505775999999999</v>
      </c>
      <c r="M17" s="102">
        <f t="shared" si="5"/>
        <v>3.2610058439117655E-3</v>
      </c>
      <c r="N17" s="322">
        <f>SUMIFS('PL1.1 ML2027-2028'!$H:$H,'PL1.1 ML2027-2028'!$J:$J,'TH theo DV_2028'!N$3,'PL1.1 ML2027-2028'!$K:$K,'TH theo DV_2028'!$C17)/$D$1</f>
        <v>0</v>
      </c>
      <c r="O17" s="322">
        <f>SUMIFS('PL1.1 ML2027-2028'!$H:$H,'PL1.1 ML2027-2028'!$J:$J,'TH theo DV_2028'!O$3,'PL1.1 ML2027-2028'!$K:$K,'TH theo DV_2028'!$C17)/$D$1</f>
        <v>0</v>
      </c>
      <c r="P17" s="322">
        <f>SUMIFS('PL1.1 ML2027-2028'!$H:$H,'PL1.1 ML2027-2028'!$J:$J,'TH theo DV_2028'!P$3,'PL1.1 ML2027-2028'!$K:$K,'TH theo DV_2028'!$C17)/$D$1</f>
        <v>0</v>
      </c>
      <c r="Q17" s="322">
        <f>SUMIFS('PL1.1 ML2027-2028'!$H:$H,'PL1.1 ML2027-2028'!$J:$J,'TH theo DV_2028'!Q$3,'PL1.1 ML2027-2028'!$K:$K,'TH theo DV_2028'!$C17)/$D$1</f>
        <v>0</v>
      </c>
      <c r="R17" s="322">
        <f>(SUMIFS('PL1.1 ML2027-2028'!$H:$H,'PL1.1 ML2027-2028'!$J:$J,"TD",'PL1.1 ML2027-2028'!$M:$M,"IP",'PL1.1 ML2027-2028'!$K:$K,'TH theo DV_2028'!C17)/$D$1+SUMIFS('PL1.1 ML2027-2028'!$H:$H,'PL1.1 ML2027-2028'!$J:$J,"TD",'PL1.1 ML2027-2028'!$M:$M,"IP",'PL1.1 ML2027-2028'!$K:$K,'TH theo DV_2028'!C28)+SUMIFS('PL1.1 ML2027-2028'!$H:$H,'PL1.1 ML2027-2028'!$J:$J,"TD",'PL1.1 ML2027-2028'!$M:$M,"IP",'PL1.1 ML2027-2028'!$K:$K,'TH theo DV_2028'!C29)/$D$1)*4/100</f>
        <v>2.5351999999999996E-2</v>
      </c>
      <c r="S17" s="322">
        <f>(SUMIFS('PL1.1 ML2027-2028'!$H:$H,'PL1.1 ML2027-2028'!$J:$J,"TD",'PL1.1 ML2027-2028'!$M:$M,"Mạng cáp",'PL1.1 ML2027-2028'!$K:$K,'TH theo DV_2028'!C14)/$D$1+SUMIFS('PL1.1 ML2027-2028'!$H:$H,'PL1.1 ML2027-2028'!$J:$J,"TD",'PL1.1 ML2027-2028'!$M:$M,"Mạng cáp",'PL1.1 ML2027-2028'!$K:$K,'TH theo DV_2028'!C17)/$D$1+SUMIFS('PL1.1 ML2027-2028'!$H:$H,'PL1.1 ML2027-2028'!$J:$J,"TD",'PL1.1 ML2027-2028'!$M:$M,"Mạng cáp",'PL1.1 ML2027-2028'!$K:$K,'TH theo DV_2028'!C28)/$D$1+SUMIFS('PL1.1 ML2027-2028'!$H:$H,'PL1.1 ML2027-2028'!$J:$J,"TD",'PL1.1 ML2027-2028'!$M:$M,"Mạng cáp",'PL1.1 ML2027-2028'!$K:$K,'TH theo DV_2028'!C29)/$D$1)*0.04</f>
        <v>1.94816E-3</v>
      </c>
      <c r="T17" s="322">
        <f>SUMIFS('PL1.1 ML2027-2028'!$H:$H,'PL1.1 ML2027-2028'!$J:$J,'TH theo DV_2028'!T$3,'PL1.1 ML2027-2028'!$K:$K,'TH theo DV_2028'!$C17)/$D$1</f>
        <v>0</v>
      </c>
      <c r="U17" s="322">
        <f>SUMIFS('PL1.1 ML2027-2028'!$H:$H,'PL1.1 ML2027-2028'!$J:$J,'TH theo DV_2028'!U$3,'PL1.1 ML2027-2028'!$K:$K,'TH theo DV_2028'!$C17)/$D$1</f>
        <v>0</v>
      </c>
      <c r="V17" s="323">
        <f t="shared" si="14"/>
        <v>2.7300159999999997E-2</v>
      </c>
      <c r="W17" s="331"/>
      <c r="X17" s="102"/>
      <c r="Y17" s="108"/>
      <c r="Z17" s="87"/>
      <c r="AA17" s="28"/>
    </row>
    <row r="18" spans="1:27" s="20" customFormat="1" outlineLevel="1">
      <c r="A18" s="14" t="s">
        <v>8</v>
      </c>
      <c r="B18" s="74" t="s">
        <v>117</v>
      </c>
      <c r="C18" s="14" t="s">
        <v>105</v>
      </c>
      <c r="D18" s="326">
        <f>SUMIFS('PL1.1 ML2027-2028'!$G:$G,'PL1.1 ML2027-2028'!$J:$J,'TH theo DV_2028'!$D$3,'PL1.1 ML2027-2028'!$K:$K,'TH theo DV_2028'!C18)/$D$1</f>
        <v>0</v>
      </c>
      <c r="E18" s="326">
        <f>SUMIFS('PL1.1 ML2027-2028'!$G:$G,'PL1.1 ML2027-2028'!$J:$J,'TH theo DV_2028'!$E$3,'PL1.1 ML2027-2028'!$K:$K,'TH theo DV_2028'!C18)/$D$1</f>
        <v>0</v>
      </c>
      <c r="F18" s="326">
        <f>SUMIFS('PL1.1 ML2027-2028'!$G:$G,'PL1.1 ML2027-2028'!$J:$J,'TH theo DV_2028'!$F$3,'PL1.1 ML2027-2028'!$K:$K,'TH theo DV_2028'!C18)/$D$1</f>
        <v>0</v>
      </c>
      <c r="G18" s="326">
        <f>SUMIFS('PL1.1 ML2027-2028'!$G:$G,'PL1.1 ML2027-2028'!$J:$J,'TH theo DV_2028'!$G$3,'PL1.1 ML2027-2028'!$K:$K,'TH theo DV_2028'!C18)/$D$1</f>
        <v>0</v>
      </c>
      <c r="H18" s="322">
        <f>SUMIFS('PL1.1 ML2027-2028'!$G:$G,'PL1.1 ML2027-2028'!$J:$J,"TD",'PL1.1 ML2027-2028'!$M:$M,"IP",'PL1.1 ML2027-2028'!$K:$K,'TH theo DV_2028'!C18)/$D$1</f>
        <v>0</v>
      </c>
      <c r="I18" s="322">
        <f>SUMIFS('PL1.1 ML2027-2028'!$G:$G,'PL1.1 ML2027-2028'!$J:$J,"TD",'PL1.1 ML2027-2028'!$M:$M,"Mạng cáp",'PL1.1 ML2027-2028'!$K:$K,'TH theo DV_2028'!C18)/$D$1</f>
        <v>0</v>
      </c>
      <c r="J18" s="326">
        <f>SUMIFS('PL1.1 ML2027-2028'!$G:$G,'PL1.1 ML2027-2028'!$J:$J,'TH theo DV_2028'!$J$3,'PL1.1 ML2027-2028'!$K:$K,'TH theo DV_2028'!C18)/$D$1</f>
        <v>0</v>
      </c>
      <c r="K18" s="322">
        <f>SUMIFS('PL1.1 ML2027-2028'!$G:$G,'PL1.1 ML2027-2028'!$J:$J,'TH theo DV_2028'!K$3,'PL1.1 ML2027-2028'!$K:$K,'TH theo DV_2028'!C18)/$D$1</f>
        <v>0</v>
      </c>
      <c r="L18" s="323">
        <f t="shared" si="13"/>
        <v>0</v>
      </c>
      <c r="M18" s="102">
        <f t="shared" si="5"/>
        <v>0</v>
      </c>
      <c r="N18" s="322">
        <f>SUMIFS('PL1.1 ML2027-2028'!$H:$H,'PL1.1 ML2027-2028'!$J:$J,'TH theo DV_2028'!N$3,'PL1.1 ML2027-2028'!$K:$K,'TH theo DV_2028'!$C18)/$D$1</f>
        <v>0</v>
      </c>
      <c r="O18" s="322">
        <f>SUMIFS('PL1.1 ML2027-2028'!$H:$H,'PL1.1 ML2027-2028'!$J:$J,'TH theo DV_2028'!O$3,'PL1.1 ML2027-2028'!$K:$K,'TH theo DV_2028'!$C18)/$D$1</f>
        <v>0</v>
      </c>
      <c r="P18" s="322">
        <f>SUMIFS('PL1.1 ML2027-2028'!$H:$H,'PL1.1 ML2027-2028'!$J:$J,'TH theo DV_2028'!P$3,'PL1.1 ML2027-2028'!$K:$K,'TH theo DV_2028'!$C18)/$D$1</f>
        <v>0</v>
      </c>
      <c r="Q18" s="322">
        <f>SUMIFS('PL1.1 ML2027-2028'!$H:$H,'PL1.1 ML2027-2028'!$J:$J,'TH theo DV_2028'!Q$3,'PL1.1 ML2027-2028'!$K:$K,'TH theo DV_2028'!$C18)/$D$1</f>
        <v>0</v>
      </c>
      <c r="R18" s="322">
        <f>SUMIFS('PL1.1 ML2027-2028'!$H:$H,'PL1.1 ML2027-2028'!$J:$J,"TD",'PL1.1 ML2027-2028'!$M:$M,"IP",'PL1.1 ML2027-2028'!$K:$K,'TH theo DV_2028'!C18)/$D$1</f>
        <v>0</v>
      </c>
      <c r="S18" s="322">
        <f>SUMIFS('PL1.1 ML2027-2028'!$H:$H,'PL1.1 ML2027-2028'!$J:$J,"TD",'PL1.1 ML2027-2028'!$M:$M,"Mạng cáp",'PL1.1 ML2027-2028'!$K:$K,'TH theo DV_2028'!C18)/$D$1</f>
        <v>0</v>
      </c>
      <c r="T18" s="322">
        <f>SUMIFS('PL1.1 ML2027-2028'!$H:$H,'PL1.1 ML2027-2028'!$J:$J,'TH theo DV_2028'!T$3,'PL1.1 ML2027-2028'!$K:$K,'TH theo DV_2028'!$C18)/$D$1</f>
        <v>0</v>
      </c>
      <c r="U18" s="322">
        <f>SUMIFS('PL1.1 ML2027-2028'!$H:$H,'PL1.1 ML2027-2028'!$J:$J,'TH theo DV_2028'!U$3,'PL1.1 ML2027-2028'!$K:$K,'TH theo DV_2028'!$C18)/$D$1</f>
        <v>0</v>
      </c>
      <c r="V18" s="325">
        <f t="shared" ref="V18:V21" si="15">SUM(N18:T18)</f>
        <v>0</v>
      </c>
      <c r="W18" s="331"/>
      <c r="X18" s="102"/>
      <c r="Y18" s="108"/>
      <c r="Z18" s="87"/>
      <c r="AA18" s="28"/>
    </row>
    <row r="19" spans="1:27" s="20" customFormat="1" outlineLevel="1">
      <c r="A19" s="14" t="s">
        <v>8</v>
      </c>
      <c r="B19" s="74" t="s">
        <v>147</v>
      </c>
      <c r="C19" s="14" t="s">
        <v>163</v>
      </c>
      <c r="D19" s="326">
        <f>SUMIFS('PL1.1 ML2027-2028'!$G:$G,'PL1.1 ML2027-2028'!$J:$J,'TH theo DV_2028'!$D$3,'PL1.1 ML2027-2028'!$K:$K,'TH theo DV_2028'!C19)/$D$1</f>
        <v>0</v>
      </c>
      <c r="E19" s="326">
        <f>SUMIFS('PL1.1 ML2027-2028'!$G:$G,'PL1.1 ML2027-2028'!$J:$J,'TH theo DV_2028'!$E$3,'PL1.1 ML2027-2028'!$K:$K,'TH theo DV_2028'!C19)/$D$1</f>
        <v>0</v>
      </c>
      <c r="F19" s="326">
        <f>SUMIFS('PL1.1 ML2027-2028'!$G:$G,'PL1.1 ML2027-2028'!$J:$J,'TH theo DV_2028'!$F$3,'PL1.1 ML2027-2028'!$K:$K,'TH theo DV_2028'!C19)/$D$1</f>
        <v>0.41670820260526314</v>
      </c>
      <c r="G19" s="326">
        <f>SUMIFS('PL1.1 ML2027-2028'!$G:$G,'PL1.1 ML2027-2028'!$J:$J,'TH theo DV_2028'!$G$3,'PL1.1 ML2027-2028'!$K:$K,'TH theo DV_2028'!C19)/$D$1</f>
        <v>0</v>
      </c>
      <c r="H19" s="322">
        <f>SUMIFS('PL1.1 ML2027-2028'!$G:$G,'PL1.1 ML2027-2028'!$J:$J,"TD",'PL1.1 ML2027-2028'!$M:$M,"IP",'PL1.1 ML2027-2028'!$K:$K,'TH theo DV_2028'!C19)/$D$1</f>
        <v>0</v>
      </c>
      <c r="I19" s="322">
        <f>SUMIFS('PL1.1 ML2027-2028'!$G:$G,'PL1.1 ML2027-2028'!$J:$J,"TD",'PL1.1 ML2027-2028'!$M:$M,"Mạng cáp",'PL1.1 ML2027-2028'!$K:$K,'TH theo DV_2028'!C19)/$D$1</f>
        <v>0</v>
      </c>
      <c r="J19" s="326">
        <f>SUMIFS('PL1.1 ML2027-2028'!$G:$G,'PL1.1 ML2027-2028'!$J:$J,'TH theo DV_2028'!$J$3,'PL1.1 ML2027-2028'!$K:$K,'TH theo DV_2028'!C19)/$D$1</f>
        <v>0</v>
      </c>
      <c r="K19" s="322">
        <f>SUMIFS('PL1.1 ML2027-2028'!$G:$G,'PL1.1 ML2027-2028'!$J:$J,'TH theo DV_2028'!K$3,'PL1.1 ML2027-2028'!$K:$K,'TH theo DV_2028'!C19)/$D$1</f>
        <v>0</v>
      </c>
      <c r="L19" s="323">
        <f t="shared" si="13"/>
        <v>0.41670820260526314</v>
      </c>
      <c r="M19" s="102">
        <f t="shared" si="5"/>
        <v>1.2934674067881622E-2</v>
      </c>
      <c r="N19" s="322">
        <f>SUMIFS('PL1.1 ML2027-2028'!$H:$H,'PL1.1 ML2027-2028'!$J:$J,'TH theo DV_2028'!N$3,'PL1.1 ML2027-2028'!$K:$K,'TH theo DV_2028'!$C19)/$D$1</f>
        <v>0</v>
      </c>
      <c r="O19" s="322">
        <f>SUMIFS('PL1.1 ML2027-2028'!$H:$H,'PL1.1 ML2027-2028'!$J:$J,'TH theo DV_2028'!O$3,'PL1.1 ML2027-2028'!$K:$K,'TH theo DV_2028'!$C19)/$D$1</f>
        <v>0</v>
      </c>
      <c r="P19" s="322">
        <f>SUMIFS('PL1.1 ML2027-2028'!$H:$H,'PL1.1 ML2027-2028'!$J:$J,'TH theo DV_2028'!P$3,'PL1.1 ML2027-2028'!$K:$K,'TH theo DV_2028'!$C19)/$D$1</f>
        <v>0.30299880173684207</v>
      </c>
      <c r="Q19" s="322">
        <f>SUMIFS('PL1.1 ML2027-2028'!$H:$H,'PL1.1 ML2027-2028'!$J:$J,'TH theo DV_2028'!Q$3,'PL1.1 ML2027-2028'!$K:$K,'TH theo DV_2028'!$C19)/$D$1</f>
        <v>0</v>
      </c>
      <c r="R19" s="322">
        <f>SUMIFS('PL1.1 ML2027-2028'!$H:$H,'PL1.1 ML2027-2028'!$J:$J,"TD",'PL1.1 ML2027-2028'!$M:$M,"IP",'PL1.1 ML2027-2028'!$K:$K,'TH theo DV_2028'!C19)/$D$1</f>
        <v>0</v>
      </c>
      <c r="S19" s="322">
        <f>SUMIFS('PL1.1 ML2027-2028'!$H:$H,'PL1.1 ML2027-2028'!$J:$J,"TD",'PL1.1 ML2027-2028'!$M:$M,"Mạng cáp",'PL1.1 ML2027-2028'!$K:$K,'TH theo DV_2028'!C19)/$D$1</f>
        <v>0</v>
      </c>
      <c r="T19" s="322">
        <f>SUMIFS('PL1.1 ML2027-2028'!$H:$H,'PL1.1 ML2027-2028'!$J:$J,'TH theo DV_2028'!T$3,'PL1.1 ML2027-2028'!$K:$K,'TH theo DV_2028'!$C19)/$D$1</f>
        <v>0</v>
      </c>
      <c r="U19" s="322">
        <f>SUMIFS('PL1.1 ML2027-2028'!$H:$H,'PL1.1 ML2027-2028'!$J:$J,'TH theo DV_2028'!U$3,'PL1.1 ML2027-2028'!$K:$K,'TH theo DV_2028'!$C19)/$D$1</f>
        <v>0</v>
      </c>
      <c r="V19" s="325">
        <f t="shared" si="15"/>
        <v>0.30299880173684207</v>
      </c>
      <c r="W19" s="331"/>
      <c r="X19" s="102"/>
      <c r="Y19" s="108"/>
      <c r="Z19" s="87"/>
      <c r="AA19" s="28"/>
    </row>
    <row r="20" spans="1:27" s="20" customFormat="1" outlineLevel="1">
      <c r="A20" s="75">
        <v>3</v>
      </c>
      <c r="B20" s="79" t="s">
        <v>99</v>
      </c>
      <c r="C20" s="30" t="s">
        <v>103</v>
      </c>
      <c r="D20" s="326">
        <f>SUMIFS('PL1.1 ML2027-2028'!$G:$G,'PL1.1 ML2027-2028'!$J:$J,'TH theo DV_2028'!$D$3,'PL1.1 ML2027-2028'!$K:$K,'TH theo DV_2028'!C20)/$D$1</f>
        <v>0</v>
      </c>
      <c r="E20" s="326">
        <f>SUMIFS('PL1.1 ML2027-2028'!$G:$G,'PL1.1 ML2027-2028'!$J:$J,'TH theo DV_2028'!$E$3,'PL1.1 ML2027-2028'!$K:$K,'TH theo DV_2028'!C20)/$D$1</f>
        <v>0</v>
      </c>
      <c r="F20" s="326">
        <f>SUMIFS('PL1.1 ML2027-2028'!$G:$G,'PL1.1 ML2027-2028'!$J:$J,'TH theo DV_2028'!$F$3,'PL1.1 ML2027-2028'!$K:$K,'TH theo DV_2028'!C20)/$D$1</f>
        <v>0</v>
      </c>
      <c r="G20" s="326">
        <f>SUMIFS('PL1.1 ML2027-2028'!$G:$G,'PL1.1 ML2027-2028'!$J:$J,'TH theo DV_2028'!$G$3,'PL1.1 ML2027-2028'!$K:$K,'TH theo DV_2028'!C20)/$D$1</f>
        <v>0</v>
      </c>
      <c r="H20" s="322">
        <f>SUMIFS('PL1.1 ML2027-2028'!$G:$G,'PL1.1 ML2027-2028'!$J:$J,"TD",'PL1.1 ML2027-2028'!$M:$M,"IP",'PL1.1 ML2027-2028'!$K:$K,'TH theo DV_2028'!C20)/$D$1</f>
        <v>0</v>
      </c>
      <c r="I20" s="322">
        <f>SUMIFS('PL1.1 ML2027-2028'!$G:$G,'PL1.1 ML2027-2028'!$J:$J,"TD",'PL1.1 ML2027-2028'!$M:$M,"Mạng cáp",'PL1.1 ML2027-2028'!$K:$K,'TH theo DV_2028'!C20)/$D$1</f>
        <v>0</v>
      </c>
      <c r="J20" s="326">
        <f>SUMIFS('PL1.1 ML2027-2028'!$G:$G,'PL1.1 ML2027-2028'!$J:$J,'TH theo DV_2028'!$J$3,'PL1.1 ML2027-2028'!$K:$K,'TH theo DV_2028'!C20)/$D$1</f>
        <v>0</v>
      </c>
      <c r="K20" s="326">
        <f>SUMIFS('PL1.1 ML2027-2028'!$G:$G,'PL1.1 ML2027-2028'!$J:$J,'TH theo DV_2028'!$J$3,'PL1.1 ML2027-2028'!$K:$K,'TH theo DV_2028'!D20)/$D$1</f>
        <v>0</v>
      </c>
      <c r="L20" s="323">
        <f t="shared" si="13"/>
        <v>0</v>
      </c>
      <c r="M20" s="102">
        <f t="shared" si="5"/>
        <v>0</v>
      </c>
      <c r="N20" s="322">
        <f>SUMIFS('PL1.1 ML2027-2028'!$H:$H,'PL1.1 ML2027-2028'!$J:$J,'TH theo DV_2028'!N$3,'PL1.1 ML2027-2028'!$K:$K,'TH theo DV_2028'!$C20)/$D$1</f>
        <v>0</v>
      </c>
      <c r="O20" s="322">
        <f>SUMIFS('PL1.1 ML2027-2028'!$H:$H,'PL1.1 ML2027-2028'!$J:$J,'TH theo DV_2028'!O$3,'PL1.1 ML2027-2028'!$K:$K,'TH theo DV_2028'!$C20)/$D$1</f>
        <v>0</v>
      </c>
      <c r="P20" s="322">
        <f>SUMIFS('PL1.1 ML2027-2028'!$H:$H,'PL1.1 ML2027-2028'!$J:$J,'TH theo DV_2028'!P$3,'PL1.1 ML2027-2028'!$K:$K,'TH theo DV_2028'!$C20)/$D$1</f>
        <v>0</v>
      </c>
      <c r="Q20" s="322">
        <f>SUMIFS('PL1.1 ML2027-2028'!$H:$H,'PL1.1 ML2027-2028'!$J:$J,'TH theo DV_2028'!Q$3,'PL1.1 ML2027-2028'!$K:$K,'TH theo DV_2028'!$C20)/$D$1</f>
        <v>0</v>
      </c>
      <c r="R20" s="322">
        <f>SUMIFS('PL1.1 ML2027-2028'!$H:$H,'PL1.1 ML2027-2028'!$J:$J,"TD",'PL1.1 ML2027-2028'!$M:$M,"IP",'PL1.1 ML2027-2028'!$K:$K,'TH theo DV_2028'!C20)/$D$1</f>
        <v>0</v>
      </c>
      <c r="S20" s="322">
        <f>SUMIFS('PL1.1 ML2027-2028'!$H:$H,'PL1.1 ML2027-2028'!$J:$J,"TD",'PL1.1 ML2027-2028'!$M:$M,"Mạng cáp",'PL1.1 ML2027-2028'!$K:$K,'TH theo DV_2028'!C20)/$D$1</f>
        <v>0</v>
      </c>
      <c r="T20" s="322">
        <f>SUMIFS('PL1.1 ML2027-2028'!$H:$H,'PL1.1 ML2027-2028'!$J:$J,'TH theo DV_2028'!T$3,'PL1.1 ML2027-2028'!$K:$K,'TH theo DV_2028'!$C20)/$D$1</f>
        <v>0</v>
      </c>
      <c r="U20" s="326">
        <f>SUMIFS('PL1.1 ML2027-2028'!$G:$G,'PL1.1 ML2027-2028'!$J:$J,'TH theo DV_2028'!$J$3,'PL1.1 ML2027-2028'!$K:$K,'TH theo DV_2028'!N20)/$D$1</f>
        <v>0</v>
      </c>
      <c r="V20" s="325">
        <f t="shared" si="15"/>
        <v>0</v>
      </c>
      <c r="W20" s="331"/>
      <c r="X20" s="102"/>
      <c r="Y20" s="108"/>
      <c r="Z20" s="87"/>
      <c r="AA20" s="28"/>
    </row>
    <row r="21" spans="1:27" s="20" customFormat="1" outlineLevel="1">
      <c r="A21" s="75">
        <v>4</v>
      </c>
      <c r="B21" s="79" t="s">
        <v>100</v>
      </c>
      <c r="C21" s="14" t="s">
        <v>104</v>
      </c>
      <c r="D21" s="326">
        <f>SUMIFS('PL1.1 ML2027-2028'!$G:$G,'PL1.1 ML2027-2028'!$J:$J,'TH theo DV_2028'!$D$3,'PL1.1 ML2027-2028'!$K:$K,'TH theo DV_2028'!C21)/$D$1</f>
        <v>0</v>
      </c>
      <c r="E21" s="326">
        <f>SUMIFS('PL1.1 ML2027-2028'!$G:$G,'PL1.1 ML2027-2028'!$J:$J,'TH theo DV_2028'!$E$3,'PL1.1 ML2027-2028'!$K:$K,'TH theo DV_2028'!C21)/$D$1</f>
        <v>0</v>
      </c>
      <c r="F21" s="326">
        <f>SUMIFS('PL1.1 ML2027-2028'!$G:$G,'PL1.1 ML2027-2028'!$J:$J,'TH theo DV_2028'!$F$3,'PL1.1 ML2027-2028'!$K:$K,'TH theo DV_2028'!C21)/$D$1</f>
        <v>0</v>
      </c>
      <c r="G21" s="326">
        <f>SUMIFS('PL1.1 ML2027-2028'!$G:$G,'PL1.1 ML2027-2028'!$J:$J,'TH theo DV_2028'!$G$3,'PL1.1 ML2027-2028'!$K:$K,'TH theo DV_2028'!C21)/$D$1</f>
        <v>0</v>
      </c>
      <c r="H21" s="322">
        <f>SUMIFS('PL1.1 ML2027-2028'!$G:$G,'PL1.1 ML2027-2028'!$J:$J,"TD",'PL1.1 ML2027-2028'!$M:$M,"IP",'PL1.1 ML2027-2028'!$K:$K,'TH theo DV_2028'!C21)/$D$1</f>
        <v>1.1155040000000001</v>
      </c>
      <c r="I21" s="322">
        <f>SUMIFS('PL1.1 ML2027-2028'!$G:$G,'PL1.1 ML2027-2028'!$J:$J,"TD",'PL1.1 ML2027-2028'!$M:$M,"Mạng cáp",'PL1.1 ML2027-2028'!$K:$K,'TH theo DV_2028'!C21)/$D$1</f>
        <v>0.26259692857142858</v>
      </c>
      <c r="J21" s="326">
        <f>SUMIFS('PL1.1 ML2027-2028'!$G:$G,'PL1.1 ML2027-2028'!$J:$J,'TH theo DV_2028'!$J$3,'PL1.1 ML2027-2028'!$K:$K,'TH theo DV_2028'!C21)/$D$1</f>
        <v>1.313644</v>
      </c>
      <c r="K21" s="326">
        <f>SUMIFS('PL1.1 ML2027-2028'!$G:$G,'PL1.1 ML2027-2028'!$J:$J,'TH theo DV_2028'!$K$3,'PL1.1 ML2027-2028'!$K:$K,'TH theo DV_2028'!C21)/$D$1</f>
        <v>0.136797</v>
      </c>
      <c r="L21" s="323">
        <f t="shared" si="13"/>
        <v>2.8285419285714286</v>
      </c>
      <c r="M21" s="102">
        <f t="shared" si="5"/>
        <v>8.7798290757587882E-2</v>
      </c>
      <c r="N21" s="322">
        <f>SUMIFS('PL1.1 ML2027-2028'!$H:$H,'PL1.1 ML2027-2028'!$J:$J,'TH theo DV_2028'!N$3,'PL1.1 ML2027-2028'!$K:$K,'TH theo DV_2028'!$C21)/$D$1</f>
        <v>0</v>
      </c>
      <c r="O21" s="322">
        <f>SUMIFS('PL1.1 ML2027-2028'!$H:$H,'PL1.1 ML2027-2028'!$J:$J,'TH theo DV_2028'!O$3,'PL1.1 ML2027-2028'!$K:$K,'TH theo DV_2028'!$C21)/$D$1</f>
        <v>0</v>
      </c>
      <c r="P21" s="322">
        <f>SUMIFS('PL1.1 ML2027-2028'!$H:$H,'PL1.1 ML2027-2028'!$J:$J,'TH theo DV_2028'!P$3,'PL1.1 ML2027-2028'!$K:$K,'TH theo DV_2028'!$C21)/$D$1</f>
        <v>0</v>
      </c>
      <c r="Q21" s="322">
        <f>SUMIFS('PL1.1 ML2027-2028'!$H:$H,'PL1.1 ML2027-2028'!$J:$J,'TH theo DV_2028'!Q$3,'PL1.1 ML2027-2028'!$K:$K,'TH theo DV_2028'!$C21)/$D$1</f>
        <v>0</v>
      </c>
      <c r="R21" s="322">
        <f>SUMIFS('PL1.1 ML2027-2028'!$H:$H,'PL1.1 ML2027-2028'!$J:$J,"TD",'PL1.1 ML2027-2028'!$M:$M,"IP",'PL1.1 ML2027-2028'!$K:$K,'TH theo DV_2028'!C21)/$D$1</f>
        <v>6.4479999999999996E-2</v>
      </c>
      <c r="S21" s="322">
        <f>SUMIFS('PL1.1 ML2027-2028'!$H:$H,'PL1.1 ML2027-2028'!$J:$J,"TD",'PL1.1 ML2027-2028'!$M:$M,"Mạng cáp",'PL1.1 ML2027-2028'!$K:$K,'TH theo DV_2028'!C21)/$D$1</f>
        <v>0</v>
      </c>
      <c r="T21" s="322">
        <f>SUMIFS('PL1.1 ML2027-2028'!$H:$H,'PL1.1 ML2027-2028'!$J:$J,'TH theo DV_2028'!T$3,'PL1.1 ML2027-2028'!$K:$K,'TH theo DV_2028'!$C21)/$D$1</f>
        <v>0.83587199999999995</v>
      </c>
      <c r="U21" s="326">
        <f>SUMIFS('PL1.1 ML2027-2028'!$G:$G,'PL1.1 ML2027-2028'!$J:$J,'TH theo DV_2028'!$J$3,'PL1.1 ML2027-2028'!$K:$K,'TH theo DV_2028'!N21)/$D$1</f>
        <v>0</v>
      </c>
      <c r="V21" s="325">
        <f t="shared" si="15"/>
        <v>0.90035199999999993</v>
      </c>
      <c r="W21" s="331"/>
      <c r="X21" s="102"/>
      <c r="Y21" s="108"/>
    </row>
    <row r="22" spans="1:27" s="20" customFormat="1" outlineLevel="1">
      <c r="A22" s="75">
        <v>5</v>
      </c>
      <c r="B22" s="79" t="s">
        <v>181</v>
      </c>
      <c r="C22" s="14"/>
      <c r="D22" s="325">
        <f t="shared" ref="D22:L22" si="16">SUBTOTAL(9,D23:D25)</f>
        <v>0</v>
      </c>
      <c r="E22" s="325">
        <f t="shared" si="16"/>
        <v>0</v>
      </c>
      <c r="F22" s="325">
        <f t="shared" si="16"/>
        <v>0</v>
      </c>
      <c r="G22" s="320">
        <f t="shared" si="16"/>
        <v>3.6168092000000001</v>
      </c>
      <c r="H22" s="325">
        <f t="shared" si="16"/>
        <v>0</v>
      </c>
      <c r="I22" s="325">
        <f t="shared" si="16"/>
        <v>0</v>
      </c>
      <c r="J22" s="325">
        <f t="shared" si="16"/>
        <v>0</v>
      </c>
      <c r="K22" s="325">
        <f t="shared" si="16"/>
        <v>0</v>
      </c>
      <c r="L22" s="320">
        <f t="shared" si="16"/>
        <v>3.6168092000000001</v>
      </c>
      <c r="M22" s="102">
        <f t="shared" si="5"/>
        <v>0.11226620420532324</v>
      </c>
      <c r="N22" s="320">
        <f>SUBTOTAL(9,N23:N25)</f>
        <v>0</v>
      </c>
      <c r="O22" s="320">
        <f t="shared" ref="O22:V22" si="17">SUBTOTAL(9,O23:O25)</f>
        <v>0</v>
      </c>
      <c r="P22" s="320">
        <f t="shared" si="17"/>
        <v>0</v>
      </c>
      <c r="Q22" s="320">
        <f t="shared" si="17"/>
        <v>6.7178118000000007</v>
      </c>
      <c r="R22" s="325">
        <f t="shared" si="17"/>
        <v>0</v>
      </c>
      <c r="S22" s="325">
        <f t="shared" si="17"/>
        <v>0</v>
      </c>
      <c r="T22" s="320">
        <f t="shared" si="17"/>
        <v>0</v>
      </c>
      <c r="U22" s="325">
        <f t="shared" si="17"/>
        <v>0</v>
      </c>
      <c r="V22" s="320">
        <f t="shared" si="17"/>
        <v>6.7178118000000007</v>
      </c>
      <c r="W22" s="330">
        <f>V22/$V$4</f>
        <v>0.2392064186676377</v>
      </c>
      <c r="X22" s="102"/>
      <c r="Y22" s="32"/>
    </row>
    <row r="23" spans="1:27" outlineLevel="1">
      <c r="A23" s="26" t="s">
        <v>8</v>
      </c>
      <c r="B23" s="60" t="s">
        <v>191</v>
      </c>
      <c r="C23" s="64" t="s">
        <v>194</v>
      </c>
      <c r="D23" s="322">
        <f>SUMIFS('PL1.1 ML2027-2028'!$G:$G,'PL1.1 ML2027-2028'!$J:$J,'TH theo DV_2028'!$D$3,'PL1.1 ML2027-2028'!$K:$K,'TH theo DV_2028'!C23)/$D$1</f>
        <v>0</v>
      </c>
      <c r="E23" s="322">
        <f>SUMIFS('PL1.1 ML2027-2028'!$G:$G,'PL1.1 ML2027-2028'!$J:$J,'TH theo DV_2028'!$E$3,'PL1.1 ML2027-2028'!$K:$K,'TH theo DV_2028'!C23)/$D$1</f>
        <v>0</v>
      </c>
      <c r="F23" s="322">
        <f>SUMIFS('PL1.1 ML2027-2028'!$G:$G,'PL1.1 ML2027-2028'!$J:$J,'TH theo DV_2028'!$F$3,'PL1.1 ML2027-2028'!$K:$K,'TH theo DV_2028'!C23)/$D$1</f>
        <v>0</v>
      </c>
      <c r="G23" s="120">
        <f>SUMIFS('PL1.1 ML2027-2028'!$G:$G,'PL1.1 ML2027-2028'!$J:$J,'TH theo DV_2028'!$G$3,'PL1.1 ML2027-2028'!$K:$K,'TH theo DV_2028'!C23)/$D$1</f>
        <v>9.3842999999999996E-2</v>
      </c>
      <c r="H23" s="322">
        <f>SUMIFS('PL1.1 ML2027-2028'!$G:$G,'PL1.1 ML2027-2028'!$J:$J,"TD",'PL1.1 ML2027-2028'!$M:$M,"IP",'PL1.1 ML2027-2028'!$K:$K,'TH theo DV_2028'!C23)/$D$1</f>
        <v>0</v>
      </c>
      <c r="I23" s="322">
        <f>SUMIFS('PL1.1 ML2027-2028'!$G:$G,'PL1.1 ML2027-2028'!$J:$J,"TD",'PL1.1 ML2027-2028'!$M:$M,"Mạng cáp",'PL1.1 ML2027-2028'!$K:$K,'TH theo DV_2028'!C23)/$D$1</f>
        <v>0</v>
      </c>
      <c r="J23" s="322">
        <f>SUMIFS('PL1.1 ML2027-2028'!$G:$G,'PL1.1 ML2027-2028'!$J:$J,'TH theo DV_2028'!$J$3,'PL1.1 ML2027-2028'!$K:$K,'TH theo DV_2028'!C23)/$D$1</f>
        <v>0</v>
      </c>
      <c r="K23" s="322">
        <f>SUMIFS('PL1.1 ML2027-2028'!$G:$G,'PL1.1 ML2027-2028'!$J:$J,'TH theo DV_2028'!K$3,'PL1.1 ML2027-2028'!$K:$K,'TH theo DV_2028'!C23)/$D$1</f>
        <v>0</v>
      </c>
      <c r="L23" s="323">
        <f>SUM(D23:K23)</f>
        <v>9.3842999999999996E-2</v>
      </c>
      <c r="M23" s="102">
        <f t="shared" si="5"/>
        <v>2.9128983086086344E-3</v>
      </c>
      <c r="N23" s="322">
        <f>SUMIFS('PL1.1 ML2027-2028'!$H:$H,'PL1.1 ML2027-2028'!$J:$J,'TH theo DV_2028'!N$3,'PL1.1 ML2027-2028'!$K:$K,'TH theo DV_2028'!$C23)/$D$1</f>
        <v>0</v>
      </c>
      <c r="O23" s="322">
        <f>SUMIFS('PL1.1 ML2027-2028'!$H:$H,'PL1.1 ML2027-2028'!$J:$J,'TH theo DV_2028'!O$3,'PL1.1 ML2027-2028'!$K:$K,'TH theo DV_2028'!$C23)/$D$1</f>
        <v>0</v>
      </c>
      <c r="P23" s="322">
        <f>SUMIFS('PL1.1 ML2027-2028'!$H:$H,'PL1.1 ML2027-2028'!$J:$J,'TH theo DV_2028'!P$3,'PL1.1 ML2027-2028'!$K:$K,'TH theo DV_2028'!$C23)/$D$1</f>
        <v>0</v>
      </c>
      <c r="Q23" s="322">
        <f>SUMIFS('PL1.1 ML2027-2028'!$H:$H,'PL1.1 ML2027-2028'!$J:$J,'TH theo DV_2028'!Q$3,'PL1.1 ML2027-2028'!$K:$K,'TH theo DV_2028'!$C23)/$D$1</f>
        <v>0</v>
      </c>
      <c r="R23" s="322">
        <f>SUMIFS('PL1.1 ML2027-2028'!$H:$H,'PL1.1 ML2027-2028'!$J:$J,"TD",'PL1.1 ML2027-2028'!$M:$M,"IP",'PL1.1 ML2027-2028'!$K:$K,'TH theo DV_2028'!C23)/$D$1</f>
        <v>0</v>
      </c>
      <c r="S23" s="322">
        <f>SUMIFS('PL1.1 ML2027-2028'!$H:$H,'PL1.1 ML2027-2028'!$J:$J,"TD",'PL1.1 ML2027-2028'!$M:$M,"Mạng cáp",'PL1.1 ML2027-2028'!$K:$K,'TH theo DV_2028'!C23)/$D$1</f>
        <v>0</v>
      </c>
      <c r="T23" s="322">
        <f>SUMIFS('PL1.1 ML2027-2028'!$H:$H,'PL1.1 ML2027-2028'!$J:$J,'TH theo DV_2028'!T$3,'PL1.1 ML2027-2028'!$K:$K,'TH theo DV_2028'!$C23)/$D$1</f>
        <v>0</v>
      </c>
      <c r="U23" s="322">
        <f>SUMIFS('PL1.1 ML2027-2028'!$H:$H,'PL1.1 ML2027-2028'!$J:$J,'TH theo DV_2028'!U$3,'PL1.1 ML2027-2028'!$K:$K,'TH theo DV_2028'!$C23)/$D$1</f>
        <v>0</v>
      </c>
      <c r="V23" s="323">
        <f>SUM(N23:U23)</f>
        <v>0</v>
      </c>
      <c r="W23" s="329"/>
      <c r="X23" s="59"/>
    </row>
    <row r="24" spans="1:27" outlineLevel="1">
      <c r="A24" s="26" t="s">
        <v>8</v>
      </c>
      <c r="B24" s="60" t="s">
        <v>192</v>
      </c>
      <c r="C24" s="64" t="s">
        <v>195</v>
      </c>
      <c r="D24" s="322">
        <f>SUMIFS('PL1.1 ML2027-2028'!$G:$G,'PL1.1 ML2027-2028'!$J:$J,'TH theo DV_2028'!$D$3,'PL1.1 ML2027-2028'!$K:$K,'TH theo DV_2028'!C24)/$D$1</f>
        <v>0</v>
      </c>
      <c r="E24" s="322">
        <f>SUMIFS('PL1.1 ML2027-2028'!$G:$G,'PL1.1 ML2027-2028'!$J:$J,'TH theo DV_2028'!$E$3,'PL1.1 ML2027-2028'!$K:$K,'TH theo DV_2028'!C24)/$D$1</f>
        <v>0</v>
      </c>
      <c r="F24" s="322">
        <f>SUMIFS('PL1.1 ML2027-2028'!$G:$G,'PL1.1 ML2027-2028'!$J:$J,'TH theo DV_2028'!$F$3,'PL1.1 ML2027-2028'!$K:$K,'TH theo DV_2028'!C24)/$D$1</f>
        <v>0</v>
      </c>
      <c r="G24" s="326">
        <f>SUMIFS('PL1.1 ML2027-2028'!$G:$G,'PL1.1 ML2027-2028'!$J:$J,'TH theo DV_2028'!$G$3,'PL1.1 ML2027-2028'!$K:$K,'TH theo DV_2028'!C24)/$D$1+SUMIFS('PL1.1 ML2027-2028'!$G:$G,'PL1.1 ML2027-2028'!$J:$J,'TH theo DV_2028'!G$3,'PL1.1 ML2027-2028'!$K:$K,"AI/GPU")/$D$1</f>
        <v>3.1325821999999999</v>
      </c>
      <c r="H24" s="322">
        <f>SUMIFS('PL1.1 ML2027-2028'!$G:$G,'PL1.1 ML2027-2028'!$J:$J,"TD",'PL1.1 ML2027-2028'!$M:$M,"IP",'PL1.1 ML2027-2028'!$K:$K,'TH theo DV_2028'!C24)/$D$1</f>
        <v>0</v>
      </c>
      <c r="I24" s="322">
        <f>SUMIFS('PL1.1 ML2027-2028'!$G:$G,'PL1.1 ML2027-2028'!$J:$J,"TD",'PL1.1 ML2027-2028'!$M:$M,"Mạng cáp",'PL1.1 ML2027-2028'!$K:$K,'TH theo DV_2028'!C24)/$D$1</f>
        <v>0</v>
      </c>
      <c r="J24" s="322">
        <f>SUMIFS('PL1.1 ML2027-2028'!$G:$G,'PL1.1 ML2027-2028'!$J:$J,'TH theo DV_2028'!$J$3,'PL1.1 ML2027-2028'!$K:$K,'TH theo DV_2028'!C24)/$D$1</f>
        <v>0</v>
      </c>
      <c r="K24" s="322">
        <f>SUMIFS('PL1.1 ML2027-2028'!$G:$G,'PL1.1 ML2027-2028'!$J:$J,'TH theo DV_2028'!K$3,'PL1.1 ML2027-2028'!$K:$K,'TH theo DV_2028'!C24)/$D$1</f>
        <v>0</v>
      </c>
      <c r="L24" s="323">
        <f>SUM(D24:K24)</f>
        <v>3.1325821999999999</v>
      </c>
      <c r="M24" s="102">
        <f t="shared" si="5"/>
        <v>9.7235738328458318E-2</v>
      </c>
      <c r="N24" s="322">
        <f>SUMIFS('PL1.1 ML2027-2028'!$H:$H,'PL1.1 ML2027-2028'!$J:$J,'TH theo DV_2028'!N$3,'PL1.1 ML2027-2028'!$K:$K,'TH theo DV_2028'!$C24)/$D$1</f>
        <v>0</v>
      </c>
      <c r="O24" s="322">
        <f>SUMIFS('PL1.1 ML2027-2028'!$H:$H,'PL1.1 ML2027-2028'!$J:$J,'TH theo DV_2028'!O$3,'PL1.1 ML2027-2028'!$K:$K,'TH theo DV_2028'!$C24)/$D$1</f>
        <v>0</v>
      </c>
      <c r="P24" s="322">
        <f>SUMIFS('PL1.1 ML2027-2028'!$H:$H,'PL1.1 ML2027-2028'!$J:$J,'TH theo DV_2028'!P$3,'PL1.1 ML2027-2028'!$K:$K,'TH theo DV_2028'!$C24)/$D$1</f>
        <v>0</v>
      </c>
      <c r="Q24" s="322">
        <f>SUMIFS('PL1.1 ML2027-2028'!$H:$H,'PL1.1 ML2027-2028'!$J:$J,'TH theo DV_2028'!Q$3,'PL1.1 ML2027-2028'!$K:$K,'TH theo DV_2028'!$C24)/$D$1</f>
        <v>6.0409278000000004</v>
      </c>
      <c r="R24" s="322">
        <f>SUMIFS('PL1.1 ML2027-2028'!$H:$H,'PL1.1 ML2027-2028'!$J:$J,"TD",'PL1.1 ML2027-2028'!$M:$M,"IP",'PL1.1 ML2027-2028'!$K:$K,'TH theo DV_2028'!C24)/$D$1</f>
        <v>0</v>
      </c>
      <c r="S24" s="322">
        <f>SUMIFS('PL1.1 ML2027-2028'!$H:$H,'PL1.1 ML2027-2028'!$J:$J,"TD",'PL1.1 ML2027-2028'!$M:$M,"Mạng cáp",'PL1.1 ML2027-2028'!$K:$K,'TH theo DV_2028'!C24)/$D$1</f>
        <v>0</v>
      </c>
      <c r="T24" s="322">
        <f>SUMIFS('PL1.1 ML2027-2028'!$H:$H,'PL1.1 ML2027-2028'!$J:$J,'TH theo DV_2028'!T$3,'PL1.1 ML2027-2028'!$K:$K,'TH theo DV_2028'!$C24)/$D$1</f>
        <v>0</v>
      </c>
      <c r="U24" s="322">
        <f>SUMIFS('PL1.1 ML2027-2028'!$H:$H,'PL1.1 ML2027-2028'!$J:$J,'TH theo DV_2028'!U$3,'PL1.1 ML2027-2028'!$K:$K,'TH theo DV_2028'!$C24)/$D$1</f>
        <v>0</v>
      </c>
      <c r="V24" s="323">
        <f>SUM(N24:U24)</f>
        <v>6.0409278000000004</v>
      </c>
      <c r="W24" s="329"/>
      <c r="X24" s="59"/>
    </row>
    <row r="25" spans="1:27" outlineLevel="1">
      <c r="A25" s="26" t="s">
        <v>8</v>
      </c>
      <c r="B25" s="60" t="s">
        <v>84</v>
      </c>
      <c r="C25" s="64" t="s">
        <v>84</v>
      </c>
      <c r="D25" s="322">
        <f>SUMIFS('PL1.1 ML2027-2028'!$G:$G,'PL1.1 ML2027-2028'!$J:$J,'TH theo DV_2028'!$D$3,'PL1.1 ML2027-2028'!$K:$K,'TH theo DV_2028'!C25)/$D$1</f>
        <v>0</v>
      </c>
      <c r="E25" s="322">
        <f>SUMIFS('PL1.1 ML2027-2028'!$G:$G,'PL1.1 ML2027-2028'!$J:$J,'TH theo DV_2028'!$E$3,'PL1.1 ML2027-2028'!$K:$K,'TH theo DV_2028'!C25)/$D$1</f>
        <v>0</v>
      </c>
      <c r="F25" s="322">
        <f>SUMIFS('PL1.1 ML2027-2028'!$G:$G,'PL1.1 ML2027-2028'!$J:$J,'TH theo DV_2028'!$F$3,'PL1.1 ML2027-2028'!$K:$K,'TH theo DV_2028'!C25)/$D$1</f>
        <v>0</v>
      </c>
      <c r="G25" s="322">
        <f>SUMIFS('PL1.1 ML2027-2028'!$G:$G,'PL1.1 ML2027-2028'!$J:$J,'TH theo DV_2028'!$G$3,'PL1.1 ML2027-2028'!$K:$K,'TH theo DV_2028'!C25)/$D$1</f>
        <v>0.39038400000000001</v>
      </c>
      <c r="H25" s="322">
        <f>SUMIFS('PL1.1 ML2027-2028'!$G:$G,'PL1.1 ML2027-2028'!$J:$J,"TD",'PL1.1 ML2027-2028'!$M:$M,"IP",'PL1.1 ML2027-2028'!$K:$K,'TH theo DV_2028'!C25)/$D$1</f>
        <v>0</v>
      </c>
      <c r="I25" s="322">
        <f>SUMIFS('PL1.1 ML2027-2028'!$G:$G,'PL1.1 ML2027-2028'!$J:$J,"TD",'PL1.1 ML2027-2028'!$M:$M,"Mạng cáp",'PL1.1 ML2027-2028'!$K:$K,'TH theo DV_2028'!C25)/$D$1</f>
        <v>0</v>
      </c>
      <c r="J25" s="322">
        <f>SUMIFS('PL1.1 ML2027-2028'!$G:$G,'PL1.1 ML2027-2028'!$J:$J,'TH theo DV_2028'!$J$3,'PL1.1 ML2027-2028'!$K:$K,'TH theo DV_2028'!C25)/$D$1</f>
        <v>0</v>
      </c>
      <c r="K25" s="322">
        <f>SUMIFS('PL1.1 ML2027-2028'!$G:$G,'PL1.1 ML2027-2028'!$J:$J,'TH theo DV_2028'!K$3,'PL1.1 ML2027-2028'!$K:$K,'TH theo DV_2028'!C25)/$D$1</f>
        <v>0</v>
      </c>
      <c r="L25" s="323">
        <f>SUM(D25:K25)</f>
        <v>0.39038400000000001</v>
      </c>
      <c r="M25" s="102">
        <f t="shared" si="5"/>
        <v>1.2117567568256269E-2</v>
      </c>
      <c r="N25" s="322">
        <f>SUMIFS('PL1.1 ML2027-2028'!$H:$H,'PL1.1 ML2027-2028'!$J:$J,'TH theo DV_2028'!N$3,'PL1.1 ML2027-2028'!$K:$K,'TH theo DV_2028'!$C25)/$D$1</f>
        <v>0</v>
      </c>
      <c r="O25" s="322">
        <f>SUMIFS('PL1.1 ML2027-2028'!$H:$H,'PL1.1 ML2027-2028'!$J:$J,'TH theo DV_2028'!O$3,'PL1.1 ML2027-2028'!$K:$K,'TH theo DV_2028'!$C25)/$D$1</f>
        <v>0</v>
      </c>
      <c r="P25" s="322">
        <f>SUMIFS('PL1.1 ML2027-2028'!$H:$H,'PL1.1 ML2027-2028'!$J:$J,'TH theo DV_2028'!P$3,'PL1.1 ML2027-2028'!$K:$K,'TH theo DV_2028'!$C25)/$D$1</f>
        <v>0</v>
      </c>
      <c r="Q25" s="322">
        <f>SUMIFS('PL1.1 ML2027-2028'!$H:$H,'PL1.1 ML2027-2028'!$J:$J,'TH theo DV_2028'!Q$3,'PL1.1 ML2027-2028'!$K:$K,'TH theo DV_2028'!$C25)/$D$1</f>
        <v>0.67688400000000004</v>
      </c>
      <c r="R25" s="322">
        <f>SUMIFS('PL1.1 ML2027-2028'!$H:$H,'PL1.1 ML2027-2028'!$J:$J,"TD",'PL1.1 ML2027-2028'!$M:$M,"IP",'PL1.1 ML2027-2028'!$K:$K,'TH theo DV_2028'!C25)/$D$1</f>
        <v>0</v>
      </c>
      <c r="S25" s="322">
        <f>SUMIFS('PL1.1 ML2027-2028'!$H:$H,'PL1.1 ML2027-2028'!$J:$J,"TD",'PL1.1 ML2027-2028'!$M:$M,"Mạng cáp",'PL1.1 ML2027-2028'!$K:$K,'TH theo DV_2028'!C25)/$D$1</f>
        <v>0</v>
      </c>
      <c r="T25" s="322">
        <f>SUMIFS('PL1.1 ML2027-2028'!$H:$H,'PL1.1 ML2027-2028'!$J:$J,'TH theo DV_2028'!T$3,'PL1.1 ML2027-2028'!$K:$K,'TH theo DV_2028'!$C25)/$D$1</f>
        <v>0</v>
      </c>
      <c r="U25" s="322">
        <f>SUMIFS('PL1.1 ML2027-2028'!$H:$H,'PL1.1 ML2027-2028'!$J:$J,'TH theo DV_2028'!U$3,'PL1.1 ML2027-2028'!$K:$K,'TH theo DV_2028'!$C25)/$D$1</f>
        <v>0</v>
      </c>
      <c r="V25" s="323">
        <f>SUM(N25:T25)</f>
        <v>0.67688400000000004</v>
      </c>
      <c r="W25" s="329"/>
      <c r="X25" s="59"/>
    </row>
    <row r="26" spans="1:27" outlineLevel="1">
      <c r="A26" s="26" t="s">
        <v>8</v>
      </c>
      <c r="B26" s="60" t="s">
        <v>1371</v>
      </c>
      <c r="C26" s="64" t="s">
        <v>1369</v>
      </c>
      <c r="D26" s="322">
        <f>SUMIFS('PL1.1 ML2027-2028'!$G:$G,'PL1.1 ML2027-2028'!$J:$J,'TH theo DV_2028'!$D$3,'PL1.1 ML2027-2028'!$K:$K,'TH theo DV_2028'!C26)/$D$1</f>
        <v>0</v>
      </c>
      <c r="E26" s="322">
        <f>SUMIFS('PL1.1 ML2027-2028'!$G:$G,'PL1.1 ML2027-2028'!$J:$J,'TH theo DV_2028'!$E$3,'PL1.1 ML2027-2028'!$K:$K,'TH theo DV_2028'!C26)/$D$1</f>
        <v>0</v>
      </c>
      <c r="F26" s="322">
        <f>SUMIFS('PL1.1 ML2027-2028'!$G:$G,'PL1.1 ML2027-2028'!$J:$J,'TH theo DV_2028'!$F$3,'PL1.1 ML2027-2028'!$K:$K,'TH theo DV_2028'!C26)/$D$1</f>
        <v>0</v>
      </c>
      <c r="G26" s="322">
        <f>SUMIFS('PL1.1 ML2027-2028'!$G:$G,'PL1.1 ML2027-2028'!$J:$J,'TH theo DV_2028'!$G$3,'PL1.1 ML2027-2028'!$K:$K,'TH theo DV_2028'!C26)/$D$1</f>
        <v>0.211259</v>
      </c>
      <c r="H26" s="322">
        <f>SUMIFS('PL1.1 ML2027-2028'!$G:$G,'PL1.1 ML2027-2028'!$J:$J,"TD",'PL1.1 ML2027-2028'!$M:$M,"IP",'PL1.1 ML2027-2028'!$K:$K,'TH theo DV_2028'!C26)/$D$1</f>
        <v>0</v>
      </c>
      <c r="I26" s="322">
        <f>SUMIFS('PL1.1 ML2027-2028'!$G:$G,'PL1.1 ML2027-2028'!$J:$J,"TD",'PL1.1 ML2027-2028'!$M:$M,"Mạng cáp",'PL1.1 ML2027-2028'!$K:$K,'TH theo DV_2028'!C26)/$D$1</f>
        <v>0</v>
      </c>
      <c r="J26" s="322">
        <f>SUMIFS('PL1.1 ML2027-2028'!$G:$G,'PL1.1 ML2027-2028'!$J:$J,'TH theo DV_2028'!$J$3,'PL1.1 ML2027-2028'!$K:$K,'TH theo DV_2028'!C26)/$D$1</f>
        <v>0</v>
      </c>
      <c r="K26" s="322">
        <f>SUMIFS('PL1.1 ML2027-2028'!$G:$G,'PL1.1 ML2027-2028'!$J:$J,'TH theo DV_2028'!K$3,'PL1.1 ML2027-2028'!$K:$K,'TH theo DV_2028'!C26)/$D$1</f>
        <v>0</v>
      </c>
      <c r="L26" s="323">
        <f>SUM(D26:K26)</f>
        <v>0.211259</v>
      </c>
      <c r="M26" s="102">
        <f t="shared" si="5"/>
        <v>6.5575054482311041E-3</v>
      </c>
      <c r="N26" s="322">
        <f>SUMIFS('PL1.1 ML2027-2028'!$H:$H,'PL1.1 ML2027-2028'!$J:$J,'TH theo DV_2028'!N$3,'PL1.1 ML2027-2028'!$K:$K,'TH theo DV_2028'!$C26)/$D$1</f>
        <v>0</v>
      </c>
      <c r="O26" s="322">
        <f>SUMIFS('PL1.1 ML2027-2028'!$H:$H,'PL1.1 ML2027-2028'!$J:$J,'TH theo DV_2028'!O$3,'PL1.1 ML2027-2028'!$K:$K,'TH theo DV_2028'!$C26)/$D$1</f>
        <v>0</v>
      </c>
      <c r="P26" s="322">
        <f>SUMIFS('PL1.1 ML2027-2028'!$H:$H,'PL1.1 ML2027-2028'!$J:$J,'TH theo DV_2028'!P$3,'PL1.1 ML2027-2028'!$K:$K,'TH theo DV_2028'!$C26)/$D$1</f>
        <v>0</v>
      </c>
      <c r="Q26" s="322">
        <f>SUMIFS('PL1.1 ML2027-2028'!$H:$H,'PL1.1 ML2027-2028'!$J:$J,'TH theo DV_2028'!Q$3,'PL1.1 ML2027-2028'!$K:$K,'TH theo DV_2028'!$C26)/$D$1</f>
        <v>0.121944</v>
      </c>
      <c r="R26" s="322">
        <f>SUMIFS('PL1.1 ML2027-2028'!$H:$H,'PL1.1 ML2027-2028'!$J:$J,"TD",'PL1.1 ML2027-2028'!$M:$M,"IP",'PL1.1 ML2027-2028'!$K:$K,'TH theo DV_2028'!C26)/$D$1</f>
        <v>0</v>
      </c>
      <c r="S26" s="322">
        <f>SUMIFS('PL1.1 ML2027-2028'!$H:$H,'PL1.1 ML2027-2028'!$J:$J,"TD",'PL1.1 ML2027-2028'!$M:$M,"Mạng cáp",'PL1.1 ML2027-2028'!$K:$K,'TH theo DV_2028'!C26)/$D$1</f>
        <v>0</v>
      </c>
      <c r="T26" s="322">
        <f>SUMIFS('PL1.1 ML2027-2028'!$H:$H,'PL1.1 ML2027-2028'!$J:$J,'TH theo DV_2028'!T$3,'PL1.1 ML2027-2028'!$K:$K,'TH theo DV_2028'!$C26)/$D$1</f>
        <v>0</v>
      </c>
      <c r="U26" s="322">
        <f>SUMIFS('PL1.1 ML2027-2028'!$H:$H,'PL1.1 ML2027-2028'!$J:$J,'TH theo DV_2028'!U$3,'PL1.1 ML2027-2028'!$K:$K,'TH theo DV_2028'!$C26)/$D$1</f>
        <v>0</v>
      </c>
      <c r="V26" s="323">
        <f>SUM(N26:T26)</f>
        <v>0.121944</v>
      </c>
      <c r="W26" s="329"/>
      <c r="X26" s="59"/>
    </row>
    <row r="27" spans="1:27" s="20" customFormat="1" hidden="1" outlineLevel="1">
      <c r="A27" s="75">
        <v>5</v>
      </c>
      <c r="B27" s="79" t="s">
        <v>672</v>
      </c>
      <c r="C27" s="14"/>
      <c r="D27" s="325">
        <f t="shared" ref="D27:K27" si="18">SUBTOTAL(9,D28:D30)</f>
        <v>0</v>
      </c>
      <c r="E27" s="325">
        <f t="shared" si="18"/>
        <v>0</v>
      </c>
      <c r="F27" s="325">
        <f t="shared" si="18"/>
        <v>0</v>
      </c>
      <c r="G27" s="325">
        <f t="shared" si="18"/>
        <v>0</v>
      </c>
      <c r="H27" s="325">
        <f>SUBTOTAL(9,H28:H29)</f>
        <v>0</v>
      </c>
      <c r="I27" s="325">
        <f>SUBTOTAL(9,I28:I29)</f>
        <v>1.346E-2</v>
      </c>
      <c r="J27" s="325">
        <f t="shared" si="18"/>
        <v>0</v>
      </c>
      <c r="K27" s="325">
        <f t="shared" si="18"/>
        <v>0</v>
      </c>
      <c r="L27" s="325">
        <f>SUBTOTAL(9,L28:L29)</f>
        <v>1.346E-2</v>
      </c>
      <c r="M27" s="102">
        <f t="shared" si="5"/>
        <v>4.1780006216630137E-4</v>
      </c>
      <c r="N27" s="320">
        <f>SUBTOTAL(9,N28:N30)</f>
        <v>0</v>
      </c>
      <c r="O27" s="320">
        <f t="shared" ref="O27:U27" si="19">SUBTOTAL(9,O28:O30)</f>
        <v>0</v>
      </c>
      <c r="P27" s="320">
        <f t="shared" si="19"/>
        <v>0</v>
      </c>
      <c r="Q27" s="320">
        <f t="shared" si="19"/>
        <v>0</v>
      </c>
      <c r="R27" s="325"/>
      <c r="S27" s="325">
        <f>SUBTOTAL(9,S28:S29)</f>
        <v>0</v>
      </c>
      <c r="T27" s="320">
        <f t="shared" si="19"/>
        <v>0</v>
      </c>
      <c r="U27" s="325">
        <f t="shared" si="19"/>
        <v>0</v>
      </c>
      <c r="V27" s="325">
        <f>SUBTOTAL(9,V28:V29)</f>
        <v>0</v>
      </c>
      <c r="W27" s="330">
        <f>V27/$V$4</f>
        <v>0</v>
      </c>
      <c r="X27" s="102"/>
      <c r="Y27" s="32"/>
    </row>
    <row r="28" spans="1:27" hidden="1" outlineLevel="1">
      <c r="A28" s="26" t="s">
        <v>8</v>
      </c>
      <c r="B28" s="60" t="s">
        <v>670</v>
      </c>
      <c r="C28" s="64" t="s">
        <v>127</v>
      </c>
      <c r="D28" s="322">
        <f>SUMIFS('PL1.1 ML2027-2028'!$G:$G,'PL1.1 ML2027-2028'!$J:$J,'TH theo DV_2028'!$D$3,'PL1.1 ML2027-2028'!$K:$K,'TH theo DV_2028'!C28)/$D$1</f>
        <v>0</v>
      </c>
      <c r="E28" s="322">
        <f>SUMIFS('PL1.1 ML2027-2028'!$G:$G,'PL1.1 ML2027-2028'!$J:$J,'TH theo DV_2028'!$E$3,'PL1.1 ML2027-2028'!$K:$K,'TH theo DV_2028'!C28)/$D$1</f>
        <v>0</v>
      </c>
      <c r="F28" s="322">
        <f>SUMIFS('PL1.1 ML2027-2028'!$G:$G,'PL1.1 ML2027-2028'!$J:$J,'TH theo DV_2028'!$F$3,'PL1.1 ML2027-2028'!$K:$K,'TH theo DV_2028'!C28)/$D$1</f>
        <v>0</v>
      </c>
      <c r="G28" s="326">
        <f>SUMIFS('PL1.1 ML2027-2028'!$G:$G,'PL1.1 ML2027-2028'!$J:$J,'TH theo DV_2028'!$G$3,'PL1.1 ML2027-2028'!$K:$K,'TH theo DV_2028'!C28)/$D$1</f>
        <v>0</v>
      </c>
      <c r="H28" s="322">
        <f>SUMIFS('PL1.1 ML2027-2028'!$G:$G,'PL1.1 ML2027-2028'!$J:$J,"TD",'PL1.1 ML2027-2028'!$M:$M,"IP",'PL1.1 ML2027-2028'!$K:$K,'TH theo DV_2028'!C28)/$D$1</f>
        <v>0</v>
      </c>
      <c r="I28" s="143">
        <f>SUMIFS('PL1.1 ML2027-2028'!$G:$G,'PL1.1 ML2027-2028'!$J:$J,"TD",'PL1.1 ML2027-2028'!$M:$M,"Mạng cáp",'PL1.1 ML2027-2028'!$K:$K,'TH theo DV_2028'!C28)/$D$1</f>
        <v>1.346E-2</v>
      </c>
      <c r="J28" s="322">
        <f>SUMIFS('PL1.1 ML2027-2028'!$G:$G,'PL1.1 ML2027-2028'!$J:$J,'TH theo DV_2028'!$J$3,'PL1.1 ML2027-2028'!$K:$K,'TH theo DV_2028'!C28)/$D$1</f>
        <v>0</v>
      </c>
      <c r="K28" s="322">
        <f>SUMIFS('PL1.1 ML2027-2028'!$G:$G,'PL1.1 ML2027-2028'!$J:$J,'TH theo DV_2028'!K$3,'PL1.1 ML2027-2028'!$K:$K,'TH theo DV_2028'!C28)/$D$1</f>
        <v>0</v>
      </c>
      <c r="L28" s="323">
        <f>SUM(D28:K28)</f>
        <v>1.346E-2</v>
      </c>
      <c r="M28" s="102">
        <f t="shared" si="5"/>
        <v>4.1780006216630137E-4</v>
      </c>
      <c r="N28" s="322">
        <f>SUMIFS('PL1.1 ML2027-2028'!$H:$H,'PL1.1 ML2027-2028'!$J:$J,'TH theo DV_2028'!N$3,'PL1.1 ML2027-2028'!$K:$K,'TH theo DV_2028'!$C28)/$D$1</f>
        <v>0</v>
      </c>
      <c r="O28" s="322">
        <f>SUMIFS('PL1.1 ML2027-2028'!$H:$H,'PL1.1 ML2027-2028'!$J:$J,'TH theo DV_2028'!O$3,'PL1.1 ML2027-2028'!$K:$K,'TH theo DV_2028'!$C28)/$D$1</f>
        <v>0</v>
      </c>
      <c r="P28" s="322">
        <f>SUMIFS('PL1.1 ML2027-2028'!$H:$H,'PL1.1 ML2027-2028'!$J:$J,'TH theo DV_2028'!P$3,'PL1.1 ML2027-2028'!$K:$K,'TH theo DV_2028'!$C28)/$D$1</f>
        <v>0</v>
      </c>
      <c r="Q28" s="322">
        <f>SUMIFS('PL1.1 ML2027-2028'!$H:$H,'PL1.1 ML2027-2028'!$J:$J,'TH theo DV_2028'!Q$3,'PL1.1 ML2027-2028'!$K:$K,'TH theo DV_2028'!$C28)/$D$1</f>
        <v>0</v>
      </c>
      <c r="R28" s="322">
        <f>SUMIFS('PL1.1 ML2027-2028'!$H:$H,'PL1.1 ML2027-2028'!$J:$J,"TD",'PL1.1 ML2027-2028'!$M:$M,"IP",'PL1.1 ML2027-2028'!$K:$K,'TH theo DV_2028'!C28)/$D$1</f>
        <v>0</v>
      </c>
      <c r="S28" s="322"/>
      <c r="T28" s="322">
        <f>SUMIFS('PL1.1 ML2027-2028'!$H:$H,'PL1.1 ML2027-2028'!$J:$J,'TH theo DV_2028'!T$3,'PL1.1 ML2027-2028'!$K:$K,'TH theo DV_2028'!$C28)/$D$1</f>
        <v>0</v>
      </c>
      <c r="U28" s="322">
        <f>SUMIFS('PL1.1 ML2027-2028'!$H:$H,'PL1.1 ML2027-2028'!$J:$J,'TH theo DV_2028'!U$3,'PL1.1 ML2027-2028'!$K:$K,'TH theo DV_2028'!$C28)/$D$1</f>
        <v>0</v>
      </c>
      <c r="V28" s="323">
        <f>SUM(N28:U28)</f>
        <v>0</v>
      </c>
      <c r="W28" s="329"/>
      <c r="X28" s="59"/>
    </row>
    <row r="29" spans="1:27" hidden="1" outlineLevel="1">
      <c r="A29" s="26" t="s">
        <v>8</v>
      </c>
      <c r="B29" s="60" t="s">
        <v>671</v>
      </c>
      <c r="C29" s="64" t="s">
        <v>128</v>
      </c>
      <c r="D29" s="322">
        <f>SUMIFS('PL1.1 ML2027-2028'!$G:$G,'PL1.1 ML2027-2028'!$J:$J,'TH theo DV_2028'!$D$3,'PL1.1 ML2027-2028'!$K:$K,'TH theo DV_2028'!C29)/$D$1</f>
        <v>0</v>
      </c>
      <c r="E29" s="322">
        <f>SUMIFS('PL1.1 ML2027-2028'!$G:$G,'PL1.1 ML2027-2028'!$J:$J,'TH theo DV_2028'!$E$3,'PL1.1 ML2027-2028'!$K:$K,'TH theo DV_2028'!C29)/$D$1</f>
        <v>0</v>
      </c>
      <c r="F29" s="322">
        <f>SUMIFS('PL1.1 ML2027-2028'!$G:$G,'PL1.1 ML2027-2028'!$J:$J,'TH theo DV_2028'!$F$3,'PL1.1 ML2027-2028'!$K:$K,'TH theo DV_2028'!C29)/$D$1</f>
        <v>0</v>
      </c>
      <c r="G29" s="326">
        <f>SUMIFS('PL1.1 ML2027-2028'!$G:$G,'PL1.1 ML2027-2028'!$J:$J,'TH theo DV_2028'!$G$3,'PL1.1 ML2027-2028'!$K:$K,'TH theo DV_2028'!C29)/$D$1</f>
        <v>0</v>
      </c>
      <c r="H29" s="322"/>
      <c r="I29" s="322">
        <f>SUMIFS('PL1.1 ML2027-2028'!$G:$G,'PL1.1 ML2027-2028'!$J:$J,"TD",'PL1.1 ML2027-2028'!$M:$M,"Mạng cáp",'PL1.1 ML2027-2028'!$K:$K,'TH theo DV_2028'!C29)/$D$1</f>
        <v>0</v>
      </c>
      <c r="J29" s="322">
        <f>SUMIFS('PL1.1 ML2027-2028'!$G:$G,'PL1.1 ML2027-2028'!$J:$J,'TH theo DV_2028'!$J$3,'PL1.1 ML2027-2028'!$K:$K,'TH theo DV_2028'!C29)/$D$1</f>
        <v>0</v>
      </c>
      <c r="K29" s="322">
        <f>SUMIFS('PL1.1 ML2027-2028'!$G:$G,'PL1.1 ML2027-2028'!$J:$J,'TH theo DV_2028'!K$3,'PL1.1 ML2027-2028'!$K:$K,'TH theo DV_2028'!C29)/$D$1</f>
        <v>0</v>
      </c>
      <c r="L29" s="323">
        <f>SUM(D29:K29)</f>
        <v>0</v>
      </c>
      <c r="M29" s="102">
        <f t="shared" si="5"/>
        <v>0</v>
      </c>
      <c r="N29" s="322">
        <f>SUMIFS('PL1.1 ML2027-2028'!$H:$H,'PL1.1 ML2027-2028'!$J:$J,'TH theo DV_2028'!N$3,'PL1.1 ML2027-2028'!$K:$K,'TH theo DV_2028'!$C29)/$D$1</f>
        <v>0</v>
      </c>
      <c r="O29" s="322">
        <f>SUMIFS('PL1.1 ML2027-2028'!$H:$H,'PL1.1 ML2027-2028'!$J:$J,'TH theo DV_2028'!O$3,'PL1.1 ML2027-2028'!$K:$K,'TH theo DV_2028'!$C29)/$D$1</f>
        <v>0</v>
      </c>
      <c r="P29" s="322">
        <f>SUMIFS('PL1.1 ML2027-2028'!$H:$H,'PL1.1 ML2027-2028'!$J:$J,'TH theo DV_2028'!P$3,'PL1.1 ML2027-2028'!$K:$K,'TH theo DV_2028'!$C29)/$D$1</f>
        <v>0</v>
      </c>
      <c r="Q29" s="322">
        <f>SUMIFS('PL1.1 ML2027-2028'!$H:$H,'PL1.1 ML2027-2028'!$J:$J,'TH theo DV_2028'!Q$3,'PL1.1 ML2027-2028'!$K:$K,'TH theo DV_2028'!$C29)/$D$1</f>
        <v>0</v>
      </c>
      <c r="R29" s="322"/>
      <c r="S29" s="322"/>
      <c r="T29" s="322">
        <f>SUMIFS('PL1.1 ML2027-2028'!$H:$H,'PL1.1 ML2027-2028'!$J:$J,'TH theo DV_2028'!T$3,'PL1.1 ML2027-2028'!$K:$K,'TH theo DV_2028'!$C29)/$D$1</f>
        <v>0</v>
      </c>
      <c r="U29" s="322">
        <f>SUMIFS('PL1.1 ML2027-2028'!$H:$H,'PL1.1 ML2027-2028'!$J:$J,'TH theo DV_2028'!U$3,'PL1.1 ML2027-2028'!$K:$K,'TH theo DV_2028'!$C29)/$D$1</f>
        <v>0</v>
      </c>
      <c r="V29" s="323">
        <f>SUM(N29:U29)</f>
        <v>0</v>
      </c>
      <c r="W29" s="329"/>
      <c r="X29" s="59"/>
    </row>
    <row r="30" spans="1:27" ht="26" outlineLevel="1">
      <c r="A30" s="55" t="s">
        <v>19</v>
      </c>
      <c r="B30" s="103" t="s">
        <v>193</v>
      </c>
      <c r="C30" s="82"/>
      <c r="D30" s="321">
        <f t="shared" ref="D30:F30" si="20">SUBTOTAL(9,D31:D34)</f>
        <v>0.60908655746562401</v>
      </c>
      <c r="E30" s="321">
        <f t="shared" si="20"/>
        <v>1.48660192</v>
      </c>
      <c r="F30" s="321">
        <f t="shared" si="20"/>
        <v>0</v>
      </c>
      <c r="G30" s="321">
        <f>SUBTOTAL(9,G31:G34)</f>
        <v>1.2029529999999999</v>
      </c>
      <c r="H30" s="321">
        <f t="shared" ref="H30:L30" si="21">SUBTOTAL(9,H31:H34)</f>
        <v>0</v>
      </c>
      <c r="I30" s="321">
        <f t="shared" si="21"/>
        <v>0.35783999999999999</v>
      </c>
      <c r="J30" s="321">
        <f t="shared" si="21"/>
        <v>2.2548441100000001</v>
      </c>
      <c r="K30" s="321">
        <f t="shared" si="21"/>
        <v>8.4599999999999995E-2</v>
      </c>
      <c r="L30" s="321">
        <f t="shared" si="21"/>
        <v>5.9959255874656234</v>
      </c>
      <c r="M30" s="106">
        <f t="shared" si="5"/>
        <v>0.18611427066773065</v>
      </c>
      <c r="N30" s="321">
        <f t="shared" ref="N30" si="22">SUBTOTAL(9,N31:N34)</f>
        <v>0.24908655746562403</v>
      </c>
      <c r="O30" s="321">
        <f>SUBTOTAL(9,O31:O34)</f>
        <v>0.1</v>
      </c>
      <c r="P30" s="321">
        <f t="shared" ref="P30:V30" si="23">SUBTOTAL(9,P31:P34)</f>
        <v>0</v>
      </c>
      <c r="Q30" s="321">
        <f t="shared" si="23"/>
        <v>0.74912500000000004</v>
      </c>
      <c r="R30" s="321">
        <f t="shared" si="23"/>
        <v>0</v>
      </c>
      <c r="S30" s="321">
        <f t="shared" si="23"/>
        <v>0.33633999999999997</v>
      </c>
      <c r="T30" s="321">
        <f t="shared" si="23"/>
        <v>1.1764980999999999</v>
      </c>
      <c r="U30" s="321">
        <f t="shared" si="23"/>
        <v>0</v>
      </c>
      <c r="V30" s="321">
        <f t="shared" si="23"/>
        <v>2.6110496574656237</v>
      </c>
      <c r="W30" s="106">
        <f t="shared" ref="W30:W35" si="24">V30/$V$4</f>
        <v>9.2973702765194163E-2</v>
      </c>
      <c r="X30" s="106"/>
    </row>
    <row r="31" spans="1:27" s="20" customFormat="1" outlineLevel="1">
      <c r="A31" s="14">
        <v>1</v>
      </c>
      <c r="B31" s="43" t="s">
        <v>287</v>
      </c>
      <c r="C31" s="14" t="s">
        <v>288</v>
      </c>
      <c r="D31" s="326">
        <f>SUMIFS('PL1.1 ML2027-2028'!$G:$G,'PL1.1 ML2027-2028'!$J:$J,'TH theo DV_2028'!$D$3,'PL1.1 ML2027-2028'!$K:$K,'TH theo DV_2028'!C31)/$D$1</f>
        <v>0.24908655746562403</v>
      </c>
      <c r="E31" s="326">
        <f>SUMIFS('PL1.1 ML2027-2028'!$G:$G,'PL1.1 ML2027-2028'!$J:$J,'TH theo DV_2028'!$E$3,'PL1.1 ML2027-2028'!$K:$K,'TH theo DV_2028'!C31)/$D$1</f>
        <v>0.1</v>
      </c>
      <c r="F31" s="326">
        <f>SUMIFS('PL1.1 ML2027-2028'!$G:$G,'PL1.1 ML2027-2028'!$J:$J,'TH theo DV_2028'!$F$3,'PL1.1 ML2027-2028'!$K:$K,'TH theo DV_2028'!C31)/$D$1</f>
        <v>0</v>
      </c>
      <c r="G31" s="322">
        <f>SUMIFS('PL1.1 ML2027-2028'!$G:$G,'PL1.1 ML2027-2028'!$J:$J,'TH theo DV_2028'!$G$3,'PL1.1 ML2027-2028'!$K:$K,'TH theo DV_2028'!C31)/$D$1</f>
        <v>0</v>
      </c>
      <c r="H31" s="322">
        <f>SUMIFS('PL1.1 ML2027-2028'!$G:$G,'PL1.1 ML2027-2028'!$J:$J,"TD",'PL1.1 ML2027-2028'!$M:$M,"IP",'PL1.1 ML2027-2028'!$K:$K,'TH theo DV_2028'!C31)/$D$1</f>
        <v>0</v>
      </c>
      <c r="I31" s="322">
        <f>SUMIFS('PL1.1 ML2027-2028'!$G:$G,'PL1.1 ML2027-2028'!$J:$J,"TD",'PL1.1 ML2027-2028'!$M:$M,"Mạng cáp",'PL1.1 ML2027-2028'!$K:$K,'TH theo DV_2028'!C31)/$D$1</f>
        <v>0.12573999999999999</v>
      </c>
      <c r="J31" s="326">
        <f>SUMIFS('PL1.1 ML2027-2028'!$G:$G,'PL1.1 ML2027-2028'!$J:$J,'TH theo DV_2028'!$J$3,'PL1.1 ML2027-2028'!$K:$K,'TH theo DV_2028'!C31)/$D$1</f>
        <v>0.40219909999999998</v>
      </c>
      <c r="K31" s="322">
        <f>SUMIFS('PL1.1 ML2027-2028'!$G:$G,'PL1.1 ML2027-2028'!$J:$J,'TH theo DV_2028'!K$3,'PL1.1 ML2027-2028'!$K:$K,'TH theo DV_2028'!C31)/$D$1</f>
        <v>0</v>
      </c>
      <c r="L31" s="323">
        <f t="shared" ref="L31:L35" si="25">SUM(D31:K31)</f>
        <v>0.87702565746562389</v>
      </c>
      <c r="M31" s="102">
        <f t="shared" si="5"/>
        <v>2.7222984711038557E-2</v>
      </c>
      <c r="N31" s="326">
        <f>SUMIFS('PL1.1 ML2027-2028'!$H:$H,'PL1.1 ML2027-2028'!$J:$J,'TH theo DV_2028'!N$3,'PL1.1 ML2027-2028'!$K:$K,'TH theo DV_2028'!$C31)/$D$1</f>
        <v>0.24908655746562403</v>
      </c>
      <c r="O31" s="326">
        <f>SUMIFS('PL1.1 ML2027-2028'!$H:$H,'PL1.1 ML2027-2028'!$J:$J,'TH theo DV_2028'!O$3,'PL1.1 ML2027-2028'!$K:$K,'TH theo DV_2028'!$C31)/$D$1</f>
        <v>0.1</v>
      </c>
      <c r="P31" s="326">
        <f>SUMIFS('PL1.1 ML2027-2028'!$H:$H,'PL1.1 ML2027-2028'!$J:$J,'TH theo DV_2028'!P$3,'PL1.1 ML2027-2028'!$K:$K,'TH theo DV_2028'!$C31)/$D$1</f>
        <v>0</v>
      </c>
      <c r="Q31" s="326">
        <f>SUMIFS('PL1.1 ML2027-2028'!$H:$H,'PL1.1 ML2027-2028'!$J:$J,'TH theo DV_2028'!Q$3,'PL1.1 ML2027-2028'!$K:$K,'TH theo DV_2028'!$C31)/$D$1</f>
        <v>0</v>
      </c>
      <c r="R31" s="322">
        <f>SUMIFS('PL1.1 ML2027-2028'!$H:$H,'PL1.1 ML2027-2028'!$J:$J,"TD",'PL1.1 ML2027-2028'!$M:$M,"IP",'PL1.1 ML2027-2028'!$K:$K,'TH theo DV_2028'!C31)/$D$1</f>
        <v>0</v>
      </c>
      <c r="S31" s="322">
        <f>SUMIFS('PL1.1 ML2027-2028'!$H:$H,'PL1.1 ML2027-2028'!$J:$J,"TD",'PL1.1 ML2027-2028'!$M:$M,"Mạng cáp",'PL1.1 ML2027-2028'!$K:$K,'TH theo DV_2028'!C31)/$D$1</f>
        <v>0.10424</v>
      </c>
      <c r="T31" s="326">
        <f>SUMIFS('PL1.1 ML2027-2028'!$H:$H,'PL1.1 ML2027-2028'!$J:$J,'TH theo DV_2028'!T$3,'PL1.1 ML2027-2028'!$K:$K,'TH theo DV_2028'!$C31)/$D$1</f>
        <v>0.34184909999999996</v>
      </c>
      <c r="U31" s="322">
        <f>SUMIFS('PL1.1 ML2027-2028'!$H:$H,'PL1.1 ML2027-2028'!$J:$J,'TH theo DV_2028'!U$3,'PL1.1 ML2027-2028'!$K:$K,'TH theo DV_2028'!$C31)/$D$1</f>
        <v>0</v>
      </c>
      <c r="V31" s="323">
        <f t="shared" ref="V31:V35" si="26">SUM(N31:U31)</f>
        <v>0.79517565746562391</v>
      </c>
      <c r="W31" s="330">
        <f t="shared" si="24"/>
        <v>2.8314446265677775E-2</v>
      </c>
      <c r="X31" s="102"/>
      <c r="Y31" s="32"/>
    </row>
    <row r="32" spans="1:27" ht="26" outlineLevel="1">
      <c r="A32" s="26">
        <v>2</v>
      </c>
      <c r="B32" s="81" t="s">
        <v>286</v>
      </c>
      <c r="C32" s="64" t="s">
        <v>122</v>
      </c>
      <c r="D32" s="326">
        <f>SUMIFS('PL1.1 ML2027-2028'!$G:$G,'PL1.1 ML2027-2028'!$J:$J,'TH theo DV_2028'!$D$3,'PL1.1 ML2027-2028'!$K:$K,'TH theo DV_2028'!C32)/$D$1</f>
        <v>0.36</v>
      </c>
      <c r="E32" s="326">
        <f>SUMIFS('PL1.1 ML2027-2028'!$G:$G,'PL1.1 ML2027-2028'!$J:$J,'TH theo DV_2028'!$E$3,'PL1.1 ML2027-2028'!$K:$K,'TH theo DV_2028'!C32)/$D$1</f>
        <v>1.3866019199999999</v>
      </c>
      <c r="F32" s="326">
        <f>SUMIFS('PL1.1 ML2027-2028'!$G:$G,'PL1.1 ML2027-2028'!$J:$J,'TH theo DV_2028'!$F$3,'PL1.1 ML2027-2028'!$K:$K,'TH theo DV_2028'!C32)/$D$1</f>
        <v>0</v>
      </c>
      <c r="G32" s="322">
        <f>SUMIFS('PL1.1 ML2027-2028'!$G:$G,'PL1.1 ML2027-2028'!$J:$J,'TH theo DV_2028'!$G$3,'PL1.1 ML2027-2028'!$K:$K,'TH theo DV_2028'!C32)/$D$1</f>
        <v>1.2029529999999999</v>
      </c>
      <c r="H32" s="322">
        <f>SUMIFS('PL1.1 ML2027-2028'!$G:$G,'PL1.1 ML2027-2028'!$J:$J,"TD",'PL1.1 ML2027-2028'!$M:$M,"IP",'PL1.1 ML2027-2028'!$K:$K,'TH theo DV_2028'!C32)/$D$1</f>
        <v>0</v>
      </c>
      <c r="I32" s="322">
        <f>SUMIFS('PL1.1 ML2027-2028'!$G:$G,'PL1.1 ML2027-2028'!$J:$J,"TD",'PL1.1 ML2027-2028'!$M:$M,"Mạng cáp",'PL1.1 ML2027-2028'!$K:$K,'TH theo DV_2028'!C32)/$D$1</f>
        <v>0</v>
      </c>
      <c r="J32" s="326">
        <f>SUMIFS('PL1.1 ML2027-2028'!$G:$G,'PL1.1 ML2027-2028'!$J:$J,'TH theo DV_2028'!$J$3,'PL1.1 ML2027-2028'!$K:$K,'TH theo DV_2028'!C32)/$D$1</f>
        <v>0.25223000000000001</v>
      </c>
      <c r="K32" s="322">
        <f>SUMIFS('PL1.1 ML2027-2028'!$G:$G,'PL1.1 ML2027-2028'!$J:$J,'TH theo DV_2028'!K$3,'PL1.1 ML2027-2028'!$K:$K,'TH theo DV_2028'!C32)/$D$1</f>
        <v>0</v>
      </c>
      <c r="L32" s="323">
        <f t="shared" si="25"/>
        <v>3.2017849199999997</v>
      </c>
      <c r="M32" s="59">
        <f t="shared" si="5"/>
        <v>9.9383799303055437E-2</v>
      </c>
      <c r="N32" s="322">
        <f>SUMIFS('PL1.1 ML2027-2028'!$H:$H,'PL1.1 ML2027-2028'!$J:$J,'TH theo DV_2028'!N$3,'PL1.1 ML2027-2028'!$K:$K,'TH theo DV_2028'!$C32)/$D$1</f>
        <v>0</v>
      </c>
      <c r="O32" s="322">
        <f>SUMIFS('PL1.1 ML2027-2028'!$H:$H,'PL1.1 ML2027-2028'!$J:$J,'TH theo DV_2028'!O$3,'PL1.1 ML2027-2028'!$K:$K,'TH theo DV_2028'!$C32)/$D$1</f>
        <v>0</v>
      </c>
      <c r="P32" s="322">
        <f>SUMIFS('PL1.1 ML2027-2028'!$H:$H,'PL1.1 ML2027-2028'!$J:$J,'TH theo DV_2028'!P$3,'PL1.1 ML2027-2028'!$K:$K,'TH theo DV_2028'!$C32)/$D$1</f>
        <v>0</v>
      </c>
      <c r="Q32" s="322">
        <f>SUMIFS('PL1.1 ML2027-2028'!$H:$H,'PL1.1 ML2027-2028'!$J:$J,'TH theo DV_2028'!Q$3,'PL1.1 ML2027-2028'!$K:$K,'TH theo DV_2028'!$C32)/$D$1</f>
        <v>0.74912500000000004</v>
      </c>
      <c r="R32" s="322">
        <f>SUMIFS('PL1.1 ML2027-2028'!$H:$H,'PL1.1 ML2027-2028'!$J:$J,"TD",'PL1.1 ML2027-2028'!$M:$M,"IP",'PL1.1 ML2027-2028'!$K:$K,'TH theo DV_2028'!C32)/$D$1</f>
        <v>0</v>
      </c>
      <c r="S32" s="322">
        <f>SUMIFS('PL1.1 ML2027-2028'!$H:$H,'PL1.1 ML2027-2028'!$J:$J,"TD",'PL1.1 ML2027-2028'!$M:$M,"Mạng cáp",'PL1.1 ML2027-2028'!$K:$K,'TH theo DV_2028'!C32)/$D$1</f>
        <v>0</v>
      </c>
      <c r="T32" s="322">
        <f>SUMIFS('PL1.1 ML2027-2028'!$H:$H,'PL1.1 ML2027-2028'!$J:$J,'TH theo DV_2028'!T$3,'PL1.1 ML2027-2028'!$K:$K,'TH theo DV_2028'!$C32)/$D$1</f>
        <v>5.2249999999999998E-2</v>
      </c>
      <c r="U32" s="322">
        <f>SUMIFS('PL1.1 ML2027-2028'!$H:$H,'PL1.1 ML2027-2028'!$J:$J,'TH theo DV_2028'!U$3,'PL1.1 ML2027-2028'!$K:$K,'TH theo DV_2028'!$C32)/$D$1</f>
        <v>0</v>
      </c>
      <c r="V32" s="323">
        <f t="shared" si="26"/>
        <v>0.80137500000000006</v>
      </c>
      <c r="W32" s="332">
        <f t="shared" si="24"/>
        <v>2.8535191140629773E-2</v>
      </c>
      <c r="X32" s="59"/>
      <c r="Y32" s="108"/>
      <c r="Z32" s="87"/>
      <c r="AA32" s="28"/>
    </row>
    <row r="33" spans="1:28" ht="17.649999999999999" customHeight="1" outlineLevel="1">
      <c r="A33" s="14">
        <v>3</v>
      </c>
      <c r="B33" s="66" t="s">
        <v>289</v>
      </c>
      <c r="C33" s="26" t="s">
        <v>196</v>
      </c>
      <c r="D33" s="326">
        <f>SUMIFS('PL1.1 ML2027-2028'!$G:$G,'PL1.1 ML2027-2028'!$J:$J,'TH theo DV_2028'!$D$3,'PL1.1 ML2027-2028'!$K:$K,'TH theo DV_2028'!C33)/$D$1</f>
        <v>0</v>
      </c>
      <c r="E33" s="326">
        <f>SUMIFS('PL1.1 ML2027-2028'!$G:$G,'PL1.1 ML2027-2028'!$J:$J,'TH theo DV_2028'!$E$3,'PL1.1 ML2027-2028'!$K:$K,'TH theo DV_2028'!C33)/$D$1</f>
        <v>0</v>
      </c>
      <c r="F33" s="120">
        <f>SUMIFS('PL1.1 ML2027-2028'!$G:$G,'PL1.1 ML2027-2028'!$J:$J,'TH theo DV_2028'!$F$3,'PL1.1 ML2027-2028'!$K:$K,'TH theo DV_2028'!C33)/$D$1</f>
        <v>0</v>
      </c>
      <c r="G33" s="322">
        <f>SUMIFS('PL1.1 ML2027-2028'!$G:$G,'PL1.1 ML2027-2028'!$J:$J,'TH theo DV_2028'!$G$3,'PL1.1 ML2027-2028'!$K:$K,'TH theo DV_2028'!C33)/$D$1</f>
        <v>0</v>
      </c>
      <c r="H33" s="322">
        <f>SUMIFS('PL1.1 ML2027-2028'!$G:$G,'PL1.1 ML2027-2028'!$J:$J,"TD",'PL1.1 ML2027-2028'!$M:$M,"IP",'PL1.1 ML2027-2028'!$K:$K,'TH theo DV_2028'!C33)/$D$1</f>
        <v>0</v>
      </c>
      <c r="I33" s="322">
        <f>SUMIFS('PL1.1 ML2027-2028'!$G:$G,'PL1.1 ML2027-2028'!$J:$J,"TD",'PL1.1 ML2027-2028'!$M:$M,"Mạng cáp",'PL1.1 ML2027-2028'!$K:$K,'TH theo DV_2028'!C33)/$D$1</f>
        <v>0.2321</v>
      </c>
      <c r="J33" s="326">
        <f>SUMIFS('PL1.1 ML2027-2028'!$G:$G,'PL1.1 ML2027-2028'!$J:$J,'TH theo DV_2028'!$J$3,'PL1.1 ML2027-2028'!$K:$K,'TH theo DV_2028'!C33)/$D$1</f>
        <v>1.6004150100000001</v>
      </c>
      <c r="K33" s="322">
        <f>SUMIFS('PL1.1 ML2027-2028'!$G:$G,'PL1.1 ML2027-2028'!$J:$J,'TH theo DV_2028'!K$3,'PL1.1 ML2027-2028'!$K:$K,'TH theo DV_2028'!C33)/$D$1</f>
        <v>8.4599999999999995E-2</v>
      </c>
      <c r="L33" s="323">
        <f t="shared" si="25"/>
        <v>1.9171150100000001</v>
      </c>
      <c r="M33" s="59">
        <f t="shared" si="5"/>
        <v>5.9507486653636664E-2</v>
      </c>
      <c r="N33" s="322">
        <f>SUMIFS('PL1.1 ML2027-2028'!$H:$H,'PL1.1 ML2027-2028'!$J:$J,'TH theo DV_2028'!N$3,'PL1.1 ML2027-2028'!$K:$K,'TH theo DV_2028'!$C33)/$D$1</f>
        <v>0</v>
      </c>
      <c r="O33" s="322">
        <f>SUMIFS('PL1.1 ML2027-2028'!$H:$H,'PL1.1 ML2027-2028'!$J:$J,'TH theo DV_2028'!O$3,'PL1.1 ML2027-2028'!$K:$K,'TH theo DV_2028'!$C33)/$D$1</f>
        <v>0</v>
      </c>
      <c r="P33" s="143">
        <f>SUMIFS('PL1.1 ML2027-2028'!$H:$H,'PL1.1 ML2027-2028'!$J:$J,'TH theo DV_2028'!P$3,'PL1.1 ML2027-2028'!$K:$K,'TH theo DV_2028'!$C33)/$D$1</f>
        <v>0</v>
      </c>
      <c r="Q33" s="322">
        <f>SUMIFS('PL1.1 ML2027-2028'!$H:$H,'PL1.1 ML2027-2028'!$J:$J,'TH theo DV_2028'!Q$3,'PL1.1 ML2027-2028'!$K:$K,'TH theo DV_2028'!$C33)/$D$1</f>
        <v>0</v>
      </c>
      <c r="R33" s="322">
        <f>SUMIFS('PL1.1 ML2027-2028'!$H:$H,'PL1.1 ML2027-2028'!$J:$J,"TD",'PL1.1 ML2027-2028'!$M:$M,"IP",'PL1.1 ML2027-2028'!$K:$K,'TH theo DV_2028'!C33)/$D$1</f>
        <v>0</v>
      </c>
      <c r="S33" s="322">
        <f>SUMIFS('PL1.1 ML2027-2028'!$H:$H,'PL1.1 ML2027-2028'!$J:$J,"TD",'PL1.1 ML2027-2028'!$M:$M,"Mạng cáp",'PL1.1 ML2027-2028'!$K:$K,'TH theo DV_2028'!C33)/$D$1</f>
        <v>0.2321</v>
      </c>
      <c r="T33" s="322">
        <f>SUMIFS('PL1.1 ML2027-2028'!$H:$H,'PL1.1 ML2027-2028'!$J:$J,'TH theo DV_2028'!T$3,'PL1.1 ML2027-2028'!$K:$K,'TH theo DV_2028'!$C33)/$D$1</f>
        <v>0.78239899999999996</v>
      </c>
      <c r="U33" s="322">
        <f>SUMIFS('PL1.1 ML2027-2028'!$H:$H,'PL1.1 ML2027-2028'!$J:$J,'TH theo DV_2028'!U$3,'PL1.1 ML2027-2028'!$K:$K,'TH theo DV_2028'!$C33)/$D$1</f>
        <v>0</v>
      </c>
      <c r="V33" s="323">
        <f t="shared" si="26"/>
        <v>1.014499</v>
      </c>
      <c r="W33" s="332">
        <f t="shared" si="24"/>
        <v>3.6124065358886619E-2</v>
      </c>
      <c r="X33" s="59"/>
      <c r="Y33" s="108"/>
    </row>
    <row r="34" spans="1:28" s="20" customFormat="1" outlineLevel="1">
      <c r="A34" s="14">
        <v>4</v>
      </c>
      <c r="B34" s="81" t="s">
        <v>173</v>
      </c>
      <c r="C34" s="14" t="s">
        <v>174</v>
      </c>
      <c r="D34" s="326">
        <f>SUMIFS('PL1.1 ML2027-2028'!$G:$G,'PL1.1 ML2027-2028'!$J:$J,'TH theo DV_2028'!$D$3,'PL1.1 ML2027-2028'!$K:$K,'TH theo DV_2028'!C34)/$D$1</f>
        <v>0</v>
      </c>
      <c r="E34" s="80">
        <f>SUMIFS('PL1.1 ML2027-2028'!$G:$G,'PL1.1 ML2027-2028'!$J:$J,'TH theo DV_2028'!$E$3,'PL1.1 ML2027-2028'!$K:$K,'TH theo DV_2028'!C34)/$D$1</f>
        <v>0</v>
      </c>
      <c r="F34" s="80">
        <f>SUMIFS('PL1.1 ML2027-2028'!$G:$G,'PL1.1 ML2027-2028'!$J:$J,'TH theo DV_2028'!$F$3,'PL1.1 ML2027-2028'!$K:$K,'TH theo DV_2028'!C34)/$D$1</f>
        <v>0</v>
      </c>
      <c r="G34" s="58">
        <f>SUMIFS('PL1.1 ML2027-2028'!$G:$G,'PL1.1 ML2027-2028'!$J:$J,'TH theo DV_2028'!$G$3,'PL1.1 ML2027-2028'!$K:$K,'TH theo DV_2028'!C34)/$D$1</f>
        <v>0</v>
      </c>
      <c r="H34" s="322">
        <f>SUMIFS('PL1.1 ML2027-2028'!$G:$G,'PL1.1 ML2027-2028'!$J:$J,"TD",'PL1.1 ML2027-2028'!$M:$M,"IP",'PL1.1 ML2027-2028'!$K:$K,'TH theo DV_2028'!C34)/$D$1</f>
        <v>0</v>
      </c>
      <c r="I34" s="322">
        <f>SUMIFS('PL1.1 ML2027-2028'!$G:$G,'PL1.1 ML2027-2028'!$J:$J,"TD",'PL1.1 ML2027-2028'!$M:$M,"Mạng cáp",'PL1.1 ML2027-2028'!$K:$K,'TH theo DV_2028'!C34)/$D$1</f>
        <v>0</v>
      </c>
      <c r="J34" s="80">
        <f>SUMIFS('PL1.1 ML2027-2028'!$G:$G,'PL1.1 ML2027-2028'!$J:$J,'TH theo DV_2028'!$J$3,'PL1.1 ML2027-2028'!$K:$K,'TH theo DV_2028'!C34)/$D$1</f>
        <v>0</v>
      </c>
      <c r="K34" s="322">
        <f>SUMIFS('PL1.1 ML2027-2028'!$G:$G,'PL1.1 ML2027-2028'!$J:$J,'TH theo DV_2028'!K$3,'PL1.1 ML2027-2028'!$K:$K,'TH theo DV_2028'!C34)/$D$1</f>
        <v>0</v>
      </c>
      <c r="L34" s="323">
        <f t="shared" si="25"/>
        <v>0</v>
      </c>
      <c r="M34" s="59">
        <f t="shared" si="5"/>
        <v>0</v>
      </c>
      <c r="N34" s="58">
        <f>SUMIFS('PL1.1 ML2027-2028'!$H:$H,'PL1.1 ML2027-2028'!$J:$J,'TH theo DV_2028'!N$3,'PL1.1 ML2027-2028'!$K:$K,'TH theo DV_2028'!$C34)/$D$1</f>
        <v>0</v>
      </c>
      <c r="O34" s="58">
        <f>SUMIFS('PL1.1 ML2027-2028'!$H:$H,'PL1.1 ML2027-2028'!$J:$J,'TH theo DV_2028'!O$3,'PL1.1 ML2027-2028'!$K:$K,'TH theo DV_2028'!$C34)/$D$1</f>
        <v>0</v>
      </c>
      <c r="P34" s="58">
        <f>SUMIFS('PL1.1 ML2027-2028'!$H:$H,'PL1.1 ML2027-2028'!$J:$J,'TH theo DV_2028'!P$3,'PL1.1 ML2027-2028'!$K:$K,'TH theo DV_2028'!$C34)/$D$1</f>
        <v>0</v>
      </c>
      <c r="Q34" s="58">
        <f>SUMIFS('PL1.1 ML2027-2028'!$H:$H,'PL1.1 ML2027-2028'!$J:$J,'TH theo DV_2028'!Q$3,'PL1.1 ML2027-2028'!$K:$K,'TH theo DV_2028'!$C34)/$D$1</f>
        <v>0</v>
      </c>
      <c r="R34" s="322">
        <f>SUMIFS('PL1.1 ML2027-2028'!$H:$H,'PL1.1 ML2027-2028'!$J:$J,"TD",'PL1.1 ML2027-2028'!$M:$M,"IP",'PL1.1 ML2027-2028'!$K:$K,'TH theo DV_2028'!C34)/$D$1</f>
        <v>0</v>
      </c>
      <c r="S34" s="322">
        <f>SUMIFS('PL1.1 ML2027-2028'!$H:$H,'PL1.1 ML2027-2028'!$J:$J,"TD",'PL1.1 ML2027-2028'!$M:$M,"Mạng cáp",'PL1.1 ML2027-2028'!$K:$K,'TH theo DV_2028'!C34)/$D$1</f>
        <v>0</v>
      </c>
      <c r="T34" s="58">
        <f>SUMIFS('PL1.1 ML2027-2028'!$H:$H,'PL1.1 ML2027-2028'!$J:$J,'TH theo DV_2028'!T$3,'PL1.1 ML2027-2028'!$K:$K,'TH theo DV_2028'!$C34)/$D$1</f>
        <v>0</v>
      </c>
      <c r="U34" s="322">
        <f>SUMIFS('PL1.1 ML2027-2028'!$H:$H,'PL1.1 ML2027-2028'!$J:$J,'TH theo DV_2028'!U$3,'PL1.1 ML2027-2028'!$K:$K,'TH theo DV_2028'!$C34)/$D$1</f>
        <v>0</v>
      </c>
      <c r="V34" s="323">
        <f t="shared" si="26"/>
        <v>0</v>
      </c>
      <c r="W34" s="332">
        <f t="shared" si="24"/>
        <v>0</v>
      </c>
      <c r="X34" s="59"/>
      <c r="Y34" s="108"/>
      <c r="Z34" s="87"/>
      <c r="AA34" s="28"/>
    </row>
    <row r="35" spans="1:28" outlineLevel="1">
      <c r="A35" s="55" t="s">
        <v>26</v>
      </c>
      <c r="B35" s="103" t="s">
        <v>1383</v>
      </c>
      <c r="C35" s="82" t="s">
        <v>1384</v>
      </c>
      <c r="D35" s="671">
        <f>SUMIFS('PL1.1 ML2027-2028'!$G:$G,'PL1.1 ML2027-2028'!$J:$J,'TH theo DV_2028'!$D$3,'PL1.1 ML2027-2028'!$K:$K,'TH theo DV_2028'!C35)/$D$1</f>
        <v>0</v>
      </c>
      <c r="E35" s="671">
        <f>SUMIFS('PL1.1 ML2027-2028'!$G:$G,'PL1.1 ML2027-2028'!$J:$J,'TH theo DV_2028'!$E$3,'PL1.1 ML2027-2028'!$K:$K,'TH theo DV_2028'!C35)/$D$1</f>
        <v>0</v>
      </c>
      <c r="F35" s="671">
        <f>SUMIFS('PL1.1 ML2027-2028'!$G:$G,'PL1.1 ML2027-2028'!$J:$J,'TH theo DV_2028'!$F$3,'PL1.1 ML2027-2028'!$K:$K,'TH theo DV_2028'!C35)/$D$1</f>
        <v>0</v>
      </c>
      <c r="G35" s="671">
        <f>SUMIFS('PL1.1 ML2027-2028'!$G:$G,'PL1.1 ML2027-2028'!$J:$J,'TH theo DV_2028'!$G$3,'PL1.1 ML2027-2028'!$K:$K,'TH theo DV_2028'!C35)/$D$1</f>
        <v>0</v>
      </c>
      <c r="H35" s="671">
        <f>SUMIFS('PL1.1 ML2027-2028'!$G:$G,'PL1.1 ML2027-2028'!$J:$J,"TD",'PL1.1 ML2027-2028'!$M:$M,"IP",'PL1.1 ML2027-2028'!$K:$K,'TH theo DV_2028'!C35)/$D$1</f>
        <v>0</v>
      </c>
      <c r="I35" s="671">
        <f>SUMIFS('PL1.1 ML2027-2028'!$G:$G,'PL1.1 ML2027-2028'!$J:$J,"TD",'PL1.1 ML2027-2028'!$M:$M,"Mạng cáp",'PL1.1 ML2027-2028'!$K:$K,'TH theo DV_2028'!C35)/$D$1</f>
        <v>0</v>
      </c>
      <c r="J35" s="671">
        <f>SUMIFS('PL1.1 ML2027-2028'!$G:$G,'PL1.1 ML2027-2028'!$J:$J,'TH theo DV_2028'!$J$3,'PL1.1 ML2027-2028'!$K:$K,'TH theo DV_2028'!C35)/$D$1</f>
        <v>0</v>
      </c>
      <c r="K35" s="671">
        <f>SUMIFS('PL1.1 ML2027-2028'!$G:$G,'PL1.1 ML2027-2028'!$J:$J,'TH theo DV_2028'!K$3,'PL1.1 ML2027-2028'!$K:$K,'TH theo DV_2028'!C35)/$D$1</f>
        <v>0</v>
      </c>
      <c r="L35" s="672">
        <f t="shared" si="25"/>
        <v>0</v>
      </c>
      <c r="M35" s="106">
        <f t="shared" si="5"/>
        <v>0</v>
      </c>
      <c r="N35" s="673">
        <f>SUMIFS('PL1.1 ML2027-2028'!$H:$H,'PL1.1 ML2027-2028'!$J:$J,'TH theo DV_2028'!N$3,'PL1.1 ML2027-2028'!$K:$K,'TH theo DV_2028'!$C35)/$D$1</f>
        <v>0</v>
      </c>
      <c r="O35" s="673">
        <f>SUMIFS('PL1.1 ML2027-2028'!$H:$H,'PL1.1 ML2027-2028'!$J:$J,'TH theo DV_2028'!O$3,'PL1.1 ML2027-2028'!$K:$K,'TH theo DV_2028'!$C35)/$D$1</f>
        <v>0</v>
      </c>
      <c r="P35" s="673">
        <f>SUMIFS('PL1.1 ML2027-2028'!$H:$H,'PL1.1 ML2027-2028'!$J:$J,'TH theo DV_2028'!P$3,'PL1.1 ML2027-2028'!$K:$K,'TH theo DV_2028'!$C35)/$D$1</f>
        <v>0</v>
      </c>
      <c r="Q35" s="671">
        <f>SUMIFS('PL1.1 ML2027-2028'!$H:$H,'PL1.1 ML2027-2028'!$J:$J,'TH theo DV_2028'!Q$3,'PL1.1 ML2027-2028'!$K:$K,'TH theo DV_2028'!$C35)/$D$1</f>
        <v>2.38252</v>
      </c>
      <c r="R35" s="671">
        <f>SUMIFS('PL1.1 ML2027-2028'!$H:$H,'PL1.1 ML2027-2028'!$J:$J,"TD",'PL1.1 ML2027-2028'!$M:$M,"IP",'PL1.1 ML2027-2028'!$K:$K,'TH theo DV_2028'!C35)/$D$1</f>
        <v>0</v>
      </c>
      <c r="S35" s="671">
        <f>SUMIFS('PL1.1 ML2027-2028'!$H:$H,'PL1.1 ML2027-2028'!$J:$J,"TD",'PL1.1 ML2027-2028'!$M:$M,"Mạng cáp",'PL1.1 ML2027-2028'!$K:$K,'TH theo DV_2028'!C35)/$D$1</f>
        <v>0</v>
      </c>
      <c r="T35" s="673">
        <f>SUMIFS('PL1.1 ML2027-2028'!$H:$H,'PL1.1 ML2027-2028'!$J:$J,'TH theo DV_2028'!T$3,'PL1.1 ML2027-2028'!$K:$K,'TH theo DV_2028'!$C35)/$D$1</f>
        <v>0</v>
      </c>
      <c r="U35" s="671">
        <f>SUMIFS('PL1.1 ML2027-2028'!$H:$H,'PL1.1 ML2027-2028'!$J:$J,'TH theo DV_2028'!U$3,'PL1.1 ML2027-2028'!$K:$K,'TH theo DV_2028'!$C35)/$D$1</f>
        <v>0</v>
      </c>
      <c r="V35" s="672">
        <f t="shared" si="26"/>
        <v>2.38252</v>
      </c>
      <c r="W35" s="106">
        <f t="shared" si="24"/>
        <v>8.4836267161283105E-2</v>
      </c>
      <c r="X35" s="106"/>
    </row>
    <row r="36" spans="1:28" s="20" customFormat="1">
      <c r="A36" s="93"/>
      <c r="B36" s="94"/>
      <c r="C36" s="95"/>
      <c r="D36" s="96"/>
      <c r="E36" s="97"/>
      <c r="F36" s="96"/>
      <c r="G36" s="96"/>
      <c r="H36" s="97"/>
      <c r="I36" s="97"/>
      <c r="J36" s="96"/>
      <c r="K36" s="96"/>
      <c r="L36" s="98"/>
      <c r="M36" s="99"/>
      <c r="N36" s="96"/>
      <c r="O36" s="96"/>
      <c r="P36" s="96"/>
      <c r="Q36" s="96"/>
      <c r="R36" s="97"/>
      <c r="S36" s="97"/>
      <c r="T36" s="96"/>
      <c r="U36" s="96"/>
      <c r="V36" s="98"/>
      <c r="W36" s="3"/>
      <c r="X36" s="3"/>
      <c r="Y36" s="3"/>
      <c r="Z36" s="3"/>
      <c r="AA36" s="3"/>
      <c r="AB36" s="3"/>
    </row>
    <row r="37" spans="1:28">
      <c r="D37" s="11"/>
      <c r="E37" s="11"/>
      <c r="F37" s="11"/>
      <c r="G37" s="11"/>
      <c r="H37" s="11"/>
      <c r="I37" s="11"/>
      <c r="J37" s="11"/>
      <c r="K37" s="11"/>
      <c r="L37" s="11"/>
      <c r="M37" s="11" t="e">
        <f>#REF!-#REF!</f>
        <v>#REF!</v>
      </c>
      <c r="N37" s="11" t="e">
        <f>#REF!-#REF!</f>
        <v>#REF!</v>
      </c>
      <c r="O37" s="11" t="e">
        <f>#REF!-#REF!</f>
        <v>#REF!</v>
      </c>
      <c r="P37" s="11" t="e">
        <f>#REF!-#REF!</f>
        <v>#REF!</v>
      </c>
      <c r="Q37" s="11"/>
      <c r="R37" s="11"/>
      <c r="S37" s="11"/>
      <c r="U37" s="11"/>
      <c r="Y37" s="3"/>
    </row>
    <row r="38" spans="1:28" outlineLevel="1">
      <c r="B38" s="20"/>
      <c r="C38" s="20"/>
      <c r="D38" s="51"/>
      <c r="E38" s="51"/>
      <c r="F38" s="51"/>
      <c r="G38" s="51"/>
      <c r="H38" s="51"/>
      <c r="I38" s="51"/>
      <c r="J38" s="35"/>
      <c r="K38" s="35"/>
      <c r="L38" s="51"/>
      <c r="M38" s="20"/>
      <c r="R38" s="51"/>
      <c r="S38" s="51"/>
      <c r="U38" s="35"/>
      <c r="V38" s="674">
        <f>V4-V35</f>
        <v>25.701223895409338</v>
      </c>
      <c r="Y38" s="3"/>
    </row>
    <row r="39" spans="1:28">
      <c r="C39" s="3"/>
      <c r="M39" s="3"/>
    </row>
    <row r="40" spans="1:28">
      <c r="C40" s="3"/>
      <c r="M40" s="3"/>
    </row>
    <row r="41" spans="1:28" s="29" customFormat="1">
      <c r="B41" s="3"/>
      <c r="C41" s="3"/>
      <c r="D41" s="3"/>
      <c r="E41" s="3"/>
      <c r="F41" s="3"/>
      <c r="G41" s="3"/>
      <c r="H41" s="3"/>
      <c r="I41" s="3"/>
      <c r="J41" s="3"/>
      <c r="K41" s="3"/>
      <c r="L41" s="3"/>
      <c r="M41" s="3"/>
      <c r="N41" s="3"/>
      <c r="O41" s="3"/>
      <c r="P41" s="3"/>
      <c r="Q41" s="3"/>
      <c r="R41" s="3"/>
      <c r="S41" s="3"/>
      <c r="T41" s="3"/>
      <c r="U41" s="3"/>
      <c r="W41" s="3"/>
      <c r="Y41" s="107"/>
    </row>
    <row r="42" spans="1:28" s="29" customFormat="1">
      <c r="B42" s="3"/>
      <c r="C42" s="3"/>
      <c r="D42" s="3"/>
      <c r="E42" s="3"/>
      <c r="F42" s="3"/>
      <c r="G42" s="3"/>
      <c r="H42" s="3"/>
      <c r="I42" s="3"/>
      <c r="J42" s="3"/>
      <c r="K42" s="3"/>
      <c r="L42" s="3"/>
      <c r="M42" s="88"/>
      <c r="R42" s="3"/>
      <c r="S42" s="3"/>
      <c r="U42" s="3"/>
      <c r="Y42" s="107"/>
    </row>
    <row r="43" spans="1:28">
      <c r="C43" s="3"/>
    </row>
    <row r="44" spans="1:28" s="29" customFormat="1">
      <c r="B44" s="3"/>
      <c r="C44" s="3"/>
      <c r="D44" s="3"/>
      <c r="E44" s="3"/>
      <c r="F44" s="3"/>
      <c r="G44" s="3"/>
      <c r="H44" s="3"/>
      <c r="I44" s="3"/>
      <c r="J44" s="3"/>
      <c r="K44" s="3"/>
      <c r="L44" s="3"/>
      <c r="M44" s="88"/>
      <c r="R44" s="3"/>
      <c r="S44" s="3"/>
      <c r="U44" s="3"/>
      <c r="Y44" s="107"/>
    </row>
    <row r="45" spans="1:28" s="29" customFormat="1">
      <c r="B45" s="3"/>
      <c r="C45" s="3"/>
      <c r="D45" s="3"/>
      <c r="E45" s="3"/>
      <c r="F45" s="3"/>
      <c r="G45" s="3"/>
      <c r="H45" s="3"/>
      <c r="I45" s="3"/>
      <c r="J45" s="3"/>
      <c r="K45" s="3"/>
      <c r="L45" s="3"/>
      <c r="M45" s="88"/>
      <c r="R45" s="3"/>
      <c r="S45" s="3"/>
      <c r="U45" s="3"/>
      <c r="Y45" s="107"/>
    </row>
    <row r="46" spans="1:28">
      <c r="C46" s="3"/>
    </row>
    <row r="47" spans="1:28">
      <c r="C47" s="3"/>
    </row>
    <row r="48" spans="1:28">
      <c r="C48" s="3"/>
    </row>
    <row r="49" spans="3:3">
      <c r="C49" s="3"/>
    </row>
    <row r="50" spans="3:3">
      <c r="C50" s="3"/>
    </row>
    <row r="51" spans="3:3">
      <c r="C51" s="3"/>
    </row>
    <row r="52" spans="3:3">
      <c r="C52" s="3"/>
    </row>
  </sheetData>
  <mergeCells count="3">
    <mergeCell ref="D2:M2"/>
    <mergeCell ref="N2:W2"/>
    <mergeCell ref="X2:X3"/>
  </mergeCells>
  <pageMargins left="0.7" right="0.7" top="0.75" bottom="0.75" header="0.3" footer="0.3"/>
  <pageSetup paperSize="9" orientation="portrait"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Mã!$B$4:$B$13</xm:f>
          </x14:formula1>
          <xm:sqref>K3 U3</xm:sqref>
        </x14:dataValidation>
        <x14:dataValidation type="list" allowBlank="1" showInputMessage="1" showErrorMessage="1">
          <x14:formula1>
            <xm:f>Mã!$C$4:$C$33</xm:f>
          </x14:formula1>
          <xm:sqref>C28:C29</xm:sqref>
        </x14:dataValidation>
        <x14:dataValidation type="list" allowBlank="1" showInputMessage="1" showErrorMessage="1">
          <x14:formula1>
            <xm:f>Mã!$C$4:$C$30</xm:f>
          </x14:formula1>
          <xm:sqref>C7:C27 C30:C36</xm:sqref>
        </x14:dataValidation>
        <x14:dataValidation type="list" allowBlank="1" showInputMessage="1" showErrorMessage="1">
          <x14:formula1>
            <xm:f>Mã!$C$4:$C$26</xm:f>
          </x14:formula1>
          <xm:sqref>C6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7"/>
  <sheetViews>
    <sheetView zoomScale="98" zoomScaleNormal="98" workbookViewId="0">
      <selection activeCell="A108" sqref="A108"/>
    </sheetView>
  </sheetViews>
  <sheetFormatPr defaultRowHeight="14.5"/>
  <cols>
    <col min="1" max="1" width="8.81640625" bestFit="1" customWidth="1"/>
    <col min="2" max="2" width="10.6328125" customWidth="1"/>
    <col min="3" max="3" width="10.1796875" bestFit="1" customWidth="1"/>
    <col min="4" max="5" width="8.81640625" bestFit="1" customWidth="1"/>
    <col min="6" max="6" width="41.54296875" customWidth="1"/>
    <col min="7" max="7" width="45.453125" customWidth="1"/>
  </cols>
  <sheetData>
    <row r="1" spans="1:7">
      <c r="D1" s="675" t="s">
        <v>1390</v>
      </c>
    </row>
    <row r="3" spans="1:7" ht="15" thickBot="1">
      <c r="A3" s="676" t="s">
        <v>1391</v>
      </c>
    </row>
    <row r="4" spans="1:7" ht="15" thickBot="1">
      <c r="A4" s="798" t="s">
        <v>1392</v>
      </c>
      <c r="B4" s="798" t="s">
        <v>1393</v>
      </c>
      <c r="C4" s="798" t="s">
        <v>72</v>
      </c>
      <c r="D4" s="798">
        <v>2027</v>
      </c>
      <c r="E4" s="798">
        <v>2028</v>
      </c>
      <c r="F4" s="800"/>
      <c r="G4" s="801"/>
    </row>
    <row r="5" spans="1:7" ht="15" thickBot="1">
      <c r="A5" s="799"/>
      <c r="B5" s="799"/>
      <c r="C5" s="799"/>
      <c r="D5" s="799"/>
      <c r="E5" s="799"/>
      <c r="F5" s="677" t="s">
        <v>1394</v>
      </c>
      <c r="G5" s="677" t="s">
        <v>1395</v>
      </c>
    </row>
    <row r="6" spans="1:7" ht="15" thickBot="1">
      <c r="A6" s="802" t="s">
        <v>72</v>
      </c>
      <c r="B6" s="803"/>
      <c r="C6" s="678">
        <v>15.63</v>
      </c>
      <c r="D6" s="678">
        <v>8.2200000000000006</v>
      </c>
      <c r="E6" s="678">
        <v>7.41</v>
      </c>
      <c r="F6" s="679"/>
      <c r="G6" s="679"/>
    </row>
    <row r="7" spans="1:7" ht="26.5" thickBot="1">
      <c r="A7" s="680">
        <v>1</v>
      </c>
      <c r="B7" s="681" t="s">
        <v>16</v>
      </c>
      <c r="C7" s="681">
        <v>1.93</v>
      </c>
      <c r="D7" s="680">
        <v>1.21</v>
      </c>
      <c r="E7" s="680">
        <v>0.73</v>
      </c>
      <c r="F7" s="682" t="s">
        <v>1397</v>
      </c>
      <c r="G7" s="682" t="s">
        <v>1398</v>
      </c>
    </row>
    <row r="8" spans="1:7" ht="130.5" thickBot="1">
      <c r="A8" s="687">
        <v>2</v>
      </c>
      <c r="B8" s="688" t="s">
        <v>22</v>
      </c>
      <c r="C8" s="688">
        <v>12.8</v>
      </c>
      <c r="D8" s="687">
        <v>6.4</v>
      </c>
      <c r="E8" s="687">
        <v>6.4</v>
      </c>
      <c r="F8" s="686" t="s">
        <v>1401</v>
      </c>
      <c r="G8" s="686" t="s">
        <v>1402</v>
      </c>
    </row>
    <row r="9" spans="1:7" ht="39.5" thickBot="1">
      <c r="A9" s="680">
        <v>3</v>
      </c>
      <c r="B9" s="681" t="s">
        <v>267</v>
      </c>
      <c r="C9" s="681">
        <v>0.36</v>
      </c>
      <c r="D9" s="680">
        <v>0.36</v>
      </c>
      <c r="E9" s="684"/>
      <c r="F9" s="682" t="s">
        <v>1399</v>
      </c>
      <c r="G9" s="685"/>
    </row>
    <row r="10" spans="1:7" ht="26.5" thickBot="1">
      <c r="A10" s="680">
        <v>4</v>
      </c>
      <c r="B10" s="681" t="s">
        <v>1396</v>
      </c>
      <c r="C10" s="681">
        <v>0.5</v>
      </c>
      <c r="D10" s="680">
        <v>0.25</v>
      </c>
      <c r="E10" s="680">
        <v>0.25</v>
      </c>
      <c r="F10" s="682" t="s">
        <v>1400</v>
      </c>
      <c r="G10" s="682" t="s">
        <v>1400</v>
      </c>
    </row>
    <row r="12" spans="1:7">
      <c r="A12" s="676" t="s">
        <v>1403</v>
      </c>
    </row>
    <row r="13" spans="1:7">
      <c r="A13" s="783" t="s">
        <v>0</v>
      </c>
      <c r="B13" s="783" t="s">
        <v>77</v>
      </c>
      <c r="C13" s="783" t="s">
        <v>72</v>
      </c>
      <c r="D13" s="783">
        <v>2027</v>
      </c>
      <c r="E13" s="783">
        <v>2028</v>
      </c>
      <c r="F13" s="781"/>
      <c r="G13" s="782"/>
    </row>
    <row r="14" spans="1:7">
      <c r="A14" s="784"/>
      <c r="B14" s="784"/>
      <c r="C14" s="784"/>
      <c r="D14" s="784"/>
      <c r="E14" s="784"/>
      <c r="F14" s="689">
        <v>2027</v>
      </c>
      <c r="G14" s="689">
        <v>2028</v>
      </c>
    </row>
    <row r="15" spans="1:7" ht="78.5">
      <c r="A15" s="690"/>
      <c r="B15" s="691" t="s">
        <v>72</v>
      </c>
      <c r="C15" s="691">
        <v>5.04</v>
      </c>
      <c r="D15" s="691">
        <v>4.5</v>
      </c>
      <c r="E15" s="691">
        <v>0.55000000000000004</v>
      </c>
      <c r="F15" s="692" t="s">
        <v>1404</v>
      </c>
      <c r="G15" s="692" t="s">
        <v>1405</v>
      </c>
    </row>
    <row r="16" spans="1:7" ht="39">
      <c r="A16" s="693">
        <v>1</v>
      </c>
      <c r="B16" s="693" t="s">
        <v>1406</v>
      </c>
      <c r="C16" s="693" t="s">
        <v>1407</v>
      </c>
      <c r="D16" s="693" t="s">
        <v>1407</v>
      </c>
      <c r="E16" s="693" t="s">
        <v>1407</v>
      </c>
      <c r="F16" s="690" t="s">
        <v>1408</v>
      </c>
      <c r="G16" s="690" t="s">
        <v>1408</v>
      </c>
    </row>
    <row r="17" spans="1:7" ht="208.5">
      <c r="A17" s="695">
        <v>2</v>
      </c>
      <c r="B17" s="695" t="s">
        <v>1409</v>
      </c>
      <c r="C17" s="695">
        <v>3.45</v>
      </c>
      <c r="D17" s="695">
        <v>3.01</v>
      </c>
      <c r="E17" s="695">
        <v>0.45</v>
      </c>
      <c r="F17" s="694" t="s">
        <v>1412</v>
      </c>
      <c r="G17" s="696" t="s">
        <v>1410</v>
      </c>
    </row>
    <row r="18" spans="1:7" ht="78.5">
      <c r="A18" s="695">
        <v>3</v>
      </c>
      <c r="B18" s="695" t="s">
        <v>267</v>
      </c>
      <c r="C18" s="695">
        <v>1.39</v>
      </c>
      <c r="D18" s="695">
        <v>1.39</v>
      </c>
      <c r="E18" s="695" t="s">
        <v>1407</v>
      </c>
      <c r="F18" s="697" t="s">
        <v>1413</v>
      </c>
      <c r="G18" s="696"/>
    </row>
    <row r="19" spans="1:7" ht="26">
      <c r="A19" s="693" t="s">
        <v>491</v>
      </c>
      <c r="B19" s="693" t="s">
        <v>1411</v>
      </c>
      <c r="C19" s="693">
        <v>0.2</v>
      </c>
      <c r="D19" s="693">
        <v>0.1</v>
      </c>
      <c r="E19" s="693">
        <v>0.1</v>
      </c>
      <c r="F19" s="692" t="s">
        <v>1358</v>
      </c>
      <c r="G19" s="690" t="s">
        <v>1358</v>
      </c>
    </row>
    <row r="21" spans="1:7" ht="15" thickBot="1">
      <c r="A21" s="676" t="s">
        <v>1414</v>
      </c>
    </row>
    <row r="22" spans="1:7" ht="15" thickBot="1">
      <c r="A22" s="796" t="s">
        <v>0</v>
      </c>
      <c r="B22" s="796" t="s">
        <v>1415</v>
      </c>
      <c r="C22" s="796" t="s">
        <v>72</v>
      </c>
      <c r="D22" s="796" t="s">
        <v>1394</v>
      </c>
      <c r="E22" s="796" t="s">
        <v>1395</v>
      </c>
      <c r="F22" s="794" t="s">
        <v>1416</v>
      </c>
      <c r="G22" s="795"/>
    </row>
    <row r="23" spans="1:7" ht="15" thickBot="1">
      <c r="A23" s="797"/>
      <c r="B23" s="797"/>
      <c r="C23" s="797"/>
      <c r="D23" s="797"/>
      <c r="E23" s="797"/>
      <c r="F23" s="698" t="s">
        <v>1394</v>
      </c>
      <c r="G23" s="698" t="s">
        <v>1395</v>
      </c>
    </row>
    <row r="24" spans="1:7" ht="15" thickBot="1">
      <c r="A24" s="792" t="s">
        <v>1417</v>
      </c>
      <c r="B24" s="793"/>
      <c r="C24" s="681">
        <v>0.72</v>
      </c>
      <c r="D24" s="681">
        <v>0.42</v>
      </c>
      <c r="E24" s="681">
        <v>0.3</v>
      </c>
      <c r="F24" s="681"/>
      <c r="G24" s="684"/>
    </row>
    <row r="25" spans="1:7" ht="39.5" thickBot="1">
      <c r="A25" s="680">
        <v>1</v>
      </c>
      <c r="B25" s="681" t="s">
        <v>147</v>
      </c>
      <c r="C25" s="680">
        <v>0.46</v>
      </c>
      <c r="D25" s="681">
        <v>0.26</v>
      </c>
      <c r="E25" s="681">
        <v>0.2</v>
      </c>
      <c r="F25" s="682" t="s">
        <v>1418</v>
      </c>
      <c r="G25" s="682" t="s">
        <v>1419</v>
      </c>
    </row>
    <row r="26" spans="1:7" ht="26.5" thickBot="1">
      <c r="A26" s="680">
        <v>2</v>
      </c>
      <c r="B26" s="681" t="s">
        <v>1420</v>
      </c>
      <c r="C26" s="681">
        <v>0.26</v>
      </c>
      <c r="D26" s="681">
        <v>0.16</v>
      </c>
      <c r="E26" s="681">
        <v>0.1</v>
      </c>
      <c r="F26" s="682" t="s">
        <v>1421</v>
      </c>
      <c r="G26" s="682" t="s">
        <v>1421</v>
      </c>
    </row>
    <row r="28" spans="1:7">
      <c r="A28" s="676" t="s">
        <v>1422</v>
      </c>
    </row>
    <row r="29" spans="1:7">
      <c r="A29" s="789" t="s">
        <v>0</v>
      </c>
      <c r="B29" s="789" t="s">
        <v>1415</v>
      </c>
      <c r="C29" s="789" t="s">
        <v>72</v>
      </c>
      <c r="D29" s="789">
        <v>2027</v>
      </c>
      <c r="E29" s="789">
        <v>2028</v>
      </c>
      <c r="F29" s="789" t="s">
        <v>1416</v>
      </c>
      <c r="G29" s="789"/>
    </row>
    <row r="30" spans="1:7">
      <c r="A30" s="789"/>
      <c r="B30" s="789"/>
      <c r="C30" s="789"/>
      <c r="D30" s="789"/>
      <c r="E30" s="789"/>
      <c r="F30" s="699">
        <v>2027</v>
      </c>
      <c r="G30" s="699">
        <v>2028</v>
      </c>
    </row>
    <row r="31" spans="1:7" ht="53" customHeight="1">
      <c r="A31" s="700"/>
      <c r="B31" s="700" t="s">
        <v>72</v>
      </c>
      <c r="C31" s="700" t="s">
        <v>1423</v>
      </c>
      <c r="D31" s="700" t="s">
        <v>1424</v>
      </c>
      <c r="E31" s="700" t="s">
        <v>1425</v>
      </c>
      <c r="F31" s="790" t="s">
        <v>1448</v>
      </c>
      <c r="G31" s="791"/>
    </row>
    <row r="32" spans="1:7" ht="26">
      <c r="A32" s="700" t="s">
        <v>13</v>
      </c>
      <c r="B32" s="701" t="s">
        <v>1426</v>
      </c>
      <c r="C32" s="700" t="s">
        <v>1427</v>
      </c>
      <c r="D32" s="700" t="s">
        <v>1428</v>
      </c>
      <c r="E32" s="700" t="s">
        <v>1429</v>
      </c>
      <c r="F32" s="788"/>
      <c r="G32" s="788"/>
    </row>
    <row r="33" spans="1:7" ht="78">
      <c r="A33" s="702">
        <v>1</v>
      </c>
      <c r="B33" s="703" t="s">
        <v>1430</v>
      </c>
      <c r="C33" s="700" t="s">
        <v>1431</v>
      </c>
      <c r="D33" s="702" t="s">
        <v>1432</v>
      </c>
      <c r="E33" s="702" t="s">
        <v>1433</v>
      </c>
      <c r="F33" s="704" t="s">
        <v>1449</v>
      </c>
      <c r="G33" s="704" t="s">
        <v>1443</v>
      </c>
    </row>
    <row r="34" spans="1:7" ht="39">
      <c r="A34" s="702" t="s">
        <v>428</v>
      </c>
      <c r="B34" s="703" t="s">
        <v>1434</v>
      </c>
      <c r="C34" s="700" t="s">
        <v>1435</v>
      </c>
      <c r="D34" s="702" t="s">
        <v>1436</v>
      </c>
      <c r="E34" s="702" t="s">
        <v>1437</v>
      </c>
      <c r="F34" s="704" t="s">
        <v>1444</v>
      </c>
      <c r="G34" s="704" t="s">
        <v>1445</v>
      </c>
    </row>
    <row r="35" spans="1:7" ht="39">
      <c r="A35" s="702">
        <v>3</v>
      </c>
      <c r="B35" s="703" t="s">
        <v>336</v>
      </c>
      <c r="C35" s="700" t="s">
        <v>1438</v>
      </c>
      <c r="D35" s="700" t="s">
        <v>1439</v>
      </c>
      <c r="E35" s="700" t="s">
        <v>1440</v>
      </c>
      <c r="F35" s="704" t="s">
        <v>1446</v>
      </c>
      <c r="G35" s="704" t="s">
        <v>1447</v>
      </c>
    </row>
    <row r="36" spans="1:7" ht="79" customHeight="1">
      <c r="A36" s="700" t="s">
        <v>40</v>
      </c>
      <c r="B36" s="701" t="s">
        <v>1441</v>
      </c>
      <c r="C36" s="700" t="s">
        <v>1442</v>
      </c>
      <c r="D36" s="702"/>
      <c r="E36" s="702" t="s">
        <v>1442</v>
      </c>
      <c r="F36" s="705"/>
      <c r="G36" s="706" t="s">
        <v>1450</v>
      </c>
    </row>
    <row r="38" spans="1:7">
      <c r="A38" s="676" t="s">
        <v>1471</v>
      </c>
    </row>
    <row r="39" spans="1:7" ht="30" customHeight="1">
      <c r="A39" s="785" t="s">
        <v>0</v>
      </c>
      <c r="B39" s="785" t="s">
        <v>1415</v>
      </c>
      <c r="C39" s="785" t="s">
        <v>72</v>
      </c>
      <c r="D39" s="785" t="s">
        <v>1394</v>
      </c>
      <c r="E39" s="785" t="s">
        <v>1395</v>
      </c>
      <c r="F39" s="786"/>
      <c r="G39" s="786"/>
    </row>
    <row r="40" spans="1:7">
      <c r="A40" s="785"/>
      <c r="B40" s="785"/>
      <c r="C40" s="785"/>
      <c r="D40" s="785"/>
      <c r="E40" s="785"/>
      <c r="F40" s="707" t="s">
        <v>1394</v>
      </c>
      <c r="G40" s="707" t="s">
        <v>1395</v>
      </c>
    </row>
    <row r="41" spans="1:7">
      <c r="A41" s="787" t="s">
        <v>1417</v>
      </c>
      <c r="B41" s="787"/>
      <c r="C41" s="700" t="s">
        <v>1451</v>
      </c>
      <c r="D41" s="700" t="s">
        <v>1452</v>
      </c>
      <c r="E41" s="700" t="s">
        <v>1453</v>
      </c>
      <c r="F41" s="700"/>
      <c r="G41" s="658"/>
    </row>
    <row r="42" spans="1:7" ht="52">
      <c r="A42" s="702">
        <v>1</v>
      </c>
      <c r="B42" s="703" t="s">
        <v>1454</v>
      </c>
      <c r="C42" s="700" t="s">
        <v>1455</v>
      </c>
      <c r="D42" s="702" t="s">
        <v>1456</v>
      </c>
      <c r="E42" s="702" t="s">
        <v>1457</v>
      </c>
      <c r="F42" s="703" t="s">
        <v>1458</v>
      </c>
      <c r="G42" s="703" t="s">
        <v>1459</v>
      </c>
    </row>
    <row r="43" spans="1:7" ht="26">
      <c r="A43" s="702">
        <v>2</v>
      </c>
      <c r="B43" s="703" t="s">
        <v>957</v>
      </c>
      <c r="C43" s="700" t="s">
        <v>1460</v>
      </c>
      <c r="D43" s="703" t="s">
        <v>1461</v>
      </c>
      <c r="E43" s="702" t="s">
        <v>1462</v>
      </c>
      <c r="F43" s="703" t="s">
        <v>1463</v>
      </c>
      <c r="G43" s="703" t="s">
        <v>1464</v>
      </c>
    </row>
    <row r="44" spans="1:7" ht="26">
      <c r="A44" s="702">
        <v>3</v>
      </c>
      <c r="B44" s="703" t="s">
        <v>159</v>
      </c>
      <c r="C44" s="700" t="s">
        <v>1465</v>
      </c>
      <c r="D44" s="702" t="s">
        <v>1466</v>
      </c>
      <c r="E44" s="658"/>
      <c r="F44" s="703" t="s">
        <v>1467</v>
      </c>
      <c r="G44" s="705"/>
    </row>
    <row r="45" spans="1:7" ht="26">
      <c r="A45" s="702">
        <v>4</v>
      </c>
      <c r="B45" s="703" t="s">
        <v>1396</v>
      </c>
      <c r="C45" s="700" t="s">
        <v>1468</v>
      </c>
      <c r="D45" s="702" t="s">
        <v>1469</v>
      </c>
      <c r="E45" s="702" t="s">
        <v>1469</v>
      </c>
      <c r="F45" s="703" t="s">
        <v>1470</v>
      </c>
      <c r="G45" s="703" t="s">
        <v>1470</v>
      </c>
    </row>
    <row r="47" spans="1:7" ht="15.5">
      <c r="A47" s="708" t="s">
        <v>1472</v>
      </c>
    </row>
    <row r="48" spans="1:7" ht="30" customHeight="1">
      <c r="A48" s="785" t="s">
        <v>0</v>
      </c>
      <c r="B48" s="785" t="s">
        <v>1415</v>
      </c>
      <c r="C48" s="785" t="s">
        <v>72</v>
      </c>
      <c r="D48" s="785" t="s">
        <v>1394</v>
      </c>
      <c r="E48" s="785" t="s">
        <v>1395</v>
      </c>
      <c r="F48" s="786"/>
      <c r="G48" s="786"/>
    </row>
    <row r="49" spans="1:7">
      <c r="A49" s="785"/>
      <c r="B49" s="785"/>
      <c r="C49" s="785"/>
      <c r="D49" s="785"/>
      <c r="E49" s="785"/>
      <c r="F49" s="707" t="s">
        <v>1394</v>
      </c>
      <c r="G49" s="707" t="s">
        <v>1395</v>
      </c>
    </row>
    <row r="50" spans="1:7">
      <c r="A50" s="787" t="s">
        <v>1417</v>
      </c>
      <c r="B50" s="787"/>
      <c r="C50" s="700" t="s">
        <v>1473</v>
      </c>
      <c r="D50" s="700" t="s">
        <v>1474</v>
      </c>
      <c r="E50" s="700" t="s">
        <v>1475</v>
      </c>
      <c r="F50" s="700"/>
      <c r="G50" s="658"/>
    </row>
    <row r="51" spans="1:7" ht="52">
      <c r="A51" s="702">
        <v>1</v>
      </c>
      <c r="B51" s="703" t="s">
        <v>1476</v>
      </c>
      <c r="C51" s="702" t="s">
        <v>1477</v>
      </c>
      <c r="D51" s="702" t="s">
        <v>1478</v>
      </c>
      <c r="E51" s="702" t="s">
        <v>1479</v>
      </c>
      <c r="F51" s="709" t="s">
        <v>1491</v>
      </c>
      <c r="G51" s="703" t="s">
        <v>1480</v>
      </c>
    </row>
    <row r="52" spans="1:7" ht="152" customHeight="1">
      <c r="A52" s="702">
        <v>2</v>
      </c>
      <c r="B52" s="703" t="s">
        <v>1481</v>
      </c>
      <c r="C52" s="702" t="s">
        <v>1482</v>
      </c>
      <c r="D52" s="702" t="s">
        <v>1483</v>
      </c>
      <c r="E52" s="702" t="s">
        <v>1484</v>
      </c>
      <c r="F52" s="709" t="s">
        <v>1492</v>
      </c>
      <c r="G52" s="703" t="s">
        <v>1485</v>
      </c>
    </row>
    <row r="53" spans="1:7" ht="65">
      <c r="A53" s="702">
        <v>3</v>
      </c>
      <c r="B53" s="703" t="s">
        <v>1486</v>
      </c>
      <c r="C53" s="702" t="s">
        <v>1487</v>
      </c>
      <c r="D53" s="702" t="s">
        <v>1488</v>
      </c>
      <c r="E53" s="702" t="s">
        <v>1489</v>
      </c>
      <c r="F53" s="703" t="s">
        <v>1493</v>
      </c>
      <c r="G53" s="703" t="s">
        <v>1490</v>
      </c>
    </row>
    <row r="55" spans="1:7" ht="15.5">
      <c r="A55" s="708" t="s">
        <v>1494</v>
      </c>
    </row>
    <row r="56" spans="1:7" ht="26.5" customHeight="1">
      <c r="A56" s="785" t="s">
        <v>79</v>
      </c>
      <c r="B56" s="785" t="s">
        <v>1415</v>
      </c>
      <c r="C56" s="785" t="s">
        <v>72</v>
      </c>
      <c r="D56" s="785">
        <v>2027</v>
      </c>
      <c r="E56" s="785">
        <v>2028</v>
      </c>
      <c r="F56" s="785" t="s">
        <v>1416</v>
      </c>
      <c r="G56" s="785"/>
    </row>
    <row r="57" spans="1:7">
      <c r="A57" s="785"/>
      <c r="B57" s="785"/>
      <c r="C57" s="785"/>
      <c r="D57" s="785"/>
      <c r="E57" s="785"/>
      <c r="F57" s="707">
        <v>2027</v>
      </c>
      <c r="G57" s="707">
        <v>2028</v>
      </c>
    </row>
    <row r="58" spans="1:7">
      <c r="A58" s="658"/>
      <c r="B58" s="700" t="s">
        <v>1417</v>
      </c>
      <c r="C58" s="714">
        <v>2.62</v>
      </c>
      <c r="D58" s="714">
        <v>1.65</v>
      </c>
      <c r="E58" s="714">
        <v>0.97</v>
      </c>
      <c r="F58" s="701"/>
      <c r="G58" s="715"/>
    </row>
    <row r="59" spans="1:7" ht="117">
      <c r="A59" s="702">
        <v>1</v>
      </c>
      <c r="B59" s="703" t="s">
        <v>1495</v>
      </c>
      <c r="C59" s="714">
        <v>0.47</v>
      </c>
      <c r="D59" s="716">
        <v>0.33</v>
      </c>
      <c r="E59" s="716">
        <v>0.13</v>
      </c>
      <c r="F59" s="703" t="s">
        <v>1497</v>
      </c>
      <c r="G59" s="703" t="s">
        <v>1498</v>
      </c>
    </row>
    <row r="60" spans="1:7" ht="91">
      <c r="A60" s="702" t="s">
        <v>428</v>
      </c>
      <c r="B60" s="703" t="s">
        <v>1496</v>
      </c>
      <c r="C60" s="714">
        <v>2.15</v>
      </c>
      <c r="D60" s="716">
        <v>1.31</v>
      </c>
      <c r="E60" s="716">
        <v>0.84</v>
      </c>
      <c r="F60" s="703" t="s">
        <v>1499</v>
      </c>
      <c r="G60" s="703" t="s">
        <v>1500</v>
      </c>
    </row>
    <row r="62" spans="1:7" ht="15.5">
      <c r="A62" s="708" t="s">
        <v>1501</v>
      </c>
    </row>
    <row r="63" spans="1:7" ht="26.5" customHeight="1">
      <c r="A63" s="783" t="s">
        <v>0</v>
      </c>
      <c r="B63" s="783" t="s">
        <v>1415</v>
      </c>
      <c r="C63" s="783" t="s">
        <v>72</v>
      </c>
      <c r="D63" s="783">
        <v>2027</v>
      </c>
      <c r="E63" s="783">
        <v>2028</v>
      </c>
      <c r="F63" s="781"/>
      <c r="G63" s="782"/>
    </row>
    <row r="64" spans="1:7">
      <c r="A64" s="784"/>
      <c r="B64" s="784"/>
      <c r="C64" s="784"/>
      <c r="D64" s="784"/>
      <c r="E64" s="784"/>
      <c r="F64" s="689">
        <v>2027</v>
      </c>
      <c r="G64" s="689">
        <v>2028</v>
      </c>
    </row>
    <row r="65" spans="1:7">
      <c r="A65" s="693"/>
      <c r="B65" s="691" t="s">
        <v>72</v>
      </c>
      <c r="C65" s="711">
        <v>6.7</v>
      </c>
      <c r="D65" s="711">
        <v>3.83</v>
      </c>
      <c r="E65" s="711">
        <v>2.87</v>
      </c>
      <c r="F65" s="717"/>
      <c r="G65" s="717"/>
    </row>
    <row r="66" spans="1:7" ht="26">
      <c r="A66" s="691" t="s">
        <v>4</v>
      </c>
      <c r="B66" s="718" t="s">
        <v>1502</v>
      </c>
      <c r="C66" s="711">
        <v>3.74</v>
      </c>
      <c r="D66" s="711">
        <v>1.91</v>
      </c>
      <c r="E66" s="711">
        <v>1.83</v>
      </c>
      <c r="F66" s="690"/>
      <c r="G66" s="692"/>
    </row>
    <row r="67" spans="1:7" ht="26">
      <c r="A67" s="693">
        <v>1</v>
      </c>
      <c r="B67" s="717" t="s">
        <v>16</v>
      </c>
      <c r="C67" s="719">
        <v>2.44</v>
      </c>
      <c r="D67" s="719">
        <v>1.47</v>
      </c>
      <c r="E67" s="719">
        <v>0.97</v>
      </c>
      <c r="F67" s="690" t="s">
        <v>1503</v>
      </c>
      <c r="G67" s="690" t="s">
        <v>1504</v>
      </c>
    </row>
    <row r="68" spans="1:7" ht="26">
      <c r="A68" s="695" t="s">
        <v>428</v>
      </c>
      <c r="B68" s="721" t="s">
        <v>22</v>
      </c>
      <c r="C68" s="713">
        <v>1.3</v>
      </c>
      <c r="D68" s="713">
        <v>0.44</v>
      </c>
      <c r="E68" s="713">
        <v>0.86</v>
      </c>
      <c r="F68" s="720" t="s">
        <v>1515</v>
      </c>
      <c r="G68" s="720" t="s">
        <v>1516</v>
      </c>
    </row>
    <row r="69" spans="1:7" ht="26">
      <c r="A69" s="691" t="s">
        <v>12</v>
      </c>
      <c r="B69" s="718" t="s">
        <v>1505</v>
      </c>
      <c r="C69" s="711">
        <v>2.38</v>
      </c>
      <c r="D69" s="711">
        <v>1.6</v>
      </c>
      <c r="E69" s="711">
        <v>0.78</v>
      </c>
      <c r="F69" s="690"/>
      <c r="G69" s="692"/>
    </row>
    <row r="70" spans="1:7" ht="52">
      <c r="A70" s="693">
        <v>1</v>
      </c>
      <c r="B70" s="717" t="s">
        <v>1064</v>
      </c>
      <c r="C70" s="719">
        <v>0.56999999999999995</v>
      </c>
      <c r="D70" s="719">
        <v>0.28999999999999998</v>
      </c>
      <c r="E70" s="719">
        <v>0.28999999999999998</v>
      </c>
      <c r="F70" s="690" t="s">
        <v>1506</v>
      </c>
      <c r="G70" s="690" t="s">
        <v>1506</v>
      </c>
    </row>
    <row r="71" spans="1:7" ht="39">
      <c r="A71" s="693" t="s">
        <v>428</v>
      </c>
      <c r="B71" s="717" t="s">
        <v>1507</v>
      </c>
      <c r="C71" s="719">
        <v>0.54</v>
      </c>
      <c r="D71" s="719">
        <v>0.27</v>
      </c>
      <c r="E71" s="719">
        <v>0.27</v>
      </c>
      <c r="F71" s="690" t="s">
        <v>1508</v>
      </c>
      <c r="G71" s="690" t="s">
        <v>1509</v>
      </c>
    </row>
    <row r="72" spans="1:7" ht="39">
      <c r="A72" s="693" t="s">
        <v>434</v>
      </c>
      <c r="B72" s="717" t="s">
        <v>515</v>
      </c>
      <c r="C72" s="719">
        <v>0.75</v>
      </c>
      <c r="D72" s="719">
        <v>0.75</v>
      </c>
      <c r="E72" s="719" t="s">
        <v>1407</v>
      </c>
      <c r="F72" s="690" t="s">
        <v>1510</v>
      </c>
      <c r="G72" s="690"/>
    </row>
    <row r="73" spans="1:7" ht="39">
      <c r="A73" s="695" t="s">
        <v>491</v>
      </c>
      <c r="B73" s="721" t="s">
        <v>1511</v>
      </c>
      <c r="C73" s="713">
        <v>0.52</v>
      </c>
      <c r="D73" s="713">
        <v>0.28999999999999998</v>
      </c>
      <c r="E73" s="713">
        <v>0.23</v>
      </c>
      <c r="F73" s="720" t="s">
        <v>1517</v>
      </c>
      <c r="G73" s="696" t="s">
        <v>1512</v>
      </c>
    </row>
    <row r="74" spans="1:7" ht="52">
      <c r="A74" s="691" t="s">
        <v>19</v>
      </c>
      <c r="B74" s="718" t="s">
        <v>956</v>
      </c>
      <c r="C74" s="711">
        <v>0.57999999999999996</v>
      </c>
      <c r="D74" s="719">
        <v>0.32</v>
      </c>
      <c r="E74" s="719">
        <v>0.26</v>
      </c>
      <c r="F74" s="690" t="s">
        <v>1513</v>
      </c>
      <c r="G74" s="690" t="s">
        <v>1514</v>
      </c>
    </row>
    <row r="76" spans="1:7" ht="15.5">
      <c r="A76" s="708" t="s">
        <v>1518</v>
      </c>
    </row>
    <row r="77" spans="1:7" ht="28" customHeight="1">
      <c r="A77" s="777" t="s">
        <v>0</v>
      </c>
      <c r="B77" s="777" t="s">
        <v>1415</v>
      </c>
      <c r="C77" s="777" t="s">
        <v>72</v>
      </c>
      <c r="D77" s="777">
        <v>2027</v>
      </c>
      <c r="E77" s="777">
        <v>2028</v>
      </c>
      <c r="F77" s="779" t="s">
        <v>1416</v>
      </c>
      <c r="G77" s="780"/>
    </row>
    <row r="78" spans="1:7">
      <c r="A78" s="778"/>
      <c r="B78" s="778"/>
      <c r="C78" s="778"/>
      <c r="D78" s="778"/>
      <c r="E78" s="778"/>
      <c r="F78" s="722">
        <v>2027</v>
      </c>
      <c r="G78" s="722">
        <v>2028</v>
      </c>
    </row>
    <row r="79" spans="1:7" ht="28" customHeight="1">
      <c r="A79" s="775" t="s">
        <v>72</v>
      </c>
      <c r="B79" s="776"/>
      <c r="C79" s="691">
        <v>6.64</v>
      </c>
      <c r="D79" s="691">
        <v>2.86</v>
      </c>
      <c r="E79" s="691">
        <v>3.78</v>
      </c>
      <c r="F79" s="723"/>
      <c r="G79" s="723"/>
    </row>
    <row r="80" spans="1:7" ht="28" customHeight="1">
      <c r="A80" s="695">
        <v>1</v>
      </c>
      <c r="B80" s="724" t="s">
        <v>1519</v>
      </c>
      <c r="C80" s="725">
        <v>1.1399999999999999</v>
      </c>
      <c r="D80" s="695">
        <v>0.45</v>
      </c>
      <c r="E80" s="695">
        <v>0.69</v>
      </c>
      <c r="F80" s="696" t="s">
        <v>1524</v>
      </c>
      <c r="G80" s="696" t="s">
        <v>1525</v>
      </c>
    </row>
    <row r="81" spans="1:7" ht="69.5" customHeight="1">
      <c r="A81" s="695">
        <v>2</v>
      </c>
      <c r="B81" s="724" t="s">
        <v>1520</v>
      </c>
      <c r="C81" s="725">
        <v>4.58</v>
      </c>
      <c r="D81" s="695">
        <v>1.81</v>
      </c>
      <c r="E81" s="695">
        <v>2.77</v>
      </c>
      <c r="F81" s="696" t="s">
        <v>1526</v>
      </c>
      <c r="G81" s="696" t="s">
        <v>1527</v>
      </c>
    </row>
    <row r="82" spans="1:7" ht="44.5" customHeight="1">
      <c r="A82" s="695">
        <v>3</v>
      </c>
      <c r="B82" s="724" t="s">
        <v>1521</v>
      </c>
      <c r="C82" s="725">
        <v>0.21</v>
      </c>
      <c r="D82" s="695">
        <v>0.09</v>
      </c>
      <c r="E82" s="695">
        <v>0.12</v>
      </c>
      <c r="F82" s="696" t="s">
        <v>1528</v>
      </c>
      <c r="G82" s="696" t="s">
        <v>1529</v>
      </c>
    </row>
    <row r="83" spans="1:7" ht="39">
      <c r="A83" s="693">
        <v>4</v>
      </c>
      <c r="B83" s="712" t="s">
        <v>1522</v>
      </c>
      <c r="C83" s="691">
        <v>0.75</v>
      </c>
      <c r="D83" s="693">
        <v>0.37</v>
      </c>
      <c r="E83" s="693">
        <v>0.38</v>
      </c>
      <c r="F83" s="723"/>
      <c r="G83" s="723"/>
    </row>
    <row r="84" spans="1:7" ht="52">
      <c r="A84" s="693">
        <v>5</v>
      </c>
      <c r="B84" s="712" t="s">
        <v>1523</v>
      </c>
      <c r="C84" s="691">
        <v>0.14000000000000001</v>
      </c>
      <c r="D84" s="693">
        <v>0.14000000000000001</v>
      </c>
      <c r="E84" s="710"/>
      <c r="F84" s="723"/>
      <c r="G84" s="723"/>
    </row>
    <row r="86" spans="1:7" ht="16" thickBot="1">
      <c r="A86" s="708" t="s">
        <v>1530</v>
      </c>
    </row>
    <row r="87" spans="1:7" ht="26.5" thickBot="1">
      <c r="A87" s="726" t="s">
        <v>0</v>
      </c>
      <c r="B87" s="726" t="s">
        <v>1531</v>
      </c>
      <c r="C87" s="726" t="s">
        <v>72</v>
      </c>
      <c r="D87" s="726" t="s">
        <v>1394</v>
      </c>
      <c r="E87" s="726" t="s">
        <v>1395</v>
      </c>
      <c r="F87" s="726" t="s">
        <v>1532</v>
      </c>
    </row>
    <row r="88" spans="1:7" ht="15" thickBot="1">
      <c r="A88" s="773" t="s">
        <v>72</v>
      </c>
      <c r="B88" s="774"/>
      <c r="C88" s="727">
        <v>1067268</v>
      </c>
      <c r="D88" s="728">
        <v>390384</v>
      </c>
      <c r="E88" s="728">
        <v>676884</v>
      </c>
      <c r="F88" s="684"/>
    </row>
    <row r="89" spans="1:7" ht="52.5" thickBot="1">
      <c r="A89" s="687">
        <v>1</v>
      </c>
      <c r="B89" s="683" t="s">
        <v>979</v>
      </c>
      <c r="C89" s="731">
        <v>30768</v>
      </c>
      <c r="D89" s="731">
        <v>15384</v>
      </c>
      <c r="E89" s="731">
        <v>15384</v>
      </c>
      <c r="F89" s="686" t="s">
        <v>1537</v>
      </c>
    </row>
    <row r="90" spans="1:7" ht="39.5" thickBot="1">
      <c r="A90" s="680" t="s">
        <v>428</v>
      </c>
      <c r="B90" s="682" t="s">
        <v>980</v>
      </c>
      <c r="C90" s="729">
        <v>25000</v>
      </c>
      <c r="D90" s="729">
        <v>25000</v>
      </c>
      <c r="E90" s="684"/>
      <c r="F90" s="682" t="s">
        <v>1533</v>
      </c>
    </row>
    <row r="91" spans="1:7" ht="65.5" thickBot="1">
      <c r="A91" s="680">
        <v>3</v>
      </c>
      <c r="B91" s="730" t="s">
        <v>1386</v>
      </c>
      <c r="C91" s="729">
        <v>50000</v>
      </c>
      <c r="D91" s="729">
        <v>50000</v>
      </c>
      <c r="E91" s="684"/>
      <c r="F91" s="682" t="s">
        <v>1534</v>
      </c>
    </row>
    <row r="92" spans="1:7" ht="65.5" thickBot="1">
      <c r="A92" s="680">
        <v>4</v>
      </c>
      <c r="B92" s="730" t="s">
        <v>1387</v>
      </c>
      <c r="C92" s="729">
        <v>200000</v>
      </c>
      <c r="D92" s="684"/>
      <c r="E92" s="729">
        <v>200000</v>
      </c>
      <c r="F92" s="682" t="s">
        <v>1535</v>
      </c>
    </row>
    <row r="93" spans="1:7" ht="39.5" thickBot="1">
      <c r="A93" s="680">
        <v>5</v>
      </c>
      <c r="B93" s="730" t="s">
        <v>1388</v>
      </c>
      <c r="C93" s="729">
        <v>461500</v>
      </c>
      <c r="D93" s="684"/>
      <c r="E93" s="729">
        <v>461500</v>
      </c>
      <c r="F93" s="682" t="s">
        <v>1536</v>
      </c>
    </row>
    <row r="94" spans="1:7" ht="39.5" thickBot="1">
      <c r="A94" s="680">
        <v>6</v>
      </c>
      <c r="B94" s="730" t="s">
        <v>1389</v>
      </c>
      <c r="C94" s="729">
        <v>300000</v>
      </c>
      <c r="D94" s="729">
        <v>300000</v>
      </c>
      <c r="E94" s="684"/>
      <c r="F94" s="685"/>
    </row>
    <row r="96" spans="1:7" ht="16" thickBot="1">
      <c r="A96" s="708" t="s">
        <v>1538</v>
      </c>
    </row>
    <row r="97" spans="1:6" ht="26.5" thickBot="1">
      <c r="A97" s="677" t="s">
        <v>0</v>
      </c>
      <c r="B97" s="677" t="s">
        <v>1531</v>
      </c>
      <c r="C97" s="677" t="s">
        <v>72</v>
      </c>
      <c r="D97" s="677" t="s">
        <v>1394</v>
      </c>
      <c r="E97" s="677" t="s">
        <v>1395</v>
      </c>
      <c r="F97" s="677" t="s">
        <v>1416</v>
      </c>
    </row>
    <row r="98" spans="1:6" ht="15" thickBot="1">
      <c r="A98" s="773" t="s">
        <v>72</v>
      </c>
      <c r="B98" s="774"/>
      <c r="C98" s="727">
        <v>333203</v>
      </c>
      <c r="D98" s="728">
        <v>211259</v>
      </c>
      <c r="E98" s="728">
        <v>121944</v>
      </c>
      <c r="F98" s="684"/>
    </row>
    <row r="99" spans="1:6" ht="15" thickBot="1">
      <c r="A99" s="680">
        <v>1</v>
      </c>
      <c r="B99" s="730" t="s">
        <v>1372</v>
      </c>
      <c r="C99" s="732">
        <v>50000</v>
      </c>
      <c r="D99" s="729">
        <v>50000</v>
      </c>
      <c r="E99" s="680" t="s">
        <v>1539</v>
      </c>
      <c r="F99" s="685"/>
    </row>
    <row r="100" spans="1:6" ht="15" thickBot="1">
      <c r="A100" s="684">
        <v>2</v>
      </c>
      <c r="B100" s="730" t="s">
        <v>1373</v>
      </c>
      <c r="C100" s="732">
        <v>23000</v>
      </c>
      <c r="D100" s="729">
        <v>23000</v>
      </c>
      <c r="E100" s="680" t="s">
        <v>1539</v>
      </c>
      <c r="F100" s="685"/>
    </row>
    <row r="101" spans="1:6" ht="15" thickBot="1">
      <c r="A101" s="684">
        <v>3</v>
      </c>
      <c r="B101" s="730" t="s">
        <v>1374</v>
      </c>
      <c r="C101" s="732">
        <v>46000</v>
      </c>
      <c r="D101" s="729">
        <v>46000</v>
      </c>
      <c r="E101" s="680" t="s">
        <v>1539</v>
      </c>
      <c r="F101" s="685"/>
    </row>
    <row r="102" spans="1:6" ht="15" thickBot="1">
      <c r="A102" s="684">
        <v>4</v>
      </c>
      <c r="B102" s="730" t="s">
        <v>1375</v>
      </c>
      <c r="C102" s="732">
        <v>50000</v>
      </c>
      <c r="D102" s="680" t="s">
        <v>1539</v>
      </c>
      <c r="E102" s="729">
        <v>50000</v>
      </c>
      <c r="F102" s="685"/>
    </row>
    <row r="103" spans="1:6" ht="15" thickBot="1">
      <c r="A103" s="684">
        <v>5</v>
      </c>
      <c r="B103" s="730" t="s">
        <v>1376</v>
      </c>
      <c r="C103" s="732">
        <v>17000</v>
      </c>
      <c r="D103" s="729">
        <v>17000</v>
      </c>
      <c r="E103" s="680" t="s">
        <v>1539</v>
      </c>
      <c r="F103" s="685"/>
    </row>
    <row r="104" spans="1:6" ht="26.5" thickBot="1">
      <c r="A104" s="684">
        <v>6</v>
      </c>
      <c r="B104" s="730" t="s">
        <v>1377</v>
      </c>
      <c r="C104" s="729">
        <v>17000</v>
      </c>
      <c r="D104" s="729">
        <v>17000</v>
      </c>
      <c r="E104" s="680" t="s">
        <v>1539</v>
      </c>
      <c r="F104" s="685"/>
    </row>
    <row r="105" spans="1:6" ht="15" thickBot="1">
      <c r="A105" s="684">
        <v>7</v>
      </c>
      <c r="B105" s="730" t="s">
        <v>1378</v>
      </c>
      <c r="C105" s="732">
        <v>58259</v>
      </c>
      <c r="D105" s="729">
        <v>58259</v>
      </c>
      <c r="E105" s="680" t="s">
        <v>1539</v>
      </c>
      <c r="F105" s="685"/>
    </row>
    <row r="106" spans="1:6" ht="15" thickBot="1">
      <c r="A106" s="684">
        <v>8</v>
      </c>
      <c r="B106" s="730" t="s">
        <v>1379</v>
      </c>
      <c r="C106" s="732">
        <v>48691</v>
      </c>
      <c r="D106" s="680" t="s">
        <v>1407</v>
      </c>
      <c r="E106" s="729">
        <v>48691</v>
      </c>
      <c r="F106" s="685"/>
    </row>
    <row r="107" spans="1:6" ht="15" thickBot="1">
      <c r="A107" s="684">
        <v>9</v>
      </c>
      <c r="B107" s="730" t="s">
        <v>1380</v>
      </c>
      <c r="C107" s="732">
        <v>23253</v>
      </c>
      <c r="D107" s="680" t="s">
        <v>1539</v>
      </c>
      <c r="E107" s="729">
        <v>23253</v>
      </c>
      <c r="F107" s="685"/>
    </row>
  </sheetData>
  <mergeCells count="63">
    <mergeCell ref="E4:E5"/>
    <mergeCell ref="F4:G4"/>
    <mergeCell ref="A6:B6"/>
    <mergeCell ref="A4:A5"/>
    <mergeCell ref="B4:B5"/>
    <mergeCell ref="C4:C5"/>
    <mergeCell ref="D4:D5"/>
    <mergeCell ref="F22:G22"/>
    <mergeCell ref="A13:A14"/>
    <mergeCell ref="B13:B14"/>
    <mergeCell ref="C13:C14"/>
    <mergeCell ref="D13:D14"/>
    <mergeCell ref="E13:E14"/>
    <mergeCell ref="F13:G13"/>
    <mergeCell ref="A22:A23"/>
    <mergeCell ref="B22:B23"/>
    <mergeCell ref="C22:C23"/>
    <mergeCell ref="D22:D23"/>
    <mergeCell ref="E22:E23"/>
    <mergeCell ref="F39:G39"/>
    <mergeCell ref="F32:G32"/>
    <mergeCell ref="F29:G29"/>
    <mergeCell ref="F31:G31"/>
    <mergeCell ref="A24:B24"/>
    <mergeCell ref="A29:A30"/>
    <mergeCell ref="B29:B30"/>
    <mergeCell ref="C29:C30"/>
    <mergeCell ref="D29:D30"/>
    <mergeCell ref="E29:E30"/>
    <mergeCell ref="A39:A40"/>
    <mergeCell ref="B39:B40"/>
    <mergeCell ref="C39:C40"/>
    <mergeCell ref="D39:D40"/>
    <mergeCell ref="E39:E40"/>
    <mergeCell ref="F48:G48"/>
    <mergeCell ref="A50:B50"/>
    <mergeCell ref="A41:B41"/>
    <mergeCell ref="A48:A49"/>
    <mergeCell ref="B48:B49"/>
    <mergeCell ref="C48:C49"/>
    <mergeCell ref="D48:D49"/>
    <mergeCell ref="E48:E49"/>
    <mergeCell ref="E56:E57"/>
    <mergeCell ref="F56:G56"/>
    <mergeCell ref="A56:A57"/>
    <mergeCell ref="B56:B57"/>
    <mergeCell ref="C56:C57"/>
    <mergeCell ref="D56:D57"/>
    <mergeCell ref="A63:A64"/>
    <mergeCell ref="B63:B64"/>
    <mergeCell ref="C63:C64"/>
    <mergeCell ref="D63:D64"/>
    <mergeCell ref="E63:E64"/>
    <mergeCell ref="C77:C78"/>
    <mergeCell ref="D77:D78"/>
    <mergeCell ref="E77:E78"/>
    <mergeCell ref="F77:G77"/>
    <mergeCell ref="F63:G63"/>
    <mergeCell ref="A98:B98"/>
    <mergeCell ref="A88:B88"/>
    <mergeCell ref="A79:B79"/>
    <mergeCell ref="A77:A78"/>
    <mergeCell ref="B77:B78"/>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K33"/>
  <sheetViews>
    <sheetView workbookViewId="0">
      <selection activeCell="C9" sqref="C9"/>
    </sheetView>
  </sheetViews>
  <sheetFormatPr defaultColWidth="8.7265625" defaultRowHeight="13"/>
  <cols>
    <col min="1" max="2" width="8.7265625" style="6"/>
    <col min="3" max="3" width="12.7265625" style="6" bestFit="1" customWidth="1"/>
    <col min="4" max="6" width="8.7265625" style="6"/>
    <col min="7" max="7" width="2.7265625" style="6" bestFit="1" customWidth="1"/>
    <col min="8" max="8" width="8.7265625" style="89"/>
    <col min="9" max="16384" width="8.7265625" style="6"/>
  </cols>
  <sheetData>
    <row r="2" spans="2:11">
      <c r="B2" s="804" t="s">
        <v>106</v>
      </c>
      <c r="C2" s="804"/>
      <c r="D2" s="804"/>
    </row>
    <row r="3" spans="2:11">
      <c r="B3" s="15" t="s">
        <v>74</v>
      </c>
      <c r="C3" s="15" t="s">
        <v>75</v>
      </c>
      <c r="D3" s="15" t="s">
        <v>76</v>
      </c>
    </row>
    <row r="4" spans="2:11">
      <c r="B4" s="17" t="s">
        <v>7</v>
      </c>
      <c r="C4" s="14" t="s">
        <v>78</v>
      </c>
      <c r="D4" s="1" t="s">
        <v>94</v>
      </c>
      <c r="G4" s="12" t="s">
        <v>4</v>
      </c>
      <c r="H4" s="90" t="s">
        <v>190</v>
      </c>
      <c r="I4" s="86"/>
      <c r="J4" s="86"/>
      <c r="K4" s="86"/>
    </row>
    <row r="5" spans="2:11">
      <c r="B5" s="17" t="s">
        <v>1384</v>
      </c>
      <c r="C5" s="14" t="s">
        <v>162</v>
      </c>
      <c r="D5" s="1"/>
      <c r="G5" s="16">
        <v>1</v>
      </c>
      <c r="H5" s="91" t="s">
        <v>95</v>
      </c>
      <c r="I5" s="86"/>
      <c r="J5" s="86"/>
      <c r="K5" s="86"/>
    </row>
    <row r="6" spans="2:11">
      <c r="B6" s="17" t="s">
        <v>18</v>
      </c>
      <c r="C6" s="17" t="s">
        <v>1369</v>
      </c>
      <c r="D6" s="1" t="s">
        <v>58</v>
      </c>
      <c r="G6" s="16">
        <v>2</v>
      </c>
      <c r="H6" s="91" t="s">
        <v>186</v>
      </c>
      <c r="I6" s="86"/>
      <c r="J6" s="86"/>
      <c r="K6" s="86"/>
    </row>
    <row r="7" spans="2:11">
      <c r="B7" s="17" t="s">
        <v>29</v>
      </c>
      <c r="C7" s="17" t="s">
        <v>103</v>
      </c>
      <c r="D7" s="1"/>
      <c r="G7" s="16">
        <v>3</v>
      </c>
      <c r="H7" s="91" t="s">
        <v>187</v>
      </c>
      <c r="I7" s="86"/>
      <c r="J7" s="86"/>
      <c r="K7" s="86"/>
    </row>
    <row r="8" spans="2:11">
      <c r="B8" s="17" t="s">
        <v>10</v>
      </c>
      <c r="C8" s="17" t="s">
        <v>1384</v>
      </c>
      <c r="D8" s="1"/>
      <c r="G8" s="16">
        <v>4</v>
      </c>
      <c r="H8" s="91" t="s">
        <v>180</v>
      </c>
      <c r="I8" s="86"/>
      <c r="J8" s="86"/>
      <c r="K8" s="86"/>
    </row>
    <row r="9" spans="2:11">
      <c r="B9" s="17"/>
      <c r="C9" s="17" t="s">
        <v>168</v>
      </c>
      <c r="D9" s="1"/>
      <c r="G9" s="12" t="s">
        <v>12</v>
      </c>
      <c r="H9" s="90" t="s">
        <v>189</v>
      </c>
      <c r="I9" s="86"/>
      <c r="J9" s="86"/>
      <c r="K9" s="86"/>
    </row>
    <row r="10" spans="2:11">
      <c r="B10" s="17" t="s">
        <v>38</v>
      </c>
      <c r="C10" s="18" t="s">
        <v>104</v>
      </c>
      <c r="D10" s="1"/>
      <c r="G10" s="16">
        <v>2</v>
      </c>
      <c r="H10" s="91" t="s">
        <v>70</v>
      </c>
      <c r="I10" s="86"/>
      <c r="J10" s="86"/>
      <c r="K10" s="86"/>
    </row>
    <row r="11" spans="2:11">
      <c r="B11" s="17" t="s">
        <v>21</v>
      </c>
      <c r="C11" s="14" t="s">
        <v>107</v>
      </c>
      <c r="D11" s="1"/>
      <c r="G11" s="16" t="s">
        <v>8</v>
      </c>
      <c r="H11" s="91" t="s">
        <v>176</v>
      </c>
      <c r="I11" s="86"/>
      <c r="J11" s="86"/>
      <c r="K11" s="86"/>
    </row>
    <row r="12" spans="2:11">
      <c r="B12" s="17" t="s">
        <v>6</v>
      </c>
      <c r="C12" s="14" t="s">
        <v>108</v>
      </c>
      <c r="D12" s="1"/>
      <c r="G12" s="16" t="s">
        <v>8</v>
      </c>
      <c r="H12" s="91" t="s">
        <v>177</v>
      </c>
      <c r="I12" s="86"/>
      <c r="J12" s="86"/>
      <c r="K12" s="86"/>
    </row>
    <row r="13" spans="2:11">
      <c r="B13" s="17" t="s">
        <v>96</v>
      </c>
      <c r="C13" s="14" t="s">
        <v>109</v>
      </c>
      <c r="D13" s="1"/>
      <c r="G13" s="16">
        <v>3</v>
      </c>
      <c r="H13" s="91" t="s">
        <v>178</v>
      </c>
      <c r="I13" s="86"/>
      <c r="J13" s="86"/>
      <c r="K13" s="86"/>
    </row>
    <row r="14" spans="2:11">
      <c r="B14" s="1"/>
      <c r="C14" s="14" t="s">
        <v>110</v>
      </c>
      <c r="D14" s="1"/>
      <c r="G14" s="16" t="s">
        <v>8</v>
      </c>
      <c r="H14" s="91" t="s">
        <v>97</v>
      </c>
      <c r="I14" s="86"/>
      <c r="J14" s="86"/>
      <c r="K14" s="86"/>
    </row>
    <row r="15" spans="2:11">
      <c r="B15" s="1"/>
      <c r="C15" s="14" t="s">
        <v>186</v>
      </c>
      <c r="D15" s="1"/>
      <c r="G15" s="16" t="s">
        <v>8</v>
      </c>
      <c r="H15" s="91" t="s">
        <v>133</v>
      </c>
      <c r="I15" s="86"/>
      <c r="J15" s="86"/>
      <c r="K15" s="86"/>
    </row>
    <row r="16" spans="2:11">
      <c r="B16" s="1"/>
      <c r="C16" s="14" t="s">
        <v>105</v>
      </c>
      <c r="D16" s="1"/>
      <c r="G16" s="16" t="s">
        <v>8</v>
      </c>
      <c r="H16" s="91" t="s">
        <v>134</v>
      </c>
      <c r="I16" s="86"/>
      <c r="J16" s="86"/>
      <c r="K16" s="86"/>
    </row>
    <row r="17" spans="2:11">
      <c r="B17" s="1"/>
      <c r="C17" s="14" t="s">
        <v>194</v>
      </c>
      <c r="D17" s="1"/>
      <c r="G17" s="16" t="s">
        <v>8</v>
      </c>
      <c r="H17" s="91" t="s">
        <v>148</v>
      </c>
      <c r="I17" s="86"/>
      <c r="J17" s="86"/>
      <c r="K17" s="86"/>
    </row>
    <row r="18" spans="2:11">
      <c r="B18" s="1"/>
      <c r="C18" s="14" t="s">
        <v>195</v>
      </c>
      <c r="D18" s="1"/>
      <c r="G18" s="16">
        <v>4</v>
      </c>
      <c r="H18" s="91" t="s">
        <v>99</v>
      </c>
      <c r="I18" s="86"/>
      <c r="J18" s="86"/>
      <c r="K18" s="86"/>
    </row>
    <row r="19" spans="2:11">
      <c r="B19" s="1"/>
      <c r="C19" s="14" t="s">
        <v>98</v>
      </c>
      <c r="D19" s="1"/>
      <c r="G19" s="16">
        <v>5</v>
      </c>
      <c r="H19" s="91" t="s">
        <v>100</v>
      </c>
      <c r="I19" s="86"/>
      <c r="J19" s="86"/>
      <c r="K19" s="86"/>
    </row>
    <row r="20" spans="2:11">
      <c r="B20" s="1"/>
      <c r="C20" s="14" t="s">
        <v>135</v>
      </c>
      <c r="D20" s="1"/>
      <c r="G20" s="16">
        <v>6</v>
      </c>
      <c r="H20" s="91" t="s">
        <v>181</v>
      </c>
      <c r="I20" s="86"/>
      <c r="J20" s="86"/>
      <c r="K20" s="86"/>
    </row>
    <row r="21" spans="2:11">
      <c r="B21" s="1"/>
      <c r="C21" s="14" t="s">
        <v>132</v>
      </c>
      <c r="D21" s="1"/>
      <c r="G21" s="16" t="s">
        <v>8</v>
      </c>
      <c r="H21" s="92" t="s">
        <v>191</v>
      </c>
      <c r="I21" s="86"/>
      <c r="J21" s="86"/>
      <c r="K21" s="86"/>
    </row>
    <row r="22" spans="2:11">
      <c r="B22" s="1"/>
      <c r="C22" s="14" t="s">
        <v>163</v>
      </c>
      <c r="D22" s="1"/>
      <c r="G22" s="16" t="s">
        <v>8</v>
      </c>
      <c r="H22" s="92" t="s">
        <v>192</v>
      </c>
      <c r="I22" s="86"/>
      <c r="J22" s="86"/>
      <c r="K22" s="86"/>
    </row>
    <row r="23" spans="2:11">
      <c r="B23" s="1"/>
      <c r="C23" s="30" t="s">
        <v>187</v>
      </c>
      <c r="D23" s="1"/>
      <c r="G23" s="16" t="s">
        <v>8</v>
      </c>
      <c r="H23" s="92" t="s">
        <v>84</v>
      </c>
      <c r="I23" s="86"/>
      <c r="J23" s="86"/>
      <c r="K23" s="86"/>
    </row>
    <row r="24" spans="2:11">
      <c r="B24" s="1"/>
      <c r="C24" s="14" t="s">
        <v>188</v>
      </c>
      <c r="D24" s="1"/>
      <c r="G24" s="12" t="s">
        <v>19</v>
      </c>
      <c r="H24" s="90" t="s">
        <v>193</v>
      </c>
      <c r="I24" s="86"/>
      <c r="J24" s="86"/>
      <c r="K24" s="86"/>
    </row>
    <row r="25" spans="2:11">
      <c r="B25" s="1"/>
      <c r="C25" s="14" t="s">
        <v>136</v>
      </c>
      <c r="D25" s="1"/>
      <c r="G25" s="16">
        <v>1</v>
      </c>
      <c r="H25" s="91" t="s">
        <v>175</v>
      </c>
      <c r="I25" s="86"/>
      <c r="J25" s="86"/>
      <c r="K25" s="86"/>
    </row>
    <row r="26" spans="2:11">
      <c r="B26" s="1"/>
      <c r="C26" s="14" t="s">
        <v>84</v>
      </c>
      <c r="D26" s="1"/>
      <c r="G26" s="16">
        <v>2</v>
      </c>
      <c r="H26" s="91" t="s">
        <v>179</v>
      </c>
      <c r="I26" s="86"/>
      <c r="J26" s="86"/>
      <c r="K26" s="86"/>
    </row>
    <row r="27" spans="2:11">
      <c r="B27" s="1"/>
      <c r="C27" s="14" t="s">
        <v>288</v>
      </c>
      <c r="D27" s="1"/>
      <c r="G27" s="16"/>
      <c r="H27" s="91"/>
      <c r="I27" s="86"/>
      <c r="J27" s="86"/>
      <c r="K27" s="86"/>
    </row>
    <row r="28" spans="2:11" ht="12.65" customHeight="1">
      <c r="B28" s="16"/>
      <c r="C28" s="14" t="s">
        <v>122</v>
      </c>
      <c r="D28" s="16"/>
      <c r="G28" s="16">
        <v>3</v>
      </c>
      <c r="H28" s="91" t="s">
        <v>173</v>
      </c>
      <c r="I28" s="86"/>
      <c r="J28" s="86"/>
      <c r="K28" s="86"/>
    </row>
    <row r="29" spans="2:11">
      <c r="B29" s="16"/>
      <c r="C29" s="14" t="s">
        <v>174</v>
      </c>
      <c r="D29" s="16"/>
    </row>
    <row r="30" spans="2:11">
      <c r="B30" s="16"/>
      <c r="C30" s="14" t="s">
        <v>196</v>
      </c>
      <c r="D30" s="16"/>
    </row>
    <row r="31" spans="2:11">
      <c r="B31" s="16"/>
      <c r="C31" s="16" t="s">
        <v>127</v>
      </c>
      <c r="D31" s="16"/>
    </row>
    <row r="32" spans="2:11">
      <c r="B32" s="16"/>
      <c r="C32" s="16" t="s">
        <v>128</v>
      </c>
      <c r="D32" s="16"/>
    </row>
    <row r="33" spans="2:4">
      <c r="B33" s="16"/>
      <c r="C33" s="16" t="s">
        <v>129</v>
      </c>
      <c r="D33" s="16"/>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PL1.1 ML2027-2028</vt:lpstr>
      <vt:lpstr>TH theo DV_Tổng</vt:lpstr>
      <vt:lpstr>TH theo DV_2027</vt:lpstr>
      <vt:lpstr>TH theo DV_2028</vt:lpstr>
      <vt:lpstr>boc tach chi tiet theo mang</vt:lpstr>
      <vt:lpstr>Mã</vt:lpstr>
      <vt:lpstr>'PL1.1 ML2027-2028'!Print_Area</vt:lpstr>
      <vt:lpstr>'PL1.1 ML2027-2028'!Print_Titles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thunm6</dc:creator>
  <cp:lastModifiedBy>admin</cp:lastModifiedBy>
  <cp:lastPrinted>2026-07-18T15:56:07Z</cp:lastPrinted>
  <dcterms:created xsi:type="dcterms:W3CDTF">2019-10-23T01:10:24Z</dcterms:created>
  <dcterms:modified xsi:type="dcterms:W3CDTF">2026-09-23T10:27:41Z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