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work\2026\QHDC thi truong\MVT\Ket qua\masterlist\"/>
    </mc:Choice>
  </mc:AlternateContent>
  <bookViews>
    <workbookView xWindow="0" yWindow="0" windowWidth="19200" windowHeight="7050" tabRatio="767" activeTab="1"/>
  </bookViews>
  <sheets>
    <sheet name="PL1.1 ML2027-2028" sheetId="1" r:id="rId1"/>
    <sheet name="TH theo dich vu" sheetId="14" r:id="rId2"/>
    <sheet name="TH theo mảng" sheetId="18" r:id="rId3"/>
    <sheet name="PL 1.3 TH theo DV" sheetId="4" state="hidden" r:id="rId4"/>
    <sheet name="Mã" sheetId="15"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p">#REF!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oi1">#REF!</definedName>
    <definedName name="__boi2">#REF!</definedName>
    <definedName name="__CON1">#REF!</definedName>
    <definedName name="__CON2">#REF!</definedName>
    <definedName name="__cpd1">#REF!</definedName>
    <definedName name="__cpd2">#REF!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lap1">#REF!</definedName>
    <definedName name="__lap2">#REF!</definedName>
    <definedName name="__nc151">#REF!</definedName>
    <definedName name="__NET2">#REF!</definedName>
    <definedName name="__NSO2" hidden="1">{"'Sheet1'!$L$16"}</definedName>
    <definedName name="__SHR1">#REF!</definedName>
    <definedName name="__SHR2">#REF!</definedName>
    <definedName name="__tax1">#REF!</definedName>
    <definedName name="__tax2">#REF!</definedName>
    <definedName name="__tax3">#REF!</definedName>
    <definedName name="__tax4">#REF!</definedName>
    <definedName name="__tct5">#REF!</definedName>
    <definedName name="__tg427">#REF!</definedName>
    <definedName name="__TH20">#REF!</definedName>
    <definedName name="_1">#REF!</definedName>
    <definedName name="_1000A01">#REF!</definedName>
    <definedName name="_2">#REF!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_REG_DCOM_3G">#REF!</definedName>
    <definedName name="_ATT_REG_MI_3G">#REF!</definedName>
    <definedName name="_ATT_REG_voice_2G">#REF!</definedName>
    <definedName name="_ATT_REG_voice_3G">#REF!</definedName>
    <definedName name="_boi1">#REF!</definedName>
    <definedName name="_boi2">#REF!</definedName>
    <definedName name="_C_Lphi_4ab">#REF!</definedName>
    <definedName name="_chk1">#REF!</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d2">#REF!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Fill" localSheetId="0" hidden="1">#REF!</definedName>
    <definedName name="_Fill" hidden="1">#REF!</definedName>
    <definedName name="_xlnm._FilterDatabase" localSheetId="3" hidden="1">'PL 1.3 TH theo DV'!$A$3:$F$27</definedName>
    <definedName name="_xlnm._FilterDatabase" localSheetId="0" hidden="1">'PL1.1 ML2027-2028'!$A$7:$Y$2592</definedName>
    <definedName name="_xlnm._FilterDatabase" hidden="1">#REF!</definedName>
    <definedName name="_H500866">#REF!</definedName>
    <definedName name="_kbps_sub_ATT_DCOM_3G">#REF!</definedName>
    <definedName name="_kbps_sub_ATT_MI_3G">#REF!</definedName>
    <definedName name="_Key1" localSheetId="0" hidden="1">#REF!</definedName>
    <definedName name="_Key1" hidden="1">#REF!</definedName>
    <definedName name="_Key2" localSheetId="0" hidden="1">#REF!</definedName>
    <definedName name="_Key2" hidden="1">#REF!</definedName>
    <definedName name="_lap1">#REF!</definedName>
    <definedName name="_lap2">#REF!</definedName>
    <definedName name="_mErl_sub_ATT_voice_2G">#REF!</definedName>
    <definedName name="_mErl_sub_ATT_voice_3G">#REF!</definedName>
    <definedName name="_n23" localSheetId="0" hidden="1">{"'Sheet1'!$L$16"}</definedName>
    <definedName name="_n23" hidden="1">{"'Sheet1'!$L$16"}</definedName>
    <definedName name="_NET2">#REF!</definedName>
    <definedName name="_NSO2" localSheetId="0" hidden="1">{"'Sheet1'!$L$16"}</definedName>
    <definedName name="_NSO2" hidden="1">{"'Sheet1'!$L$16"}</definedName>
    <definedName name="_Order1" hidden="1">255</definedName>
    <definedName name="_Order2" hidden="1">255</definedName>
    <definedName name="_SHR1">#REF!</definedName>
    <definedName name="_SHR2">#REF!</definedName>
    <definedName name="_Sort" localSheetId="0" hidden="1">#REF!</definedName>
    <definedName name="_Sort" hidden="1">#REF!</definedName>
    <definedName name="_T8" localSheetId="0" hidden="1">{"'Sheet1'!$L$16"}</definedName>
    <definedName name="_T8" hidden="1">{"'Sheet1'!$L$16"}</definedName>
    <definedName name="_tax1">#REF!</definedName>
    <definedName name="_tax2">#REF!</definedName>
    <definedName name="_tax3">#REF!</definedName>
    <definedName name="_tax4">#REF!</definedName>
    <definedName name="_tct5">#REF!</definedName>
    <definedName name="_TDT35">#REF!</definedName>
    <definedName name="_tg427">#REF!</definedName>
    <definedName name="_TH20">#REF!</definedName>
    <definedName name="_Tỉ_lệ_peak_GD_ngày_max">#REF!</definedName>
    <definedName name="A">#REF!</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277Print_Titles">#REF!</definedName>
    <definedName name="A372m372">#REF!</definedName>
    <definedName name="AA">#REF!</definedName>
    <definedName name="AAA_DOCTOPS" hidden="1">"AAA_SET"</definedName>
    <definedName name="AAA_duser" hidden="1">"OFF"</definedName>
    <definedName name="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localSheetId="0" hidden="1">{"'Sheet1'!$L$16"}</definedName>
    <definedName name="aadd" hidden="1">{"'Sheet1'!$L$16"}</definedName>
    <definedName name="aass" localSheetId="0" hidden="1">{"'Sheet1'!$L$16"}</definedName>
    <definedName name="aass" hidden="1">{"'Sheet1'!$L$16"}</definedName>
    <definedName name="ac">#REF!</definedName>
    <definedName name="ádfg" localSheetId="0" hidden="1">{"'Sheet1'!$L$16"}</definedName>
    <definedName name="ádfg" hidden="1">{"'Sheet1'!$L$16"}</definedName>
    <definedName name="AirportVisitors">#REF!</definedName>
    <definedName name="AirportVisitorsS">#REF!</definedName>
    <definedName name="All_Item">#REF!</definedName>
    <definedName name="ALPIN">#REF!</definedName>
    <definedName name="ALPJYOU">#REF!</definedName>
    <definedName name="ALPTOI">#REF!</definedName>
    <definedName name="amiang">#REF!</definedName>
    <definedName name="anscount" hidden="1">8</definedName>
    <definedName name="As_">#REF!</definedName>
    <definedName name="AS2DocOpenMode" hidden="1">"AS2DocumentEdit"</definedName>
    <definedName name="AU" localSheetId="0" hidden="1">{"'Sheet1'!$L$16"}</definedName>
    <definedName name="AU" hidden="1">{"'Sheet1'!$L$16"}</definedName>
    <definedName name="Av">#REF!</definedName>
    <definedName name="b_eh">#REF!</definedName>
    <definedName name="b_eh1">#REF!</definedName>
    <definedName name="b_ev">#REF!</definedName>
    <definedName name="b_ev1">#REF!</definedName>
    <definedName name="b_FR">#REF!</definedName>
    <definedName name="b_fr1">#REF!</definedName>
    <definedName name="b_LL">#REF!</definedName>
    <definedName name="b_ll1">#REF!</definedName>
    <definedName name="b_WL">#REF!</definedName>
    <definedName name="b_WL1">#REF!</definedName>
    <definedName name="b_WS">#REF!</definedName>
    <definedName name="b_ws1">#REF!</definedName>
    <definedName name="b3_">#REF!</definedName>
    <definedName name="b4_">#REF!</definedName>
    <definedName name="Bang_cly">#REF!</definedName>
    <definedName name="Bang_CVC">#REF!</definedName>
    <definedName name="bang_gia">#REF!</definedName>
    <definedName name="Bang_travl">#REF!</definedName>
    <definedName name="bangtinh">#REF!</definedName>
    <definedName name="BarData">#REF!</definedName>
    <definedName name="BB">#REF!</definedName>
    <definedName name="bchcj">#REF!</definedName>
    <definedName name="bchvch">#REF!</definedName>
    <definedName name="Bcuc">#REF!</definedName>
    <definedName name="bdd">1.5</definedName>
    <definedName name="BL">"$A$1:$f$11"</definedName>
    <definedName name="blang">#REF!</definedName>
    <definedName name="blong">#REF!</definedName>
    <definedName name="bn">#REF!</definedName>
    <definedName name="BO" localSheetId="0" hidden="1">{"'Sheet1'!$L$16"}</definedName>
    <definedName name="BO" hidden="1">{"'Sheet1'!$L$16"}</definedName>
    <definedName name="BOQ">#REF!</definedName>
    <definedName name="boxes">#REF!</definedName>
    <definedName name="bson">#REF!</definedName>
    <definedName name="BT">#REF!</definedName>
    <definedName name="btai">#REF!</definedName>
    <definedName name="btham">#REF!</definedName>
    <definedName name="btong">#REF!</definedName>
    <definedName name="button_area_1">#REF!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5.">#REF!</definedName>
    <definedName name="CACAU">1415247</definedName>
    <definedName name="cap">#REF!</definedName>
    <definedName name="cap0.7">#REF!</definedName>
    <definedName name="Category_All">#REF!</definedName>
    <definedName name="CATIN">#REF!</definedName>
    <definedName name="CATJYOU">#REF!</definedName>
    <definedName name="CATREC">#REF!</definedName>
    <definedName name="CATSYU">#REF!</definedName>
    <definedName name="CC">#REF!</definedName>
    <definedName name="CCT">#REF!</definedName>
    <definedName name="cd">#REF!</definedName>
    <definedName name="CDB">#REF!</definedName>
    <definedName name="cdn">#REF!</definedName>
    <definedName name="CDR">#REF!</definedName>
    <definedName name="celltips_area">#REF!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k">#REF!</definedName>
    <definedName name="Chøng_tõ">#REF!</definedName>
    <definedName name="Chtinh">#REF!</definedName>
    <definedName name="chuc1">#REF!</definedName>
    <definedName name="CL">#REF!</definedName>
    <definedName name="CLVL">#REF!</definedName>
    <definedName name="CNC">#REF!</definedName>
    <definedName name="CND">#REF!</definedName>
    <definedName name="CNG">#REF!</definedName>
    <definedName name="Co">#REF!</definedName>
    <definedName name="coc">#REF!</definedName>
    <definedName name="coldex">#REF!</definedName>
    <definedName name="COMMON">#REF!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IEN">#REF!</definedName>
    <definedName name="CONST_EQ">#REF!</definedName>
    <definedName name="COT">#REF!</definedName>
    <definedName name="COVER">#REF!</definedName>
    <definedName name="CPC">#REF!</definedName>
    <definedName name="cpdd1">#REF!</definedName>
    <definedName name="cpdd2">#REF!</definedName>
    <definedName name="CRITINST">#REF!</definedName>
    <definedName name="CRITPURC">#REF!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tiep">#REF!</definedName>
    <definedName name="ctmai">#REF!</definedName>
    <definedName name="CTO">#REF!</definedName>
    <definedName name="ctong">#REF!</definedName>
    <definedName name="ctre">#REF!</definedName>
    <definedName name="CU_LY">#REF!</definedName>
    <definedName name="cui">#REF!</definedName>
    <definedName name="cuoc_vc">#REF!</definedName>
    <definedName name="CURRENCY">#REF!</definedName>
    <definedName name="cx">#REF!</definedName>
    <definedName name="d_">#REF!</definedName>
    <definedName name="D_7101A_B">#REF!</definedName>
    <definedName name="d1_">#REF!</definedName>
    <definedName name="d2_">#REF!</definedName>
    <definedName name="d3_">#REF!</definedName>
    <definedName name="d4_">#REF!</definedName>
    <definedName name="d5_">#REF!</definedName>
    <definedName name="DAILATHANH" localSheetId="0" hidden="1">{"'Sheet1'!$L$16"}</definedName>
    <definedName name="DAILATHANH" hidden="1">{"'Sheet1'!$L$16"}</definedName>
    <definedName name="dapdbm1">#REF!</definedName>
    <definedName name="dapdbm2">#REF!</definedName>
    <definedName name="DAT">#REF!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k">#REF!</definedName>
    <definedName name="datal">#REF!</definedName>
    <definedName name="db">#REF!</definedName>
    <definedName name="dc">#REF!</definedName>
    <definedName name="dche">#REF!</definedName>
    <definedName name="dd4x6">#REF!</definedName>
    <definedName name="ddabm">#REF!</definedName>
    <definedName name="dday">#REF!</definedName>
    <definedName name="ddbm500">#REF!</definedName>
    <definedName name="dden">#REF!</definedName>
    <definedName name="ddia">#REF!</definedName>
    <definedName name="DDK">#REF!</definedName>
    <definedName name="de">#REF!</definedName>
    <definedName name="den_bu">#REF!</definedName>
    <definedName name="denbu">#REF!</definedName>
    <definedName name="Det40x4">#REF!</definedName>
    <definedName name="Det50x5">#REF!</definedName>
    <definedName name="Det63x6">#REF!</definedName>
    <definedName name="Det75x6">#REF!</definedName>
    <definedName name="df">#REF!</definedName>
    <definedName name="dfg" hidden="1">{"'Sheet1'!$L$16"}</definedName>
    <definedName name="dfgdf">#REF!</definedName>
    <definedName name="dfgdfggf">#REF!</definedName>
    <definedName name="dflk">#REF!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g">#REF!</definedName>
    <definedName name="DGCS">33500</definedName>
    <definedName name="DGCTI592">#REF!</definedName>
    <definedName name="dh">#REF!</definedName>
    <definedName name="dien">#REF!</definedName>
    <definedName name="dim">#REF!</definedName>
    <definedName name="display_area_1">#REF!</definedName>
    <definedName name="display_area_2">#REF!</definedName>
    <definedName name="Dist">#REF!</definedName>
    <definedName name="dmdv">#REF!</definedName>
    <definedName name="DMHH">#REF!</definedName>
    <definedName name="dmoi">#REF!</definedName>
    <definedName name="DN">#REF!</definedName>
    <definedName name="DÑt45x4">#REF!</definedName>
    <definedName name="DOANH_SO">#REF!</definedName>
    <definedName name="Doanh_thu">#REF!</definedName>
    <definedName name="dobt">#REF!</definedName>
    <definedName name="Document_array">{"ONGNGOAINHA.xls","Sheet1"}</definedName>
    <definedName name="dong" localSheetId="0" hidden="1">{"'Sheet1'!$L$16"}</definedName>
    <definedName name="dong" hidden="1">{"'Sheet1'!$L$16"}</definedName>
    <definedName name="drda">#REF!</definedName>
    <definedName name="drdat">#REF!</definedName>
    <definedName name="DSUMDATA">#REF!</definedName>
    <definedName name="DTBH">#REF!</definedName>
    <definedName name="DUCKY_CO_CD">#REF!</definedName>
    <definedName name="DUCKY_NO_CD">#REF!</definedName>
    <definedName name="DUDKY_CO_CD">#REF!</definedName>
    <definedName name="DUDKY_NO_CD">#REF!</definedName>
    <definedName name="dxd">#REF!</definedName>
    <definedName name="e">13</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FACTOR">#REF!</definedName>
    <definedName name="Fax">#REF!</definedName>
    <definedName name="Fay">#REF!</definedName>
    <definedName name="fy_">#REF!</definedName>
    <definedName name="g">2</definedName>
    <definedName name="gd">#REF!</definedName>
    <definedName name="gd.">#REF!</definedName>
    <definedName name="GDL">#REF!</definedName>
    <definedName name="ghichu">#REF!</definedName>
    <definedName name="gi">0.4</definedName>
    <definedName name="Gia_tien">#REF!</definedName>
    <definedName name="gia_tien_BTN">#REF!</definedName>
    <definedName name="GiaKHUSD" comment="Giá gói thầu theo KHLCNT USD">#REF!</definedName>
    <definedName name="GiaKHVND" comment="Giá gói thầu theo KHLCNT (VND)">#REF!</definedName>
    <definedName name="gjj">#REF!</definedName>
    <definedName name="gld">#REF!</definedName>
    <definedName name="GLL">#REF!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rB">#REF!</definedName>
    <definedName name="GTXL">#REF!</definedName>
    <definedName name="gxm">#REF!</definedName>
    <definedName name="h" hidden="1">{"'Sheet1'!$L$16"}</definedName>
    <definedName name="Ha">#REF!</definedName>
    <definedName name="ha.">#REF!</definedName>
    <definedName name="haichau6">#REF!</definedName>
    <definedName name="hb.">#REF!</definedName>
    <definedName name="hc.">#REF!</definedName>
    <definedName name="HCM">#REF!</definedName>
    <definedName name="hg">#REF!</definedName>
    <definedName name="hgj">#REF!</definedName>
    <definedName name="HH">#REF!</definedName>
    <definedName name="hien">#REF!</definedName>
    <definedName name="Hinhthuc">#REF!</definedName>
    <definedName name="hnhnhn" localSheetId="0" hidden="1">{"'Sheet1'!$L$16"}</definedName>
    <definedName name="hnhnhn" hidden="1">{"'Sheet1'!$L$16"}</definedName>
    <definedName name="ho">#REF!</definedName>
    <definedName name="hoa" localSheetId="0" hidden="1">{"'Sheet1'!$L$16"}</definedName>
    <definedName name="hoa" hidden="1">{"'Sheet1'!$L$16"}</definedName>
    <definedName name="HOME_MANP">#REF!</definedName>
    <definedName name="HOMEOFFICE_COST">#REF!</definedName>
    <definedName name="hsn">0.5</definedName>
    <definedName name="HSPCKV">0.3</definedName>
    <definedName name="HT">#REF!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nhhaichau">#REF!</definedName>
    <definedName name="i">1.11</definedName>
    <definedName name="IDLAB_COST">#REF!</definedName>
    <definedName name="IND_LAB">#REF!</definedName>
    <definedName name="INDMANP">#REF!</definedName>
    <definedName name="K">#REF!</definedName>
    <definedName name="k..">#REF!</definedName>
    <definedName name="KA">#REF!</definedName>
    <definedName name="ka.">#REF!</definedName>
    <definedName name="KAE">#REF!</definedName>
    <definedName name="kcong">#REF!</definedName>
    <definedName name="kdien">#REF!</definedName>
    <definedName name="KhuyenmaiUPS">"AutoShape 264"</definedName>
    <definedName name="kiem">#REF!</definedName>
    <definedName name="Kiem_tra_trung_ten">#REF!</definedName>
    <definedName name="kk">0.8</definedName>
    <definedName name="kl">#REF!</definedName>
    <definedName name="KPC">0.7</definedName>
    <definedName name="kstk">#REF!</definedName>
    <definedName name="KVC">#REF!</definedName>
    <definedName name="l">4.584</definedName>
    <definedName name="lai" localSheetId="0" hidden="1">{"'Sheet1'!$L$16"}</definedName>
    <definedName name="lai" hidden="1">{"'Sheet1'!$L$16"}</definedName>
    <definedName name="LAMTHEM">#REF!</definedName>
    <definedName name="Lb">#REF!</definedName>
    <definedName name="Lf">#REF!</definedName>
    <definedName name="LgL">#REF!</definedName>
    <definedName name="lk" localSheetId="0" hidden="1">{"'Sheet1'!$L$16"}</definedName>
    <definedName name="lk" hidden="1">{"'Sheet1'!$L$16"}</definedName>
    <definedName name="LLs">#REF!</definedName>
    <definedName name="LN">#REF!</definedName>
    <definedName name="LOC">#REF!</definedName>
    <definedName name="Log_Normal_Fade_Margin">#REF!</definedName>
    <definedName name="long">#REF!</definedName>
    <definedName name="Lop">#REF!</definedName>
    <definedName name="LTR">#REF!</definedName>
    <definedName name="ltre">#REF!</definedName>
    <definedName name="Luanthanh">#REF!</definedName>
    <definedName name="LUONG">#REF!</definedName>
    <definedName name="lVC">#REF!</definedName>
    <definedName name="m" hidden="1">{"'Sheet1'!$L$16"}</definedName>
    <definedName name="M0.4">#REF!</definedName>
    <definedName name="MAJ_CON_EQP">#REF!</definedName>
    <definedName name="Masterlist_CNTT" hidden="1">#REF!</definedName>
    <definedName name="Masterlist_ML" hidden="1">#REF!</definedName>
    <definedName name="matit">#REF!</definedName>
    <definedName name="MATK">#REF!</definedName>
    <definedName name="MATK_CD">#REF!</definedName>
    <definedName name="MATK_M">#REF!</definedName>
    <definedName name="MC">#REF!</definedName>
    <definedName name="me">#REF!</definedName>
    <definedName name="MG_A">#REF!</definedName>
    <definedName name="minh1">#REF!</definedName>
    <definedName name="ML">#REF!</definedName>
    <definedName name="MN">#REF!</definedName>
    <definedName name="mncvhjkhj" localSheetId="0" hidden="1">{"'Sheet1'!$L$16"}</definedName>
    <definedName name="mncvhjkhj" hidden="1">{"'Sheet1'!$L$16"}</definedName>
    <definedName name="MUN">#REF!</definedName>
    <definedName name="n1_">#REF!</definedName>
    <definedName name="n2_">#REF!</definedName>
    <definedName name="n3_">#REF!</definedName>
    <definedName name="n4_">#REF!</definedName>
    <definedName name="ncb">#N/A</definedName>
    <definedName name="NCcap0.7">#REF!</definedName>
    <definedName name="NCcap1">#REF!</definedName>
    <definedName name="NCKT">#REF!</definedName>
    <definedName name="NDemand01">#REF!</definedName>
    <definedName name="NDemand02">#REF!</definedName>
    <definedName name="NDemand03">#REF!</definedName>
    <definedName name="Néi_dung">#REF!</definedName>
    <definedName name="NET">#REF!</definedName>
    <definedName name="NET_1">#REF!</definedName>
    <definedName name="NET_ANA">#REF!</definedName>
    <definedName name="NET_ANA_1">#REF!</definedName>
    <definedName name="NET_ANA_2">#REF!</definedName>
    <definedName name="Ng_y__i">#REF!</definedName>
    <definedName name="ngau">#REF!</definedName>
    <definedName name="Ngay_BC.KQ_1" comment="Ngày báo cáo Hội đồng kết quả tài chính (2 túi HS)/KQ gói thầu (1 túi HS) lần 1">#REF!</definedName>
    <definedName name="Ngay_BC_KT_1" comment="Ngày báo cáo hội đồng KQ kỹ thuật lần 1">#REF!</definedName>
    <definedName name="Ngay_dong_thau">#REF!</definedName>
    <definedName name="Ngay_hoan.thanh_KQ">#REF!</definedName>
    <definedName name="Ngay_hoan.thanh_KT">#REF!</definedName>
    <definedName name="Ngay_mo_HSDX.TC">#REF!</definedName>
    <definedName name="Ngay_phat_hanh" comment="Ngày phát hành hồ sơ">#REF!</definedName>
    <definedName name="Ngay_thong.qua_KQ">#REF!</definedName>
    <definedName name="Ngay_thong.qua_KT">#REF!</definedName>
    <definedName name="NGAYCTU_B">#REF!</definedName>
    <definedName name="NGHI">#REF!</definedName>
    <definedName name="NH">#REF!</definedName>
    <definedName name="Nhancong">#REF!</definedName>
    <definedName name="NHANTIEN">#REF!</definedName>
    <definedName name="nhap1">#N/A</definedName>
    <definedName name="nhap2">#N/A</definedName>
    <definedName name="nhapcb">#N/A</definedName>
    <definedName name="NhNgam">#REF!</definedName>
    <definedName name="NHot">#REF!</definedName>
    <definedName name="NhTreo">#REF!</definedName>
    <definedName name="nhua">#REF!</definedName>
    <definedName name="nm" localSheetId="0" hidden="1">{"'Sheet1'!$L$16"}</definedName>
    <definedName name="nm" hidden="1">{"'Sheet1'!$L$16"}</definedName>
    <definedName name="nn">1.15</definedName>
    <definedName name="No">#REF!</definedName>
    <definedName name="NOCU">#REF!</definedName>
    <definedName name="NS">#REF!</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p2_">#REF!</definedName>
    <definedName name="PA">#REF!</definedName>
    <definedName name="Phuongthuc" comment="Phương thức lựa chọn nhà thầu">#REF!</definedName>
    <definedName name="PK">#REF!</definedName>
    <definedName name="PRICE">#REF!</definedName>
    <definedName name="PRICE1">#REF!</definedName>
    <definedName name="_xlnm.Print_Area" localSheetId="3">'PL 1.3 TH theo DV'!$A$1:$E$27</definedName>
    <definedName name="_xlnm.Print_Area" localSheetId="0">'PL1.1 ML2027-2028'!$A$1:$I$2593</definedName>
    <definedName name="_xlnm.Print_Area" localSheetId="2">'TH theo mảng'!$A$1:$J$4</definedName>
    <definedName name="_xlnm.Print_Area">#REF!</definedName>
    <definedName name="PRINT_AREA_MI">#REF!</definedName>
    <definedName name="_xlnm.Print_Titles" localSheetId="3">'PL 1.3 TH theo DV'!$3:$3</definedName>
    <definedName name="_xlnm.Print_Titles" localSheetId="0">'PL1.1 ML2027-2028'!$4:$7</definedName>
    <definedName name="_xlnm.Print_Titles" localSheetId="2">'TH theo mảng'!#REF!</definedName>
    <definedName name="_xlnm.Print_Titles">#N/A</definedName>
    <definedName name="PRINT_TITLES_MI">#REF!</definedName>
    <definedName name="PRINTA">#REF!</definedName>
    <definedName name="PRINTB">#REF!</definedName>
    <definedName name="PRINTC">#REF!</definedName>
    <definedName name="PROPOSAL">#REF!</definedName>
    <definedName name="PSCO_CD">#REF!</definedName>
    <definedName name="PSNO_CD">#REF!</definedName>
    <definedName name="pt">#REF!</definedName>
    <definedName name="PT_Duong">#REF!</definedName>
    <definedName name="ptdg">#REF!</definedName>
    <definedName name="PTDG_cau">#REF!</definedName>
    <definedName name="ptdg_cong">#REF!</definedName>
    <definedName name="ptdg_duong">#REF!</definedName>
    <definedName name="qh">#REF!</definedName>
    <definedName name="ql">#REF!</definedName>
    <definedName name="qp">#REF!</definedName>
    <definedName name="qtebt">#REF!</definedName>
    <definedName name="Query1">#REF!</definedName>
    <definedName name="qx">#REF!</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ang1">#REF!</definedName>
    <definedName name="range">#REF!</definedName>
    <definedName name="Rate">14563</definedName>
    <definedName name="re" hidden="1">{"'Sheet1'!$L$16"}</definedName>
    <definedName name="RECOUT">#REF!</definedName>
    <definedName name="REPORT01">#REF!</definedName>
    <definedName name="REPORT02">#REF!</definedName>
    <definedName name="RFP003A">#REF!</definedName>
    <definedName name="RFP003B">#REF!</definedName>
    <definedName name="RFP003C">#REF!</definedName>
    <definedName name="RFP003D">#REF!</definedName>
    <definedName name="RFP003E">#REF!</definedName>
    <definedName name="RFP003F">#REF!</definedName>
    <definedName name="rnp">32</definedName>
    <definedName name="s1_">#REF!</definedName>
    <definedName name="s2_">#REF!</definedName>
    <definedName name="s3_">#REF!</definedName>
    <definedName name="s4_">#REF!</definedName>
    <definedName name="SCCR">#REF!</definedName>
    <definedName name="scdk">#REF!</definedName>
    <definedName name="scdl">#REF!</definedName>
    <definedName name="SCDT">#REF!</definedName>
    <definedName name="SCH">#REF!</definedName>
    <definedName name="sctdl">#REF!</definedName>
    <definedName name="sctqdl">#REF!</definedName>
    <definedName name="SDemand02">#REF!</definedName>
    <definedName name="SDemand03">#REF!</definedName>
    <definedName name="sencount" hidden="1">1</definedName>
    <definedName name="Shoes">#REF!</definedName>
    <definedName name="SIZE">#REF!</definedName>
    <definedName name="SL">#REF!</definedName>
    <definedName name="slk">#REF!</definedName>
    <definedName name="sll">#REF!</definedName>
    <definedName name="SOCTU_NK_BH">#REF!</definedName>
    <definedName name="Soi">#REF!</definedName>
    <definedName name="SORT">#REF!</definedName>
    <definedName name="SOTIEN_B">#REF!</definedName>
    <definedName name="SOTIEN_CO_NK">#REF!</definedName>
    <definedName name="SOTIEN_NO_NK">#REF!</definedName>
    <definedName name="SPEC">#REF!</definedName>
    <definedName name="SPECSUMMARY">#REF!</definedName>
    <definedName name="spk">#REF!</definedName>
    <definedName name="S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d.">#REF!</definedName>
    <definedName name="stop" localSheetId="0" hidden="1">{0}</definedName>
    <definedName name="stop" hidden="1">{0}</definedName>
    <definedName name="STT_NC">#REF!</definedName>
    <definedName name="STT_NCT">#REF!</definedName>
    <definedName name="STT_PH">#REF!</definedName>
    <definedName name="SU">#REF!</definedName>
    <definedName name="sua" localSheetId="0" hidden="1">{"'Sheet1'!$L$16"}</definedName>
    <definedName name="sua" hidden="1">{"'Sheet1'!$L$16"}</definedName>
    <definedName name="SUM">#REF!,#REF!</definedName>
    <definedName name="SUMMARY">#REF!</definedName>
    <definedName name="T">#REF!</definedName>
    <definedName name="TAMUNG">#REF!</definedName>
    <definedName name="TaxTV">10%</definedName>
    <definedName name="TaxXL">10%</definedName>
    <definedName name="TBA">#REF!</definedName>
    <definedName name="tc">#REF!</definedName>
    <definedName name="TD">#REF!</definedName>
    <definedName name="tdo">#REF!</definedName>
    <definedName name="tdt">#REF!</definedName>
    <definedName name="TenNgam">#REF!</definedName>
    <definedName name="TenTreo">#REF!</definedName>
    <definedName name="ter">#REF!</definedName>
    <definedName name="THCTO">#REF!</definedName>
    <definedName name="thdt">#REF!</definedName>
    <definedName name="thepma">30408</definedName>
    <definedName name="thepmaBL">34500</definedName>
    <definedName name="thepmacl">34500</definedName>
    <definedName name="THI">#REF!</definedName>
    <definedName name="thinh">#REF!</definedName>
    <definedName name="Thoi_gian_BC_KT" comment="Thời gian từ ngày ra b/c KT tới ngày được hội đồng thông qua KQ kỹ thuật">#REF!</definedName>
    <definedName name="Thoi_gian_D.G_KT" comment="Thời gian hoàn thành đánh giá HSĐX kỹ thuật từ ngày đóng thầu tới ngày TCG trình báo cáo KQ đánh giá KT lên HĐ">#REF!</definedName>
    <definedName name="Thoi_gian_D.G_tong.hop">#REF!</definedName>
    <definedName name="Thoi_gian_HT_B.C" comment="Thời gian hoàn thành báo cáo đánh giá tài chính (2 túi HS) hoặc hoàn thành báo cáo KQ đánh giá HSDT">#REF!</definedName>
    <definedName name="Thoi_gian_HT_D.G" comment="Thời gian hoàn thành đánh giá HSĐX tài chính (2 túi HS) hoặc thời gian hoàn thành đánh giá HSDT (1 túi HS)">#REF!</definedName>
    <definedName name="Thu__GTGT">#REF!</definedName>
    <definedName name="THUE_GTGT">#REF!</definedName>
    <definedName name="THUONG">#REF!</definedName>
    <definedName name="Tien">#REF!</definedName>
    <definedName name="Tim_Lan_Xuat_Hien">#REF!</definedName>
    <definedName name="tim_xuat_hien">#REF!</definedName>
    <definedName name="TITAN">#REF!</definedName>
    <definedName name="tk">#N/A</definedName>
    <definedName name="tke">#N/A</definedName>
    <definedName name="TKNO_NK">#REF!</definedName>
    <definedName name="tkt" localSheetId="0" hidden="1">{"'Sheet1'!$L$16"}</definedName>
    <definedName name="tkt" hidden="1">{"'Sheet1'!$L$16"}</definedName>
    <definedName name="Tle">#REF!</definedName>
    <definedName name="TN">"$A$1:$I$11"</definedName>
    <definedName name="tnewry">#REF!</definedName>
    <definedName name="ton">#REF!</definedName>
    <definedName name="TOT">#REF!</definedName>
    <definedName name="TPLRP">#REF!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TON" localSheetId="0" hidden="1">{"'Sheet1'!$L$16"}</definedName>
    <definedName name="TRAMTON" hidden="1">{"'Sheet1'!$L$16"}</definedName>
    <definedName name="Trang.thai.goi.thau" comment="Trạng thái hiện tại của các gói thầu">#REF!</definedName>
    <definedName name="TRANO">#REF!</definedName>
    <definedName name="TRAVL">#REF!</definedName>
    <definedName name="TRUNGHI">#REF!</definedName>
    <definedName name="ttam">#REF!</definedName>
    <definedName name="ttao">#REF!</definedName>
    <definedName name="ttbt">#REF!</definedName>
    <definedName name="tthi">#REF!</definedName>
    <definedName name="ty_le">#REF!</definedName>
    <definedName name="ty_le_BTN">#REF!</definedName>
    <definedName name="Ty_le1">#REF!</definedName>
    <definedName name="u">#REF!</definedName>
    <definedName name="ư34y">#REF!</definedName>
    <definedName name="ưb2u45etm">#REF!</definedName>
    <definedName name="ưebty">#REF!</definedName>
    <definedName name="UP">#REF!,#REF!,#REF!,#REF!,#REF!,#REF!,#REF!,#REF!,#REF!,#REF!,#REF!</definedName>
    <definedName name="USD">15820</definedName>
    <definedName name="VARIINST">#REF!</definedName>
    <definedName name="VARIPURC">#REF!</definedName>
    <definedName name="vbnmb">#REF!</definedName>
    <definedName name="vc">#REF!</definedName>
    <definedName name="vccot">#REF!</definedName>
    <definedName name="vcdatd">#REF!</definedName>
    <definedName name="vcddx">#REF!</definedName>
    <definedName name="vctb">#REF!</definedName>
    <definedName name="Vf">#REF!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lcap0.7">#REF!</definedName>
    <definedName name="VLcap1">#REF!</definedName>
    <definedName name="Vs">#REF!</definedName>
    <definedName name="vungnhapk">#REF!</definedName>
    <definedName name="vungnhapl">#REF!</definedName>
    <definedName name="vungxuatk">#REF!</definedName>
    <definedName name="vungxuatl">#REF!</definedName>
    <definedName name="vxgf">#REF!</definedName>
    <definedName name="W">#REF!</definedName>
    <definedName name="wb">#REF!</definedName>
    <definedName name="wrn.chi._.tiÆt." localSheetId="0" hidden="1">{#N/A,#N/A,FALSE,"Chi tiÆt"}</definedName>
    <definedName name="wrn.chi._.tiÆt." hidden="1">{#N/A,#N/A,FALSE,"Chi tiÆt"}</definedName>
    <definedName name="wup">#REF!</definedName>
    <definedName name="X">#REF!</definedName>
    <definedName name="x_list">#REF!</definedName>
    <definedName name="x1_">#REF!</definedName>
    <definedName name="x2_">#REF!</definedName>
    <definedName name="XA">#REF!</definedName>
    <definedName name="xaylap">#REF!</definedName>
    <definedName name="xcp">#REF!</definedName>
    <definedName name="xe">#REF!</definedName>
    <definedName name="xh">#REF!</definedName>
    <definedName name="xl">#REF!</definedName>
    <definedName name="xlc">#REF!</definedName>
    <definedName name="xlk">#REF!</definedName>
    <definedName name="xmp40">#REF!</definedName>
    <definedName name="xn">#REF!</definedName>
    <definedName name="xoanhapk">#REF!,#REF!</definedName>
    <definedName name="xoanhapl">#REF!,#REF!</definedName>
    <definedName name="xoaxuatk">#REF!</definedName>
    <definedName name="xoaxuatl">#REF!</definedName>
    <definedName name="y" localSheetId="0" hidden="1">{"'Sheet1'!$L$16"}</definedName>
    <definedName name="y" hidden="1">{"'Sheet1'!$L$16"}</definedName>
    <definedName name="y_list">#REF!</definedName>
    <definedName name="ycp">#REF!</definedName>
    <definedName name="YvNgam">#REF!</definedName>
    <definedName name="YvTreo">#REF!</definedName>
    <definedName name="ZYX">#REF!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14" l="1"/>
  <c r="W5" i="14"/>
  <c r="V5" i="14"/>
  <c r="U5" i="14"/>
  <c r="T5" i="14"/>
  <c r="S5" i="14"/>
  <c r="R5" i="14"/>
  <c r="Q5" i="14"/>
  <c r="P5" i="14"/>
  <c r="O5" i="14"/>
  <c r="K40" i="18" l="1"/>
  <c r="J40" i="18"/>
  <c r="H1382" i="1" l="1"/>
  <c r="G1382" i="1"/>
  <c r="G1571" i="1"/>
  <c r="H1571" i="1"/>
  <c r="H1560" i="1"/>
  <c r="G1560" i="1"/>
  <c r="H1559" i="1"/>
  <c r="H1558" i="1" s="1"/>
  <c r="G1559" i="1"/>
  <c r="H1247" i="1"/>
  <c r="G1247" i="1"/>
  <c r="H1246" i="1"/>
  <c r="G1246" i="1"/>
  <c r="H1245" i="1"/>
  <c r="G1245" i="1"/>
  <c r="H1244" i="1"/>
  <c r="G1244" i="1"/>
  <c r="H1243" i="1"/>
  <c r="G1243" i="1"/>
  <c r="H1242" i="1"/>
  <c r="G1242" i="1"/>
  <c r="H1241" i="1"/>
  <c r="G1241" i="1"/>
  <c r="H1240" i="1"/>
  <c r="G1240" i="1"/>
  <c r="H1239" i="1"/>
  <c r="G1239" i="1"/>
  <c r="H1238" i="1"/>
  <c r="G1238" i="1"/>
  <c r="H1138" i="1"/>
  <c r="G1138" i="1"/>
  <c r="H1237" i="1" l="1"/>
  <c r="G1237" i="1"/>
  <c r="H1438" i="1"/>
  <c r="G1438" i="1"/>
  <c r="H1436" i="1"/>
  <c r="G1436" i="1"/>
  <c r="H1435" i="1"/>
  <c r="G1435" i="1"/>
  <c r="H1440" i="1"/>
  <c r="G1440" i="1"/>
  <c r="H1439" i="1"/>
  <c r="G1439" i="1"/>
  <c r="H1437" i="1"/>
  <c r="G1437" i="1"/>
  <c r="H1434" i="1"/>
  <c r="G1434" i="1"/>
  <c r="H1433" i="1"/>
  <c r="G1433" i="1"/>
  <c r="H1432" i="1"/>
  <c r="G1432" i="1"/>
  <c r="H1431" i="1"/>
  <c r="G1431" i="1"/>
  <c r="H1430" i="1"/>
  <c r="G1430" i="1"/>
  <c r="H1429" i="1"/>
  <c r="G1429" i="1"/>
  <c r="H1428" i="1"/>
  <c r="G1428" i="1"/>
  <c r="H1427" i="1"/>
  <c r="G1427" i="1"/>
  <c r="H1594" i="1"/>
  <c r="G1594" i="1"/>
  <c r="H1593" i="1"/>
  <c r="G1593" i="1"/>
  <c r="H1592" i="1"/>
  <c r="G1592" i="1"/>
  <c r="H1591" i="1"/>
  <c r="G1591" i="1"/>
  <c r="H1590" i="1"/>
  <c r="G1590" i="1"/>
  <c r="H1589" i="1"/>
  <c r="G1589" i="1"/>
  <c r="H1588" i="1"/>
  <c r="G1588" i="1"/>
  <c r="H1587" i="1"/>
  <c r="G1587" i="1"/>
  <c r="H1586" i="1"/>
  <c r="G1586" i="1"/>
  <c r="H1585" i="1"/>
  <c r="G1585" i="1"/>
  <c r="G1426" i="1" l="1"/>
  <c r="H1426" i="1"/>
  <c r="H1584" i="1"/>
  <c r="G1584" i="1"/>
  <c r="H616" i="1"/>
  <c r="G616" i="1"/>
  <c r="H1125" i="1" l="1"/>
  <c r="G1125" i="1"/>
  <c r="H472" i="1" l="1"/>
  <c r="G472" i="1"/>
  <c r="H471" i="1"/>
  <c r="G471" i="1"/>
  <c r="H470" i="1"/>
  <c r="G470" i="1"/>
  <c r="H469" i="1"/>
  <c r="G469" i="1"/>
  <c r="H467" i="1"/>
  <c r="G467" i="1"/>
  <c r="H466" i="1"/>
  <c r="G466" i="1"/>
  <c r="H465" i="1"/>
  <c r="G465" i="1"/>
  <c r="H464" i="1"/>
  <c r="G464" i="1"/>
  <c r="H463" i="1"/>
  <c r="G463" i="1"/>
  <c r="H462" i="1"/>
  <c r="G462" i="1"/>
  <c r="H460" i="1"/>
  <c r="G460" i="1"/>
  <c r="H459" i="1"/>
  <c r="G459" i="1"/>
  <c r="H458" i="1"/>
  <c r="G458" i="1"/>
  <c r="H457" i="1"/>
  <c r="G457" i="1"/>
  <c r="H456" i="1"/>
  <c r="G456" i="1"/>
  <c r="H455" i="1"/>
  <c r="G455" i="1"/>
  <c r="H454" i="1"/>
  <c r="G454" i="1"/>
  <c r="H453" i="1"/>
  <c r="G453" i="1"/>
  <c r="H452" i="1"/>
  <c r="G452" i="1"/>
  <c r="H451" i="1"/>
  <c r="G451" i="1"/>
  <c r="H450" i="1"/>
  <c r="G450" i="1"/>
  <c r="H448" i="1"/>
  <c r="G448" i="1"/>
  <c r="H447" i="1"/>
  <c r="G447" i="1"/>
  <c r="G446" i="1" s="1"/>
  <c r="H445" i="1"/>
  <c r="G445" i="1"/>
  <c r="H444" i="1"/>
  <c r="G444" i="1"/>
  <c r="H442" i="1"/>
  <c r="G442" i="1"/>
  <c r="H441" i="1"/>
  <c r="G441" i="1"/>
  <c r="H440" i="1"/>
  <c r="G440" i="1"/>
  <c r="H436" i="1"/>
  <c r="G436" i="1"/>
  <c r="H435" i="1"/>
  <c r="G435" i="1"/>
  <c r="H434" i="1"/>
  <c r="G434" i="1"/>
  <c r="H433" i="1"/>
  <c r="G433" i="1"/>
  <c r="H432" i="1"/>
  <c r="G432" i="1"/>
  <c r="H431" i="1"/>
  <c r="G431" i="1"/>
  <c r="H430" i="1"/>
  <c r="G430" i="1"/>
  <c r="H429" i="1"/>
  <c r="G429" i="1"/>
  <c r="H428" i="1"/>
  <c r="G428" i="1"/>
  <c r="H427" i="1"/>
  <c r="G427" i="1"/>
  <c r="H426" i="1"/>
  <c r="G426" i="1"/>
  <c r="H424" i="1"/>
  <c r="G424" i="1"/>
  <c r="H423" i="1"/>
  <c r="H421" i="1" s="1"/>
  <c r="G423" i="1"/>
  <c r="H420" i="1"/>
  <c r="G420" i="1"/>
  <c r="G419" i="1" s="1"/>
  <c r="H419" i="1"/>
  <c r="H418" i="1"/>
  <c r="G418" i="1"/>
  <c r="H417" i="1"/>
  <c r="G417" i="1"/>
  <c r="H416" i="1"/>
  <c r="G416" i="1"/>
  <c r="H415" i="1"/>
  <c r="G415" i="1"/>
  <c r="H413" i="1"/>
  <c r="G413" i="1"/>
  <c r="H412" i="1"/>
  <c r="G412" i="1"/>
  <c r="H410" i="1"/>
  <c r="G410" i="1"/>
  <c r="H409" i="1"/>
  <c r="G409" i="1"/>
  <c r="H408" i="1"/>
  <c r="G408" i="1"/>
  <c r="H405" i="1"/>
  <c r="G405" i="1"/>
  <c r="H404" i="1"/>
  <c r="G404" i="1"/>
  <c r="H400" i="1"/>
  <c r="G400" i="1"/>
  <c r="H399" i="1"/>
  <c r="G399" i="1"/>
  <c r="H396" i="1"/>
  <c r="H395" i="1" s="1"/>
  <c r="H394" i="1" s="1"/>
  <c r="G396" i="1"/>
  <c r="G395" i="1" s="1"/>
  <c r="G394" i="1" s="1"/>
  <c r="H393" i="1"/>
  <c r="G393" i="1"/>
  <c r="H392" i="1"/>
  <c r="G392" i="1"/>
  <c r="H391" i="1"/>
  <c r="G391" i="1"/>
  <c r="H390" i="1"/>
  <c r="G390" i="1"/>
  <c r="H389" i="1"/>
  <c r="G389" i="1"/>
  <c r="H388" i="1"/>
  <c r="G388" i="1"/>
  <c r="H387" i="1"/>
  <c r="G387" i="1"/>
  <c r="H385" i="1"/>
  <c r="G385" i="1"/>
  <c r="H384" i="1"/>
  <c r="G384" i="1"/>
  <c r="H383" i="1"/>
  <c r="G383" i="1"/>
  <c r="H382" i="1"/>
  <c r="G382" i="1"/>
  <c r="H381" i="1"/>
  <c r="G381" i="1"/>
  <c r="H380" i="1"/>
  <c r="G380" i="1"/>
  <c r="H379" i="1"/>
  <c r="G379" i="1"/>
  <c r="H378" i="1"/>
  <c r="G378" i="1"/>
  <c r="H377" i="1"/>
  <c r="G377" i="1"/>
  <c r="H376" i="1"/>
  <c r="G376" i="1"/>
  <c r="H375" i="1"/>
  <c r="G375" i="1"/>
  <c r="H373" i="1"/>
  <c r="H372" i="1" s="1"/>
  <c r="G373" i="1"/>
  <c r="G372" i="1" s="1"/>
  <c r="H371" i="1"/>
  <c r="G371" i="1"/>
  <c r="H370" i="1"/>
  <c r="G370" i="1"/>
  <c r="H368" i="1"/>
  <c r="G368" i="1"/>
  <c r="H367" i="1"/>
  <c r="H366" i="1" s="1"/>
  <c r="G367" i="1"/>
  <c r="H365" i="1"/>
  <c r="G365" i="1"/>
  <c r="H364" i="1"/>
  <c r="G364" i="1"/>
  <c r="H363" i="1"/>
  <c r="G363" i="1"/>
  <c r="H360" i="1"/>
  <c r="G360" i="1"/>
  <c r="H359" i="1"/>
  <c r="G359" i="1"/>
  <c r="H358" i="1"/>
  <c r="G358" i="1"/>
  <c r="H355" i="1"/>
  <c r="G355" i="1"/>
  <c r="H354" i="1"/>
  <c r="G354" i="1"/>
  <c r="H352" i="1"/>
  <c r="H351" i="1" s="1"/>
  <c r="G352" i="1"/>
  <c r="G351" i="1" s="1"/>
  <c r="H350" i="1"/>
  <c r="G350" i="1"/>
  <c r="H349" i="1"/>
  <c r="G349" i="1"/>
  <c r="H346" i="1"/>
  <c r="G346" i="1"/>
  <c r="H345" i="1"/>
  <c r="G345" i="1"/>
  <c r="H343" i="1"/>
  <c r="G343" i="1"/>
  <c r="H342" i="1"/>
  <c r="G342"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6" i="1"/>
  <c r="G326" i="1"/>
  <c r="H325" i="1"/>
  <c r="G325" i="1"/>
  <c r="H323" i="1"/>
  <c r="G323" i="1"/>
  <c r="H322" i="1"/>
  <c r="H321" i="1" s="1"/>
  <c r="G322" i="1"/>
  <c r="AH34" i="14"/>
  <c r="AG34" i="14"/>
  <c r="AF34" i="14"/>
  <c r="AE34" i="14"/>
  <c r="AD34" i="14"/>
  <c r="AC34" i="14"/>
  <c r="AB34" i="14"/>
  <c r="AA34" i="14"/>
  <c r="Z34" i="14"/>
  <c r="G402" i="1" l="1"/>
  <c r="G321" i="1"/>
  <c r="G353" i="1"/>
  <c r="G366" i="1"/>
  <c r="H369" i="1"/>
  <c r="H402" i="1"/>
  <c r="G421" i="1"/>
  <c r="G411" i="1"/>
  <c r="H449" i="1"/>
  <c r="H344" i="1"/>
  <c r="H341" i="1"/>
  <c r="G362" i="1"/>
  <c r="G369" i="1"/>
  <c r="H357" i="1"/>
  <c r="H356" i="1" s="1"/>
  <c r="M34" i="14"/>
  <c r="L34" i="14"/>
  <c r="X34" i="14"/>
  <c r="W34" i="14"/>
  <c r="G341" i="1"/>
  <c r="H353" i="1"/>
  <c r="G386" i="1"/>
  <c r="H468" i="1"/>
  <c r="G449" i="1"/>
  <c r="G461" i="1"/>
  <c r="G398" i="1"/>
  <c r="H411" i="1"/>
  <c r="G425" i="1"/>
  <c r="G443" i="1"/>
  <c r="G324" i="1"/>
  <c r="G357" i="1"/>
  <c r="G356" i="1" s="1"/>
  <c r="H362" i="1"/>
  <c r="H361" i="1" s="1"/>
  <c r="G374" i="1"/>
  <c r="H439" i="1"/>
  <c r="G414" i="1"/>
  <c r="G406" i="1" s="1"/>
  <c r="H425" i="1"/>
  <c r="G468" i="1"/>
  <c r="H386" i="1"/>
  <c r="G327" i="1"/>
  <c r="H414" i="1"/>
  <c r="G344" i="1"/>
  <c r="H327" i="1"/>
  <c r="H348" i="1"/>
  <c r="H347" i="1" s="1"/>
  <c r="H374" i="1"/>
  <c r="H398" i="1"/>
  <c r="G439" i="1"/>
  <c r="H446" i="1"/>
  <c r="H324" i="1"/>
  <c r="G348" i="1"/>
  <c r="H443" i="1"/>
  <c r="H461" i="1"/>
  <c r="H2053" i="1"/>
  <c r="G2053" i="1"/>
  <c r="H2052" i="1"/>
  <c r="G2052" i="1"/>
  <c r="H2051" i="1"/>
  <c r="G2051" i="1"/>
  <c r="H2050" i="1"/>
  <c r="G2050" i="1"/>
  <c r="H2049" i="1"/>
  <c r="G2049" i="1"/>
  <c r="H2048" i="1"/>
  <c r="G2048" i="1"/>
  <c r="H2047" i="1"/>
  <c r="G2047" i="1"/>
  <c r="H2046" i="1"/>
  <c r="G2046" i="1"/>
  <c r="H2044" i="1"/>
  <c r="G2044" i="1"/>
  <c r="H2043" i="1"/>
  <c r="G2043" i="1"/>
  <c r="H2041" i="1"/>
  <c r="G2041" i="1"/>
  <c r="H2040" i="1"/>
  <c r="G2040" i="1"/>
  <c r="H2039" i="1"/>
  <c r="G2039" i="1"/>
  <c r="H2038" i="1"/>
  <c r="G2038" i="1"/>
  <c r="H2037" i="1"/>
  <c r="G2037" i="1"/>
  <c r="H2035" i="1"/>
  <c r="G2035" i="1"/>
  <c r="H2034" i="1"/>
  <c r="G2034" i="1"/>
  <c r="H2033" i="1"/>
  <c r="G2033" i="1"/>
  <c r="H2032" i="1"/>
  <c r="G2032" i="1"/>
  <c r="H2030" i="1"/>
  <c r="G2030" i="1"/>
  <c r="H2029" i="1"/>
  <c r="G2029" i="1"/>
  <c r="H2028" i="1"/>
  <c r="G2028" i="1"/>
  <c r="H2027" i="1"/>
  <c r="G2027" i="1"/>
  <c r="H2026" i="1"/>
  <c r="G2026" i="1"/>
  <c r="H2025" i="1"/>
  <c r="G2025" i="1"/>
  <c r="H2024" i="1"/>
  <c r="G2024" i="1"/>
  <c r="H2022" i="1"/>
  <c r="G2022" i="1"/>
  <c r="H2021" i="1"/>
  <c r="G2021" i="1"/>
  <c r="H2020" i="1"/>
  <c r="G2020" i="1"/>
  <c r="H2017" i="1"/>
  <c r="G2017" i="1"/>
  <c r="H2016" i="1"/>
  <c r="G2016" i="1"/>
  <c r="H2015" i="1"/>
  <c r="G2015" i="1"/>
  <c r="H2014" i="1"/>
  <c r="G2014" i="1"/>
  <c r="H2013" i="1"/>
  <c r="G2013" i="1"/>
  <c r="H2012" i="1"/>
  <c r="G2012" i="1"/>
  <c r="H2011" i="1"/>
  <c r="G2011" i="1"/>
  <c r="H2010" i="1"/>
  <c r="G2010" i="1"/>
  <c r="H2009" i="1"/>
  <c r="G2009" i="1"/>
  <c r="H2008" i="1"/>
  <c r="G2008" i="1"/>
  <c r="H2007" i="1"/>
  <c r="G2007" i="1"/>
  <c r="H2006" i="1"/>
  <c r="G2006" i="1"/>
  <c r="H2005" i="1"/>
  <c r="G2005" i="1"/>
  <c r="H2004" i="1"/>
  <c r="G2004" i="1"/>
  <c r="H2003" i="1"/>
  <c r="G2003" i="1"/>
  <c r="H2002" i="1"/>
  <c r="G2002" i="1"/>
  <c r="H2001" i="1"/>
  <c r="G2001" i="1"/>
  <c r="H1999" i="1"/>
  <c r="G1999" i="1"/>
  <c r="H1998" i="1"/>
  <c r="G1998" i="1"/>
  <c r="H1997" i="1"/>
  <c r="G1997" i="1"/>
  <c r="H1996" i="1"/>
  <c r="G1996" i="1"/>
  <c r="H1995" i="1"/>
  <c r="G1995" i="1"/>
  <c r="H1994" i="1"/>
  <c r="G1994" i="1"/>
  <c r="H1993" i="1"/>
  <c r="G1993" i="1"/>
  <c r="H1992" i="1"/>
  <c r="G1992" i="1"/>
  <c r="H1991" i="1"/>
  <c r="G1991" i="1"/>
  <c r="H1990" i="1"/>
  <c r="G1990" i="1"/>
  <c r="H1989" i="1"/>
  <c r="G1989" i="1"/>
  <c r="H1988" i="1"/>
  <c r="G1988" i="1"/>
  <c r="H1987" i="1"/>
  <c r="G1987" i="1"/>
  <c r="H1986" i="1"/>
  <c r="G1986" i="1"/>
  <c r="H1985" i="1"/>
  <c r="G1985" i="1"/>
  <c r="H1983" i="1"/>
  <c r="G1983" i="1"/>
  <c r="H1982" i="1"/>
  <c r="G1982" i="1"/>
  <c r="H1980" i="1"/>
  <c r="G1980" i="1"/>
  <c r="H1979" i="1"/>
  <c r="G1979" i="1"/>
  <c r="H1978" i="1"/>
  <c r="G1978" i="1"/>
  <c r="H1975" i="1"/>
  <c r="G1975" i="1"/>
  <c r="H1974" i="1"/>
  <c r="G1974" i="1"/>
  <c r="H1972" i="1"/>
  <c r="G1972" i="1"/>
  <c r="H1971" i="1"/>
  <c r="G1971" i="1"/>
  <c r="H1970" i="1"/>
  <c r="G1970" i="1"/>
  <c r="H1967" i="1"/>
  <c r="G1967" i="1"/>
  <c r="H1966" i="1"/>
  <c r="G1966" i="1"/>
  <c r="H1964" i="1"/>
  <c r="G1964" i="1"/>
  <c r="H1963" i="1"/>
  <c r="G1963" i="1"/>
  <c r="H1962" i="1"/>
  <c r="G1962" i="1"/>
  <c r="H1960" i="1"/>
  <c r="G1960" i="1"/>
  <c r="H1959" i="1"/>
  <c r="G1959" i="1"/>
  <c r="H1956" i="1"/>
  <c r="G1956" i="1"/>
  <c r="H1955" i="1"/>
  <c r="G1955" i="1"/>
  <c r="H1954" i="1"/>
  <c r="G1954" i="1"/>
  <c r="H1952" i="1"/>
  <c r="G1952" i="1"/>
  <c r="H1951" i="1"/>
  <c r="G1951" i="1"/>
  <c r="H1949" i="1"/>
  <c r="G1949" i="1"/>
  <c r="H1947" i="1"/>
  <c r="G1947" i="1"/>
  <c r="N1945" i="1"/>
  <c r="H1945" i="1"/>
  <c r="G1945" i="1"/>
  <c r="H1944" i="1"/>
  <c r="G1944" i="1"/>
  <c r="H1941" i="1"/>
  <c r="G1941" i="1"/>
  <c r="H1940" i="1"/>
  <c r="G1940" i="1"/>
  <c r="H1939" i="1"/>
  <c r="G1939" i="1"/>
  <c r="H1937" i="1"/>
  <c r="G1937" i="1"/>
  <c r="H1936" i="1"/>
  <c r="G1936" i="1"/>
  <c r="H1934" i="1"/>
  <c r="G1934" i="1"/>
  <c r="H1933" i="1"/>
  <c r="G1933" i="1"/>
  <c r="H1932" i="1"/>
  <c r="G1932" i="1"/>
  <c r="H1930" i="1"/>
  <c r="G1930" i="1"/>
  <c r="H1929" i="1"/>
  <c r="G1929" i="1"/>
  <c r="H1928" i="1"/>
  <c r="G1928" i="1"/>
  <c r="H1926" i="1"/>
  <c r="G1926" i="1"/>
  <c r="H1925" i="1"/>
  <c r="G1925" i="1"/>
  <c r="H1924" i="1"/>
  <c r="G1924" i="1"/>
  <c r="H1922" i="1"/>
  <c r="G1922" i="1"/>
  <c r="H1921" i="1"/>
  <c r="G1921" i="1"/>
  <c r="H1918" i="1"/>
  <c r="G1918" i="1"/>
  <c r="H1917" i="1"/>
  <c r="G1917" i="1"/>
  <c r="H1913" i="1"/>
  <c r="G1913" i="1"/>
  <c r="H1912" i="1"/>
  <c r="G1912" i="1"/>
  <c r="H1911" i="1"/>
  <c r="G1911" i="1"/>
  <c r="H1910" i="1"/>
  <c r="G1910" i="1"/>
  <c r="H1908" i="1"/>
  <c r="G1908" i="1"/>
  <c r="H1906" i="1"/>
  <c r="G1906" i="1"/>
  <c r="H1904" i="1"/>
  <c r="G1904" i="1"/>
  <c r="H1903" i="1"/>
  <c r="G1903" i="1"/>
  <c r="H1901" i="1"/>
  <c r="G1901" i="1"/>
  <c r="H1900" i="1"/>
  <c r="G1900" i="1"/>
  <c r="H1899" i="1"/>
  <c r="G1899" i="1"/>
  <c r="H1897" i="1"/>
  <c r="G1897" i="1"/>
  <c r="H1896" i="1"/>
  <c r="G1896" i="1"/>
  <c r="H1895" i="1"/>
  <c r="G1895" i="1"/>
  <c r="H1894" i="1"/>
  <c r="G1894" i="1"/>
  <c r="H1893" i="1"/>
  <c r="G1893" i="1"/>
  <c r="H1892" i="1"/>
  <c r="G1892" i="1"/>
  <c r="H1891" i="1"/>
  <c r="G1891" i="1"/>
  <c r="H1889" i="1"/>
  <c r="G1889" i="1"/>
  <c r="H1887" i="1"/>
  <c r="G1887" i="1"/>
  <c r="H1885" i="1"/>
  <c r="G1885" i="1"/>
  <c r="H1884" i="1"/>
  <c r="G1884" i="1"/>
  <c r="H1883" i="1"/>
  <c r="G1883" i="1"/>
  <c r="H1882" i="1"/>
  <c r="G1882" i="1"/>
  <c r="H1881" i="1"/>
  <c r="G1881" i="1"/>
  <c r="H1880" i="1"/>
  <c r="G1880" i="1"/>
  <c r="H1878" i="1"/>
  <c r="G1878" i="1"/>
  <c r="H1876" i="1"/>
  <c r="G1876" i="1"/>
  <c r="H1874" i="1"/>
  <c r="G1874" i="1"/>
  <c r="H1873" i="1"/>
  <c r="G1873" i="1"/>
  <c r="H1871" i="1"/>
  <c r="G1871" i="1"/>
  <c r="H1870" i="1"/>
  <c r="G1870" i="1"/>
  <c r="H1868" i="1"/>
  <c r="G1868" i="1"/>
  <c r="H1867" i="1"/>
  <c r="G1867" i="1"/>
  <c r="H1866" i="1"/>
  <c r="G1866" i="1"/>
  <c r="H1863" i="1"/>
  <c r="G1863" i="1"/>
  <c r="H1862" i="1"/>
  <c r="G1862" i="1"/>
  <c r="H1861" i="1"/>
  <c r="G1861" i="1"/>
  <c r="H1860" i="1"/>
  <c r="G1860" i="1"/>
  <c r="H1858" i="1"/>
  <c r="G1858" i="1"/>
  <c r="H1857" i="1"/>
  <c r="G1857" i="1"/>
  <c r="H1856" i="1"/>
  <c r="G1856" i="1"/>
  <c r="H1855" i="1"/>
  <c r="G1855" i="1"/>
  <c r="H1853" i="1"/>
  <c r="G1853" i="1"/>
  <c r="H1852" i="1"/>
  <c r="G1852" i="1"/>
  <c r="H1851" i="1"/>
  <c r="G1851" i="1"/>
  <c r="H1848" i="1"/>
  <c r="G1848" i="1"/>
  <c r="H1846" i="1"/>
  <c r="G1846" i="1"/>
  <c r="H1845" i="1"/>
  <c r="G1845" i="1"/>
  <c r="H1842" i="1"/>
  <c r="G1842" i="1"/>
  <c r="H1841" i="1"/>
  <c r="G1841" i="1"/>
  <c r="H1840" i="1"/>
  <c r="G1840" i="1"/>
  <c r="H1839" i="1"/>
  <c r="G1839" i="1"/>
  <c r="H1837" i="1"/>
  <c r="G1837" i="1"/>
  <c r="H1836" i="1"/>
  <c r="G1836" i="1"/>
  <c r="H1834" i="1"/>
  <c r="G1834" i="1"/>
  <c r="H1833" i="1"/>
  <c r="G1833" i="1"/>
  <c r="H1832" i="1"/>
  <c r="G1832" i="1"/>
  <c r="H1829" i="1"/>
  <c r="G1829" i="1"/>
  <c r="H1827" i="1"/>
  <c r="G1827" i="1"/>
  <c r="H1825" i="1"/>
  <c r="G1825" i="1"/>
  <c r="H1824" i="1"/>
  <c r="G1824" i="1"/>
  <c r="H1820" i="1"/>
  <c r="G1820" i="1"/>
  <c r="H1819" i="1"/>
  <c r="G1819" i="1"/>
  <c r="H1818" i="1"/>
  <c r="G1818" i="1"/>
  <c r="H1817" i="1"/>
  <c r="G1817" i="1"/>
  <c r="H1815" i="1"/>
  <c r="G1815" i="1"/>
  <c r="H1814" i="1"/>
  <c r="G1814" i="1"/>
  <c r="H1812" i="1"/>
  <c r="G1812" i="1"/>
  <c r="H1811" i="1"/>
  <c r="G1811" i="1"/>
  <c r="H1810" i="1"/>
  <c r="G1810" i="1"/>
  <c r="H1807" i="1"/>
  <c r="G1807" i="1"/>
  <c r="H1805" i="1"/>
  <c r="G1805" i="1"/>
  <c r="H1803" i="1"/>
  <c r="G1803" i="1"/>
  <c r="H1802" i="1"/>
  <c r="G1802" i="1"/>
  <c r="H1799" i="1"/>
  <c r="G1799" i="1"/>
  <c r="H1798" i="1"/>
  <c r="G1798" i="1"/>
  <c r="H1797" i="1"/>
  <c r="G1797" i="1"/>
  <c r="H1796" i="1"/>
  <c r="G1796" i="1"/>
  <c r="H1794" i="1"/>
  <c r="G1794" i="1"/>
  <c r="H1793" i="1"/>
  <c r="G1793" i="1"/>
  <c r="H1792" i="1"/>
  <c r="G1792" i="1"/>
  <c r="H1791" i="1"/>
  <c r="G1791" i="1"/>
  <c r="H1789" i="1"/>
  <c r="G1789" i="1"/>
  <c r="H1788" i="1"/>
  <c r="G1788" i="1"/>
  <c r="H1787" i="1"/>
  <c r="G1787" i="1"/>
  <c r="H1784" i="1"/>
  <c r="G1784" i="1"/>
  <c r="H1782" i="1"/>
  <c r="G1782" i="1"/>
  <c r="H1781" i="1"/>
  <c r="G1781" i="1"/>
  <c r="H1778" i="1"/>
  <c r="G1778" i="1"/>
  <c r="H1777" i="1"/>
  <c r="G1777" i="1"/>
  <c r="H1776" i="1"/>
  <c r="G1776" i="1"/>
  <c r="H1775" i="1"/>
  <c r="G1775" i="1"/>
  <c r="H1773" i="1"/>
  <c r="G1773" i="1"/>
  <c r="H1772" i="1"/>
  <c r="G1772" i="1"/>
  <c r="H1770" i="1"/>
  <c r="G1770" i="1"/>
  <c r="H1769" i="1"/>
  <c r="G1769" i="1"/>
  <c r="H1768" i="1"/>
  <c r="G1768" i="1"/>
  <c r="H1765" i="1"/>
  <c r="G1765" i="1"/>
  <c r="H1763" i="1"/>
  <c r="G1763" i="1"/>
  <c r="H1761" i="1"/>
  <c r="G1761" i="1"/>
  <c r="H1760" i="1"/>
  <c r="G1760" i="1"/>
  <c r="H1755" i="1"/>
  <c r="G1755" i="1"/>
  <c r="H1754" i="1"/>
  <c r="G1754" i="1"/>
  <c r="H1752" i="1"/>
  <c r="G1752" i="1"/>
  <c r="H1750" i="1"/>
  <c r="G1750" i="1"/>
  <c r="H1749" i="1"/>
  <c r="G1749" i="1"/>
  <c r="H1748" i="1"/>
  <c r="G1748" i="1"/>
  <c r="H1747" i="1"/>
  <c r="G1747" i="1"/>
  <c r="H1746" i="1"/>
  <c r="G1746" i="1"/>
  <c r="H1745" i="1"/>
  <c r="G1745" i="1"/>
  <c r="H1744" i="1"/>
  <c r="G1744" i="1"/>
  <c r="H1743" i="1"/>
  <c r="G1743" i="1"/>
  <c r="H1742" i="1"/>
  <c r="G1742" i="1"/>
  <c r="H1741" i="1"/>
  <c r="G1741" i="1"/>
  <c r="H1740" i="1"/>
  <c r="G1740" i="1"/>
  <c r="H1739" i="1"/>
  <c r="G1739" i="1"/>
  <c r="H1738" i="1"/>
  <c r="G1738" i="1"/>
  <c r="H1737" i="1"/>
  <c r="G1737" i="1"/>
  <c r="H1736" i="1"/>
  <c r="G1736" i="1"/>
  <c r="H1735" i="1"/>
  <c r="G1735" i="1"/>
  <c r="H1734" i="1"/>
  <c r="G1734" i="1"/>
  <c r="H1733" i="1"/>
  <c r="G1733" i="1"/>
  <c r="H1732" i="1"/>
  <c r="G1732" i="1"/>
  <c r="H1731" i="1"/>
  <c r="G1731" i="1"/>
  <c r="H1730" i="1"/>
  <c r="G1730" i="1"/>
  <c r="H1729" i="1"/>
  <c r="G1729" i="1"/>
  <c r="H1728" i="1"/>
  <c r="G1728" i="1"/>
  <c r="H1727" i="1"/>
  <c r="G1727" i="1"/>
  <c r="H1726" i="1"/>
  <c r="G1726" i="1"/>
  <c r="H1725" i="1"/>
  <c r="G1725" i="1"/>
  <c r="H1723" i="1"/>
  <c r="G1723" i="1"/>
  <c r="H1721" i="1"/>
  <c r="G1721" i="1"/>
  <c r="H1719" i="1"/>
  <c r="G1719" i="1"/>
  <c r="H1717" i="1"/>
  <c r="G1717" i="1"/>
  <c r="H1716" i="1"/>
  <c r="G1716" i="1"/>
  <c r="H1712" i="1"/>
  <c r="G1712" i="1"/>
  <c r="H1711" i="1"/>
  <c r="G1711" i="1"/>
  <c r="H1708" i="1"/>
  <c r="G1708" i="1"/>
  <c r="H1707" i="1"/>
  <c r="G1707" i="1"/>
  <c r="H1706" i="1"/>
  <c r="G1706" i="1"/>
  <c r="H1705" i="1"/>
  <c r="G1705" i="1"/>
  <c r="H1704" i="1"/>
  <c r="G1704" i="1"/>
  <c r="H1703" i="1"/>
  <c r="G1703" i="1"/>
  <c r="H1702" i="1"/>
  <c r="G1702" i="1"/>
  <c r="H1701" i="1"/>
  <c r="G1701" i="1"/>
  <c r="H1700" i="1"/>
  <c r="G1700" i="1"/>
  <c r="H1699" i="1"/>
  <c r="G1699" i="1"/>
  <c r="H1698" i="1"/>
  <c r="G1698" i="1"/>
  <c r="H1697" i="1"/>
  <c r="G1697" i="1"/>
  <c r="H1696" i="1"/>
  <c r="G1696" i="1"/>
  <c r="H1695" i="1"/>
  <c r="G1695" i="1"/>
  <c r="H1694" i="1"/>
  <c r="G1694" i="1"/>
  <c r="H1693" i="1"/>
  <c r="G1693" i="1"/>
  <c r="H1691" i="1"/>
  <c r="G1691" i="1"/>
  <c r="H1690" i="1"/>
  <c r="G1690" i="1"/>
  <c r="H1689" i="1"/>
  <c r="G1689" i="1"/>
  <c r="H1688" i="1"/>
  <c r="G1688" i="1"/>
  <c r="H1686" i="1"/>
  <c r="G1686" i="1"/>
  <c r="H1685" i="1"/>
  <c r="G1685" i="1"/>
  <c r="H1684" i="1"/>
  <c r="G1684" i="1"/>
  <c r="H1682" i="1"/>
  <c r="G1682" i="1"/>
  <c r="H1681" i="1"/>
  <c r="G1681" i="1"/>
  <c r="G347" i="1" l="1"/>
  <c r="G401" i="1"/>
  <c r="G320" i="1"/>
  <c r="G361" i="1"/>
  <c r="G438" i="1"/>
  <c r="G437" i="1" s="1"/>
  <c r="H2018" i="1"/>
  <c r="H1692" i="1"/>
  <c r="H1678" i="1" s="1"/>
  <c r="H320" i="1"/>
  <c r="H319" i="1" s="1"/>
  <c r="H406" i="1"/>
  <c r="H401" i="1" s="1"/>
  <c r="H438" i="1"/>
  <c r="H437" i="1" s="1"/>
  <c r="G1843" i="1"/>
  <c r="G1800" i="1"/>
  <c r="G1692" i="1"/>
  <c r="G1678" i="1" s="1"/>
  <c r="H1843" i="1"/>
  <c r="G2000" i="1"/>
  <c r="G1942" i="1" s="1"/>
  <c r="G1914" i="1" s="1"/>
  <c r="G1722" i="1"/>
  <c r="G1713" i="1" s="1"/>
  <c r="G1677" i="1" s="1"/>
  <c r="G1758" i="1"/>
  <c r="G1888" i="1"/>
  <c r="G2018" i="1"/>
  <c r="H1758" i="1"/>
  <c r="H1888" i="1"/>
  <c r="H1779" i="1"/>
  <c r="H1822" i="1"/>
  <c r="H1915" i="1"/>
  <c r="H2000" i="1"/>
  <c r="H1942" i="1" s="1"/>
  <c r="H1914" i="1" s="1"/>
  <c r="G1779" i="1"/>
  <c r="H1800" i="1"/>
  <c r="H1722" i="1"/>
  <c r="H1713" i="1" s="1"/>
  <c r="G1822" i="1"/>
  <c r="G1915" i="1"/>
  <c r="H1757" i="1" l="1"/>
  <c r="H1677" i="1"/>
  <c r="G1757" i="1"/>
  <c r="G319" i="1"/>
  <c r="G397" i="1"/>
  <c r="H1821" i="1"/>
  <c r="H1756" i="1" s="1"/>
  <c r="H1676" i="1" s="1"/>
  <c r="H397" i="1"/>
  <c r="H318" i="1" s="1"/>
  <c r="G1821" i="1"/>
  <c r="G1756" i="1" s="1"/>
  <c r="G1676" i="1" s="1"/>
  <c r="G318" i="1" l="1"/>
  <c r="H57" i="1"/>
  <c r="G57" i="1"/>
  <c r="H56" i="1"/>
  <c r="G56" i="1"/>
  <c r="H55" i="1"/>
  <c r="G55" i="1"/>
  <c r="H54" i="1"/>
  <c r="G54" i="1"/>
  <c r="T31" i="14" l="1"/>
  <c r="T28" i="14"/>
  <c r="T25" i="14"/>
  <c r="T24" i="14"/>
  <c r="T23" i="14"/>
  <c r="T20" i="14"/>
  <c r="T19" i="14"/>
  <c r="T18" i="14"/>
  <c r="T16" i="14"/>
  <c r="T10" i="14"/>
  <c r="T9" i="14"/>
  <c r="T8" i="14"/>
  <c r="S33" i="14"/>
  <c r="S25" i="14"/>
  <c r="S24" i="14"/>
  <c r="S23" i="14"/>
  <c r="S20" i="14"/>
  <c r="S19" i="14"/>
  <c r="S18" i="14"/>
  <c r="S16" i="14"/>
  <c r="S10" i="14"/>
  <c r="S9" i="14"/>
  <c r="S8" i="14"/>
  <c r="I31" i="14" l="1"/>
  <c r="AE31" i="14" s="1"/>
  <c r="I28" i="14"/>
  <c r="AE28" i="14" s="1"/>
  <c r="I25" i="14"/>
  <c r="AE25" i="14" s="1"/>
  <c r="I24" i="14"/>
  <c r="AE24" i="14" s="1"/>
  <c r="I23" i="14"/>
  <c r="AE23" i="14" s="1"/>
  <c r="I20" i="14"/>
  <c r="AE20" i="14" s="1"/>
  <c r="I19" i="14"/>
  <c r="AE19" i="14" s="1"/>
  <c r="I18" i="14"/>
  <c r="AE18" i="14" s="1"/>
  <c r="I16" i="14"/>
  <c r="AE16" i="14" s="1"/>
  <c r="I10" i="14"/>
  <c r="AE10" i="14" s="1"/>
  <c r="I9" i="14"/>
  <c r="AE9" i="14" s="1"/>
  <c r="I8" i="14"/>
  <c r="AE8" i="14" s="1"/>
  <c r="H33" i="14"/>
  <c r="AD33" i="14" s="1"/>
  <c r="H25" i="14"/>
  <c r="AD25" i="14" s="1"/>
  <c r="H24" i="14"/>
  <c r="AD24" i="14" s="1"/>
  <c r="H23" i="14"/>
  <c r="AD23" i="14" s="1"/>
  <c r="H20" i="14"/>
  <c r="AD20" i="14" s="1"/>
  <c r="H19" i="14"/>
  <c r="AD19" i="14" s="1"/>
  <c r="H18" i="14"/>
  <c r="AD18" i="14" s="1"/>
  <c r="H16" i="14"/>
  <c r="AD16" i="14" s="1"/>
  <c r="H10" i="14"/>
  <c r="AD10" i="14" s="1"/>
  <c r="H9" i="14"/>
  <c r="AD9" i="14" s="1"/>
  <c r="H8" i="14"/>
  <c r="AD8" i="14" s="1"/>
  <c r="H92" i="1"/>
  <c r="G92" i="1"/>
  <c r="H91" i="1"/>
  <c r="G91" i="1"/>
  <c r="H90" i="1"/>
  <c r="G90" i="1"/>
  <c r="AD22" i="14" l="1"/>
  <c r="AE22" i="14"/>
  <c r="H22" i="14"/>
  <c r="H1570" i="1" l="1"/>
  <c r="G1570" i="1"/>
  <c r="H1569" i="1"/>
  <c r="G1569" i="1"/>
  <c r="H1568" i="1"/>
  <c r="G1568" i="1"/>
  <c r="H1567" i="1"/>
  <c r="G1567" i="1"/>
  <c r="H1566" i="1"/>
  <c r="G1566" i="1"/>
  <c r="H1565" i="1"/>
  <c r="G1565" i="1"/>
  <c r="H1564" i="1"/>
  <c r="G1564" i="1"/>
  <c r="H1563" i="1"/>
  <c r="G1563" i="1"/>
  <c r="H1562" i="1"/>
  <c r="G1562" i="1"/>
  <c r="H698" i="1"/>
  <c r="H697" i="1" s="1"/>
  <c r="G698" i="1"/>
  <c r="G697" i="1" s="1"/>
  <c r="H979" i="1"/>
  <c r="G979" i="1"/>
  <c r="H978" i="1"/>
  <c r="G978" i="1"/>
  <c r="H977" i="1"/>
  <c r="G977" i="1"/>
  <c r="H976" i="1"/>
  <c r="G976" i="1"/>
  <c r="H975" i="1"/>
  <c r="G975" i="1"/>
  <c r="H974" i="1"/>
  <c r="G974" i="1"/>
  <c r="H973" i="1"/>
  <c r="G973" i="1"/>
  <c r="H972" i="1"/>
  <c r="G972" i="1"/>
  <c r="H971" i="1"/>
  <c r="G971" i="1"/>
  <c r="H970" i="1"/>
  <c r="G970" i="1"/>
  <c r="H969" i="1"/>
  <c r="G969" i="1"/>
  <c r="H968" i="1"/>
  <c r="G968" i="1"/>
  <c r="H967" i="1"/>
  <c r="G967" i="1"/>
  <c r="H966" i="1"/>
  <c r="G966" i="1"/>
  <c r="H965" i="1"/>
  <c r="G965" i="1"/>
  <c r="H964" i="1"/>
  <c r="G964" i="1"/>
  <c r="H1610" i="1"/>
  <c r="G1610" i="1"/>
  <c r="H1609" i="1"/>
  <c r="G1609" i="1"/>
  <c r="H1608" i="1"/>
  <c r="G1608" i="1"/>
  <c r="H1607" i="1"/>
  <c r="G1607" i="1"/>
  <c r="H1606" i="1"/>
  <c r="G1606" i="1"/>
  <c r="H1605" i="1"/>
  <c r="G1605" i="1"/>
  <c r="H1604" i="1"/>
  <c r="G1604" i="1"/>
  <c r="H1603" i="1"/>
  <c r="G1603" i="1"/>
  <c r="H1602" i="1"/>
  <c r="G1602" i="1"/>
  <c r="H1601" i="1"/>
  <c r="G1601" i="1"/>
  <c r="H1600" i="1"/>
  <c r="G1600" i="1"/>
  <c r="H1599" i="1"/>
  <c r="G1599" i="1"/>
  <c r="H1598" i="1"/>
  <c r="G1598" i="1"/>
  <c r="H1597" i="1"/>
  <c r="G1597" i="1"/>
  <c r="H1457" i="1"/>
  <c r="G1457" i="1"/>
  <c r="H1456" i="1"/>
  <c r="G1456" i="1"/>
  <c r="H1455" i="1"/>
  <c r="G1455" i="1"/>
  <c r="H1454" i="1"/>
  <c r="G1454" i="1"/>
  <c r="H1453" i="1"/>
  <c r="G1453" i="1"/>
  <c r="H1452" i="1"/>
  <c r="G1452" i="1"/>
  <c r="H1451" i="1"/>
  <c r="G1451" i="1"/>
  <c r="H1450" i="1"/>
  <c r="G1450" i="1"/>
  <c r="H1449" i="1"/>
  <c r="G1449" i="1"/>
  <c r="H1448" i="1"/>
  <c r="G1448" i="1"/>
  <c r="H1447" i="1"/>
  <c r="G1447" i="1"/>
  <c r="H1446" i="1"/>
  <c r="G1446" i="1"/>
  <c r="H1445" i="1"/>
  <c r="G1445" i="1"/>
  <c r="H1444" i="1"/>
  <c r="G1444" i="1"/>
  <c r="H1443" i="1"/>
  <c r="G1443" i="1"/>
  <c r="H1442" i="1"/>
  <c r="G1442" i="1"/>
  <c r="H1425" i="1"/>
  <c r="G1425" i="1"/>
  <c r="H1424" i="1"/>
  <c r="G1424" i="1"/>
  <c r="H1423" i="1"/>
  <c r="G1423" i="1"/>
  <c r="H1422" i="1"/>
  <c r="G1422" i="1"/>
  <c r="H1421" i="1"/>
  <c r="G1421" i="1"/>
  <c r="H1420" i="1"/>
  <c r="G1420" i="1"/>
  <c r="H1419" i="1"/>
  <c r="G1419" i="1"/>
  <c r="H1418" i="1"/>
  <c r="G1418" i="1"/>
  <c r="H1417" i="1"/>
  <c r="G1417" i="1"/>
  <c r="H1416" i="1"/>
  <c r="G1416" i="1"/>
  <c r="H1415" i="1"/>
  <c r="S32" i="14" s="1"/>
  <c r="G1415" i="1"/>
  <c r="H32" i="14" s="1"/>
  <c r="H1411" i="1"/>
  <c r="G1411" i="1"/>
  <c r="H1410" i="1"/>
  <c r="G1410" i="1"/>
  <c r="H1409" i="1"/>
  <c r="G1409" i="1"/>
  <c r="H1408" i="1"/>
  <c r="G1408" i="1"/>
  <c r="H1407" i="1"/>
  <c r="G1407" i="1"/>
  <c r="H1406" i="1"/>
  <c r="G1406" i="1"/>
  <c r="H1405" i="1"/>
  <c r="G1405" i="1"/>
  <c r="H1403" i="1"/>
  <c r="G1403" i="1"/>
  <c r="H1402" i="1"/>
  <c r="G1402" i="1"/>
  <c r="H1400" i="1"/>
  <c r="G1400" i="1"/>
  <c r="H1399" i="1"/>
  <c r="G1399" i="1"/>
  <c r="H1398" i="1"/>
  <c r="G1398" i="1"/>
  <c r="H1397" i="1"/>
  <c r="G1397" i="1"/>
  <c r="H1396" i="1"/>
  <c r="G1396" i="1"/>
  <c r="H1395" i="1"/>
  <c r="G1395" i="1"/>
  <c r="H1394" i="1"/>
  <c r="G1394" i="1"/>
  <c r="H1392" i="1"/>
  <c r="G1392" i="1"/>
  <c r="H1391" i="1"/>
  <c r="G1391" i="1"/>
  <c r="H1390" i="1"/>
  <c r="G1390" i="1"/>
  <c r="H1389" i="1"/>
  <c r="G1389" i="1"/>
  <c r="H1388" i="1"/>
  <c r="G1388" i="1"/>
  <c r="H1387" i="1"/>
  <c r="G1387" i="1"/>
  <c r="H1386" i="1"/>
  <c r="G1386" i="1"/>
  <c r="H1384" i="1"/>
  <c r="G1384" i="1"/>
  <c r="H1383" i="1"/>
  <c r="G1383" i="1"/>
  <c r="H1381" i="1"/>
  <c r="G1381" i="1"/>
  <c r="H1380" i="1"/>
  <c r="G1380" i="1"/>
  <c r="H1379" i="1"/>
  <c r="G1379" i="1"/>
  <c r="H1377" i="1"/>
  <c r="G1377" i="1"/>
  <c r="H1376" i="1"/>
  <c r="G1376" i="1"/>
  <c r="H1375" i="1"/>
  <c r="G1375" i="1"/>
  <c r="H1374" i="1"/>
  <c r="G1374" i="1"/>
  <c r="H1373" i="1"/>
  <c r="G1373" i="1"/>
  <c r="H1372" i="1"/>
  <c r="G1372" i="1"/>
  <c r="H1371" i="1"/>
  <c r="G1371" i="1"/>
  <c r="H1370" i="1"/>
  <c r="G1370" i="1"/>
  <c r="H1368" i="1"/>
  <c r="G1368" i="1"/>
  <c r="H1367" i="1"/>
  <c r="G1367" i="1"/>
  <c r="H1366" i="1"/>
  <c r="G1366" i="1"/>
  <c r="H1365" i="1"/>
  <c r="G1365" i="1"/>
  <c r="H1364" i="1"/>
  <c r="G1364" i="1"/>
  <c r="H1363" i="1"/>
  <c r="G1363" i="1"/>
  <c r="H1362" i="1"/>
  <c r="G1362" i="1"/>
  <c r="H1360" i="1"/>
  <c r="G1360" i="1"/>
  <c r="H1359" i="1"/>
  <c r="G1359" i="1"/>
  <c r="H1358" i="1"/>
  <c r="G1358" i="1"/>
  <c r="H1357" i="1"/>
  <c r="G1357" i="1"/>
  <c r="H1356" i="1"/>
  <c r="G1356" i="1"/>
  <c r="H1355" i="1"/>
  <c r="G1355" i="1"/>
  <c r="H1354" i="1"/>
  <c r="G1354"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8" i="1"/>
  <c r="G678" i="1"/>
  <c r="H677" i="1"/>
  <c r="G677" i="1"/>
  <c r="H676" i="1"/>
  <c r="G676" i="1"/>
  <c r="H675" i="1"/>
  <c r="G675" i="1"/>
  <c r="H674" i="1"/>
  <c r="G674" i="1"/>
  <c r="H673" i="1"/>
  <c r="G673" i="1"/>
  <c r="H672" i="1"/>
  <c r="G672" i="1"/>
  <c r="H671" i="1"/>
  <c r="G671" i="1"/>
  <c r="H670" i="1"/>
  <c r="G670" i="1"/>
  <c r="H669" i="1"/>
  <c r="G669" i="1"/>
  <c r="G1401" i="1" l="1"/>
  <c r="G668" i="1"/>
  <c r="H1561" i="1"/>
  <c r="AD32" i="14"/>
  <c r="H963" i="1"/>
  <c r="G1441" i="1"/>
  <c r="H1414" i="1"/>
  <c r="G963" i="1"/>
  <c r="H1596" i="1"/>
  <c r="H1441" i="1"/>
  <c r="G1369" i="1"/>
  <c r="H1369" i="1"/>
  <c r="H1378" i="1"/>
  <c r="H1393" i="1"/>
  <c r="G1404" i="1"/>
  <c r="H1361" i="1"/>
  <c r="H1404" i="1"/>
  <c r="G1361" i="1"/>
  <c r="G1353" i="1"/>
  <c r="G1393" i="1"/>
  <c r="G1385" i="1"/>
  <c r="H1353" i="1"/>
  <c r="H1385" i="1"/>
  <c r="G1378" i="1"/>
  <c r="H668" i="1"/>
  <c r="H679" i="1"/>
  <c r="H1218" i="1"/>
  <c r="G1218" i="1"/>
  <c r="H1217" i="1"/>
  <c r="G1217" i="1"/>
  <c r="H1216" i="1"/>
  <c r="G1216" i="1"/>
  <c r="H1215" i="1"/>
  <c r="G1215" i="1"/>
  <c r="H1214" i="1"/>
  <c r="G1214" i="1"/>
  <c r="H1213" i="1"/>
  <c r="G1213" i="1"/>
  <c r="H1212" i="1"/>
  <c r="G1212" i="1"/>
  <c r="H1211" i="1"/>
  <c r="G1211" i="1"/>
  <c r="H1210" i="1"/>
  <c r="G1210" i="1"/>
  <c r="H1209" i="1"/>
  <c r="G1209" i="1"/>
  <c r="H1208" i="1"/>
  <c r="G1208" i="1"/>
  <c r="H1207" i="1"/>
  <c r="G1207" i="1"/>
  <c r="H1206" i="1"/>
  <c r="G1206" i="1"/>
  <c r="H1205" i="1"/>
  <c r="G1205" i="1"/>
  <c r="H1204" i="1"/>
  <c r="G1204" i="1"/>
  <c r="H1203" i="1"/>
  <c r="G1203" i="1"/>
  <c r="H1202" i="1"/>
  <c r="G1202" i="1"/>
  <c r="H1200" i="1"/>
  <c r="G1200" i="1"/>
  <c r="H1199" i="1"/>
  <c r="G1199" i="1"/>
  <c r="H1198" i="1"/>
  <c r="G1198" i="1"/>
  <c r="H1197" i="1"/>
  <c r="G1197" i="1"/>
  <c r="H1196" i="1"/>
  <c r="G1196" i="1"/>
  <c r="H1195" i="1"/>
  <c r="G1195" i="1"/>
  <c r="H1194" i="1"/>
  <c r="G1194" i="1"/>
  <c r="H1193" i="1"/>
  <c r="G1193" i="1"/>
  <c r="H1192" i="1"/>
  <c r="G1192" i="1"/>
  <c r="H1191" i="1"/>
  <c r="G1191" i="1"/>
  <c r="G1190" i="1" l="1"/>
  <c r="H1201" i="1"/>
  <c r="H1190" i="1"/>
  <c r="H957" i="1" l="1"/>
  <c r="G957" i="1"/>
  <c r="O956" i="1"/>
  <c r="H956" i="1"/>
  <c r="G956" i="1"/>
  <c r="H955" i="1"/>
  <c r="G955" i="1"/>
  <c r="O954" i="1"/>
  <c r="H954" i="1"/>
  <c r="T21" i="14" s="1"/>
  <c r="G954" i="1"/>
  <c r="O953" i="1"/>
  <c r="G1675" i="1"/>
  <c r="G1674" i="1"/>
  <c r="G1672" i="1"/>
  <c r="G1671" i="1"/>
  <c r="G1670" i="1"/>
  <c r="G1669" i="1"/>
  <c r="G1668" i="1"/>
  <c r="G1667" i="1"/>
  <c r="G1666" i="1"/>
  <c r="G1664" i="1"/>
  <c r="G1663" i="1"/>
  <c r="G1662" i="1"/>
  <c r="G1661" i="1"/>
  <c r="G1660" i="1"/>
  <c r="G1659" i="1"/>
  <c r="G1658" i="1"/>
  <c r="G1656" i="1"/>
  <c r="G1655" i="1"/>
  <c r="G1654" i="1"/>
  <c r="G1653" i="1"/>
  <c r="G1652" i="1"/>
  <c r="G1651" i="1"/>
  <c r="G1650" i="1"/>
  <c r="G1649" i="1"/>
  <c r="G1648" i="1"/>
  <c r="G1647" i="1"/>
  <c r="G1646" i="1"/>
  <c r="G1645" i="1"/>
  <c r="G1644" i="1"/>
  <c r="G1642" i="1"/>
  <c r="G1641" i="1"/>
  <c r="G1640" i="1"/>
  <c r="G1639" i="1"/>
  <c r="G1638" i="1"/>
  <c r="G1637" i="1"/>
  <c r="G1636" i="1"/>
  <c r="G1635" i="1"/>
  <c r="G1634" i="1"/>
  <c r="G1633" i="1"/>
  <c r="G1632" i="1"/>
  <c r="G1631" i="1"/>
  <c r="G1629" i="1"/>
  <c r="G1628" i="1"/>
  <c r="G1627" i="1"/>
  <c r="G1626" i="1"/>
  <c r="G1625" i="1"/>
  <c r="G1624" i="1"/>
  <c r="G1623" i="1"/>
  <c r="G1622" i="1"/>
  <c r="G1620" i="1"/>
  <c r="G1619" i="1"/>
  <c r="G1618" i="1"/>
  <c r="G1617" i="1"/>
  <c r="G1616" i="1"/>
  <c r="G1615" i="1"/>
  <c r="G1614" i="1"/>
  <c r="G1613" i="1"/>
  <c r="G1583" i="1"/>
  <c r="G1582" i="1"/>
  <c r="G1581" i="1"/>
  <c r="G1580" i="1"/>
  <c r="G1579" i="1"/>
  <c r="G1578" i="1"/>
  <c r="G1577" i="1"/>
  <c r="G1576" i="1"/>
  <c r="G1575" i="1"/>
  <c r="G1574" i="1"/>
  <c r="G1557" i="1"/>
  <c r="G1556" i="1"/>
  <c r="G1555" i="1"/>
  <c r="G1554" i="1"/>
  <c r="G1553" i="1"/>
  <c r="G1552" i="1"/>
  <c r="G1551" i="1"/>
  <c r="G1550" i="1"/>
  <c r="G1549" i="1"/>
  <c r="G1548" i="1"/>
  <c r="G1543" i="1"/>
  <c r="G1542" i="1"/>
  <c r="G1540" i="1"/>
  <c r="G1539" i="1"/>
  <c r="G1537" i="1"/>
  <c r="G1536" i="1"/>
  <c r="G1535" i="1"/>
  <c r="G1534" i="1"/>
  <c r="G1533" i="1"/>
  <c r="G1532" i="1"/>
  <c r="G1531" i="1"/>
  <c r="G1530" i="1"/>
  <c r="G1529" i="1"/>
  <c r="G1528" i="1"/>
  <c r="G1527" i="1"/>
  <c r="G1526" i="1"/>
  <c r="G1525" i="1"/>
  <c r="G1524" i="1"/>
  <c r="G1523" i="1"/>
  <c r="G1522" i="1"/>
  <c r="G1521" i="1"/>
  <c r="G1520" i="1"/>
  <c r="G1519" i="1"/>
  <c r="G1516" i="1"/>
  <c r="G1515" i="1"/>
  <c r="G1514" i="1"/>
  <c r="G1513" i="1"/>
  <c r="G1512" i="1"/>
  <c r="G1511" i="1"/>
  <c r="G1510" i="1"/>
  <c r="G1508" i="1"/>
  <c r="G1507"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4" i="1"/>
  <c r="G1473" i="1"/>
  <c r="G1472" i="1"/>
  <c r="G1470" i="1"/>
  <c r="G1469" i="1"/>
  <c r="G1468" i="1"/>
  <c r="G1465" i="1"/>
  <c r="G1464" i="1"/>
  <c r="G1462" i="1"/>
  <c r="G1461" i="1"/>
  <c r="G1460" i="1"/>
  <c r="G1459" i="1"/>
  <c r="I33" i="14" s="1"/>
  <c r="G1351" i="1"/>
  <c r="G1350" i="1"/>
  <c r="G1348" i="1"/>
  <c r="G1347" i="1"/>
  <c r="G1346" i="1"/>
  <c r="G1345" i="1"/>
  <c r="G1344" i="1"/>
  <c r="G1343" i="1"/>
  <c r="G1342" i="1"/>
  <c r="G1340" i="1"/>
  <c r="G1339" i="1"/>
  <c r="G1338" i="1"/>
  <c r="G1337" i="1"/>
  <c r="G1336" i="1"/>
  <c r="G1335" i="1"/>
  <c r="G1334" i="1"/>
  <c r="G1332" i="1"/>
  <c r="G1331" i="1"/>
  <c r="G1330" i="1"/>
  <c r="G1329" i="1"/>
  <c r="G1328" i="1"/>
  <c r="G1327" i="1"/>
  <c r="G1326" i="1"/>
  <c r="G1325" i="1"/>
  <c r="G1324" i="1"/>
  <c r="G1323" i="1"/>
  <c r="G1322" i="1"/>
  <c r="G1321" i="1"/>
  <c r="G1320" i="1"/>
  <c r="G1318" i="1"/>
  <c r="G1317" i="1"/>
  <c r="G1316" i="1"/>
  <c r="G1315" i="1"/>
  <c r="G1314" i="1"/>
  <c r="G1313" i="1"/>
  <c r="G1312" i="1"/>
  <c r="G1311" i="1"/>
  <c r="G1310" i="1"/>
  <c r="G1309" i="1"/>
  <c r="G1308" i="1"/>
  <c r="G1307" i="1"/>
  <c r="G1305" i="1"/>
  <c r="G1304" i="1"/>
  <c r="G1303" i="1"/>
  <c r="G1302" i="1"/>
  <c r="G1301" i="1"/>
  <c r="G1300" i="1"/>
  <c r="G1299" i="1"/>
  <c r="G1298" i="1"/>
  <c r="G1296" i="1"/>
  <c r="G1295" i="1"/>
  <c r="G1294" i="1"/>
  <c r="G1293" i="1"/>
  <c r="G1292" i="1"/>
  <c r="G1291" i="1"/>
  <c r="G1290" i="1"/>
  <c r="G1289" i="1"/>
  <c r="G1287" i="1"/>
  <c r="G1286" i="1"/>
  <c r="G1285" i="1"/>
  <c r="G1284" i="1"/>
  <c r="G1283" i="1"/>
  <c r="G1282" i="1"/>
  <c r="G1281" i="1"/>
  <c r="G1280" i="1"/>
  <c r="G1279" i="1"/>
  <c r="G1278" i="1"/>
  <c r="G1277" i="1"/>
  <c r="G1274" i="1"/>
  <c r="G1273" i="1"/>
  <c r="G1272" i="1"/>
  <c r="G1271" i="1"/>
  <c r="G1270" i="1"/>
  <c r="G1269" i="1"/>
  <c r="G1268" i="1"/>
  <c r="G1267" i="1"/>
  <c r="G1266" i="1"/>
  <c r="G1265" i="1"/>
  <c r="G1264" i="1"/>
  <c r="G1263" i="1"/>
  <c r="G1262" i="1"/>
  <c r="G1261" i="1"/>
  <c r="G1258" i="1"/>
  <c r="G1257" i="1"/>
  <c r="G1256" i="1"/>
  <c r="G1255" i="1"/>
  <c r="G1254" i="1"/>
  <c r="G1253" i="1"/>
  <c r="G1252" i="1"/>
  <c r="G1251" i="1"/>
  <c r="G1250" i="1"/>
  <c r="G1249" i="1"/>
  <c r="G1236" i="1"/>
  <c r="G1235" i="1"/>
  <c r="G1234" i="1"/>
  <c r="G1233" i="1"/>
  <c r="G1232" i="1"/>
  <c r="G1231" i="1"/>
  <c r="G1230" i="1"/>
  <c r="G1229" i="1"/>
  <c r="G1228" i="1"/>
  <c r="G1227" i="1"/>
  <c r="G1226" i="1"/>
  <c r="G1225" i="1"/>
  <c r="G1224" i="1"/>
  <c r="G1223" i="1"/>
  <c r="G1222" i="1"/>
  <c r="G1221" i="1"/>
  <c r="G1189" i="1"/>
  <c r="G1188" i="1"/>
  <c r="G1186" i="1"/>
  <c r="G1185" i="1"/>
  <c r="G1184" i="1"/>
  <c r="G1183" i="1"/>
  <c r="G1182" i="1"/>
  <c r="G1181" i="1"/>
  <c r="G1180" i="1"/>
  <c r="G1179" i="1"/>
  <c r="G1178" i="1"/>
  <c r="G1177" i="1"/>
  <c r="G1176" i="1"/>
  <c r="G1175" i="1"/>
  <c r="G1174" i="1"/>
  <c r="G1173" i="1"/>
  <c r="G1172" i="1"/>
  <c r="G1171" i="1"/>
  <c r="G1169" i="1"/>
  <c r="G1168" i="1"/>
  <c r="G1167" i="1"/>
  <c r="G1166" i="1"/>
  <c r="G1165" i="1"/>
  <c r="G1164" i="1"/>
  <c r="G1163" i="1"/>
  <c r="G1162" i="1"/>
  <c r="G1161" i="1"/>
  <c r="G1160" i="1"/>
  <c r="G1158" i="1"/>
  <c r="G1157" i="1"/>
  <c r="G1156" i="1"/>
  <c r="G1155" i="1"/>
  <c r="G1154" i="1"/>
  <c r="G1153" i="1"/>
  <c r="G1152" i="1"/>
  <c r="G1151" i="1"/>
  <c r="G1150" i="1"/>
  <c r="G1149" i="1"/>
  <c r="G1148" i="1"/>
  <c r="G1147" i="1"/>
  <c r="G1146" i="1"/>
  <c r="G1145" i="1"/>
  <c r="G1144" i="1"/>
  <c r="G1143" i="1"/>
  <c r="G1142" i="1"/>
  <c r="G1140" i="1"/>
  <c r="G1139" i="1"/>
  <c r="G1137" i="1"/>
  <c r="G1136" i="1"/>
  <c r="G1135" i="1"/>
  <c r="G1134" i="1"/>
  <c r="G1133" i="1"/>
  <c r="G1132" i="1"/>
  <c r="G1131" i="1"/>
  <c r="G1130" i="1"/>
  <c r="G1126" i="1"/>
  <c r="G1124" i="1"/>
  <c r="G1123" i="1"/>
  <c r="G1122" i="1"/>
  <c r="G1121" i="1"/>
  <c r="G1120" i="1"/>
  <c r="G1119" i="1"/>
  <c r="G1118" i="1"/>
  <c r="G1117" i="1"/>
  <c r="G1116" i="1"/>
  <c r="G1115" i="1"/>
  <c r="G1114" i="1"/>
  <c r="G1113" i="1"/>
  <c r="G1112" i="1"/>
  <c r="G1111" i="1"/>
  <c r="G1110" i="1"/>
  <c r="G1108" i="1"/>
  <c r="G1107" i="1"/>
  <c r="G1106" i="1"/>
  <c r="G1105" i="1"/>
  <c r="G1104" i="1"/>
  <c r="G1102" i="1"/>
  <c r="G1101" i="1"/>
  <c r="G1100" i="1"/>
  <c r="G1099" i="1"/>
  <c r="G1098" i="1"/>
  <c r="G1097" i="1"/>
  <c r="G1096" i="1"/>
  <c r="G1095" i="1"/>
  <c r="G1094" i="1"/>
  <c r="G1093" i="1"/>
  <c r="G1092" i="1"/>
  <c r="G1091" i="1"/>
  <c r="G1090" i="1"/>
  <c r="G1086" i="1"/>
  <c r="G1085" i="1"/>
  <c r="G1084" i="1"/>
  <c r="G1083" i="1"/>
  <c r="G1082" i="1"/>
  <c r="G1080" i="1"/>
  <c r="G1079" i="1"/>
  <c r="G1078" i="1"/>
  <c r="G1077" i="1"/>
  <c r="G1076" i="1"/>
  <c r="G1075" i="1"/>
  <c r="G1074" i="1"/>
  <c r="G1072" i="1"/>
  <c r="G1071" i="1"/>
  <c r="G1070" i="1"/>
  <c r="G1069" i="1"/>
  <c r="G1068" i="1"/>
  <c r="G1067" i="1"/>
  <c r="G1066" i="1"/>
  <c r="G1064" i="1"/>
  <c r="G1063" i="1"/>
  <c r="G1062" i="1"/>
  <c r="G1061" i="1"/>
  <c r="G1060" i="1"/>
  <c r="G1059" i="1"/>
  <c r="G1058" i="1"/>
  <c r="G1057" i="1"/>
  <c r="G1056" i="1"/>
  <c r="G1055" i="1"/>
  <c r="G1054" i="1"/>
  <c r="G1053" i="1"/>
  <c r="G1052" i="1"/>
  <c r="G1050" i="1"/>
  <c r="G1049" i="1"/>
  <c r="G1048" i="1"/>
  <c r="G1047" i="1"/>
  <c r="G1046" i="1"/>
  <c r="G1045" i="1"/>
  <c r="G1044" i="1"/>
  <c r="G1043" i="1"/>
  <c r="G1042" i="1"/>
  <c r="G1041" i="1"/>
  <c r="G1040" i="1"/>
  <c r="G1039" i="1"/>
  <c r="G1037" i="1"/>
  <c r="G1036" i="1"/>
  <c r="G1035" i="1"/>
  <c r="G1034" i="1"/>
  <c r="G1033" i="1"/>
  <c r="G1032" i="1"/>
  <c r="G1031" i="1"/>
  <c r="G1030" i="1"/>
  <c r="G1028" i="1"/>
  <c r="G1027" i="1"/>
  <c r="G1026" i="1"/>
  <c r="G1025" i="1"/>
  <c r="G1024" i="1"/>
  <c r="G1023" i="1"/>
  <c r="G1022" i="1"/>
  <c r="G1021" i="1"/>
  <c r="G1019" i="1"/>
  <c r="G1018" i="1"/>
  <c r="G1017" i="1"/>
  <c r="G1016" i="1"/>
  <c r="G1015" i="1"/>
  <c r="G1014" i="1"/>
  <c r="G1013" i="1"/>
  <c r="G1012" i="1"/>
  <c r="G1011" i="1"/>
  <c r="G1010" i="1"/>
  <c r="G1009" i="1"/>
  <c r="G1006" i="1"/>
  <c r="G1005" i="1"/>
  <c r="G1004" i="1"/>
  <c r="G1003" i="1"/>
  <c r="G1002" i="1"/>
  <c r="G1001" i="1"/>
  <c r="G1000" i="1"/>
  <c r="G999" i="1"/>
  <c r="G998" i="1"/>
  <c r="G997" i="1"/>
  <c r="G996" i="1"/>
  <c r="G995" i="1"/>
  <c r="G994" i="1"/>
  <c r="G993" i="1"/>
  <c r="G990" i="1"/>
  <c r="G989" i="1"/>
  <c r="G988" i="1"/>
  <c r="G987" i="1"/>
  <c r="G986" i="1"/>
  <c r="G985" i="1"/>
  <c r="G984" i="1"/>
  <c r="G983" i="1"/>
  <c r="G982" i="1"/>
  <c r="G981" i="1"/>
  <c r="G962" i="1"/>
  <c r="G961" i="1"/>
  <c r="G942" i="1"/>
  <c r="G941" i="1"/>
  <c r="G940" i="1"/>
  <c r="G939" i="1"/>
  <c r="G938" i="1"/>
  <c r="G937" i="1"/>
  <c r="G936" i="1"/>
  <c r="G934" i="1"/>
  <c r="G933" i="1"/>
  <c r="G931" i="1"/>
  <c r="G930" i="1"/>
  <c r="G929" i="1"/>
  <c r="G928" i="1"/>
  <c r="G927" i="1"/>
  <c r="G926" i="1"/>
  <c r="G925" i="1"/>
  <c r="G923" i="1"/>
  <c r="G922" i="1"/>
  <c r="G921" i="1"/>
  <c r="G920" i="1"/>
  <c r="G919" i="1"/>
  <c r="G918" i="1"/>
  <c r="G917" i="1"/>
  <c r="G915" i="1"/>
  <c r="G914" i="1"/>
  <c r="G913" i="1"/>
  <c r="G912" i="1"/>
  <c r="G911" i="1"/>
  <c r="G910" i="1"/>
  <c r="G908" i="1"/>
  <c r="G907" i="1"/>
  <c r="G906" i="1"/>
  <c r="G905" i="1"/>
  <c r="G903" i="1"/>
  <c r="G902" i="1"/>
  <c r="G901" i="1"/>
  <c r="G900" i="1"/>
  <c r="G899" i="1"/>
  <c r="G898" i="1"/>
  <c r="G897" i="1"/>
  <c r="G895" i="1"/>
  <c r="G894" i="1"/>
  <c r="G893" i="1"/>
  <c r="G892" i="1"/>
  <c r="G887" i="1"/>
  <c r="G886" i="1"/>
  <c r="G884" i="1"/>
  <c r="G883" i="1"/>
  <c r="G881" i="1"/>
  <c r="G880" i="1"/>
  <c r="G879" i="1"/>
  <c r="G878" i="1"/>
  <c r="G877" i="1"/>
  <c r="G876" i="1"/>
  <c r="G874" i="1"/>
  <c r="G873" i="1"/>
  <c r="G872" i="1"/>
  <c r="G871" i="1"/>
  <c r="G869" i="1"/>
  <c r="G868" i="1"/>
  <c r="G867" i="1"/>
  <c r="G866" i="1"/>
  <c r="G865" i="1"/>
  <c r="G864" i="1"/>
  <c r="G863" i="1"/>
  <c r="I17" i="14" s="1"/>
  <c r="G860" i="1"/>
  <c r="G859" i="1"/>
  <c r="G857" i="1"/>
  <c r="G856" i="1"/>
  <c r="G855" i="1"/>
  <c r="G854" i="1"/>
  <c r="G853" i="1"/>
  <c r="G852" i="1"/>
  <c r="G851" i="1"/>
  <c r="G850" i="1"/>
  <c r="G849" i="1"/>
  <c r="G848" i="1"/>
  <c r="G847" i="1"/>
  <c r="G846" i="1"/>
  <c r="G845" i="1"/>
  <c r="G844" i="1"/>
  <c r="G843" i="1"/>
  <c r="G842" i="1"/>
  <c r="G841" i="1"/>
  <c r="G840" i="1"/>
  <c r="G837" i="1"/>
  <c r="G836" i="1" s="1"/>
  <c r="G835" i="1"/>
  <c r="G834" i="1"/>
  <c r="G833" i="1"/>
  <c r="G832" i="1"/>
  <c r="G831" i="1"/>
  <c r="G830" i="1"/>
  <c r="G829" i="1"/>
  <c r="G827" i="1"/>
  <c r="G826" i="1"/>
  <c r="G823" i="1"/>
  <c r="G822" i="1"/>
  <c r="G821" i="1"/>
  <c r="G820" i="1"/>
  <c r="G819" i="1"/>
  <c r="G817" i="1"/>
  <c r="G816" i="1"/>
  <c r="G815" i="1"/>
  <c r="G814" i="1"/>
  <c r="G813" i="1"/>
  <c r="G812" i="1"/>
  <c r="G811" i="1"/>
  <c r="G809" i="1"/>
  <c r="G808" i="1"/>
  <c r="G807" i="1"/>
  <c r="G806" i="1"/>
  <c r="G805" i="1"/>
  <c r="G804" i="1"/>
  <c r="G803" i="1"/>
  <c r="G801" i="1"/>
  <c r="G800" i="1"/>
  <c r="G799" i="1"/>
  <c r="G798" i="1"/>
  <c r="G797" i="1"/>
  <c r="G796" i="1"/>
  <c r="G795" i="1"/>
  <c r="G794" i="1"/>
  <c r="G793" i="1"/>
  <c r="G792" i="1"/>
  <c r="G791" i="1"/>
  <c r="G790" i="1"/>
  <c r="G789" i="1"/>
  <c r="G787" i="1"/>
  <c r="G786" i="1"/>
  <c r="G785" i="1"/>
  <c r="G784" i="1"/>
  <c r="G783" i="1"/>
  <c r="G782" i="1"/>
  <c r="G781" i="1"/>
  <c r="G780" i="1"/>
  <c r="G779" i="1"/>
  <c r="G778" i="1"/>
  <c r="G777" i="1"/>
  <c r="G776" i="1"/>
  <c r="G774" i="1"/>
  <c r="G773" i="1"/>
  <c r="G772" i="1"/>
  <c r="G771" i="1"/>
  <c r="G770" i="1"/>
  <c r="G769" i="1"/>
  <c r="G768" i="1"/>
  <c r="G767" i="1"/>
  <c r="G765" i="1"/>
  <c r="G764" i="1"/>
  <c r="G763" i="1"/>
  <c r="G762" i="1"/>
  <c r="G761" i="1"/>
  <c r="G760" i="1"/>
  <c r="G759" i="1"/>
  <c r="G758" i="1"/>
  <c r="G756" i="1"/>
  <c r="G755" i="1"/>
  <c r="G754" i="1"/>
  <c r="G753" i="1"/>
  <c r="G752" i="1"/>
  <c r="G751" i="1"/>
  <c r="G750" i="1"/>
  <c r="G749" i="1"/>
  <c r="G748" i="1"/>
  <c r="G747" i="1"/>
  <c r="G746" i="1"/>
  <c r="G743" i="1"/>
  <c r="G742" i="1"/>
  <c r="G741" i="1"/>
  <c r="G740" i="1"/>
  <c r="G739" i="1"/>
  <c r="G738" i="1"/>
  <c r="G737" i="1"/>
  <c r="G736" i="1"/>
  <c r="G735" i="1"/>
  <c r="G734" i="1"/>
  <c r="G733" i="1"/>
  <c r="G732" i="1"/>
  <c r="G731" i="1"/>
  <c r="G730" i="1"/>
  <c r="G727" i="1"/>
  <c r="G726" i="1"/>
  <c r="G725" i="1"/>
  <c r="G724" i="1"/>
  <c r="G723" i="1"/>
  <c r="G722" i="1"/>
  <c r="G721" i="1"/>
  <c r="G720" i="1"/>
  <c r="G719" i="1"/>
  <c r="G718" i="1"/>
  <c r="G716" i="1"/>
  <c r="G715" i="1"/>
  <c r="G714" i="1"/>
  <c r="G713" i="1"/>
  <c r="G712" i="1"/>
  <c r="G711" i="1"/>
  <c r="G710" i="1"/>
  <c r="G709" i="1"/>
  <c r="G708" i="1"/>
  <c r="G707" i="1"/>
  <c r="G706" i="1"/>
  <c r="G705" i="1"/>
  <c r="G704" i="1"/>
  <c r="G703" i="1"/>
  <c r="G702" i="1"/>
  <c r="G701" i="1"/>
  <c r="G667" i="1"/>
  <c r="G666" i="1"/>
  <c r="G664" i="1"/>
  <c r="G663" i="1"/>
  <c r="G662" i="1"/>
  <c r="G661" i="1"/>
  <c r="G660" i="1"/>
  <c r="G659" i="1"/>
  <c r="G658" i="1"/>
  <c r="G657" i="1"/>
  <c r="G656" i="1"/>
  <c r="G655" i="1"/>
  <c r="G654" i="1"/>
  <c r="G653" i="1"/>
  <c r="G652" i="1"/>
  <c r="G651" i="1"/>
  <c r="G650" i="1"/>
  <c r="G649" i="1"/>
  <c r="G647" i="1"/>
  <c r="G646" i="1"/>
  <c r="G645" i="1"/>
  <c r="G644" i="1"/>
  <c r="G643" i="1"/>
  <c r="G642" i="1"/>
  <c r="G641" i="1"/>
  <c r="G640" i="1"/>
  <c r="G639" i="1"/>
  <c r="G638" i="1"/>
  <c r="G636" i="1"/>
  <c r="G635" i="1"/>
  <c r="G634" i="1"/>
  <c r="G633" i="1"/>
  <c r="G632" i="1"/>
  <c r="G631" i="1"/>
  <c r="G630" i="1"/>
  <c r="G629" i="1"/>
  <c r="G628" i="1"/>
  <c r="G627" i="1"/>
  <c r="G626" i="1"/>
  <c r="G625" i="1"/>
  <c r="G624" i="1"/>
  <c r="G623" i="1"/>
  <c r="G622" i="1"/>
  <c r="G621" i="1"/>
  <c r="G620" i="1"/>
  <c r="G618" i="1"/>
  <c r="G617" i="1"/>
  <c r="G615" i="1"/>
  <c r="G614" i="1"/>
  <c r="G613" i="1"/>
  <c r="G612" i="1"/>
  <c r="G611" i="1"/>
  <c r="G610" i="1"/>
  <c r="G609" i="1"/>
  <c r="G608" i="1"/>
  <c r="H17" i="14" s="1"/>
  <c r="G603" i="1"/>
  <c r="G602" i="1"/>
  <c r="G601" i="1"/>
  <c r="G600" i="1"/>
  <c r="G599" i="1"/>
  <c r="G598" i="1"/>
  <c r="G597" i="1"/>
  <c r="G595" i="1"/>
  <c r="G594" i="1"/>
  <c r="G593" i="1"/>
  <c r="G592" i="1"/>
  <c r="G591" i="1"/>
  <c r="G588" i="1"/>
  <c r="G587" i="1"/>
  <c r="G585" i="1"/>
  <c r="G584" i="1"/>
  <c r="G583" i="1"/>
  <c r="G582" i="1"/>
  <c r="G581" i="1"/>
  <c r="G580" i="1"/>
  <c r="G579" i="1"/>
  <c r="G578" i="1"/>
  <c r="G577" i="1"/>
  <c r="G576" i="1"/>
  <c r="G575" i="1"/>
  <c r="G574" i="1"/>
  <c r="G573" i="1"/>
  <c r="G572" i="1"/>
  <c r="G571" i="1"/>
  <c r="G570" i="1"/>
  <c r="G569" i="1"/>
  <c r="G568" i="1"/>
  <c r="G565" i="1"/>
  <c r="G563" i="1"/>
  <c r="G562" i="1"/>
  <c r="G561" i="1"/>
  <c r="G560" i="1"/>
  <c r="G559" i="1"/>
  <c r="G558" i="1"/>
  <c r="G557" i="1"/>
  <c r="G556" i="1"/>
  <c r="G555" i="1"/>
  <c r="G554" i="1"/>
  <c r="G553" i="1"/>
  <c r="G550" i="1"/>
  <c r="G549" i="1"/>
  <c r="G547" i="1"/>
  <c r="G546" i="1"/>
  <c r="G545" i="1"/>
  <c r="G544" i="1"/>
  <c r="G543" i="1"/>
  <c r="G542" i="1"/>
  <c r="G541" i="1"/>
  <c r="G540" i="1"/>
  <c r="G539" i="1"/>
  <c r="G538" i="1"/>
  <c r="G537" i="1"/>
  <c r="G536" i="1"/>
  <c r="G535" i="1"/>
  <c r="G534" i="1"/>
  <c r="G533" i="1"/>
  <c r="G532" i="1"/>
  <c r="G530" i="1"/>
  <c r="G529" i="1"/>
  <c r="G528" i="1"/>
  <c r="G527" i="1"/>
  <c r="G526" i="1"/>
  <c r="G525" i="1"/>
  <c r="G524" i="1"/>
  <c r="G523" i="1"/>
  <c r="G522" i="1"/>
  <c r="G521" i="1"/>
  <c r="G520" i="1"/>
  <c r="G519" i="1"/>
  <c r="G518" i="1"/>
  <c r="G517" i="1"/>
  <c r="G516" i="1"/>
  <c r="G515" i="1"/>
  <c r="G514" i="1"/>
  <c r="G511" i="1"/>
  <c r="G510" i="1"/>
  <c r="G508" i="1"/>
  <c r="G507" i="1"/>
  <c r="G506" i="1"/>
  <c r="G505" i="1"/>
  <c r="G504" i="1"/>
  <c r="G503" i="1"/>
  <c r="G502" i="1"/>
  <c r="G501" i="1"/>
  <c r="G500" i="1"/>
  <c r="G499" i="1"/>
  <c r="G498" i="1"/>
  <c r="G497" i="1"/>
  <c r="G496" i="1"/>
  <c r="G495" i="1"/>
  <c r="G494" i="1"/>
  <c r="G493" i="1"/>
  <c r="G492" i="1"/>
  <c r="G491" i="1"/>
  <c r="G488" i="1"/>
  <c r="G487" i="1" s="1"/>
  <c r="G486" i="1"/>
  <c r="G485" i="1"/>
  <c r="G484" i="1"/>
  <c r="G483" i="1"/>
  <c r="G482" i="1"/>
  <c r="G481" i="1"/>
  <c r="G480" i="1"/>
  <c r="G479" i="1"/>
  <c r="G478" i="1"/>
  <c r="G477" i="1"/>
  <c r="G476" i="1"/>
  <c r="G1333" i="1" l="1"/>
  <c r="G1276" i="1"/>
  <c r="G1260" i="1"/>
  <c r="G1259" i="1" s="1"/>
  <c r="G1288" i="1"/>
  <c r="G1297" i="1"/>
  <c r="G1248" i="1"/>
  <c r="G1170" i="1"/>
  <c r="G1220" i="1"/>
  <c r="G745" i="1"/>
  <c r="G729" i="1"/>
  <c r="G728" i="1" s="1"/>
  <c r="G766" i="1"/>
  <c r="G775" i="1"/>
  <c r="G802" i="1"/>
  <c r="G648" i="1"/>
  <c r="G788" i="1"/>
  <c r="G757" i="1"/>
  <c r="G513" i="1"/>
  <c r="G824" i="1"/>
  <c r="G861" i="1"/>
  <c r="G1109" i="1"/>
  <c r="I7" i="14"/>
  <c r="H7" i="14"/>
  <c r="G1673" i="1"/>
  <c r="I13" i="14"/>
  <c r="I14" i="14" s="1"/>
  <c r="H31" i="14"/>
  <c r="I30" i="14"/>
  <c r="H30" i="14"/>
  <c r="I32" i="14"/>
  <c r="H13" i="14"/>
  <c r="H14" i="14" s="1"/>
  <c r="H21" i="14"/>
  <c r="I21" i="14"/>
  <c r="AE21" i="14" s="1"/>
  <c r="G924" i="1"/>
  <c r="G1008" i="1"/>
  <c r="G1020" i="1"/>
  <c r="G1573" i="1"/>
  <c r="G1572" i="1" s="1"/>
  <c r="G935" i="1"/>
  <c r="G932" i="1" s="1"/>
  <c r="G916" i="1"/>
  <c r="G909" i="1"/>
  <c r="G904" i="1"/>
  <c r="G896" i="1"/>
  <c r="G700" i="1"/>
  <c r="G717" i="1"/>
  <c r="G891" i="1"/>
  <c r="G1471" i="1"/>
  <c r="G606" i="1"/>
  <c r="H952" i="1"/>
  <c r="G1505" i="1"/>
  <c r="G952" i="1"/>
  <c r="G1088" i="1"/>
  <c r="G1475" i="1"/>
  <c r="G1467" i="1"/>
  <c r="G838" i="1"/>
  <c r="G548" i="1"/>
  <c r="G512" i="1" s="1"/>
  <c r="G489" i="1"/>
  <c r="G475" i="1"/>
  <c r="G1275" i="1" l="1"/>
  <c r="G1219" i="1"/>
  <c r="G1087" i="1" s="1"/>
  <c r="G744" i="1"/>
  <c r="G889" i="1"/>
  <c r="G888" i="1" s="1"/>
  <c r="G699" i="1"/>
  <c r="G1466" i="1"/>
  <c r="G1412" i="1" s="1"/>
  <c r="G1352" i="1" s="1"/>
  <c r="G474" i="1"/>
  <c r="G605" i="1" l="1"/>
  <c r="G604" i="1" s="1"/>
  <c r="H317" i="1"/>
  <c r="G317" i="1"/>
  <c r="H316" i="1"/>
  <c r="G316" i="1"/>
  <c r="H314" i="1"/>
  <c r="H313" i="1"/>
  <c r="H311" i="1"/>
  <c r="G310" i="1"/>
  <c r="H309" i="1"/>
  <c r="G309" i="1"/>
  <c r="H308" i="1"/>
  <c r="H306" i="1"/>
  <c r="H304" i="1"/>
  <c r="H303" i="1"/>
  <c r="G302" i="1"/>
  <c r="G301" i="1"/>
  <c r="H300" i="1"/>
  <c r="G300" i="1"/>
  <c r="H298" i="1"/>
  <c r="H292" i="1"/>
  <c r="H291" i="1"/>
  <c r="G290" i="1"/>
  <c r="H290" i="1"/>
  <c r="G289" i="1"/>
  <c r="G288" i="1"/>
  <c r="H286" i="1"/>
  <c r="G286" i="1"/>
  <c r="G285" i="1"/>
  <c r="H285" i="1"/>
  <c r="G284" i="1"/>
  <c r="H282" i="1"/>
  <c r="G282" i="1"/>
  <c r="G281" i="1"/>
  <c r="G280" i="1"/>
  <c r="G276" i="1"/>
  <c r="H275" i="1"/>
  <c r="H274" i="1" s="1"/>
  <c r="G275" i="1"/>
  <c r="G273" i="1"/>
  <c r="G272" i="1"/>
  <c r="H272" i="1" s="1"/>
  <c r="H271" i="1" s="1"/>
  <c r="H270" i="1"/>
  <c r="H269" i="1" s="1"/>
  <c r="G266" i="1"/>
  <c r="G265" i="1"/>
  <c r="H263" i="1"/>
  <c r="G262" i="1"/>
  <c r="H261" i="1"/>
  <c r="G261" i="1"/>
  <c r="G259" i="1"/>
  <c r="G258" i="1"/>
  <c r="H257" i="1"/>
  <c r="G257" i="1"/>
  <c r="G254" i="1"/>
  <c r="H254" i="1"/>
  <c r="G253" i="1"/>
  <c r="H252" i="1"/>
  <c r="G251" i="1"/>
  <c r="G274" i="1" l="1"/>
  <c r="H315" i="1"/>
  <c r="G315" i="1"/>
  <c r="G271" i="1"/>
  <c r="H268" i="1"/>
  <c r="H293" i="1"/>
  <c r="G314" i="1"/>
  <c r="H255" i="1"/>
  <c r="H260" i="1"/>
  <c r="H267" i="1"/>
  <c r="G270" i="1"/>
  <c r="G269" i="1" s="1"/>
  <c r="H295" i="1"/>
  <c r="H265" i="1"/>
  <c r="H280" i="1"/>
  <c r="G255" i="1"/>
  <c r="H262" i="1"/>
  <c r="G267" i="1"/>
  <c r="H299" i="1"/>
  <c r="G304" i="1"/>
  <c r="H307" i="1"/>
  <c r="H259" i="1"/>
  <c r="H264" i="1"/>
  <c r="H266" i="1"/>
  <c r="H279" i="1"/>
  <c r="H281" i="1"/>
  <c r="H284" i="1"/>
  <c r="H287" i="1"/>
  <c r="H289" i="1"/>
  <c r="G292" i="1"/>
  <c r="H294" i="1"/>
  <c r="H301" i="1"/>
  <c r="G306" i="1"/>
  <c r="H288" i="1"/>
  <c r="H302" i="1"/>
  <c r="G294" i="1"/>
  <c r="G305" i="1"/>
  <c r="G308" i="1"/>
  <c r="G312" i="1"/>
  <c r="G263" i="1"/>
  <c r="H283" i="1"/>
  <c r="H251" i="1"/>
  <c r="H253" i="1"/>
  <c r="H256" i="1"/>
  <c r="H258" i="1"/>
  <c r="G293" i="1"/>
  <c r="G298" i="1"/>
  <c r="H305" i="1"/>
  <c r="H310" i="1"/>
  <c r="H312" i="1"/>
  <c r="G252" i="1"/>
  <c r="G256" i="1"/>
  <c r="G260" i="1"/>
  <c r="G264" i="1"/>
  <c r="G313" i="1"/>
  <c r="G279" i="1"/>
  <c r="G283" i="1"/>
  <c r="G287" i="1"/>
  <c r="G291" i="1"/>
  <c r="G295" i="1"/>
  <c r="G299" i="1"/>
  <c r="G303" i="1"/>
  <c r="G307" i="1"/>
  <c r="G311" i="1"/>
  <c r="G268" i="1" l="1"/>
  <c r="G297" i="1"/>
  <c r="H297" i="1"/>
  <c r="G250" i="1"/>
  <c r="G249" i="1" s="1"/>
  <c r="H250" i="1"/>
  <c r="H249" i="1" s="1"/>
  <c r="G278" i="1"/>
  <c r="G277" i="1" s="1"/>
  <c r="H278" i="1"/>
  <c r="H277" i="1" s="1"/>
  <c r="H247" i="1" l="1"/>
  <c r="G247" i="1"/>
  <c r="H246" i="1"/>
  <c r="G246" i="1"/>
  <c r="H245" i="1"/>
  <c r="G245" i="1"/>
  <c r="H244" i="1"/>
  <c r="G244" i="1"/>
  <c r="H243" i="1"/>
  <c r="G243" i="1"/>
  <c r="H241" i="1"/>
  <c r="G241" i="1"/>
  <c r="H240" i="1"/>
  <c r="G240" i="1"/>
  <c r="H239" i="1"/>
  <c r="G239" i="1"/>
  <c r="H238" i="1"/>
  <c r="H237" i="1"/>
  <c r="G237" i="1"/>
  <c r="H236" i="1"/>
  <c r="G236" i="1"/>
  <c r="H235" i="1"/>
  <c r="G235" i="1"/>
  <c r="H234" i="1"/>
  <c r="H233" i="1"/>
  <c r="G233" i="1"/>
  <c r="H232" i="1"/>
  <c r="G232" i="1"/>
  <c r="H231" i="1"/>
  <c r="G231" i="1"/>
  <c r="H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H207" i="1"/>
  <c r="G207" i="1"/>
  <c r="H202" i="1"/>
  <c r="G202" i="1"/>
  <c r="H201" i="1"/>
  <c r="H200" i="1"/>
  <c r="G200" i="1"/>
  <c r="H199" i="1"/>
  <c r="G199" i="1"/>
  <c r="H198" i="1"/>
  <c r="G198" i="1"/>
  <c r="H197" i="1"/>
  <c r="G197" i="1"/>
  <c r="H196" i="1"/>
  <c r="G196" i="1"/>
  <c r="H195" i="1"/>
  <c r="G195" i="1"/>
  <c r="H194" i="1"/>
  <c r="G194" i="1"/>
  <c r="H193" i="1"/>
  <c r="H192" i="1"/>
  <c r="G192" i="1"/>
  <c r="H191" i="1"/>
  <c r="G191" i="1"/>
  <c r="H190" i="1"/>
  <c r="H189" i="1"/>
  <c r="H188" i="1"/>
  <c r="G188" i="1"/>
  <c r="H187" i="1"/>
  <c r="G187" i="1"/>
  <c r="H186" i="1"/>
  <c r="G186" i="1"/>
  <c r="H185" i="1"/>
  <c r="G185" i="1"/>
  <c r="H184" i="1"/>
  <c r="G184" i="1"/>
  <c r="H183" i="1"/>
  <c r="G183" i="1"/>
  <c r="H182" i="1"/>
  <c r="H180" i="1"/>
  <c r="G180" i="1"/>
  <c r="H179" i="1"/>
  <c r="G179" i="1"/>
  <c r="H177" i="1"/>
  <c r="G177" i="1"/>
  <c r="H176" i="1"/>
  <c r="G176" i="1"/>
  <c r="H175" i="1"/>
  <c r="G175" i="1"/>
  <c r="H174" i="1"/>
  <c r="G174" i="1"/>
  <c r="H173" i="1"/>
  <c r="H172" i="1"/>
  <c r="G172" i="1"/>
  <c r="H171" i="1"/>
  <c r="G171" i="1"/>
  <c r="H170" i="1"/>
  <c r="H169" i="1"/>
  <c r="G169" i="1"/>
  <c r="H168" i="1"/>
  <c r="G168" i="1"/>
  <c r="H166" i="1"/>
  <c r="G166" i="1"/>
  <c r="H165" i="1"/>
  <c r="G165" i="1"/>
  <c r="H163" i="1"/>
  <c r="H162" i="1"/>
  <c r="H160" i="1"/>
  <c r="G160" i="1"/>
  <c r="H159" i="1"/>
  <c r="G159" i="1"/>
  <c r="H156" i="1"/>
  <c r="G156" i="1"/>
  <c r="G155" i="1" s="1"/>
  <c r="H155" i="1"/>
  <c r="H154" i="1"/>
  <c r="G154" i="1"/>
  <c r="H153" i="1"/>
  <c r="G153" i="1"/>
  <c r="H152" i="1"/>
  <c r="G152" i="1"/>
  <c r="H151" i="1"/>
  <c r="H150" i="1"/>
  <c r="G150" i="1"/>
  <c r="H149" i="1"/>
  <c r="G149" i="1"/>
  <c r="H148" i="1"/>
  <c r="G148" i="1"/>
  <c r="H147" i="1"/>
  <c r="G147" i="1"/>
  <c r="H146" i="1"/>
  <c r="G146" i="1"/>
  <c r="H145" i="1"/>
  <c r="G145"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H126" i="1"/>
  <c r="G126" i="1"/>
  <c r="H125" i="1"/>
  <c r="G125" i="1"/>
  <c r="H124" i="1"/>
  <c r="G124" i="1"/>
  <c r="H123" i="1"/>
  <c r="G123" i="1"/>
  <c r="H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H103" i="1"/>
  <c r="G103" i="1"/>
  <c r="H102" i="1"/>
  <c r="G102" i="1"/>
  <c r="H101" i="1"/>
  <c r="G101" i="1"/>
  <c r="H100" i="1"/>
  <c r="G100" i="1"/>
  <c r="H99" i="1"/>
  <c r="G99" i="1"/>
  <c r="H98" i="1"/>
  <c r="G98" i="1"/>
  <c r="H97" i="1"/>
  <c r="G97" i="1"/>
  <c r="H96" i="1"/>
  <c r="H95" i="1"/>
  <c r="G158" i="1" l="1"/>
  <c r="G230" i="1"/>
  <c r="G178" i="1"/>
  <c r="G234" i="1"/>
  <c r="G238" i="1"/>
  <c r="G208" i="1"/>
  <c r="G242" i="1"/>
  <c r="G173" i="1"/>
  <c r="G170" i="1"/>
  <c r="G151" i="1"/>
  <c r="G164" i="1"/>
  <c r="G163" i="1" s="1"/>
  <c r="G162" i="1" s="1"/>
  <c r="G161" i="1" s="1"/>
  <c r="G127" i="1"/>
  <c r="G167" i="1"/>
  <c r="H157" i="1"/>
  <c r="G193" i="1"/>
  <c r="H178" i="1"/>
  <c r="G182" i="1"/>
  <c r="G122" i="1"/>
  <c r="G104" i="1"/>
  <c r="G96" i="1"/>
  <c r="G95" i="1" s="1"/>
  <c r="H94" i="1"/>
  <c r="H181" i="1"/>
  <c r="G190" i="1"/>
  <c r="G201" i="1"/>
  <c r="G157" i="1" l="1"/>
  <c r="G94" i="1"/>
  <c r="H93" i="1"/>
  <c r="G189" i="1"/>
  <c r="G181" i="1" l="1"/>
  <c r="G93" i="1" s="1"/>
  <c r="H1557" i="1"/>
  <c r="H1556" i="1"/>
  <c r="H1555" i="1"/>
  <c r="H1554" i="1"/>
  <c r="H1553" i="1"/>
  <c r="H1552" i="1"/>
  <c r="H1551" i="1"/>
  <c r="H1550" i="1"/>
  <c r="H1549" i="1"/>
  <c r="H1548" i="1"/>
  <c r="H1189" i="1"/>
  <c r="H1188" i="1"/>
  <c r="H1186" i="1"/>
  <c r="H1185" i="1"/>
  <c r="H1184" i="1"/>
  <c r="H1183" i="1"/>
  <c r="H1182" i="1"/>
  <c r="H1181" i="1"/>
  <c r="H1180" i="1"/>
  <c r="H1179" i="1"/>
  <c r="H1178" i="1"/>
  <c r="H1177" i="1"/>
  <c r="H1176" i="1"/>
  <c r="H1175" i="1"/>
  <c r="H1174" i="1"/>
  <c r="H1173" i="1"/>
  <c r="H1172" i="1"/>
  <c r="H1171" i="1"/>
  <c r="H1169" i="1"/>
  <c r="H1168" i="1"/>
  <c r="H1167" i="1"/>
  <c r="H1166" i="1"/>
  <c r="H1165" i="1"/>
  <c r="H1164" i="1"/>
  <c r="H1163" i="1"/>
  <c r="H1162" i="1"/>
  <c r="H1161" i="1"/>
  <c r="H1160" i="1"/>
  <c r="H1158" i="1"/>
  <c r="H1157" i="1"/>
  <c r="H1156" i="1"/>
  <c r="H1155" i="1"/>
  <c r="H1154" i="1"/>
  <c r="H1153" i="1"/>
  <c r="H1152" i="1"/>
  <c r="H1151" i="1"/>
  <c r="H1150" i="1"/>
  <c r="H1149" i="1"/>
  <c r="H1148" i="1"/>
  <c r="H1147" i="1"/>
  <c r="H1146" i="1"/>
  <c r="H1145" i="1"/>
  <c r="H1144" i="1"/>
  <c r="H1143" i="1"/>
  <c r="H1142" i="1"/>
  <c r="H1140" i="1"/>
  <c r="H1139" i="1"/>
  <c r="H1137" i="1"/>
  <c r="H1136" i="1"/>
  <c r="H1135" i="1"/>
  <c r="H1134" i="1"/>
  <c r="H1133" i="1"/>
  <c r="H1132" i="1"/>
  <c r="H1131" i="1"/>
  <c r="H1130" i="1"/>
  <c r="H962" i="1"/>
  <c r="H961" i="1"/>
  <c r="H942" i="1"/>
  <c r="H941" i="1"/>
  <c r="H940" i="1"/>
  <c r="H939" i="1"/>
  <c r="H938" i="1"/>
  <c r="H937" i="1"/>
  <c r="H936" i="1"/>
  <c r="H934" i="1"/>
  <c r="H933" i="1"/>
  <c r="H931" i="1"/>
  <c r="H930" i="1"/>
  <c r="H929" i="1"/>
  <c r="H928" i="1"/>
  <c r="H927" i="1"/>
  <c r="H926" i="1"/>
  <c r="H925" i="1"/>
  <c r="H923" i="1"/>
  <c r="H922" i="1"/>
  <c r="H921" i="1"/>
  <c r="H920" i="1"/>
  <c r="H919" i="1"/>
  <c r="H918" i="1"/>
  <c r="H917" i="1"/>
  <c r="H915" i="1"/>
  <c r="H914" i="1"/>
  <c r="H913" i="1"/>
  <c r="H912" i="1"/>
  <c r="H911" i="1"/>
  <c r="H910" i="1"/>
  <c r="H981" i="1"/>
  <c r="H982" i="1"/>
  <c r="H983" i="1"/>
  <c r="H984" i="1"/>
  <c r="H985" i="1"/>
  <c r="H986" i="1"/>
  <c r="H987" i="1"/>
  <c r="H988" i="1"/>
  <c r="H989" i="1"/>
  <c r="H990" i="1"/>
  <c r="H908" i="1"/>
  <c r="H907" i="1"/>
  <c r="H906" i="1"/>
  <c r="H905" i="1"/>
  <c r="H664" i="1"/>
  <c r="H663" i="1"/>
  <c r="H662" i="1"/>
  <c r="H661" i="1"/>
  <c r="H660" i="1"/>
  <c r="H659" i="1"/>
  <c r="H658" i="1"/>
  <c r="H657" i="1"/>
  <c r="H656" i="1"/>
  <c r="H655" i="1"/>
  <c r="H654" i="1"/>
  <c r="H653" i="1"/>
  <c r="H652" i="1"/>
  <c r="H651" i="1"/>
  <c r="H650" i="1"/>
  <c r="H649" i="1"/>
  <c r="H647" i="1"/>
  <c r="H646" i="1"/>
  <c r="H645" i="1"/>
  <c r="H644" i="1"/>
  <c r="H643" i="1"/>
  <c r="H642" i="1"/>
  <c r="H641" i="1"/>
  <c r="H640" i="1"/>
  <c r="H639" i="1"/>
  <c r="H638" i="1"/>
  <c r="H636" i="1"/>
  <c r="H635" i="1"/>
  <c r="H634" i="1"/>
  <c r="H633" i="1"/>
  <c r="H632" i="1"/>
  <c r="H631" i="1"/>
  <c r="H630" i="1"/>
  <c r="H629" i="1"/>
  <c r="H628" i="1"/>
  <c r="H627" i="1"/>
  <c r="H626" i="1"/>
  <c r="H625" i="1"/>
  <c r="H624" i="1"/>
  <c r="H623" i="1"/>
  <c r="H622" i="1"/>
  <c r="H621" i="1"/>
  <c r="H620" i="1"/>
  <c r="H537" i="1"/>
  <c r="H536" i="1"/>
  <c r="H535" i="1"/>
  <c r="H534" i="1"/>
  <c r="H533" i="1"/>
  <c r="H532" i="1"/>
  <c r="H518" i="1"/>
  <c r="H517" i="1"/>
  <c r="H516" i="1"/>
  <c r="H515" i="1"/>
  <c r="H1141" i="1" l="1"/>
  <c r="H619" i="1"/>
  <c r="H648" i="1"/>
  <c r="H637" i="1"/>
  <c r="H1159" i="1"/>
  <c r="H1547" i="1"/>
  <c r="H1187" i="1"/>
  <c r="H1170" i="1"/>
  <c r="H909" i="1"/>
  <c r="H1129" i="1"/>
  <c r="H935" i="1"/>
  <c r="H924" i="1"/>
  <c r="H916" i="1"/>
  <c r="H980" i="1"/>
  <c r="H904" i="1"/>
  <c r="V30" i="14"/>
  <c r="V28" i="14"/>
  <c r="V27" i="14"/>
  <c r="V25" i="14"/>
  <c r="V24" i="14"/>
  <c r="V23" i="14"/>
  <c r="V19" i="14"/>
  <c r="V18" i="14"/>
  <c r="V17" i="14"/>
  <c r="V10" i="14"/>
  <c r="V9" i="14"/>
  <c r="V8" i="14"/>
  <c r="K30" i="14"/>
  <c r="K28" i="14"/>
  <c r="K27" i="14"/>
  <c r="K25" i="14"/>
  <c r="K24" i="14"/>
  <c r="K23" i="14"/>
  <c r="K19" i="14"/>
  <c r="K18" i="14"/>
  <c r="K17" i="14"/>
  <c r="K10" i="14"/>
  <c r="K9" i="14"/>
  <c r="K8" i="14"/>
  <c r="AG24" i="14" l="1"/>
  <c r="AG23" i="14"/>
  <c r="AG8" i="14"/>
  <c r="AG25" i="14"/>
  <c r="AG9" i="14"/>
  <c r="AG27" i="14"/>
  <c r="AG10" i="14"/>
  <c r="AG28" i="14"/>
  <c r="AG19" i="14"/>
  <c r="AG18" i="14"/>
  <c r="AG17" i="14"/>
  <c r="AG30" i="14"/>
  <c r="H2263" i="1"/>
  <c r="G2263" i="1"/>
  <c r="H2262" i="1"/>
  <c r="G2262" i="1"/>
  <c r="H2261" i="1"/>
  <c r="G2261" i="1"/>
  <c r="H2260" i="1"/>
  <c r="G2260" i="1"/>
  <c r="H2259" i="1"/>
  <c r="G2259" i="1"/>
  <c r="H2258" i="1"/>
  <c r="G2258" i="1"/>
  <c r="H2257" i="1"/>
  <c r="G2257" i="1"/>
  <c r="H2256" i="1"/>
  <c r="G2256" i="1"/>
  <c r="H2255" i="1"/>
  <c r="G2255" i="1"/>
  <c r="H2254" i="1"/>
  <c r="G2254" i="1"/>
  <c r="H2253" i="1"/>
  <c r="G2253" i="1"/>
  <c r="H2251" i="1"/>
  <c r="G2251" i="1"/>
  <c r="H2250" i="1"/>
  <c r="G2250" i="1"/>
  <c r="H2249" i="1"/>
  <c r="G2249" i="1"/>
  <c r="H2248" i="1"/>
  <c r="G2248" i="1"/>
  <c r="H2247" i="1"/>
  <c r="G2247" i="1"/>
  <c r="H2246" i="1"/>
  <c r="G2246" i="1"/>
  <c r="H2245" i="1"/>
  <c r="G2245" i="1"/>
  <c r="H2244" i="1"/>
  <c r="G2244" i="1"/>
  <c r="H2243" i="1"/>
  <c r="G2243" i="1"/>
  <c r="H2242" i="1"/>
  <c r="G2242" i="1"/>
  <c r="H2241" i="1"/>
  <c r="G2241" i="1"/>
  <c r="H2239" i="1"/>
  <c r="G2239" i="1"/>
  <c r="H2238" i="1"/>
  <c r="G2238" i="1"/>
  <c r="H2237" i="1"/>
  <c r="G2237" i="1"/>
  <c r="H2236" i="1"/>
  <c r="G2236" i="1"/>
  <c r="H2235" i="1"/>
  <c r="G2235" i="1"/>
  <c r="H2234" i="1"/>
  <c r="G2234" i="1"/>
  <c r="H2233" i="1"/>
  <c r="G2233" i="1"/>
  <c r="H2232" i="1"/>
  <c r="G2232" i="1"/>
  <c r="H2231" i="1"/>
  <c r="G2231" i="1"/>
  <c r="H2230" i="1"/>
  <c r="G2230" i="1"/>
  <c r="H2229" i="1"/>
  <c r="G2229" i="1"/>
  <c r="H2227" i="1"/>
  <c r="G2227" i="1"/>
  <c r="H2226" i="1"/>
  <c r="G2226" i="1"/>
  <c r="H2225" i="1"/>
  <c r="G2225" i="1"/>
  <c r="H2224" i="1"/>
  <c r="G2224" i="1"/>
  <c r="H2223" i="1"/>
  <c r="G2223" i="1"/>
  <c r="H2222" i="1"/>
  <c r="G2222" i="1"/>
  <c r="H2221" i="1"/>
  <c r="G2221" i="1"/>
  <c r="H2220" i="1"/>
  <c r="G2220" i="1"/>
  <c r="H2219" i="1"/>
  <c r="G2219" i="1"/>
  <c r="H2218" i="1"/>
  <c r="G2218" i="1"/>
  <c r="H2216" i="1"/>
  <c r="G2216" i="1"/>
  <c r="H2215" i="1"/>
  <c r="G2215" i="1"/>
  <c r="H2214" i="1"/>
  <c r="G2214" i="1"/>
  <c r="H2213" i="1"/>
  <c r="G2213" i="1"/>
  <c r="H2212" i="1"/>
  <c r="G2212" i="1"/>
  <c r="H2211" i="1"/>
  <c r="G2211" i="1"/>
  <c r="H2210" i="1"/>
  <c r="G2210" i="1"/>
  <c r="H2209" i="1"/>
  <c r="G2209" i="1"/>
  <c r="H2208" i="1"/>
  <c r="G2208" i="1"/>
  <c r="H2207" i="1"/>
  <c r="G2207" i="1"/>
  <c r="H2206" i="1"/>
  <c r="G2206" i="1"/>
  <c r="H2205" i="1"/>
  <c r="G2205" i="1"/>
  <c r="H2204" i="1"/>
  <c r="G2204" i="1"/>
  <c r="H2203" i="1"/>
  <c r="G2203" i="1"/>
  <c r="H2201" i="1"/>
  <c r="G2201" i="1"/>
  <c r="H2200" i="1"/>
  <c r="G2200" i="1"/>
  <c r="H2199" i="1"/>
  <c r="G2199" i="1"/>
  <c r="H2198" i="1"/>
  <c r="G2198" i="1"/>
  <c r="H2197" i="1"/>
  <c r="G2197" i="1"/>
  <c r="H2196" i="1"/>
  <c r="G2196" i="1"/>
  <c r="H2195" i="1"/>
  <c r="G2195" i="1"/>
  <c r="H2194" i="1"/>
  <c r="G2194" i="1"/>
  <c r="H2193" i="1"/>
  <c r="G2193" i="1"/>
  <c r="H2192" i="1"/>
  <c r="G2192" i="1"/>
  <c r="H2191" i="1"/>
  <c r="G2191" i="1"/>
  <c r="H2190" i="1"/>
  <c r="G2190" i="1"/>
  <c r="H2189" i="1"/>
  <c r="G2189" i="1"/>
  <c r="H2188" i="1"/>
  <c r="G2188" i="1"/>
  <c r="H2186" i="1"/>
  <c r="G2186" i="1"/>
  <c r="H2185" i="1"/>
  <c r="G2185" i="1"/>
  <c r="H2184" i="1"/>
  <c r="G2184" i="1"/>
  <c r="H2183" i="1"/>
  <c r="G2183" i="1"/>
  <c r="H2182" i="1"/>
  <c r="G2182" i="1"/>
  <c r="H2181" i="1"/>
  <c r="G2181" i="1"/>
  <c r="H2180" i="1"/>
  <c r="G2180" i="1"/>
  <c r="H2179" i="1"/>
  <c r="G2179" i="1"/>
  <c r="H2178" i="1"/>
  <c r="G2178" i="1"/>
  <c r="H2177" i="1"/>
  <c r="G2177" i="1"/>
  <c r="H2176" i="1"/>
  <c r="G2176" i="1"/>
  <c r="H2175" i="1"/>
  <c r="G2175" i="1"/>
  <c r="H2174" i="1"/>
  <c r="G2174" i="1"/>
  <c r="H2173" i="1"/>
  <c r="G2173" i="1"/>
  <c r="H2172" i="1"/>
  <c r="G2172" i="1"/>
  <c r="H2171" i="1"/>
  <c r="G2171" i="1"/>
  <c r="H2170" i="1"/>
  <c r="G2170" i="1"/>
  <c r="H2169" i="1"/>
  <c r="G2169" i="1"/>
  <c r="H2168" i="1"/>
  <c r="G2168" i="1"/>
  <c r="H2167" i="1"/>
  <c r="G2167" i="1"/>
  <c r="H2166" i="1"/>
  <c r="G2166" i="1"/>
  <c r="H2164" i="1"/>
  <c r="G2164" i="1"/>
  <c r="H2163" i="1"/>
  <c r="G2163" i="1"/>
  <c r="H2162" i="1"/>
  <c r="G2162" i="1"/>
  <c r="H2161" i="1"/>
  <c r="G2161" i="1"/>
  <c r="H2160" i="1"/>
  <c r="G2160" i="1"/>
  <c r="H2159" i="1"/>
  <c r="G2159" i="1"/>
  <c r="H2158" i="1"/>
  <c r="G2158" i="1"/>
  <c r="H2157" i="1"/>
  <c r="G2157" i="1"/>
  <c r="H2156" i="1"/>
  <c r="G2156" i="1"/>
  <c r="H2155" i="1"/>
  <c r="G2155" i="1"/>
  <c r="H2154" i="1"/>
  <c r="G2154" i="1"/>
  <c r="H2153" i="1"/>
  <c r="G2153" i="1"/>
  <c r="H2152" i="1"/>
  <c r="G2152" i="1"/>
  <c r="H2151" i="1"/>
  <c r="G2151" i="1"/>
  <c r="H2150" i="1"/>
  <c r="G2150" i="1"/>
  <c r="H2149" i="1"/>
  <c r="G2149" i="1"/>
  <c r="H2148" i="1"/>
  <c r="G2148" i="1"/>
  <c r="H2147" i="1"/>
  <c r="G2147" i="1"/>
  <c r="H2146" i="1"/>
  <c r="G2146" i="1"/>
  <c r="H2145" i="1"/>
  <c r="G2145" i="1"/>
  <c r="H2144" i="1"/>
  <c r="G2144" i="1"/>
  <c r="H2142" i="1"/>
  <c r="G2142" i="1"/>
  <c r="H2141" i="1"/>
  <c r="G2141" i="1"/>
  <c r="H2140" i="1"/>
  <c r="G2140" i="1"/>
  <c r="H2139" i="1"/>
  <c r="G2139" i="1"/>
  <c r="H2138" i="1"/>
  <c r="G2138" i="1"/>
  <c r="H2137" i="1"/>
  <c r="G2137" i="1"/>
  <c r="H2136" i="1"/>
  <c r="G2136" i="1"/>
  <c r="H2135" i="1"/>
  <c r="G2135" i="1"/>
  <c r="H2134" i="1"/>
  <c r="G2134" i="1"/>
  <c r="H2133" i="1"/>
  <c r="G2133" i="1"/>
  <c r="H2132" i="1"/>
  <c r="G2132" i="1"/>
  <c r="H2131" i="1"/>
  <c r="G2131" i="1"/>
  <c r="H2130" i="1"/>
  <c r="G2130" i="1"/>
  <c r="H2129" i="1"/>
  <c r="G2129" i="1"/>
  <c r="H2128" i="1"/>
  <c r="G2128" i="1"/>
  <c r="H2127" i="1"/>
  <c r="G2127" i="1"/>
  <c r="H2126" i="1"/>
  <c r="G2126" i="1"/>
  <c r="H2125" i="1"/>
  <c r="G2125" i="1"/>
  <c r="H2124" i="1"/>
  <c r="G2124" i="1"/>
  <c r="H2123" i="1"/>
  <c r="G2123" i="1"/>
  <c r="H2122" i="1"/>
  <c r="G2122" i="1"/>
  <c r="H2120" i="1"/>
  <c r="G2120" i="1"/>
  <c r="H2119" i="1"/>
  <c r="G2119" i="1"/>
  <c r="H2118" i="1"/>
  <c r="G2118" i="1"/>
  <c r="H2117" i="1"/>
  <c r="G2117" i="1"/>
  <c r="H2116" i="1"/>
  <c r="G2116" i="1"/>
  <c r="H2115" i="1"/>
  <c r="G2115" i="1"/>
  <c r="H2114" i="1"/>
  <c r="G2114" i="1"/>
  <c r="H2113" i="1"/>
  <c r="G2113" i="1"/>
  <c r="H2112" i="1"/>
  <c r="G2112" i="1"/>
  <c r="H2111" i="1"/>
  <c r="G2111" i="1"/>
  <c r="H2110" i="1"/>
  <c r="G2110" i="1"/>
  <c r="H2109" i="1"/>
  <c r="G2109" i="1"/>
  <c r="H2108" i="1"/>
  <c r="G2108" i="1"/>
  <c r="H2107" i="1"/>
  <c r="G2107" i="1"/>
  <c r="H2106" i="1"/>
  <c r="G2106" i="1"/>
  <c r="H2105" i="1"/>
  <c r="G2105" i="1"/>
  <c r="H2104" i="1"/>
  <c r="G2104" i="1"/>
  <c r="H2103" i="1"/>
  <c r="G2103" i="1"/>
  <c r="H2102" i="1"/>
  <c r="G2102" i="1"/>
  <c r="H2101" i="1"/>
  <c r="G2101" i="1"/>
  <c r="H2100" i="1"/>
  <c r="G2100" i="1"/>
  <c r="H2098" i="1"/>
  <c r="G2098" i="1"/>
  <c r="H2097" i="1"/>
  <c r="G2097" i="1"/>
  <c r="H2095" i="1"/>
  <c r="G2095" i="1"/>
  <c r="H2094" i="1"/>
  <c r="G2094" i="1"/>
  <c r="H2093" i="1"/>
  <c r="G2093" i="1"/>
  <c r="H2092" i="1"/>
  <c r="G2092" i="1"/>
  <c r="H2091" i="1"/>
  <c r="G2091" i="1"/>
  <c r="H2090" i="1"/>
  <c r="G2090" i="1"/>
  <c r="H2089" i="1"/>
  <c r="G2089" i="1"/>
  <c r="H2088" i="1"/>
  <c r="G2088" i="1"/>
  <c r="H2087" i="1"/>
  <c r="G2087" i="1"/>
  <c r="H2086" i="1"/>
  <c r="G2086" i="1"/>
  <c r="H2085" i="1"/>
  <c r="G2085" i="1"/>
  <c r="H2084" i="1"/>
  <c r="G2084" i="1"/>
  <c r="H2083" i="1"/>
  <c r="G2083" i="1"/>
  <c r="H2082" i="1"/>
  <c r="G2082" i="1"/>
  <c r="H2081" i="1"/>
  <c r="G2081" i="1"/>
  <c r="H2080" i="1"/>
  <c r="G2080" i="1"/>
  <c r="H2079" i="1"/>
  <c r="G2079" i="1"/>
  <c r="H2078" i="1"/>
  <c r="G2078" i="1"/>
  <c r="H2077" i="1"/>
  <c r="G2077" i="1"/>
  <c r="AG22" i="14" l="1"/>
  <c r="G2165" i="1"/>
  <c r="H2099" i="1"/>
  <c r="K14" i="14"/>
  <c r="V14" i="14"/>
  <c r="G2240" i="1"/>
  <c r="H2240" i="1"/>
  <c r="H2165" i="1"/>
  <c r="G2217" i="1"/>
  <c r="H2217" i="1"/>
  <c r="G2228" i="1"/>
  <c r="G2099" i="1"/>
  <c r="G2121" i="1"/>
  <c r="H2121" i="1"/>
  <c r="G2143" i="1"/>
  <c r="H2143" i="1"/>
  <c r="G2096" i="1"/>
  <c r="G2076" i="1"/>
  <c r="H2076" i="1"/>
  <c r="H2096" i="1"/>
  <c r="H2187" i="1"/>
  <c r="G2187" i="1"/>
  <c r="G2202" i="1"/>
  <c r="H2202" i="1"/>
  <c r="H2065" i="1"/>
  <c r="G2065" i="1"/>
  <c r="H2064" i="1"/>
  <c r="G2064" i="1"/>
  <c r="H2063" i="1"/>
  <c r="G2063" i="1"/>
  <c r="H2062" i="1"/>
  <c r="G2062" i="1"/>
  <c r="H2061" i="1"/>
  <c r="G2061" i="1"/>
  <c r="H2060" i="1"/>
  <c r="G2060" i="1"/>
  <c r="H2059" i="1"/>
  <c r="G2059" i="1"/>
  <c r="H2058" i="1"/>
  <c r="G2058" i="1"/>
  <c r="H2057" i="1"/>
  <c r="G2057" i="1"/>
  <c r="H2074" i="1"/>
  <c r="G2074" i="1"/>
  <c r="H2073" i="1"/>
  <c r="G2073" i="1"/>
  <c r="H2072" i="1"/>
  <c r="G2072" i="1"/>
  <c r="H2071" i="1"/>
  <c r="G2071" i="1"/>
  <c r="H2070" i="1"/>
  <c r="G2070" i="1"/>
  <c r="H2069" i="1"/>
  <c r="G2069" i="1"/>
  <c r="H2068" i="1"/>
  <c r="G2068" i="1"/>
  <c r="H2067" i="1"/>
  <c r="G2067" i="1"/>
  <c r="H2066" i="1"/>
  <c r="G2066" i="1"/>
  <c r="AG14" i="14" l="1"/>
  <c r="H70" i="1"/>
  <c r="G70" i="1"/>
  <c r="H2592" i="1" l="1"/>
  <c r="G2592" i="1"/>
  <c r="H2591" i="1"/>
  <c r="G2591" i="1"/>
  <c r="H2590" i="1"/>
  <c r="G2590" i="1"/>
  <c r="H2589" i="1"/>
  <c r="G2589" i="1"/>
  <c r="H2588" i="1"/>
  <c r="G2588" i="1"/>
  <c r="H2587" i="1"/>
  <c r="G2587" i="1"/>
  <c r="H2586" i="1"/>
  <c r="G2586" i="1"/>
  <c r="H2585" i="1"/>
  <c r="G2585" i="1"/>
  <c r="H2584" i="1"/>
  <c r="G2584" i="1"/>
  <c r="H2583" i="1"/>
  <c r="G2583" i="1"/>
  <c r="H2582" i="1"/>
  <c r="G2582" i="1"/>
  <c r="H2581" i="1"/>
  <c r="G2581" i="1"/>
  <c r="H2579" i="1"/>
  <c r="G2579" i="1"/>
  <c r="H2578" i="1"/>
  <c r="G2578" i="1"/>
  <c r="H2576" i="1"/>
  <c r="G2576" i="1"/>
  <c r="H2575" i="1"/>
  <c r="G2575" i="1"/>
  <c r="H2574" i="1"/>
  <c r="G2574" i="1"/>
  <c r="H2571" i="1"/>
  <c r="G2571" i="1"/>
  <c r="H2570" i="1"/>
  <c r="G2570" i="1"/>
  <c r="H2568" i="1"/>
  <c r="G2568" i="1"/>
  <c r="H2567" i="1"/>
  <c r="G2567" i="1"/>
  <c r="H2566" i="1"/>
  <c r="G2566" i="1"/>
  <c r="H2563" i="1"/>
  <c r="G2563" i="1"/>
  <c r="H2562" i="1"/>
  <c r="G2562" i="1"/>
  <c r="H2560" i="1"/>
  <c r="G2560" i="1"/>
  <c r="H2559" i="1"/>
  <c r="G2559" i="1"/>
  <c r="H2558" i="1"/>
  <c r="G2558" i="1"/>
  <c r="H2556" i="1"/>
  <c r="G2556" i="1"/>
  <c r="H2555" i="1"/>
  <c r="G2555" i="1"/>
  <c r="H2552" i="1"/>
  <c r="G2552" i="1"/>
  <c r="H2551" i="1"/>
  <c r="G2551" i="1"/>
  <c r="H2550" i="1"/>
  <c r="G2550" i="1"/>
  <c r="H2548" i="1"/>
  <c r="G2548" i="1"/>
  <c r="H2547" i="1"/>
  <c r="G2547" i="1"/>
  <c r="H2545" i="1"/>
  <c r="G2545" i="1"/>
  <c r="H2543" i="1"/>
  <c r="G2543" i="1"/>
  <c r="H2541" i="1"/>
  <c r="G2541" i="1"/>
  <c r="H2540" i="1"/>
  <c r="G2540" i="1"/>
  <c r="H2537" i="1"/>
  <c r="G2537" i="1"/>
  <c r="H2536" i="1"/>
  <c r="G2536" i="1"/>
  <c r="H2533" i="1"/>
  <c r="G2533" i="1"/>
  <c r="H2531" i="1"/>
  <c r="G2531" i="1"/>
  <c r="H2530" i="1"/>
  <c r="G2530" i="1"/>
  <c r="H2528" i="1"/>
  <c r="G2528" i="1"/>
  <c r="H2527" i="1"/>
  <c r="G2527" i="1"/>
  <c r="H2526" i="1"/>
  <c r="G2526" i="1"/>
  <c r="H2524" i="1"/>
  <c r="G2524" i="1"/>
  <c r="H2523" i="1"/>
  <c r="G2523" i="1"/>
  <c r="H2522" i="1"/>
  <c r="G2522" i="1"/>
  <c r="H2520" i="1"/>
  <c r="G2520" i="1"/>
  <c r="H2519" i="1"/>
  <c r="G2519" i="1"/>
  <c r="H2516" i="1"/>
  <c r="G2516" i="1"/>
  <c r="H2515" i="1"/>
  <c r="G2515" i="1"/>
  <c r="H2511" i="1"/>
  <c r="G2511" i="1"/>
  <c r="H2510" i="1"/>
  <c r="G2510" i="1"/>
  <c r="H2509" i="1"/>
  <c r="G2509" i="1"/>
  <c r="H2508" i="1"/>
  <c r="G2508" i="1"/>
  <c r="H2506" i="1"/>
  <c r="G2506" i="1"/>
  <c r="H2504" i="1"/>
  <c r="G2504" i="1"/>
  <c r="H2502" i="1"/>
  <c r="G2502" i="1"/>
  <c r="H2501" i="1"/>
  <c r="G2501" i="1"/>
  <c r="H2499" i="1"/>
  <c r="G2499" i="1"/>
  <c r="H2498" i="1"/>
  <c r="G2498" i="1"/>
  <c r="H2497" i="1"/>
  <c r="G2497" i="1"/>
  <c r="H2496" i="1"/>
  <c r="G2496" i="1"/>
  <c r="H2495" i="1"/>
  <c r="G2495" i="1"/>
  <c r="H2494" i="1"/>
  <c r="G2494" i="1"/>
  <c r="H2493" i="1"/>
  <c r="G2493" i="1"/>
  <c r="H2491" i="1"/>
  <c r="G2491" i="1"/>
  <c r="H2489" i="1"/>
  <c r="G2489" i="1"/>
  <c r="H2488" i="1"/>
  <c r="G2488" i="1"/>
  <c r="H2487" i="1"/>
  <c r="G2487" i="1"/>
  <c r="H2486" i="1"/>
  <c r="G2486" i="1"/>
  <c r="H2484" i="1"/>
  <c r="G2484" i="1"/>
  <c r="H2482" i="1"/>
  <c r="G2482" i="1"/>
  <c r="H2480" i="1"/>
  <c r="G2480" i="1"/>
  <c r="H2479" i="1"/>
  <c r="G2479" i="1"/>
  <c r="H2477" i="1"/>
  <c r="G2477" i="1"/>
  <c r="H2476" i="1"/>
  <c r="G2476" i="1"/>
  <c r="H2475" i="1"/>
  <c r="G2475" i="1"/>
  <c r="H2474" i="1"/>
  <c r="G2474" i="1"/>
  <c r="H2473" i="1"/>
  <c r="G2473" i="1"/>
  <c r="H2472" i="1"/>
  <c r="G2472" i="1"/>
  <c r="H2471" i="1"/>
  <c r="G2471" i="1"/>
  <c r="H2469" i="1"/>
  <c r="G2469" i="1"/>
  <c r="H2467" i="1"/>
  <c r="G2467" i="1"/>
  <c r="H2465" i="1"/>
  <c r="G2465" i="1"/>
  <c r="H2464" i="1"/>
  <c r="G2464" i="1"/>
  <c r="H2463" i="1"/>
  <c r="G2463" i="1"/>
  <c r="H2462" i="1"/>
  <c r="G2462" i="1"/>
  <c r="H2461" i="1"/>
  <c r="G2461" i="1"/>
  <c r="H2460" i="1"/>
  <c r="G2460" i="1"/>
  <c r="H2458" i="1"/>
  <c r="G2458" i="1"/>
  <c r="H2456" i="1"/>
  <c r="G2456" i="1"/>
  <c r="H2454" i="1"/>
  <c r="G2454" i="1"/>
  <c r="H2453" i="1"/>
  <c r="G2453" i="1"/>
  <c r="H2451" i="1"/>
  <c r="G2451" i="1"/>
  <c r="H2450" i="1"/>
  <c r="G2450" i="1"/>
  <c r="H2448" i="1"/>
  <c r="G2448" i="1"/>
  <c r="H2447" i="1"/>
  <c r="G2447" i="1"/>
  <c r="H2446" i="1"/>
  <c r="G2446" i="1"/>
  <c r="H2443" i="1"/>
  <c r="G2443" i="1"/>
  <c r="H2442" i="1"/>
  <c r="G2442" i="1"/>
  <c r="H2441" i="1"/>
  <c r="G2441" i="1"/>
  <c r="H2440" i="1"/>
  <c r="G2440" i="1"/>
  <c r="H2438" i="1"/>
  <c r="G2438" i="1"/>
  <c r="H2437" i="1"/>
  <c r="G2437" i="1"/>
  <c r="H2436" i="1"/>
  <c r="G2436" i="1"/>
  <c r="H2435" i="1"/>
  <c r="G2435" i="1"/>
  <c r="H2433" i="1"/>
  <c r="G2433" i="1"/>
  <c r="H2432" i="1"/>
  <c r="G2432" i="1"/>
  <c r="H2431" i="1"/>
  <c r="G2431" i="1"/>
  <c r="H2428" i="1"/>
  <c r="G2428" i="1"/>
  <c r="H2426" i="1"/>
  <c r="G2426" i="1"/>
  <c r="H2425" i="1"/>
  <c r="G2425" i="1"/>
  <c r="H2422" i="1"/>
  <c r="G2422" i="1"/>
  <c r="H2421" i="1"/>
  <c r="G2421" i="1"/>
  <c r="H2420" i="1"/>
  <c r="G2420" i="1"/>
  <c r="H2419" i="1"/>
  <c r="G2419" i="1"/>
  <c r="H2417" i="1"/>
  <c r="G2417" i="1"/>
  <c r="H2416" i="1"/>
  <c r="G2416" i="1"/>
  <c r="H2414" i="1"/>
  <c r="G2414" i="1"/>
  <c r="H2413" i="1"/>
  <c r="G2413" i="1"/>
  <c r="H2412" i="1"/>
  <c r="G2412" i="1"/>
  <c r="H2409" i="1"/>
  <c r="G2409" i="1"/>
  <c r="H2407" i="1"/>
  <c r="G2407" i="1"/>
  <c r="H2405" i="1"/>
  <c r="G2405" i="1"/>
  <c r="H2404" i="1"/>
  <c r="G2404" i="1"/>
  <c r="H2400" i="1"/>
  <c r="G2400" i="1"/>
  <c r="H2399" i="1"/>
  <c r="G2399" i="1"/>
  <c r="H2398" i="1"/>
  <c r="G2398" i="1"/>
  <c r="H2397" i="1"/>
  <c r="G2397" i="1"/>
  <c r="H2395" i="1"/>
  <c r="G2395" i="1"/>
  <c r="H2394" i="1"/>
  <c r="G2394" i="1"/>
  <c r="H2393" i="1"/>
  <c r="G2393" i="1"/>
  <c r="H2392" i="1"/>
  <c r="G2392" i="1"/>
  <c r="H2390" i="1"/>
  <c r="G2390" i="1"/>
  <c r="H2389" i="1"/>
  <c r="G2389" i="1"/>
  <c r="H2388" i="1"/>
  <c r="G2388" i="1"/>
  <c r="H2385" i="1"/>
  <c r="G2385" i="1"/>
  <c r="H2383" i="1"/>
  <c r="G2383" i="1"/>
  <c r="H2382" i="1"/>
  <c r="G2382" i="1"/>
  <c r="H2379" i="1"/>
  <c r="G2379" i="1"/>
  <c r="H2378" i="1"/>
  <c r="G2378" i="1"/>
  <c r="H2377" i="1"/>
  <c r="G2377" i="1"/>
  <c r="H2376" i="1"/>
  <c r="G2376" i="1"/>
  <c r="H2374" i="1"/>
  <c r="G2374" i="1"/>
  <c r="H2373" i="1"/>
  <c r="G2373" i="1"/>
  <c r="H2371" i="1"/>
  <c r="G2371" i="1"/>
  <c r="H2370" i="1"/>
  <c r="G2370" i="1"/>
  <c r="H2369" i="1"/>
  <c r="G2369" i="1"/>
  <c r="H2366" i="1"/>
  <c r="G2366" i="1"/>
  <c r="H2364" i="1"/>
  <c r="G2364" i="1"/>
  <c r="H2362" i="1"/>
  <c r="G2362" i="1"/>
  <c r="H2361" i="1"/>
  <c r="G2361" i="1"/>
  <c r="H2356" i="1" l="1"/>
  <c r="G2356" i="1"/>
  <c r="H1675" i="1"/>
  <c r="H1674" i="1"/>
  <c r="H1351" i="1"/>
  <c r="H1350" i="1"/>
  <c r="H667" i="1"/>
  <c r="H666" i="1"/>
  <c r="H550" i="1"/>
  <c r="H549" i="1"/>
  <c r="H588" i="1"/>
  <c r="H587" i="1"/>
  <c r="H585" i="1"/>
  <c r="H584" i="1"/>
  <c r="H583" i="1"/>
  <c r="H582" i="1"/>
  <c r="H581" i="1"/>
  <c r="H580" i="1"/>
  <c r="H579" i="1"/>
  <c r="H578" i="1"/>
  <c r="H577" i="1"/>
  <c r="H576" i="1"/>
  <c r="H575" i="1"/>
  <c r="H574" i="1"/>
  <c r="H573" i="1"/>
  <c r="H572" i="1"/>
  <c r="H571" i="1"/>
  <c r="H570" i="1"/>
  <c r="H569" i="1"/>
  <c r="H568" i="1"/>
  <c r="H565" i="1"/>
  <c r="H564" i="1" s="1"/>
  <c r="H563" i="1"/>
  <c r="H562" i="1"/>
  <c r="H561" i="1"/>
  <c r="H560" i="1"/>
  <c r="H559" i="1"/>
  <c r="H558" i="1"/>
  <c r="H557" i="1"/>
  <c r="H556" i="1"/>
  <c r="H555" i="1"/>
  <c r="H554" i="1"/>
  <c r="H553" i="1"/>
  <c r="H1613" i="1"/>
  <c r="H1614" i="1"/>
  <c r="H1615" i="1"/>
  <c r="H1616" i="1"/>
  <c r="H1617" i="1"/>
  <c r="H1618" i="1"/>
  <c r="H1619" i="1"/>
  <c r="H1620" i="1"/>
  <c r="H1672" i="1"/>
  <c r="H1671" i="1"/>
  <c r="H1670" i="1"/>
  <c r="H1669" i="1"/>
  <c r="H1668" i="1"/>
  <c r="H1667" i="1"/>
  <c r="H1666" i="1"/>
  <c r="H1664" i="1"/>
  <c r="H1663" i="1"/>
  <c r="H1662" i="1"/>
  <c r="H1661" i="1"/>
  <c r="H1660" i="1"/>
  <c r="H1659" i="1"/>
  <c r="H1658" i="1"/>
  <c r="H1656" i="1"/>
  <c r="H1655" i="1"/>
  <c r="H1654" i="1"/>
  <c r="H1653" i="1"/>
  <c r="H1652" i="1"/>
  <c r="H1651" i="1"/>
  <c r="H1650" i="1"/>
  <c r="H1649" i="1"/>
  <c r="H1648" i="1"/>
  <c r="H1647" i="1"/>
  <c r="H1646" i="1"/>
  <c r="H1645" i="1"/>
  <c r="H1644" i="1"/>
  <c r="H1642" i="1"/>
  <c r="H1641" i="1"/>
  <c r="H1640" i="1"/>
  <c r="H1639" i="1"/>
  <c r="H1638" i="1"/>
  <c r="H1637" i="1"/>
  <c r="H1636" i="1"/>
  <c r="H1635" i="1"/>
  <c r="H1634" i="1"/>
  <c r="H1633" i="1"/>
  <c r="H1632" i="1"/>
  <c r="H1631" i="1"/>
  <c r="H1629" i="1"/>
  <c r="H1628" i="1"/>
  <c r="H1627" i="1"/>
  <c r="H1626" i="1"/>
  <c r="H1625" i="1"/>
  <c r="H1624" i="1"/>
  <c r="H1623" i="1"/>
  <c r="H1622" i="1"/>
  <c r="H1583" i="1"/>
  <c r="H1582" i="1"/>
  <c r="H1581" i="1"/>
  <c r="H1580" i="1"/>
  <c r="H1579" i="1"/>
  <c r="H1578" i="1"/>
  <c r="H1577" i="1"/>
  <c r="H1576" i="1"/>
  <c r="H1575" i="1"/>
  <c r="H1574" i="1"/>
  <c r="H603" i="1"/>
  <c r="H602" i="1"/>
  <c r="H601" i="1"/>
  <c r="H600" i="1"/>
  <c r="H599" i="1"/>
  <c r="H544" i="1"/>
  <c r="H545" i="1"/>
  <c r="H546" i="1"/>
  <c r="H598" i="1"/>
  <c r="H597" i="1"/>
  <c r="H596" i="1"/>
  <c r="H595" i="1"/>
  <c r="H594" i="1"/>
  <c r="H593" i="1"/>
  <c r="H592" i="1"/>
  <c r="H591" i="1"/>
  <c r="S7" i="14" s="1"/>
  <c r="AD7" i="14" s="1"/>
  <c r="H590" i="1"/>
  <c r="H547" i="1"/>
  <c r="H543" i="1"/>
  <c r="H542" i="1"/>
  <c r="H541" i="1"/>
  <c r="H540" i="1"/>
  <c r="H539" i="1"/>
  <c r="H538" i="1"/>
  <c r="H530" i="1"/>
  <c r="H529" i="1"/>
  <c r="H528" i="1"/>
  <c r="H527" i="1"/>
  <c r="H526" i="1"/>
  <c r="H525" i="1"/>
  <c r="H524" i="1"/>
  <c r="H523" i="1"/>
  <c r="H522" i="1"/>
  <c r="H521" i="1"/>
  <c r="H520" i="1"/>
  <c r="H519" i="1"/>
  <c r="H514" i="1"/>
  <c r="H1086" i="1"/>
  <c r="H1085" i="1"/>
  <c r="H1084" i="1"/>
  <c r="H1083" i="1"/>
  <c r="H1082" i="1"/>
  <c r="H1080" i="1"/>
  <c r="H1079" i="1"/>
  <c r="H1078" i="1"/>
  <c r="H1077" i="1"/>
  <c r="H1076" i="1"/>
  <c r="H1075" i="1"/>
  <c r="H1074" i="1"/>
  <c r="H1072" i="1"/>
  <c r="H1071" i="1"/>
  <c r="H1070" i="1"/>
  <c r="H1069" i="1"/>
  <c r="H1068" i="1"/>
  <c r="H1067" i="1"/>
  <c r="H1066" i="1"/>
  <c r="H1064" i="1"/>
  <c r="H1063" i="1"/>
  <c r="H1062" i="1"/>
  <c r="H1061" i="1"/>
  <c r="H1060" i="1"/>
  <c r="H1059" i="1"/>
  <c r="H1058" i="1"/>
  <c r="H1057" i="1"/>
  <c r="H1056" i="1"/>
  <c r="H1055" i="1"/>
  <c r="H1054" i="1"/>
  <c r="H1053" i="1"/>
  <c r="H1052" i="1"/>
  <c r="H1050" i="1"/>
  <c r="H1049" i="1"/>
  <c r="H1048" i="1"/>
  <c r="H1047" i="1"/>
  <c r="H1046" i="1"/>
  <c r="H1045" i="1"/>
  <c r="H1044" i="1"/>
  <c r="H1043" i="1"/>
  <c r="H1042" i="1"/>
  <c r="H1041" i="1"/>
  <c r="H1040" i="1"/>
  <c r="H1039" i="1"/>
  <c r="H1037" i="1"/>
  <c r="H1036" i="1"/>
  <c r="H1035" i="1"/>
  <c r="H1034" i="1"/>
  <c r="H1033" i="1"/>
  <c r="H1032" i="1"/>
  <c r="H1031" i="1"/>
  <c r="H1030" i="1"/>
  <c r="H1028" i="1"/>
  <c r="H1027" i="1"/>
  <c r="H1026" i="1"/>
  <c r="H1025" i="1"/>
  <c r="H1024" i="1"/>
  <c r="H1023" i="1"/>
  <c r="H1022" i="1"/>
  <c r="H1021" i="1"/>
  <c r="H1019" i="1"/>
  <c r="H1018" i="1"/>
  <c r="H1017" i="1"/>
  <c r="H1016" i="1"/>
  <c r="H1015" i="1"/>
  <c r="H1014" i="1"/>
  <c r="H1013" i="1"/>
  <c r="H1012" i="1"/>
  <c r="H1011" i="1"/>
  <c r="H1010" i="1"/>
  <c r="H1009" i="1"/>
  <c r="H1006" i="1"/>
  <c r="H1005" i="1"/>
  <c r="H1004" i="1"/>
  <c r="H1003" i="1"/>
  <c r="H1002" i="1"/>
  <c r="H1001" i="1"/>
  <c r="H1000" i="1"/>
  <c r="H999" i="1"/>
  <c r="H998" i="1"/>
  <c r="H997" i="1"/>
  <c r="H996" i="1"/>
  <c r="H995" i="1"/>
  <c r="H994" i="1"/>
  <c r="H993" i="1"/>
  <c r="S31" i="14" s="1"/>
  <c r="AD31" i="14" s="1"/>
  <c r="H1274" i="1"/>
  <c r="H1273" i="1"/>
  <c r="H1272" i="1"/>
  <c r="H1271" i="1"/>
  <c r="H1270" i="1"/>
  <c r="H1269" i="1"/>
  <c r="H1268" i="1"/>
  <c r="H1267" i="1"/>
  <c r="H1266" i="1"/>
  <c r="H1265" i="1"/>
  <c r="H1264" i="1"/>
  <c r="H1263" i="1"/>
  <c r="H1262" i="1"/>
  <c r="H1261" i="1"/>
  <c r="H1258" i="1"/>
  <c r="H1257" i="1"/>
  <c r="H1256" i="1"/>
  <c r="H1255" i="1"/>
  <c r="H1254" i="1"/>
  <c r="H1253" i="1"/>
  <c r="H1252" i="1"/>
  <c r="H1251" i="1"/>
  <c r="H1250" i="1"/>
  <c r="H1249" i="1"/>
  <c r="H1236" i="1"/>
  <c r="H1235" i="1"/>
  <c r="H1234" i="1"/>
  <c r="H1233" i="1"/>
  <c r="H1232" i="1"/>
  <c r="H1231" i="1"/>
  <c r="H1230" i="1"/>
  <c r="H1229" i="1"/>
  <c r="H1228" i="1"/>
  <c r="H1227" i="1"/>
  <c r="H1226" i="1"/>
  <c r="H1225" i="1"/>
  <c r="H1224" i="1"/>
  <c r="H1223" i="1"/>
  <c r="H1222" i="1"/>
  <c r="H1221" i="1"/>
  <c r="S30" i="14" s="1"/>
  <c r="AD30" i="14" s="1"/>
  <c r="H1348" i="1"/>
  <c r="H1347" i="1"/>
  <c r="H1346" i="1"/>
  <c r="H1345" i="1"/>
  <c r="H1344" i="1"/>
  <c r="H1343" i="1"/>
  <c r="H1342" i="1"/>
  <c r="H1340" i="1"/>
  <c r="H1339" i="1"/>
  <c r="H1338" i="1"/>
  <c r="H1337" i="1"/>
  <c r="H1336" i="1"/>
  <c r="H1335" i="1"/>
  <c r="H1334" i="1"/>
  <c r="H1332" i="1"/>
  <c r="H1331" i="1"/>
  <c r="H1330" i="1"/>
  <c r="H1329" i="1"/>
  <c r="H1328" i="1"/>
  <c r="H1327" i="1"/>
  <c r="H1326" i="1"/>
  <c r="H1325" i="1"/>
  <c r="H1324" i="1"/>
  <c r="H1323" i="1"/>
  <c r="H1322" i="1"/>
  <c r="H1321" i="1"/>
  <c r="H1320" i="1"/>
  <c r="H1318" i="1"/>
  <c r="H1317" i="1"/>
  <c r="H1316" i="1"/>
  <c r="H1315" i="1"/>
  <c r="H1314" i="1"/>
  <c r="H1313" i="1"/>
  <c r="H1312" i="1"/>
  <c r="H1311" i="1"/>
  <c r="H1310" i="1"/>
  <c r="H1309" i="1"/>
  <c r="H1308" i="1"/>
  <c r="H1307" i="1"/>
  <c r="H1305" i="1"/>
  <c r="H1304" i="1"/>
  <c r="H1303" i="1"/>
  <c r="H1302" i="1"/>
  <c r="H1301" i="1"/>
  <c r="H1300" i="1"/>
  <c r="H1299" i="1"/>
  <c r="H1298" i="1"/>
  <c r="H1296" i="1"/>
  <c r="H1295" i="1"/>
  <c r="H1294" i="1"/>
  <c r="H1293" i="1"/>
  <c r="H1292" i="1"/>
  <c r="H1291" i="1"/>
  <c r="H1290" i="1"/>
  <c r="H1289" i="1"/>
  <c r="H1287" i="1"/>
  <c r="H1286" i="1"/>
  <c r="H1285" i="1"/>
  <c r="H1284" i="1"/>
  <c r="H1283" i="1"/>
  <c r="H1282" i="1"/>
  <c r="H1281" i="1"/>
  <c r="H1280" i="1"/>
  <c r="H1279" i="1"/>
  <c r="H1278" i="1"/>
  <c r="H1277" i="1"/>
  <c r="H823" i="1"/>
  <c r="H822" i="1"/>
  <c r="H821" i="1"/>
  <c r="H820" i="1"/>
  <c r="H819" i="1"/>
  <c r="H817" i="1"/>
  <c r="H816" i="1"/>
  <c r="H815" i="1"/>
  <c r="H814" i="1"/>
  <c r="H813" i="1"/>
  <c r="H812" i="1"/>
  <c r="H811" i="1"/>
  <c r="H809" i="1"/>
  <c r="H808" i="1"/>
  <c r="H807" i="1"/>
  <c r="H806" i="1"/>
  <c r="H805" i="1"/>
  <c r="H804" i="1"/>
  <c r="H803" i="1"/>
  <c r="H789" i="1"/>
  <c r="H801" i="1"/>
  <c r="H800" i="1"/>
  <c r="H799" i="1"/>
  <c r="H798" i="1"/>
  <c r="H797" i="1"/>
  <c r="H796" i="1"/>
  <c r="H795" i="1"/>
  <c r="H794" i="1"/>
  <c r="H793" i="1"/>
  <c r="H792" i="1"/>
  <c r="H791" i="1"/>
  <c r="H790" i="1"/>
  <c r="H779" i="1"/>
  <c r="H778" i="1"/>
  <c r="H777" i="1"/>
  <c r="H776" i="1"/>
  <c r="H787" i="1"/>
  <c r="H786" i="1"/>
  <c r="H785" i="1"/>
  <c r="H784" i="1"/>
  <c r="H783" i="1"/>
  <c r="H782" i="1"/>
  <c r="H781" i="1"/>
  <c r="H780" i="1"/>
  <c r="H774" i="1"/>
  <c r="H773" i="1"/>
  <c r="H772" i="1"/>
  <c r="H771" i="1"/>
  <c r="H770" i="1"/>
  <c r="H769" i="1"/>
  <c r="H768" i="1"/>
  <c r="H767" i="1"/>
  <c r="H765" i="1"/>
  <c r="H764" i="1"/>
  <c r="H763" i="1"/>
  <c r="H762" i="1"/>
  <c r="H761" i="1"/>
  <c r="H760" i="1"/>
  <c r="H759" i="1"/>
  <c r="H758" i="1"/>
  <c r="H748" i="1"/>
  <c r="H747" i="1"/>
  <c r="H746" i="1"/>
  <c r="H752" i="1"/>
  <c r="H751" i="1"/>
  <c r="H750" i="1"/>
  <c r="H749" i="1"/>
  <c r="H731" i="1"/>
  <c r="H730" i="1"/>
  <c r="H737" i="1"/>
  <c r="H736" i="1"/>
  <c r="H735" i="1"/>
  <c r="H734" i="1"/>
  <c r="H733" i="1"/>
  <c r="H732" i="1"/>
  <c r="H740" i="1"/>
  <c r="H739" i="1"/>
  <c r="H738" i="1"/>
  <c r="H727" i="1"/>
  <c r="H726" i="1"/>
  <c r="H725" i="1"/>
  <c r="H724" i="1"/>
  <c r="H723" i="1"/>
  <c r="H722" i="1"/>
  <c r="H721" i="1"/>
  <c r="H720" i="1"/>
  <c r="H719" i="1"/>
  <c r="H718" i="1"/>
  <c r="H708" i="1"/>
  <c r="H707" i="1"/>
  <c r="H706" i="1"/>
  <c r="H705" i="1"/>
  <c r="H704" i="1"/>
  <c r="H703" i="1"/>
  <c r="H702" i="1"/>
  <c r="H701" i="1"/>
  <c r="H712" i="1"/>
  <c r="H711" i="1"/>
  <c r="H710" i="1"/>
  <c r="H709" i="1"/>
  <c r="H611" i="1"/>
  <c r="H610" i="1"/>
  <c r="H609" i="1"/>
  <c r="H608" i="1"/>
  <c r="S13" i="14" l="1"/>
  <c r="H1673" i="1"/>
  <c r="H513" i="1"/>
  <c r="H531" i="1"/>
  <c r="H810" i="1"/>
  <c r="H1349" i="1"/>
  <c r="H665" i="1"/>
  <c r="H548" i="1"/>
  <c r="H1008" i="1"/>
  <c r="H717" i="1"/>
  <c r="H757" i="1"/>
  <c r="H586" i="1"/>
  <c r="H766" i="1"/>
  <c r="H1020" i="1"/>
  <c r="H1038" i="1"/>
  <c r="H1051" i="1"/>
  <c r="H1073" i="1"/>
  <c r="H1573" i="1"/>
  <c r="H1572" i="1" s="1"/>
  <c r="H1029" i="1"/>
  <c r="H802" i="1"/>
  <c r="H589" i="1"/>
  <c r="H1065" i="1"/>
  <c r="H1260" i="1"/>
  <c r="H1259" i="1" s="1"/>
  <c r="H788" i="1"/>
  <c r="H1545" i="1"/>
  <c r="H1612" i="1"/>
  <c r="H818" i="1"/>
  <c r="H1288" i="1"/>
  <c r="H1297" i="1"/>
  <c r="H1306" i="1"/>
  <c r="H1319" i="1"/>
  <c r="H1341" i="1"/>
  <c r="H1630" i="1"/>
  <c r="H1643" i="1"/>
  <c r="H1276" i="1"/>
  <c r="H1220" i="1"/>
  <c r="H1248" i="1"/>
  <c r="H992" i="1"/>
  <c r="H991" i="1" s="1"/>
  <c r="H1621" i="1"/>
  <c r="H1657" i="1"/>
  <c r="H1665" i="1"/>
  <c r="H1333" i="1"/>
  <c r="H567" i="1"/>
  <c r="H775" i="1"/>
  <c r="H552" i="1"/>
  <c r="AD13" i="14" l="1"/>
  <c r="H1275" i="1"/>
  <c r="H512" i="1"/>
  <c r="H566" i="1"/>
  <c r="H551" i="1" s="1"/>
  <c r="H1007" i="1"/>
  <c r="H1219" i="1"/>
  <c r="H1611" i="1"/>
  <c r="H959" i="1" l="1"/>
  <c r="H958" i="1" s="1"/>
  <c r="H1127" i="1"/>
  <c r="U28" i="14" l="1"/>
  <c r="R28" i="14"/>
  <c r="Q28" i="14"/>
  <c r="P28" i="14"/>
  <c r="O28" i="14"/>
  <c r="J28" i="14"/>
  <c r="G28" i="14"/>
  <c r="F28" i="14"/>
  <c r="E28" i="14"/>
  <c r="D28" i="14"/>
  <c r="U27" i="14"/>
  <c r="R27" i="14"/>
  <c r="Q27" i="14"/>
  <c r="P27" i="14"/>
  <c r="O27" i="14"/>
  <c r="J27" i="14"/>
  <c r="G27" i="14"/>
  <c r="F27" i="14"/>
  <c r="E27" i="14"/>
  <c r="D27" i="14"/>
  <c r="H840" i="1"/>
  <c r="H1123" i="1"/>
  <c r="H1480" i="1"/>
  <c r="H1479" i="1"/>
  <c r="H1478" i="1"/>
  <c r="H1477" i="1"/>
  <c r="H1476" i="1"/>
  <c r="H1492" i="1"/>
  <c r="H1491" i="1"/>
  <c r="H1490" i="1"/>
  <c r="H1489" i="1"/>
  <c r="H1488" i="1"/>
  <c r="H1487" i="1"/>
  <c r="H1486" i="1"/>
  <c r="H1485" i="1"/>
  <c r="H1484" i="1"/>
  <c r="H1483" i="1"/>
  <c r="H1482" i="1"/>
  <c r="H1481" i="1"/>
  <c r="H1498" i="1"/>
  <c r="H1497" i="1"/>
  <c r="H1496" i="1"/>
  <c r="H1495" i="1"/>
  <c r="H1494" i="1"/>
  <c r="H1493" i="1"/>
  <c r="H1501" i="1"/>
  <c r="H1500" i="1"/>
  <c r="H1499" i="1"/>
  <c r="H1504" i="1"/>
  <c r="H1503" i="1"/>
  <c r="H1502" i="1"/>
  <c r="H1474" i="1"/>
  <c r="H1473" i="1"/>
  <c r="H1472" i="1"/>
  <c r="H1468" i="1"/>
  <c r="H1470" i="1"/>
  <c r="H1469"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6" i="1"/>
  <c r="H1515" i="1"/>
  <c r="H1514" i="1"/>
  <c r="H1513" i="1"/>
  <c r="H1512" i="1"/>
  <c r="H1511" i="1"/>
  <c r="H1510" i="1"/>
  <c r="H1508" i="1"/>
  <c r="H1507" i="1"/>
  <c r="H1126" i="1"/>
  <c r="H1124" i="1"/>
  <c r="H1122" i="1"/>
  <c r="H1121" i="1"/>
  <c r="H1120" i="1"/>
  <c r="H1119" i="1"/>
  <c r="H1118" i="1"/>
  <c r="H1117" i="1"/>
  <c r="H1116" i="1"/>
  <c r="H1115" i="1"/>
  <c r="H1114" i="1"/>
  <c r="H1113" i="1"/>
  <c r="H1112" i="1"/>
  <c r="H1111" i="1"/>
  <c r="H1110" i="1"/>
  <c r="H1108" i="1"/>
  <c r="H1107" i="1"/>
  <c r="H1106" i="1"/>
  <c r="H1105" i="1"/>
  <c r="H1104" i="1"/>
  <c r="H1096" i="1"/>
  <c r="H1095" i="1"/>
  <c r="H1094" i="1"/>
  <c r="H1093" i="1"/>
  <c r="H1092" i="1"/>
  <c r="H1091" i="1"/>
  <c r="H1090" i="1"/>
  <c r="H1100" i="1"/>
  <c r="H1099" i="1"/>
  <c r="H1098" i="1"/>
  <c r="H1097" i="1"/>
  <c r="H878" i="1"/>
  <c r="O877" i="1"/>
  <c r="H877" i="1"/>
  <c r="H876" i="1"/>
  <c r="O880" i="1"/>
  <c r="H880" i="1"/>
  <c r="H879" i="1"/>
  <c r="H872" i="1"/>
  <c r="O871" i="1"/>
  <c r="H871" i="1"/>
  <c r="O863" i="1"/>
  <c r="H863" i="1"/>
  <c r="H866" i="1"/>
  <c r="O865" i="1"/>
  <c r="H865" i="1"/>
  <c r="O864" i="1"/>
  <c r="H864" i="1"/>
  <c r="O867" i="1"/>
  <c r="H867" i="1"/>
  <c r="H860" i="1"/>
  <c r="H859" i="1"/>
  <c r="H857" i="1"/>
  <c r="H856" i="1"/>
  <c r="H855" i="1"/>
  <c r="H854" i="1"/>
  <c r="H853" i="1"/>
  <c r="H852" i="1"/>
  <c r="H851" i="1"/>
  <c r="H850" i="1"/>
  <c r="H849" i="1"/>
  <c r="H848" i="1"/>
  <c r="H847" i="1"/>
  <c r="H846" i="1"/>
  <c r="H845" i="1"/>
  <c r="H844" i="1"/>
  <c r="H843" i="1"/>
  <c r="H842" i="1"/>
  <c r="H841" i="1"/>
  <c r="H837" i="1"/>
  <c r="H836" i="1" s="1"/>
  <c r="H835" i="1"/>
  <c r="H834" i="1"/>
  <c r="H833" i="1"/>
  <c r="H832" i="1"/>
  <c r="H831" i="1"/>
  <c r="H830" i="1"/>
  <c r="H829" i="1"/>
  <c r="H828" i="1"/>
  <c r="H827" i="1"/>
  <c r="H826" i="1"/>
  <c r="H825" i="1"/>
  <c r="H498" i="1"/>
  <c r="H488" i="1"/>
  <c r="H487" i="1" s="1"/>
  <c r="H1109" i="1" l="1"/>
  <c r="M28" i="14"/>
  <c r="I26" i="14"/>
  <c r="M27" i="14"/>
  <c r="T32" i="14"/>
  <c r="AE32" i="14" s="1"/>
  <c r="H1505" i="1"/>
  <c r="H1467" i="1"/>
  <c r="H1471" i="1"/>
  <c r="H1475" i="1"/>
  <c r="AA28" i="14"/>
  <c r="Z27" i="14"/>
  <c r="AB28" i="14"/>
  <c r="H838" i="1"/>
  <c r="H824" i="1" s="1"/>
  <c r="AC28" i="14"/>
  <c r="AF28" i="14"/>
  <c r="AB27" i="14"/>
  <c r="Z28" i="14"/>
  <c r="AF27" i="14"/>
  <c r="AA27" i="14"/>
  <c r="AC27" i="14"/>
  <c r="H1466" i="1" l="1"/>
  <c r="G33" i="14"/>
  <c r="G32" i="14"/>
  <c r="H53" i="1" l="1"/>
  <c r="G53" i="1"/>
  <c r="H52" i="1"/>
  <c r="G52" i="1"/>
  <c r="H51" i="1"/>
  <c r="G51" i="1"/>
  <c r="H44" i="1"/>
  <c r="G44" i="1"/>
  <c r="H43" i="1"/>
  <c r="G43" i="1"/>
  <c r="H42" i="1"/>
  <c r="G42" i="1"/>
  <c r="H41" i="1"/>
  <c r="G41" i="1"/>
  <c r="H40" i="1"/>
  <c r="G40" i="1"/>
  <c r="H38" i="1"/>
  <c r="G38" i="1"/>
  <c r="H37" i="1"/>
  <c r="G37" i="1"/>
  <c r="H36" i="1"/>
  <c r="G36" i="1"/>
  <c r="H35" i="1"/>
  <c r="G35" i="1"/>
  <c r="H34" i="1"/>
  <c r="G34" i="1"/>
  <c r="H33" i="1"/>
  <c r="G33" i="1"/>
  <c r="H74" i="1"/>
  <c r="G74" i="1"/>
  <c r="H73" i="1"/>
  <c r="G73" i="1"/>
  <c r="H72" i="1"/>
  <c r="G72" i="1"/>
  <c r="H71" i="1"/>
  <c r="G71" i="1"/>
  <c r="H69" i="1"/>
  <c r="G69" i="1"/>
  <c r="H67" i="1"/>
  <c r="G67" i="1"/>
  <c r="H66" i="1"/>
  <c r="G66" i="1"/>
  <c r="H65" i="1"/>
  <c r="G65" i="1"/>
  <c r="H64" i="1"/>
  <c r="G64" i="1"/>
  <c r="H63" i="1"/>
  <c r="G63" i="1"/>
  <c r="H62" i="1"/>
  <c r="G62" i="1"/>
  <c r="H60" i="1"/>
  <c r="G60" i="1"/>
  <c r="H59" i="1"/>
  <c r="G59" i="1"/>
  <c r="H58" i="1"/>
  <c r="G58" i="1"/>
  <c r="H50" i="1"/>
  <c r="G50" i="1"/>
  <c r="H49" i="1"/>
  <c r="G49" i="1"/>
  <c r="H48" i="1"/>
  <c r="G48" i="1"/>
  <c r="H47" i="1"/>
  <c r="G47" i="1"/>
  <c r="H68" i="1" l="1"/>
  <c r="G68" i="1"/>
  <c r="H46" i="1"/>
  <c r="G61" i="1"/>
  <c r="H61" i="1"/>
  <c r="G46" i="1"/>
  <c r="G45" i="1" l="1"/>
  <c r="G39" i="1" s="1"/>
  <c r="G32" i="1" s="1"/>
  <c r="H45" i="1"/>
  <c r="H39" i="1" s="1"/>
  <c r="H32" i="1" s="1"/>
  <c r="G20" i="14" l="1"/>
  <c r="G31" i="14" l="1"/>
  <c r="G30" i="14"/>
  <c r="G29" i="14" l="1"/>
  <c r="G26" i="14" s="1"/>
  <c r="G24" i="14" l="1"/>
  <c r="G7" i="14" l="1"/>
  <c r="H1102" i="1" l="1"/>
  <c r="H1101" i="1"/>
  <c r="T30" i="14" s="1"/>
  <c r="AE30" i="14" s="1"/>
  <c r="H89" i="1"/>
  <c r="G89" i="1"/>
  <c r="H88" i="1"/>
  <c r="G88" i="1"/>
  <c r="H87" i="1"/>
  <c r="G87" i="1"/>
  <c r="H86" i="1"/>
  <c r="G86" i="1"/>
  <c r="J7" i="14"/>
  <c r="J13" i="14"/>
  <c r="H2355" i="1"/>
  <c r="G2355" i="1"/>
  <c r="H2354" i="1"/>
  <c r="G2354" i="1"/>
  <c r="H2353" i="1"/>
  <c r="G2353" i="1"/>
  <c r="H2352" i="1"/>
  <c r="G2352" i="1"/>
  <c r="H2351" i="1"/>
  <c r="G2351" i="1"/>
  <c r="H2350" i="1"/>
  <c r="G2350" i="1"/>
  <c r="H2349" i="1"/>
  <c r="G2349" i="1"/>
  <c r="H2346" i="1"/>
  <c r="G2346" i="1"/>
  <c r="H2345" i="1"/>
  <c r="G2345" i="1"/>
  <c r="H2343" i="1"/>
  <c r="G2343" i="1"/>
  <c r="H2342" i="1"/>
  <c r="G2342" i="1"/>
  <c r="H2341" i="1"/>
  <c r="G2341" i="1"/>
  <c r="H2340" i="1"/>
  <c r="G2340" i="1"/>
  <c r="H2339" i="1"/>
  <c r="G2339" i="1"/>
  <c r="H2338" i="1"/>
  <c r="G2338" i="1"/>
  <c r="H2337" i="1"/>
  <c r="G2337" i="1"/>
  <c r="H2336" i="1"/>
  <c r="G2336" i="1"/>
  <c r="H2335" i="1"/>
  <c r="G2335" i="1"/>
  <c r="H2333" i="1"/>
  <c r="G2333" i="1"/>
  <c r="H2331" i="1"/>
  <c r="G2331" i="1"/>
  <c r="H2330" i="1"/>
  <c r="G2330" i="1"/>
  <c r="H2329" i="1"/>
  <c r="G2329" i="1"/>
  <c r="H2328" i="1"/>
  <c r="G2328" i="1"/>
  <c r="H2327" i="1"/>
  <c r="G2327" i="1"/>
  <c r="H2323" i="1"/>
  <c r="G2323" i="1"/>
  <c r="H2322" i="1"/>
  <c r="G2322" i="1"/>
  <c r="H2320" i="1"/>
  <c r="G2320" i="1"/>
  <c r="H2319" i="1"/>
  <c r="G2319" i="1"/>
  <c r="H2318" i="1"/>
  <c r="G2318" i="1"/>
  <c r="H2317" i="1"/>
  <c r="G2317" i="1"/>
  <c r="H2316" i="1"/>
  <c r="G2316" i="1"/>
  <c r="H2315" i="1"/>
  <c r="G2315" i="1"/>
  <c r="H2314" i="1"/>
  <c r="G2314" i="1"/>
  <c r="H2312" i="1"/>
  <c r="G2312" i="1"/>
  <c r="H2310" i="1"/>
  <c r="G2310" i="1"/>
  <c r="H2309" i="1"/>
  <c r="G2309" i="1"/>
  <c r="H2306" i="1"/>
  <c r="G2306" i="1"/>
  <c r="H2305" i="1"/>
  <c r="G2305" i="1"/>
  <c r="H2303" i="1"/>
  <c r="G2303" i="1"/>
  <c r="H2302" i="1"/>
  <c r="G2302" i="1"/>
  <c r="H2301" i="1"/>
  <c r="G2301" i="1"/>
  <c r="H2300" i="1"/>
  <c r="G2300" i="1"/>
  <c r="H2299" i="1"/>
  <c r="G2299" i="1"/>
  <c r="H2298" i="1"/>
  <c r="G2298" i="1"/>
  <c r="H2297" i="1"/>
  <c r="G2297" i="1"/>
  <c r="H2295" i="1"/>
  <c r="G2295" i="1"/>
  <c r="H2293" i="1"/>
  <c r="G2293" i="1"/>
  <c r="H2292" i="1"/>
  <c r="G2292" i="1"/>
  <c r="H2291" i="1"/>
  <c r="G2291" i="1"/>
  <c r="H2287" i="1"/>
  <c r="G2287" i="1"/>
  <c r="H2286" i="1"/>
  <c r="G2286" i="1"/>
  <c r="H2284" i="1"/>
  <c r="G2284" i="1"/>
  <c r="H2283" i="1"/>
  <c r="G2283" i="1"/>
  <c r="H2282" i="1"/>
  <c r="G2282" i="1"/>
  <c r="H2281" i="1"/>
  <c r="G2281" i="1"/>
  <c r="H2280" i="1"/>
  <c r="G2280" i="1"/>
  <c r="H2279" i="1"/>
  <c r="G2279" i="1"/>
  <c r="H2276" i="1"/>
  <c r="G2276" i="1"/>
  <c r="H2274" i="1"/>
  <c r="G2274" i="1"/>
  <c r="H2273" i="1"/>
  <c r="G2273" i="1"/>
  <c r="H2269" i="1"/>
  <c r="G2269" i="1"/>
  <c r="H2267" i="1"/>
  <c r="G2267" i="1"/>
  <c r="H2266" i="1"/>
  <c r="G2266" i="1"/>
  <c r="H2075" i="1"/>
  <c r="G2075" i="1"/>
  <c r="H1465" i="1"/>
  <c r="H1464" i="1"/>
  <c r="H1462" i="1"/>
  <c r="H1461" i="1"/>
  <c r="H1460" i="1"/>
  <c r="H1459" i="1"/>
  <c r="T33" i="14" s="1"/>
  <c r="AE33" i="14" s="1"/>
  <c r="AE29" i="14" s="1"/>
  <c r="H951" i="1"/>
  <c r="H950" i="1"/>
  <c r="H949" i="1"/>
  <c r="H948" i="1"/>
  <c r="H947" i="1"/>
  <c r="H946" i="1"/>
  <c r="H945" i="1"/>
  <c r="H903" i="1"/>
  <c r="H902" i="1"/>
  <c r="H901" i="1"/>
  <c r="H900" i="1"/>
  <c r="H899" i="1"/>
  <c r="H898" i="1"/>
  <c r="H897" i="1"/>
  <c r="H895" i="1"/>
  <c r="H894" i="1"/>
  <c r="H893" i="1"/>
  <c r="H892" i="1"/>
  <c r="H887" i="1"/>
  <c r="H886" i="1"/>
  <c r="H884" i="1"/>
  <c r="H883" i="1"/>
  <c r="H881" i="1"/>
  <c r="H874" i="1"/>
  <c r="H873" i="1"/>
  <c r="H869" i="1"/>
  <c r="H868" i="1"/>
  <c r="H756" i="1"/>
  <c r="H755" i="1"/>
  <c r="H754" i="1"/>
  <c r="H753" i="1"/>
  <c r="H743" i="1"/>
  <c r="H742" i="1"/>
  <c r="H741" i="1"/>
  <c r="H716" i="1"/>
  <c r="H715" i="1"/>
  <c r="H714" i="1"/>
  <c r="H713" i="1"/>
  <c r="H618" i="1"/>
  <c r="H617" i="1"/>
  <c r="H615" i="1"/>
  <c r="H614" i="1"/>
  <c r="H613" i="1"/>
  <c r="H612" i="1"/>
  <c r="H511" i="1"/>
  <c r="H510" i="1"/>
  <c r="H508" i="1"/>
  <c r="H507" i="1"/>
  <c r="H506" i="1"/>
  <c r="H505" i="1"/>
  <c r="H504" i="1"/>
  <c r="H503" i="1"/>
  <c r="H502" i="1"/>
  <c r="H501" i="1"/>
  <c r="H500" i="1"/>
  <c r="H499" i="1"/>
  <c r="H497" i="1"/>
  <c r="H496" i="1"/>
  <c r="H495" i="1"/>
  <c r="H494" i="1"/>
  <c r="H493" i="1"/>
  <c r="H492" i="1"/>
  <c r="H491" i="1"/>
  <c r="H486" i="1"/>
  <c r="H485" i="1"/>
  <c r="H484" i="1"/>
  <c r="H483" i="1"/>
  <c r="H482" i="1"/>
  <c r="H481" i="1"/>
  <c r="H480" i="1"/>
  <c r="H479" i="1"/>
  <c r="H478" i="1"/>
  <c r="H477" i="1"/>
  <c r="H476" i="1"/>
  <c r="H84" i="1"/>
  <c r="G84" i="1"/>
  <c r="H83" i="1"/>
  <c r="G83" i="1"/>
  <c r="H81" i="1"/>
  <c r="G81" i="1"/>
  <c r="H80" i="1"/>
  <c r="G80" i="1"/>
  <c r="H77" i="1"/>
  <c r="G77" i="1"/>
  <c r="H76" i="1"/>
  <c r="G76" i="1"/>
  <c r="H31" i="1"/>
  <c r="G31" i="1"/>
  <c r="H30" i="1"/>
  <c r="G30" i="1"/>
  <c r="H29" i="1"/>
  <c r="G29" i="1"/>
  <c r="H28" i="1"/>
  <c r="G28" i="1"/>
  <c r="H27" i="1"/>
  <c r="G27" i="1"/>
  <c r="H26" i="1"/>
  <c r="G26" i="1"/>
  <c r="H25" i="1"/>
  <c r="G25" i="1"/>
  <c r="H20" i="1"/>
  <c r="G20" i="1"/>
  <c r="H18" i="1"/>
  <c r="G18" i="1"/>
  <c r="H16" i="1"/>
  <c r="G16" i="1"/>
  <c r="H14" i="1"/>
  <c r="G14" i="1"/>
  <c r="H13" i="1"/>
  <c r="G13" i="1"/>
  <c r="E32" i="14"/>
  <c r="E33" i="14"/>
  <c r="F33" i="14"/>
  <c r="S17" i="14" l="1"/>
  <c r="AD17" i="14" s="1"/>
  <c r="S14" i="14"/>
  <c r="AD14" i="14" s="1"/>
  <c r="T17" i="14"/>
  <c r="AE17" i="14" s="1"/>
  <c r="AE15" i="14" s="1"/>
  <c r="T7" i="14"/>
  <c r="AE7" i="14" s="1"/>
  <c r="AE6" i="14" s="1"/>
  <c r="G85" i="1"/>
  <c r="H85" i="1"/>
  <c r="AE27" i="14"/>
  <c r="AE26" i="14" s="1"/>
  <c r="T13" i="14"/>
  <c r="X28" i="14"/>
  <c r="S21" i="14"/>
  <c r="AD21" i="14" s="1"/>
  <c r="H896" i="1"/>
  <c r="H891" i="1"/>
  <c r="H607" i="1"/>
  <c r="H606" i="1" s="1"/>
  <c r="H932" i="1"/>
  <c r="K31" i="14"/>
  <c r="K33" i="14"/>
  <c r="V31" i="14"/>
  <c r="V33" i="14"/>
  <c r="K16" i="14"/>
  <c r="V16" i="14"/>
  <c r="K32" i="14"/>
  <c r="K7" i="14"/>
  <c r="V32" i="14"/>
  <c r="G2056" i="1"/>
  <c r="K13" i="14"/>
  <c r="V7" i="14"/>
  <c r="H2056" i="1"/>
  <c r="V13" i="14"/>
  <c r="H475" i="1"/>
  <c r="H489" i="1"/>
  <c r="H745" i="1"/>
  <c r="H744" i="1" s="1"/>
  <c r="H700" i="1"/>
  <c r="H699" i="1" s="1"/>
  <c r="H729" i="1"/>
  <c r="H728" i="1" s="1"/>
  <c r="L27" i="14"/>
  <c r="H1088" i="1"/>
  <c r="H1087" i="1" s="1"/>
  <c r="L28" i="14"/>
  <c r="G23" i="14"/>
  <c r="D31" i="14"/>
  <c r="G24" i="1"/>
  <c r="G23" i="1" s="1"/>
  <c r="G22" i="1" s="1"/>
  <c r="H24" i="1"/>
  <c r="H23" i="1" s="1"/>
  <c r="H22" i="1" s="1"/>
  <c r="G9" i="14"/>
  <c r="J30" i="14"/>
  <c r="U30" i="14"/>
  <c r="Q30" i="14"/>
  <c r="D30" i="14"/>
  <c r="F30" i="14"/>
  <c r="G11" i="1"/>
  <c r="H11" i="1"/>
  <c r="F31" i="14"/>
  <c r="R30" i="14"/>
  <c r="O30" i="14"/>
  <c r="E30" i="14"/>
  <c r="P30" i="14"/>
  <c r="AE13" i="14" l="1"/>
  <c r="T14" i="14"/>
  <c r="AE14" i="14" s="1"/>
  <c r="X27" i="14"/>
  <c r="X30" i="14"/>
  <c r="M30" i="14"/>
  <c r="M26" i="14"/>
  <c r="AG33" i="14"/>
  <c r="AG7" i="14"/>
  <c r="AG6" i="14" s="1"/>
  <c r="AG13" i="14"/>
  <c r="AG12" i="14" s="1"/>
  <c r="AD28" i="14"/>
  <c r="AH28" i="14" s="1"/>
  <c r="W28" i="14"/>
  <c r="AD27" i="14"/>
  <c r="AH27" i="14" s="1"/>
  <c r="W27" i="14"/>
  <c r="AG31" i="14"/>
  <c r="AG32" i="14"/>
  <c r="AG16" i="14"/>
  <c r="AG15" i="14" s="1"/>
  <c r="L30" i="14"/>
  <c r="W30" i="14"/>
  <c r="H474" i="1"/>
  <c r="K12" i="14"/>
  <c r="L26" i="14"/>
  <c r="H26" i="14"/>
  <c r="AF30" i="14"/>
  <c r="Z30" i="14"/>
  <c r="AB30" i="14"/>
  <c r="AC30" i="14"/>
  <c r="AA30" i="14"/>
  <c r="AE12" i="14" l="1"/>
  <c r="AE11" i="14" s="1"/>
  <c r="AE4" i="14" s="1"/>
  <c r="X26" i="14"/>
  <c r="W26" i="14"/>
  <c r="AH30" i="14"/>
  <c r="AG29" i="14"/>
  <c r="AG26" i="14" s="1"/>
  <c r="D32" i="14"/>
  <c r="AM21" i="14" l="1"/>
  <c r="AJ21" i="14"/>
  <c r="J33" i="14" l="1"/>
  <c r="J32" i="14"/>
  <c r="H2285" i="1" l="1"/>
  <c r="G2285" i="1"/>
  <c r="H2278" i="1"/>
  <c r="G2278" i="1"/>
  <c r="H2277" i="1"/>
  <c r="G2277" i="1"/>
  <c r="H2275" i="1"/>
  <c r="H2272" i="1"/>
  <c r="G2272" i="1"/>
  <c r="O875" i="1"/>
  <c r="O870" i="1"/>
  <c r="G2347" i="1" l="1"/>
  <c r="H885" i="1"/>
  <c r="H882" i="1"/>
  <c r="O884" i="1"/>
  <c r="H2288" i="1"/>
  <c r="G2324" i="1"/>
  <c r="H2307" i="1"/>
  <c r="G2288" i="1"/>
  <c r="H2347" i="1"/>
  <c r="H2271" i="1"/>
  <c r="G2271" i="1"/>
  <c r="H1412" i="1"/>
  <c r="H1401" i="1" s="1"/>
  <c r="H1352" i="1" s="1"/>
  <c r="G2307" i="1"/>
  <c r="H2324" i="1"/>
  <c r="H889" i="1"/>
  <c r="H888" i="1" s="1"/>
  <c r="H861" i="1" l="1"/>
  <c r="H29" i="14"/>
  <c r="O873" i="1"/>
  <c r="O868" i="1"/>
  <c r="O887" i="1"/>
  <c r="D24" i="4" l="1"/>
  <c r="H605" i="1" l="1"/>
  <c r="H604" i="1" s="1"/>
  <c r="O31" i="14" l="1"/>
  <c r="U33" i="14"/>
  <c r="R33" i="14"/>
  <c r="Q33" i="14"/>
  <c r="P33" i="14"/>
  <c r="R32" i="14"/>
  <c r="P32" i="14"/>
  <c r="U25" i="14"/>
  <c r="Q25" i="14"/>
  <c r="P25" i="14"/>
  <c r="O25" i="14"/>
  <c r="U24" i="14"/>
  <c r="Q24" i="14"/>
  <c r="P24" i="14"/>
  <c r="O24" i="14"/>
  <c r="U23" i="14"/>
  <c r="Q23" i="14"/>
  <c r="P23" i="14"/>
  <c r="O23" i="14"/>
  <c r="R21" i="14"/>
  <c r="Q21" i="14"/>
  <c r="P21" i="14"/>
  <c r="O21" i="14"/>
  <c r="U20" i="14"/>
  <c r="Q20" i="14"/>
  <c r="P20" i="14"/>
  <c r="O20" i="14"/>
  <c r="U19" i="14"/>
  <c r="R19" i="14"/>
  <c r="Q19" i="14"/>
  <c r="P19" i="14"/>
  <c r="O19" i="14"/>
  <c r="U18" i="14"/>
  <c r="R18" i="14"/>
  <c r="P18" i="14"/>
  <c r="O18" i="14"/>
  <c r="U17" i="14"/>
  <c r="R17" i="14"/>
  <c r="P17" i="14"/>
  <c r="O17" i="14"/>
  <c r="U16" i="14"/>
  <c r="R16" i="14"/>
  <c r="P16" i="14"/>
  <c r="O16" i="14"/>
  <c r="R14" i="14"/>
  <c r="Q14" i="14"/>
  <c r="R13" i="14"/>
  <c r="Q13" i="14"/>
  <c r="P13" i="14"/>
  <c r="U10" i="14"/>
  <c r="R10" i="14"/>
  <c r="Q10" i="14"/>
  <c r="O10" i="14"/>
  <c r="U9" i="14"/>
  <c r="Q9" i="14"/>
  <c r="P9" i="14"/>
  <c r="O9" i="14"/>
  <c r="U8" i="14"/>
  <c r="R8" i="14"/>
  <c r="P8" i="14"/>
  <c r="O8" i="14"/>
  <c r="R7" i="14"/>
  <c r="Q7" i="14"/>
  <c r="X19" i="14" l="1"/>
  <c r="W19" i="14"/>
  <c r="V21" i="14"/>
  <c r="V20" i="14"/>
  <c r="R25" i="14"/>
  <c r="W25" i="14" s="1"/>
  <c r="G25" i="14"/>
  <c r="R15" i="14"/>
  <c r="U22" i="14"/>
  <c r="U15" i="14"/>
  <c r="Q22" i="14"/>
  <c r="O15" i="14"/>
  <c r="P15" i="14"/>
  <c r="R12" i="14"/>
  <c r="O22" i="14"/>
  <c r="R31" i="14"/>
  <c r="Q12" i="14"/>
  <c r="P22" i="14"/>
  <c r="X25" i="14" l="1"/>
  <c r="R29" i="14"/>
  <c r="E8" i="14"/>
  <c r="G21" i="14" l="1"/>
  <c r="AC21" i="14" s="1"/>
  <c r="F21" i="14"/>
  <c r="AB21" i="14" s="1"/>
  <c r="E21" i="14"/>
  <c r="D21" i="14"/>
  <c r="J20" i="14"/>
  <c r="AF20" i="14" s="1"/>
  <c r="F20" i="14"/>
  <c r="AB20" i="14" s="1"/>
  <c r="E20" i="14"/>
  <c r="D20" i="14"/>
  <c r="AA20" i="14" l="1"/>
  <c r="AA21" i="14"/>
  <c r="K21" i="14"/>
  <c r="AG21" i="14" s="1"/>
  <c r="K20" i="14"/>
  <c r="AG20" i="14" s="1"/>
  <c r="Z21" i="14"/>
  <c r="Z20" i="14"/>
  <c r="M20" i="14" l="1"/>
  <c r="AG11" i="14"/>
  <c r="AG4" i="14" s="1"/>
  <c r="Q31" i="14"/>
  <c r="O32" i="14" l="1"/>
  <c r="D33" i="14"/>
  <c r="L33" i="14" l="1"/>
  <c r="M33" i="14"/>
  <c r="K29" i="14"/>
  <c r="K26" i="14" s="1"/>
  <c r="I29" i="14"/>
  <c r="D29" i="14"/>
  <c r="D26" i="14" s="1"/>
  <c r="G82" i="1"/>
  <c r="D13" i="14"/>
  <c r="O33" i="14"/>
  <c r="X33" i="14" s="1"/>
  <c r="G79" i="1"/>
  <c r="O29" i="14" l="1"/>
  <c r="W33" i="14"/>
  <c r="G78" i="1"/>
  <c r="O7" i="14"/>
  <c r="O14" i="14"/>
  <c r="H78" i="1"/>
  <c r="G75" i="1"/>
  <c r="H75" i="1"/>
  <c r="G10" i="1" l="1"/>
  <c r="H10" i="1"/>
  <c r="O6" i="14"/>
  <c r="R9" i="14"/>
  <c r="X9" i="14" s="1"/>
  <c r="R24" i="14"/>
  <c r="X24" i="14" s="1"/>
  <c r="R20" i="14"/>
  <c r="X20" i="14" s="1"/>
  <c r="W20" i="14" l="1"/>
  <c r="W24" i="14"/>
  <c r="R6" i="14"/>
  <c r="W9" i="14"/>
  <c r="R23" i="14"/>
  <c r="X23" i="14" s="1"/>
  <c r="AC20" i="14"/>
  <c r="L20" i="14"/>
  <c r="W23" i="14" l="1"/>
  <c r="W22" i="14" s="1"/>
  <c r="X22" i="14"/>
  <c r="AH20" i="14"/>
  <c r="D17" i="4" s="1"/>
  <c r="R22" i="14"/>
  <c r="R11" i="14" s="1"/>
  <c r="G22" i="14"/>
  <c r="Q16" i="14" l="1"/>
  <c r="X16" i="14" s="1"/>
  <c r="Q32" i="14"/>
  <c r="F32" i="14"/>
  <c r="M32" i="14" s="1"/>
  <c r="W16" i="14" l="1"/>
  <c r="L32" i="14"/>
  <c r="Q29" i="14"/>
  <c r="F29" i="14"/>
  <c r="F26" i="14" s="1"/>
  <c r="Q8" i="14"/>
  <c r="X8" i="14" s="1"/>
  <c r="F16" i="14"/>
  <c r="F8" i="14"/>
  <c r="H2265" i="1"/>
  <c r="G2268" i="1"/>
  <c r="H2268" i="1"/>
  <c r="G2265" i="1"/>
  <c r="Q6" i="14" l="1"/>
  <c r="W8" i="14"/>
  <c r="Q18" i="14"/>
  <c r="X18" i="14" s="1"/>
  <c r="F18" i="14"/>
  <c r="W18" i="14" l="1"/>
  <c r="Q17" i="14"/>
  <c r="X17" i="14" s="1"/>
  <c r="F17" i="14"/>
  <c r="W17" i="14" l="1"/>
  <c r="W15" i="14" s="1"/>
  <c r="X15" i="14"/>
  <c r="Q15" i="14"/>
  <c r="Q11" i="14" s="1"/>
  <c r="H6" i="14" l="1"/>
  <c r="P10" i="14" l="1"/>
  <c r="X10" i="14" s="1"/>
  <c r="P7" i="14"/>
  <c r="W10" i="14" l="1"/>
  <c r="P6" i="14"/>
  <c r="P14" i="14"/>
  <c r="E14" i="14"/>
  <c r="E7" i="14"/>
  <c r="P12" i="14" l="1"/>
  <c r="P11" i="14" s="1"/>
  <c r="N36" i="14"/>
  <c r="P36" i="14"/>
  <c r="Q36" i="14"/>
  <c r="O36" i="14"/>
  <c r="E19" i="14" l="1"/>
  <c r="J19" i="14"/>
  <c r="AF19" i="14" s="1"/>
  <c r="G19" i="14"/>
  <c r="AC19" i="14" s="1"/>
  <c r="F19" i="14"/>
  <c r="AB19" i="14" s="1"/>
  <c r="D19" i="14"/>
  <c r="J10" i="14"/>
  <c r="AF10" i="14" s="1"/>
  <c r="G10" i="14"/>
  <c r="AC10" i="14" s="1"/>
  <c r="F10" i="14"/>
  <c r="AB10" i="14" s="1"/>
  <c r="E10" i="14"/>
  <c r="D10" i="14"/>
  <c r="D9" i="14"/>
  <c r="M10" i="14" l="1"/>
  <c r="M19" i="14"/>
  <c r="AA10" i="14"/>
  <c r="AA19" i="14"/>
  <c r="L10" i="14"/>
  <c r="Z10" i="14"/>
  <c r="Z19" i="14"/>
  <c r="L19" i="14"/>
  <c r="AH19" i="14" l="1"/>
  <c r="D16" i="4" s="1"/>
  <c r="AH10" i="14"/>
  <c r="J31" i="14" l="1"/>
  <c r="J29" i="14" s="1"/>
  <c r="J26" i="14" s="1"/>
  <c r="U7" i="14"/>
  <c r="X7" i="14" s="1"/>
  <c r="U14" i="14"/>
  <c r="X14" i="14" s="1"/>
  <c r="W14" i="14" l="1"/>
  <c r="W7" i="14"/>
  <c r="W6" i="14" s="1"/>
  <c r="U6" i="14"/>
  <c r="J21" i="14"/>
  <c r="M21" i="14" s="1"/>
  <c r="J14" i="14"/>
  <c r="X6" i="14" l="1"/>
  <c r="L21" i="14"/>
  <c r="D7" i="14" l="1"/>
  <c r="Z7" i="14" l="1"/>
  <c r="J25" i="14" l="1"/>
  <c r="F25" i="14"/>
  <c r="E25" i="14"/>
  <c r="D25" i="14"/>
  <c r="AC24" i="14"/>
  <c r="J24" i="14"/>
  <c r="F24" i="14"/>
  <c r="E24" i="14"/>
  <c r="D24" i="14"/>
  <c r="J23" i="14"/>
  <c r="F23" i="14"/>
  <c r="E23" i="14"/>
  <c r="D23" i="14"/>
  <c r="J18" i="14"/>
  <c r="G18" i="14"/>
  <c r="E18" i="14"/>
  <c r="D18" i="14"/>
  <c r="J17" i="14"/>
  <c r="G17" i="14"/>
  <c r="E17" i="14"/>
  <c r="D17" i="14"/>
  <c r="J16" i="14"/>
  <c r="G16" i="14"/>
  <c r="E16" i="14"/>
  <c r="D16" i="14"/>
  <c r="G14" i="14"/>
  <c r="F14" i="14"/>
  <c r="G13" i="14"/>
  <c r="F13" i="14"/>
  <c r="E13" i="14"/>
  <c r="J9" i="14"/>
  <c r="AC9" i="14"/>
  <c r="F9" i="14"/>
  <c r="E9" i="14"/>
  <c r="J8" i="14"/>
  <c r="D8" i="14"/>
  <c r="AC7" i="14"/>
  <c r="F7" i="14"/>
  <c r="M7" i="14" s="1"/>
  <c r="M13" i="14" l="1"/>
  <c r="M18" i="14"/>
  <c r="M24" i="14"/>
  <c r="I15" i="14"/>
  <c r="M16" i="14"/>
  <c r="M17" i="14"/>
  <c r="M23" i="14"/>
  <c r="I6" i="14"/>
  <c r="M25" i="14"/>
  <c r="M9" i="14"/>
  <c r="L7" i="14"/>
  <c r="I22" i="14"/>
  <c r="K6" i="14"/>
  <c r="E12" i="14"/>
  <c r="L13" i="14"/>
  <c r="L9" i="14"/>
  <c r="L16" i="14"/>
  <c r="L24" i="14"/>
  <c r="L17" i="14"/>
  <c r="L23" i="14"/>
  <c r="K15" i="14"/>
  <c r="K22" i="14"/>
  <c r="U31" i="14"/>
  <c r="U32" i="14"/>
  <c r="X32" i="14" s="1"/>
  <c r="U21" i="14"/>
  <c r="X21" i="14" s="1"/>
  <c r="U13" i="14"/>
  <c r="E6" i="14"/>
  <c r="F6" i="14"/>
  <c r="AF18" i="14"/>
  <c r="AF9" i="14"/>
  <c r="AC16" i="14"/>
  <c r="Z16" i="14"/>
  <c r="AF24" i="14"/>
  <c r="AF23" i="14"/>
  <c r="AA25" i="14"/>
  <c r="Z8" i="14"/>
  <c r="AA16" i="14"/>
  <c r="Z18" i="14"/>
  <c r="AF25" i="14"/>
  <c r="AF17" i="14"/>
  <c r="AB24" i="14"/>
  <c r="AA17" i="14"/>
  <c r="AF16" i="14"/>
  <c r="AB13" i="14"/>
  <c r="AC32" i="14"/>
  <c r="AA32" i="14"/>
  <c r="AC13" i="14"/>
  <c r="AA24" i="14"/>
  <c r="AB25" i="14"/>
  <c r="AB7" i="14"/>
  <c r="AB8" i="14"/>
  <c r="AC14" i="14"/>
  <c r="H15" i="14"/>
  <c r="Z23" i="14"/>
  <c r="AA23" i="14"/>
  <c r="AA18" i="14"/>
  <c r="AB23" i="14"/>
  <c r="AF8" i="14"/>
  <c r="Z9" i="14"/>
  <c r="AA13" i="14"/>
  <c r="Z17" i="14"/>
  <c r="AC18" i="14"/>
  <c r="Z25" i="14"/>
  <c r="AA9" i="14"/>
  <c r="Z24" i="14"/>
  <c r="AA8" i="14"/>
  <c r="AB9" i="14"/>
  <c r="AB14" i="14"/>
  <c r="AC17" i="14"/>
  <c r="AC25" i="14"/>
  <c r="G15" i="14"/>
  <c r="J15" i="14"/>
  <c r="D15" i="14"/>
  <c r="E15" i="14"/>
  <c r="F12" i="14"/>
  <c r="D22" i="14"/>
  <c r="G12" i="14"/>
  <c r="F22" i="14"/>
  <c r="J22" i="14"/>
  <c r="G2270" i="1"/>
  <c r="J6" i="14"/>
  <c r="G8" i="14"/>
  <c r="M8" i="14" s="1"/>
  <c r="AC23" i="14"/>
  <c r="E22" i="14"/>
  <c r="M15" i="14" l="1"/>
  <c r="M22" i="14"/>
  <c r="W21" i="14"/>
  <c r="G6" i="14"/>
  <c r="AH24" i="14"/>
  <c r="AH25" i="14"/>
  <c r="D22" i="4" s="1"/>
  <c r="AH23" i="14"/>
  <c r="AH9" i="14"/>
  <c r="AO4" i="14" s="1"/>
  <c r="W32" i="14"/>
  <c r="U12" i="14"/>
  <c r="U11" i="14" s="1"/>
  <c r="G11" i="14"/>
  <c r="K11" i="14"/>
  <c r="L8" i="14"/>
  <c r="M6" i="14" s="1"/>
  <c r="AF31" i="14"/>
  <c r="U29" i="14"/>
  <c r="AC22" i="14"/>
  <c r="AF21" i="14"/>
  <c r="AH21" i="14" s="1"/>
  <c r="F15" i="14"/>
  <c r="F11" i="14" s="1"/>
  <c r="H1544" i="1"/>
  <c r="H473" i="1" s="1"/>
  <c r="AA15" i="14"/>
  <c r="Z15" i="14"/>
  <c r="AF14" i="14"/>
  <c r="AF15" i="14"/>
  <c r="AB12" i="14"/>
  <c r="AC12" i="14"/>
  <c r="AC8" i="14"/>
  <c r="AH8" i="14" s="1"/>
  <c r="AB17" i="14"/>
  <c r="AH17" i="14" s="1"/>
  <c r="AB18" i="14"/>
  <c r="AH18" i="14" s="1"/>
  <c r="AB16" i="14"/>
  <c r="AH16" i="14" s="1"/>
  <c r="AF13" i="14"/>
  <c r="AC15" i="14"/>
  <c r="AF7" i="14"/>
  <c r="AB31" i="14"/>
  <c r="AC31" i="14"/>
  <c r="AF32" i="14"/>
  <c r="AB32" i="14"/>
  <c r="H2264" i="1"/>
  <c r="L25" i="14"/>
  <c r="G2264" i="1"/>
  <c r="G2252" i="1" s="1"/>
  <c r="G2055" i="1" s="1"/>
  <c r="G2054" i="1" s="1"/>
  <c r="D14" i="14"/>
  <c r="H2270" i="1"/>
  <c r="J12" i="14"/>
  <c r="AA7" i="14"/>
  <c r="L18" i="14"/>
  <c r="G4" i="14" l="1"/>
  <c r="AH7" i="14"/>
  <c r="AK4" i="14" s="1"/>
  <c r="I12" i="14"/>
  <c r="I11" i="14" s="1"/>
  <c r="I4" i="14" s="1"/>
  <c r="M14" i="14"/>
  <c r="K4" i="14"/>
  <c r="L14" i="14"/>
  <c r="J11" i="14"/>
  <c r="J4" i="14" s="1"/>
  <c r="H2252" i="1"/>
  <c r="H2228" i="1" s="1"/>
  <c r="H2055" i="1" s="1"/>
  <c r="H2054" i="1" s="1"/>
  <c r="AP4" i="14"/>
  <c r="AN4" i="14"/>
  <c r="D6" i="14"/>
  <c r="D20" i="4"/>
  <c r="D21" i="4"/>
  <c r="F4" i="14"/>
  <c r="AB6" i="14"/>
  <c r="AD6" i="14"/>
  <c r="AF12" i="14"/>
  <c r="AF22" i="14"/>
  <c r="AA6" i="14"/>
  <c r="AF6" i="14"/>
  <c r="Z31" i="14"/>
  <c r="AA14" i="14"/>
  <c r="Z14" i="14"/>
  <c r="AB15" i="14"/>
  <c r="M11" i="14" l="1"/>
  <c r="M12" i="14"/>
  <c r="AH14" i="14"/>
  <c r="AM4" i="14"/>
  <c r="L6" i="14"/>
  <c r="D18" i="4"/>
  <c r="D13" i="4"/>
  <c r="D19" i="4"/>
  <c r="D15" i="4"/>
  <c r="AA22" i="14"/>
  <c r="AB22" i="14"/>
  <c r="AA12" i="14"/>
  <c r="AC6" i="14"/>
  <c r="Z22" i="14"/>
  <c r="Z6" i="14"/>
  <c r="L22" i="14"/>
  <c r="D6" i="4" l="1"/>
  <c r="AH6" i="14"/>
  <c r="AH22" i="14"/>
  <c r="D5" i="4" l="1"/>
  <c r="Z32" i="14" l="1"/>
  <c r="AH32" i="14" s="1"/>
  <c r="D26" i="4" l="1"/>
  <c r="H12" i="14" l="1"/>
  <c r="H11" i="14" s="1"/>
  <c r="H4" i="14" l="1"/>
  <c r="L15" i="14"/>
  <c r="L11" i="14" s="1"/>
  <c r="O13" i="14" l="1"/>
  <c r="X13" i="14" s="1"/>
  <c r="O12" i="14" l="1"/>
  <c r="O11" i="14" s="1"/>
  <c r="W13" i="14"/>
  <c r="Z13" i="14"/>
  <c r="AH13" i="14" s="1"/>
  <c r="D12" i="14"/>
  <c r="D11" i="14" s="1"/>
  <c r="X11" i="14" l="1"/>
  <c r="X12" i="14"/>
  <c r="W12" i="14"/>
  <c r="W11" i="14"/>
  <c r="D4" i="14"/>
  <c r="Z12" i="14"/>
  <c r="L12" i="14"/>
  <c r="AD15" i="14" l="1"/>
  <c r="D11" i="4" l="1"/>
  <c r="D14" i="4"/>
  <c r="D12" i="4" s="1"/>
  <c r="AH15" i="14"/>
  <c r="P31" i="14" l="1"/>
  <c r="X31" i="14" s="1"/>
  <c r="W31" i="14" l="1"/>
  <c r="W29" i="14" s="1"/>
  <c r="W4" i="14" s="1"/>
  <c r="Y34" i="14" s="1"/>
  <c r="X29" i="14"/>
  <c r="X4" i="14" s="1"/>
  <c r="E31" i="14"/>
  <c r="M31" i="14" s="1"/>
  <c r="L31" i="14" l="1"/>
  <c r="L29" i="14" s="1"/>
  <c r="M29" i="14"/>
  <c r="M4" i="14" s="1"/>
  <c r="E29" i="14"/>
  <c r="E26" i="14" s="1"/>
  <c r="E11" i="14" s="1"/>
  <c r="AA31" i="14"/>
  <c r="AH31" i="14" s="1"/>
  <c r="L4" i="14" l="1"/>
  <c r="E4" i="14"/>
  <c r="M5" i="14" l="1"/>
  <c r="D25" i="4"/>
  <c r="N34" i="14" l="1"/>
  <c r="K5" i="14"/>
  <c r="I5" i="14"/>
  <c r="L5" i="14"/>
  <c r="G5" i="14"/>
  <c r="J5" i="14"/>
  <c r="F5" i="14"/>
  <c r="H5" i="14"/>
  <c r="D5" i="14"/>
  <c r="E5" i="14"/>
  <c r="N28" i="14"/>
  <c r="N27" i="14"/>
  <c r="N26" i="14"/>
  <c r="N8" i="14"/>
  <c r="N6" i="14"/>
  <c r="N17" i="14"/>
  <c r="N9" i="14"/>
  <c r="N29" i="14"/>
  <c r="N19" i="14"/>
  <c r="N16" i="14"/>
  <c r="N31" i="14"/>
  <c r="N23" i="14"/>
  <c r="N7" i="14"/>
  <c r="N21" i="14"/>
  <c r="N24" i="14"/>
  <c r="N11" i="14"/>
  <c r="N22" i="14"/>
  <c r="N10" i="14"/>
  <c r="N12" i="14"/>
  <c r="N14" i="14"/>
  <c r="N20" i="14"/>
  <c r="N33" i="14"/>
  <c r="N13" i="14"/>
  <c r="N25" i="14"/>
  <c r="N32" i="14"/>
  <c r="N15" i="14"/>
  <c r="N18" i="14"/>
  <c r="N30" i="14"/>
  <c r="U26" i="14"/>
  <c r="AF33" i="14"/>
  <c r="Q26" i="14"/>
  <c r="AB33" i="14"/>
  <c r="P29" i="14"/>
  <c r="P26" i="14" s="1"/>
  <c r="AA33" i="14"/>
  <c r="R26" i="14"/>
  <c r="AC33" i="14"/>
  <c r="Z33" i="14"/>
  <c r="O26" i="14"/>
  <c r="AH33" i="14" l="1"/>
  <c r="AL4" i="14" s="1"/>
  <c r="V29" i="14"/>
  <c r="V26" i="14" s="1"/>
  <c r="V22" i="14"/>
  <c r="V12" i="14"/>
  <c r="V6" i="14"/>
  <c r="V15" i="14"/>
  <c r="R4" i="14"/>
  <c r="Q4" i="14"/>
  <c r="P4" i="14"/>
  <c r="U4" i="14"/>
  <c r="O4" i="14"/>
  <c r="Z29" i="14"/>
  <c r="Z26" i="14" s="1"/>
  <c r="AC29" i="14"/>
  <c r="AC26" i="14" s="1"/>
  <c r="AB29" i="14"/>
  <c r="AB26" i="14" s="1"/>
  <c r="AF29" i="14"/>
  <c r="AF26" i="14" s="1"/>
  <c r="AA29" i="14"/>
  <c r="AA26" i="14" s="1"/>
  <c r="AD29" i="14"/>
  <c r="AD26" i="14" s="1"/>
  <c r="T12" i="14" l="1"/>
  <c r="S26" i="14"/>
  <c r="T29" i="14"/>
  <c r="S22" i="14"/>
  <c r="T26" i="14"/>
  <c r="S29" i="14"/>
  <c r="T22" i="14"/>
  <c r="S15" i="14"/>
  <c r="T15" i="14"/>
  <c r="S6" i="14"/>
  <c r="T6" i="14"/>
  <c r="S12" i="14"/>
  <c r="V11" i="14"/>
  <c r="V4" i="14" s="1"/>
  <c r="AF11" i="14"/>
  <c r="AF4" i="14" s="1"/>
  <c r="AC11" i="14"/>
  <c r="AC4" i="14" s="1"/>
  <c r="AA11" i="14"/>
  <c r="AA4" i="14" s="1"/>
  <c r="AB11" i="14"/>
  <c r="AB4" i="14" s="1"/>
  <c r="Z11" i="14"/>
  <c r="Z4" i="14" s="1"/>
  <c r="AH29" i="14"/>
  <c r="AH26" i="14" s="1"/>
  <c r="D27" i="4"/>
  <c r="D23" i="4" s="1"/>
  <c r="S11" i="14" l="1"/>
  <c r="S4" i="14" s="1"/>
  <c r="T11" i="14"/>
  <c r="T4" i="14" s="1"/>
  <c r="AD12" i="14" l="1"/>
  <c r="AD11" i="14" l="1"/>
  <c r="AH12" i="14"/>
  <c r="AJ4" i="14" s="1"/>
  <c r="D10" i="4"/>
  <c r="D9" i="4" s="1"/>
  <c r="Y11" i="14" l="1"/>
  <c r="AH11" i="14"/>
  <c r="AD4" i="14"/>
  <c r="Y26" i="14" l="1"/>
  <c r="Y22" i="14"/>
  <c r="Y31" i="14"/>
  <c r="Y30" i="14"/>
  <c r="Y12" i="14"/>
  <c r="Y15" i="14"/>
  <c r="Y32" i="14"/>
  <c r="Y33" i="14"/>
  <c r="Y6" i="14"/>
  <c r="Y29" i="14"/>
  <c r="D8" i="4"/>
  <c r="AH4" i="14"/>
  <c r="AI34" i="14" s="1"/>
  <c r="AE5" i="14" l="1"/>
  <c r="AG5" i="14"/>
  <c r="AI28" i="14"/>
  <c r="AI27" i="14"/>
  <c r="AI26" i="14"/>
  <c r="AI14" i="14"/>
  <c r="AI24" i="14"/>
  <c r="AI30" i="14"/>
  <c r="AI17" i="14"/>
  <c r="D4" i="4"/>
  <c r="E22" i="4" s="1"/>
  <c r="AI11" i="14"/>
  <c r="AI21" i="14"/>
  <c r="AI4" i="14"/>
  <c r="AI15" i="14"/>
  <c r="AI6" i="14"/>
  <c r="AI19" i="14"/>
  <c r="AH5" i="14"/>
  <c r="AC5" i="14"/>
  <c r="Z5" i="14"/>
  <c r="AI20" i="14"/>
  <c r="AI29" i="14"/>
  <c r="AB5" i="14"/>
  <c r="AI8" i="14"/>
  <c r="AF5" i="14"/>
  <c r="AA5" i="14"/>
  <c r="AI16" i="14"/>
  <c r="AI32" i="14"/>
  <c r="AI23" i="14"/>
  <c r="AI33" i="14"/>
  <c r="AI7" i="14"/>
  <c r="AI18" i="14"/>
  <c r="AI31" i="14"/>
  <c r="AI25" i="14"/>
  <c r="AI10" i="14"/>
  <c r="AI22" i="14"/>
  <c r="AI9" i="14"/>
  <c r="AI13" i="14"/>
  <c r="AI12" i="14"/>
  <c r="AD5" i="14"/>
  <c r="E15" i="4" l="1"/>
  <c r="E13" i="4"/>
  <c r="E5" i="4"/>
  <c r="E11" i="4"/>
  <c r="E14" i="4"/>
  <c r="E23" i="4"/>
  <c r="E7" i="4"/>
  <c r="E12" i="4"/>
  <c r="E17" i="4"/>
  <c r="E6" i="4"/>
  <c r="E16" i="4"/>
  <c r="E10" i="4"/>
  <c r="E9" i="4"/>
  <c r="E8" i="4"/>
  <c r="G473" i="1" l="1"/>
  <c r="G296" i="1" l="1"/>
  <c r="G248" i="1" s="1"/>
  <c r="G9" i="1" s="1"/>
  <c r="G8" i="1" s="1"/>
  <c r="G7" i="1" s="1"/>
  <c r="H296" i="1"/>
  <c r="H248" i="1" s="1"/>
  <c r="H9" i="1" s="1"/>
  <c r="H8" i="1" s="1"/>
  <c r="H7" i="1" s="1"/>
</calcChain>
</file>

<file path=xl/comments1.xml><?xml version="1.0" encoding="utf-8"?>
<comments xmlns="http://schemas.openxmlformats.org/spreadsheetml/2006/main">
  <authors>
    <author>viettq9-lap</author>
    <author>halv8</author>
    <author>LAP-TOANND13</author>
  </authors>
  <commentList>
    <comment ref="B97" authorId="0" shapeId="0">
      <text>
        <r>
          <rPr>
            <b/>
            <sz val="9"/>
            <color indexed="81"/>
            <rFont val="Tahoma"/>
            <family val="2"/>
          </rPr>
          <t>viettq9-lap:</t>
        </r>
        <r>
          <rPr>
            <sz val="9"/>
            <color indexed="81"/>
            <rFont val="Tahoma"/>
            <family val="2"/>
          </rPr>
          <t xml:space="preserve">
Bao gồm cả MSC+MGW với Erl của MGW theo profile 40mErl/sub att</t>
        </r>
      </text>
    </comment>
    <comment ref="B154" authorId="0" shapeId="0">
      <text>
        <r>
          <rPr>
            <b/>
            <sz val="9"/>
            <color indexed="81"/>
            <rFont val="Tahoma"/>
            <family val="2"/>
          </rPr>
          <t>viettq9-lap:</t>
        </r>
        <r>
          <rPr>
            <sz val="9"/>
            <color indexed="81"/>
            <rFont val="Tahoma"/>
            <family val="2"/>
          </rPr>
          <t xml:space="preserve">
Remote</t>
        </r>
      </text>
    </comment>
    <comment ref="B174" authorId="0" shapeId="0">
      <text>
        <r>
          <rPr>
            <b/>
            <sz val="9"/>
            <color indexed="81"/>
            <rFont val="Tahoma"/>
            <family val="2"/>
          </rPr>
          <t>viettq9-lap:</t>
        </r>
        <r>
          <rPr>
            <sz val="9"/>
            <color indexed="81"/>
            <rFont val="Tahoma"/>
            <family val="2"/>
          </rPr>
          <t xml:space="preserve">
Remote</t>
        </r>
      </text>
    </comment>
    <comment ref="B241" authorId="0" shapeId="0">
      <text>
        <r>
          <rPr>
            <b/>
            <sz val="9"/>
            <color indexed="81"/>
            <rFont val="Tahoma"/>
            <family val="2"/>
          </rPr>
          <t>viettq9-lap:</t>
        </r>
        <r>
          <rPr>
            <sz val="9"/>
            <color indexed="81"/>
            <rFont val="Tahoma"/>
            <family val="2"/>
          </rPr>
          <t xml:space="preserve">
Remote</t>
        </r>
      </text>
    </comment>
    <comment ref="B1538" authorId="1" shapeId="0">
      <text>
        <r>
          <rPr>
            <b/>
            <sz val="9"/>
            <color indexed="81"/>
            <rFont val="Tahoma"/>
            <family val="2"/>
          </rPr>
          <t>halv8:</t>
        </r>
        <r>
          <rPr>
            <sz val="9"/>
            <color indexed="81"/>
            <rFont val="Tahoma"/>
            <family val="2"/>
          </rPr>
          <t xml:space="preserve">
Ống nhựa B cấp
</t>
        </r>
      </text>
    </comment>
    <comment ref="F1682" authorId="2" shapeId="0">
      <text>
        <r>
          <rPr>
            <b/>
            <sz val="9"/>
            <color indexed="81"/>
            <rFont val="Tahoma"/>
            <family val="2"/>
          </rPr>
          <t>LAP-TOANND13:</t>
        </r>
        <r>
          <rPr>
            <sz val="9"/>
            <color indexed="81"/>
            <rFont val="Tahoma"/>
            <family val="2"/>
          </rPr>
          <t xml:space="preserve">
Giá anh Toanlqb</t>
        </r>
      </text>
    </comment>
    <comment ref="F1717" authorId="2" shapeId="0">
      <text>
        <r>
          <rPr>
            <b/>
            <sz val="9"/>
            <color indexed="81"/>
            <rFont val="Tahoma"/>
            <family val="2"/>
          </rPr>
          <t>LAP-TOANND13:</t>
        </r>
        <r>
          <rPr>
            <sz val="9"/>
            <color indexed="81"/>
            <rFont val="Tahoma"/>
            <family val="2"/>
          </rPr>
          <t xml:space="preserve">
Giá a Toanlqb</t>
        </r>
      </text>
    </comment>
  </commentList>
</comments>
</file>

<file path=xl/sharedStrings.xml><?xml version="1.0" encoding="utf-8"?>
<sst xmlns="http://schemas.openxmlformats.org/spreadsheetml/2006/main" count="15487" uniqueCount="1683">
  <si>
    <t>TT</t>
  </si>
  <si>
    <t>Nội dung/ hạng mục đầu tư, mua sắm</t>
  </si>
  <si>
    <t>Đơn vị tính</t>
  </si>
  <si>
    <t>USD</t>
  </si>
  <si>
    <t>I</t>
  </si>
  <si>
    <t>CƠ ĐIỆN</t>
  </si>
  <si>
    <t>CĐ</t>
  </si>
  <si>
    <t>VT</t>
  </si>
  <si>
    <t>-</t>
  </si>
  <si>
    <t>Gói</t>
  </si>
  <si>
    <t>HT</t>
  </si>
  <si>
    <t>M</t>
  </si>
  <si>
    <t>II</t>
  </si>
  <si>
    <t>A</t>
  </si>
  <si>
    <t>VÔ TUYẾN</t>
  </si>
  <si>
    <t>Cái</t>
  </si>
  <si>
    <t>Vùng phủ</t>
  </si>
  <si>
    <t>MẠNG LÕI</t>
  </si>
  <si>
    <t>ML</t>
  </si>
  <si>
    <t>III</t>
  </si>
  <si>
    <t>TRUYỀN DẪN</t>
  </si>
  <si>
    <t>TD</t>
  </si>
  <si>
    <t>Dung lượng</t>
  </si>
  <si>
    <t>Card</t>
  </si>
  <si>
    <t>Bộ</t>
  </si>
  <si>
    <t>Km</t>
  </si>
  <si>
    <t>IV</t>
  </si>
  <si>
    <t>Tổ</t>
  </si>
  <si>
    <t>Trạm BTS</t>
  </si>
  <si>
    <t>CĐBR</t>
  </si>
  <si>
    <t>km</t>
  </si>
  <si>
    <t>Tủ</t>
  </si>
  <si>
    <t>IP</t>
  </si>
  <si>
    <t>License</t>
  </si>
  <si>
    <t>Chiếc</t>
  </si>
  <si>
    <t>Hạ tầng mạng</t>
  </si>
  <si>
    <t>cái</t>
  </si>
  <si>
    <t>V</t>
  </si>
  <si>
    <t>CNTT</t>
  </si>
  <si>
    <t>Củng cố, kiên cố, bền vững</t>
  </si>
  <si>
    <t>B</t>
  </si>
  <si>
    <t>I.1</t>
  </si>
  <si>
    <t>Mbps</t>
  </si>
  <si>
    <t>I.2</t>
  </si>
  <si>
    <t>Sub</t>
  </si>
  <si>
    <t>C</t>
  </si>
  <si>
    <t>Cáp treo</t>
  </si>
  <si>
    <t>PHỤ KIỆN</t>
  </si>
  <si>
    <t>Cột</t>
  </si>
  <si>
    <t>Cột 8m</t>
  </si>
  <si>
    <t>Cột 10m</t>
  </si>
  <si>
    <t>Cáp ngầm</t>
  </si>
  <si>
    <t>D</t>
  </si>
  <si>
    <t>Tổng trạm Khu vực</t>
  </si>
  <si>
    <t>Trạm BTS -TT tỉnh</t>
  </si>
  <si>
    <t>Storage</t>
  </si>
  <si>
    <t>F</t>
  </si>
  <si>
    <t xml:space="preserve">TRIỂN KHAI HẠ TẦNG </t>
  </si>
  <si>
    <t>TK</t>
  </si>
  <si>
    <t>Chi phí triển khai truyền dẫn</t>
  </si>
  <si>
    <t>Thi công cống bể</t>
  </si>
  <si>
    <t>Thi công cáp ngầm</t>
  </si>
  <si>
    <t>Cáp quang Cống bể</t>
  </si>
  <si>
    <t>Cáp quang CTT</t>
  </si>
  <si>
    <t>Thi công cáp treo</t>
  </si>
  <si>
    <t>Thi công trồng cột</t>
  </si>
  <si>
    <t>Chi phí triển khai Cơ điện</t>
  </si>
  <si>
    <t>Chi phí triển khai cơ điện BTS</t>
  </si>
  <si>
    <t>Chi phí triển khai CĐBR</t>
  </si>
  <si>
    <t>Truyền dẫn</t>
  </si>
  <si>
    <t>Mạng 4G</t>
  </si>
  <si>
    <t>Nội dung</t>
  </si>
  <si>
    <t>TỔNG ĐẦU TƯ</t>
  </si>
  <si>
    <t>Lĩnh vực</t>
  </si>
  <si>
    <t>Khối lượng các hạng mục đầu tư chính</t>
  </si>
  <si>
    <t>Tỷ trọng</t>
  </si>
  <si>
    <t>Tổng</t>
  </si>
  <si>
    <t>Tỷ trọng (%)</t>
  </si>
  <si>
    <t>Mã mảng</t>
  </si>
  <si>
    <t>Mã DV</t>
  </si>
  <si>
    <t>Mã loại</t>
  </si>
  <si>
    <t>Mảng</t>
  </si>
  <si>
    <t>5G</t>
  </si>
  <si>
    <t>STT</t>
  </si>
  <si>
    <t>*</t>
  </si>
  <si>
    <t>Anten đa băng</t>
  </si>
  <si>
    <t>Card baseband</t>
  </si>
  <si>
    <t>VII</t>
  </si>
  <si>
    <t>ATTT</t>
  </si>
  <si>
    <t>Phụ kiện treo</t>
  </si>
  <si>
    <t>Phụ kiện ngầm</t>
  </si>
  <si>
    <t>Ống F110x5</t>
  </si>
  <si>
    <t>Ống F110x7</t>
  </si>
  <si>
    <t>Core tỉnh Juniper</t>
  </si>
  <si>
    <t>cổng</t>
  </si>
  <si>
    <t>BRAS</t>
  </si>
  <si>
    <t>Kiên cố, củng cố</t>
  </si>
  <si>
    <t>P1</t>
  </si>
  <si>
    <t>P2</t>
  </si>
  <si>
    <t>VTTB</t>
  </si>
  <si>
    <t>Mạng 5G</t>
  </si>
  <si>
    <t>Datacenter</t>
  </si>
  <si>
    <t xml:space="preserve">   Vùng phủ GPON</t>
  </si>
  <si>
    <t xml:space="preserve">   ERP</t>
  </si>
  <si>
    <t>Phục vụ kinh doanh Cloud</t>
  </si>
  <si>
    <t>Data Center</t>
  </si>
  <si>
    <t>Vùng phủ GPON</t>
  </si>
  <si>
    <t>Đơn giá dự kiến</t>
  </si>
  <si>
    <t>Cloud_KD</t>
  </si>
  <si>
    <t>DC</t>
  </si>
  <si>
    <t>TH</t>
  </si>
  <si>
    <t>Không xóa</t>
  </si>
  <si>
    <t>VPDĐ</t>
  </si>
  <si>
    <t>DLDĐ</t>
  </si>
  <si>
    <t>VPGPON</t>
  </si>
  <si>
    <t>DLGPON</t>
  </si>
  <si>
    <t>KHÔNG XÓA</t>
  </si>
  <si>
    <t>CCKC</t>
  </si>
  <si>
    <t>Đảm bảo VHKT và chất lượng mạng</t>
  </si>
  <si>
    <t>3.1</t>
  </si>
  <si>
    <t>3.2</t>
  </si>
  <si>
    <t>Dung lượng Internet</t>
  </si>
  <si>
    <t>Dung lượng Truyền hình</t>
  </si>
  <si>
    <t>Cáp quang treo hình số 8-12 sợi</t>
  </si>
  <si>
    <t>I.3</t>
  </si>
  <si>
    <t>Thiết bị chuyển mạch quản trị</t>
  </si>
  <si>
    <t>Thiết bị chuyển mạch gom quản trị</t>
  </si>
  <si>
    <t>Cloud</t>
  </si>
  <si>
    <t>VHKT</t>
  </si>
  <si>
    <t>Triển khai cáp cho 5G</t>
  </si>
  <si>
    <t>Xây dựng cống bế 2 ống</t>
  </si>
  <si>
    <t>Cáp quang treo hình số 8-12Fo</t>
  </si>
  <si>
    <t>+</t>
  </si>
  <si>
    <t>Bình</t>
  </si>
  <si>
    <t>DLMETRO</t>
  </si>
  <si>
    <t>DLIPBN</t>
  </si>
  <si>
    <t>DC_X</t>
  </si>
  <si>
    <t>Thay thế thiết bị cũ hết niên hạn</t>
  </si>
  <si>
    <t>Ko xóa</t>
  </si>
  <si>
    <t>IoT</t>
  </si>
  <si>
    <t xml:space="preserve">   Dung lượng Internet</t>
  </si>
  <si>
    <t xml:space="preserve">   Dung lượng Truyền hình</t>
  </si>
  <si>
    <t xml:space="preserve">   VAS</t>
  </si>
  <si>
    <t xml:space="preserve">   Fintech</t>
  </si>
  <si>
    <t>Thiết bị lưu trữ SAN loại 1</t>
  </si>
  <si>
    <t>Ngoài trời</t>
  </si>
  <si>
    <t>Dự án (tòa nhà, KCN)</t>
  </si>
  <si>
    <t>Mạng cáp</t>
  </si>
  <si>
    <t>Module</t>
  </si>
  <si>
    <t>VIBA</t>
  </si>
  <si>
    <t>Giải pháp nâng cấp dung lượng cho các tuyến vi ba</t>
  </si>
  <si>
    <t>Dịch vụ cho gói giải pháp nâng cấp dung lượng cho các tuyến vi ba</t>
  </si>
  <si>
    <t>Cáp quang treo hình số 8-12FO</t>
  </si>
  <si>
    <t>Cảnh báo khói</t>
  </si>
  <si>
    <t>Cảnh báo mở cửa</t>
  </si>
  <si>
    <t>Tỷ trọng theo mảng</t>
  </si>
  <si>
    <t>Kênh truyền</t>
  </si>
  <si>
    <t xml:space="preserve">   Kênh truyền</t>
  </si>
  <si>
    <t>Cáp quang luồn cống 24 sợi (Sợi thường)</t>
  </si>
  <si>
    <t>Cáp quang chôn 24 sợi (Sợi thường)</t>
  </si>
  <si>
    <t>Cáp quang treo 24 sợi (Cáp hình số 8)</t>
  </si>
  <si>
    <t>Cáp quang treo ADSS 24 sợi - KV100m</t>
  </si>
  <si>
    <t>Cáp quang treo ADSS 24 sợi - KV200m</t>
  </si>
  <si>
    <t>Cáp quang treo ADSS 24 sợi - KV500m</t>
  </si>
  <si>
    <t>Cáp quang treo ADSS 24 sợi - KV100 (chống gặm nhấm)</t>
  </si>
  <si>
    <t>Cáp quang treo 24 sợi (cáp hình số 8-chống gặm nhấm)</t>
  </si>
  <si>
    <t>Dịch vụ hỗ trợ kỹ thuật triển khai thiết bị</t>
  </si>
  <si>
    <t>VSAT</t>
  </si>
  <si>
    <t>Giải pháp nâng cấp dung lượng cho các tuyến visat</t>
  </si>
  <si>
    <t>Dịch vụ cho gói giải pháp nâng cấp dung lượng cho các tuyến vsat</t>
  </si>
  <si>
    <t>Tổng trạm mới</t>
  </si>
  <si>
    <t>Cáp quang cống bể 96 sợi</t>
  </si>
  <si>
    <t>Cáp quang treo ADSS 96 sợi - KV100 (G652D)</t>
  </si>
  <si>
    <t>DV5G</t>
  </si>
  <si>
    <t>KT</t>
  </si>
  <si>
    <t>Máy chủ GPU loại 1</t>
  </si>
  <si>
    <t>Thiết bị chuyển mạch SAN loại 1</t>
  </si>
  <si>
    <t>Thiết bị chuyển mạch Access Leaf loại 1</t>
  </si>
  <si>
    <t>Thiết bị chuyển mạch Access Leaf loại 2</t>
  </si>
  <si>
    <t>NMS cho thiết bị mạng</t>
  </si>
  <si>
    <t>Thiết bị BGW</t>
  </si>
  <si>
    <t>BigData</t>
  </si>
  <si>
    <t>Thiết bị 4G</t>
  </si>
  <si>
    <t>Hệ thống</t>
  </si>
  <si>
    <t>Thành tiền dự kiến (VNĐ)</t>
  </si>
  <si>
    <t>Dự kiến đơn vị đầu tư, mua sắm</t>
  </si>
  <si>
    <t>Bền vững mạng lưới trong thiên tai</t>
  </si>
  <si>
    <t>PCTT</t>
  </si>
  <si>
    <t>Tỷ trọng theo dịch vụ</t>
  </si>
  <si>
    <t xml:space="preserve">Đảm bảo VHKT </t>
  </si>
  <si>
    <t>4G vùng phủ</t>
  </si>
  <si>
    <t>4G dung lượng</t>
  </si>
  <si>
    <t>4G</t>
  </si>
  <si>
    <t>Mạng BRCĐ&amp;TH</t>
  </si>
  <si>
    <t>Kiên cố thường trình</t>
  </si>
  <si>
    <t>Private Mobile Network</t>
  </si>
  <si>
    <t>Triển khai hạ tầng CNTT</t>
  </si>
  <si>
    <t>bộ</t>
  </si>
  <si>
    <t>Thiết bị lưu trữ SAN loại 2</t>
  </si>
  <si>
    <t>Tách cáp chung lộ, ngầm hóa</t>
  </si>
  <si>
    <t>Công nghệ mới triển khai diện rộng cho kinh doanh</t>
  </si>
  <si>
    <t>XGSPON</t>
  </si>
  <si>
    <t>AI/GPU</t>
  </si>
  <si>
    <t>PMN</t>
  </si>
  <si>
    <t>Mở rộng mạng lưới hiện tại cho kinh doanh</t>
  </si>
  <si>
    <t xml:space="preserve">Công nghệ mới triển khai diện rộng cho kinh doanh </t>
  </si>
  <si>
    <t>Trực tiếp kinh doanh</t>
  </si>
  <si>
    <t>Hỗ trợ kinh doanh và quản trị</t>
  </si>
  <si>
    <t>Đảm bảo VHKT, kiên cố, bền vững trong thiên tai</t>
  </si>
  <si>
    <t>TTKD</t>
  </si>
  <si>
    <t>HTKD</t>
  </si>
  <si>
    <t>KCTT</t>
  </si>
  <si>
    <t>Đầu tư 5GC Mini cho khách hàng PMN</t>
  </si>
  <si>
    <t>Session</t>
  </si>
  <si>
    <t>Node</t>
  </si>
  <si>
    <t>Máy chủ GPU loại 2</t>
  </si>
  <si>
    <t>Giải pháp lưu trữ Object loại 1</t>
  </si>
  <si>
    <t>Thiết bị tường lửa nội bộ loại 1</t>
  </si>
  <si>
    <t>Thiết bị cân bằng tải nội bộ loại 1</t>
  </si>
  <si>
    <t>Thiết bị chuyển mạch Access Leaf loại 3</t>
  </si>
  <si>
    <t>Đầu tư giải pháp WAF và giải pháp DDoS</t>
  </si>
  <si>
    <t xml:space="preserve">Cáp quang Cống bể 24Fo </t>
  </si>
  <si>
    <t>Cáp quang ngầm chôn trực tiếp 24Fo</t>
  </si>
  <si>
    <t>Cáp quang treo hình số 8-24 sợi</t>
  </si>
  <si>
    <t>Cáp quang treo ADSS24 KV100</t>
  </si>
  <si>
    <t>Cáp quang treo ADSS24 KV200</t>
  </si>
  <si>
    <t>Cáp quang treo ADSS24 KV500</t>
  </si>
  <si>
    <t>Cáp gặm nhấm loại ADSS24</t>
  </si>
  <si>
    <t>Cáp bọc kim loại F8-24Fo</t>
  </si>
  <si>
    <t>Bộ treo cáp ADSS khoảng vượt 100 m</t>
  </si>
  <si>
    <t>Bộ treo cáp ADSS khoảng vượt 200 m</t>
  </si>
  <si>
    <t>Bộ néo 2 hướng cáp ADSS khoảng vượt 100 m</t>
  </si>
  <si>
    <t>Bộ néo 2 hướng cáp ADSS khoảng vượt 200 m</t>
  </si>
  <si>
    <t>Bộ néo 2 hướng cáp ADSS khoảng vượt 500 m</t>
  </si>
  <si>
    <t xml:space="preserve">Kẹp 2 rãnh 3 lỗ </t>
  </si>
  <si>
    <t>ODF 24Fo Indoor</t>
  </si>
  <si>
    <t>ODF 24Fo Outdoor</t>
  </si>
  <si>
    <t>Tấm ốp D12</t>
  </si>
  <si>
    <t>Tấm ốp D14</t>
  </si>
  <si>
    <t>Đế chữ U</t>
  </si>
  <si>
    <t>Chống rung</t>
  </si>
  <si>
    <t>Dây đai</t>
  </si>
  <si>
    <t>Khóa đai</t>
  </si>
  <si>
    <t>Biển báo cáp quang</t>
  </si>
  <si>
    <t>Biển báo độ cao</t>
  </si>
  <si>
    <t>DWDM/VIBA/VSAT</t>
  </si>
  <si>
    <t>Thiết bị SRT</t>
  </si>
  <si>
    <t>Thiết bị AGG</t>
  </si>
  <si>
    <t>AGG Juniper</t>
  </si>
  <si>
    <t>AGG Huawei</t>
  </si>
  <si>
    <t>Thiết bị Core tỉnh</t>
  </si>
  <si>
    <t>I.4</t>
  </si>
  <si>
    <t>Thiết bị IPBN</t>
  </si>
  <si>
    <t>E4</t>
  </si>
  <si>
    <t>Giải pháp triển khai bổ sung thiết bị router Backbone mạng network DC tại các tổng trạm</t>
  </si>
  <si>
    <t>Thiết bị Backbone network DC</t>
  </si>
  <si>
    <t>Router Backbone DC modular chassis tại các tổng trạm PDL NTH HHTN4 tối thiểu 08 slot</t>
  </si>
  <si>
    <t>Card 36x100GE hỗ trợ 400GE Cisco (ko license) cho router Backbone DC</t>
  </si>
  <si>
    <t>Router Backbone DC fixed chassis hỗ trợ tối thiểu 128 port 100G</t>
  </si>
  <si>
    <t>Module 100GE 10km bao gồm dây nhảy quang</t>
  </si>
  <si>
    <t>License 400G (hỗ trợ break được 4x100GE) trên router BB modular chassis</t>
  </si>
  <si>
    <t>Module 100GE 2km bao gồm dây nhảy quang</t>
  </si>
  <si>
    <t>E5</t>
  </si>
  <si>
    <t xml:space="preserve">Cáp quang Cống bể 48Fo </t>
  </si>
  <si>
    <t>Cáp quang ngầm chôn trực tiếp 48Fo</t>
  </si>
  <si>
    <t>Cáp quang treo ADSS48 KV200</t>
  </si>
  <si>
    <t>Măng xông 48Fo</t>
  </si>
  <si>
    <t>ODF 48Fo Indoor</t>
  </si>
  <si>
    <t>E6</t>
  </si>
  <si>
    <t>Kiên cố bền vững trong thiên tai</t>
  </si>
  <si>
    <t>Cáp quang kiên cố, bền vững trong PCTT</t>
  </si>
  <si>
    <t xml:space="preserve">Cáp quang Cống bể 96Fo </t>
  </si>
  <si>
    <t>Cho Vùng phủ (4G+4G700)</t>
  </si>
  <si>
    <t>Triển khai cáp đảm bảo cho VHKT</t>
  </si>
  <si>
    <t>Cáp quang chôn Trực tiếp 24Fo</t>
  </si>
  <si>
    <t>Triển khai cáp kiên cố bền vững</t>
  </si>
  <si>
    <t>Ngầm CBXM hóa liên tỉnh</t>
  </si>
  <si>
    <t>Ngầm CBXM hóa liên huyện</t>
  </si>
  <si>
    <t>Ngầm CBXM trạm UT</t>
  </si>
  <si>
    <t>Cáp quang treo ADSS24 KV200 chống gặm nhấm</t>
  </si>
  <si>
    <t>Cáp quang treo ADSS48 KV200 chống gặm nhấm</t>
  </si>
  <si>
    <t>Thi công cáp ngầm XHH</t>
  </si>
  <si>
    <t>Xây dựng cống bế 1 ống</t>
  </si>
  <si>
    <t>Xây dựng cống bế 3 ống</t>
  </si>
  <si>
    <t>Xây dựng cống bế 4 ống</t>
  </si>
  <si>
    <t>E3</t>
  </si>
  <si>
    <t xml:space="preserve"> Đầu tư thiết bị IP theo nhu cầu đấu nối của VTS và thiết bị DWDM theo nhu cầu kênh thuê riêng VTS.</t>
  </si>
  <si>
    <t>Thiết bị macro 5G</t>
  </si>
  <si>
    <t>Thiết bị RRU 5G</t>
  </si>
  <si>
    <t>RRU 5G triển khai IBD</t>
  </si>
  <si>
    <t>Thiết bị smallcell 5G</t>
  </si>
  <si>
    <t>Thiết bị vô tuyến 5G 4T4R</t>
  </si>
  <si>
    <t>Card Baseband</t>
  </si>
  <si>
    <t>Card Baseband cho 5G</t>
  </si>
  <si>
    <t>Nâng cấp hệ thống Inbuilding lên 5G</t>
  </si>
  <si>
    <t>A2</t>
  </si>
  <si>
    <t>Hiện đại hóa mạng lưới</t>
  </si>
  <si>
    <t>Nâng cao chất lượng mạng</t>
  </si>
  <si>
    <t>Phần mềm, công cụ</t>
  </si>
  <si>
    <t>Nâng cấp, mở rộng phầm mềm GEO cho 5G</t>
  </si>
  <si>
    <t>Xe cơ động phục vụ LHSK</t>
  </si>
  <si>
    <t>Xe phát sóng chỉ huy, dã chiến đảm bảo hoạt động liên tục trong thiên tai, địch họa</t>
  </si>
  <si>
    <t>A1</t>
  </si>
  <si>
    <t>Xe phát sóng cơ động</t>
  </si>
  <si>
    <t>- Vô tuyến: Triển khai kiên cố cho 550 trạm quá tải trọng hàng năm
- BRCĐ: Triển khai cho 1.136 km cáp quang trong đó: Tách cáp chung lộ 139.8 km; ngầm hoá tuyến cáp 996.2 km.
- Truyền dẫn: Triển khai ngầm XHH tại 10 tỉnh ~ 455 km cống bể/ trên 234km đường theo đề xuất VT tỉnh TP (đã trừ 7 tỉnh ven biển trùng chương trình kiên cố bão ~ 230km cống bể/120 km đường).
- Cơ điện: 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t>
  </si>
  <si>
    <t>8Ghz, 2+0, 0.6m, 1Gbps</t>
  </si>
  <si>
    <t>8Ghz, 2+0, 0.9m, 1Gbps</t>
  </si>
  <si>
    <t>8Ghz, 2+0, 1.2m, 1Gbps</t>
  </si>
  <si>
    <t>Vsat cho huyện đảo, huyện miền núi</t>
  </si>
  <si>
    <t>Viba, VSAT cho kiên cố, bền vững trong PCTT</t>
  </si>
  <si>
    <t>hop</t>
  </si>
  <si>
    <t>WDM cho kiên cố, bền vững trong PCTT</t>
  </si>
  <si>
    <t>Giải pháp nâng cấp thiết bị mở rộng mạng DWDM cho các tỉnh kiên cố</t>
  </si>
  <si>
    <t xml:space="preserve">Dịch vụ cho giải pháp nâng cấp thiết bị mở rộng mạng DWDM cho các tỉnh kiển cố (thiết kế, triển khai mẫu, hỗ trợ triển khai) </t>
  </si>
  <si>
    <t>- Vô tuyến: Đầu tư gá antena, gia cố jumper, dây quang; thực hiện kiên cố hạ tầng cột, nhà trạm theo cho 321 trạm theo ưu tiên 1 và đầu tư xe phát sóng chỉ huy, dã chiến đảm bảo hoạt động liên tục trong thiên tai
- Truyền dẫn: Swap Metro QNH và QNM (swap AGG, CT); đấu CT mới 02 tỉnh QNH và QNM; bổ sung thiết bị Viba, VSAT; Triển khai kiên cố TD liên tỉnh (vùng gió III, IV; Sạt lở) ~ 38/63 tỉnh/TP ~ 56%; liên huyện: (vùng gió IV và sạt lở) ~ 207/704 huyện~30% ; Trạm UT (vùng gió 4, sạt lở) ~ 1293/3530 trạm UT vùng gói III, IV ~ 37%
- Cơ điện: Đầu tư 600 máy phát điện dầu 20kVA; 1.662 máy phát điện dầu 12kVA; 2.262 ATS 3 pha 63A; 4.623 bình ắc quy Lithium 48V-100Ah; 2.486 bình portable battery Lithium; Xây mới 1.884 bệ đặt máy phát điện + 348 nhà đặt máy phát điện vượt lũ.</t>
  </si>
  <si>
    <t>2027 (triệu USD)</t>
  </si>
  <si>
    <t>2028 (triệu USD)</t>
  </si>
  <si>
    <t>2027-2028 (triệu USD)</t>
  </si>
  <si>
    <t xml:space="preserve">- CNTT: 
- Truyền dẫn: </t>
  </si>
  <si>
    <t xml:space="preserve">- Vô tuyến: 
- Truyền dẫn: .
- Cơ điện: </t>
  </si>
  <si>
    <t>Triển khai …. triệu cổng GPON (...tr cổng năm 2025, ...k cổng năm 2026) và ... dự án toà nhà mới ~ ...k cổng.</t>
  </si>
  <si>
    <t>- BRCĐ-TH: Đầu tư .... đáp ứng cho ... triệu thuê bao, đầu tư ... hệ thống DPI cho ...K subs, mở rộng hệ thống AAA với .... nghìn subs, đầu tư hệ thống Analytics quản trị tập trung dữ liệu mạng BRCĐ, mở rộng hệ thống DNS đáp ứng cho ...nghìn subs; đầu tư CGNAT đáp ứng cho tăng trưởng băng thông và đổ tải ... triệu subs FTTH, bổ sung tính năng mới cho ACS tích hợp với AP multivendor, đầu tư phần cứng cho các hệ thống ITO, VQT, ICP.
- Truyền dẫn: SRT 100G cho OLT không trùng 5G ~ ... SRT, .... tỷ card AGG 100G đấu ring OLT, ... tỷ card Core tỉnh, CKV, PECĐ) theo tỷ lệ dưới Metro, trên Metro; WDM theo nhu cầu tăng dung lượng liên huyện, liên tỉnh, KNQT với tỷ lệ Internet là ...% theo tỷ lệ di động trên Metro, dưới Metro</t>
  </si>
  <si>
    <t>- Truyền dẫn: Đầu tư thiết bị IP tại tổng trạm ... và thiết bị WDM theo nhu cầu triển khai tại tổng trạm mới …</t>
  </si>
  <si>
    <t>Đảm bảo VHKT và nâng cao chất lượng mạng</t>
  </si>
  <si>
    <t>Đảm bảo dự phòng ƯCTT</t>
  </si>
  <si>
    <t>ƯCTT</t>
  </si>
  <si>
    <t>Củng cố kiên cố thường trình</t>
  </si>
  <si>
    <t>- BRCĐ-TH: Đầu tư nâng cấp tính năng mới cho CDN OTT; đầu tư thiết bị và license  upmap, frame rate conversion (FRC) cho ... kênh tại Headend; đầu tư 01 hệ thống Water marking; đầu tư Backend và ứng dụng Trợ lý ảo TV360.
- Truyền dẫn: SRT 100G cho OLT không trùng 5G ~ ... SRT, card AGG 100G, Core tỉnh, CKV, PECĐ, PETH) theo tỷ lệ truyền hình ...% của CĐBR; WDM theo nhu cầu tăng dung lượng liên huyện, liên tỉnh, KNQT với tỷ lệ TH là ....%</t>
  </si>
  <si>
    <t>TỔNG ĐẦU TƯ VTTB VÀ XÂY LẮP 2027-2028</t>
  </si>
  <si>
    <t>TỔNG ĐẦU TƯ VTTB 2027-2028</t>
  </si>
  <si>
    <r>
      <t xml:space="preserve">PHỤ LỤC 1.1: BẢNG TỔNG HỢP CHI TIẾT NHU CẦU ĐẦU TƯ, MUA SẮM THEO QHĐC NĂM 2027-2028
</t>
    </r>
    <r>
      <rPr>
        <i/>
        <sz val="14"/>
        <rFont val="Times New Roman"/>
        <family val="1"/>
      </rPr>
      <t>(Ban hành kèm theo Tờ trình số                      của Tập đoàn CNVTQĐ)</t>
    </r>
  </si>
  <si>
    <t>Khối lượng</t>
  </si>
  <si>
    <t>A3</t>
  </si>
  <si>
    <t>VI</t>
  </si>
  <si>
    <t>E7</t>
  </si>
  <si>
    <r>
      <t xml:space="preserve">Chi phí
</t>
    </r>
    <r>
      <rPr>
        <i/>
        <sz val="10"/>
        <rFont val="Times New Roman"/>
        <family val="1"/>
      </rPr>
      <t>(triệu USD)</t>
    </r>
  </si>
  <si>
    <t>Truyền hình</t>
  </si>
  <si>
    <t>MSC</t>
  </si>
  <si>
    <t>Feature - GMSC</t>
  </si>
  <si>
    <t>Feature - IMS service</t>
  </si>
  <si>
    <t>IMS</t>
  </si>
  <si>
    <t>IMS SW</t>
  </si>
  <si>
    <t>IMS HW</t>
  </si>
  <si>
    <t>IMS expansion service</t>
  </si>
  <si>
    <t>IMS new build service</t>
  </si>
  <si>
    <t>PS Core</t>
  </si>
  <si>
    <t>SMSC</t>
  </si>
  <si>
    <t>Spare part</t>
  </si>
  <si>
    <t>MOTM/s</t>
  </si>
  <si>
    <t>PS Software extra PDP</t>
  </si>
  <si>
    <t>PS Software extra Mbps</t>
  </si>
  <si>
    <t>PS Hardware extra Mbps</t>
  </si>
  <si>
    <t>MSC upgrade service</t>
  </si>
  <si>
    <t>MSC upgrade software</t>
  </si>
  <si>
    <t>Swap: PS Hardware SAU</t>
  </si>
  <si>
    <t>Swap: PS Software extra Mbps</t>
  </si>
  <si>
    <t>Swap: PS Hardware extra Mbps</t>
  </si>
  <si>
    <t>USC - STP Software license (1 pair)</t>
  </si>
  <si>
    <t>USC - STP Hardware (1 pair)</t>
  </si>
  <si>
    <t>USC - DRA/DEA Software license (1 pair)</t>
  </si>
  <si>
    <t>USC - DRA/DEA Hardware (1 pair)</t>
  </si>
  <si>
    <t>New build USC Deploy Package</t>
  </si>
  <si>
    <t>MSU</t>
  </si>
  <si>
    <t>TPS</t>
  </si>
  <si>
    <t>Đầu tư mới USC cho báo hiệu</t>
  </si>
  <si>
    <t>SBC International (Hardware and Software license)</t>
  </si>
  <si>
    <t>SBC Domestic (Hardware and Software license)</t>
  </si>
  <si>
    <t>Swap: PS 2G/3G/4G Software SAU</t>
  </si>
  <si>
    <t>F1</t>
  </si>
  <si>
    <t>Máy chủ cho các hệ thống phục vụ KH doanh nghiệp</t>
  </si>
  <si>
    <t>Máy chủ GPU cho hệ thống AI</t>
  </si>
  <si>
    <t>Chi phí phần mềm</t>
  </si>
  <si>
    <t>SLA phần mềm mSuite</t>
  </si>
  <si>
    <t>SLA ứng dụng IPCC</t>
  </si>
  <si>
    <t>SLA ứng dụng RPA</t>
  </si>
  <si>
    <t xml:space="preserve">gói </t>
  </si>
  <si>
    <t>Thiết bị lưu trữ</t>
  </si>
  <si>
    <t>Tủ rack, phụ kiện và dịch vụ triển khai</t>
  </si>
  <si>
    <t>Tủ rack 42U 19"</t>
  </si>
  <si>
    <t>Cáp điện</t>
  </si>
  <si>
    <t>m</t>
  </si>
  <si>
    <t>Cáp tiếp địa</t>
  </si>
  <si>
    <t>CAT 6 (305M)</t>
  </si>
  <si>
    <t>Thùng</t>
  </si>
  <si>
    <t>RJ 45 (100pcs)</t>
  </si>
  <si>
    <t>Hộp</t>
  </si>
  <si>
    <t>Industrial plug 32A + 3P (pcs)</t>
  </si>
  <si>
    <t>chiếc</t>
  </si>
  <si>
    <t>Cord tie 20cm (bag)</t>
  </si>
  <si>
    <t>Cord tie 30cm (bag)</t>
  </si>
  <si>
    <t>COS head for AC power cable (pcs)</t>
  </si>
  <si>
    <t>COS head for Earthing wire (pcs)</t>
  </si>
  <si>
    <t>Dịch vụ triển khai (lắp đặt, tích hợp, đào tạo)</t>
  </si>
  <si>
    <t>Tài nguyên cho hệ thống dư phòng, DR cho ứng dụng ĐBQT</t>
  </si>
  <si>
    <t>Erl</t>
  </si>
  <si>
    <t>Chi phí license</t>
  </si>
  <si>
    <t>Chi phí phần cứng</t>
  </si>
  <si>
    <t>MSC ATT SW</t>
  </si>
  <si>
    <t>MSC CSFB SW</t>
  </si>
  <si>
    <t>MSC ATT HW</t>
  </si>
  <si>
    <t>MSC newbuid service</t>
  </si>
  <si>
    <t>CS Core swap MSC ATT SW</t>
  </si>
  <si>
    <t>CS Core swap MSC ATT HW</t>
  </si>
  <si>
    <t>HLR/HSS/UDM</t>
  </si>
  <si>
    <t>SBC newbuid service</t>
  </si>
  <si>
    <t>PS Core expansion service</t>
  </si>
  <si>
    <t>PS Core newbuid service</t>
  </si>
  <si>
    <t>SMSC SW</t>
  </si>
  <si>
    <t>SMSC HW</t>
  </si>
  <si>
    <t>SMSC newbuid service</t>
  </si>
  <si>
    <t>SMSC SW upgrade</t>
  </si>
  <si>
    <t>SMSC upgrade service</t>
  </si>
  <si>
    <t>Swap: PS Deploy Package</t>
  </si>
  <si>
    <t>Máy chủ</t>
  </si>
  <si>
    <t>Hệ thống Ví điện tử 3.0</t>
  </si>
  <si>
    <t>MGW newbuid service</t>
  </si>
  <si>
    <t>Mạng 2/3/4G</t>
  </si>
  <si>
    <t>2/3/4G vùng phủ</t>
  </si>
  <si>
    <t>2/3/4G dung lượng</t>
  </si>
  <si>
    <t>CS Core swap MGW Erl SW</t>
  </si>
  <si>
    <t>CS Core swap MGW Erl HW</t>
  </si>
  <si>
    <t>- Vô tuyến:...
- Mạng lõi: Mối năm có budget 100K USD để mua hàng dự phòng
- BRCĐ-TH: ...
- CNTT: ...
- Truyền dẫn: 
- Cơ điện: …</t>
  </si>
  <si>
    <t>- Vô tuyến:...
- Mạng lõi: Năm 2027: Swap EoS BUMS03, BUMW03 bằng 1 vMSC (HW:1072K ATT, 1.5M Reg, 45K Erl, SW: 835K ATT, 1.15M Reg, 34.5K Erl).
Năm 2028: Chuyển 01/02 UDM từ tổng trạng cũ sang tổng trạm mới và hiện đại hóa 01 cặp HSS cũ (thông qua mở rộng UDM với DL tương ứng của HSS cũ).
- BRCĐ-TH: ...
- CNTT: ...
- Truyền dẫn: 
- Cơ điện: …</t>
  </si>
  <si>
    <t>- Vô tuyến
- Mạng lõi:
Năm 2027:  01 vMSC (HW:1072K ATT, 1.5M Reg, 45K Erl, SW: 572K ATT, 800K Reg, 22.857K Erl), MSC (SW: CSFB: 1M sub), UDM (SW: 200K FE 2G/3G, 400K BE 2G/3G, 300K FE 4G, 2.9M BE 4G), 1 vEPC (HW: 1M SAU, 1.5M PDP, 100 Gbps, SW: 1M SAU, 1.5M PDP, 60 Gbps). vEPC4 (SW: 650K SAU, 975K PDP, 49.4 Gbps). SMSC (SW: 1400 MOMT). 2 IMS (HW: 500K, SW: 100K).
Năm 2028: vEPC5 (SW: 34 Gbps). UDM (SW: 300K FE 2G/3G, 500K BE 2G/3G, 400K FE 4G, 1.9M BE 4G).
- Truyền dẫn:
- Cơ điện:</t>
  </si>
  <si>
    <t>set</t>
  </si>
  <si>
    <t>Vật tư dự phòng và ƯCTT</t>
  </si>
  <si>
    <t>CNTT+VÍ</t>
  </si>
  <si>
    <t>Dịch vụ triển khai Cloud</t>
  </si>
  <si>
    <t>License phần mềm Hê thống vOCS 4.0</t>
  </si>
  <si>
    <t>Triển khai hệ thống vOCS4.0</t>
  </si>
  <si>
    <t>Phần cứng cho vOCS</t>
  </si>
  <si>
    <t>License phần mềm eKYC/OCR</t>
  </si>
  <si>
    <t>SLA phần mềm SuperApp</t>
  </si>
  <si>
    <t>Triển khai phần mềm kinh doanh, kỹ thuật: VAS, OSS</t>
  </si>
  <si>
    <t>Triển khai ứng dụng mới</t>
  </si>
  <si>
    <t>Tài nguyên cho nâng cấp mở rộng</t>
  </si>
  <si>
    <t>Mở rộng ứng dụng cho các hệ thống BCCS, OSS, VAS</t>
  </si>
  <si>
    <t>Mở rộng hệ thống Datalake</t>
  </si>
  <si>
    <t>UCTT (HDD, RAM, Nguồn, …)</t>
  </si>
  <si>
    <t>MAPUTO - PRIMARY SITE</t>
  </si>
  <si>
    <t>Nhu cầu phát triển mới</t>
  </si>
  <si>
    <t>2.1.1</t>
  </si>
  <si>
    <t>2.1.2</t>
  </si>
  <si>
    <t>2.1.3</t>
  </si>
  <si>
    <t>2.2.1</t>
  </si>
  <si>
    <t>2.2.2</t>
  </si>
  <si>
    <t>2.2.3</t>
  </si>
  <si>
    <t>VIII</t>
  </si>
  <si>
    <t>IX</t>
  </si>
  <si>
    <t>VÍ ĐIỆN TỬ</t>
  </si>
  <si>
    <t>NAMPULA SITE (DR SITE)</t>
  </si>
  <si>
    <t>3.1.1</t>
  </si>
  <si>
    <t>3.1.2</t>
  </si>
  <si>
    <t>3.1.3</t>
  </si>
  <si>
    <t>Triển khai ISO 27001</t>
  </si>
  <si>
    <t>Triển khai PCI-DSS</t>
  </si>
  <si>
    <t>License hệ thống AML</t>
  </si>
  <si>
    <t>Mixmode 2G 4G 800/900_Huawei</t>
  </si>
  <si>
    <t>Jumper</t>
  </si>
  <si>
    <t>Bộ Gá đa năng (gồm 3 gá đơn lẻ và các phụ kiện)</t>
  </si>
  <si>
    <t>Thiết bị 3G</t>
  </si>
  <si>
    <t>Thiết bị 2G</t>
  </si>
  <si>
    <t>BTS 2G dualband_Cosite</t>
  </si>
  <si>
    <t>BTS 2G dualband_New site 2G</t>
  </si>
  <si>
    <t>NodeB 3G dualband_Cosite</t>
  </si>
  <si>
    <t>NodeB 3G dualband_New site</t>
  </si>
  <si>
    <t>eNodeb dualband 4G 1.8+2.1GHz_new site</t>
  </si>
  <si>
    <t>NodeB Massive MIMO 2.6GHz+3.5GHz</t>
  </si>
  <si>
    <t>Baseband card hỗ trợ MM</t>
  </si>
  <si>
    <t>License 20MHz MM</t>
  </si>
  <si>
    <t>Sector 1800+2100MHz</t>
  </si>
  <si>
    <t>Cell</t>
  </si>
  <si>
    <t>sector</t>
  </si>
  <si>
    <t>Công cụ tối ưu CEM 4G/5G</t>
  </si>
  <si>
    <t>Tổng trạm MAC</t>
  </si>
  <si>
    <t>1.1</t>
  </si>
  <si>
    <t>Thay thế ắc quy</t>
  </si>
  <si>
    <t>Ắc quy 12V cho UPS</t>
  </si>
  <si>
    <t>Ắc quy 2V 2000Ah</t>
  </si>
  <si>
    <t>1.2</t>
  </si>
  <si>
    <t>Thay thế thiết bị hết niên hạn sử dụng</t>
  </si>
  <si>
    <t>Hệ thống nguồn DC 2000A</t>
  </si>
  <si>
    <t>Thay thế Hệ thống UPS</t>
  </si>
  <si>
    <t>Thay thế ĐHCX</t>
  </si>
  <si>
    <t>1.3</t>
  </si>
  <si>
    <t>Nâng cấp</t>
  </si>
  <si>
    <t>ĐHCX 250kBTU</t>
  </si>
  <si>
    <t>Set</t>
  </si>
  <si>
    <t>Hệ thống hành lang lạnh</t>
  </si>
  <si>
    <t>Gói phần mền giám sát DCIM (phần mềm, cài đặt, tích hợp....)</t>
  </si>
  <si>
    <t>2</t>
  </si>
  <si>
    <t>Gói vật tư dự phòng UCTT</t>
  </si>
  <si>
    <t>CompTrol 7000 I/O-Controller HW8 1MB Fl</t>
  </si>
  <si>
    <t>Compressor ZP137KCE-TFD-455</t>
  </si>
  <si>
    <t>Compressor ANB66FBZMT</t>
  </si>
  <si>
    <t>Fan FN063-VDI.6N.V7P6</t>
  </si>
  <si>
    <t>Đảm bảo phát triển mới</t>
  </si>
  <si>
    <t>Gói bảo dưỡng</t>
  </si>
  <si>
    <t>Bảo dưỡng chuyên sâu máy phát điện sửa chữa các hỏng hóc</t>
  </si>
  <si>
    <t>Bảo dưỡng chuyên sâu hệ thống AC, mua bổ sung một số vật tư thay thế</t>
  </si>
  <si>
    <t>Tổng trạm NAM</t>
  </si>
  <si>
    <t>Máy biến áp</t>
  </si>
  <si>
    <t>3</t>
  </si>
  <si>
    <t>Trạm mới VP</t>
  </si>
  <si>
    <t>Trạm mới VP có điện</t>
  </si>
  <si>
    <t>1.1.1</t>
  </si>
  <si>
    <t>Battery</t>
  </si>
  <si>
    <t>LIB 48V-100Ah</t>
  </si>
  <si>
    <t>Battery Lithium minishelter</t>
  </si>
  <si>
    <t>1.1.2</t>
  </si>
  <si>
    <t>Genset</t>
  </si>
  <si>
    <t>Diesel  Genset 1P-220V 12kVA  (+ Fuel tank 500L/600L)</t>
  </si>
  <si>
    <t>1.1.3</t>
  </si>
  <si>
    <t>ATS/Timer</t>
  </si>
  <si>
    <t>ATS outdoor</t>
  </si>
  <si>
    <t>1.1.4</t>
  </si>
  <si>
    <t>DC  Power System</t>
  </si>
  <si>
    <t>1.1.4.1</t>
  </si>
  <si>
    <t>IPS with solar</t>
  </si>
  <si>
    <t>IPS minishelter (include controler, subrack,…)</t>
  </si>
  <si>
    <t>Rectifier 3000W</t>
  </si>
  <si>
    <t>Solar converter 3000W</t>
  </si>
  <si>
    <t>1.1.5</t>
  </si>
  <si>
    <t>Solar system</t>
  </si>
  <si>
    <t>Hệ thống ≥8000W (gồm tấm pin + khung giá)</t>
  </si>
  <si>
    <t>Hệ thống ≥12000W (gồm tấm pin + khung giá)</t>
  </si>
  <si>
    <t>1.1.6</t>
  </si>
  <si>
    <t>Mornitoring</t>
  </si>
  <si>
    <t>AC-V1 Alarm</t>
  </si>
  <si>
    <t>DAQ-V2</t>
  </si>
  <si>
    <t>Converter quang 4FE</t>
  </si>
  <si>
    <t>Module SFP</t>
  </si>
  <si>
    <t>Trạm mới VP không điện</t>
  </si>
  <si>
    <t>1.2.1</t>
  </si>
  <si>
    <t>1.2.2</t>
  </si>
  <si>
    <t>1.2.3</t>
  </si>
  <si>
    <t>1.2.3.1</t>
  </si>
  <si>
    <t>1.2.4</t>
  </si>
  <si>
    <t>Hệ thống ≥16000W (gồm tấm pin + khung giá)</t>
  </si>
  <si>
    <t>Hệ thống ≥20000W (gồm tấm pin + khung giá)</t>
  </si>
  <si>
    <t>1.2.5</t>
  </si>
  <si>
    <t>Trạm mới DL</t>
  </si>
  <si>
    <t>Trạm mới DL có điện</t>
  </si>
  <si>
    <t>2.1.4</t>
  </si>
  <si>
    <t>2.1.4.1</t>
  </si>
  <si>
    <t>2.1.5</t>
  </si>
  <si>
    <t>2.1.6</t>
  </si>
  <si>
    <t>2.2</t>
  </si>
  <si>
    <t>Trạm mới DL không điện</t>
  </si>
  <si>
    <t>2.2.3.1</t>
  </si>
  <si>
    <t>2.2.4</t>
  </si>
  <si>
    <t>2.2.5</t>
  </si>
  <si>
    <t>Trạm main node mới</t>
  </si>
  <si>
    <t>Solar DC System (Indoor)</t>
  </si>
  <si>
    <t>Solar Power System (Include Cabinet, Controller)</t>
  </si>
  <si>
    <t>Solar Converter 3000W</t>
  </si>
  <si>
    <t>Diesel  Genset 3P-380V 30kVA  (+ Fuel tank 500L/600L)</t>
  </si>
  <si>
    <t>3.3</t>
  </si>
  <si>
    <t>Rack ắc quy</t>
  </si>
  <si>
    <t>Rack</t>
  </si>
  <si>
    <t>3.4</t>
  </si>
  <si>
    <t>ATS-3P</t>
  </si>
  <si>
    <t>3.5</t>
  </si>
  <si>
    <t>Tủ nguồn AC</t>
  </si>
  <si>
    <t>Tủ AC - V5-3P</t>
  </si>
  <si>
    <t>3.6</t>
  </si>
  <si>
    <t>Cảnh báo Khói</t>
  </si>
  <si>
    <t>Cảnh báo mởi cửa</t>
  </si>
  <si>
    <t>3.7</t>
  </si>
  <si>
    <t>Điều hòa</t>
  </si>
  <si>
    <t>Điều hòa  18kBTU</t>
  </si>
  <si>
    <t>4</t>
  </si>
  <si>
    <t>4.1</t>
  </si>
  <si>
    <t>4.2</t>
  </si>
  <si>
    <t>DC system</t>
  </si>
  <si>
    <t>Rectifier 3000W-Vendor Vertiv/Emerson</t>
  </si>
  <si>
    <t>Chuyển sang mua tủ nguồn DC</t>
  </si>
  <si>
    <t>Rectifier 3000W - Vendor ZTE V5</t>
  </si>
  <si>
    <t>Rectifier - Vendor Agission</t>
  </si>
  <si>
    <t>Rectifier 3000W - Vendor ZTE V6</t>
  </si>
  <si>
    <t>Rectifier - Vendor VMC</t>
  </si>
  <si>
    <t>Rectifier - Vendor Huawei</t>
  </si>
  <si>
    <t>Solar converter</t>
  </si>
  <si>
    <t>4.2.1</t>
  </si>
  <si>
    <t>4.3</t>
  </si>
  <si>
    <t>4.4</t>
  </si>
  <si>
    <t>4.5</t>
  </si>
  <si>
    <t>ATS-3P (outdoor/indoor)</t>
  </si>
  <si>
    <t>4.6</t>
  </si>
  <si>
    <t>Diesel  Genset 3P-380V 50kVA  (+ Fuel tank 500L/600L)</t>
  </si>
  <si>
    <t>4.7</t>
  </si>
  <si>
    <t>CB 125A</t>
  </si>
  <si>
    <t>5</t>
  </si>
  <si>
    <t>5.1</t>
  </si>
  <si>
    <t>5.2</t>
  </si>
  <si>
    <t>5.3</t>
  </si>
  <si>
    <t>5.4</t>
  </si>
  <si>
    <t>5.5</t>
  </si>
  <si>
    <t>5.6</t>
  </si>
  <si>
    <t>5.7</t>
  </si>
  <si>
    <t>6</t>
  </si>
  <si>
    <t>6.1</t>
  </si>
  <si>
    <t>Trạm main node</t>
  </si>
  <si>
    <t>6.1.1</t>
  </si>
  <si>
    <t>6.1.2</t>
  </si>
  <si>
    <t>6.1.2.1</t>
  </si>
  <si>
    <t>Normal DC System (Indoor)</t>
  </si>
  <si>
    <t>DC Power System (Include Cabinet, Controller)</t>
  </si>
  <si>
    <t>6.1.3</t>
  </si>
  <si>
    <t>Tách core-Access cho trạm trục 1C. Danh sách</t>
  </si>
  <si>
    <t>6.1.4</t>
  </si>
  <si>
    <t>Kiên cố MPĐ trạm trục, nâng cấp MPĐ đảm bảo đủ công suất</t>
  </si>
  <si>
    <t>6.1.5</t>
  </si>
  <si>
    <t>Pin mặt trời</t>
  </si>
  <si>
    <t>Đầu tư đồng bộ PMT công suất 12000W cho trục 1C. Mỗi tủ nguồn 3 Solar converter 4000W</t>
  </si>
  <si>
    <t>6.1.6</t>
  </si>
  <si>
    <t>Khác</t>
  </si>
  <si>
    <t>Điều hòa 18kBTU</t>
  </si>
  <si>
    <t>Thông gió lọc bụi (Loại 2 chụp lọc, có điều khiển)</t>
  </si>
  <si>
    <t>6.1.7</t>
  </si>
  <si>
    <t>Thiết bị khác</t>
  </si>
  <si>
    <t>Inverter DC-AC</t>
  </si>
  <si>
    <t>Inverter 3kW cho 21 trạm trục không điện. Mỗi trạm mua 3 bộ</t>
  </si>
  <si>
    <t>6.2</t>
  </si>
  <si>
    <t>Trạm BTS truy nhập</t>
  </si>
  <si>
    <t>Thay thế ắc quy suy hao trạm không điện</t>
  </si>
  <si>
    <t>Portable battery</t>
  </si>
  <si>
    <t>13 chi nhánh: 11 chi nhánh 10 trạm, mỗi trạm 4 bình, 2 chi nhánh MAC/MAP 20 trạm, mỗi trạm 4 bình). Năm 2026 đã mua 200 bình</t>
  </si>
  <si>
    <t>Gasoline 1P-220V 10.6kVA</t>
  </si>
  <si>
    <t>6.2.1</t>
  </si>
  <si>
    <t>Máy phát điện thay thế hỏng hóc</t>
  </si>
  <si>
    <t>Thay thế máy hỏng hóc, bằng số lượng không sửa được năm 2026</t>
  </si>
  <si>
    <t>6.2.2</t>
  </si>
  <si>
    <t>Máy phát điện cho trạm kinh doanh tốt</t>
  </si>
  <si>
    <t>Năm 2025, thị trường có 815 trạm chưa có máy, trong đó có vị trí đặt máy là 560 trạm. Đầu tư trung bình hàng năm 112 máy để tăng tỷ lệ máy phát điện. Năm 2026 đã mua 100 máy.</t>
  </si>
  <si>
    <t>6.3</t>
  </si>
  <si>
    <t>ATS-1P</t>
  </si>
  <si>
    <t>ATS-3P indoor</t>
  </si>
  <si>
    <t xml:space="preserve">Mua bằng số lượng MPĐ bổ sung. 50% cho trạm nhà container/ 50% cho nhà shelter. </t>
  </si>
  <si>
    <t>ATS-3P outdoor</t>
  </si>
  <si>
    <t>Mua bằng số lượng MPĐ bổ sung. 50% cho trạm nhà container/ 50% cho nhà shelter</t>
  </si>
  <si>
    <t>6.4</t>
  </si>
  <si>
    <t>6.4.1</t>
  </si>
  <si>
    <t>6.4.2</t>
  </si>
  <si>
    <t>6.5</t>
  </si>
  <si>
    <t>Tủ AC - V5-1P</t>
  </si>
  <si>
    <t>6.6</t>
  </si>
  <si>
    <t>Triển khai PMT cho trạm điện giá cao</t>
  </si>
  <si>
    <t>6.6.1</t>
  </si>
  <si>
    <t>6.6.2</t>
  </si>
  <si>
    <t>Hệ thống dàn PMT</t>
  </si>
  <si>
    <t>6.7</t>
  </si>
  <si>
    <t>Nâng cấp PMT trạm không điện</t>
  </si>
  <si>
    <t>6.7.1</t>
  </si>
  <si>
    <t>274 trạm PMT cho trạm không đủ công suất</t>
  </si>
  <si>
    <t>6.7.2</t>
  </si>
  <si>
    <t>6.8</t>
  </si>
  <si>
    <t>Vật tư khác</t>
  </si>
  <si>
    <t>Thay thế thông gió cho nhà container. QHDC 2024 trở về trước: 220 bộ. QHĐC 2025: 500 bộ, QHĐC 2026: 300 bộ. Luỹ kế 1020/2300. Thị trường có 2018 nhà container và nhà xây phục vụ access. Cần bổ sung 1000 bộ</t>
  </si>
  <si>
    <t>Convert quang FE 4 cổng điện, 1 cổng quang</t>
  </si>
  <si>
    <t>Quả cầu chữa cháy tự động</t>
  </si>
  <si>
    <t>Smart DCDU</t>
  </si>
  <si>
    <t>Bộ xạc bù acquy 12V</t>
  </si>
  <si>
    <t>Cắt lọc sét MOV, SPD SC(R)100/385 | MOV surge protector</t>
  </si>
  <si>
    <t>Cắt lọc sét sơ cấp GZ</t>
  </si>
  <si>
    <t>Cảnh báo AC-V1</t>
  </si>
  <si>
    <t>Gói vật tư sửa chữa máy phát điện</t>
  </si>
  <si>
    <t>Gói vật tư sửa chữa, bảo dưỡng máy phát điện</t>
  </si>
  <si>
    <t>Máy</t>
  </si>
  <si>
    <t>Hạ bình biến áp, kéo điện cho trạm không điện</t>
  </si>
  <si>
    <t>Thông gió trực tiếp cho AGG CX960</t>
  </si>
  <si>
    <t>Khóa cửa thông minh</t>
  </si>
  <si>
    <t>Thử nghiệm tại 02 tỉnh MAP / MAC</t>
  </si>
  <si>
    <t>Máy đo điện trở đất</t>
  </si>
  <si>
    <t>Mua cho mỗi chi nhánh 2 bộ. Nếu Chauvin thì giá 4583$, nếu kyoritsu thì 400$</t>
  </si>
  <si>
    <t>Củng cố nhà trạm</t>
  </si>
  <si>
    <t>Lạt thít 200mm 3x200mm (500 sợi/gói)</t>
  </si>
  <si>
    <t>Vật tư thực hiện củng cố chương trình trạm đạt chuẩn_11369/TTr-KT</t>
  </si>
  <si>
    <t>Lạt thít 400mm 5x400mm (250 sợi/gói)</t>
  </si>
  <si>
    <t>Máng Gen luồn dây điện, có nắp GA60/02 60x40x2000mm</t>
  </si>
  <si>
    <t>Máng gen nhựa răng lược có nắp 65x65x800mm</t>
  </si>
  <si>
    <t>Giấy dán nhãn khỗ A4 (30 tem 98 x 18mm/01 tờ; 20 tờ/01 tập)</t>
  </si>
  <si>
    <t>Tập</t>
  </si>
  <si>
    <t>Ống gen Φ 50/65 chôn ngầm</t>
  </si>
  <si>
    <t>Cáp tiếp địa vàng xanh 1x35mm2</t>
  </si>
  <si>
    <t>Cáp tiếp địa vàng xanh 1x25mm2</t>
  </si>
  <si>
    <t>Cáp tiếp địa vàng xanh 1x4mm2</t>
  </si>
  <si>
    <t>Cáp điện nhôm vặn xoắn 2x25mm2</t>
  </si>
  <si>
    <t>Cáp điện nhôm vặn xoắn 4x25mm2</t>
  </si>
  <si>
    <t>Vật tư thực hiện củng cố kéo điện 3 pha</t>
  </si>
  <si>
    <t>Kẹp cáp 4x25mm2+ phụ kiện</t>
  </si>
  <si>
    <t>Cáp điện 1x25mm2 xanh</t>
  </si>
  <si>
    <t>Cáp điện 1x25mm2 đen</t>
  </si>
  <si>
    <t>Cáp điện 2x1.5mm2 flexible</t>
  </si>
  <si>
    <t>Cáp điện 2x16mm2 flexible</t>
  </si>
  <si>
    <t>Headcore 1x35, 1x25,1x26,1x6mm2</t>
  </si>
  <si>
    <t>Vật tự dự phòng UCTT</t>
  </si>
  <si>
    <t>Dự phòng hỏng hóc. Bằng số lượng hỏng 2026</t>
  </si>
  <si>
    <t>Rectifier 3000W (theo Vendor)</t>
  </si>
  <si>
    <t>Rectifier 1000w tủ DC Mini Vertiv</t>
  </si>
  <si>
    <t>Rectifier 3000W - Vendor Emerson (loại tủ thường)</t>
  </si>
  <si>
    <t>Năm 2027 không mua do đã tính tủ nguồn swap cho 5G cao tải. Thu hồi rectifier ở tủ nguồn cũ để lắp</t>
  </si>
  <si>
    <t>Rectifier ZTE 3000W V5</t>
  </si>
  <si>
    <t>Rectifier ZTE 3000W V6</t>
  </si>
  <si>
    <t>Rectifier Huawei 3000W</t>
  </si>
  <si>
    <t>Rectifier VMC 3000W</t>
  </si>
  <si>
    <t>Solar converter 3000W (theo vendor)</t>
  </si>
  <si>
    <t>ZTE PU V2.5</t>
  </si>
  <si>
    <t>ZTE PU V3</t>
  </si>
  <si>
    <t>Solar converter Huawei</t>
  </si>
  <si>
    <t>Solar converter VMC</t>
  </si>
  <si>
    <t>Controller</t>
  </si>
  <si>
    <t>M221S hoặc M222S Emerson/Vertiv</t>
  </si>
  <si>
    <t>Không mua do đã tính tủ nguồn swap cho 5G cao tải. Thu hồi rectifier ở tủ nguồn cũ để lắp</t>
  </si>
  <si>
    <t>Controller Huawei</t>
  </si>
  <si>
    <t>Controller ZTE CSU501B</t>
  </si>
  <si>
    <t>Controller ZTE CSU602A</t>
  </si>
  <si>
    <t>Controller VMC</t>
  </si>
  <si>
    <t>Mini OLT 8 cổng (phần cứng + license)</t>
  </si>
  <si>
    <t>Tủ thuê bao 8 cổng ngoài trời (hỗ trợ lên 16 cổng)</t>
  </si>
  <si>
    <t>Tủ ODF indoor 12Fo LC/APC</t>
  </si>
  <si>
    <t>Bộ chia 1:8 có connector chuẩn SC/UPC ở đầu ra</t>
  </si>
  <si>
    <t>Bộ chia 1:8 (2 đầu không connector)</t>
  </si>
  <si>
    <t>Cáp quang ADSS 12Fo, 2 sợi/1 lỏng, KV100m</t>
  </si>
  <si>
    <t>Cáp quang ADSS 24Fo khoảng vượt 100m</t>
  </si>
  <si>
    <t>Bộ treo cáp quang ADSS KV100</t>
  </si>
  <si>
    <t xml:space="preserve">Bộ néo 2 hướng cáp quang ADSS KV100 </t>
  </si>
  <si>
    <t>Đế ốp D12</t>
  </si>
  <si>
    <t>Dây đai inox</t>
  </si>
  <si>
    <t>Khoá đai inox</t>
  </si>
  <si>
    <t>Ống nhựa bảo vệ cáp PVC fi 56</t>
  </si>
  <si>
    <t>Tủ nhánh (lắp đặt tối đa được 20 bộ chia quang PLC và 5 khay hàn )</t>
  </si>
  <si>
    <t>Cột gỗ 9m</t>
  </si>
  <si>
    <t>Gông G7</t>
  </si>
  <si>
    <t>Măng xông 24 Fo</t>
  </si>
  <si>
    <t>Thiết bị BRAS (NetEngine 8000 X8 (V800R024)) bao gồm: phần cứng, phần mềm và phụ kiện đi kèm</t>
  </si>
  <si>
    <t>AAA</t>
  </si>
  <si>
    <t>DNS</t>
  </si>
  <si>
    <t>Server</t>
  </si>
  <si>
    <t>GPON</t>
  </si>
  <si>
    <t>Cho vủng phủ 2/3/4G</t>
  </si>
  <si>
    <t>Cáp quang ADSS 12Fo KV100m</t>
  </si>
  <si>
    <t>Cáp quang mới cho trạm 4G</t>
  </si>
  <si>
    <t>Viba IP/E-Band</t>
  </si>
  <si>
    <t>Tuyến</t>
  </si>
  <si>
    <t xml:space="preserve">Cột </t>
  </si>
  <si>
    <t>Măng xông 12Fo</t>
  </si>
  <si>
    <t>Gông treo Măng xông G7</t>
  </si>
  <si>
    <t>Cho 5G</t>
  </si>
  <si>
    <t>Cáp quang mới cho trạm 5G</t>
  </si>
  <si>
    <t>Node ROADM mới</t>
  </si>
  <si>
    <t>Bổ sung OLP</t>
  </si>
  <si>
    <t>Nâng cấp OLA lên OADM</t>
  </si>
  <si>
    <t>Bước sóng 100G 10x10 có lặp cho KNQT</t>
  </si>
  <si>
    <t>Bước sóng 100G không lặp</t>
  </si>
  <si>
    <t>Bước sóng 100G có lặp</t>
  </si>
  <si>
    <t>Link</t>
  </si>
  <si>
    <t>Bước sóng</t>
  </si>
  <si>
    <t>Bước sóng 400G không lặp</t>
  </si>
  <si>
    <t>Bước sóng 100G Không lặp</t>
  </si>
  <si>
    <t>Bước sóng 400G có lặp ( 2 lặp)</t>
  </si>
  <si>
    <t>Node OLA mới</t>
  </si>
  <si>
    <t>Bước sóng 100G 10x10</t>
  </si>
  <si>
    <t>Vu hồi quang hóa</t>
  </si>
  <si>
    <t>Cáp quang treo ADSS12 KV100</t>
  </si>
  <si>
    <t>ODF 12Fo Outdoor</t>
  </si>
  <si>
    <t>Công cụ dụng cụ</t>
  </si>
  <si>
    <t>Dao cắt sợi quang chính xác Fiber cleaver</t>
  </si>
  <si>
    <t>Dao tuốt sợi quang Ripley Miller fiber optic stripper</t>
  </si>
  <si>
    <t>Dao mở cáp Cable shield cutter (Densan)</t>
  </si>
  <si>
    <t>Electrode for machine/Điện cực 70S</t>
  </si>
  <si>
    <t>Electrode for machine/Điện cực 90S</t>
  </si>
  <si>
    <t>Pin máy đo quang AQ7275</t>
  </si>
  <si>
    <t>Pin máy đo quang AQ7280</t>
  </si>
  <si>
    <t>Adapter AQ7275</t>
  </si>
  <si>
    <t>Adapter AQ7280</t>
  </si>
  <si>
    <t>Pin máy hàn quang Fuji 70S/70S+</t>
  </si>
  <si>
    <t>Pin máy hàn quang Fuji 90S+</t>
  </si>
  <si>
    <t>Adapter máy hàn quang Fuji 70S/70S+</t>
  </si>
  <si>
    <t>Adapter máy hàn quang Fuji 90S+</t>
  </si>
  <si>
    <t>Cáp quang phụ kiện</t>
  </si>
  <si>
    <t>Cáp quang treo ADSS 12 sợi - KV100m</t>
  </si>
  <si>
    <t>Cáp quang treo ADSS 24 sợi - KV100m 18G652+6G655</t>
  </si>
  <si>
    <t>Cáp ngầm 24F0</t>
  </si>
  <si>
    <t>Măng xông quang 12 Sợi</t>
  </si>
  <si>
    <t>Măng xông quang 24 sợi</t>
  </si>
  <si>
    <t>Card KĐ thu DWDM ZTE</t>
  </si>
  <si>
    <t>Card KĐ phát DWDM ZTE</t>
  </si>
  <si>
    <t>Subrack NXG1</t>
  </si>
  <si>
    <t>Card WSS DWDM</t>
  </si>
  <si>
    <t>Smart Node Processor Board(SNPG)</t>
  </si>
  <si>
    <t>Card bảo vệ đường quang SOP</t>
  </si>
  <si>
    <t>Card xử lý truyền thông CCPG</t>
  </si>
  <si>
    <t>Card nguồn subrack NXG1 PWE</t>
  </si>
  <si>
    <t>Card hạ kênh 400GG MQ4HB</t>
  </si>
  <si>
    <t>Card lặp kênh 400G TDB4H</t>
  </si>
  <si>
    <t>Module 100G QSFP28</t>
  </si>
  <si>
    <t>Module lineside 400G</t>
  </si>
  <si>
    <t>MW RFU Huawei XMC-3 8GHz</t>
  </si>
  <si>
    <t>MW RFU Huawei XMC-3 15GHz</t>
  </si>
  <si>
    <t>Antenna Huawei 0.6m</t>
  </si>
  <si>
    <t>MW IDU Huawei RTN 905 2F</t>
  </si>
  <si>
    <t>Cặp</t>
  </si>
  <si>
    <t>Viba vu hồi ven biển và trạm thủ phủ</t>
  </si>
  <si>
    <t>tuyến</t>
  </si>
  <si>
    <t>Ngầm hóa 1B,1C</t>
  </si>
  <si>
    <t>Băng báo hiệu cáp ngầm</t>
  </si>
  <si>
    <t>Ống nhựa Ø40 cho cáp ngầm</t>
  </si>
  <si>
    <t>Củng cố hạ tầng cột,cáp</t>
  </si>
  <si>
    <t>Cáp quang treo ADSS 24 sợi - KV200m 18G652+6G655</t>
  </si>
  <si>
    <t>Bộ treo cáp ADSS 12 sợi / Hanging kit for ADSS optical cable 12 Fo - KV100m</t>
  </si>
  <si>
    <t>Bộ néo 2 hướng cho cáp ADSS KV100m / Double tension for ADSS cable with 100m span</t>
  </si>
  <si>
    <t>Bộ néo 2 hướng cho cáp ADSS KV500m / Double tension for ADSS cable with 500m span</t>
  </si>
  <si>
    <t>Dây đai Inox 0.7 x 20 mm | Inox belts 0.7 x 20mm</t>
  </si>
  <si>
    <t>Đế ốp D12 | D12 Steel Shape</t>
  </si>
  <si>
    <t>Bulong M14 xuyên tâm</t>
  </si>
  <si>
    <t>Gông treo MX G7</t>
  </si>
  <si>
    <t>ODF 12 FO (SC)</t>
  </si>
  <si>
    <t>Măng xông quang 24 Sợi</t>
  </si>
  <si>
    <t>Măng xông quang 24 Sợi, tròn cho cáp ngầm</t>
  </si>
  <si>
    <t>ODF 24 FO (SC)</t>
  </si>
  <si>
    <t>Kit bảo dưỡng viba</t>
  </si>
  <si>
    <t>Path cord SC/LC</t>
  </si>
  <si>
    <t xml:space="preserve">Path cord LC/LC </t>
  </si>
  <si>
    <t>Ống nung</t>
  </si>
  <si>
    <t>Máy hàn quang</t>
  </si>
  <si>
    <t>Máy đo quang OTDR</t>
  </si>
  <si>
    <t>Kìm siết đai Inox</t>
  </si>
  <si>
    <t>Bộ tăng cáp loại 1 tấn</t>
  </si>
  <si>
    <t>Hộp đựng máy đo quang</t>
  </si>
  <si>
    <t>Bộ vệ sinh sợi quang</t>
  </si>
  <si>
    <t>Bộ vệ sinh port quang</t>
  </si>
  <si>
    <t>Sợi</t>
  </si>
  <si>
    <t>Dung lượng Metro</t>
  </si>
  <si>
    <t>Dung lượng IPBN</t>
  </si>
  <si>
    <t>Mạng truyền dẫn</t>
  </si>
  <si>
    <t>-Triển khai giải pháp AI như : Agent AI (áp dụng trong năm 2027 giải pháp Conversational AI cho CSKH); Camera AI cho Kỹ thuật ….</t>
  </si>
  <si>
    <t xml:space="preserve">- Triển khai các giải pháp số hóa cho các lĩnh vực : VAS, Đâu tư, Tài chính, CSKH …
- Triển khai mới 03 hệ thống OSS: DCIM, NCMS , vDCIM …
'- Triển khai cặp  DB Active-Standby (oracle) Số hóa, DB hệ thống SMSFW/Voice Firewall
</t>
  </si>
  <si>
    <t>- Triển khai các hệ thống mới: Dịch vụ Betting, hệ thống CX Cloud cho doanh nghiệp…
- Triển khai giải pháp ATTT SoC cho kinh doanh ngoài Movitel</t>
  </si>
  <si>
    <t>SRT phát triển mới</t>
  </si>
  <si>
    <t>Module Newsite đấu trạm 1GE 10Km - 2G 900</t>
  </si>
  <si>
    <t>Module Newsite đấu trạm 1GE 10Km - 4G 800</t>
  </si>
  <si>
    <t>Module Newsite đấu trạm 1GE 10Km - 4G 1800</t>
  </si>
  <si>
    <t>Thiết bị SRT vendor Juniper</t>
  </si>
  <si>
    <t>Site router (loại 100G)</t>
  </si>
  <si>
    <t xml:space="preserve">Module SFP+ 10GE, SM, 10km </t>
  </si>
  <si>
    <t xml:space="preserve">Module SFP+ 10GE, SM, 40km </t>
  </si>
  <si>
    <t>Module SFP+ 10GE, SM, 80km</t>
  </si>
  <si>
    <t>Line card 130G (MPC3E-NG)</t>
  </si>
  <si>
    <t>MIC 4 port 10G XFP</t>
  </si>
  <si>
    <t>Module XFP 10G-10km</t>
  </si>
  <si>
    <t>Module XFP 10G-40km</t>
  </si>
  <si>
    <t>Module XFP 10G-80km</t>
  </si>
  <si>
    <t>Patch cord sợi đôi</t>
  </si>
  <si>
    <t>Thiết bị SRT vendor Huawei</t>
  </si>
  <si>
    <t>Module electrical 10/100/1000 RJ45</t>
  </si>
  <si>
    <t>Module 10GE, SM, 10km</t>
  </si>
  <si>
    <t>Module 10GE, SM, 40km</t>
  </si>
  <si>
    <t>Module 10GE, SM, 80km</t>
  </si>
  <si>
    <t>Chasiss MX960</t>
  </si>
  <si>
    <t>SCBE3-MX-BB</t>
  </si>
  <si>
    <t>RE-S-X6-128G</t>
  </si>
  <si>
    <t>Card 4x100GE</t>
  </si>
  <si>
    <t>Module 100GE, SM, 10km</t>
  </si>
  <si>
    <t>Module 100GE, SM, 40km</t>
  </si>
  <si>
    <t>Module 100GE, SM, 80km</t>
  </si>
  <si>
    <t>NetEngine 8000 (include rack, CB, cable,…)</t>
  </si>
  <si>
    <t>2-Port 100G</t>
  </si>
  <si>
    <t>10-Port 10GE</t>
  </si>
  <si>
    <t>Module 100G 10km</t>
  </si>
  <si>
    <t>Module 100G 40km</t>
  </si>
  <si>
    <t>Module 100G 80km</t>
  </si>
  <si>
    <t>Chasiss (Full box)</t>
  </si>
  <si>
    <t>Card 40x10GE</t>
  </si>
  <si>
    <t>Card 8x100GE (2x400GE)</t>
  </si>
  <si>
    <t>Module 400GE, SM, 10km</t>
  </si>
  <si>
    <t>Core vùng Juniper</t>
  </si>
  <si>
    <t>Card 40x10GE SFP+</t>
  </si>
  <si>
    <t>Module 10GE, SM, 10km (SFP)</t>
  </si>
  <si>
    <t>Chassis</t>
  </si>
  <si>
    <t>patchcord</t>
  </si>
  <si>
    <t>IGW</t>
  </si>
  <si>
    <t>Chasiss mới</t>
  </si>
  <si>
    <t>48*10GE line card for NE40E-X8A</t>
  </si>
  <si>
    <t>Card 4x100GE for NE40E-X8A</t>
  </si>
  <si>
    <t>Card 36x10GE SFP+</t>
  </si>
  <si>
    <t>Card 5x100GE</t>
  </si>
  <si>
    <t>P router</t>
  </si>
  <si>
    <t>Chasiss</t>
  </si>
  <si>
    <t>Card 2x400GE</t>
  </si>
  <si>
    <t>PE PS</t>
  </si>
  <si>
    <t>Chasiss new (Full box)</t>
  </si>
  <si>
    <t>4*100GE line card for NE40E-X8A (bao gồm card và MIC)</t>
  </si>
  <si>
    <t>Module 1000BASE-TX, RJ45</t>
  </si>
  <si>
    <t>Module 1000BASE-X, SM, LX 10km</t>
  </si>
  <si>
    <t>PE CĐ</t>
  </si>
  <si>
    <t>Card 36x10GE SFP+ cho NE8000-X8</t>
  </si>
  <si>
    <t>Card 5x100GE (bao gồm card và MIC) cho NE8000-X8</t>
  </si>
  <si>
    <t>8*100GE line card for NE40E-X8</t>
  </si>
  <si>
    <t>2*100GE line card for NE40E-X8A (bao gồm card và MIC)</t>
  </si>
  <si>
    <t>DCN/Intranet Network</t>
  </si>
  <si>
    <t>DCN  access switch L3</t>
  </si>
  <si>
    <t>Patch cord</t>
  </si>
  <si>
    <t>MPBN Network</t>
  </si>
  <si>
    <t>Chassis PE-MPBN new</t>
  </si>
  <si>
    <t>Card 24x10GE SFP+ for NE40E-X8A</t>
  </si>
  <si>
    <t>Tủ rack, phụ kiện triển khai cache</t>
  </si>
  <si>
    <t>Module cosite - 1GE-10km - Cosite 800</t>
  </si>
  <si>
    <t>Module cosite - 1GE-10km - Cosite 1800</t>
  </si>
  <si>
    <t>Module cosite - 1GE-10km - Cosite 700</t>
  </si>
  <si>
    <t>Module cosite - 1GE-10km - Cosite 2600 (cắm vào 150 SRT hiện hữu)</t>
  </si>
  <si>
    <t xml:space="preserve">Module new site - 10GE-10km - </t>
  </si>
  <si>
    <t>Module uplink newsite 10GE, SM, 10km (chèn ring)</t>
  </si>
  <si>
    <t>Module uplink newsite 10GE, SM, 40km (chèn ring)</t>
  </si>
  <si>
    <t>Module uplink newsite 10GE, SM, 80km (chèn ring)</t>
  </si>
  <si>
    <t>Module uplink newsite 1GE, SM, 10km (đấu nối đuôi acx2100/viba)</t>
  </si>
  <si>
    <t>Module uplink newsite 1GE, SM, 40km (đấu nối đuôi acx2100/viba)</t>
  </si>
  <si>
    <t>Module uplink newsite 1GE, SM, 80km (đấu nối đuôi acx2100/viba)</t>
  </si>
  <si>
    <t>Module điện 10/100/1000 RJ45 cho giám sát tủ nguồn, viba</t>
  </si>
  <si>
    <t>SRT</t>
  </si>
  <si>
    <t>SRT swap và phát triển mới (include CB, cable,…) 100G</t>
  </si>
  <si>
    <t>Module  - 1GE-10km -2G</t>
  </si>
  <si>
    <t>Module  - 1GE-10km - 3G</t>
  </si>
  <si>
    <t>Module  - 1GE-10km - 4G</t>
  </si>
  <si>
    <t>Module 1GE đấu trạm mới 5G trạm hiện có</t>
  </si>
  <si>
    <t xml:space="preserve">Module 10GE, SM, 10km đấu trạm mới 5G </t>
  </si>
  <si>
    <t>License 2x10Ge (flexible allocation)</t>
  </si>
  <si>
    <t>Pcs</t>
  </si>
  <si>
    <t>E8</t>
  </si>
  <si>
    <t>F2</t>
  </si>
  <si>
    <t>License NCE</t>
  </si>
  <si>
    <t>License Node AGG</t>
  </si>
  <si>
    <t>License Node SRT</t>
  </si>
  <si>
    <t>License NCE (đơn giá node)</t>
  </si>
  <si>
    <t>Ghi chú</t>
  </si>
  <si>
    <t>Cosite trên 802 vị trí triển khai 4G DL</t>
  </si>
  <si>
    <t>Triển khai 208 vị trí triển khai vùng phủ mới cho 4G kết hợp cosite 2G, tổng chi phí dự kiến 3.5M USD</t>
  </si>
  <si>
    <t>- 2G: 
+) Bổ sung thêm 101 vị trí mới cho lưu lượng nhằm đáp ứng nhu cầu KD và giảm TU mạng 2G
+) Bổ sung thêm 48 trạm cosite 900MHz 
- 4/5G: +) 802 tủ MM 2.6+3.5GHz, 157 card BB, 83 sector 800, 293 sector 700, 197 sector 1800.</t>
  </si>
  <si>
    <t>+) Swap anten đa băng 200tram/năm: 360K USD</t>
  </si>
  <si>
    <t>+) Gói công cụ tối ưu mạng thử nghiệm (CEM): dự kiến 200K USD</t>
  </si>
  <si>
    <t>+) Gói UCTT: dự kiến 2.5M USD</t>
  </si>
  <si>
    <t>Năm 2027: nâng cấp software cho 3 CloudSE2980 MGW từ 1 V5R23, 2 V5R24 lên V5R25.</t>
  </si>
  <si>
    <t>Các DB quan trọng của hệ thống core di động đang có tuổi đời cao, cần thay thế phần cứng mới và chuyển đổi / nâng cấp version oracle.
- DB ERP Primary (quá 8 năm, dòng chip cũ Intel(R) Xeon(R) CPU E7- 4870  @ 2.40GHz)
- DB ERP Standby (quá niên hạn 8 năm)
- DB CDR standby (dòng chip cũ Intel(R) Xeon(R) CPU E5-2630 v2 @ 2.60GHz)
- DB Report (quá niên hạn 8 năm)
- DB IMPORT (quá niên hạn 8 năm)</t>
  </si>
  <si>
    <t>- 10 server Dell dòng chip cũ Intel(R) Xeon(R) Silver 4110 đầu tư năm 2020 phục vụ cho các dịch vụ: VAS, MPS,  ERP, provisioning, GHR , NCMS, VCGW, VASGW...
- 2 server Dell dòng chip cũ Intel(R) Xeon(R) Silver 4110 CPU @ 2.10GHz đầu tư năm 2020 phục vụ cho các VM Billing GW
- 4 server Dell dòng chip Intel(R) Xeon(R) Silver 4214R CPU đầu tư năm 2021 phục vụ cho các dịch vụ: web_portal_MyMovitel, các dịch vụ VAS, MCA, API_Mymovitel, Myclip, NIMS,..</t>
  </si>
  <si>
    <t>- Thay thế server datalake dòng HP DL380 GEN10 PLUS đầu tư năm 2022.</t>
  </si>
  <si>
    <t>1 RACK chứa 8-10 server + 2 thiết bị mạng. Với số lượng trên thì đầu tư 3 RACK 42u
1 RACK dành riêng cho hệ thống Lab Test</t>
  </si>
  <si>
    <t xml:space="preserve">Theo mục tiêu đảm bảo license core ví theo kịp với số lượng license đang sử dụng bởi MMola.
Kế hoạch mua 690mTPM trong 2 năm 2027 và 2028. (nâng lũy kế license lên 1200mTPM đến hết 2028)
- 2025 đã submit kế hoạch mua 510mTPM
- 2026 lên kế hoạch mua nốt 180mTPM </t>
  </si>
  <si>
    <t>Thay thế thiết bị hết niên hạn sử dụng theo HD.VTNet.TK.24/CĐ</t>
  </si>
  <si>
    <t>Khắc phục điểm nóng cục bộ</t>
  </si>
  <si>
    <t>Tối ưu hệ thống làm mát</t>
  </si>
  <si>
    <t>Nâng cấp DCIM</t>
  </si>
  <si>
    <t>2 MBA sử dụng từ 2011, đã xảy ra rò rỉ dầu làm mát, theo quy định tối đa sử dụng 20 năm. Đề xuất thay trong 2028 để đảm bảo an toàn (kèm cả tủ RMU)</t>
  </si>
  <si>
    <t>Dịch vụ lắp đặt trạm mới VP</t>
  </si>
  <si>
    <t>Dịch vụ lắp đặt trạm mới VP có điện</t>
  </si>
  <si>
    <t>Dịch vụ lắp đặt hạng mục Battery</t>
  </si>
  <si>
    <t>Dịch vụ lắp đặt LIB 48V-100Ah</t>
  </si>
  <si>
    <t>Dịch vụ lắp đặt Battery Lithium minishelter</t>
  </si>
  <si>
    <t>Dịch vụ lắp đặt Genset</t>
  </si>
  <si>
    <t>Dịch vụ lắp đặt Diesel  Genset 1P-220V 12kVA  (+ Fuel tank 500L/600L)</t>
  </si>
  <si>
    <t>Dịch vụ lắp đặt ATS/Timer</t>
  </si>
  <si>
    <t>Dịch vụ lắp đặt ATS outdoor</t>
  </si>
  <si>
    <t>Dịch vụ lắp đặt DC  Power System</t>
  </si>
  <si>
    <t>Dịch vụ lắp đặt IPS with solar</t>
  </si>
  <si>
    <t>Dịch vụ lắp đặt IPS minishelter (include controler, subrack,…)</t>
  </si>
  <si>
    <t>Dịch vụ lắp đặt Rectifier 3000W</t>
  </si>
  <si>
    <t>Dịch vụ lắp đặt Solar converter 3000W</t>
  </si>
  <si>
    <t>Dịch vụ lắp đặt Solar system</t>
  </si>
  <si>
    <t>Dịch vụ lắp đặt Hệ thống ≥8000W (gồm tấm pin + khung giá)</t>
  </si>
  <si>
    <t>Dịch vụ lắp đặt Hệ thống ≥12000W (gồm tấm pin + khung giá)</t>
  </si>
  <si>
    <t>Dịch vụ lắp đặt Mornitoring</t>
  </si>
  <si>
    <t>Dịch vụ lắp đặt AC-V1 Alarm</t>
  </si>
  <si>
    <t>Dịch vụ lắp đặt DAQ-V2</t>
  </si>
  <si>
    <t>Dịch vụ lắp đặt Converter quang 4FE</t>
  </si>
  <si>
    <t>Dịch vụ lắp đặt Module SFP</t>
  </si>
  <si>
    <t>Dịch vụ lắp đặt Trạm mới VP không điện</t>
  </si>
  <si>
    <t>Dịch vụ lắp đặt Battery</t>
  </si>
  <si>
    <t>Dịch vụ lắp đặt Hệ thống ≥16000W (gồm tấm pin + khung giá)</t>
  </si>
  <si>
    <t>Dịch vụ lắp đặt Hệ thống ≥20000W (gồm tấm pin + khung giá)</t>
  </si>
  <si>
    <t>Dịch vụ lắp đặt Trạm mới DL</t>
  </si>
  <si>
    <t>Dịch vụ lắp đặt Trạm mới DL có điện</t>
  </si>
  <si>
    <t>Dịch vụ lắp đặt Trạm mới DL không điện</t>
  </si>
  <si>
    <t>Dịch vụ lắp đặt Trạm main node mới</t>
  </si>
  <si>
    <t>Dịch vụ lắp đặt Solar DC System (Indoor)</t>
  </si>
  <si>
    <t>Dịch vụ lắp đặt Solar Power System (Include Cabinet, Controller)</t>
  </si>
  <si>
    <t>Dịch vụ lắp đặt Solar Converter 3000W</t>
  </si>
  <si>
    <t>Dịch vụ lắp đặt Diesel  Genset 3P-380V 30kVA  (+ Fuel tank 500L/600L)</t>
  </si>
  <si>
    <t>Dịch vụ lắp đặt Rack ắc quy</t>
  </si>
  <si>
    <t>Dịch vụ lắp đặt ATS-3P</t>
  </si>
  <si>
    <t>Dịch vụ lắp đặt Tủ nguồn AC</t>
  </si>
  <si>
    <t>Dịch vụ lắp đặt Tủ AC - V5-3P</t>
  </si>
  <si>
    <t>Dịch vụ lắp đặt Cảnh báo Khói</t>
  </si>
  <si>
    <t>Dịch vụ lắp đặt Cảnh báo mở cửa</t>
  </si>
  <si>
    <t>Dịch vụ lắp đặt Điều hòa</t>
  </si>
  <si>
    <t>Dịch vụ lắp đặt Điều hòa 18kBTU</t>
  </si>
  <si>
    <t>Dịch vụ lắp đặt Cosite vùng phủ</t>
  </si>
  <si>
    <t>Dịch vụ lắp đặt DC system</t>
  </si>
  <si>
    <t>Dịch vụ lắp đặt Rectifier 3000W-Vendor Vertiv/Emerson</t>
  </si>
  <si>
    <t>Dịch vụ lắp đặt Rectifier 3000W - Vendor ZTE V5</t>
  </si>
  <si>
    <t>Dịch vụ lắp đặt Rectifier - Vendor Agission</t>
  </si>
  <si>
    <t>Dịch vụ lắp đặt Rectifier 3000W - Vendor ZTE V6</t>
  </si>
  <si>
    <t>Dịch vụ lắp đặt Rectifier - Vendor VMC</t>
  </si>
  <si>
    <t>Dịch vụ lắp đặt Rectifier - Vendor Huawei</t>
  </si>
  <si>
    <t>Dịch vụ lắp đặt Solar converter</t>
  </si>
  <si>
    <t>Dịch vụ lắp đặt ATS-3P (outdoor/indoor)</t>
  </si>
  <si>
    <t>Dịch vụ lắp đặt Diesel  Genset 3P-380V 50kVA  (+ Fuel tank 500L/600L)</t>
  </si>
  <si>
    <t>Dịch vụ lắp đặt CB 125A</t>
  </si>
  <si>
    <t>Dịch vụ lắp đặt Cosite dung lượng</t>
  </si>
  <si>
    <t>Dịch vụ lắp đặt Kiên cố, củng cố</t>
  </si>
  <si>
    <t>Dịch vụ lắp đặt Trạm main node</t>
  </si>
  <si>
    <t>Dịch vụ lắp đặt Normal DC System (Indoor)</t>
  </si>
  <si>
    <t>Dịch vụ lắp đặt DC Power System (Include Cabinet, Controller)</t>
  </si>
  <si>
    <t>Dịch vụ lắp đặt Pin mặt trời</t>
  </si>
  <si>
    <t>Dịch vụ lắp đặt Khác</t>
  </si>
  <si>
    <t>Dịch vụ lắp đặt Thông gió lọc bụi (Loại 2 chụp lọc, có điều khiển)</t>
  </si>
  <si>
    <t>Dịch vụ lắp đặt Thiết bị khác</t>
  </si>
  <si>
    <t>Dịch vụ lắp đặt Trạm BTS truy nhập</t>
  </si>
  <si>
    <t>Dịch vụ lắp đặt Portable battery</t>
  </si>
  <si>
    <t>Dịch vụ lắp đặt Gasoline 1P-220V 10.6kVA</t>
  </si>
  <si>
    <t>Dịch vụ lắp đặt Máy phát điện thay thế hỏng hóc</t>
  </si>
  <si>
    <t>Dịch vụ lắp đặt Máy phát điện cho trạm kinh doanh tốt</t>
  </si>
  <si>
    <t>Dịch vụ lắp đặt ATS-1P</t>
  </si>
  <si>
    <t>Dịch vụ lắp đặt ATS-3P indoor</t>
  </si>
  <si>
    <t>Dịch vụ lắp đặt ATS-3P outdoor</t>
  </si>
  <si>
    <t>Dịch vụ lắp đặt Tủ AC - V5-1P</t>
  </si>
  <si>
    <t>Dịch vụ lắp đặt Triển khai PMT cho trạm điện giá cao</t>
  </si>
  <si>
    <t>Dịch vụ lắp đặt Hệ thống dàn PMT</t>
  </si>
  <si>
    <t>Dịch vụ lắp đặt Nâng cấp PMT trạm không điện</t>
  </si>
  <si>
    <t>Dịch vụ lắp đặt Vật tư khác</t>
  </si>
  <si>
    <t>Dịch vụ lắp đặt Convert quang FE 4 cổng điện, 1 cổng quang</t>
  </si>
  <si>
    <t>Dịch vụ lắp đặt Quả cầu chữa cháy tự động</t>
  </si>
  <si>
    <t>Dịch vụ lắp đặt Smart DCDU</t>
  </si>
  <si>
    <t>Dịch vụ lắp đặt Bộ xạc bù acquy 12V</t>
  </si>
  <si>
    <t>Dịch vụ lắp đặt Cắt lọc sét MOV, SPD SC(R)100/385 | MOV surge protector</t>
  </si>
  <si>
    <t>Dịch vụ lắp đặt Cắt lọc sét sơ cấp GZ</t>
  </si>
  <si>
    <t>Dịch vụ lắp đặt Cảnh báo AC-V1</t>
  </si>
  <si>
    <t>Dịch vụ lắp đặt Cảnh báo khói</t>
  </si>
  <si>
    <t>Dịch vụ lắp đặt Máy biến áp</t>
  </si>
  <si>
    <t>Dịch vụ lắp đặt Thông gió trực tiếp cho AGG CX960</t>
  </si>
  <si>
    <t>SBC</t>
  </si>
  <si>
    <t>Hệ thống giám sát chất lượng Roaming</t>
  </si>
  <si>
    <t>Phần mềm giám sát chất lượng dịch vụ Roaming</t>
  </si>
  <si>
    <t>Phần cứng hệ thống giám sát Roaming</t>
  </si>
  <si>
    <t>Dịch vụ triển khai cho hệ thống giám sát Roaming</t>
  </si>
  <si>
    <t>PS FW Hardware</t>
  </si>
  <si>
    <t>PS FW Software</t>
  </si>
  <si>
    <t>PS Cloud DNS Hardware 
(external, internal DNS)</t>
  </si>
  <si>
    <t>PS Cloud DNS Software 
(external, internal DNS)</t>
  </si>
  <si>
    <t>incl</t>
  </si>
  <si>
    <t>Swap: PS FW Hardware</t>
  </si>
  <si>
    <t>Swap: PS FW Software</t>
  </si>
  <si>
    <t>Swap: PS Cloud DNS Hardware 
(external, internal DNS)</t>
  </si>
  <si>
    <t>Swap: PS Cloud DNS Software 
(external, internal DNS)</t>
  </si>
  <si>
    <t>PS 2G/3G/4G Software SAU</t>
  </si>
  <si>
    <t>PS 2G/3G/4G Software PDP</t>
  </si>
  <si>
    <t>PDP</t>
  </si>
  <si>
    <t>PS 5G NSA Software SAU</t>
  </si>
  <si>
    <t>PS  5G NSA Software PDP</t>
  </si>
  <si>
    <t>PS 5G NSA Software Mbps</t>
  </si>
  <si>
    <t>PS upgrade software</t>
  </si>
  <si>
    <t>PS upgrade service</t>
  </si>
  <si>
    <t>IMS upgrade software</t>
  </si>
  <si>
    <t>IMS upgrade service</t>
  </si>
  <si>
    <t>UDM upgrade software</t>
  </si>
  <si>
    <t>UDM upgrade service</t>
  </si>
  <si>
    <t>IMS swap SW</t>
  </si>
  <si>
    <t>IMS swap HW</t>
  </si>
  <si>
    <t>IMS deployment service</t>
  </si>
  <si>
    <t>PS Hardware extra PDP</t>
  </si>
  <si>
    <t>Swap: PS 2G/3G/4G Software PDP</t>
  </si>
  <si>
    <t>Swap: PS 2G/3G/4G Software Mbps</t>
  </si>
  <si>
    <t>Swap: PS Hardware PDP</t>
  </si>
  <si>
    <t>Swap: PS Hardware Mbps</t>
  </si>
  <si>
    <t>Swap: PS Software extra PDP</t>
  </si>
  <si>
    <t>Swap: PS Hardware extra PDP</t>
  </si>
  <si>
    <t>PS 5G SA Software and Hardware Mbps</t>
  </si>
  <si>
    <t>PS 5G SA Software and Hardware SAU</t>
  </si>
  <si>
    <t>PS 5G SA Software and Hardware PDP</t>
  </si>
  <si>
    <t>Deploy trial 5G SA Package</t>
  </si>
  <si>
    <t>H=3M (Cột cóc)</t>
  </si>
  <si>
    <t>H=12M</t>
  </si>
  <si>
    <t>H=18M</t>
  </si>
  <si>
    <t>H=24M</t>
  </si>
  <si>
    <t>H=30M</t>
  </si>
  <si>
    <t>H=36M</t>
  </si>
  <si>
    <t>H=44M</t>
  </si>
  <si>
    <t>H=49.5M</t>
  </si>
  <si>
    <t>H=55M</t>
  </si>
  <si>
    <t>H=60.5M</t>
  </si>
  <si>
    <t>H=72M</t>
  </si>
  <si>
    <t>H=77M</t>
  </si>
  <si>
    <t>Cột tự đứng 30M</t>
  </si>
  <si>
    <t>Cột tự đứng 35M</t>
  </si>
  <si>
    <t>Cột tự đứng 44M</t>
  </si>
  <si>
    <t>Hapulico 22m</t>
  </si>
  <si>
    <t>Hapulico 28m</t>
  </si>
  <si>
    <t>Nhà C05</t>
  </si>
  <si>
    <t>Hàng rào</t>
  </si>
  <si>
    <t>Nhà</t>
  </si>
  <si>
    <t>trạm</t>
  </si>
  <si>
    <t>Vật tư thiết bị  HTML vùng phủ</t>
  </si>
  <si>
    <t>Vật tư thiết bị  HTML dung lượng</t>
  </si>
  <si>
    <t>Vật tư thiết bị củng cố kiên cố</t>
  </si>
  <si>
    <t>Cột bao</t>
  </si>
  <si>
    <t>Thay thế cột co hỏng hóc</t>
  </si>
  <si>
    <t>Xây dựng móng trạm vùng phủ</t>
  </si>
  <si>
    <t>Nhà máy nổ 2.7x1.7</t>
  </si>
  <si>
    <t>Minishelter</t>
  </si>
  <si>
    <t>vị trí</t>
  </si>
  <si>
    <t>Xây dựng móng trạm dung lượng</t>
  </si>
  <si>
    <t>Lắp dựng trạm vùng phủ</t>
  </si>
  <si>
    <t>Lắp dựng trạm dung lượng</t>
  </si>
  <si>
    <t>Lắp thiết bị BTS mới trạm vùng phủ</t>
  </si>
  <si>
    <t>Lắp thiết bị BTS mới trạm vùng dung lượng</t>
  </si>
  <si>
    <t>5m &lt; H ≤ 24m</t>
  </si>
  <si>
    <t>27.5m &lt; H ≤ 33m</t>
  </si>
  <si>
    <t>33m &lt; H ≤ 38.5m</t>
  </si>
  <si>
    <t>38.5m &lt; H ≤ 44m</t>
  </si>
  <si>
    <t>44m &lt; H ≤ 49.5m</t>
  </si>
  <si>
    <t>49.5m &lt; H ≤ 55m</t>
  </si>
  <si>
    <t>55m &lt; H ≤ 60m</t>
  </si>
  <si>
    <t>60m &lt; H ≤ 66m</t>
  </si>
  <si>
    <t>66m &lt; H ≤ 72m</t>
  </si>
  <si>
    <t>72m &lt; H ≤78m</t>
  </si>
  <si>
    <t>Xây dựng hàng rào thép chống trộm cho trạm</t>
  </si>
  <si>
    <t>Xây dựng + lắp đặt hàng rào thép</t>
  </si>
  <si>
    <t>Lắp đặt hàng rào thép (móng có sẵn)</t>
  </si>
  <si>
    <t>Xây dựng nhà máy nổ</t>
  </si>
  <si>
    <t>Sector 4G twinbeam trạm  dung lượng</t>
  </si>
  <si>
    <t>5m &lt; H ≤ 9m</t>
  </si>
  <si>
    <t>9m &lt; H ≤ 18m</t>
  </si>
  <si>
    <t>21m &lt; H ≤27.5m</t>
  </si>
  <si>
    <t>RRU 2G cosite trạm  dung lượng</t>
  </si>
  <si>
    <t>RRU 4G cosite trạm  dung lượng</t>
  </si>
  <si>
    <t>RRU 5G cosite trạm  dung lượng</t>
  </si>
  <si>
    <t>Bộ STS AC cho thiết bị 1 chân nguồn</t>
  </si>
  <si>
    <t xml:space="preserve">NodeB 8T8R MIMO 2.6GHz </t>
  </si>
  <si>
    <t>Spine</t>
  </si>
  <si>
    <t xml:space="preserve">SRT - Newsite </t>
  </si>
  <si>
    <t>Nâng cấp ring SRT do lưu lượng tăng vendor Juniper</t>
  </si>
  <si>
    <t>Thiết bị SRT vendor Juniper phát triển mới</t>
  </si>
  <si>
    <t>Nâng cấp ring SRT do lưu lượng tăng vendor Huawei</t>
  </si>
  <si>
    <t>Thiết bị SRT vendor Huawei phát triển mới</t>
  </si>
  <si>
    <t>License NCE Huawei</t>
  </si>
  <si>
    <t>Thiết bị mới</t>
  </si>
  <si>
    <t>MBPN Network</t>
  </si>
  <si>
    <t>Firewall DCN, server</t>
  </si>
  <si>
    <t>Firewall DCN</t>
  </si>
  <si>
    <t>Trực tiếp kinh doanh (ví điện tử)</t>
  </si>
  <si>
    <t>DWDM Nâng cấp dung lượng trục 1A, 1B, 1C,KNQT</t>
  </si>
  <si>
    <t>Bước sóng 400G cho trục 1C mới</t>
  </si>
  <si>
    <t>DWDM AGG-AGG</t>
  </si>
  <si>
    <t>Bước sóng 100G có lặp ( 1 lặp)</t>
  </si>
  <si>
    <t>Công cụ, dụng cụ</t>
  </si>
  <si>
    <t>Fast connector Tool</t>
  </si>
  <si>
    <t>UDM</t>
  </si>
  <si>
    <t>UDM 2G/3G FE SW</t>
  </si>
  <si>
    <t>UDM 2G/3G BE SW</t>
  </si>
  <si>
    <t>UDM 4G FE SW</t>
  </si>
  <si>
    <t>UDM 4G BE SW</t>
  </si>
  <si>
    <t>UDM IMS FE SW</t>
  </si>
  <si>
    <t>UDM IMS BE SW</t>
  </si>
  <si>
    <t>UDM 5G FE SW</t>
  </si>
  <si>
    <t>UDM 5G BE SW</t>
  </si>
  <si>
    <t>UDM 2G/3G FE HW</t>
  </si>
  <si>
    <t>UDM 2G/3G BE HW</t>
  </si>
  <si>
    <t>UDM 4G FE HW</t>
  </si>
  <si>
    <t>UDM 4G BE HW</t>
  </si>
  <si>
    <t>UDM IMS FE HW</t>
  </si>
  <si>
    <t>UDM IMS BE HW</t>
  </si>
  <si>
    <t>UDM 5G FE HW</t>
  </si>
  <si>
    <t>UDM 5G BE HW</t>
  </si>
  <si>
    <t>UDM newbuid service</t>
  </si>
  <si>
    <t>Đầu tư IMS cho đáp ưng tăng trưởng VoLTE chuyển dịch công nghệ:
Năm 2026: Đầu tư 1 IMS phần cứng 2M VoLTE/VoNR mới ở tổng trạm Maputo và phần mềm 1M VoLTE/VoNR. Dịch vụ triển khai.
 (Theo QHĐC 2026 đã kí thì mua 1 IMS 2M đặt ở tổng trạm Maputo (những năm sau mua tiếp gối đầu để đảm bảo dự phòng N+1). Tuy nhiên, thị trường MVT đã tự điều chỉnh thành mua 2 IMS 1M đặt ở 2 tổng trạm, lí do MVT muốn đưa đảm bảo dự phòng luôn ngay khi có thuê bao VoLTE vào để đáp ứng KD nhưng đến T9/2026 vẫn chưa kí HĐ, dự kiến Q3/2027 mới đưa vào dịch vụ).</t>
  </si>
  <si>
    <t>SAU</t>
  </si>
  <si>
    <t>PS 2G/3G/4G Software Mbps</t>
  </si>
  <si>
    <t>PS 2G/3G/4G/5G NSA Hardware SAU</t>
  </si>
  <si>
    <t>PS 2G/3G/4G/5G NSA Hardware PDP</t>
  </si>
  <si>
    <t>PS 2G/3G/4G/5G NSA Hardware Mbps</t>
  </si>
  <si>
    <t>Gói Thử nghiệm 5G SA trên 5GC, UDM mới với dung lượng 10K SAU 5G SA, 20K PDP 5G SA và 10Gbps BW.</t>
  </si>
  <si>
    <t>2026: Đầu tư 1 SMSC VHT với 3000 MOMT/s ở tổng trạm Nampula. Đảm bảo 3+1 dự phòng mức node.</t>
  </si>
  <si>
    <t>Nâng cấp software cho MSC</t>
  </si>
  <si>
    <t>Nâng cấp software cho PS Core</t>
  </si>
  <si>
    <t>Nâng cấp software cho IMS</t>
  </si>
  <si>
    <t>Nâng cấp software cho UDM</t>
  </si>
  <si>
    <t>Dự phòng đầu tư cho thử nghiệm quy mô nhỏ: hệ thống giám sát chất lượng dịch vụ Roaming theo đề nghị Thị trường MVT.
Rủi ro: Hợp tác với VCS, lần đầu cung cấp giải pháp, PoC.
Note: Làm rõ tính khả thi, hiệu quả mang lại và các điều kiện mạng lưới trước khi đầu tư.
ưu tiên 2 (cắt nếu vượt budget)
Đơn giá theo giá VCS chào.
Huawei chào: Trial/Demo roaming outbound cùng gói hệ thống giám sát CLM Vô tuyến. Để đánh giá hiệu quả.</t>
  </si>
  <si>
    <t>Tính năng Bypass tự động Rx, Ro cho IMS</t>
  </si>
  <si>
    <t>Vật tư dự phòng uctt theo đề xuất đảm bảo vhkt của Thị trường MVT</t>
  </si>
  <si>
    <t>MSC/GMSC</t>
  </si>
  <si>
    <t>Swap: PS 5G NSA Software SAU</t>
  </si>
  <si>
    <t>Swap: PS 5G NSA Software PDP</t>
  </si>
  <si>
    <t>Swap: PS 5G NSA Software Mbps</t>
  </si>
  <si>
    <t>UDM swap 2G/3G FE SW</t>
  </si>
  <si>
    <t>Swap phần mềm từ HSS sang UDM mới:
UDM: 2G/3G: 11.1M FE/23M BE; 4G: 1.65M FE/7M BE; IMS: 650K FE/2.1M BE; 5G: 50K FE/50K BE. Giá bằng 40% của giá license
Hiện đại hóa phần cứng Cloud do EoS ATCA.
2026: Phần cứng: Đã đầu tư bổ sung 1 cặp UDM để mục tiêu ngắn hạn là chạy song song (chia tải) với HSS ATCA, dài hạn là sẵn sàng thay thế HSS ATCA. Dung lượng phần cứng UDM: 30M FE, 90M BE (tính theo tổng lũy kế license 2G/3G, 4G, IMS/VoLTE, 5GNSA cho phần cứng)</t>
  </si>
  <si>
    <t>UDM swap 2G/3G BE SW</t>
  </si>
  <si>
    <t>UDM swap 4G FE SW</t>
  </si>
  <si>
    <t>UDM swap 4G BE SW</t>
  </si>
  <si>
    <t>UDM swap IMS FE SW</t>
  </si>
  <si>
    <t>UDM swap IMS BE SW</t>
  </si>
  <si>
    <t>UDM swap 5G FE SW</t>
  </si>
  <si>
    <t>UDM swap 5G BE SW</t>
  </si>
  <si>
    <t>UDM swap 2G/3G FE HW</t>
  </si>
  <si>
    <t>UDM swap 2G/3G BE HW</t>
  </si>
  <si>
    <t>UDM swap 4G FE HW</t>
  </si>
  <si>
    <t>UDM swap 4G BE HW</t>
  </si>
  <si>
    <t>UDM swap IMS FE HW</t>
  </si>
  <si>
    <t>UDM swap IMS BE HW</t>
  </si>
  <si>
    <t>UDM swap 5G FE HW</t>
  </si>
  <si>
    <t>UDM swap 5G BE HW</t>
  </si>
  <si>
    <t>UDM expansion service</t>
  </si>
  <si>
    <t>UDM movement service</t>
  </si>
  <si>
    <t>UDM SW upgrade</t>
  </si>
  <si>
    <t>Cáp quang mới cho trạm dung lượng</t>
  </si>
  <si>
    <t>Đáp ứng tăng trưởng thuê bao đến T12/2028:
'- Phần mềm: UDM: 2G/3G: 3M FE/9M BE; 4G: 2M FE/6M BE; 5G: 500K FE/2M BE</t>
  </si>
  <si>
    <t>Đầu tư đáp ứng tăng trưởng kinh doanh thuê bao data 4G, 5G NSA, FWA đến T12/2028:
Profile SAU/PDP/BW=1/1.5/60.
'- Phần cứng:  5GC đặt tại TTr Nampula PSNA03 (bao gồm CloudDNS): 1500K SAU, 2250K PDP, 90Gbps BW và Extra BW 160Gbps. 260Gbps FW NAT. và dịch vụ triển khai.5GC đặt tại TTR Nampula
- Phần mềm: 4G: 1200K SAU, 1800K PDP, BW 72G. 5G: 300K SAU, 450K PDP, BW 18G, extra BW 47G. FW 140G. cho PSNA02 và PSMP05.</t>
  </si>
  <si>
    <t>Đầu tư hiện đại hóa mạng lưới do 3 PS ATCA đã EoS. Chuyển lên 5GC Cloud.
Profile SAU/PDP/BW=1/1.5/60.
'- Swap phần cứng cho 3 PS ATCA: 5GC đặt tại TTr Maputo PSMP06 (bao gồm CloudDNS): 1500K SAU, 2250K PDP, 90Gbps BW và Extra BW 160Gbps. 260Gbps FW NAT. và dịch vụ triển khai.
- Swap phần mềm cho 3 PS ATCA: 5GC Maputo PSMP06 (bao gồm CloudDNS): 1200K SAU 2G/3G; 800K SAU 2G/3G/4G, 175G BW. FW 180G. Đơn giá swap licenese = 40% đơn giá license.</t>
  </si>
  <si>
    <t>Hiện đại hóa phần cứng SBC Cloud do EoS phần cứng cũ và đảm bảo An toàn thông tin mạng lưới. Vị trí 2 SBC: 01 tại TTr Maputo, 01 tại Nampula.
'2027:
'- SBC quốc tế: Thay thế cặp SBC EoS hardware. Đầu tư mới 2 cặp SBC mới (dung lượng 2K Session cho mỗi cặp SBC phần cứng). License pool 2K Session.
- SBC ngoại mạng: Đầu tư mới 2 cặp SBC mới (dung lượng 220K Session cho mỗi cặp SBC phần cứng). License pool 220K Session.
-  Dịch vụ triển khai.
Điều kiện VHKT đảm bảo: Toàn bộ kết nối ngoại mạng phải chuyển hết từ STM1 sang SIP.</t>
  </si>
  <si>
    <t>Hiện đại hóa: Đầu từ mới 02 USC cho báo hiệ. Ví trí đặt tại TTr: 01 tại TTr Maputo, 01 tại TTr Namputla:
- Phần mềm: 1 cặp STP với 70K MSU license pool (70K MSU/STP trong t/h không cung cấp được license pool).
- Phần cứng: 1 cặp STP với 100K MSU (Mỗi STP là 100K MSU).
- Phần mềm: 1 cặp DRA/DEA với 70K TPS license pool (70K TPS/DRA trong t/h không cung cấp được license pool).
- Phần cứng: 1 cặp DRA/DEA với 100K TPS (Mỗi DRA/DEA là 100K TPS)
7$/TPS, 7$/MSU.</t>
  </si>
  <si>
    <t>1.4</t>
  </si>
  <si>
    <t>STS cho thiết bị 1 chân nguồn</t>
  </si>
  <si>
    <t>Vật tư dự phòng UCTT</t>
  </si>
  <si>
    <t xml:space="preserve">ICOM2 BOARD </t>
  </si>
  <si>
    <t xml:space="preserve">Compressor for model PAC P2080 </t>
  </si>
  <si>
    <t xml:space="preserve">Controller board for model PAC P2080 </t>
  </si>
  <si>
    <t xml:space="preserve">Condensor Board for PAC P2080 </t>
  </si>
  <si>
    <t>EEV valve/ Van tiết lưu điện tử</t>
  </si>
  <si>
    <t>DRY FILTER</t>
  </si>
  <si>
    <t>Controler M831D</t>
  </si>
  <si>
    <t>Rectifier Module, 5800W</t>
  </si>
  <si>
    <t xml:space="preserve">50kVA Power Module </t>
  </si>
  <si>
    <t>Touch Screen with Monitor Board</t>
  </si>
  <si>
    <t>DC Inverter 35A AvO 380-480V 50/60Hz</t>
  </si>
  <si>
    <t>711-2-µPC small 24V AC unipolar EEV</t>
  </si>
  <si>
    <t>2.1</t>
  </si>
  <si>
    <t>VTDP cho ĐHCX Stulz 250kbtu</t>
  </si>
  <si>
    <t>511-2-Compressor ZR160KCE-TFD-455</t>
  </si>
  <si>
    <t>HP Switch 24,5/18 bar (CD)</t>
  </si>
  <si>
    <t>LP Switch 1/3 bar (CD)</t>
  </si>
  <si>
    <t>711-2-EVD evolution Twin HWT Carel RS485</t>
  </si>
  <si>
    <t>714-3-monitoring relay 380-480VAC RM22TR</t>
  </si>
  <si>
    <t>Temperature sensor NTC030WF00, L= 3m</t>
  </si>
  <si>
    <t>Temperature sensor NTC060WF00, L= 6m</t>
  </si>
  <si>
    <t>power circuit breaker PKZMC-4; 2,5-4A</t>
  </si>
  <si>
    <t>power circuit breaker PKZMC-16; 10-16A</t>
  </si>
  <si>
    <t>700-3-power circuit breaker PKZMC-20; 16</t>
  </si>
  <si>
    <t>700-3-power circuit breaker PKZMC-25; 20</t>
  </si>
  <si>
    <t>714-3-Contactor DILM7-10N 24V 50/60</t>
  </si>
  <si>
    <t>714-3 -Contactor DILM25-10N 24V 50/60</t>
  </si>
  <si>
    <t>714-3-contactor100-C90-KJ400 24V50/60</t>
  </si>
  <si>
    <t xml:space="preserve">714-2-Auxilliary switch block 100-SB11 </t>
  </si>
  <si>
    <t>CompTrol 7000 extension EBUS HW2</t>
  </si>
  <si>
    <t>713-2-speed control FCPM00A01K W.PC 34.5</t>
  </si>
  <si>
    <t>Fan Axial fan FB050-4EK.4I.V4P</t>
  </si>
  <si>
    <t>Freight + Insurance</t>
  </si>
  <si>
    <t>pack</t>
  </si>
  <si>
    <t>VTDP cho UPS Schneider</t>
  </si>
  <si>
    <t>Intelligence Modules</t>
  </si>
  <si>
    <t>Display</t>
  </si>
  <si>
    <t>NMC</t>
  </si>
  <si>
    <t>Static Switch Module</t>
  </si>
  <si>
    <t>System PSU</t>
  </si>
  <si>
    <t>Thị trường đấu trực tiếp về tủ nguồn DC</t>
  </si>
  <si>
    <t>SRT thị trường mua vẫn có port điện đấu giám sát cơ điện</t>
  </si>
  <si>
    <t>Năm 2027 đầu tư PMT 12h/Bat 8h để tối ưu capex đầu tư</t>
  </si>
  <si>
    <t>Đề xuất chuyển 1/2 số lượng MPĐ sang UT2</t>
  </si>
  <si>
    <t>Mua thay thế ZTE B201</t>
  </si>
  <si>
    <t>Sau khi cập nhật đơn giá server và thiết bị switch thì đơn giá tăng 63k USD/1 server và switch</t>
  </si>
  <si>
    <t>Server AAA</t>
  </si>
  <si>
    <t>Switch L3</t>
  </si>
  <si>
    <t>Server DNS</t>
  </si>
  <si>
    <t>UCTT</t>
  </si>
  <si>
    <t>Củng cố bền vững</t>
  </si>
  <si>
    <t>Dự phòng UCTT cáp quang, vật tư phụ kiện lớp truy nhập</t>
  </si>
  <si>
    <t>Mua công cụ, dụng cụ để bổ sung cho việc triển khai mới và swap hạ tầng AON sang GPON</t>
  </si>
  <si>
    <t>Mua vật tư phụ kiện để củng cố mạng cáp quang BRCĐ</t>
  </si>
  <si>
    <t>BTS 2G 1800_Cosite (exclued BB)</t>
  </si>
  <si>
    <t>BTS 2G 900_Cosite (exclued BB)</t>
  </si>
  <si>
    <t>D1</t>
  </si>
  <si>
    <t>Thiết bị máy chủ cho hệ thống VAS, Đâu tư, Tài chính, CSKH</t>
  </si>
  <si>
    <t>Máy chủ app</t>
  </si>
  <si>
    <r>
      <rPr>
        <b/>
        <sz val="10"/>
        <rFont val="Times New Roman"/>
        <family val="1"/>
      </rPr>
      <t xml:space="preserve">1. Năm 2027 (488k USD) </t>
    </r>
    <r>
      <rPr>
        <sz val="10"/>
        <rFont val="Times New Roman"/>
        <family val="1"/>
      </rPr>
      <t xml:space="preserve">
- Triển khai các giải pháp số hóa cho các lĩnh vực : VAS, Đâu tư, Tài chính, CSKH
- Triển khai cặp  DB Active-Standby (oracle) Số hóa 
- Triển khai mới 03 hệ thống OSS: DCIM, NCMS , vDCIM
</t>
    </r>
    <r>
      <rPr>
        <b/>
        <sz val="10"/>
        <rFont val="Times New Roman"/>
        <family val="1"/>
      </rPr>
      <t xml:space="preserve">2. Năm 2028 ( 494K USD) </t>
    </r>
    <r>
      <rPr>
        <sz val="10"/>
        <rFont val="Times New Roman"/>
        <family val="1"/>
      </rPr>
      <t xml:space="preserve">
- Triển khai các hệ thống số hóa cho các lĩnh vực : Bán hàng, Kinh doanh, Chi nhánh tỉnh , Hành chính, Nhân sự 
- Triển khai cặp DB Active-Standby (oracle) Số hóa; hệ thống SMSFW/Voice Firewall
- Triển khai mới hệ thống OSS : nBox , AppDynamic .</t>
    </r>
  </si>
  <si>
    <t>Máy chủ database</t>
  </si>
  <si>
    <r>
      <rPr>
        <b/>
        <sz val="10"/>
        <rFont val="Times New Roman"/>
        <family val="1"/>
      </rPr>
      <t>1. Năm 2027 (352K USD)</t>
    </r>
    <r>
      <rPr>
        <sz val="10"/>
        <rFont val="Times New Roman"/>
        <family val="1"/>
      </rPr>
      <t xml:space="preserve">
- Triển khai 2 cặp DB Active-Standby (oracle) Số hóa.
</t>
    </r>
    <r>
      <rPr>
        <b/>
        <sz val="10"/>
        <rFont val="Times New Roman"/>
        <family val="1"/>
      </rPr>
      <t>2. Năm 2028 (352K USD)</t>
    </r>
    <r>
      <rPr>
        <sz val="10"/>
        <rFont val="Times New Roman"/>
        <family val="1"/>
      </rPr>
      <t xml:space="preserve">
- Triển khai 2 cặp DB hệ thống SMSFW/Voice Firewall</t>
    </r>
  </si>
  <si>
    <r>
      <rPr>
        <b/>
        <sz val="10"/>
        <rFont val="Times New Roman"/>
        <family val="1"/>
      </rPr>
      <t xml:space="preserve">1. Năm 2027 (548k USD)
 </t>
    </r>
    <r>
      <rPr>
        <sz val="10"/>
        <rFont val="Times New Roman"/>
        <family val="1"/>
      </rPr>
      <t xml:space="preserve">- Triển khai các hệ thống mới: Dịch vụ Betting (cho 1M KH), hệ thống CX Cloud cho doanh nghiệp…
- Triển khai giải pháp Camera AI giao thông (500 cam tại Maputo)
- Triển khai giải pháp ATTT SoC cho kinh doanh ngoài Movitel ( 3 KH)
- Triển khai cặp DB Active-Standby (oracle) cho dịch vụ Betting
</t>
    </r>
    <r>
      <rPr>
        <b/>
        <sz val="10"/>
        <rFont val="Times New Roman"/>
        <family val="1"/>
      </rPr>
      <t>2. Năm 2028 (1.2M USD)</t>
    </r>
    <r>
      <rPr>
        <sz val="10"/>
        <rFont val="Times New Roman"/>
        <family val="1"/>
      </rPr>
      <t xml:space="preserve">
- Triển khai giải pháp Camera AI giao thông (1000 cam tại Matola và các thủ phủ tỉnh)
- Mở rộng hệ thống Betting (thêm 1M KH)
- Triển khai các giải pháp ATTT SoC cho KHDN (5KH)
- Triển khai mở rộng Database cho hệ thống Camera AI,  CXCloud doanh nghiệp </t>
    </r>
  </si>
  <si>
    <r>
      <rPr>
        <b/>
        <sz val="10"/>
        <rFont val="Times New Roman"/>
        <family val="1"/>
      </rPr>
      <t>1. Năm 2027 (352k USD)</t>
    </r>
    <r>
      <rPr>
        <sz val="10"/>
        <rFont val="Times New Roman"/>
        <family val="1"/>
      </rPr>
      <t xml:space="preserve">
- Triển khai 2 cặp DB Active-Standby (oracle) cho dịch vụ Betting.
</t>
    </r>
    <r>
      <rPr>
        <b/>
        <sz val="10"/>
        <rFont val="Times New Roman"/>
        <family val="1"/>
      </rPr>
      <t>2. Năm 2028 (705k USD)</t>
    </r>
    <r>
      <rPr>
        <sz val="10"/>
        <rFont val="Times New Roman"/>
        <family val="1"/>
      </rPr>
      <t xml:space="preserve">
- Triển khai 2 cặp DB Active-Standby (oracle) CXCloud doanh nghiệp.</t>
    </r>
  </si>
  <si>
    <t>Triển khai cụm Private Cloud</t>
  </si>
  <si>
    <t>Firewall</t>
  </si>
  <si>
    <t>LoadBalancer</t>
  </si>
  <si>
    <t>Switch</t>
  </si>
  <si>
    <t>BGW</t>
  </si>
  <si>
    <t>Leaf loại 1</t>
  </si>
  <si>
    <t>Leaf loại 2</t>
  </si>
  <si>
    <t>Leaf loại 3</t>
  </si>
  <si>
    <t>NMS</t>
  </si>
  <si>
    <t>Triển khai</t>
  </si>
  <si>
    <t>vCLOUD (License + Implement service), đơn giá triển khai</t>
  </si>
  <si>
    <r>
      <rPr>
        <b/>
        <sz val="10"/>
        <rFont val="Times New Roman"/>
        <family val="1"/>
      </rPr>
      <t xml:space="preserve">Năm 2027 (769K USD) : </t>
    </r>
    <r>
      <rPr>
        <sz val="10"/>
        <rFont val="Times New Roman"/>
        <family val="1"/>
      </rPr>
      <t xml:space="preserve">
-Triển khai giải pháp AI như : Agent AI (áp dụng trong năm 2027 giải pháp Conversational AI cho CSKH); 
- Camera AI : cho 150 BTS trạm trục, 500 camera giao thông cho KHDN
</t>
    </r>
    <r>
      <rPr>
        <b/>
        <sz val="10"/>
        <rFont val="Times New Roman"/>
        <family val="1"/>
      </rPr>
      <t xml:space="preserve">Năm 2028 (769K USD) : </t>
    </r>
    <r>
      <rPr>
        <sz val="10"/>
        <rFont val="Times New Roman"/>
        <family val="1"/>
      </rPr>
      <t xml:space="preserve">
--Triển khai giải pháp AI như : Agent AI (áp dụng trong năm 2028 giải pháp Promt AI cho các lĩnh vực Hành chính/nhân sự/CNTT ...); 
- Camera AI : mở rộng thêm cho 150 BTS trạm trục, 500 camera giao thông cho KHDN</t>
    </r>
  </si>
  <si>
    <t>Software</t>
  </si>
  <si>
    <t>Hardware</t>
  </si>
  <si>
    <r>
      <rPr>
        <b/>
        <sz val="10"/>
        <rFont val="Times New Roman"/>
        <family val="1"/>
      </rPr>
      <t>+ Năm 2027 (244K USD )</t>
    </r>
    <r>
      <rPr>
        <sz val="10"/>
        <rFont val="Times New Roman"/>
        <family val="1"/>
      </rPr>
      <t xml:space="preserve">
- Thực hiện mở rộng  cụm USSDGW/VASGW + Process/Sender dịch vụ USSD155 cho 1M đầu số 880x
- Triển khai mở rộng mở rộng cụm provisioning + SMSGW
- Triển khai mở rộng cho hệ thống SuperApp đảm bảo chạy 2 chân cho các cụm webservice
- Triển khai DB Standby cho cặp DB VAS 155
</t>
    </r>
    <r>
      <rPr>
        <b/>
        <sz val="10"/>
        <rFont val="Times New Roman"/>
        <family val="1"/>
      </rPr>
      <t>+ Năm 2028 (732K USD):</t>
    </r>
    <r>
      <rPr>
        <sz val="10"/>
        <rFont val="Times New Roman"/>
        <family val="1"/>
      </rPr>
      <t xml:space="preserve">
- Thực hiện mở rộng cụm USSDGW/VASGW + Process/Sender dịch vụ USSD155 cho 9M đầu số 88x và 86x, 87x
- Triển khai mở rộng cụm provisioning + SMSGW
- Triển khai mở rộng  cho hệ thống SuperApp đảm bảo chạy 2 chân cho các cụm webservice</t>
    </r>
  </si>
  <si>
    <r>
      <rPr>
        <b/>
        <sz val="10"/>
        <rFont val="Times New Roman"/>
        <family val="1"/>
      </rPr>
      <t>1. Năm 2027 (352k USD)</t>
    </r>
    <r>
      <rPr>
        <sz val="10"/>
        <rFont val="Times New Roman"/>
        <family val="1"/>
      </rPr>
      <t xml:space="preserve"> 
- Triển khai 2 cặp DB oracle (Active - standby) cho VAS 155 
</t>
    </r>
    <r>
      <rPr>
        <b/>
        <sz val="10"/>
        <rFont val="Times New Roman"/>
        <family val="1"/>
      </rPr>
      <t>2. Năm 2028 (352k USD)</t>
    </r>
    <r>
      <rPr>
        <sz val="10"/>
        <rFont val="Times New Roman"/>
        <family val="1"/>
      </rPr>
      <t xml:space="preserve">
- Triển khai 2 cặp DB oracle (Active - standby) cho VASCPn (Vas public)</t>
    </r>
  </si>
  <si>
    <t>Máy chủ datalake</t>
  </si>
  <si>
    <r>
      <rPr>
        <b/>
        <sz val="10"/>
        <rFont val="Times New Roman"/>
        <family val="1"/>
      </rPr>
      <t xml:space="preserve">1. Năm 2027 (282k USD)
</t>
    </r>
    <r>
      <rPr>
        <sz val="10"/>
        <rFont val="Times New Roman"/>
        <family val="1"/>
      </rPr>
      <t xml:space="preserve">- Triển khai mở rộng thêm 4 máy datanode cho cụm datalake
</t>
    </r>
    <r>
      <rPr>
        <b/>
        <sz val="10"/>
        <rFont val="Times New Roman"/>
        <family val="1"/>
      </rPr>
      <t xml:space="preserve">2. Năm 2028 (282k USD)
</t>
    </r>
    <r>
      <rPr>
        <sz val="10"/>
        <rFont val="Times New Roman"/>
        <family val="1"/>
      </rPr>
      <t>- Triển khai mở rộng thêm 4 máy datanode cho cụm datalake</t>
    </r>
  </si>
  <si>
    <t>Hệ thống ATTT</t>
  </si>
  <si>
    <r>
      <rPr>
        <b/>
        <sz val="10"/>
        <rFont val="Times New Roman"/>
        <family val="1"/>
      </rPr>
      <t>1. Năm 2027 (350k USD)</t>
    </r>
    <r>
      <rPr>
        <sz val="10"/>
        <rFont val="Times New Roman"/>
        <family val="1"/>
      </rPr>
      <t xml:space="preserve">
- Triển khai mở rộng 4 máy chủ  cho Cloudrity, PAM
</t>
    </r>
    <r>
      <rPr>
        <b/>
        <sz val="10"/>
        <rFont val="Times New Roman"/>
        <family val="1"/>
      </rPr>
      <t>2. Năm 2028 (175k USD)</t>
    </r>
    <r>
      <rPr>
        <sz val="10"/>
        <rFont val="Times New Roman"/>
        <family val="1"/>
      </rPr>
      <t xml:space="preserve">
- Triển khai mở rộng 2 máy chủ Proxy</t>
    </r>
  </si>
  <si>
    <r>
      <rPr>
        <b/>
        <sz val="10"/>
        <rFont val="Times New Roman"/>
        <family val="1"/>
      </rPr>
      <t>1. Năm 2027 (282k USD)</t>
    </r>
    <r>
      <rPr>
        <sz val="10"/>
        <rFont val="Times New Roman"/>
        <family val="1"/>
      </rPr>
      <t xml:space="preserve">
- Triển khai mở rộng 4 máy chủ  SENSOR
</t>
    </r>
    <r>
      <rPr>
        <b/>
        <sz val="10"/>
        <rFont val="Times New Roman"/>
        <family val="1"/>
      </rPr>
      <t>2. Năm 2028 (141k USD)</t>
    </r>
    <r>
      <rPr>
        <sz val="10"/>
        <rFont val="Times New Roman"/>
        <family val="1"/>
      </rPr>
      <t xml:space="preserve">
- Triển khai mở rộng 2 máy chủ  SENSOR</t>
    </r>
  </si>
  <si>
    <t>Tài nguyên lưu trữ cho triển khai mới và mở rộng</t>
  </si>
  <si>
    <t>1. Năm 2027 (723k USD)
- Triển khai 01 hệ thống tủ đĩa lưu trữ + 02 thiết bị SAN đi kèm
2. Năm 2028 (1,4 Tr USD)
- Triển khai 02 hệ thống tủ đĩa lưu trữ + 04 thiết bị SAN đi kèm</t>
  </si>
  <si>
    <t>Sanswitch</t>
  </si>
  <si>
    <t>Object</t>
  </si>
  <si>
    <r>
      <rPr>
        <b/>
        <sz val="10"/>
        <rFont val="Times New Roman"/>
        <family val="1"/>
      </rPr>
      <t xml:space="preserve">1. Năm 2027 (1,4 Tr USD)
</t>
    </r>
    <r>
      <rPr>
        <sz val="10"/>
        <rFont val="Times New Roman"/>
        <family val="1"/>
      </rPr>
      <t xml:space="preserve">- Triển khai 02 hệ thống tủ đĩa lưu trữ + 04 thiết bị SAN đi kèm thay thế tủ đĩa cũ quá niên hạn.
</t>
    </r>
    <r>
      <rPr>
        <b/>
        <sz val="10"/>
        <rFont val="Times New Roman"/>
        <family val="1"/>
      </rPr>
      <t>2. Năm 2028 (723k USD)</t>
    </r>
    <r>
      <rPr>
        <sz val="10"/>
        <rFont val="Times New Roman"/>
        <family val="1"/>
      </rPr>
      <t xml:space="preserve">
- Triển khai 01 hệ thống tủ đĩa lưu trữ + 02 thiết bị SAN đi kèm thay thế tủ đĩa cũ quá niên hạn</t>
    </r>
  </si>
  <si>
    <t>PhuKien</t>
  </si>
  <si>
    <t>Rack tại tổng trạm mới thì Cơ điện chuẩn bị</t>
  </si>
  <si>
    <r>
      <rPr>
        <b/>
        <sz val="10"/>
        <rFont val="Times New Roman"/>
        <family val="1"/>
      </rPr>
      <t xml:space="preserve">1. Năm 2027 (352k USD)
</t>
    </r>
    <r>
      <rPr>
        <sz val="10"/>
        <rFont val="Times New Roman"/>
        <family val="1"/>
      </rPr>
      <t xml:space="preserve">- Triển khai 1 cặp DB oracle standby cho DB SMSC phục vụ cho đối soát dữ liệu cdr 
- Triển khai 1 cặp DB oracle standby cho DB số hoá
</t>
    </r>
    <r>
      <rPr>
        <b/>
        <sz val="10"/>
        <rFont val="Times New Roman"/>
        <family val="1"/>
      </rPr>
      <t>2. Năm 2028 (528k USD)</t>
    </r>
    <r>
      <rPr>
        <sz val="10"/>
        <rFont val="Times New Roman"/>
        <family val="1"/>
      </rPr>
      <t xml:space="preserve">
- Triển khai 1 cặp DB oracle standby cho DB PGW phục vụ cho đối soát dữ liệu cdr 
- Triển khai 1 cặp DB oracle standby cho DB SuperApp phục vụ cho các dịch vụ superapp vas
- Triển khai 1 cặp DB oracle standby cho DB MBI phục vụ cho báo cáo số liệu Viễn thông</t>
    </r>
  </si>
  <si>
    <r>
      <rPr>
        <b/>
        <sz val="11"/>
        <color theme="1"/>
        <rFont val="Times New Roman"/>
        <family val="1"/>
      </rPr>
      <t>Năm 2027 (350k USD)</t>
    </r>
    <r>
      <rPr>
        <sz val="11"/>
        <color theme="1"/>
        <rFont val="Times New Roman"/>
        <family val="1"/>
      </rPr>
      <t xml:space="preserve">
+ Các sản phẩm dịch vụ cho vay, chấm điểm, ...
+ Triển khai các giải pháp số hóa, tự động hóa cho các hoạt động công ty ví như chăm sóc khách hàng, 
</t>
    </r>
    <r>
      <rPr>
        <b/>
        <sz val="11"/>
        <color theme="1"/>
        <rFont val="Times New Roman"/>
        <family val="1"/>
      </rPr>
      <t>Năm 2028 (1,3Tr USD)</t>
    </r>
    <r>
      <rPr>
        <sz val="11"/>
        <color theme="1"/>
        <rFont val="Times New Roman"/>
        <family val="1"/>
      </rPr>
      <t xml:space="preserve">
+ Triển khai các giải pháp visa, chuyển tiền xuyên biên giới
+ Triển khai các giải pháp AI theo xu hướng ngành
+ Triển khai giải pháp ATTT</t>
    </r>
  </si>
  <si>
    <r>
      <rPr>
        <b/>
        <sz val="11"/>
        <color theme="1"/>
        <rFont val="Times New Roman"/>
        <family val="1"/>
      </rPr>
      <t>Năm 2027 (705k USD)</t>
    </r>
    <r>
      <rPr>
        <sz val="11"/>
        <color theme="1"/>
        <rFont val="Times New Roman"/>
        <family val="1"/>
      </rPr>
      <t xml:space="preserve">
+ Triển khai mới 2 cặp DB Oracle (Active - standby) cho dịch vụ mDigital
+ Triển khai mới 2 cặp DB Oracle (Active - standby) cho dịch vụ mCredit
</t>
    </r>
    <r>
      <rPr>
        <b/>
        <sz val="11"/>
        <color theme="1"/>
        <rFont val="Times New Roman"/>
        <family val="1"/>
      </rPr>
      <t>Năm 2028 (352k USD)</t>
    </r>
    <r>
      <rPr>
        <sz val="11"/>
        <color theme="1"/>
        <rFont val="Times New Roman"/>
        <family val="1"/>
      </rPr>
      <t xml:space="preserve">
+ Triển khai mới 2 cặp DB Oracle (Active - standby) cho dịch vụ mSecurity</t>
    </r>
  </si>
  <si>
    <r>
      <rPr>
        <b/>
        <sz val="11"/>
        <color theme="1"/>
        <rFont val="Times New Roman"/>
        <family val="1"/>
      </rPr>
      <t>Năm 2027 (788k USD)</t>
    </r>
    <r>
      <rPr>
        <sz val="11"/>
        <color theme="1"/>
        <rFont val="Times New Roman"/>
        <family val="1"/>
      </rPr>
      <t xml:space="preserve">
+ Mở rộng cho phân hệ ứng dụng USSD, Emola App, Emola Web, SMSGW, Redis, SmartOTP, Core Gateway, CC2.0 về số lượng máy chủ, dung lượng lưu trữ.
+ Bổ sung củng cố năng lực hệ thống core ví đáp ứng 1,062mTPM
+ Mở rộng riêng cho hạ tầng dịch vụ Merchant Online
</t>
    </r>
    <r>
      <rPr>
        <b/>
        <sz val="11"/>
        <color theme="1"/>
        <rFont val="Times New Roman"/>
        <family val="1"/>
      </rPr>
      <t>Năm 2028 (350k USD)</t>
    </r>
    <r>
      <rPr>
        <sz val="11"/>
        <color theme="1"/>
        <rFont val="Times New Roman"/>
        <family val="1"/>
      </rPr>
      <t xml:space="preserve">
+ Bổ sung mở rộng cụm USSD898, eMolaApp, Merchant Online, Emola web, SmartOTP về số lượng máy chủ, dung lượng lưu trữ.
+ Bổ sung củng cố năng lực hệ thống core ví đáp ứng 1,232mTPM
+ Mở rộng 6 collector + 2 agrigator phục vụ việc giám sát DB của giải pháp DBFW</t>
    </r>
  </si>
  <si>
    <r>
      <rPr>
        <b/>
        <sz val="11"/>
        <color theme="1"/>
        <rFont val="Times New Roman"/>
        <family val="1"/>
      </rPr>
      <t>Năm 2027 (176k USD)</t>
    </r>
    <r>
      <rPr>
        <sz val="11"/>
        <color theme="1"/>
        <rFont val="Times New Roman"/>
        <family val="1"/>
      </rPr>
      <t xml:space="preserve">
+ Triển khai 1 cặp DB oracle (Active) cho dịch vụ Merchant Online
</t>
    </r>
    <r>
      <rPr>
        <b/>
        <sz val="11"/>
        <color theme="1"/>
        <rFont val="Times New Roman"/>
        <family val="1"/>
      </rPr>
      <t>Năm 2028 (176k USD)</t>
    </r>
    <r>
      <rPr>
        <sz val="11"/>
        <color theme="1"/>
        <rFont val="Times New Roman"/>
        <family val="1"/>
      </rPr>
      <t xml:space="preserve">
+ Triển khai 1 cặp DB oracle (Standby) cho dịch vụ Merchant Online</t>
    </r>
  </si>
  <si>
    <r>
      <rPr>
        <b/>
        <sz val="11"/>
        <color theme="1"/>
        <rFont val="Times New Roman"/>
        <family val="1"/>
      </rPr>
      <t>Năm 2027 (424k USD)</t>
    </r>
    <r>
      <rPr>
        <sz val="11"/>
        <color theme="1"/>
        <rFont val="Times New Roman"/>
        <family val="1"/>
      </rPr>
      <t xml:space="preserve">
+ Mua thêm 6 máy chủ cho mở rộng giải pháp datalake, lakehouse
</t>
    </r>
    <r>
      <rPr>
        <b/>
        <sz val="11"/>
        <color theme="1"/>
        <rFont val="Times New Roman"/>
        <family val="1"/>
      </rPr>
      <t>Năm 2028 (424k USD)</t>
    </r>
    <r>
      <rPr>
        <sz val="11"/>
        <color theme="1"/>
        <rFont val="Times New Roman"/>
        <family val="1"/>
      </rPr>
      <t xml:space="preserve">
+ Mở rộng 6 máy chủ collector +  agrigator phục vụ việc giám sát DB của giải pháp DBFW
</t>
    </r>
  </si>
  <si>
    <r>
      <rPr>
        <b/>
        <sz val="11"/>
        <color theme="1"/>
        <rFont val="Times New Roman"/>
        <family val="1"/>
      </rPr>
      <t>Năm 2027 (649k USD)</t>
    </r>
    <r>
      <rPr>
        <sz val="11"/>
        <color theme="1"/>
        <rFont val="Times New Roman"/>
        <family val="1"/>
      </rPr>
      <t xml:space="preserve">
+ Triển khai mở rộng 2 tủ đĩa + 4 SAN đi kèm 
</t>
    </r>
    <r>
      <rPr>
        <b/>
        <sz val="11"/>
        <color theme="1"/>
        <rFont val="Times New Roman"/>
        <family val="1"/>
      </rPr>
      <t xml:space="preserve">Năm 2028 (649k USD)
</t>
    </r>
    <r>
      <rPr>
        <sz val="11"/>
        <color theme="1"/>
        <rFont val="Times New Roman"/>
        <family val="1"/>
      </rPr>
      <t xml:space="preserve">+ Triển khai mở rộng 2 tủ đĩa + 4 SAN đi kèm </t>
    </r>
  </si>
  <si>
    <r>
      <rPr>
        <b/>
        <sz val="11"/>
        <color theme="1"/>
        <rFont val="Times New Roman"/>
        <family val="1"/>
      </rPr>
      <t>Năm 2027 (93k USD)</t>
    </r>
    <r>
      <rPr>
        <sz val="11"/>
        <color theme="1"/>
        <rFont val="Times New Roman"/>
        <family val="1"/>
      </rPr>
      <t xml:space="preserve">
+ Triển khai mới 1 cặp FW ví ở tổng trạm mới Matola</t>
    </r>
  </si>
  <si>
    <r>
      <rPr>
        <b/>
        <sz val="11"/>
        <color theme="1"/>
        <rFont val="Times New Roman"/>
        <family val="1"/>
      </rPr>
      <t>Năm 2027 (93k USD)</t>
    </r>
    <r>
      <rPr>
        <sz val="11"/>
        <color theme="1"/>
        <rFont val="Times New Roman"/>
        <family val="1"/>
      </rPr>
      <t xml:space="preserve">
+ Triển khai mới 1 cặp LB ví ở tổng trạm mới Matola</t>
    </r>
  </si>
  <si>
    <r>
      <rPr>
        <b/>
        <sz val="11"/>
        <color theme="1"/>
        <rFont val="Times New Roman"/>
        <family val="1"/>
      </rPr>
      <t>Năm 2027 (91k USD)</t>
    </r>
    <r>
      <rPr>
        <sz val="11"/>
        <color theme="1"/>
        <rFont val="Times New Roman"/>
        <family val="1"/>
      </rPr>
      <t xml:space="preserve">
+ Triển khai 03 cặp switch access tổng trạm mới Matola
</t>
    </r>
    <r>
      <rPr>
        <b/>
        <sz val="11"/>
        <color theme="1"/>
        <rFont val="Times New Roman"/>
        <family val="1"/>
      </rPr>
      <t>Năm 2028 (60k USD)</t>
    </r>
    <r>
      <rPr>
        <sz val="11"/>
        <color theme="1"/>
        <rFont val="Times New Roman"/>
        <family val="1"/>
      </rPr>
      <t xml:space="preserve">
+ Triển khai 02 cặp switch access tổng trạm mới Matola</t>
    </r>
  </si>
  <si>
    <r>
      <rPr>
        <b/>
        <sz val="11"/>
        <color theme="1"/>
        <rFont val="Times New Roman"/>
        <family val="1"/>
      </rPr>
      <t xml:space="preserve">Năm 2027 (18k USD)
</t>
    </r>
    <r>
      <rPr>
        <sz val="11"/>
        <color theme="1"/>
        <rFont val="Times New Roman"/>
        <family val="1"/>
      </rPr>
      <t xml:space="preserve">+ Triển khai 04 cặp switch quản trị tổng trạm mới Matola
</t>
    </r>
    <r>
      <rPr>
        <b/>
        <sz val="11"/>
        <color theme="1"/>
        <rFont val="Times New Roman"/>
        <family val="1"/>
      </rPr>
      <t>Năm 2028 (9k USD)</t>
    </r>
    <r>
      <rPr>
        <sz val="11"/>
        <color theme="1"/>
        <rFont val="Times New Roman"/>
        <family val="1"/>
      </rPr>
      <t xml:space="preserve">
+ Triển khai 02 cặp switch quản trị tổng trạm mới Matola</t>
    </r>
  </si>
  <si>
    <r>
      <rPr>
        <b/>
        <sz val="11"/>
        <color theme="1"/>
        <rFont val="Times New Roman"/>
        <family val="1"/>
      </rPr>
      <t>Năm 2028 (700k USD)</t>
    </r>
    <r>
      <rPr>
        <sz val="11"/>
        <color theme="1"/>
        <rFont val="Times New Roman"/>
        <family val="1"/>
      </rPr>
      <t xml:space="preserve">
+ Thay thế cho các máy chủ hết niên hạn DBQT năm 2024 đang chạy các hệ thống đặc biệt quan trọng như USSD898, Emola App, Emola web, một phần các node core ví</t>
    </r>
  </si>
  <si>
    <r>
      <rPr>
        <b/>
        <sz val="11"/>
        <color theme="1"/>
        <rFont val="Times New Roman"/>
        <family val="1"/>
      </rPr>
      <t>Năm 2027 (881k USD)</t>
    </r>
    <r>
      <rPr>
        <sz val="11"/>
        <color theme="1"/>
        <rFont val="Times New Roman"/>
        <family val="1"/>
      </rPr>
      <t xml:space="preserve">
+ Thay thế cho các máy chủ DB Oracle HP  mua năm 2023 đang chạy DB mCore phục vụ hệ thống ví, mApp, và các dịch vụ quan trọng khác
</t>
    </r>
    <r>
      <rPr>
        <b/>
        <sz val="11"/>
        <color theme="1"/>
        <rFont val="Times New Roman"/>
        <family val="1"/>
      </rPr>
      <t>Năm 2028 (352k USD)</t>
    </r>
    <r>
      <rPr>
        <sz val="11"/>
        <color theme="1"/>
        <rFont val="Times New Roman"/>
        <family val="1"/>
      </rPr>
      <t xml:space="preserve">
+ Thay thế cho các máy chủ DB Oracle HP  mua năm 2023 đang chạy DB mCore phục vụ hệ thống ví, mApp, và các dịch vụ quan trọng khác</t>
    </r>
  </si>
  <si>
    <r>
      <rPr>
        <b/>
        <sz val="11"/>
        <color theme="1"/>
        <rFont val="Times New Roman"/>
        <family val="1"/>
      </rPr>
      <t>Năm 2027 (700k USD)</t>
    </r>
    <r>
      <rPr>
        <sz val="11"/>
        <color theme="1"/>
        <rFont val="Times New Roman"/>
        <family val="1"/>
      </rPr>
      <t xml:space="preserve">
+ Đầu tư mở rộng tương ứng cho DR site đối với core ví và phân hệ USSD.
</t>
    </r>
    <r>
      <rPr>
        <b/>
        <sz val="11"/>
        <color theme="1"/>
        <rFont val="Times New Roman"/>
        <family val="1"/>
      </rPr>
      <t>'Năm 2028 (1,2Tr USD)</t>
    </r>
    <r>
      <rPr>
        <sz val="11"/>
        <color theme="1"/>
        <rFont val="Times New Roman"/>
        <family val="1"/>
      </rPr>
      <t xml:space="preserve">
+ Đầu tư mở rộng tương ứng cho DR site đối với core ví và phân hệ USSD.</t>
    </r>
  </si>
  <si>
    <r>
      <rPr>
        <b/>
        <sz val="10"/>
        <rFont val="Times New Roman"/>
        <family val="1"/>
      </rPr>
      <t>Năm 2027 (798k USD)</t>
    </r>
    <r>
      <rPr>
        <sz val="10"/>
        <rFont val="Times New Roman"/>
        <family val="1"/>
      </rPr>
      <t xml:space="preserve">
+ Đầu tư mở rộng tủ đĩa + thiét bị SAN đi kèm tương ứng cho DR site đối với core ví và phân hệ USSD.
</t>
    </r>
    <r>
      <rPr>
        <b/>
        <sz val="10"/>
        <rFont val="Times New Roman"/>
        <family val="1"/>
      </rPr>
      <t xml:space="preserve">Năm 2028 (399k USD)
</t>
    </r>
    <r>
      <rPr>
        <sz val="10"/>
        <rFont val="Times New Roman"/>
        <family val="1"/>
      </rPr>
      <t>+ Đầu tư mở rộng tủ đĩa + thiét bị SAN đi kèm tương ứng cho DR site đối với core ví và phân hệ USSD.</t>
    </r>
  </si>
  <si>
    <t>Giải pháp FW analyzer</t>
  </si>
  <si>
    <t>Giải pháp PAM</t>
  </si>
  <si>
    <t>Vulnerability Assessment</t>
  </si>
  <si>
    <t>Sign Sign On - SSO</t>
  </si>
  <si>
    <t>Data Center Inventory Management</t>
  </si>
  <si>
    <t>Truyền dẫn quang</t>
  </si>
  <si>
    <t>DWDM SWAP IP</t>
  </si>
  <si>
    <t>Viba 5+0 2.5Gbps</t>
  </si>
  <si>
    <t>Viba 2+0 1Gbps</t>
  </si>
  <si>
    <t>Viba 1+0 500bps</t>
  </si>
  <si>
    <t>SRT swap (include CB, cable,…) 100G</t>
  </si>
  <si>
    <t>Module 10GE, SM, 10km swap 5G sang 10G</t>
  </si>
  <si>
    <t>SRT rộng rãi- SWAP  NÂNG DUNG LƯỢNG</t>
  </si>
  <si>
    <t>SRT - Newsite (mua RR)</t>
  </si>
  <si>
    <t>SRT- Newsite</t>
  </si>
  <si>
    <t>SRT rộng rãi</t>
  </si>
  <si>
    <t>SRT RỘNG RÃI- SWAP  NÂNG DUNG LƯỢNG</t>
  </si>
  <si>
    <t>Thiết bị SRT RỘNG RÃI phát triển mới</t>
  </si>
  <si>
    <t xml:space="preserve">Card 4x100GE </t>
  </si>
  <si>
    <t>Module 10GE, SM, 10km (SFP) (kèm Patch cord sợi đôi)</t>
  </si>
  <si>
    <t>Module 100GE, SM, 10km (kèm Patch cord sợi đôi)</t>
  </si>
  <si>
    <t>Module 1000BASE-X, SM, LX 10km (kèm Patch cord sợi đôi)</t>
  </si>
  <si>
    <t>Core vùng Tổng trạm mới</t>
  </si>
  <si>
    <t>Hiện đại hóa, Thay thế thiết bị hết niên hạn sử dụng</t>
  </si>
  <si>
    <t>Đảm bảo vận hành khai thác/Đầu tư bắt buộc khác</t>
  </si>
  <si>
    <t>NMS cho SRT (quản trị SRT loại mới và Juniper)</t>
  </si>
  <si>
    <t>NMS cho SRT</t>
  </si>
  <si>
    <t>BTS 2G 900MHz 4T4R 4*40W (3 RRU 4T4R, S4/4/4) _ ZTE</t>
  </si>
  <si>
    <t>eNodeB 800MHz@10MHz 4T4R 4*40W (3 RRU 4T4R, 3 cell 10MHz) Huawei</t>
  </si>
  <si>
    <t>Diplexer 800-900</t>
  </si>
  <si>
    <t>Tính trong DL 4G</t>
  </si>
  <si>
    <t>Tủ Massive MIMO 2.6GHz+3.5GHz 64T64R</t>
  </si>
  <si>
    <t>Tủ Massive MIMO 2.6GHz+3.5GHz 32T32R</t>
  </si>
  <si>
    <t>Tủ Massive MIMO 2.6GHz 32T32R</t>
  </si>
  <si>
    <t>Sector 700/800/900MHz</t>
  </si>
  <si>
    <t>Sector 700/800MHz</t>
  </si>
  <si>
    <t>Anten 8T8R</t>
  </si>
  <si>
    <t>Bộ gá đa năng (gồm 3 gá đơn lẻ và các phụ kiện)</t>
  </si>
  <si>
    <t>BTS 900MHz Huawei 4T4R (ko gồm phụ kiện, BBU, card UMPT)</t>
  </si>
  <si>
    <t>eNodeB 800MHz 4T4R(ko gồm phụ kiện, BBU, card UMPT)</t>
  </si>
  <si>
    <t>eNodeB 1800MHz 4T4R (ko gồm phụ kiện, BBU, card UMPT)</t>
  </si>
  <si>
    <t>Dualband 1800 + 2100MHz 4T4R(ko gồm phụ kiện, BBU, card UMPT)</t>
  </si>
  <si>
    <t>Dualband 800 + 900MHz 4T4R (ko gồm phụ kiện, BBU, card UMPT)</t>
  </si>
  <si>
    <t>BTS 900MHz ZTE 4T4R (ko gồm phụ kiện, BBU, card UMPT)</t>
  </si>
  <si>
    <t>Trạm mới tăng cường VP có điện</t>
  </si>
  <si>
    <t>1.3.1</t>
  </si>
  <si>
    <t>1.3.2</t>
  </si>
  <si>
    <t>1.3.3</t>
  </si>
  <si>
    <t>1.3.4</t>
  </si>
  <si>
    <t>1.3.4.1</t>
  </si>
  <si>
    <t>1.3.5</t>
  </si>
  <si>
    <t>1.3.6</t>
  </si>
  <si>
    <t>Cosite 4G và 5G</t>
  </si>
  <si>
    <t>Mua tủ nguồn DC mới thay thế cho các tủ nguồn đời củ 3/4 slot để lắp cho 4G+5G</t>
  </si>
  <si>
    <t>Nâng cấp điện lưới cho trạm công suất lớn</t>
  </si>
  <si>
    <t>5.1.1</t>
  </si>
  <si>
    <t>5.1.2</t>
  </si>
  <si>
    <t>5.1.2.1</t>
  </si>
  <si>
    <t>5.1.3</t>
  </si>
  <si>
    <t>5.1.4</t>
  </si>
  <si>
    <t>5.1.5</t>
  </si>
  <si>
    <t>5.1.6</t>
  </si>
  <si>
    <t>5.1.7</t>
  </si>
  <si>
    <t>5.2.1</t>
  </si>
  <si>
    <t>5.2.2</t>
  </si>
  <si>
    <t>5.2.3</t>
  </si>
  <si>
    <t>5.2.4</t>
  </si>
  <si>
    <t>5.2.4.1</t>
  </si>
  <si>
    <t>5.2.4.2</t>
  </si>
  <si>
    <t>5.2.5</t>
  </si>
  <si>
    <t>5.2.6</t>
  </si>
  <si>
    <t>5.2.6.1</t>
  </si>
  <si>
    <t>5.2.6.2</t>
  </si>
  <si>
    <t>5.2.7</t>
  </si>
  <si>
    <t>5.2.7.1</t>
  </si>
  <si>
    <t>5.2.7.2</t>
  </si>
  <si>
    <t>5.2.8</t>
  </si>
  <si>
    <t>5.2.9</t>
  </si>
  <si>
    <t>Ví</t>
  </si>
  <si>
    <t>Ví điện tử</t>
  </si>
  <si>
    <t>Máy chủ Cloud</t>
  </si>
  <si>
    <t>Server App: (CPU ≥2, Core/1CPU &gt;= 32 Core; RAM&gt;=512GB, SSD &gt;= 2 x 960GB, 1x HBA 2port 32Gb, 4 port 10GE, &gt;=2 port 1GE)</t>
  </si>
  <si>
    <t>Máy chủ vật lý loại 1</t>
  </si>
  <si>
    <r>
      <t xml:space="preserve">Server DB: (CPU ≥2, Core/1CPU &gt;= 32 Core; RAM&gt;=512GB, SSD </t>
    </r>
    <r>
      <rPr>
        <b/>
        <sz val="10"/>
        <color theme="1"/>
        <rFont val="Times New Roman"/>
        <family val="1"/>
      </rPr>
      <t>&gt;= 3</t>
    </r>
    <r>
      <rPr>
        <sz val="10"/>
        <rFont val="Times New Roman"/>
        <family val="1"/>
      </rPr>
      <t xml:space="preserve"> x 960GB, 1x HBA 2port 32Gb, 4 port 10GE, &gt;=2 port 1GE)</t>
    </r>
  </si>
  <si>
    <r>
      <t>Server DB: (CPU ≥2, Core/1CPU &gt;= 32 Core; RAM&gt;=512GB, SSD &gt;=</t>
    </r>
    <r>
      <rPr>
        <sz val="10"/>
        <color rgb="FFFF0000"/>
        <rFont val="Times New Roman"/>
        <family val="1"/>
      </rPr>
      <t xml:space="preserve"> </t>
    </r>
    <r>
      <rPr>
        <b/>
        <sz val="10"/>
        <color theme="1"/>
        <rFont val="Times New Roman"/>
        <family val="1"/>
      </rPr>
      <t>3</t>
    </r>
    <r>
      <rPr>
        <sz val="10"/>
        <rFont val="Times New Roman"/>
        <family val="1"/>
      </rPr>
      <t xml:space="preserve"> x 960GB, 1x HBA 2port 32Gb, 4 port 10GE, &gt;=2 port 1GE)</t>
    </r>
  </si>
  <si>
    <t xml:space="preserve"> Throughput ≥ 80 Gbps; Concurrent session ≥ 8.000.000; New session per second ≥ 350.000; Hỗ trợ thông lượng NGFW ≥ 30 Gbps</t>
  </si>
  <si>
    <t>Phần mềm quản trị thiết bị tường lửa</t>
  </si>
  <si>
    <t xml:space="preserve"> Layer 7 Throughput ≥ 30 Gbps; Layer 4 CPS ≥ 500.000; Số lượng kết nối tại lớp 7 (request/giây) ≥ 1.000.000; (RSA 2K keys) TPS ≥ 10.000.</t>
  </si>
  <si>
    <r>
      <t xml:space="preserve">Thiết bị switch hỗ trợ tối thiểu </t>
    </r>
    <r>
      <rPr>
        <b/>
        <sz val="11"/>
        <color theme="1"/>
        <rFont val="Times New Roman"/>
        <family val="1"/>
      </rPr>
      <t>128 giao diện 100G, kèm 36 module 100G loại LR1 10km</t>
    </r>
    <r>
      <rPr>
        <sz val="11"/>
        <color rgb="FF000000"/>
        <rFont val="Times New Roman"/>
        <family val="1"/>
      </rPr>
      <t>, dây quang</t>
    </r>
  </si>
  <si>
    <r>
      <t xml:space="preserve">Thiết bị switch hỗ trợ tối thiểu 32 giao diện 100G, kèm 32 module </t>
    </r>
    <r>
      <rPr>
        <b/>
        <sz val="11"/>
        <color theme="1"/>
        <rFont val="Times New Roman"/>
        <family val="1"/>
      </rPr>
      <t>100G LR1 10km</t>
    </r>
    <r>
      <rPr>
        <sz val="11"/>
        <color rgb="FF000000"/>
        <rFont val="Times New Roman"/>
        <family val="1"/>
      </rPr>
      <t>, dây quang</t>
    </r>
  </si>
  <si>
    <r>
      <t xml:space="preserve">Thiết bị switch hỗ trợ tối thiểu 4x100GE và 48x10/25GE, kèm 48 module </t>
    </r>
    <r>
      <rPr>
        <b/>
        <sz val="11"/>
        <color theme="1"/>
        <rFont val="Times New Roman"/>
        <family val="1"/>
      </rPr>
      <t>10G SR MM, 4 module 100G LR1</t>
    </r>
    <r>
      <rPr>
        <sz val="11"/>
        <color rgb="FF000000"/>
        <rFont val="Times New Roman"/>
        <family val="1"/>
      </rPr>
      <t>, dây quang</t>
    </r>
  </si>
  <si>
    <r>
      <t xml:space="preserve">Thiết bị switch hỗ trợ tối thiểu 6x100GE và 48x10/25GE, kèm 48 module </t>
    </r>
    <r>
      <rPr>
        <b/>
        <sz val="11"/>
        <color theme="1"/>
        <rFont val="Times New Roman"/>
        <family val="1"/>
      </rPr>
      <t>10G LR singlemode, 4 module 100G LR1</t>
    </r>
    <r>
      <rPr>
        <sz val="11"/>
        <color rgb="FF000000"/>
        <rFont val="Times New Roman"/>
        <family val="1"/>
      </rPr>
      <t>, dây quang</t>
    </r>
  </si>
  <si>
    <r>
      <t xml:space="preserve">Thiết bị switch hỗ trợ tối thiểu 6x100GE và 48x10/25GE, kèm </t>
    </r>
    <r>
      <rPr>
        <b/>
        <sz val="11"/>
        <color theme="1"/>
        <rFont val="Times New Roman"/>
        <family val="1"/>
      </rPr>
      <t>24</t>
    </r>
    <r>
      <rPr>
        <sz val="11"/>
        <color rgb="FF000000"/>
        <rFont val="Times New Roman"/>
        <family val="1"/>
      </rPr>
      <t xml:space="preserve"> module </t>
    </r>
    <r>
      <rPr>
        <b/>
        <sz val="11"/>
        <color theme="1"/>
        <rFont val="Times New Roman"/>
        <family val="1"/>
      </rPr>
      <t>10G SR MM, 24 module 25G SR MM, 6 module 100G LR1</t>
    </r>
    <r>
      <rPr>
        <sz val="11"/>
        <color rgb="FFEE0000"/>
        <rFont val="Times New Roman"/>
        <family val="1"/>
      </rPr>
      <t xml:space="preserve">, </t>
    </r>
    <r>
      <rPr>
        <sz val="11"/>
        <color rgb="FF000000"/>
        <rFont val="Times New Roman"/>
        <family val="1"/>
      </rPr>
      <t>dây quang</t>
    </r>
  </si>
  <si>
    <r>
      <t>Thiết bị switch hỗ trợ tối thiểu 2x10GE và 48xGE điện, kèm module</t>
    </r>
    <r>
      <rPr>
        <sz val="11"/>
        <color theme="1"/>
        <rFont val="Times New Roman"/>
        <family val="1"/>
      </rPr>
      <t xml:space="preserve"> </t>
    </r>
    <r>
      <rPr>
        <b/>
        <sz val="11"/>
        <color theme="1"/>
        <rFont val="Times New Roman"/>
        <family val="1"/>
      </rPr>
      <t>10G single mode</t>
    </r>
    <r>
      <rPr>
        <sz val="11"/>
        <color theme="1"/>
        <rFont val="Times New Roman"/>
        <family val="1"/>
      </rPr>
      <t>,</t>
    </r>
    <r>
      <rPr>
        <sz val="11"/>
        <color rgb="FFEE0000"/>
        <rFont val="Times New Roman"/>
        <family val="1"/>
      </rPr>
      <t xml:space="preserve"> </t>
    </r>
    <r>
      <rPr>
        <sz val="11"/>
        <color rgb="FF000000"/>
        <rFont val="Times New Roman"/>
        <family val="1"/>
      </rPr>
      <t>dây quang</t>
    </r>
  </si>
  <si>
    <r>
      <t xml:space="preserve">Thiết bị switch hỗ trợ tối thiểu 4x100GE và 48x10/25GE, kèm module </t>
    </r>
    <r>
      <rPr>
        <b/>
        <sz val="11"/>
        <color theme="1"/>
        <rFont val="Times New Roman"/>
        <family val="1"/>
      </rPr>
      <t>10G single mode,</t>
    </r>
    <r>
      <rPr>
        <sz val="11"/>
        <color rgb="FF000000"/>
        <rFont val="Times New Roman"/>
        <family val="1"/>
      </rPr>
      <t xml:space="preserve"> dây quang</t>
    </r>
  </si>
  <si>
    <t>Giải pháp quản trị</t>
  </si>
  <si>
    <t>Máy chủ vật lý loại 2</t>
  </si>
  <si>
    <t>Máy chủ controller</t>
  </si>
  <si>
    <r>
      <t>Server Controller (CPU ≥2, Core/1CPU ≥24; RAM ≥</t>
    </r>
    <r>
      <rPr>
        <b/>
        <sz val="11"/>
        <color theme="1"/>
        <rFont val="Times New Roman"/>
        <family val="1"/>
      </rPr>
      <t xml:space="preserve">256GB; </t>
    </r>
    <r>
      <rPr>
        <sz val="11"/>
        <color theme="1"/>
        <rFont val="Times New Roman"/>
        <family val="1"/>
      </rPr>
      <t>SSD ≥2 ổ cứng, Dung lượng/1 ổ ≥</t>
    </r>
    <r>
      <rPr>
        <b/>
        <sz val="11"/>
        <color theme="1"/>
        <rFont val="Times New Roman"/>
        <family val="1"/>
      </rPr>
      <t>1.92</t>
    </r>
    <r>
      <rPr>
        <sz val="11"/>
        <color theme="1"/>
        <rFont val="Times New Roman"/>
        <family val="1"/>
      </rPr>
      <t xml:space="preserve">TB; </t>
    </r>
    <r>
      <rPr>
        <b/>
        <sz val="11"/>
        <color theme="1"/>
        <rFont val="Times New Roman"/>
        <family val="1"/>
      </rPr>
      <t>HDD 4 x 2.4 TB 10k</t>
    </r>
    <r>
      <rPr>
        <sz val="11"/>
        <color theme="1"/>
        <rFont val="Times New Roman"/>
        <family val="1"/>
      </rPr>
      <t>,  Card HBA ≥1; Card NIC ≥2 (2x10GE/NIC)</t>
    </r>
  </si>
  <si>
    <r>
      <t>Server GPU loại 1 (CPU ≥2, Core/1CPU ≥32; RAM ≥</t>
    </r>
    <r>
      <rPr>
        <b/>
        <sz val="10"/>
        <color theme="1"/>
        <rFont val="Times New Roman"/>
        <family val="1"/>
      </rPr>
      <t>256</t>
    </r>
    <r>
      <rPr>
        <sz val="10"/>
        <rFont val="Times New Roman"/>
        <family val="1"/>
      </rPr>
      <t>GB, SSD ≥2 ổ cứng, Dung lượng/1 ổ ≥960GB; GPU≥</t>
    </r>
    <r>
      <rPr>
        <b/>
        <sz val="10"/>
        <color theme="1"/>
        <rFont val="Times New Roman"/>
        <family val="1"/>
      </rPr>
      <t>2</t>
    </r>
    <r>
      <rPr>
        <sz val="10"/>
        <rFont val="Times New Roman"/>
        <family val="1"/>
      </rPr>
      <t>; Memory/1GPU≥</t>
    </r>
    <r>
      <rPr>
        <b/>
        <sz val="10"/>
        <color theme="1"/>
        <rFont val="Times New Roman"/>
        <family val="1"/>
      </rPr>
      <t>48</t>
    </r>
    <r>
      <rPr>
        <sz val="10"/>
        <rFont val="Times New Roman"/>
        <family val="1"/>
      </rPr>
      <t>GB; Card FC ≥1).</t>
    </r>
  </si>
  <si>
    <r>
      <t>Server GPU loại 2 (CPU ≥2, Core/1CPU ≥32; RAM ≥</t>
    </r>
    <r>
      <rPr>
        <b/>
        <sz val="10"/>
        <color theme="1"/>
        <rFont val="Times New Roman"/>
        <family val="1"/>
      </rPr>
      <t>512</t>
    </r>
    <r>
      <rPr>
        <sz val="10"/>
        <rFont val="Times New Roman"/>
        <family val="1"/>
      </rPr>
      <t>GB, SSD ≥2 ổ cứng, Dung lượng/1 ổ ≥960GB; GPU≥2; Memory/1GPU≥</t>
    </r>
    <r>
      <rPr>
        <b/>
        <sz val="10"/>
        <color theme="1"/>
        <rFont val="Times New Roman"/>
        <family val="1"/>
      </rPr>
      <t>96</t>
    </r>
    <r>
      <rPr>
        <sz val="10"/>
        <rFont val="Times New Roman"/>
        <family val="1"/>
      </rPr>
      <t>GB; Card FC ≥1)</t>
    </r>
  </si>
  <si>
    <t>Trong năm 2026, Thị trường MVT có ký HĐ triển khai hệ thống vOCS 4.0 (20M phần cứng và 1M phần mềm) với chị phí cụ thể như sau:
-	Chi phí phần cứng 3M , tương đương 0.15$/subs
-	Chi phí phần mềm 0.48M, tương đương 0.48$/subs
Theo kế hoạch triển khai hệ thống vOCS 4.0 trong năm 2027 và 2028 thì MVT sẽ đầu tư:
+ Năm 2027: Tổng chi phí đầu tư dự kiến : 19.12tr $
-	Phần mềm : 19M với đơn giá 0.48$/subs --.&gt; Nhằm đảm bảo năng lực license cho phép cắt chuyển toàn bộ 20M subs từ hệ thống vOCS 3.0 hiện tại sang vOCS 4.0
-	Phần cứng : Đầu tư cụm DR với dung lượng 20M  Do chi phí phần cứng tăng cao nên để mục này là x3 lần giá ký HĐ trong năm 2026 là ~ 0.5$/subs
+ Năm 2028: Tổng chi phí đầu tư dự kiến : 3.2tr $
-	Thực hiện mở rộng license phần mềm hêm 2M (nâng tổng số license là 22M) với đơn giá 0.35$/subs (đơn giá này là đơn giá của Kinh doanh VHT gửi)
-	Thực hiện mở rộng phần cứng thêm 5M nâng tổng năng lực phần cứng hỗ trợ lên 25M với đơn giá 0.5$/subs</t>
  </si>
  <si>
    <r>
      <t>Server DB: (CPU ≥2, Core/1CPU &gt;= 32 Core; RAM&gt;=512GB, SSD &gt;=</t>
    </r>
    <r>
      <rPr>
        <sz val="10"/>
        <color rgb="FFFF0000"/>
        <rFont val="Times New Roman"/>
        <family val="1"/>
      </rPr>
      <t xml:space="preserve"> </t>
    </r>
    <r>
      <rPr>
        <b/>
        <sz val="10"/>
        <color theme="1"/>
        <rFont val="Times New Roman"/>
        <family val="1"/>
      </rPr>
      <t xml:space="preserve">3 </t>
    </r>
    <r>
      <rPr>
        <sz val="10"/>
        <rFont val="Times New Roman"/>
        <family val="1"/>
      </rPr>
      <t>x 960GB, 1x HBA 2port 32Gb, 4 port 10GE, &gt;=2 port 1GE)</t>
    </r>
  </si>
  <si>
    <t>Máy chủ vật lý loại 3</t>
  </si>
  <si>
    <r>
      <t xml:space="preserve">Server datalake  (CPU ≥2, Core/1CPU ≥24; RAM&gt;=256GB,SSD &gt;= 2 x 960GB GB 10K, </t>
    </r>
    <r>
      <rPr>
        <b/>
        <sz val="10"/>
        <color theme="1"/>
        <rFont val="Times New Roman"/>
        <family val="1"/>
      </rPr>
      <t>9 x 8</t>
    </r>
    <r>
      <rPr>
        <sz val="10"/>
        <rFont val="Times New Roman"/>
        <family val="1"/>
      </rPr>
      <t>TB 7.2k, &gt;=4 port 10GE, &gt;=2 port 1GE)</t>
    </r>
  </si>
  <si>
    <t>Máy chủ vật lý loại 4</t>
  </si>
  <si>
    <t>Máy chủ VCS</t>
  </si>
  <si>
    <r>
      <t>Server VCS (CPU ≥2, Core/1CPU ≥24; RAM&gt;=1</t>
    </r>
    <r>
      <rPr>
        <b/>
        <sz val="10"/>
        <color theme="1"/>
        <rFont val="Times New Roman"/>
        <family val="1"/>
      </rPr>
      <t>28GB</t>
    </r>
    <r>
      <rPr>
        <sz val="10"/>
        <color theme="1"/>
        <rFont val="Times New Roman"/>
        <family val="1"/>
      </rPr>
      <t xml:space="preserve">,SSD ≥2 ổ cứng, Dung lượng/1 ổ ≥960GB; </t>
    </r>
    <r>
      <rPr>
        <b/>
        <sz val="10"/>
        <color theme="1"/>
        <rFont val="Times New Roman"/>
        <family val="1"/>
      </rPr>
      <t>HDD 4 x 2.4TB 10k</t>
    </r>
    <r>
      <rPr>
        <sz val="10"/>
        <color theme="1"/>
        <rFont val="Times New Roman"/>
        <family val="1"/>
      </rPr>
      <t>; Card NIC ≥2 (2x10GE/NIC)</t>
    </r>
  </si>
  <si>
    <t>Storage SAN All flash: 300 TB usable</t>
  </si>
  <si>
    <t>Thiết bị SAN Switch 48 ports</t>
  </si>
  <si>
    <t>Object storage</t>
  </si>
  <si>
    <r>
      <t xml:space="preserve">Thiết bị switch hỗ trợ tối thiểu 4x100GE và 48x10/25GE, kèm 48 module </t>
    </r>
    <r>
      <rPr>
        <b/>
        <sz val="11"/>
        <color theme="1"/>
        <rFont val="Times New Roman"/>
        <family val="1"/>
      </rPr>
      <t>10G SR MM, 4 module 100G LR1,</t>
    </r>
    <r>
      <rPr>
        <sz val="11"/>
        <color rgb="FF000000"/>
        <rFont val="Times New Roman"/>
        <family val="1"/>
      </rPr>
      <t xml:space="preserve"> dây quang</t>
    </r>
  </si>
  <si>
    <r>
      <t xml:space="preserve">Thiết bị switch hỗ trợ tối thiểu 2x10GE và 48xGE điện, kèm module </t>
    </r>
    <r>
      <rPr>
        <b/>
        <sz val="11"/>
        <color theme="1"/>
        <rFont val="Times New Roman"/>
        <family val="1"/>
      </rPr>
      <t>10G single mode,</t>
    </r>
    <r>
      <rPr>
        <sz val="11"/>
        <color rgb="FFEE0000"/>
        <rFont val="Times New Roman"/>
        <family val="1"/>
      </rPr>
      <t xml:space="preserve"> </t>
    </r>
    <r>
      <rPr>
        <sz val="11"/>
        <color rgb="FF000000"/>
        <rFont val="Times New Roman"/>
        <family val="1"/>
      </rPr>
      <t>dây quang</t>
    </r>
  </si>
  <si>
    <t>Triển khai giải pháp ATTT</t>
  </si>
  <si>
    <t>Tài nguyên cho mở rộng</t>
  </si>
  <si>
    <r>
      <t>Server datalake  (CPU ≥2, Core/1CPU ≥24; RAM&gt;=256GB,SSD &gt;= 2 x 960GB GB 10K,</t>
    </r>
    <r>
      <rPr>
        <b/>
        <sz val="10"/>
        <color theme="1"/>
        <rFont val="Times New Roman"/>
        <family val="1"/>
      </rPr>
      <t xml:space="preserve"> 9 x 8</t>
    </r>
    <r>
      <rPr>
        <sz val="10"/>
        <rFont val="Times New Roman"/>
        <family val="1"/>
      </rPr>
      <t>TB 7.2k, &gt;=4 port 10GE, &gt;=2 port 1GE)</t>
    </r>
  </si>
  <si>
    <t>Storage SAN All flash: 150 TB usable</t>
  </si>
  <si>
    <r>
      <t>Thiết bị switch hỗ trợ tối thiểu 2x10GE và 48xGE điện, kèm module</t>
    </r>
    <r>
      <rPr>
        <b/>
        <sz val="11"/>
        <color theme="1"/>
        <rFont val="Times New Roman"/>
        <family val="1"/>
      </rPr>
      <t xml:space="preserve"> 10G single mode, </t>
    </r>
    <r>
      <rPr>
        <sz val="11"/>
        <color rgb="FF000000"/>
        <rFont val="Times New Roman"/>
        <family val="1"/>
      </rPr>
      <t>dây quang</t>
    </r>
  </si>
  <si>
    <r>
      <t xml:space="preserve">Thiết bị switch hỗ trợ tối thiểu 4x100GE và 48x10/25GE, kèm 48 module </t>
    </r>
    <r>
      <rPr>
        <b/>
        <sz val="11"/>
        <color theme="1"/>
        <rFont val="Times New Roman"/>
        <family val="1"/>
      </rPr>
      <t xml:space="preserve">10G SR MM, 4 module 100G LR1, </t>
    </r>
    <r>
      <rPr>
        <sz val="11"/>
        <color rgb="FF000000"/>
        <rFont val="Times New Roman"/>
        <family val="1"/>
      </rPr>
      <t>dây quang</t>
    </r>
  </si>
  <si>
    <t>License core</t>
  </si>
  <si>
    <t>Priviledge Account/ Access Managment  - PAM</t>
  </si>
  <si>
    <t>Tổng (Có ví)</t>
  </si>
  <si>
    <t xml:space="preserve">DWDM trục mới Liên tổng trạm </t>
  </si>
  <si>
    <t>Viba dự phòng thay ceragon</t>
  </si>
  <si>
    <t xml:space="preserve">Module new site - 1GE-10km - </t>
  </si>
  <si>
    <t>Module uplink newsite 10GE, SM, 10km (chèn ring 10G 70%) (kèm Patch cord sợi đôi)</t>
  </si>
  <si>
    <t>Module uplink newsite 10GE, SM, 40km (chèn ring 10G 70%) (kèm Patch cord sợi đôi)</t>
  </si>
  <si>
    <t>Module uplink newsite 10GE, SM, 80km (chèn ring 10G 70%) (kèm Patch cord sợi đôi)</t>
  </si>
  <si>
    <t>Module uplink newsite 1GE, SM, 10km (chèn ring 1G 30%) (kèm Patch cord sợi đôi)</t>
  </si>
  <si>
    <t>Module uplink newsite 1GE, SM, 40km (chèn ring 1G 30%) (kèm Patch cord sợi đôi)</t>
  </si>
  <si>
    <t>Module uplink newsite 1GE, SM, 80km (chèn ring 1G 30%) (kèm Patch cord sợi đôi)</t>
  </si>
  <si>
    <t>Module 1GE đấu trạm mới 2G/3G/4G (kèm Patch cord sợi đôi)</t>
  </si>
  <si>
    <t>Module 1GE đấu trạm mới 5G trạm hiện có (kèm Patch cord sợi đôi)</t>
  </si>
  <si>
    <t>Module 10GE, SM, 10km đấu trạm mới 5G  (kèm Patch cord sợi đôi)</t>
  </si>
  <si>
    <t>Module 1GE, SM, 10km (chèn ring 1G) (kèm Patch cord sợi đôi)</t>
  </si>
  <si>
    <t>Module 1GE, SM, 40km (chèn ring 1G) (kèm Patch cord sợi đôi)</t>
  </si>
  <si>
    <t>Module 1GE, SM, 80km (chèn ring 1G) (kèm Patch cord sợi đôi)</t>
  </si>
  <si>
    <t>Module 10GE, SM, 10km (Chèn ring 10G) (kèm Patch cord sợi đôi)</t>
  </si>
  <si>
    <t>Module 10GE, SM, 40km (Chèn ring 10G) (kèm Patch cord sợi đôi)</t>
  </si>
  <si>
    <t>Module 10GE, SM, 80km (Chèn ring 10G) (kèm Patch cord sợi đôi)</t>
  </si>
  <si>
    <t>SFP 1G 10km</t>
  </si>
  <si>
    <t>SFP 1G 40km</t>
  </si>
  <si>
    <t>SFP 1G 80km</t>
  </si>
  <si>
    <t>Module SFP+ 10GE, SM, 10km (kèm Patch cord sợi đôi)</t>
  </si>
  <si>
    <t>Module SFP+ 10GE, SM, 40km (kèm Patch cord sợi đôi)</t>
  </si>
  <si>
    <t>Module SFP+ 10GE, SM, 80km (kèm Patch cord sợi đôi)</t>
  </si>
  <si>
    <t>Module 1GE, SM, 10km (kèm Patch cord sợi đôi)</t>
  </si>
  <si>
    <t>Module 1GE, SM, 40km (kèm Patch cord sợi đôi)</t>
  </si>
  <si>
    <t>Module 1GE, SM, 80km (kèm Patch cord sợi đôi)</t>
  </si>
  <si>
    <t>Module 10GE, SM, 10km (kèm Patch cord sợi đôi)</t>
  </si>
  <si>
    <t>Module 10GE, SM, 40km (kèm Patch cord sợi đôi)</t>
  </si>
  <si>
    <t>Module 10GE, SM, 80km (kèm Patch cord sợi đôi)</t>
  </si>
  <si>
    <t>Module XFP 10G-10km (kèm Patch cord sợi đôi)</t>
  </si>
  <si>
    <t>Module XFP 10G-40km (kèm Patch cord sợi đôi)</t>
  </si>
  <si>
    <t>Module XFP 10G-80km (kèm Patch cord sợi đôi)</t>
  </si>
  <si>
    <t>Module 100GE, SM, 40km (kèm Patch cord sợi đôi)</t>
  </si>
  <si>
    <t>Module 100GE, SM, 80km (kèm Patch cord sợi đôi)</t>
  </si>
  <si>
    <t>Module 400GE, SM, 10km  (kèm Patch cord sợi đôi)</t>
  </si>
  <si>
    <t>Bộ PE MPBN (Chassis 8 slot, 28x10G trên tối thiểu 02 linecard giống nhau, phụ kiện lắp đặt, module)</t>
  </si>
  <si>
    <t>Chassis Router (8 slot)</t>
  </si>
  <si>
    <t>Card 36x10GE/1GE</t>
  </si>
  <si>
    <t>Module 10GE, 10km (bao gồm dây nhảy)</t>
  </si>
  <si>
    <t>Bộ GW (Chassis 8 slot, 6x100G trên 02 linecard, 36x10G, phụ kiện lắp đặt, module)</t>
  </si>
  <si>
    <t>Module 1GE optical, 10km (bao gồm dây nhảy)</t>
  </si>
  <si>
    <t>Module 100GE, 10km (bao gồm dây nhảy)</t>
  </si>
  <si>
    <t>Bộ PEPS (Chassis 8 slot, 13x100G trên 02 linecard, phụ kiện lắp đặt, module)</t>
  </si>
  <si>
    <t>Card 10x100GE</t>
  </si>
  <si>
    <t>Bộ PEPS (Chassis 8 slot, 13x100G trên 02 linecard, 36x10G, phụ kiện lắp đặt, module)</t>
  </si>
  <si>
    <t>Bộ PECĐ (Chassis 8 slot, 6x100G trên 02 linecard, 36x10G, phụ kiện lắp đặt, module)</t>
  </si>
  <si>
    <t>Bộ CT (Chassis 8 slot, 2x400G trên 02 linecard, 18x100Ge trên 02 linecard, 25x10G, phụ kiện lắp đặt, chưa kèm module)</t>
  </si>
  <si>
    <t>Chassis (8 slot)</t>
  </si>
  <si>
    <t>Card 10x100GE (có port 400)</t>
  </si>
  <si>
    <t>Module 10G- 10km (bao gồm dây nhảy)</t>
  </si>
  <si>
    <t>Module 100G- 10km (bao gồm dây nhảy)</t>
  </si>
  <si>
    <t>Module 400G- 10km (bao gồm dây nhảy)</t>
  </si>
  <si>
    <t>AGG rộng rãi</t>
  </si>
  <si>
    <t>AGG vendor rộng rãi phục vụ swap các thiết bị EOL, EOS</t>
  </si>
  <si>
    <t>Chassis (ít nhất 8 slot)</t>
  </si>
  <si>
    <t>Module 100G 10km (kèm Patch cord sợi đôi)</t>
  </si>
  <si>
    <t>Module 100G 40km (kèm Patch cord sợi đôi)</t>
  </si>
  <si>
    <t>Module 100G 80km (kèm Patch cord sợi đôi)</t>
  </si>
  <si>
    <t>Module SFP+ 10GE, SM, 40km</t>
  </si>
  <si>
    <t xml:space="preserve">Module SFP+ 10GE, SM, 80km </t>
  </si>
  <si>
    <t xml:space="preserve">Module 100GE, SM, 10km </t>
  </si>
  <si>
    <t xml:space="preserve">Module 400GE, SM, 10km </t>
  </si>
  <si>
    <t xml:space="preserve">Module 1000BASE-X, SM, LX 10km </t>
  </si>
  <si>
    <t xml:space="preserve">Module 10GE, SM, 10km </t>
  </si>
  <si>
    <t>Bộ PEPS (Chassis 8 slot, 13x100G và 36x10G trên 02 linecard giống nhau, phụ kiện lắp đặt, module)</t>
  </si>
  <si>
    <t>Tổng (Movitel)</t>
  </si>
  <si>
    <r>
      <t xml:space="preserve">PHỤ LỤC 1.3: BẢNG TỔNG HỢP ĐẦU TƯ THEO DỊCH VỤ 
</t>
    </r>
    <r>
      <rPr>
        <i/>
        <sz val="14"/>
        <rFont val="Times New Roman"/>
        <family val="1"/>
      </rPr>
      <t>(Ban hành kèm theo Công văn số                      của Tổng Công ty VTNet)</t>
    </r>
  </si>
  <si>
    <t xml:space="preserve">Năm 2027: Hạ tầng đảm bảo triển hai 622 trạm cosite 4G tại các vị trí 4G dung lượng. Chi phí tính trong phần dung lượng 4G.
Năm 2028: Hạ tầng đảm bảo triển khai 265 trạm cosite 5G tại các vị trí 4G dung lượng. Chi phí tính trong phần dung lượng 4G. </t>
  </si>
  <si>
    <t xml:space="preserve"> TT </t>
  </si>
  <si>
    <t xml:space="preserve"> Mảng </t>
  </si>
  <si>
    <t>Năm 2027</t>
  </si>
  <si>
    <t>Năm 2028</t>
  </si>
  <si>
    <t>Tóm tắt đầu tư</t>
  </si>
  <si>
    <t>Gói công cụ tối ưu mạng thử nghiệm : dự kiến 500K USD</t>
  </si>
  <si>
    <t>Dự phòng ƯCTT</t>
  </si>
  <si>
    <t>Gói UCTT: dự kiến 1.2M USD</t>
  </si>
  <si>
    <t>Gói UCTT: dự kiến 2.1M USD</t>
  </si>
  <si>
    <t>I.</t>
  </si>
  <si>
    <t>Mảng vô tuyến</t>
  </si>
  <si>
    <t>Mạng 4G: 
+) 38 vị trí mới DL
+) 458 tủ MM, 189 sector 2.6GHz 8T8R, 390 sector dualband 700/800MHz, 380 sector dualband 1800/2100MHz, 114 anten đa băng
20.01M USD</t>
  </si>
  <si>
    <t>Mảng Mạng lõi</t>
  </si>
  <si>
    <t xml:space="preserve"> Năm2028</t>
  </si>
  <si>
    <t>Tăng trưởng dung lượng thuê bao</t>
  </si>
  <si>
    <t>Profile SAU/PDP/BW=1/1.5/60.</t>
  </si>
  <si>
    <t>Mảng CĐBR</t>
  </si>
  <si>
    <t>Danh mục</t>
  </si>
  <si>
    <t>Tổng đầu tư</t>
  </si>
  <si>
    <t>Triển khai 4.4k cổng GPON và swap 4k cổng AON, lũy kế 57.3k cổng</t>
  </si>
  <si>
    <t>Triển khai 4.5k cổng và swap 8k cổng AON, lũy kế 61.7k cổng</t>
  </si>
  <si>
    <t>Đầu tư 2 server AAA và 2 server DNS để đảm bảo dự phòng mức site</t>
  </si>
  <si>
    <t>Đầu tư 2 thiết bị BRAS để swap 2 thiết bị BRAS đã EoL, EoS tại TT Nampula</t>
  </si>
  <si>
    <t xml:space="preserve">Củng cố </t>
  </si>
  <si>
    <t>bền vững</t>
  </si>
  <si>
    <t xml:space="preserve">  -   </t>
  </si>
  <si>
    <t>Mảng CNTT</t>
  </si>
  <si>
    <t>Chi phí cho phần CNTT</t>
  </si>
  <si>
    <t>Phần cứng</t>
  </si>
  <si>
    <t>Nâng cấp, mở rộng hạ tầng</t>
  </si>
  <si>
    <t>Thay thế thiết bị quá niên hạn</t>
  </si>
  <si>
    <t>- Thay thế cho lưu trữ (2 thiết bị SAN + 4 SAN SWITCH): 1.447.912 $</t>
  </si>
  <si>
    <t>- Thay thế cho Lưu trữ (1 thiết bị SAN + 2 SAN SWITCH): 723.956 $</t>
  </si>
  <si>
    <t>Tủ rack và dịch vụ triển khai</t>
  </si>
  <si>
    <t>License OCS, phần mềm</t>
  </si>
  <si>
    <t>License OCS</t>
  </si>
  <si>
    <t>License cho 19 tr subs trên OCS 4.0 PR: 9,12 tr USD</t>
  </si>
  <si>
    <t>Phần mềm</t>
  </si>
  <si>
    <t>Chi phí cho phần Ví Mmola</t>
  </si>
  <si>
    <t>Đầu tư hạ tầng</t>
  </si>
  <si>
    <t>Bổ sung license 510 mTPM cho ví điện tử</t>
  </si>
  <si>
    <t>Bổ sung license cho 180 mTPM cho ví điện tử</t>
  </si>
  <si>
    <t>- Đầu tư hạ tầng cho các ứng dụng triển khai mới: 13.120.210 $
- OCS 4.0 DR : 10.000.000 $
- Triển khai mới các hệ thống: VAS, Đâu tư, Tài chính, CSKH, DCIM, NCMS , vDCIM: 527.778 $
- Triển khai mới KH doanh nghiệp: 1.756.060 $</t>
  </si>
  <si>
    <t xml:space="preserve">-Triển khai mới các hệ thống: VAS, Đâu tư, Tài chính, CSKH, DCIM, NCMS , vDCIM: 702.904 $
- Triển khai mới KH doanh nghiệp: 790.467 $
- Triển khai Private Cloud: 1.972.748$
- GPU cho hệ thống AI: 836.372 $
</t>
  </si>
  <si>
    <t>- Mở rộng các hệ thống USSDGW/VASGW, Process/Sender: 351.452 $
- Nâng cấp cho các hệ thống Datalake: 240.900 $
- Nâng cấp hệ thống ATTT:  591.152 $
Triển khai 1 thiết bị SAN + 2 sanswitch: 723.956 $</t>
  </si>
  <si>
    <t>- Mở rộng các hệ thống USSDGW/VASGW, Process/Sender: 1.054.356 $
- Nâng cấp cho các hệ thống Datalake: 240.900 $
- Nâng cấp hệ thống ATTT:  295.576 $
- Triển khai 2 thiết bị SAN + 4 sanswitch</t>
  </si>
  <si>
    <t xml:space="preserve">- Thay thế cho lưu trữ (2 thiết bị SAN + 4 SAN SWITCH): 1.447.912 $
- Thay thế 02 switch leaf, 02 switch management: 39.428 $
</t>
  </si>
  <si>
    <t>- Thay thế cho Lưu trữ (1 thiết bị SAN + 2 SAN SWITCH): 723.956 $
- Thay thế 22 server quá niên hạn : 1.659.006 $
- Thay thế 02 switch leaf, 02 switch management: 39.428 $</t>
  </si>
  <si>
    <t xml:space="preserve">11,03 </t>
  </si>
  <si>
    <t>10,62</t>
  </si>
  <si>
    <t>Phát triển trạm mới</t>
  </si>
  <si>
    <t>0,16</t>
  </si>
  <si>
    <t xml:space="preserve">0,40 </t>
  </si>
  <si>
    <t>SRT và vật tư cho 918 dung lượng</t>
  </si>
  <si>
    <t>SRT và vật tư cho 102 dung lượng</t>
  </si>
  <si>
    <t xml:space="preserve">0,31 </t>
  </si>
  <si>
    <t xml:space="preserve">0,18 </t>
  </si>
  <si>
    <t>SRTcho 302 trạm newsite</t>
  </si>
  <si>
    <t>SRTcho 229 trạm newsite</t>
  </si>
  <si>
    <t>Nâng cấp dung lượng</t>
  </si>
  <si>
    <t>MPBN/IPBN</t>
  </si>
  <si>
    <t xml:space="preserve">0,42 </t>
  </si>
  <si>
    <t xml:space="preserve">1,11 </t>
  </si>
  <si>
    <t>Metro</t>
  </si>
  <si>
    <t>5,86</t>
  </si>
  <si>
    <t>3,31</t>
  </si>
  <si>
    <t>Kiên cố và dự phòng UCTT</t>
  </si>
  <si>
    <t>1,85</t>
  </si>
  <si>
    <t xml:space="preserve">1,58 </t>
  </si>
  <si>
    <t>Hiện đại hóa</t>
  </si>
  <si>
    <t>0,48</t>
  </si>
  <si>
    <t xml:space="preserve">3,88 </t>
  </si>
  <si>
    <t>1,96</t>
  </si>
  <si>
    <t xml:space="preserve">0,10 </t>
  </si>
  <si>
    <t>Đảm bảo hạ tầng IP cho tổng trạm MAT mới</t>
  </si>
  <si>
    <t>Thêm giao diện đấu nối phát sinh</t>
  </si>
  <si>
    <t>- Trục backbone: Nâng cấp trục lên Nx100GE, phân đoạn cao nhất là 4x100GE.
- Nâng cấp tài nguyên trên các phân lớp mạng Metro, IPBN đáp ứng tổng lưu lượng 527Gb.
- Bổ sung dung lượng mạng KNQT lũy kế đạt 232Gb dung lượng cho 163Gb lưu lượng KNQT</t>
  </si>
  <si>
    <t>- Trục backbone: Nâng cấp trục lên Nx100GE.
- Nâng cấp tài nguyên trên các phân lớp mạng Metro, IPBN đáp ứng tổng lưu lượng lũy kế đạt 625Gb.
- Bổ sung dung lượng mạng KNQT lũy kế đạt 279Gb dung lượng cho 195Gb lưu lượng KNQT</t>
  </si>
  <si>
    <t>- Đầu tư dự phòng trục backbone 1A, 1B, 1C đảm bảo dự phòng 1+2 về cáp và dung lượng
- Nâng cấp dung lượng đường ngang, đảm bảo dự phòng cô lập phân đoạn cáp trục
- Đảm bảo vật tư UCTT</t>
  </si>
  <si>
    <t>Truyền dẫn IP</t>
  </si>
  <si>
    <t xml:space="preserve"> Viba + cáp quang đáp ứng  302 vị trí mới </t>
  </si>
  <si>
    <t xml:space="preserve">Viba + cáp quang đáp ứng  226 vị trí mới </t>
  </si>
  <si>
    <t>Dung lượng trục</t>
  </si>
  <si>
    <t xml:space="preserve"> Nâng cấp dung lượng trục IPBN + Core Tỉnh từ 300G lên 400G </t>
  </si>
  <si>
    <t>Bổ sung dung lượng trục 1C đảm bảo 1+2 dung lượng</t>
  </si>
  <si>
    <t>Dung lượng AGG</t>
  </si>
  <si>
    <t>1,87</t>
  </si>
  <si>
    <t>Nâng dung lượng cho 43 link AGG</t>
  </si>
  <si>
    <t>Nâng dung lượng cho 30 link AGG</t>
  </si>
  <si>
    <t>Mạng LTT mới</t>
  </si>
  <si>
    <t>4 node ROADM + 1.6Tbps</t>
  </si>
  <si>
    <t xml:space="preserve"> Kiên cố, củng cố </t>
  </si>
  <si>
    <t>Viba vu hồi</t>
  </si>
  <si>
    <t>8 tuyến viba trục và 90 tuyến viba access</t>
  </si>
  <si>
    <t>8 tuyến vi ba trục và 90 tuyến viba access</t>
  </si>
  <si>
    <t>Ngầm hóa</t>
  </si>
  <si>
    <t>840 km cáp ngầm</t>
  </si>
  <si>
    <t>Củng cố</t>
  </si>
  <si>
    <t>1000 km cáp + 5000 cột gỗ</t>
  </si>
  <si>
    <t>Vu hồi</t>
  </si>
  <si>
    <t>300 km cáp quang</t>
  </si>
  <si>
    <t>Ứng cứu thông tin</t>
  </si>
  <si>
    <t>1000 km cáp quang và phụ kiện</t>
  </si>
  <si>
    <t>Cơ điện tổng trạm</t>
  </si>
  <si>
    <t>Tổng trạm cũ</t>
  </si>
  <si>
    <t>TTr MAC</t>
  </si>
  <si>
    <t>TTr NAM</t>
  </si>
  <si>
    <t>- Củng cố, nâng cấp (490k$): Thay thế EOL 02 hệ thống DC 2000A; Trang bị hệ thống bọc hành lang lạnh và 01 ĐHCX 250kBTU/h khắc phục điểm nóng hotspot nâng cao PUE; 40 bộ STS để cấp 2 mặt nguồn cho thiết bị 1 chân nguồn.
- Bảo dưỡng hệ thống MPĐ, hệ thống điện AC (52.5k$).
- Vật tư dự phòng UCTT (120k$).</t>
  </si>
  <si>
    <t>- Củng cố, nâng cấp (350k$): Thay thế EOL 02 hệ thống DC 2000A và 8 tổ ắc quy chì 12V cho UPS; Triển khai nâng cấp từ iBMS lên DCIM.
-  Bảo dưỡng hệ thống MPĐ, hệ thống điện AC (52.5k$).
- Vật tư dự phòng UCTT (120k$).</t>
  </si>
  <si>
    <t>- Củng cố, nâng cấp (73.2k$): Thay thế EOL: 4 tổ ắc quy chì 2V-2000Ah.
- Bảo dưỡng hệ thống MPĐ, hệ thống điện AC (52.5k$).
- Vật tư dự phòng UCTT (70k$).</t>
  </si>
  <si>
    <t>- Củng cố, nâng cấp (350k$): Thay thế 02 MBA do đã bị sự cố rò rỉ dầu; Triển khai nâng cấp từ iBMS lên DCIM.
- Bảo dưỡng hệ thống MPĐ, hệ thống điện AC (52.5k$).
- Vật tư dự phòng UCTT (70k$).</t>
  </si>
  <si>
    <t>Cơ điện BTS</t>
  </si>
  <si>
    <t>Phát triển mới</t>
  </si>
  <si>
    <t>- Phát triển 255 trạm mới (112 trạm có điện, 143 trạm không điện)</t>
  </si>
  <si>
    <t>- Phát triển 250 trạm mới (61 trạm có điện, 189 trạm không điện).</t>
  </si>
  <si>
    <t>- Đảm bảo tài nguyên đảm bảo lắp đặt cosite 4G+5G (không tách riêng do sử dụng chung AAU).</t>
  </si>
  <si>
    <t>- Phát triển 14 trạm mới có điện (0.18 tr$); Đảm bảo tài nguyên lắp đặt cosite 4G+5G (0.26 tr$).</t>
  </si>
  <si>
    <t xml:space="preserve"> Kiên cố, bền vững</t>
  </si>
  <si>
    <t xml:space="preserve"> -   </t>
  </si>
  <si>
    <t>Trạm truy nhập</t>
  </si>
  <si>
    <t>Tủ nguồn DC</t>
  </si>
  <si>
    <t>- Thay thế 50 tủ nguồn DC EOL ZTE B201/năm</t>
  </si>
  <si>
    <t>Ắc quy</t>
  </si>
  <si>
    <t>- Đầu tư 1900 bình (1500 bình bù suy hao cho trạm không điện và 400 bình portable phục vụ UCTT)</t>
  </si>
  <si>
    <t>- Đầu tư 1500 bình bù suy hao cho trạm không điện</t>
  </si>
  <si>
    <t>2.3</t>
  </si>
  <si>
    <t>MPĐ</t>
  </si>
  <si>
    <t xml:space="preserve">- Đầu tư 212 MPĐ, Trong đó: 100 máy thay thế hỏng hóc không sửa được và 112 máy cấp cho trạm chưa có máy. </t>
  </si>
  <si>
    <t>2.4</t>
  </si>
  <si>
    <t>- Đầu tư PMT cho 74/274 trạm không đủ công suất.</t>
  </si>
  <si>
    <t>- Đầu tư PMT cho 200/274 trạm không đủ công suất.</t>
  </si>
  <si>
    <t>2.5</t>
  </si>
  <si>
    <t>Các vật tư khác</t>
  </si>
  <si>
    <t>- Đầu tư các vật tư như 112 bộ ATS, 500 bộ TGLB FAC, 30 máy biến áp phục vụ kéo điện, vật tư củng cố trạm 100 điểm, gói bảo dưỡng MPĐ.</t>
  </si>
  <si>
    <t>- Vật tư phục vụ UCTT như 80 bộ ATS, 64 tủ V5-3P, 1239 rectifier các loại, 430 solar charger, 182 bộ controler cho tủ nguồn DC và một số vật tư khác.</t>
  </si>
  <si>
    <t>- Vật tư phục vụ UCTT như: 80 bộ ATS, 64 tủ V5-3P, 1039 rectifier các loại, 530 solar charger, 182 bộ controler cho tủ nguồn DC và một số vật tư khác.</t>
  </si>
  <si>
    <t>- Đầu tư tủ nguồn DC thực hiện tách core-access cho 26 trạm trục 1C
- Đầu tư 54 MPĐ dầu 30kVA cho các trạm trục không đủ công suất
- Đầu tư 65 bộ inverter 48VDC-220VAC cho điều hòa trạm không điện</t>
  </si>
  <si>
    <t>- Đầu tư 212 MPĐ/năm. Trong đó: 100 máy thay thế hỏng hóc không sửa được và 112 máy cấp cho trạm chưa có máy.
- Lũy kế hết 2028: 90% trạm có MPĐ dầu cố định.</t>
  </si>
  <si>
    <t>- Đầu tư các vật tư như 112 bộ ATS, 500 bộ TGLB FAC, 30 máy biến áp phục vụ kéo điện, vật tư củng cố trạm 100 điểm, gói bảo dưỡng MPĐ.
- Lũy kế đầu tư hết 2028: 100% trạm MPĐ dầu được trang bị ATS, 100% trạm nhà container được đầu tư TGLB FAC mới</t>
  </si>
  <si>
    <t>Hạ tầng</t>
  </si>
  <si>
    <t xml:space="preserve">Diễn giải khối lượng đầu tư </t>
  </si>
  <si>
    <t>Vật tư cột</t>
  </si>
  <si>
    <t>Xây dựng và lắp đặt hạ tầng cột và nhà trạm</t>
  </si>
  <si>
    <t>Lắp đặt thiết bị BTS</t>
  </si>
  <si>
    <t>4,.53</t>
  </si>
  <si>
    <t>X</t>
  </si>
  <si>
    <t>Hạng mục giải pháp</t>
  </si>
  <si>
    <t>Diễn giải khối lượng đầu tư</t>
  </si>
  <si>
    <t>- 01 License cho hệ thống rà quét lỗ hổng từ mạng PUBLIC</t>
  </si>
  <si>
    <t xml:space="preserve">Priviledge Account/ Access Managment  - PAM </t>
  </si>
  <si>
    <t>Hệ thống quản lý tài sản tập trung</t>
  </si>
  <si>
    <t>1. Đầu tư hiện đại hóa mạng lưới do 3 PS ATCA đã EoS. Chuyển lên 5GC Cloud: 1.8  triệu USD
Profile SAU/PDP/BW=1/1.5/60.
+ Swap phần cứng cho 3 PS ATCA (1.3 triệu USD): 5GC đặt tại TTr Maputo PSMP06 (bao gồm CloudDNS): 1500K SAU, 2250K PDP, 90Gbps BW và Extra BW 160Gbps. 260Gbps FW NAT. và dịch vụ triển khai.
+ Swap phần mềm cho 3 PS ATCA (0.57 triệu USD – ưu tiên 2): 5GC Maputo PSMP06 (bao gồm CloudDNS): 1200K SAU 2G/3G; 800K SAU 2G/3G/4G, 175G BW. FW 180G. Đơn giá swap licenese = 40% đơn giá license.
2. Swap phần mềm từ HSS sang UDM mới: 0.4 triệu USD – ưu tiên 2:
+ UDM: 2G/3G: 11.1M FE/23M BE; 4G: 1.65M FE/7M BE; IMS: 650K FE/2.1M BE; 5G: 50K FE/50K BE. Giá bằng 40% của giá license.
3. Đầu tư hiện đại hóa hệ thống SBC: 2.1 triệu USD
+ Phần cứng, phần mềm license cho 2 cặp SBC ngoại mạng 220K Session để đảm bảo An toàn mạng lưới và 2 cặp SBC quốc tế 2K Session (thay thế). Vị đặt SBC:  01 tại TTr Maputo, 01 tại TTr Nampula
4. Hiện đại hóa: Đầu từ mới USC cho báo hiệu: 1.4 triệu USD
+ Phần mềm: 1 cặp USC với 70K MSU license pool (70K MSU/STP trong t/h không cung cấp được license pool), 1 cặp DRA/DEA với 70K TPS license pool (70K TPS/DRA trong t/h không cung cấp được license pool).
+ Phần cứng: 1 cặp DRA/DEA với 100K TPS (Mỗi DRA/DEA là 100K TPS), 1 cặp STP với 100K MSU (Mỗi STP là 100K MSU). Vị trí đặt USC: 01 tại TTr Maputo, 01 tại TTr Nampula</t>
  </si>
  <si>
    <t>Đầu tư đáp ứng tăng trưởng kinh doanh cho thuê bao data 4G, 5G NSA, FWA đến T12/2028:
1. UDM: 0.5 triệu USD. Phần mềm: UDM: 2G/3G: 3M FE/9M BE; 4G: 2M FE/6M BE; 5G: 500K FE/2M BE
2. PS Core: 2.5 triệu USD. Profile SAU/PDP/BW=1/1.5/60.
+Phần cứng:  5GC đặt tại TTr Nampula PSNA03 (bao gồm CloudDNS): 1500K SAU, 2250K PDP, 90Gbps BW và Extra BW 160Gbps. 260Gbps FW NAT. và dịch vụ triển khai.
+ Phần mềm: 4G: 1200K SAU, 1800K PDP, BW 72G. 5G: 300K SAU, 450K PDP, BW 18G, extra BW 47G. FW 140G. cho PSNA02 và PSMP05</t>
  </si>
  <si>
    <r>
      <t xml:space="preserve">PHỤ LỤC 1.2: BẢNG TỔNG HỢP ĐẦU TƯ THEO MỤC ĐÍCH QHĐC 2027-2028
</t>
    </r>
    <r>
      <rPr>
        <i/>
        <sz val="8"/>
        <rFont val="Times New Roman"/>
        <family val="1"/>
      </rPr>
      <t>(Ban hành kèm theo Công văn số                      của Tổng Công ty VTNet)</t>
    </r>
  </si>
  <si>
    <r>
      <t>Mạng 4G:</t>
    </r>
    <r>
      <rPr>
        <sz val="8"/>
        <color rgb="FF000000"/>
        <rFont val="Times New Roman"/>
        <family val="1"/>
      </rPr>
      <t xml:space="preserve"> Triển khai 255 vị trí triển khai vùng phủ mới cho 4G (201 vị trí vùng phủ mới, 54 vị trí tăng cường vùng phủ). </t>
    </r>
    <r>
      <rPr>
        <b/>
        <sz val="8"/>
        <color rgb="FF000000"/>
        <rFont val="Times New Roman"/>
        <family val="1"/>
      </rPr>
      <t>4.2M USD</t>
    </r>
  </si>
  <si>
    <r>
      <t xml:space="preserve">Mạng 4G: </t>
    </r>
    <r>
      <rPr>
        <sz val="8"/>
        <color rgb="FF000000"/>
        <rFont val="Times New Roman"/>
        <family val="1"/>
      </rPr>
      <t xml:space="preserve">Triển khai 268 vị trí triển khai vùng phủ mới cho 4G (230 vị trí vùng phủ mới, 38 vị trí tăng cường vùng phủ). </t>
    </r>
    <r>
      <rPr>
        <b/>
        <sz val="8"/>
        <color rgb="FF000000"/>
        <rFont val="Times New Roman"/>
        <family val="1"/>
      </rPr>
      <t>3.8M USD</t>
    </r>
  </si>
  <si>
    <r>
      <t xml:space="preserve">Mạng 5G: </t>
    </r>
    <r>
      <rPr>
        <sz val="8"/>
        <color rgb="FF000000"/>
        <rFont val="Times New Roman"/>
        <family val="1"/>
      </rPr>
      <t xml:space="preserve">Cosite trên 622 vị trí triển khai 4G DL, đảm bảo cam kết với chính phủ. </t>
    </r>
    <r>
      <rPr>
        <b/>
        <sz val="8"/>
        <color rgb="FF000000"/>
        <rFont val="Times New Roman"/>
        <family val="1"/>
      </rPr>
      <t>Tính chi phí trong DL 4G</t>
    </r>
  </si>
  <si>
    <r>
      <t xml:space="preserve">Mạng 5G: </t>
    </r>
    <r>
      <rPr>
        <sz val="8"/>
        <color rgb="FF000000"/>
        <rFont val="Times New Roman"/>
        <family val="1"/>
      </rPr>
      <t xml:space="preserve">Cosite trên 458 vị trí triển khai 4G DL, đảm bảo cam kết với chính phủ. </t>
    </r>
    <r>
      <rPr>
        <b/>
        <sz val="8"/>
        <color rgb="FF000000"/>
        <rFont val="Times New Roman"/>
        <family val="1"/>
      </rPr>
      <t>Tính chi phí trong DL 4G</t>
    </r>
  </si>
  <si>
    <r>
      <t>Mạng 4G:</t>
    </r>
    <r>
      <rPr>
        <sz val="8"/>
        <color rgb="FF000000"/>
        <rFont val="Times New Roman"/>
        <family val="1"/>
      </rPr>
      <t xml:space="preserve"> 802 tủ MM, 78 sector 2.6GHz 8T8R, 177 sector tripleband 700/800/900MHz, 90 sector dualband 700/800MHz, 300 sector dualband 1800/2100MHz. </t>
    </r>
    <r>
      <rPr>
        <b/>
        <sz val="8"/>
        <color rgb="FF000000"/>
        <rFont val="Times New Roman"/>
        <family val="1"/>
      </rPr>
      <t>35.4M USD</t>
    </r>
  </si>
  <si>
    <r>
      <t xml:space="preserve">Swap anten đa băng 400 tram/năm: </t>
    </r>
    <r>
      <rPr>
        <b/>
        <sz val="8"/>
        <color rgb="FF000000"/>
        <rFont val="Times New Roman"/>
        <family val="1"/>
      </rPr>
      <t>864K USD</t>
    </r>
  </si>
  <si>
    <r>
      <t xml:space="preserve">1. Nâng cấp software cho 3 CloudSE2980 MGW từ 1 V5R23, 2 V5R24 lên V5R25: </t>
    </r>
    <r>
      <rPr>
        <b/>
        <sz val="8"/>
        <color rgb="FF000000"/>
        <rFont val="Times New Roman"/>
        <family val="1"/>
      </rPr>
      <t>0.06 triệu USD</t>
    </r>
  </si>
  <si>
    <r>
      <t xml:space="preserve">- 01 License cho hệ thống rà quét lỗ hổng từ mạng nội bộ của </t>
    </r>
    <r>
      <rPr>
        <b/>
        <sz val="8"/>
        <color rgb="FF000000"/>
        <rFont val="Times New Roman"/>
        <family val="1"/>
      </rPr>
      <t>Movitel</t>
    </r>
  </si>
  <si>
    <r>
      <t xml:space="preserve">- 01 License cho hệ thống rà quét lỗ hổng từ mạng nội bộ của </t>
    </r>
    <r>
      <rPr>
        <b/>
        <sz val="8"/>
        <color rgb="FF000000"/>
        <rFont val="Times New Roman"/>
        <family val="1"/>
      </rPr>
      <t>MOLA</t>
    </r>
  </si>
  <si>
    <r>
      <t xml:space="preserve">Hệ thống quản lý truy cập đặc quyền riêng cho cty </t>
    </r>
    <r>
      <rPr>
        <b/>
        <sz val="8"/>
        <color rgb="FF000000"/>
        <rFont val="Times New Roman"/>
        <family val="1"/>
      </rPr>
      <t>MOLA</t>
    </r>
  </si>
  <si>
    <t>- Đầu tư các SRT mới là SRT 100GE, đáp ứng cho 5G.
- Swap 9node 2027 và 10 node AGG cho 2028, dần thay thế các AGG đã EoL trên mạng lưới.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</si>
</sst>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_(* \(#,##0.00\);_(* &quot;-&quot;??_);_(@_)"/>
    <numFmt numFmtId="164" formatCode="_-* #,##0.00\ _₫_-;\-* #,##0.00\ _₫_-;_-* &quot;-&quot;??\ _₫_-;_-@_-"/>
    <numFmt numFmtId="165" formatCode="_-* #,##0\ _€_-;\-* #,##0\ _€_-;_-* &quot;-&quot;??\ _€_-;_-@_-"/>
    <numFmt numFmtId="166" formatCode="_(* #,##0_);_(* \(#,##0\);_(* &quot;-&quot;??_);_(@_)"/>
    <numFmt numFmtId="167" formatCode="_(* #,##0.0_);_(* \(#,##0.0\);_(* &quot;-&quot;??_);_(@_)"/>
    <numFmt numFmtId="168" formatCode="0.0%"/>
    <numFmt numFmtId="169" formatCode="_-* #,##0.00\ _€_-;\-* #,##0.00\ _€_-;_-* &quot;-&quot;??\ _€_-;_-@_-"/>
    <numFmt numFmtId="170" formatCode="_(* #,##0.000_);_(* \(#,##0.000\);_(* &quot;-&quot;??_);_(@_)"/>
    <numFmt numFmtId="171" formatCode="_-* #,##0.0\ _₫_-;\-* #,##0.0\ _₫_-;_-* &quot;-&quot;??\ _₫_-;_-@_-"/>
    <numFmt numFmtId="172" formatCode="[$-409]dd\-mmm\-yy;@"/>
    <numFmt numFmtId="173" formatCode="_([$€-2]* #,##0.00_);_([$€-2]* \(#,##0.00\);_([$€-2]* &quot;-&quot;??_)"/>
    <numFmt numFmtId="174" formatCode="_-* #,##0.00_-;\-* #,##0.00_-;_-* &quot;-&quot;??_-;_-@_-"/>
    <numFmt numFmtId="175" formatCode="_(* #.##0.00_);_(* \(#.##0.00\);_(* &quot;-&quot;??_);_(@_)"/>
    <numFmt numFmtId="176" formatCode="_(* #,##0.0000_);_(* \(#,##0.0000\);_(* &quot;-&quot;??_);_(@_)"/>
    <numFmt numFmtId="177" formatCode="_-* #,##0_-;\-* #,##0_-;_-* &quot;-&quot;_-;_-@_-"/>
    <numFmt numFmtId="178" formatCode="_([$€-2]* #.##0.00_);_([$€-2]* \(#.##0.00\);_([$€-2]* &quot;-&quot;??_)"/>
    <numFmt numFmtId="179" formatCode="#,##0.0"/>
    <numFmt numFmtId="180" formatCode="_(* #,##0.00000_);_(* \(#,##0.00000\);_(* &quot;-&quot;??_);_(@_)"/>
  </numFmts>
  <fonts count="62">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0"/>
      <name val="Times New Roman"/>
      <family val="1"/>
    </font>
    <font>
      <b/>
      <sz val="10"/>
      <name val="Times New Roman"/>
      <family val="1"/>
    </font>
    <font>
      <b/>
      <sz val="14"/>
      <name val="Times New Roman"/>
      <family val="1"/>
    </font>
    <font>
      <i/>
      <sz val="10"/>
      <name val="Times New Roman"/>
      <family val="1"/>
    </font>
    <font>
      <sz val="10"/>
      <name val="Arial"/>
      <family val="2"/>
    </font>
    <font>
      <b/>
      <i/>
      <sz val="10"/>
      <name val="Times New Roman"/>
      <family val="1"/>
    </font>
    <font>
      <b/>
      <sz val="10"/>
      <color rgb="FFFF0000"/>
      <name val="Times New Roman"/>
      <family val="1"/>
    </font>
    <font>
      <sz val="11"/>
      <color theme="1"/>
      <name val="Calibri"/>
      <family val="2"/>
      <charset val="163"/>
      <scheme val="minor"/>
    </font>
    <font>
      <sz val="11"/>
      <name val="Times New Roman"/>
      <family val="1"/>
    </font>
    <font>
      <b/>
      <sz val="9"/>
      <color indexed="81"/>
      <name val="Tahoma"/>
      <family val="2"/>
    </font>
    <font>
      <sz val="9"/>
      <color indexed="81"/>
      <name val="Tahoma"/>
      <family val="2"/>
    </font>
    <font>
      <sz val="10"/>
      <color rgb="FFFF0000"/>
      <name val="Times New Roman"/>
      <family val="1"/>
    </font>
    <font>
      <i/>
      <sz val="10"/>
      <color rgb="FFFF0000"/>
      <name val="Times New Roman"/>
      <family val="1"/>
    </font>
    <font>
      <sz val="10"/>
      <color theme="1"/>
      <name val="Times New Roman"/>
      <family val="1"/>
    </font>
    <font>
      <b/>
      <sz val="10"/>
      <color theme="1"/>
      <name val="Times New Roman"/>
      <family val="1"/>
    </font>
    <font>
      <sz val="8.25"/>
      <name val="Microsoft Sans Serif"/>
      <family val="2"/>
    </font>
    <font>
      <sz val="10"/>
      <color theme="1"/>
      <name val="Arial"/>
      <family val="2"/>
    </font>
    <font>
      <sz val="8.25"/>
      <name val="Microsoft Sans Serif"/>
      <family val="2"/>
      <charset val="163"/>
    </font>
    <font>
      <sz val="10"/>
      <name val=".VnArial"/>
      <family val="2"/>
    </font>
    <font>
      <sz val="12"/>
      <color theme="1"/>
      <name val="Times New Roman"/>
      <family val="2"/>
    </font>
    <font>
      <sz val="10"/>
      <name val="Arial"/>
      <family val="2"/>
      <charset val="163"/>
    </font>
    <font>
      <b/>
      <sz val="10"/>
      <color theme="0"/>
      <name val="Times New Roman"/>
      <family val="1"/>
    </font>
    <font>
      <sz val="8"/>
      <color rgb="FFFF0000"/>
      <name val="Times New Roman"/>
      <family val="1"/>
    </font>
    <font>
      <sz val="10"/>
      <color rgb="FF0000FF"/>
      <name val="Times New Roman"/>
      <family val="1"/>
    </font>
    <font>
      <b/>
      <sz val="10"/>
      <color rgb="FF0000FF"/>
      <name val="Times New Roman"/>
      <family val="1"/>
    </font>
    <font>
      <sz val="10"/>
      <color theme="0"/>
      <name val="Times New Roman"/>
      <family val="1"/>
    </font>
    <font>
      <b/>
      <sz val="10"/>
      <color rgb="FFEE0033"/>
      <name val="Times New Roman"/>
      <family val="1"/>
    </font>
    <font>
      <b/>
      <i/>
      <sz val="10"/>
      <color rgb="FFFF0000"/>
      <name val="Times New Roman"/>
      <family val="1"/>
    </font>
    <font>
      <b/>
      <i/>
      <sz val="10"/>
      <color rgb="FFEE0033"/>
      <name val="Times New Roman"/>
      <family val="1"/>
    </font>
    <font>
      <i/>
      <sz val="14"/>
      <name val="Times New Roman"/>
      <family val="1"/>
    </font>
    <font>
      <sz val="11"/>
      <color theme="1"/>
      <name val="Times New Roman"/>
      <family val="1"/>
    </font>
    <font>
      <sz val="12"/>
      <color theme="1"/>
      <name val="Calibri"/>
      <family val="2"/>
      <scheme val="minor"/>
    </font>
    <font>
      <sz val="10"/>
      <name val="Arial"/>
      <family val="2"/>
    </font>
    <font>
      <sz val="11"/>
      <color indexed="8"/>
      <name val="Calibri"/>
      <family val="2"/>
      <charset val="163"/>
    </font>
    <font>
      <b/>
      <sz val="11"/>
      <color theme="1"/>
      <name val="Times New Roman"/>
      <family val="1"/>
    </font>
    <font>
      <sz val="11"/>
      <color rgb="FFFF0000"/>
      <name val="Times New Roman"/>
      <family val="1"/>
    </font>
    <font>
      <b/>
      <sz val="11"/>
      <name val="Times New Roman"/>
      <family val="1"/>
    </font>
    <font>
      <i/>
      <sz val="11"/>
      <name val="Times New Roman"/>
      <family val="1"/>
    </font>
    <font>
      <sz val="11"/>
      <color rgb="FFEE0033"/>
      <name val="Times New Roman"/>
      <family val="1"/>
    </font>
    <font>
      <sz val="11"/>
      <color rgb="FF0000FF"/>
      <name val="Times New Roman"/>
      <family val="1"/>
    </font>
    <font>
      <b/>
      <sz val="11"/>
      <color rgb="FF0000FF"/>
      <name val="Times New Roman"/>
      <family val="1"/>
    </font>
    <font>
      <b/>
      <i/>
      <sz val="11"/>
      <name val="Times New Roman"/>
      <family val="1"/>
    </font>
    <font>
      <sz val="12"/>
      <color theme="1"/>
      <name val="Times New Roman"/>
      <family val="1"/>
    </font>
    <font>
      <sz val="12"/>
      <name val="Times New Roman"/>
      <family val="1"/>
    </font>
    <font>
      <sz val="12"/>
      <color rgb="FFFF0000"/>
      <name val="Times New Roman"/>
      <family val="1"/>
    </font>
    <font>
      <b/>
      <sz val="12"/>
      <color theme="1"/>
      <name val="Times New Roman"/>
      <family val="1"/>
    </font>
    <font>
      <b/>
      <sz val="12"/>
      <name val="Times New Roman"/>
      <family val="1"/>
    </font>
    <font>
      <sz val="11"/>
      <color rgb="FF000000"/>
      <name val="Times New Roman"/>
      <family val="1"/>
    </font>
    <font>
      <sz val="11"/>
      <color rgb="FFEE0000"/>
      <name val="Times New Roman"/>
      <family val="1"/>
    </font>
    <font>
      <b/>
      <sz val="8"/>
      <name val="Times New Roman"/>
      <family val="1"/>
    </font>
    <font>
      <i/>
      <sz val="8"/>
      <name val="Times New Roman"/>
      <family val="1"/>
    </font>
    <font>
      <sz val="8"/>
      <name val="Times New Roman"/>
      <family val="1"/>
    </font>
    <font>
      <b/>
      <sz val="8"/>
      <color rgb="FFFFFFFF"/>
      <name val="Times New Roman"/>
      <family val="1"/>
    </font>
    <font>
      <sz val="8"/>
      <color rgb="FF000000"/>
      <name val="Times New Roman"/>
      <family val="1"/>
    </font>
    <font>
      <b/>
      <sz val="8"/>
      <color rgb="FF000000"/>
      <name val="Times New Roman"/>
      <family val="1"/>
    </font>
    <font>
      <b/>
      <i/>
      <sz val="8"/>
      <color rgb="FF000000"/>
      <name val="Times New Roman"/>
      <family val="1"/>
    </font>
    <font>
      <i/>
      <sz val="8"/>
      <color rgb="FF000000"/>
      <name val="Times New Roman"/>
      <family val="1"/>
    </font>
  </fonts>
  <fills count="3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EE0033"/>
        <bgColor indexed="64"/>
      </patternFill>
    </fill>
    <fill>
      <patternFill patternType="solid">
        <fgColor rgb="FF0000FF"/>
        <bgColor indexed="64"/>
      </patternFill>
    </fill>
    <fill>
      <patternFill patternType="solid">
        <fgColor rgb="FF00B050"/>
        <bgColor indexed="64"/>
      </patternFill>
    </fill>
    <fill>
      <patternFill patternType="solid">
        <fgColor rgb="FFFFFFFF"/>
        <bgColor rgb="FFFFFFFF"/>
      </patternFill>
    </fill>
    <fill>
      <patternFill patternType="solid">
        <fgColor theme="0"/>
        <bgColor theme="0"/>
      </patternFill>
    </fill>
    <fill>
      <patternFill patternType="solid">
        <fgColor theme="0" tint="-0.149998474074526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3" tint="0.59999389629810485"/>
        <bgColor theme="4"/>
      </patternFill>
    </fill>
    <fill>
      <patternFill patternType="solid">
        <fgColor rgb="FFFFFF00"/>
        <bgColor rgb="FFFFFFFF"/>
      </patternFill>
    </fill>
    <fill>
      <patternFill patternType="solid">
        <fgColor rgb="FFED1B2F"/>
        <bgColor indexed="64"/>
      </patternFill>
    </fill>
  </fills>
  <borders count="33">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s>
  <cellStyleXfs count="288">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alignment vertical="top"/>
    </xf>
    <xf numFmtId="43" fontId="9" fillId="0" borderId="0" applyFont="0" applyFill="0" applyBorder="0" applyAlignment="0" applyProtection="0"/>
    <xf numFmtId="169" fontId="4" fillId="0" borderId="0" applyFont="0" applyFill="0" applyBorder="0" applyAlignment="0" applyProtection="0"/>
    <xf numFmtId="0" fontId="9" fillId="0" borderId="0">
      <alignment vertical="top"/>
    </xf>
    <xf numFmtId="0" fontId="12"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9" fillId="0" borderId="0"/>
    <xf numFmtId="172" fontId="4" fillId="0" borderId="0"/>
    <xf numFmtId="164"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0" fontId="12" fillId="0" borderId="0"/>
    <xf numFmtId="0" fontId="12" fillId="0" borderId="0"/>
    <xf numFmtId="173" fontId="4" fillId="0" borderId="0"/>
    <xf numFmtId="0" fontId="12" fillId="0" borderId="0"/>
    <xf numFmtId="0" fontId="4" fillId="0" borderId="0"/>
    <xf numFmtId="0" fontId="20" fillId="0" borderId="0">
      <protection locked="0"/>
    </xf>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0" fontId="9" fillId="0" borderId="0">
      <alignment vertical="top"/>
    </xf>
    <xf numFmtId="43" fontId="9"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0" fontId="20" fillId="0" borderId="0">
      <protection locked="0"/>
    </xf>
    <xf numFmtId="0" fontId="20" fillId="0" borderId="0">
      <protection locked="0"/>
    </xf>
    <xf numFmtId="0" fontId="4" fillId="0" borderId="0"/>
    <xf numFmtId="0" fontId="21" fillId="0" borderId="0"/>
    <xf numFmtId="173" fontId="9" fillId="0" borderId="0">
      <alignment vertical="top"/>
    </xf>
    <xf numFmtId="43"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22" fillId="0" borderId="0">
      <protection locked="0"/>
    </xf>
    <xf numFmtId="0" fontId="9" fillId="0" borderId="0">
      <alignment vertical="top"/>
    </xf>
    <xf numFmtId="43" fontId="23" fillId="0" borderId="0" applyFont="0" applyFill="0" applyBorder="0" applyAlignment="0" applyProtection="0"/>
    <xf numFmtId="0" fontId="9" fillId="0" borderId="0">
      <alignment vertical="top"/>
    </xf>
    <xf numFmtId="0" fontId="23" fillId="0" borderId="0">
      <alignment vertical="top"/>
    </xf>
    <xf numFmtId="9" fontId="23" fillId="0" borderId="0" applyFont="0" applyFill="0" applyBorder="0" applyAlignment="0" applyProtection="0"/>
    <xf numFmtId="0" fontId="23" fillId="0" borderId="0">
      <alignment vertical="top"/>
    </xf>
    <xf numFmtId="43" fontId="4" fillId="0" borderId="0" applyFont="0" applyFill="0" applyBorder="0" applyAlignment="0" applyProtection="0"/>
    <xf numFmtId="174" fontId="4" fillId="0" borderId="0" applyFont="0" applyFill="0" applyBorder="0" applyAlignment="0" applyProtection="0"/>
    <xf numFmtId="0" fontId="12" fillId="0" borderId="0"/>
    <xf numFmtId="164" fontId="12" fillId="0" borderId="0" applyFont="0" applyFill="0" applyBorder="0" applyAlignment="0" applyProtection="0"/>
    <xf numFmtId="0" fontId="24" fillId="0" borderId="0"/>
    <xf numFmtId="0" fontId="9" fillId="0" borderId="0"/>
    <xf numFmtId="0" fontId="12" fillId="0" borderId="0"/>
    <xf numFmtId="164" fontId="12" fillId="0" borderId="0" applyFont="0" applyFill="0" applyBorder="0" applyAlignment="0" applyProtection="0"/>
    <xf numFmtId="0" fontId="25" fillId="0" borderId="0"/>
    <xf numFmtId="164" fontId="12" fillId="0" borderId="0" applyFont="0" applyFill="0" applyBorder="0" applyAlignment="0" applyProtection="0"/>
    <xf numFmtId="164" fontId="12" fillId="0" borderId="0" applyFont="0" applyFill="0" applyBorder="0" applyAlignment="0" applyProtection="0"/>
    <xf numFmtId="0" fontId="24" fillId="0" borderId="0"/>
    <xf numFmtId="0" fontId="20" fillId="0" borderId="0">
      <protection locked="0"/>
    </xf>
    <xf numFmtId="0" fontId="12" fillId="0" borderId="0"/>
    <xf numFmtId="0" fontId="4" fillId="0" borderId="0"/>
    <xf numFmtId="0" fontId="12" fillId="0" borderId="0"/>
    <xf numFmtId="164"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20" fillId="0" borderId="0">
      <protection locked="0"/>
    </xf>
    <xf numFmtId="0" fontId="9" fillId="0" borderId="0"/>
    <xf numFmtId="175" fontId="9" fillId="0" borderId="0" applyFont="0" applyFill="0" applyBorder="0" applyAlignment="0" applyProtection="0"/>
    <xf numFmtId="173" fontId="4" fillId="0" borderId="0"/>
    <xf numFmtId="173" fontId="9" fillId="0" borderId="0"/>
    <xf numFmtId="43" fontId="4" fillId="0" borderId="0" applyFont="0" applyFill="0" applyBorder="0" applyAlignment="0" applyProtection="0"/>
    <xf numFmtId="0" fontId="1" fillId="0" borderId="0"/>
    <xf numFmtId="0" fontId="9" fillId="0" borderId="0"/>
    <xf numFmtId="177" fontId="4" fillId="0" borderId="0" applyFont="0" applyFill="0" applyBorder="0" applyAlignment="0" applyProtection="0"/>
    <xf numFmtId="0" fontId="36" fillId="0" borderId="0"/>
    <xf numFmtId="173" fontId="4" fillId="0" borderId="0"/>
    <xf numFmtId="173" fontId="4" fillId="0" borderId="0"/>
    <xf numFmtId="0" fontId="4" fillId="0" borderId="0"/>
    <xf numFmtId="173" fontId="4" fillId="0" borderId="0"/>
    <xf numFmtId="43" fontId="4" fillId="0" borderId="0" applyFont="0" applyFill="0" applyBorder="0" applyAlignment="0" applyProtection="0"/>
    <xf numFmtId="0" fontId="4" fillId="0" borderId="0"/>
    <xf numFmtId="173" fontId="4" fillId="0" borderId="0"/>
    <xf numFmtId="0" fontId="9" fillId="0" borderId="0"/>
    <xf numFmtId="0" fontId="9" fillId="0" borderId="0"/>
    <xf numFmtId="178" fontId="4" fillId="0" borderId="0"/>
    <xf numFmtId="0" fontId="9" fillId="0" borderId="0"/>
    <xf numFmtId="0" fontId="9" fillId="0" borderId="0"/>
    <xf numFmtId="0" fontId="36" fillId="0" borderId="0"/>
    <xf numFmtId="0" fontId="4" fillId="0" borderId="0"/>
    <xf numFmtId="0" fontId="37" fillId="0" borderId="0"/>
    <xf numFmtId="43" fontId="38" fillId="0" borderId="0" applyFont="0" applyFill="0" applyBorder="0" applyAlignment="0" applyProtection="0"/>
    <xf numFmtId="0" fontId="4" fillId="0" borderId="0"/>
    <xf numFmtId="43" fontId="4" fillId="0" borderId="0" applyFont="0" applyFill="0" applyBorder="0" applyAlignment="0" applyProtection="0"/>
    <xf numFmtId="0" fontId="4" fillId="0" borderId="0"/>
  </cellStyleXfs>
  <cellXfs count="901">
    <xf numFmtId="0" fontId="0" fillId="0" borderId="0" xfId="0"/>
    <xf numFmtId="0" fontId="5" fillId="2" borderId="3" xfId="0" applyFont="1" applyFill="1" applyBorder="1" applyAlignment="1">
      <alignment horizontal="center" vertical="center"/>
    </xf>
    <xf numFmtId="166" fontId="6" fillId="2" borderId="3" xfId="1" applyNumberFormat="1" applyFont="1" applyFill="1" applyBorder="1" applyAlignment="1">
      <alignment vertical="center"/>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18" fillId="0" borderId="0" xfId="0" applyFont="1" applyAlignment="1">
      <alignment vertical="center"/>
    </xf>
    <xf numFmtId="166" fontId="5" fillId="2" borderId="3" xfId="1" applyNumberFormat="1" applyFont="1" applyFill="1" applyBorder="1" applyAlignment="1">
      <alignment vertical="center"/>
    </xf>
    <xf numFmtId="0" fontId="5" fillId="0" borderId="0" xfId="0" applyFont="1"/>
    <xf numFmtId="166" fontId="5" fillId="2" borderId="3" xfId="1" applyNumberFormat="1" applyFont="1" applyFill="1" applyBorder="1" applyAlignment="1">
      <alignment horizontal="right" vertical="center"/>
    </xf>
    <xf numFmtId="0" fontId="6" fillId="0" borderId="3" xfId="0" applyFont="1" applyBorder="1" applyAlignment="1">
      <alignment horizontal="center" vertical="center" wrapText="1" readingOrder="1"/>
    </xf>
    <xf numFmtId="9" fontId="6" fillId="0" borderId="3" xfId="2" applyFont="1" applyFill="1" applyBorder="1" applyAlignment="1">
      <alignment horizontal="center" vertical="center" wrapText="1" readingOrder="1"/>
    </xf>
    <xf numFmtId="166" fontId="5" fillId="0" borderId="0" xfId="1" applyNumberFormat="1" applyFont="1" applyAlignment="1">
      <alignment vertical="center"/>
    </xf>
    <xf numFmtId="0" fontId="19" fillId="0" borderId="3" xfId="0" applyFont="1" applyBorder="1" applyAlignment="1">
      <alignment horizontal="center" vertical="center"/>
    </xf>
    <xf numFmtId="166" fontId="6" fillId="3" borderId="3" xfId="1" applyNumberFormat="1" applyFont="1" applyFill="1" applyBorder="1" applyAlignment="1">
      <alignment horizontal="center" vertical="center" wrapText="1"/>
    </xf>
    <xf numFmtId="0" fontId="5" fillId="0" borderId="3" xfId="0" applyFont="1" applyBorder="1" applyAlignment="1">
      <alignment horizontal="center" vertical="center"/>
    </xf>
    <xf numFmtId="0" fontId="5" fillId="14" borderId="3" xfId="0" applyFont="1" applyFill="1" applyBorder="1" applyAlignment="1">
      <alignment horizontal="center" vertical="center"/>
    </xf>
    <xf numFmtId="0" fontId="5" fillId="2" borderId="3" xfId="0" applyFont="1" applyFill="1" applyBorder="1" applyAlignment="1">
      <alignment horizontal="center" vertical="center" wrapText="1" readingOrder="1"/>
    </xf>
    <xf numFmtId="0" fontId="19" fillId="3" borderId="3" xfId="0" applyFont="1" applyFill="1" applyBorder="1" applyAlignment="1">
      <alignment horizontal="center" vertical="center"/>
    </xf>
    <xf numFmtId="166" fontId="6" fillId="2" borderId="3" xfId="1" applyNumberFormat="1" applyFont="1" applyFill="1" applyBorder="1" applyAlignment="1">
      <alignment horizontal="center" vertical="center" wrapText="1"/>
    </xf>
    <xf numFmtId="0" fontId="18" fillId="0" borderId="3" xfId="0" applyFont="1" applyBorder="1" applyAlignment="1">
      <alignment horizontal="center" vertical="center"/>
    </xf>
    <xf numFmtId="166" fontId="5" fillId="0" borderId="0" xfId="1" applyNumberFormat="1" applyFont="1"/>
    <xf numFmtId="167" fontId="5" fillId="0" borderId="0" xfId="1" applyNumberFormat="1" applyFont="1" applyAlignment="1">
      <alignment vertical="center"/>
    </xf>
    <xf numFmtId="168" fontId="5" fillId="14" borderId="3" xfId="2" applyNumberFormat="1" applyFont="1" applyFill="1" applyBorder="1" applyAlignment="1">
      <alignment horizontal="center" vertical="center" wrapText="1"/>
    </xf>
    <xf numFmtId="0" fontId="7" fillId="0" borderId="0" xfId="0" applyFont="1" applyAlignment="1">
      <alignment vertical="center"/>
    </xf>
    <xf numFmtId="168" fontId="5" fillId="0" borderId="0" xfId="0" applyNumberFormat="1" applyFont="1"/>
    <xf numFmtId="168" fontId="6" fillId="3" borderId="3" xfId="0" applyNumberFormat="1" applyFont="1" applyFill="1" applyBorder="1" applyAlignment="1">
      <alignment horizontal="center" vertical="center" wrapText="1"/>
    </xf>
    <xf numFmtId="166" fontId="5" fillId="2" borderId="3" xfId="1" applyNumberFormat="1" applyFont="1" applyFill="1" applyBorder="1" applyAlignment="1">
      <alignment horizontal="center" vertical="center" readingOrder="1"/>
    </xf>
    <xf numFmtId="166" fontId="5" fillId="2" borderId="3" xfId="1" applyNumberFormat="1" applyFont="1" applyFill="1" applyBorder="1" applyAlignment="1">
      <alignment horizontal="center" vertical="center" wrapText="1" readingOrder="1"/>
    </xf>
    <xf numFmtId="10" fontId="5" fillId="0" borderId="0" xfId="0" applyNumberFormat="1" applyFont="1"/>
    <xf numFmtId="166" fontId="5" fillId="2" borderId="3" xfId="1" applyNumberFormat="1" applyFont="1" applyFill="1" applyBorder="1" applyAlignment="1">
      <alignment horizontal="center" vertical="center" wrapText="1"/>
    </xf>
    <xf numFmtId="166" fontId="6" fillId="0" borderId="3" xfId="0" applyNumberFormat="1" applyFont="1" applyBorder="1" applyAlignment="1">
      <alignment horizontal="center" vertical="center"/>
    </xf>
    <xf numFmtId="168" fontId="6" fillId="17" borderId="3" xfId="2" applyNumberFormat="1" applyFont="1" applyFill="1" applyBorder="1" applyAlignment="1">
      <alignment horizontal="center" vertical="center" wrapText="1"/>
    </xf>
    <xf numFmtId="0" fontId="6" fillId="18" borderId="3" xfId="0" applyFont="1" applyFill="1" applyBorder="1" applyAlignment="1">
      <alignment horizontal="center" vertical="center"/>
    </xf>
    <xf numFmtId="0" fontId="6" fillId="18" borderId="3" xfId="0" applyFont="1" applyFill="1" applyBorder="1" applyAlignment="1">
      <alignment horizontal="left" vertical="center"/>
    </xf>
    <xf numFmtId="168" fontId="6" fillId="18" borderId="3" xfId="2" applyNumberFormat="1" applyFont="1" applyFill="1" applyBorder="1" applyAlignment="1">
      <alignment horizontal="center" vertical="center" wrapText="1"/>
    </xf>
    <xf numFmtId="0" fontId="5" fillId="2" borderId="0" xfId="0" applyFont="1" applyFill="1" applyAlignment="1">
      <alignment vertical="center"/>
    </xf>
    <xf numFmtId="0" fontId="6" fillId="2" borderId="3" xfId="0" applyFont="1" applyFill="1" applyBorder="1" applyAlignment="1">
      <alignment horizontal="center" vertical="center"/>
    </xf>
    <xf numFmtId="0" fontId="6" fillId="2" borderId="0" xfId="0" applyFont="1" applyFill="1" applyAlignment="1">
      <alignment horizontal="center" vertical="center"/>
    </xf>
    <xf numFmtId="43" fontId="5" fillId="0" borderId="0" xfId="1" applyFont="1" applyAlignment="1">
      <alignment vertical="center"/>
    </xf>
    <xf numFmtId="0" fontId="6" fillId="17" borderId="3" xfId="0" applyFont="1" applyFill="1" applyBorder="1" applyAlignment="1">
      <alignment horizontal="center" vertical="center"/>
    </xf>
    <xf numFmtId="0" fontId="6" fillId="17" borderId="3" xfId="0" applyFont="1" applyFill="1" applyBorder="1" applyAlignment="1">
      <alignment vertical="center"/>
    </xf>
    <xf numFmtId="0" fontId="16" fillId="0" borderId="3" xfId="0" applyFont="1" applyBorder="1" applyAlignment="1">
      <alignment horizontal="center" vertical="center" wrapText="1" readingOrder="1"/>
    </xf>
    <xf numFmtId="1" fontId="27" fillId="0" borderId="0" xfId="0" applyNumberFormat="1" applyFont="1" applyAlignment="1">
      <alignment horizontal="right" vertical="center"/>
    </xf>
    <xf numFmtId="0" fontId="11" fillId="0" borderId="6"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166" fontId="5" fillId="0" borderId="3" xfId="1" applyNumberFormat="1" applyFont="1" applyFill="1" applyBorder="1" applyAlignment="1">
      <alignment horizontal="right" vertical="center"/>
    </xf>
    <xf numFmtId="166" fontId="5" fillId="0" borderId="0" xfId="0" applyNumberFormat="1" applyFont="1" applyAlignment="1">
      <alignment vertical="center"/>
    </xf>
    <xf numFmtId="0" fontId="8" fillId="0" borderId="0" xfId="0" applyFont="1" applyAlignment="1">
      <alignment vertical="center"/>
    </xf>
    <xf numFmtId="0" fontId="5" fillId="2" borderId="3" xfId="0" applyFont="1" applyFill="1" applyBorder="1" applyAlignment="1">
      <alignment horizontal="center" vertical="center" readingOrder="1"/>
    </xf>
    <xf numFmtId="0" fontId="6" fillId="2" borderId="0" xfId="0" applyFont="1" applyFill="1" applyAlignment="1">
      <alignment vertical="center"/>
    </xf>
    <xf numFmtId="0" fontId="5" fillId="2" borderId="0" xfId="0" applyFont="1" applyFill="1" applyAlignment="1">
      <alignment horizontal="center" vertical="center"/>
    </xf>
    <xf numFmtId="0" fontId="5" fillId="2" borderId="3" xfId="0" applyFont="1" applyFill="1" applyBorder="1" applyAlignment="1" applyProtection="1">
      <alignment horizontal="center" vertical="center"/>
      <protection locked="0"/>
    </xf>
    <xf numFmtId="0" fontId="5" fillId="9" borderId="0" xfId="0" applyFont="1" applyFill="1" applyAlignment="1">
      <alignment horizontal="center" vertical="center"/>
    </xf>
    <xf numFmtId="166" fontId="5" fillId="2" borderId="0" xfId="1" applyNumberFormat="1" applyFont="1" applyFill="1" applyAlignment="1">
      <alignment horizontal="right" vertical="center"/>
    </xf>
    <xf numFmtId="0" fontId="8" fillId="2" borderId="0" xfId="0" applyFont="1" applyFill="1" applyAlignment="1">
      <alignment horizontal="center" vertical="center"/>
    </xf>
    <xf numFmtId="0" fontId="8" fillId="2" borderId="0" xfId="0" applyFont="1" applyFill="1" applyAlignment="1">
      <alignment vertical="center"/>
    </xf>
    <xf numFmtId="0" fontId="5" fillId="2" borderId="3" xfId="0" applyFont="1" applyFill="1" applyBorder="1" applyAlignment="1" applyProtection="1">
      <alignment horizontal="center" vertical="center" wrapText="1"/>
      <protection locked="0"/>
    </xf>
    <xf numFmtId="166" fontId="6" fillId="2" borderId="3" xfId="3" applyNumberFormat="1" applyFont="1" applyFill="1" applyBorder="1" applyAlignment="1">
      <alignment horizontal="right" vertical="center"/>
    </xf>
    <xf numFmtId="166" fontId="5" fillId="2" borderId="0" xfId="0" applyNumberFormat="1" applyFont="1" applyFill="1" applyAlignment="1">
      <alignment vertical="center"/>
    </xf>
    <xf numFmtId="166" fontId="5" fillId="2" borderId="0" xfId="0" applyNumberFormat="1" applyFont="1" applyFill="1" applyAlignment="1">
      <alignment horizontal="center" vertical="center"/>
    </xf>
    <xf numFmtId="170" fontId="5" fillId="2" borderId="0" xfId="1" applyNumberFormat="1" applyFont="1" applyFill="1" applyAlignment="1">
      <alignment vertical="center"/>
    </xf>
    <xf numFmtId="0" fontId="5" fillId="2" borderId="3" xfId="0" applyFont="1" applyFill="1" applyBorder="1" applyAlignment="1">
      <alignment horizontal="left" vertical="center"/>
    </xf>
    <xf numFmtId="0" fontId="5" fillId="2" borderId="3" xfId="0" applyFont="1" applyFill="1" applyBorder="1" applyAlignment="1" applyProtection="1">
      <alignment horizontal="left"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5" fillId="0" borderId="0" xfId="0" applyFont="1" applyAlignment="1">
      <alignment horizontal="center" vertical="center" wrapText="1"/>
    </xf>
    <xf numFmtId="166" fontId="5" fillId="0" borderId="0" xfId="1" applyNumberFormat="1" applyFont="1" applyFill="1" applyAlignment="1">
      <alignment horizontal="right" vertical="center"/>
    </xf>
    <xf numFmtId="14" fontId="5" fillId="0" borderId="0" xfId="0" applyNumberFormat="1" applyFont="1" applyAlignment="1">
      <alignment horizontal="center" vertical="center"/>
    </xf>
    <xf numFmtId="166" fontId="5" fillId="15" borderId="0" xfId="1" applyNumberFormat="1" applyFont="1" applyFill="1" applyAlignment="1">
      <alignment horizontal="right" vertical="center"/>
    </xf>
    <xf numFmtId="0" fontId="5" fillId="0" borderId="0" xfId="0" applyFont="1" applyAlignment="1">
      <alignment vertical="center" wrapText="1"/>
    </xf>
    <xf numFmtId="166" fontId="5" fillId="2" borderId="0" xfId="1" applyNumberFormat="1" applyFont="1" applyFill="1" applyAlignment="1">
      <alignment vertical="center"/>
    </xf>
    <xf numFmtId="166" fontId="5" fillId="0" borderId="0" xfId="1" applyNumberFormat="1" applyFont="1" applyAlignment="1">
      <alignment horizontal="right" vertical="center"/>
    </xf>
    <xf numFmtId="0" fontId="26" fillId="19" borderId="3" xfId="0" applyFont="1" applyFill="1" applyBorder="1" applyAlignment="1">
      <alignment horizontal="center" vertical="center" wrapText="1" readingOrder="1"/>
    </xf>
    <xf numFmtId="166" fontId="26" fillId="19" borderId="3" xfId="1" applyNumberFormat="1"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166" fontId="6" fillId="3" borderId="3" xfId="1" applyNumberFormat="1" applyFont="1" applyFill="1" applyBorder="1" applyAlignment="1">
      <alignment horizontal="center" vertical="center" wrapText="1" readingOrder="1"/>
    </xf>
    <xf numFmtId="166" fontId="5" fillId="14" borderId="3" xfId="1" applyNumberFormat="1" applyFont="1" applyFill="1" applyBorder="1" applyAlignment="1">
      <alignment horizontal="center" vertical="center" wrapText="1"/>
    </xf>
    <xf numFmtId="166" fontId="6" fillId="17" borderId="3" xfId="1" applyNumberFormat="1" applyFont="1" applyFill="1" applyBorder="1" applyAlignment="1">
      <alignment horizontal="center" vertical="center" wrapText="1"/>
    </xf>
    <xf numFmtId="166" fontId="6" fillId="18" borderId="3" xfId="1" applyNumberFormat="1" applyFont="1" applyFill="1" applyBorder="1" applyAlignment="1">
      <alignment horizontal="center" vertical="center" wrapText="1"/>
    </xf>
    <xf numFmtId="0" fontId="17" fillId="0" borderId="0" xfId="0" applyFont="1" applyAlignment="1">
      <alignment vertical="center"/>
    </xf>
    <xf numFmtId="43" fontId="6" fillId="3" borderId="3" xfId="1" applyFont="1" applyFill="1" applyBorder="1" applyAlignment="1">
      <alignment horizontal="center" vertical="center" wrapText="1"/>
    </xf>
    <xf numFmtId="166" fontId="5" fillId="0" borderId="3" xfId="1" applyNumberFormat="1" applyFont="1" applyFill="1" applyBorder="1" applyAlignment="1">
      <alignment horizontal="left" vertical="center" wrapText="1" readingOrder="1"/>
    </xf>
    <xf numFmtId="166" fontId="5" fillId="0" borderId="3" xfId="1" quotePrefix="1" applyNumberFormat="1" applyFont="1" applyFill="1" applyBorder="1" applyAlignment="1">
      <alignment horizontal="center" vertical="center" readingOrder="1"/>
    </xf>
    <xf numFmtId="166" fontId="6" fillId="3" borderId="3" xfId="1" applyNumberFormat="1" applyFont="1" applyFill="1" applyBorder="1" applyAlignment="1">
      <alignment horizontal="left" vertical="center" wrapText="1" readingOrder="1"/>
    </xf>
    <xf numFmtId="168" fontId="5" fillId="0" borderId="3" xfId="2" applyNumberFormat="1" applyFont="1" applyFill="1" applyBorder="1" applyAlignment="1">
      <alignment horizontal="center" vertical="center" wrapText="1" readingOrder="1"/>
    </xf>
    <xf numFmtId="0" fontId="5" fillId="0" borderId="3" xfId="0" applyFont="1" applyBorder="1" applyAlignment="1">
      <alignment horizontal="left" vertical="center" wrapText="1" indent="1" readingOrder="1"/>
    </xf>
    <xf numFmtId="0" fontId="6" fillId="0" borderId="3" xfId="0" applyFont="1" applyBorder="1" applyAlignment="1">
      <alignment vertical="center" wrapText="1" readingOrder="1"/>
    </xf>
    <xf numFmtId="166" fontId="5" fillId="0" borderId="3" xfId="1" applyNumberFormat="1" applyFont="1" applyFill="1" applyBorder="1" applyAlignment="1">
      <alignment vertical="center"/>
    </xf>
    <xf numFmtId="166" fontId="5" fillId="0" borderId="3" xfId="1" applyNumberFormat="1" applyFont="1" applyFill="1" applyBorder="1" applyAlignment="1">
      <alignment horizontal="center" vertical="center" wrapText="1" readingOrder="1"/>
    </xf>
    <xf numFmtId="0" fontId="5" fillId="0" borderId="3" xfId="0" applyFont="1" applyBorder="1" applyAlignment="1">
      <alignment horizontal="center" vertical="center" readingOrder="1"/>
    </xf>
    <xf numFmtId="0" fontId="5" fillId="3" borderId="3" xfId="0" applyFont="1" applyFill="1" applyBorder="1" applyAlignment="1">
      <alignment horizontal="center" vertical="center"/>
    </xf>
    <xf numFmtId="0" fontId="5" fillId="0" borderId="3" xfId="0" applyFont="1" applyBorder="1" applyAlignment="1">
      <alignment horizontal="left" vertical="center" wrapText="1" readingOrder="1"/>
    </xf>
    <xf numFmtId="0" fontId="30" fillId="2" borderId="0" xfId="0" applyFont="1" applyFill="1" applyAlignment="1">
      <alignment horizontal="center" vertical="center" wrapText="1"/>
    </xf>
    <xf numFmtId="166" fontId="30" fillId="2" borderId="0" xfId="1" applyNumberFormat="1" applyFont="1" applyFill="1" applyAlignment="1">
      <alignment horizontal="right" vertical="center"/>
    </xf>
    <xf numFmtId="166" fontId="30" fillId="2" borderId="0" xfId="1" applyNumberFormat="1" applyFont="1" applyFill="1" applyAlignment="1">
      <alignment horizontal="right" vertical="center" wrapText="1"/>
    </xf>
    <xf numFmtId="14" fontId="30" fillId="2" borderId="0" xfId="0" applyNumberFormat="1" applyFont="1" applyFill="1" applyAlignment="1">
      <alignment horizontal="center" vertical="center"/>
    </xf>
    <xf numFmtId="0" fontId="26" fillId="2" borderId="1" xfId="0" applyFont="1" applyFill="1" applyBorder="1" applyAlignment="1">
      <alignment horizontal="center" vertical="center" wrapText="1"/>
    </xf>
    <xf numFmtId="166" fontId="26" fillId="2" borderId="0" xfId="1" applyNumberFormat="1" applyFont="1" applyFill="1" applyAlignment="1">
      <alignment horizontal="right" vertical="center" wrapText="1"/>
    </xf>
    <xf numFmtId="0" fontId="26" fillId="2" borderId="0" xfId="0" applyFont="1" applyFill="1" applyAlignment="1">
      <alignment horizontal="center" vertical="center"/>
    </xf>
    <xf numFmtId="0" fontId="6" fillId="3" borderId="3" xfId="0" applyFont="1" applyFill="1" applyBorder="1" applyAlignment="1">
      <alignment horizontal="left" vertical="center"/>
    </xf>
    <xf numFmtId="0" fontId="5" fillId="3" borderId="3" xfId="0" quotePrefix="1" applyFont="1" applyFill="1" applyBorder="1" applyAlignment="1">
      <alignment horizontal="justify" vertical="center" wrapText="1"/>
    </xf>
    <xf numFmtId="168" fontId="6" fillId="3" borderId="3" xfId="2" applyNumberFormat="1" applyFont="1" applyFill="1" applyBorder="1" applyAlignment="1">
      <alignment horizontal="center" vertical="center" wrapText="1"/>
    </xf>
    <xf numFmtId="0" fontId="5" fillId="2" borderId="3" xfId="0" applyFont="1" applyFill="1" applyBorder="1" applyAlignment="1">
      <alignment horizontal="left" vertical="center" wrapText="1" indent="1" readingOrder="1"/>
    </xf>
    <xf numFmtId="0" fontId="32" fillId="2" borderId="3" xfId="0" applyFont="1" applyFill="1" applyBorder="1" applyAlignment="1">
      <alignment horizontal="center" vertical="center" wrapText="1"/>
    </xf>
    <xf numFmtId="166" fontId="6" fillId="2" borderId="3" xfId="1" applyNumberFormat="1" applyFont="1" applyFill="1" applyBorder="1" applyAlignment="1">
      <alignment horizontal="left" vertical="center" wrapText="1" readingOrder="1"/>
    </xf>
    <xf numFmtId="0" fontId="6" fillId="2" borderId="3" xfId="0" applyFont="1" applyFill="1" applyBorder="1" applyAlignment="1">
      <alignment horizontal="center" vertical="center" wrapText="1" readingOrder="1"/>
    </xf>
    <xf numFmtId="0" fontId="10"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9" fontId="10" fillId="2" borderId="3" xfId="2" applyFont="1" applyFill="1" applyBorder="1" applyAlignment="1">
      <alignment horizontal="center" vertical="center" wrapText="1" readingOrder="1"/>
    </xf>
    <xf numFmtId="0" fontId="6" fillId="2" borderId="3" xfId="0" applyFont="1" applyFill="1" applyBorder="1" applyAlignment="1">
      <alignment horizontal="left" vertical="center" wrapText="1" readingOrder="1"/>
    </xf>
    <xf numFmtId="166" fontId="5" fillId="2" borderId="3" xfId="1" applyNumberFormat="1" applyFont="1" applyFill="1" applyBorder="1" applyAlignment="1">
      <alignment horizontal="left" vertical="center" wrapText="1" readingOrder="1"/>
    </xf>
    <xf numFmtId="166" fontId="5" fillId="2" borderId="3" xfId="1" quotePrefix="1" applyNumberFormat="1" applyFont="1" applyFill="1" applyBorder="1" applyAlignment="1">
      <alignment horizontal="center" vertical="center" readingOrder="1"/>
    </xf>
    <xf numFmtId="0" fontId="5" fillId="2" borderId="3" xfId="0" applyFont="1" applyFill="1" applyBorder="1" applyAlignment="1">
      <alignment horizontal="left" vertical="center" wrapText="1" readingOrder="1"/>
    </xf>
    <xf numFmtId="0" fontId="5" fillId="3" borderId="3" xfId="0" applyFont="1" applyFill="1" applyBorder="1" applyAlignment="1">
      <alignment horizontal="center" vertical="center" wrapText="1" readingOrder="1"/>
    </xf>
    <xf numFmtId="166" fontId="5" fillId="3" borderId="3" xfId="1" applyNumberFormat="1" applyFont="1" applyFill="1" applyBorder="1" applyAlignment="1">
      <alignment horizontal="center" vertical="center" wrapText="1" readingOrder="1"/>
    </xf>
    <xf numFmtId="166" fontId="6" fillId="3" borderId="3" xfId="1" quotePrefix="1" applyNumberFormat="1" applyFont="1" applyFill="1" applyBorder="1" applyAlignment="1">
      <alignment horizontal="center" vertical="center" readingOrder="1"/>
    </xf>
    <xf numFmtId="9" fontId="6" fillId="3" borderId="3" xfId="2" applyFont="1" applyFill="1" applyBorder="1" applyAlignment="1">
      <alignment horizontal="center" vertical="center" wrapText="1" readingOrder="1"/>
    </xf>
    <xf numFmtId="9" fontId="6" fillId="2" borderId="3" xfId="2" applyFont="1" applyFill="1" applyBorder="1" applyAlignment="1">
      <alignment horizontal="center" vertical="center" wrapText="1" readingOrder="1"/>
    </xf>
    <xf numFmtId="168" fontId="10" fillId="2" borderId="3" xfId="2" applyNumberFormat="1" applyFont="1" applyFill="1" applyBorder="1" applyAlignment="1">
      <alignment horizontal="center" vertical="center" wrapText="1" readingOrder="1"/>
    </xf>
    <xf numFmtId="0" fontId="18" fillId="0" borderId="3" xfId="0" applyFont="1" applyBorder="1" applyAlignment="1">
      <alignment vertical="center"/>
    </xf>
    <xf numFmtId="9" fontId="5" fillId="2" borderId="0" xfId="2" applyFont="1" applyFill="1" applyAlignment="1">
      <alignment horizontal="center" vertical="center"/>
    </xf>
    <xf numFmtId="166" fontId="8" fillId="0" borderId="0" xfId="1" applyNumberFormat="1" applyFont="1" applyAlignment="1">
      <alignment vertical="center"/>
    </xf>
    <xf numFmtId="0" fontId="6" fillId="14" borderId="3" xfId="0" applyFont="1" applyFill="1" applyBorder="1" applyAlignment="1">
      <alignment horizontal="center" vertical="center"/>
    </xf>
    <xf numFmtId="0" fontId="18" fillId="0" borderId="0" xfId="0" applyFont="1" applyAlignment="1">
      <alignment horizontal="left" vertical="center"/>
    </xf>
    <xf numFmtId="0" fontId="19" fillId="0" borderId="3" xfId="0" applyFont="1" applyBorder="1" applyAlignment="1">
      <alignment horizontal="left" vertical="center"/>
    </xf>
    <xf numFmtId="0" fontId="18" fillId="0" borderId="3" xfId="0" applyFont="1" applyBorder="1" applyAlignment="1">
      <alignment horizontal="left" vertical="center"/>
    </xf>
    <xf numFmtId="0" fontId="18" fillId="0" borderId="3" xfId="0" applyFont="1" applyBorder="1" applyAlignment="1">
      <alignment horizontal="left" vertical="center" indent="1"/>
    </xf>
    <xf numFmtId="0" fontId="5" fillId="2" borderId="0" xfId="0" applyFont="1" applyFill="1" applyAlignment="1">
      <alignment horizontal="center" vertical="center" wrapText="1" readingOrder="1"/>
    </xf>
    <xf numFmtId="0" fontId="5" fillId="2" borderId="0" xfId="0" applyFont="1" applyFill="1" applyAlignment="1">
      <alignment horizontal="left" vertical="center" wrapText="1" readingOrder="1"/>
    </xf>
    <xf numFmtId="0" fontId="16" fillId="2" borderId="0" xfId="0" applyFont="1" applyFill="1" applyAlignment="1">
      <alignment horizontal="center" vertical="center" wrapText="1" readingOrder="1"/>
    </xf>
    <xf numFmtId="166" fontId="6" fillId="2" borderId="0" xfId="1" quotePrefix="1" applyNumberFormat="1" applyFont="1" applyFill="1" applyBorder="1" applyAlignment="1">
      <alignment horizontal="center" vertical="center" readingOrder="1"/>
    </xf>
    <xf numFmtId="166" fontId="29" fillId="2" borderId="0" xfId="1" quotePrefix="1" applyNumberFormat="1" applyFont="1" applyFill="1" applyBorder="1" applyAlignment="1">
      <alignment horizontal="center" vertical="center" readingOrder="1"/>
    </xf>
    <xf numFmtId="166" fontId="6" fillId="2" borderId="0" xfId="1" applyNumberFormat="1" applyFont="1" applyFill="1" applyBorder="1" applyAlignment="1">
      <alignment horizontal="left" vertical="center" wrapText="1" readingOrder="1"/>
    </xf>
    <xf numFmtId="9" fontId="6" fillId="2" borderId="0" xfId="2" applyFont="1" applyFill="1" applyBorder="1" applyAlignment="1">
      <alignment horizontal="center" vertical="center" wrapText="1" readingOrder="1"/>
    </xf>
    <xf numFmtId="166" fontId="5" fillId="0" borderId="3" xfId="1" applyNumberFormat="1" applyFont="1" applyFill="1" applyBorder="1" applyAlignment="1">
      <alignment horizontal="center" vertical="center" readingOrder="1"/>
    </xf>
    <xf numFmtId="9" fontId="5" fillId="2" borderId="3" xfId="2" applyFont="1" applyFill="1" applyBorder="1" applyAlignment="1">
      <alignment horizontal="center" vertical="center" wrapText="1" readingOrder="1"/>
    </xf>
    <xf numFmtId="168" fontId="5" fillId="2" borderId="3" xfId="2" applyNumberFormat="1" applyFont="1" applyFill="1" applyBorder="1" applyAlignment="1">
      <alignment horizontal="center" vertical="center" wrapText="1" readingOrder="1"/>
    </xf>
    <xf numFmtId="0" fontId="6" fillId="3" borderId="3" xfId="0" applyFont="1" applyFill="1" applyBorder="1" applyAlignment="1">
      <alignment horizontal="left" vertical="center" wrapText="1" readingOrder="1"/>
    </xf>
    <xf numFmtId="9" fontId="6" fillId="2" borderId="3" xfId="2" applyFont="1" applyFill="1" applyBorder="1" applyAlignment="1">
      <alignment horizontal="left" vertical="center" wrapText="1" readingOrder="1"/>
    </xf>
    <xf numFmtId="9" fontId="10" fillId="2" borderId="3" xfId="2" applyFont="1" applyFill="1" applyBorder="1" applyAlignment="1">
      <alignment horizontal="left" vertical="center" wrapText="1" readingOrder="1"/>
    </xf>
    <xf numFmtId="168" fontId="6" fillId="3" borderId="3" xfId="2" applyNumberFormat="1" applyFont="1" applyFill="1" applyBorder="1" applyAlignment="1">
      <alignment horizontal="center" vertical="center" wrapText="1" readingOrder="1"/>
    </xf>
    <xf numFmtId="0" fontId="5" fillId="14" borderId="3" xfId="0" quotePrefix="1" applyFont="1" applyFill="1" applyBorder="1" applyAlignment="1">
      <alignment horizontal="left" vertical="center" wrapText="1" indent="1"/>
    </xf>
    <xf numFmtId="0" fontId="6" fillId="17" borderId="3" xfId="0" applyFont="1" applyFill="1" applyBorder="1" applyAlignment="1">
      <alignment horizontal="left" vertical="center" indent="1"/>
    </xf>
    <xf numFmtId="0" fontId="6" fillId="14" borderId="3" xfId="0" applyFont="1" applyFill="1" applyBorder="1" applyAlignment="1">
      <alignment horizontal="left" vertical="center" wrapText="1" indent="1"/>
    </xf>
    <xf numFmtId="0" fontId="5" fillId="2" borderId="3" xfId="0" quotePrefix="1" applyFont="1" applyFill="1" applyBorder="1" applyAlignment="1">
      <alignment horizontal="left" vertical="center" wrapText="1" indent="1"/>
    </xf>
    <xf numFmtId="0" fontId="5" fillId="18" borderId="3" xfId="0" quotePrefix="1" applyFont="1" applyFill="1" applyBorder="1" applyAlignment="1">
      <alignment horizontal="left" vertical="center" wrapText="1" indent="1"/>
    </xf>
    <xf numFmtId="166" fontId="6" fillId="14" borderId="3" xfId="1" applyNumberFormat="1" applyFont="1" applyFill="1" applyBorder="1" applyAlignment="1">
      <alignment horizontal="center" vertical="center" wrapText="1"/>
    </xf>
    <xf numFmtId="0" fontId="8" fillId="0" borderId="0" xfId="0" applyFont="1" applyAlignment="1">
      <alignment horizontal="center" vertical="center"/>
    </xf>
    <xf numFmtId="1" fontId="5" fillId="0" borderId="0" xfId="2" applyNumberFormat="1" applyFont="1" applyAlignment="1">
      <alignment horizontal="center" vertical="center"/>
    </xf>
    <xf numFmtId="1" fontId="5" fillId="0" borderId="0" xfId="0" applyNumberFormat="1" applyFont="1" applyAlignment="1">
      <alignment horizontal="center" vertical="center"/>
    </xf>
    <xf numFmtId="166" fontId="31" fillId="0" borderId="0" xfId="0" applyNumberFormat="1" applyFont="1" applyAlignment="1">
      <alignment vertical="center"/>
    </xf>
    <xf numFmtId="0" fontId="33" fillId="0" borderId="3" xfId="0" applyFont="1" applyBorder="1" applyAlignment="1">
      <alignment horizontal="center" vertical="center" wrapText="1"/>
    </xf>
    <xf numFmtId="0" fontId="30" fillId="2" borderId="0" xfId="0" applyFont="1" applyFill="1" applyAlignment="1">
      <alignment vertical="center"/>
    </xf>
    <xf numFmtId="0" fontId="30" fillId="9" borderId="0" xfId="0" applyFont="1" applyFill="1" applyAlignment="1">
      <alignment horizontal="center" vertical="center"/>
    </xf>
    <xf numFmtId="0" fontId="30" fillId="9" borderId="0" xfId="0" applyFont="1" applyFill="1" applyAlignment="1">
      <alignment vertical="center"/>
    </xf>
    <xf numFmtId="0" fontId="30" fillId="0" borderId="0" xfId="0" applyFont="1" applyAlignment="1">
      <alignment vertical="center"/>
    </xf>
    <xf numFmtId="0" fontId="26" fillId="2" borderId="0" xfId="0" applyFont="1" applyFill="1" applyAlignment="1">
      <alignment vertical="center"/>
    </xf>
    <xf numFmtId="0" fontId="26" fillId="9" borderId="0" xfId="0" applyFont="1" applyFill="1" applyAlignment="1">
      <alignment vertical="center"/>
    </xf>
    <xf numFmtId="0" fontId="26" fillId="0" borderId="0" xfId="0" applyFont="1" applyAlignment="1">
      <alignment vertical="center"/>
    </xf>
    <xf numFmtId="0" fontId="6" fillId="3"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8" fillId="13" borderId="3" xfId="0" applyFont="1" applyFill="1" applyBorder="1" applyAlignment="1">
      <alignment horizontal="center" vertical="center"/>
    </xf>
    <xf numFmtId="0" fontId="5" fillId="13" borderId="3" xfId="0" applyFont="1" applyFill="1" applyBorder="1" applyAlignment="1">
      <alignment horizontal="center" vertical="center"/>
    </xf>
    <xf numFmtId="3" fontId="5" fillId="13" borderId="3" xfId="0" applyNumberFormat="1" applyFont="1" applyFill="1" applyBorder="1" applyAlignment="1">
      <alignment horizontal="center" vertical="center"/>
    </xf>
    <xf numFmtId="0" fontId="6" fillId="13" borderId="3" xfId="0" applyFont="1" applyFill="1" applyBorder="1" applyAlignment="1">
      <alignment horizontal="center" vertical="center"/>
    </xf>
    <xf numFmtId="43" fontId="5" fillId="13" borderId="3" xfId="0" applyNumberFormat="1" applyFont="1" applyFill="1" applyBorder="1" applyAlignment="1">
      <alignment horizontal="center" vertical="center"/>
    </xf>
    <xf numFmtId="166" fontId="5" fillId="13" borderId="3" xfId="0" applyNumberFormat="1" applyFont="1" applyFill="1" applyBorder="1" applyAlignment="1">
      <alignment horizontal="center" vertical="center"/>
    </xf>
    <xf numFmtId="9" fontId="5" fillId="13" borderId="3" xfId="0" applyNumberFormat="1" applyFont="1" applyFill="1" applyBorder="1" applyAlignment="1">
      <alignment horizontal="center" vertical="center"/>
    </xf>
    <xf numFmtId="166" fontId="5" fillId="3" borderId="3" xfId="1" applyNumberFormat="1" applyFont="1" applyFill="1" applyBorder="1" applyAlignment="1">
      <alignment vertical="center"/>
    </xf>
    <xf numFmtId="170" fontId="5" fillId="2" borderId="3" xfId="1" applyNumberFormat="1" applyFont="1" applyFill="1" applyBorder="1" applyAlignment="1">
      <alignment vertical="center"/>
    </xf>
    <xf numFmtId="166" fontId="5" fillId="0" borderId="3" xfId="1" applyNumberFormat="1" applyFont="1" applyFill="1" applyBorder="1" applyAlignment="1">
      <alignment horizontal="center" vertical="center" wrapText="1"/>
    </xf>
    <xf numFmtId="0" fontId="5" fillId="0" borderId="3" xfId="0" applyFont="1" applyFill="1" applyBorder="1" applyAlignment="1">
      <alignment horizontal="center" vertical="center"/>
    </xf>
    <xf numFmtId="43" fontId="5" fillId="2" borderId="3" xfId="1" quotePrefix="1" applyNumberFormat="1" applyFont="1" applyFill="1" applyBorder="1" applyAlignment="1">
      <alignment horizontal="center" vertical="center" readingOrder="1"/>
    </xf>
    <xf numFmtId="0" fontId="5" fillId="0" borderId="3" xfId="0" quotePrefix="1" applyFont="1" applyFill="1" applyBorder="1" applyAlignment="1">
      <alignment horizontal="left" vertical="center" wrapText="1" indent="1"/>
    </xf>
    <xf numFmtId="0" fontId="5" fillId="21" borderId="3" xfId="0" quotePrefix="1" applyFont="1" applyFill="1" applyBorder="1" applyAlignment="1">
      <alignment horizontal="left" vertical="center" wrapText="1" indent="1"/>
    </xf>
    <xf numFmtId="0" fontId="5" fillId="21" borderId="3" xfId="0" applyFont="1" applyFill="1" applyBorder="1" applyAlignment="1">
      <alignment horizontal="center" vertical="center"/>
    </xf>
    <xf numFmtId="0" fontId="5" fillId="0" borderId="3" xfId="0" applyFont="1" applyFill="1" applyBorder="1" applyAlignment="1">
      <alignment horizontal="left" vertical="center" wrapText="1" indent="1" readingOrder="1"/>
    </xf>
    <xf numFmtId="168" fontId="5" fillId="0" borderId="3" xfId="2" applyNumberFormat="1" applyFont="1" applyFill="1" applyBorder="1" applyAlignment="1">
      <alignment horizontal="center" vertical="center" wrapText="1"/>
    </xf>
    <xf numFmtId="167" fontId="5" fillId="0" borderId="0" xfId="1" applyNumberFormat="1" applyFont="1" applyFill="1" applyAlignment="1">
      <alignment vertical="center"/>
    </xf>
    <xf numFmtId="43" fontId="5" fillId="0" borderId="0" xfId="1" applyFont="1" applyFill="1" applyAlignment="1">
      <alignment vertical="center"/>
    </xf>
    <xf numFmtId="0" fontId="5" fillId="0" borderId="0" xfId="0" applyFont="1" applyFill="1"/>
    <xf numFmtId="0" fontId="5" fillId="21" borderId="3" xfId="0" applyFont="1" applyFill="1" applyBorder="1" applyAlignment="1">
      <alignment horizontal="center" vertical="center" wrapText="1" readingOrder="1"/>
    </xf>
    <xf numFmtId="0" fontId="5" fillId="21" borderId="3" xfId="0" applyFont="1" applyFill="1" applyBorder="1" applyAlignment="1">
      <alignment horizontal="left" vertical="center" wrapText="1" indent="1" readingOrder="1"/>
    </xf>
    <xf numFmtId="166" fontId="5" fillId="21" borderId="3" xfId="1" applyNumberFormat="1" applyFont="1" applyFill="1" applyBorder="1" applyAlignment="1">
      <alignment horizontal="center" vertical="center" wrapText="1"/>
    </xf>
    <xf numFmtId="168" fontId="5" fillId="21" borderId="3" xfId="2" applyNumberFormat="1" applyFont="1" applyFill="1" applyBorder="1" applyAlignment="1">
      <alignment horizontal="center" vertical="center" wrapText="1"/>
    </xf>
    <xf numFmtId="167" fontId="5" fillId="21" borderId="0" xfId="1" applyNumberFormat="1" applyFont="1" applyFill="1" applyAlignment="1">
      <alignment vertical="center"/>
    </xf>
    <xf numFmtId="43" fontId="5" fillId="21" borderId="0" xfId="1" applyFont="1" applyFill="1" applyAlignment="1">
      <alignment vertical="center"/>
    </xf>
    <xf numFmtId="0" fontId="5" fillId="21" borderId="0" xfId="0" applyFont="1" applyFill="1"/>
    <xf numFmtId="10" fontId="5" fillId="21" borderId="0" xfId="0" applyNumberFormat="1" applyFont="1" applyFill="1"/>
    <xf numFmtId="43" fontId="5" fillId="21" borderId="0" xfId="0" applyNumberFormat="1" applyFont="1" applyFill="1"/>
    <xf numFmtId="10" fontId="5" fillId="21" borderId="0" xfId="2" applyNumberFormat="1" applyFont="1" applyFill="1"/>
    <xf numFmtId="0" fontId="5" fillId="21" borderId="3" xfId="0" applyFont="1" applyFill="1" applyBorder="1" applyAlignment="1">
      <alignment horizontal="left" vertical="center"/>
    </xf>
    <xf numFmtId="168" fontId="6" fillId="21" borderId="3" xfId="2" applyNumberFormat="1" applyFont="1" applyFill="1" applyBorder="1" applyAlignment="1">
      <alignment horizontal="center" vertical="center" wrapText="1"/>
    </xf>
    <xf numFmtId="0" fontId="5" fillId="21" borderId="3" xfId="0" applyFont="1" applyFill="1" applyBorder="1" applyAlignment="1">
      <alignment horizontal="left" vertical="center" wrapText="1" readingOrder="1"/>
    </xf>
    <xf numFmtId="0" fontId="6" fillId="21" borderId="3" xfId="0" applyFont="1" applyFill="1" applyBorder="1" applyAlignment="1">
      <alignment horizontal="center" vertical="center" wrapText="1" readingOrder="1"/>
    </xf>
    <xf numFmtId="0" fontId="6" fillId="21" borderId="3" xfId="0" applyFont="1" applyFill="1" applyBorder="1" applyAlignment="1">
      <alignment horizontal="left" vertical="center" wrapText="1" readingOrder="1"/>
    </xf>
    <xf numFmtId="166" fontId="6" fillId="21" borderId="3" xfId="1" applyNumberFormat="1" applyFont="1" applyFill="1" applyBorder="1" applyAlignment="1">
      <alignment horizontal="center" vertical="center" wrapText="1"/>
    </xf>
    <xf numFmtId="0" fontId="5" fillId="21" borderId="3" xfId="0" applyFont="1" applyFill="1" applyBorder="1" applyAlignment="1">
      <alignment vertical="center" wrapText="1"/>
    </xf>
    <xf numFmtId="0" fontId="5" fillId="3" borderId="3" xfId="0" applyFont="1" applyFill="1" applyBorder="1" applyAlignment="1">
      <alignment horizontal="left" vertical="center" wrapText="1"/>
    </xf>
    <xf numFmtId="49" fontId="39" fillId="2" borderId="3" xfId="1" applyNumberFormat="1" applyFont="1" applyFill="1" applyBorder="1" applyAlignment="1">
      <alignment horizontal="center" vertical="center"/>
    </xf>
    <xf numFmtId="166" fontId="39" fillId="2" borderId="3" xfId="1" applyNumberFormat="1" applyFont="1" applyFill="1" applyBorder="1" applyAlignment="1">
      <alignment vertical="center"/>
    </xf>
    <xf numFmtId="166" fontId="39" fillId="2" borderId="3" xfId="1" applyNumberFormat="1" applyFont="1" applyFill="1" applyBorder="1" applyAlignment="1">
      <alignment horizontal="center" vertical="center"/>
    </xf>
    <xf numFmtId="49" fontId="35" fillId="2" borderId="3" xfId="1" applyNumberFormat="1" applyFont="1" applyFill="1" applyBorder="1" applyAlignment="1">
      <alignment horizontal="center" vertical="center"/>
    </xf>
    <xf numFmtId="166" fontId="35" fillId="2" borderId="3" xfId="1" applyNumberFormat="1" applyFont="1" applyFill="1" applyBorder="1" applyAlignment="1">
      <alignment vertical="center"/>
    </xf>
    <xf numFmtId="166" fontId="35" fillId="2" borderId="3" xfId="1" applyNumberFormat="1" applyFont="1" applyFill="1" applyBorder="1" applyAlignment="1">
      <alignment horizontal="center" vertical="center"/>
    </xf>
    <xf numFmtId="166" fontId="35" fillId="3" borderId="3" xfId="1" applyNumberFormat="1" applyFont="1" applyFill="1" applyBorder="1" applyAlignment="1">
      <alignment vertical="center" wrapText="1"/>
    </xf>
    <xf numFmtId="0" fontId="35" fillId="0" borderId="3" xfId="0" applyFont="1" applyBorder="1" applyAlignment="1">
      <alignment horizontal="left" vertical="center" wrapText="1"/>
    </xf>
    <xf numFmtId="1" fontId="35" fillId="0" borderId="14" xfId="0" applyNumberFormat="1" applyFont="1" applyBorder="1" applyAlignment="1">
      <alignment horizontal="center" vertical="center"/>
    </xf>
    <xf numFmtId="0" fontId="35" fillId="0" borderId="3" xfId="0" applyFont="1" applyBorder="1" applyAlignment="1">
      <alignment horizontal="center" vertical="center" wrapText="1"/>
    </xf>
    <xf numFmtId="1" fontId="35" fillId="0" borderId="8" xfId="0" quotePrefix="1" applyNumberFormat="1" applyFont="1" applyBorder="1" applyAlignment="1">
      <alignment horizontal="center" vertical="center"/>
    </xf>
    <xf numFmtId="1" fontId="35" fillId="0" borderId="8" xfId="0" applyNumberFormat="1" applyFont="1" applyBorder="1" applyAlignment="1">
      <alignment horizontal="center" vertical="center"/>
    </xf>
    <xf numFmtId="0" fontId="35" fillId="0" borderId="3" xfId="276" applyFont="1" applyBorder="1" applyAlignment="1">
      <alignment horizontal="center" vertical="center" wrapText="1"/>
    </xf>
    <xf numFmtId="166" fontId="35" fillId="0" borderId="3" xfId="1" applyNumberFormat="1" applyFont="1" applyFill="1" applyBorder="1" applyAlignment="1">
      <alignment vertical="center" wrapText="1"/>
    </xf>
    <xf numFmtId="1" fontId="39" fillId="0" borderId="8" xfId="0" quotePrefix="1" applyNumberFormat="1" applyFont="1" applyBorder="1" applyAlignment="1">
      <alignment horizontal="center" vertical="center"/>
    </xf>
    <xf numFmtId="166" fontId="35" fillId="0" borderId="3" xfId="1" applyNumberFormat="1" applyFont="1" applyFill="1" applyBorder="1" applyAlignment="1">
      <alignment vertical="center"/>
    </xf>
    <xf numFmtId="0" fontId="39" fillId="0" borderId="3" xfId="0" applyFont="1" applyBorder="1" applyAlignment="1">
      <alignment horizontal="left" vertical="center" wrapText="1"/>
    </xf>
    <xf numFmtId="49" fontId="39" fillId="0" borderId="3" xfId="1" applyNumberFormat="1" applyFont="1" applyFill="1" applyBorder="1" applyAlignment="1">
      <alignment horizontal="center" vertical="center"/>
    </xf>
    <xf numFmtId="166" fontId="39" fillId="0" borderId="3" xfId="1" applyNumberFormat="1" applyFont="1" applyFill="1" applyBorder="1" applyAlignment="1">
      <alignment vertical="center"/>
    </xf>
    <xf numFmtId="166" fontId="39" fillId="0" borderId="3" xfId="1" applyNumberFormat="1" applyFont="1" applyFill="1" applyBorder="1" applyAlignment="1">
      <alignment horizontal="center" vertical="center"/>
    </xf>
    <xf numFmtId="49" fontId="35" fillId="0" borderId="3" xfId="1" applyNumberFormat="1" applyFont="1" applyFill="1" applyBorder="1" applyAlignment="1">
      <alignment horizontal="center" vertical="center"/>
    </xf>
    <xf numFmtId="166" fontId="35" fillId="0" borderId="3" xfId="1" applyNumberFormat="1" applyFont="1" applyFill="1" applyBorder="1" applyAlignment="1">
      <alignment horizontal="center" vertical="center"/>
    </xf>
    <xf numFmtId="49" fontId="39" fillId="24" borderId="3" xfId="1" applyNumberFormat="1" applyFont="1" applyFill="1" applyBorder="1" applyAlignment="1">
      <alignment horizontal="center" vertical="center"/>
    </xf>
    <xf numFmtId="166" fontId="39" fillId="24" borderId="3" xfId="1" applyNumberFormat="1" applyFont="1" applyFill="1" applyBorder="1" applyAlignment="1">
      <alignment vertical="center"/>
    </xf>
    <xf numFmtId="166" fontId="39" fillId="24" borderId="3" xfId="1" applyNumberFormat="1" applyFont="1" applyFill="1" applyBorder="1" applyAlignment="1">
      <alignment horizontal="center" vertical="center"/>
    </xf>
    <xf numFmtId="166" fontId="35" fillId="24" borderId="3" xfId="1" applyNumberFormat="1" applyFont="1" applyFill="1" applyBorder="1" applyAlignment="1">
      <alignment horizontal="center" vertical="center"/>
    </xf>
    <xf numFmtId="173" fontId="35" fillId="0" borderId="3" xfId="275" applyFont="1" applyBorder="1" applyAlignment="1">
      <alignment horizontal="left"/>
    </xf>
    <xf numFmtId="166" fontId="35" fillId="3" borderId="3" xfId="1" applyNumberFormat="1" applyFont="1" applyFill="1" applyBorder="1" applyAlignment="1">
      <alignment vertical="center"/>
    </xf>
    <xf numFmtId="166" fontId="40" fillId="0" borderId="3" xfId="1" applyNumberFormat="1" applyFont="1" applyFill="1" applyBorder="1" applyAlignment="1">
      <alignment horizontal="center" vertical="center"/>
    </xf>
    <xf numFmtId="43" fontId="5" fillId="0" borderId="3" xfId="1" quotePrefix="1" applyNumberFormat="1" applyFont="1" applyFill="1" applyBorder="1" applyAlignment="1">
      <alignment horizontal="center" vertical="center" readingOrder="1"/>
    </xf>
    <xf numFmtId="179" fontId="35" fillId="2" borderId="3" xfId="10" applyNumberFormat="1" applyFont="1" applyFill="1" applyBorder="1" applyAlignment="1">
      <alignment vertical="center" wrapText="1"/>
    </xf>
    <xf numFmtId="179" fontId="35" fillId="2" borderId="3" xfId="1" applyNumberFormat="1" applyFont="1" applyFill="1" applyBorder="1" applyAlignment="1">
      <alignment vertical="center" wrapText="1"/>
    </xf>
    <xf numFmtId="166" fontId="35" fillId="2" borderId="3" xfId="1" applyNumberFormat="1" applyFont="1" applyFill="1" applyBorder="1" applyAlignment="1">
      <alignment horizontal="left" vertical="center" wrapText="1"/>
    </xf>
    <xf numFmtId="0" fontId="5" fillId="2" borderId="3" xfId="0" quotePrefix="1" applyFont="1" applyFill="1" applyBorder="1" applyAlignment="1">
      <alignment vertical="center" wrapText="1"/>
    </xf>
    <xf numFmtId="0" fontId="35" fillId="2" borderId="3" xfId="0" applyFont="1" applyFill="1" applyBorder="1" applyAlignment="1">
      <alignment horizontal="center" vertical="center" wrapText="1"/>
    </xf>
    <xf numFmtId="0" fontId="5" fillId="25" borderId="0" xfId="0" applyFont="1" applyFill="1" applyAlignment="1">
      <alignment vertical="center"/>
    </xf>
    <xf numFmtId="0" fontId="35" fillId="25" borderId="3" xfId="0" applyFont="1" applyFill="1" applyBorder="1" applyAlignment="1">
      <alignment horizontal="left"/>
    </xf>
    <xf numFmtId="166" fontId="39" fillId="0" borderId="3" xfId="1" applyNumberFormat="1" applyFont="1" applyFill="1" applyBorder="1" applyAlignment="1">
      <alignment horizontal="left" vertical="center"/>
    </xf>
    <xf numFmtId="166" fontId="13" fillId="0" borderId="3" xfId="1" applyNumberFormat="1" applyFont="1" applyBorder="1" applyAlignment="1">
      <alignment vertical="center"/>
    </xf>
    <xf numFmtId="0" fontId="35" fillId="0" borderId="3" xfId="0" applyFont="1" applyBorder="1" applyAlignment="1">
      <alignment vertical="center" wrapText="1"/>
    </xf>
    <xf numFmtId="0" fontId="13" fillId="0" borderId="3" xfId="0" applyFont="1" applyBorder="1" applyAlignment="1">
      <alignment vertical="center" wrapText="1"/>
    </xf>
    <xf numFmtId="0" fontId="41" fillId="2" borderId="3" xfId="0" applyFont="1" applyFill="1" applyBorder="1" applyAlignment="1" applyProtection="1">
      <alignment vertical="center" wrapText="1"/>
      <protection locked="0"/>
    </xf>
    <xf numFmtId="0" fontId="13" fillId="9" borderId="0" xfId="0" applyFont="1" applyFill="1" applyAlignment="1">
      <alignment horizontal="center" vertical="center" wrapText="1"/>
    </xf>
    <xf numFmtId="0" fontId="13" fillId="9" borderId="0" xfId="0" applyFont="1" applyFill="1" applyAlignment="1">
      <alignment horizontal="center" vertical="center"/>
    </xf>
    <xf numFmtId="0" fontId="41" fillId="2" borderId="0" xfId="0" applyFont="1" applyFill="1" applyAlignment="1">
      <alignment horizontal="center" vertical="center" wrapText="1"/>
    </xf>
    <xf numFmtId="0" fontId="41" fillId="0" borderId="0" xfId="0" applyFont="1" applyAlignment="1">
      <alignment horizontal="center" vertical="center" wrapText="1"/>
    </xf>
    <xf numFmtId="0" fontId="41" fillId="3" borderId="3" xfId="1" applyNumberFormat="1" applyFont="1" applyFill="1" applyBorder="1" applyAlignment="1">
      <alignment horizontal="center" vertical="center" wrapText="1"/>
    </xf>
    <xf numFmtId="166" fontId="41" fillId="3" borderId="3" xfId="1" applyNumberFormat="1" applyFont="1" applyFill="1" applyBorder="1" applyAlignment="1">
      <alignment horizontal="center" vertical="center" wrapText="1"/>
    </xf>
    <xf numFmtId="0" fontId="13" fillId="3" borderId="3" xfId="0" applyFont="1" applyFill="1" applyBorder="1" applyAlignment="1">
      <alignment horizontal="center" vertical="center"/>
    </xf>
    <xf numFmtId="0" fontId="13" fillId="3" borderId="3" xfId="0" applyFont="1" applyFill="1" applyBorder="1" applyAlignment="1">
      <alignment horizontal="center" vertical="center" wrapText="1"/>
    </xf>
    <xf numFmtId="166" fontId="13" fillId="3" borderId="3" xfId="1" applyNumberFormat="1" applyFont="1" applyFill="1" applyBorder="1" applyAlignment="1" applyProtection="1">
      <alignment horizontal="center" vertical="center" wrapText="1"/>
    </xf>
    <xf numFmtId="166" fontId="13" fillId="3" borderId="3" xfId="1" applyNumberFormat="1" applyFont="1" applyFill="1" applyBorder="1" applyAlignment="1">
      <alignment horizontal="center" vertical="center"/>
    </xf>
    <xf numFmtId="166" fontId="42" fillId="3" borderId="3" xfId="1" applyNumberFormat="1" applyFont="1" applyFill="1" applyBorder="1" applyAlignment="1" applyProtection="1">
      <alignment horizontal="center" vertical="center" wrapText="1"/>
    </xf>
    <xf numFmtId="0" fontId="13" fillId="2" borderId="0" xfId="0" applyFont="1" applyFill="1" applyAlignment="1">
      <alignment horizontal="center" vertical="center"/>
    </xf>
    <xf numFmtId="0" fontId="13" fillId="0" borderId="0" xfId="0" applyFont="1" applyAlignment="1">
      <alignment horizontal="center" vertical="center"/>
    </xf>
    <xf numFmtId="0" fontId="41" fillId="4" borderId="3" xfId="0" applyFont="1" applyFill="1" applyBorder="1" applyAlignment="1">
      <alignment horizontal="center" vertical="center" wrapText="1"/>
    </xf>
    <xf numFmtId="0" fontId="41" fillId="4" borderId="3" xfId="0" applyFont="1" applyFill="1" applyBorder="1" applyAlignment="1">
      <alignment horizontal="left" vertical="center"/>
    </xf>
    <xf numFmtId="166" fontId="41" fillId="4" borderId="3" xfId="1" applyNumberFormat="1" applyFont="1" applyFill="1" applyBorder="1" applyAlignment="1">
      <alignment horizontal="center" vertical="center" wrapText="1"/>
    </xf>
    <xf numFmtId="166" fontId="41" fillId="4" borderId="3" xfId="1" applyNumberFormat="1" applyFont="1" applyFill="1" applyBorder="1" applyAlignment="1">
      <alignment vertical="center"/>
    </xf>
    <xf numFmtId="166" fontId="41" fillId="4" borderId="3" xfId="1" applyNumberFormat="1" applyFont="1" applyFill="1" applyBorder="1" applyAlignment="1">
      <alignment horizontal="center" vertical="center"/>
    </xf>
    <xf numFmtId="0" fontId="13" fillId="9" borderId="0" xfId="0" applyFont="1" applyFill="1" applyAlignment="1">
      <alignment horizontal="left" vertical="center"/>
    </xf>
    <xf numFmtId="0" fontId="13" fillId="9" borderId="0" xfId="0" applyFont="1" applyFill="1" applyAlignment="1">
      <alignment vertical="center"/>
    </xf>
    <xf numFmtId="0" fontId="13" fillId="25" borderId="0" xfId="0" applyFont="1" applyFill="1" applyAlignment="1">
      <alignment vertical="center"/>
    </xf>
    <xf numFmtId="0" fontId="13" fillId="2" borderId="0" xfId="0" applyFont="1" applyFill="1" applyAlignment="1">
      <alignment vertical="center"/>
    </xf>
    <xf numFmtId="0" fontId="13" fillId="0" borderId="0" xfId="0" applyFont="1" applyAlignment="1">
      <alignment vertical="center"/>
    </xf>
    <xf numFmtId="0" fontId="41" fillId="8" borderId="3" xfId="0" applyFont="1" applyFill="1" applyBorder="1" applyAlignment="1">
      <alignment horizontal="center" vertical="center"/>
    </xf>
    <xf numFmtId="0" fontId="41" fillId="8" borderId="3" xfId="0" applyFont="1" applyFill="1" applyBorder="1" applyAlignment="1">
      <alignment horizontal="left" vertical="center" wrapText="1"/>
    </xf>
    <xf numFmtId="0" fontId="41" fillId="8" borderId="3" xfId="0" applyFont="1" applyFill="1" applyBorder="1" applyAlignment="1">
      <alignment horizontal="center" vertical="center" wrapText="1"/>
    </xf>
    <xf numFmtId="166" fontId="41" fillId="8" borderId="3" xfId="1" applyNumberFormat="1" applyFont="1" applyFill="1" applyBorder="1" applyAlignment="1">
      <alignment horizontal="center" vertical="center" wrapText="1"/>
    </xf>
    <xf numFmtId="166" fontId="41" fillId="8" borderId="3" xfId="1" applyNumberFormat="1" applyFont="1" applyFill="1" applyBorder="1" applyAlignment="1">
      <alignment vertical="center"/>
    </xf>
    <xf numFmtId="0" fontId="41" fillId="7" borderId="3" xfId="0" applyFont="1" applyFill="1" applyBorder="1" applyAlignment="1">
      <alignment horizontal="center" vertical="center"/>
    </xf>
    <xf numFmtId="0" fontId="41" fillId="7" borderId="3" xfId="0" applyFont="1" applyFill="1" applyBorder="1" applyAlignment="1">
      <alignment vertical="center" wrapText="1"/>
    </xf>
    <xf numFmtId="0" fontId="41" fillId="7" borderId="3" xfId="0" applyFont="1" applyFill="1" applyBorder="1" applyAlignment="1">
      <alignment horizontal="center" vertical="center" wrapText="1"/>
    </xf>
    <xf numFmtId="166" fontId="41" fillId="7" borderId="3" xfId="1" applyNumberFormat="1" applyFont="1" applyFill="1" applyBorder="1" applyAlignment="1">
      <alignment vertical="center"/>
    </xf>
    <xf numFmtId="0" fontId="41" fillId="2" borderId="0" xfId="0" applyFont="1" applyFill="1" applyAlignment="1">
      <alignment horizontal="center" vertical="center"/>
    </xf>
    <xf numFmtId="0" fontId="41" fillId="0" borderId="0" xfId="0" applyFont="1" applyAlignment="1">
      <alignment horizontal="center" vertical="center"/>
    </xf>
    <xf numFmtId="0" fontId="41" fillId="2" borderId="0" xfId="0" applyFont="1" applyFill="1" applyAlignment="1">
      <alignment vertical="center"/>
    </xf>
    <xf numFmtId="0" fontId="41" fillId="25" borderId="0" xfId="0" applyFont="1" applyFill="1" applyAlignment="1">
      <alignment vertical="center"/>
    </xf>
    <xf numFmtId="0" fontId="41" fillId="0" borderId="0" xfId="0" applyFont="1" applyAlignment="1">
      <alignment vertical="center"/>
    </xf>
    <xf numFmtId="0" fontId="41" fillId="2" borderId="3" xfId="0" applyFont="1" applyFill="1" applyBorder="1" applyAlignment="1" applyProtection="1">
      <alignment horizontal="center" vertical="center"/>
      <protection locked="0"/>
    </xf>
    <xf numFmtId="0" fontId="41" fillId="2" borderId="3" xfId="0" applyFont="1" applyFill="1" applyBorder="1" applyAlignment="1">
      <alignment vertical="center" wrapText="1"/>
    </xf>
    <xf numFmtId="166" fontId="41" fillId="2" borderId="3" xfId="1" applyNumberFormat="1" applyFont="1" applyFill="1" applyBorder="1" applyAlignment="1">
      <alignment horizontal="center" vertical="center"/>
    </xf>
    <xf numFmtId="166" fontId="41" fillId="2" borderId="3" xfId="1" applyNumberFormat="1" applyFont="1" applyFill="1" applyBorder="1" applyAlignment="1">
      <alignment vertical="center"/>
    </xf>
    <xf numFmtId="0" fontId="41" fillId="2" borderId="3" xfId="0" applyFont="1" applyFill="1" applyBorder="1" applyAlignment="1">
      <alignment horizontal="center" vertical="center"/>
    </xf>
    <xf numFmtId="0" fontId="43" fillId="2" borderId="0" xfId="0" applyFont="1" applyFill="1" applyAlignment="1">
      <alignment horizontal="center" vertical="center"/>
    </xf>
    <xf numFmtId="0" fontId="43" fillId="2" borderId="0" xfId="0" applyFont="1" applyFill="1" applyAlignment="1">
      <alignment vertical="center"/>
    </xf>
    <xf numFmtId="0" fontId="43" fillId="25" borderId="0" xfId="0" applyFont="1" applyFill="1" applyAlignment="1">
      <alignment vertical="center"/>
    </xf>
    <xf numFmtId="0" fontId="13" fillId="2" borderId="3" xfId="0" applyFont="1" applyFill="1" applyBorder="1" applyAlignment="1">
      <alignment vertical="center" wrapText="1"/>
    </xf>
    <xf numFmtId="166" fontId="13" fillId="2" borderId="3" xfId="1" applyNumberFormat="1" applyFont="1" applyFill="1" applyBorder="1" applyAlignment="1">
      <alignment horizontal="center" vertical="center"/>
    </xf>
    <xf numFmtId="166" fontId="13" fillId="2" borderId="3" xfId="1" applyNumberFormat="1" applyFont="1" applyFill="1" applyBorder="1" applyAlignment="1">
      <alignment vertical="center"/>
    </xf>
    <xf numFmtId="0" fontId="13" fillId="2" borderId="3" xfId="0" applyFont="1" applyFill="1" applyBorder="1" applyAlignment="1">
      <alignment horizontal="center" vertical="center"/>
    </xf>
    <xf numFmtId="0" fontId="13" fillId="2" borderId="3" xfId="0" applyFont="1" applyFill="1" applyBorder="1" applyAlignment="1" applyProtection="1">
      <alignment horizontal="center" vertical="center" wrapText="1"/>
      <protection locked="0"/>
    </xf>
    <xf numFmtId="43" fontId="35" fillId="0" borderId="3" xfId="0" applyNumberFormat="1" applyFont="1" applyBorder="1" applyAlignment="1">
      <alignment horizontal="center" vertical="center" wrapText="1"/>
    </xf>
    <xf numFmtId="166" fontId="13" fillId="0" borderId="3" xfId="1" applyNumberFormat="1" applyFont="1" applyFill="1" applyBorder="1" applyAlignment="1">
      <alignment vertical="center"/>
    </xf>
    <xf numFmtId="0" fontId="41" fillId="2" borderId="3" xfId="0" applyFont="1" applyFill="1" applyBorder="1" applyAlignment="1">
      <alignment horizontal="center" vertical="center" wrapText="1"/>
    </xf>
    <xf numFmtId="166" fontId="35" fillId="0" borderId="3" xfId="1" applyNumberFormat="1" applyFont="1" applyFill="1" applyBorder="1" applyAlignment="1">
      <alignment horizontal="center" vertical="center" wrapText="1"/>
    </xf>
    <xf numFmtId="0" fontId="13" fillId="2" borderId="3" xfId="0" applyFont="1" applyFill="1" applyBorder="1" applyAlignment="1" applyProtection="1">
      <alignment horizontal="center" vertical="center"/>
      <protection locked="0"/>
    </xf>
    <xf numFmtId="166" fontId="35" fillId="3" borderId="3" xfId="1" applyNumberFormat="1" applyFont="1" applyFill="1" applyBorder="1" applyAlignment="1">
      <alignment horizontal="center" vertical="center" wrapText="1"/>
    </xf>
    <xf numFmtId="0" fontId="41" fillId="25" borderId="0" xfId="0" quotePrefix="1" applyFont="1" applyFill="1" applyAlignment="1">
      <alignment vertical="center"/>
    </xf>
    <xf numFmtId="0" fontId="41" fillId="2" borderId="3" xfId="0" applyFont="1" applyFill="1" applyBorder="1" applyAlignment="1" applyProtection="1">
      <alignment vertical="center"/>
      <protection locked="0"/>
    </xf>
    <xf numFmtId="166" fontId="41" fillId="2" borderId="3" xfId="1" applyNumberFormat="1" applyFont="1" applyFill="1" applyBorder="1" applyAlignment="1">
      <alignment horizontal="right" vertical="center"/>
    </xf>
    <xf numFmtId="0" fontId="44" fillId="0" borderId="0" xfId="0" applyFont="1" applyAlignment="1">
      <alignment horizontal="center" vertical="center"/>
    </xf>
    <xf numFmtId="0" fontId="44" fillId="2" borderId="0" xfId="0" applyFont="1" applyFill="1" applyAlignment="1">
      <alignment horizontal="center" vertical="center"/>
    </xf>
    <xf numFmtId="0" fontId="45" fillId="2" borderId="0" xfId="0" applyFont="1" applyFill="1" applyAlignment="1">
      <alignment horizontal="center" vertical="center"/>
    </xf>
    <xf numFmtId="0" fontId="45" fillId="2" borderId="0" xfId="0" applyFont="1" applyFill="1" applyAlignment="1">
      <alignment vertical="center"/>
    </xf>
    <xf numFmtId="0" fontId="45" fillId="25" borderId="0" xfId="0" applyFont="1" applyFill="1" applyAlignment="1">
      <alignment vertical="center"/>
    </xf>
    <xf numFmtId="0" fontId="13" fillId="2" borderId="3" xfId="0" applyFont="1" applyFill="1" applyBorder="1" applyAlignment="1" applyProtection="1">
      <alignment vertical="center" wrapText="1"/>
      <protection locked="0"/>
    </xf>
    <xf numFmtId="0" fontId="44" fillId="2" borderId="0" xfId="0" applyFont="1" applyFill="1" applyAlignment="1">
      <alignment vertical="center"/>
    </xf>
    <xf numFmtId="0" fontId="44" fillId="25" borderId="0" xfId="0" applyFont="1" applyFill="1" applyAlignment="1">
      <alignment vertical="center"/>
    </xf>
    <xf numFmtId="43" fontId="35" fillId="0" borderId="3" xfId="0" applyNumberFormat="1" applyFont="1" applyBorder="1" applyAlignment="1">
      <alignment vertical="center" wrapText="1"/>
    </xf>
    <xf numFmtId="0" fontId="45" fillId="0" borderId="0" xfId="0" applyFont="1" applyAlignment="1">
      <alignment horizontal="center" vertical="center"/>
    </xf>
    <xf numFmtId="0" fontId="45" fillId="0" borderId="0" xfId="0" applyFont="1" applyAlignment="1">
      <alignment vertical="center"/>
    </xf>
    <xf numFmtId="2" fontId="13" fillId="0" borderId="3" xfId="0" applyNumberFormat="1" applyFont="1" applyBorder="1" applyAlignment="1">
      <alignment vertical="center" wrapText="1"/>
    </xf>
    <xf numFmtId="167" fontId="13" fillId="2" borderId="3" xfId="1" applyNumberFormat="1" applyFont="1" applyFill="1" applyBorder="1" applyAlignment="1">
      <alignment vertical="center"/>
    </xf>
    <xf numFmtId="167" fontId="13" fillId="0" borderId="3" xfId="1" applyNumberFormat="1" applyFont="1" applyFill="1" applyBorder="1" applyAlignment="1">
      <alignment vertical="center"/>
    </xf>
    <xf numFmtId="0" fontId="44" fillId="3" borderId="0" xfId="0" applyFont="1" applyFill="1" applyAlignment="1">
      <alignment horizontal="center" vertical="center"/>
    </xf>
    <xf numFmtId="0" fontId="41" fillId="6" borderId="3" xfId="0" applyFont="1" applyFill="1" applyBorder="1" applyAlignment="1" applyProtection="1">
      <alignment horizontal="center" vertical="center"/>
      <protection locked="0"/>
    </xf>
    <xf numFmtId="0" fontId="41" fillId="6" borderId="3" xfId="0" applyFont="1" applyFill="1" applyBorder="1" applyAlignment="1" applyProtection="1">
      <alignment vertical="center" wrapText="1"/>
      <protection locked="0"/>
    </xf>
    <xf numFmtId="0" fontId="41" fillId="6" borderId="3" xfId="0" applyFont="1" applyFill="1" applyBorder="1" applyAlignment="1">
      <alignment horizontal="center" vertical="center" wrapText="1"/>
    </xf>
    <xf numFmtId="166" fontId="41" fillId="6" borderId="3" xfId="1" applyNumberFormat="1" applyFont="1" applyFill="1" applyBorder="1" applyAlignment="1">
      <alignment vertical="center"/>
    </xf>
    <xf numFmtId="166" fontId="41" fillId="6" borderId="3" xfId="1" applyNumberFormat="1" applyFont="1" applyFill="1" applyBorder="1" applyAlignment="1">
      <alignment horizontal="right" vertical="center"/>
    </xf>
    <xf numFmtId="166" fontId="41" fillId="6" borderId="3" xfId="0" applyNumberFormat="1" applyFont="1" applyFill="1" applyBorder="1" applyAlignment="1">
      <alignment vertical="center"/>
    </xf>
    <xf numFmtId="166" fontId="45" fillId="0" borderId="0" xfId="0" applyNumberFormat="1" applyFont="1" applyAlignment="1">
      <alignment horizontal="center" vertical="center"/>
    </xf>
    <xf numFmtId="170" fontId="45" fillId="25" borderId="0" xfId="1" applyNumberFormat="1" applyFont="1" applyFill="1" applyAlignment="1">
      <alignment vertical="center"/>
    </xf>
    <xf numFmtId="166" fontId="44" fillId="2" borderId="0" xfId="0" applyNumberFormat="1" applyFont="1" applyFill="1" applyAlignment="1">
      <alignment horizontal="center" vertical="center"/>
    </xf>
    <xf numFmtId="166" fontId="44" fillId="2" borderId="0" xfId="0" applyNumberFormat="1" applyFont="1" applyFill="1" applyAlignment="1">
      <alignment vertical="center"/>
    </xf>
    <xf numFmtId="170" fontId="44" fillId="25" borderId="0" xfId="1" applyNumberFormat="1" applyFont="1" applyFill="1" applyAlignment="1">
      <alignment vertical="center"/>
    </xf>
    <xf numFmtId="0" fontId="41" fillId="2" borderId="3" xfId="0" applyFont="1" applyFill="1" applyBorder="1" applyAlignment="1" applyProtection="1">
      <alignment horizontal="center" vertical="center" wrapText="1"/>
      <protection locked="0"/>
    </xf>
    <xf numFmtId="166" fontId="45" fillId="2" borderId="0" xfId="0" applyNumberFormat="1" applyFont="1" applyFill="1" applyAlignment="1">
      <alignment vertical="center"/>
    </xf>
    <xf numFmtId="170" fontId="44" fillId="2" borderId="0" xfId="1" applyNumberFormat="1" applyFont="1" applyFill="1" applyAlignment="1">
      <alignment vertical="center"/>
    </xf>
    <xf numFmtId="166" fontId="41" fillId="2" borderId="3" xfId="3" applyNumberFormat="1" applyFont="1" applyFill="1" applyBorder="1" applyAlignment="1">
      <alignment horizontal="right" vertical="center"/>
    </xf>
    <xf numFmtId="0" fontId="41" fillId="9" borderId="3" xfId="0" applyFont="1" applyFill="1" applyBorder="1" applyAlignment="1" applyProtection="1">
      <alignment horizontal="center" vertical="center"/>
      <protection locked="0"/>
    </xf>
    <xf numFmtId="0" fontId="41" fillId="9" borderId="3" xfId="0" applyFont="1" applyFill="1" applyBorder="1" applyAlignment="1" applyProtection="1">
      <alignment vertical="center" wrapText="1"/>
      <protection locked="0"/>
    </xf>
    <xf numFmtId="0" fontId="41" fillId="9" borderId="3" xfId="0" applyFont="1" applyFill="1" applyBorder="1" applyAlignment="1">
      <alignment horizontal="center" vertical="center" wrapText="1"/>
    </xf>
    <xf numFmtId="166" fontId="41" fillId="9" borderId="3" xfId="1" applyNumberFormat="1" applyFont="1" applyFill="1" applyBorder="1" applyAlignment="1">
      <alignment vertical="center"/>
    </xf>
    <xf numFmtId="166" fontId="41" fillId="9" borderId="3" xfId="1" applyNumberFormat="1" applyFont="1" applyFill="1" applyBorder="1" applyAlignment="1">
      <alignment horizontal="right" vertical="center"/>
    </xf>
    <xf numFmtId="166" fontId="41" fillId="9" borderId="3" xfId="0" applyNumberFormat="1" applyFont="1" applyFill="1" applyBorder="1" applyAlignment="1">
      <alignment vertical="center"/>
    </xf>
    <xf numFmtId="166" fontId="13" fillId="0" borderId="3" xfId="1" applyNumberFormat="1" applyFont="1" applyFill="1" applyBorder="1" applyAlignment="1">
      <alignment horizontal="center" vertical="center"/>
    </xf>
    <xf numFmtId="0" fontId="41" fillId="2" borderId="3" xfId="0" applyFont="1" applyFill="1" applyBorder="1" applyAlignment="1">
      <alignment vertical="center"/>
    </xf>
    <xf numFmtId="0" fontId="13" fillId="2" borderId="3" xfId="0" applyFont="1" applyFill="1" applyBorder="1" applyAlignment="1">
      <alignment vertical="center"/>
    </xf>
    <xf numFmtId="166" fontId="41" fillId="2" borderId="3" xfId="3" applyNumberFormat="1" applyFont="1" applyFill="1" applyBorder="1" applyAlignment="1">
      <alignment horizontal="center" vertical="center"/>
    </xf>
    <xf numFmtId="0" fontId="41" fillId="12" borderId="3" xfId="0" applyFont="1" applyFill="1" applyBorder="1" applyAlignment="1" applyProtection="1">
      <alignment horizontal="center" vertical="center"/>
      <protection locked="0"/>
    </xf>
    <xf numFmtId="0" fontId="41" fillId="12" borderId="3" xfId="0" applyFont="1" applyFill="1" applyBorder="1" applyAlignment="1" applyProtection="1">
      <alignment vertical="center" wrapText="1"/>
      <protection locked="0"/>
    </xf>
    <xf numFmtId="0" fontId="41" fillId="12" borderId="3" xfId="0" applyFont="1" applyFill="1" applyBorder="1" applyAlignment="1">
      <alignment horizontal="center" vertical="center" wrapText="1"/>
    </xf>
    <xf numFmtId="166" fontId="41" fillId="12" borderId="3" xfId="1" applyNumberFormat="1" applyFont="1" applyFill="1" applyBorder="1" applyAlignment="1">
      <alignment vertical="center"/>
    </xf>
    <xf numFmtId="166" fontId="41" fillId="12" borderId="3" xfId="1" applyNumberFormat="1" applyFont="1" applyFill="1" applyBorder="1" applyAlignment="1">
      <alignment horizontal="right" vertical="center"/>
    </xf>
    <xf numFmtId="166" fontId="41" fillId="12" borderId="3" xfId="0" applyNumberFormat="1" applyFont="1" applyFill="1" applyBorder="1" applyAlignment="1">
      <alignment vertical="center"/>
    </xf>
    <xf numFmtId="0" fontId="44" fillId="2" borderId="3" xfId="0" applyFont="1" applyFill="1" applyBorder="1" applyAlignment="1">
      <alignment vertical="center"/>
    </xf>
    <xf numFmtId="0" fontId="13" fillId="0" borderId="3" xfId="0" applyFont="1" applyBorder="1" applyAlignment="1">
      <alignment vertical="center"/>
    </xf>
    <xf numFmtId="173" fontId="35" fillId="2" borderId="3" xfId="269" applyFont="1" applyFill="1" applyBorder="1"/>
    <xf numFmtId="173" fontId="35" fillId="2" borderId="3" xfId="269" applyFont="1" applyFill="1" applyBorder="1" applyAlignment="1">
      <alignment horizontal="left" vertical="center"/>
    </xf>
    <xf numFmtId="0" fontId="46" fillId="2" borderId="3" xfId="0" applyFont="1" applyFill="1" applyBorder="1" applyAlignment="1">
      <alignment horizontal="center" vertical="center"/>
    </xf>
    <xf numFmtId="166" fontId="41" fillId="2" borderId="3" xfId="1" applyNumberFormat="1" applyFont="1" applyFill="1" applyBorder="1" applyAlignment="1">
      <alignment horizontal="right" vertical="center" wrapText="1"/>
    </xf>
    <xf numFmtId="166" fontId="35" fillId="2" borderId="3" xfId="1" applyNumberFormat="1" applyFont="1" applyFill="1" applyBorder="1" applyAlignment="1">
      <alignment horizontal="center" vertical="center" wrapText="1"/>
    </xf>
    <xf numFmtId="0" fontId="35" fillId="2" borderId="3" xfId="0" applyFont="1" applyFill="1" applyBorder="1" applyAlignment="1">
      <alignment vertical="center" wrapText="1"/>
    </xf>
    <xf numFmtId="0" fontId="13" fillId="2" borderId="3" xfId="0" applyFont="1" applyFill="1" applyBorder="1" applyAlignment="1">
      <alignment horizontal="left" vertical="center" wrapText="1"/>
    </xf>
    <xf numFmtId="0" fontId="13" fillId="2" borderId="3" xfId="0" applyFont="1" applyFill="1" applyBorder="1" applyAlignment="1" applyProtection="1">
      <alignment vertical="center"/>
      <protection locked="0"/>
    </xf>
    <xf numFmtId="43" fontId="39" fillId="2" borderId="3" xfId="0" applyNumberFormat="1" applyFont="1" applyFill="1" applyBorder="1" applyAlignment="1">
      <alignment horizontal="left" vertical="center" wrapText="1"/>
    </xf>
    <xf numFmtId="0" fontId="13" fillId="2" borderId="3" xfId="0" applyFont="1" applyFill="1" applyBorder="1" applyAlignment="1">
      <alignment horizontal="center" vertical="center" wrapText="1"/>
    </xf>
    <xf numFmtId="166" fontId="13" fillId="2" borderId="3" xfId="14" applyNumberFormat="1" applyFont="1" applyFill="1" applyBorder="1" applyAlignment="1">
      <alignment vertical="center"/>
    </xf>
    <xf numFmtId="166" fontId="13" fillId="2" borderId="3" xfId="3" applyNumberFormat="1" applyFont="1" applyFill="1" applyBorder="1" applyAlignment="1">
      <alignment horizontal="right" vertical="center"/>
    </xf>
    <xf numFmtId="0" fontId="13" fillId="2" borderId="6" xfId="34" applyFont="1" applyFill="1" applyBorder="1" applyAlignment="1" applyProtection="1">
      <alignment vertical="center" wrapText="1"/>
    </xf>
    <xf numFmtId="0" fontId="41" fillId="2" borderId="6" xfId="0" applyFont="1" applyFill="1" applyBorder="1" applyAlignment="1">
      <alignment vertical="center" wrapText="1"/>
    </xf>
    <xf numFmtId="0" fontId="13" fillId="2" borderId="4" xfId="0" applyFont="1" applyFill="1" applyBorder="1" applyAlignment="1">
      <alignment vertical="center" wrapText="1"/>
    </xf>
    <xf numFmtId="0" fontId="13" fillId="2" borderId="3" xfId="242" applyFont="1" applyFill="1" applyBorder="1" applyAlignment="1">
      <alignment vertical="center" wrapText="1"/>
    </xf>
    <xf numFmtId="0" fontId="41" fillId="2" borderId="3" xfId="34" applyFont="1" applyFill="1" applyBorder="1" applyAlignment="1" applyProtection="1">
      <alignment horizontal="left" vertical="center" wrapText="1"/>
    </xf>
    <xf numFmtId="166" fontId="44" fillId="2" borderId="0" xfId="1" applyNumberFormat="1" applyFont="1" applyFill="1" applyBorder="1" applyAlignment="1">
      <alignment horizontal="center" vertical="center" wrapText="1" readingOrder="1"/>
    </xf>
    <xf numFmtId="0" fontId="44" fillId="2" borderId="0" xfId="0" applyFont="1" applyFill="1" applyAlignment="1">
      <alignment horizontal="center" vertical="center" readingOrder="1"/>
    </xf>
    <xf numFmtId="0" fontId="41" fillId="2" borderId="3" xfId="0" applyNumberFormat="1" applyFont="1" applyFill="1" applyBorder="1" applyAlignment="1" applyProtection="1">
      <alignment horizontal="center" vertical="center"/>
      <protection locked="0"/>
    </xf>
    <xf numFmtId="0" fontId="35" fillId="2" borderId="3" xfId="0" applyFont="1" applyFill="1" applyBorder="1" applyAlignment="1">
      <alignment horizontal="left" vertical="center"/>
    </xf>
    <xf numFmtId="166" fontId="13" fillId="2" borderId="0" xfId="0" applyNumberFormat="1" applyFont="1" applyFill="1" applyAlignment="1">
      <alignment horizontal="center" vertical="center"/>
    </xf>
    <xf numFmtId="1" fontId="13" fillId="2" borderId="3" xfId="0" applyNumberFormat="1" applyFont="1" applyFill="1" applyBorder="1" applyAlignment="1">
      <alignment vertical="center" wrapText="1"/>
    </xf>
    <xf numFmtId="166" fontId="13" fillId="2" borderId="3" xfId="1" applyNumberFormat="1" applyFont="1" applyFill="1" applyBorder="1" applyAlignment="1">
      <alignment vertical="center" wrapText="1"/>
    </xf>
    <xf numFmtId="166" fontId="13" fillId="2" borderId="3" xfId="1" applyNumberFormat="1" applyFont="1" applyFill="1" applyBorder="1" applyAlignment="1" applyProtection="1">
      <alignment horizontal="justify" vertical="center" wrapText="1"/>
      <protection locked="0"/>
    </xf>
    <xf numFmtId="166" fontId="41" fillId="2" borderId="3" xfId="1" applyNumberFormat="1" applyFont="1" applyFill="1" applyBorder="1" applyAlignment="1" applyProtection="1">
      <alignment horizontal="justify" vertical="center" wrapText="1"/>
      <protection locked="0"/>
    </xf>
    <xf numFmtId="0" fontId="41" fillId="8" borderId="3" xfId="0" applyFont="1" applyFill="1" applyBorder="1" applyAlignment="1" applyProtection="1">
      <alignment horizontal="center" vertical="center"/>
      <protection locked="0"/>
    </xf>
    <xf numFmtId="0" fontId="41" fillId="8" borderId="3" xfId="0" applyFont="1" applyFill="1" applyBorder="1" applyAlignment="1" applyProtection="1">
      <alignment vertical="center" wrapText="1"/>
      <protection locked="0"/>
    </xf>
    <xf numFmtId="166" fontId="41" fillId="8" borderId="3" xfId="1" applyNumberFormat="1" applyFont="1" applyFill="1" applyBorder="1" applyAlignment="1">
      <alignment horizontal="right" vertical="center"/>
    </xf>
    <xf numFmtId="0" fontId="44" fillId="2" borderId="3" xfId="0" applyFont="1" applyFill="1" applyBorder="1" applyAlignment="1">
      <alignment horizontal="center" vertical="center"/>
    </xf>
    <xf numFmtId="166" fontId="13" fillId="3" borderId="3" xfId="1" applyNumberFormat="1" applyFont="1" applyFill="1" applyBorder="1" applyAlignment="1">
      <alignment horizontal="right" vertical="center"/>
    </xf>
    <xf numFmtId="0" fontId="41" fillId="24" borderId="3" xfId="0" applyFont="1" applyFill="1" applyBorder="1" applyAlignment="1" applyProtection="1">
      <alignment horizontal="center" vertical="center"/>
      <protection locked="0"/>
    </xf>
    <xf numFmtId="0" fontId="41" fillId="24" borderId="3" xfId="0" applyFont="1" applyFill="1" applyBorder="1" applyAlignment="1" applyProtection="1">
      <alignment vertical="center" wrapText="1"/>
      <protection locked="0"/>
    </xf>
    <xf numFmtId="0" fontId="41" fillId="24" borderId="3" xfId="0" applyFont="1" applyFill="1" applyBorder="1" applyAlignment="1">
      <alignment horizontal="center" vertical="center" wrapText="1"/>
    </xf>
    <xf numFmtId="0" fontId="44" fillId="24" borderId="3" xfId="0" applyFont="1" applyFill="1" applyBorder="1" applyAlignment="1">
      <alignment horizontal="center" vertical="center"/>
    </xf>
    <xf numFmtId="166" fontId="41" fillId="0" borderId="3" xfId="1" applyNumberFormat="1" applyFont="1" applyFill="1" applyBorder="1" applyAlignment="1">
      <alignment vertical="center"/>
    </xf>
    <xf numFmtId="166" fontId="41" fillId="0" borderId="3" xfId="1" applyNumberFormat="1" applyFont="1" applyFill="1" applyBorder="1" applyAlignment="1">
      <alignment horizontal="right" vertical="center"/>
    </xf>
    <xf numFmtId="0" fontId="44" fillId="0" borderId="3" xfId="0" applyFont="1" applyBorder="1" applyAlignment="1">
      <alignment horizontal="center" vertical="center"/>
    </xf>
    <xf numFmtId="0" fontId="44" fillId="0" borderId="0" xfId="0" applyFont="1" applyAlignment="1">
      <alignment vertical="center"/>
    </xf>
    <xf numFmtId="0" fontId="41" fillId="5" borderId="3" xfId="0" applyFont="1" applyFill="1" applyBorder="1" applyAlignment="1" applyProtection="1">
      <alignment horizontal="center" vertical="center"/>
      <protection locked="0"/>
    </xf>
    <xf numFmtId="0" fontId="41" fillId="5" borderId="3" xfId="0" applyFont="1" applyFill="1" applyBorder="1" applyAlignment="1" applyProtection="1">
      <alignment vertical="center" wrapText="1"/>
      <protection locked="0"/>
    </xf>
    <xf numFmtId="0" fontId="41" fillId="5" borderId="3" xfId="0" applyFont="1" applyFill="1" applyBorder="1" applyAlignment="1">
      <alignment horizontal="center" vertical="center" wrapText="1"/>
    </xf>
    <xf numFmtId="166" fontId="41" fillId="5" borderId="3" xfId="1" applyNumberFormat="1" applyFont="1" applyFill="1" applyBorder="1" applyAlignment="1">
      <alignment vertical="center"/>
    </xf>
    <xf numFmtId="166" fontId="41" fillId="5" borderId="3" xfId="1" applyNumberFormat="1" applyFont="1" applyFill="1" applyBorder="1" applyAlignment="1">
      <alignment horizontal="right" vertical="center"/>
    </xf>
    <xf numFmtId="166" fontId="41" fillId="5" borderId="3" xfId="0" applyNumberFormat="1" applyFont="1" applyFill="1" applyBorder="1" applyAlignment="1">
      <alignment vertical="center"/>
    </xf>
    <xf numFmtId="166" fontId="13" fillId="0" borderId="0" xfId="0" applyNumberFormat="1" applyFont="1" applyAlignment="1">
      <alignment horizontal="center" vertical="center"/>
    </xf>
    <xf numFmtId="166" fontId="13" fillId="2" borderId="0" xfId="0" applyNumberFormat="1" applyFont="1" applyFill="1" applyAlignment="1">
      <alignment vertical="center"/>
    </xf>
    <xf numFmtId="170" fontId="13" fillId="25" borderId="0" xfId="1" applyNumberFormat="1" applyFont="1" applyFill="1" applyAlignment="1">
      <alignment vertical="center"/>
    </xf>
    <xf numFmtId="0" fontId="41" fillId="7" borderId="3" xfId="0" applyFont="1" applyFill="1" applyBorder="1" applyAlignment="1" applyProtection="1">
      <alignment horizontal="center" vertical="center"/>
      <protection locked="0"/>
    </xf>
    <xf numFmtId="0" fontId="41" fillId="7" borderId="3" xfId="0" applyFont="1" applyFill="1" applyBorder="1" applyAlignment="1" applyProtection="1">
      <alignment vertical="center" wrapText="1"/>
      <protection locked="0"/>
    </xf>
    <xf numFmtId="166" fontId="41" fillId="7" borderId="3" xfId="1" applyNumberFormat="1" applyFont="1" applyFill="1" applyBorder="1" applyAlignment="1">
      <alignment horizontal="right" vertical="center"/>
    </xf>
    <xf numFmtId="166" fontId="41" fillId="7" borderId="3" xfId="3" applyNumberFormat="1" applyFont="1" applyFill="1" applyBorder="1" applyAlignment="1">
      <alignment horizontal="right" vertical="center"/>
    </xf>
    <xf numFmtId="166" fontId="13" fillId="7" borderId="3" xfId="1" applyNumberFormat="1" applyFont="1" applyFill="1" applyBorder="1" applyAlignment="1">
      <alignment vertical="center"/>
    </xf>
    <xf numFmtId="166" fontId="41" fillId="6" borderId="3" xfId="3" applyNumberFormat="1" applyFont="1" applyFill="1" applyBorder="1" applyAlignment="1">
      <alignment horizontal="right" vertical="center"/>
    </xf>
    <xf numFmtId="166" fontId="44" fillId="0" borderId="0" xfId="0" applyNumberFormat="1" applyFont="1" applyAlignment="1">
      <alignment horizontal="center" vertical="center"/>
    </xf>
    <xf numFmtId="0" fontId="41" fillId="2" borderId="3" xfId="0" applyFont="1" applyFill="1" applyBorder="1" applyAlignment="1" applyProtection="1">
      <alignment horizontal="left" vertical="center"/>
      <protection locked="0"/>
    </xf>
    <xf numFmtId="165" fontId="41" fillId="2" borderId="3" xfId="6" applyNumberFormat="1" applyFont="1" applyFill="1" applyBorder="1" applyAlignment="1">
      <alignment horizontal="right" vertical="center" wrapText="1"/>
    </xf>
    <xf numFmtId="0" fontId="13" fillId="2" borderId="3" xfId="0" applyFont="1" applyFill="1" applyBorder="1" applyAlignment="1" applyProtection="1">
      <alignment horizontal="left" vertical="center"/>
      <protection locked="0"/>
    </xf>
    <xf numFmtId="166" fontId="41" fillId="12" borderId="3" xfId="3" applyNumberFormat="1" applyFont="1" applyFill="1" applyBorder="1" applyAlignment="1">
      <alignment horizontal="right" vertical="center"/>
    </xf>
    <xf numFmtId="171" fontId="44" fillId="0" borderId="0" xfId="0" applyNumberFormat="1" applyFont="1" applyAlignment="1">
      <alignment horizontal="center" vertical="center"/>
    </xf>
    <xf numFmtId="166" fontId="44" fillId="0" borderId="0" xfId="1" applyNumberFormat="1" applyFont="1" applyFill="1" applyBorder="1" applyAlignment="1">
      <alignment horizontal="center" vertical="center" wrapText="1" readingOrder="1"/>
    </xf>
    <xf numFmtId="0" fontId="46" fillId="2" borderId="3" xfId="0" applyFont="1" applyFill="1" applyBorder="1" applyAlignment="1" applyProtection="1">
      <alignment vertical="center" wrapText="1"/>
      <protection locked="0"/>
    </xf>
    <xf numFmtId="0" fontId="13" fillId="12" borderId="3" xfId="0" applyFont="1" applyFill="1" applyBorder="1" applyAlignment="1" applyProtection="1">
      <alignment vertical="center" wrapText="1"/>
      <protection locked="0"/>
    </xf>
    <xf numFmtId="0" fontId="13" fillId="12" borderId="3" xfId="0" applyFont="1" applyFill="1" applyBorder="1" applyAlignment="1">
      <alignment horizontal="center" vertical="center"/>
    </xf>
    <xf numFmtId="166" fontId="13" fillId="12" borderId="3" xfId="1" applyNumberFormat="1" applyFont="1" applyFill="1" applyBorder="1" applyAlignment="1">
      <alignment vertical="center"/>
    </xf>
    <xf numFmtId="166" fontId="40" fillId="12" borderId="3" xfId="1" applyNumberFormat="1" applyFont="1" applyFill="1" applyBorder="1" applyAlignment="1">
      <alignment horizontal="center" vertical="center"/>
    </xf>
    <xf numFmtId="0" fontId="44" fillId="12" borderId="0" xfId="0" applyFont="1" applyFill="1" applyAlignment="1">
      <alignment horizontal="center" vertical="center"/>
    </xf>
    <xf numFmtId="166" fontId="44" fillId="12" borderId="0" xfId="0" applyNumberFormat="1" applyFont="1" applyFill="1" applyAlignment="1">
      <alignment horizontal="center" vertical="center"/>
    </xf>
    <xf numFmtId="0" fontId="44" fillId="12" borderId="0" xfId="0" applyFont="1" applyFill="1" applyAlignment="1">
      <alignment vertical="center"/>
    </xf>
    <xf numFmtId="0" fontId="44" fillId="12" borderId="3" xfId="0" applyFont="1" applyFill="1" applyBorder="1" applyAlignment="1">
      <alignment vertical="center"/>
    </xf>
    <xf numFmtId="166" fontId="40" fillId="12" borderId="3" xfId="1" applyNumberFormat="1" applyFont="1" applyFill="1" applyBorder="1" applyAlignment="1">
      <alignment vertical="center"/>
    </xf>
    <xf numFmtId="0" fontId="44" fillId="0" borderId="0" xfId="0" applyFont="1" applyAlignment="1">
      <alignment horizontal="center" vertical="center" wrapText="1" readingOrder="1"/>
    </xf>
    <xf numFmtId="166" fontId="41" fillId="8" borderId="3" xfId="3" applyNumberFormat="1" applyFont="1" applyFill="1" applyBorder="1" applyAlignment="1">
      <alignment horizontal="right" vertical="center"/>
    </xf>
    <xf numFmtId="0" fontId="13" fillId="0" borderId="3" xfId="0" applyFont="1" applyBorder="1" applyAlignment="1">
      <alignment horizontal="center" vertical="center" wrapText="1"/>
    </xf>
    <xf numFmtId="166" fontId="13" fillId="0" borderId="3" xfId="1" applyNumberFormat="1" applyFont="1" applyFill="1" applyBorder="1" applyAlignment="1">
      <alignment horizontal="right" vertical="center"/>
    </xf>
    <xf numFmtId="166" fontId="13" fillId="0" borderId="3" xfId="3" applyNumberFormat="1" applyFont="1" applyFill="1" applyBorder="1" applyAlignment="1">
      <alignment horizontal="right" vertical="center"/>
    </xf>
    <xf numFmtId="171" fontId="44" fillId="0" borderId="3" xfId="0" applyNumberFormat="1" applyFont="1" applyBorder="1" applyAlignment="1">
      <alignment horizontal="center" vertical="center"/>
    </xf>
    <xf numFmtId="166" fontId="44" fillId="0" borderId="0" xfId="0" applyNumberFormat="1" applyFont="1" applyAlignment="1">
      <alignment vertical="center"/>
    </xf>
    <xf numFmtId="43" fontId="13" fillId="3" borderId="3" xfId="1" applyFont="1" applyFill="1" applyBorder="1" applyAlignment="1">
      <alignment horizontal="right" vertical="center"/>
    </xf>
    <xf numFmtId="43" fontId="35" fillId="3" borderId="3" xfId="1" applyFont="1" applyFill="1" applyBorder="1" applyAlignment="1">
      <alignment vertical="center"/>
    </xf>
    <xf numFmtId="166" fontId="6" fillId="26" borderId="3" xfId="1" applyNumberFormat="1" applyFont="1" applyFill="1" applyBorder="1" applyAlignment="1">
      <alignment horizontal="left" vertical="center"/>
    </xf>
    <xf numFmtId="167" fontId="6" fillId="2" borderId="3" xfId="1" applyNumberFormat="1" applyFont="1" applyFill="1" applyBorder="1" applyAlignment="1">
      <alignment horizontal="left" vertical="center" wrapText="1" readingOrder="1"/>
    </xf>
    <xf numFmtId="167" fontId="6" fillId="3" borderId="3" xfId="1" applyNumberFormat="1" applyFont="1" applyFill="1" applyBorder="1" applyAlignment="1">
      <alignment horizontal="left" vertical="center" wrapText="1" readingOrder="1"/>
    </xf>
    <xf numFmtId="167" fontId="5" fillId="0" borderId="3" xfId="1" quotePrefix="1" applyNumberFormat="1" applyFont="1" applyFill="1" applyBorder="1" applyAlignment="1">
      <alignment horizontal="center" vertical="center" readingOrder="1"/>
    </xf>
    <xf numFmtId="167" fontId="5" fillId="0" borderId="3" xfId="1" applyNumberFormat="1" applyFont="1" applyFill="1" applyBorder="1" applyAlignment="1">
      <alignment horizontal="left" vertical="center" wrapText="1" readingOrder="1"/>
    </xf>
    <xf numFmtId="167" fontId="6" fillId="3" borderId="3" xfId="1" quotePrefix="1" applyNumberFormat="1" applyFont="1" applyFill="1" applyBorder="1" applyAlignment="1">
      <alignment horizontal="center" vertical="center" readingOrder="1"/>
    </xf>
    <xf numFmtId="167" fontId="5" fillId="2" borderId="3" xfId="1" applyNumberFormat="1" applyFont="1" applyFill="1" applyBorder="1" applyAlignment="1">
      <alignment horizontal="left" vertical="center" wrapText="1" readingOrder="1"/>
    </xf>
    <xf numFmtId="167" fontId="5" fillId="2" borderId="3" xfId="1" quotePrefix="1" applyNumberFormat="1" applyFont="1" applyFill="1" applyBorder="1" applyAlignment="1">
      <alignment horizontal="center" vertical="center" readingOrder="1"/>
    </xf>
    <xf numFmtId="168" fontId="6" fillId="2" borderId="3" xfId="2" applyNumberFormat="1" applyFont="1" applyFill="1" applyBorder="1" applyAlignment="1">
      <alignment horizontal="left" vertical="center" wrapText="1" readingOrder="1"/>
    </xf>
    <xf numFmtId="168" fontId="10" fillId="2" borderId="3" xfId="2" applyNumberFormat="1" applyFont="1" applyFill="1" applyBorder="1" applyAlignment="1">
      <alignment horizontal="left" vertical="center" wrapText="1" readingOrder="1"/>
    </xf>
    <xf numFmtId="168" fontId="5" fillId="0" borderId="3" xfId="2" applyNumberFormat="1" applyFont="1" applyFill="1" applyBorder="1" applyAlignment="1">
      <alignment horizontal="left" vertical="center" wrapText="1" readingOrder="1"/>
    </xf>
    <xf numFmtId="168" fontId="6" fillId="2" borderId="3" xfId="2" applyNumberFormat="1" applyFont="1" applyFill="1" applyBorder="1" applyAlignment="1">
      <alignment horizontal="center" vertical="center" wrapText="1" readingOrder="1"/>
    </xf>
    <xf numFmtId="168" fontId="5" fillId="2" borderId="3" xfId="2" applyNumberFormat="1" applyFont="1" applyFill="1" applyBorder="1" applyAlignment="1">
      <alignment horizontal="left" vertical="center" wrapText="1" readingOrder="1"/>
    </xf>
    <xf numFmtId="168" fontId="6" fillId="0" borderId="3" xfId="2" applyNumberFormat="1" applyFont="1" applyFill="1" applyBorder="1" applyAlignment="1">
      <alignment horizontal="center" vertical="center" wrapText="1" readingOrder="1"/>
    </xf>
    <xf numFmtId="9" fontId="10" fillId="2" borderId="3" xfId="1" applyNumberFormat="1" applyFont="1" applyFill="1" applyBorder="1" applyAlignment="1">
      <alignment horizontal="left" vertical="center" wrapText="1" readingOrder="1"/>
    </xf>
    <xf numFmtId="3" fontId="18" fillId="0" borderId="3" xfId="0" applyNumberFormat="1" applyFont="1" applyBorder="1" applyAlignment="1">
      <alignment vertical="center"/>
    </xf>
    <xf numFmtId="166" fontId="5" fillId="0" borderId="3" xfId="1" applyNumberFormat="1" applyFont="1" applyFill="1" applyBorder="1" applyAlignment="1">
      <alignment horizontal="center" vertical="center"/>
    </xf>
    <xf numFmtId="3" fontId="18" fillId="0" borderId="3" xfId="0" applyNumberFormat="1" applyFont="1" applyBorder="1" applyAlignment="1">
      <alignment vertical="center" wrapText="1"/>
    </xf>
    <xf numFmtId="166" fontId="5" fillId="2" borderId="3" xfId="1" applyNumberFormat="1" applyFont="1" applyFill="1" applyBorder="1" applyAlignment="1">
      <alignment horizontal="center" vertical="center"/>
    </xf>
    <xf numFmtId="43" fontId="5" fillId="0" borderId="3" xfId="1" applyFont="1" applyBorder="1" applyAlignment="1">
      <alignment horizontal="center" vertical="center" wrapText="1"/>
    </xf>
    <xf numFmtId="166" fontId="5" fillId="0" borderId="3" xfId="1" applyNumberFormat="1" applyFont="1" applyBorder="1" applyAlignment="1">
      <alignment horizontal="center" vertical="center" wrapText="1"/>
    </xf>
    <xf numFmtId="166" fontId="18" fillId="2" borderId="3" xfId="1" applyNumberFormat="1" applyFont="1" applyFill="1" applyBorder="1" applyAlignment="1">
      <alignment vertical="center"/>
    </xf>
    <xf numFmtId="0" fontId="41" fillId="0" borderId="3" xfId="0" applyFont="1" applyFill="1" applyBorder="1" applyAlignment="1" applyProtection="1">
      <alignment horizontal="center" vertical="center"/>
      <protection locked="0"/>
    </xf>
    <xf numFmtId="0" fontId="41" fillId="0" borderId="3" xfId="0" applyFont="1" applyFill="1" applyBorder="1" applyAlignment="1" applyProtection="1">
      <alignment vertical="center" wrapText="1"/>
      <protection locked="0"/>
    </xf>
    <xf numFmtId="166" fontId="41" fillId="0" borderId="3" xfId="3" applyNumberFormat="1" applyFont="1" applyFill="1" applyBorder="1" applyAlignment="1">
      <alignment horizontal="center" vertical="center"/>
    </xf>
    <xf numFmtId="166" fontId="41" fillId="0" borderId="3" xfId="3" applyNumberFormat="1" applyFont="1" applyFill="1" applyBorder="1" applyAlignment="1">
      <alignment horizontal="right" vertical="center"/>
    </xf>
    <xf numFmtId="0" fontId="41" fillId="0" borderId="3" xfId="0" applyFont="1" applyFill="1" applyBorder="1" applyAlignment="1">
      <alignment horizontal="center" vertical="center"/>
    </xf>
    <xf numFmtId="0" fontId="44" fillId="0" borderId="0" xfId="0" applyFont="1" applyFill="1" applyAlignment="1">
      <alignment horizontal="center" vertical="center"/>
    </xf>
    <xf numFmtId="0" fontId="45" fillId="0" borderId="0" xfId="0" applyFont="1" applyFill="1" applyAlignment="1">
      <alignment horizontal="center" vertical="center"/>
    </xf>
    <xf numFmtId="0" fontId="45" fillId="0" borderId="0" xfId="0" applyFont="1" applyFill="1" applyAlignment="1">
      <alignment vertical="center"/>
    </xf>
    <xf numFmtId="0" fontId="41" fillId="0" borderId="3" xfId="0" applyFont="1" applyFill="1" applyBorder="1" applyAlignment="1">
      <alignment vertical="center" wrapText="1"/>
    </xf>
    <xf numFmtId="0" fontId="41" fillId="0" borderId="3" xfId="0" applyFont="1" applyFill="1" applyBorder="1" applyAlignment="1">
      <alignment vertical="center"/>
    </xf>
    <xf numFmtId="166" fontId="41" fillId="0" borderId="3" xfId="1" applyNumberFormat="1" applyFont="1" applyFill="1" applyBorder="1" applyAlignment="1">
      <alignment horizontal="right" vertical="center" wrapText="1"/>
    </xf>
    <xf numFmtId="43" fontId="39" fillId="0" borderId="3" xfId="0" applyNumberFormat="1" applyFont="1" applyFill="1" applyBorder="1" applyAlignment="1">
      <alignment horizontal="left" vertical="center" wrapText="1"/>
    </xf>
    <xf numFmtId="166" fontId="41" fillId="0" borderId="3" xfId="1" applyNumberFormat="1" applyFont="1" applyFill="1" applyBorder="1" applyAlignment="1">
      <alignment horizontal="center" vertical="center"/>
    </xf>
    <xf numFmtId="0" fontId="13" fillId="0" borderId="3" xfId="0" applyFont="1" applyFill="1" applyBorder="1" applyAlignment="1" applyProtection="1">
      <alignment horizontal="center" vertical="center"/>
      <protection locked="0"/>
    </xf>
    <xf numFmtId="0" fontId="13" fillId="0" borderId="3" xfId="0" applyFont="1" applyFill="1" applyBorder="1" applyAlignment="1" applyProtection="1">
      <alignment vertical="center"/>
      <protection locked="0"/>
    </xf>
    <xf numFmtId="0" fontId="13" fillId="0" borderId="3" xfId="0" applyFont="1" applyFill="1" applyBorder="1" applyAlignment="1">
      <alignment horizontal="center" vertical="center"/>
    </xf>
    <xf numFmtId="166" fontId="44" fillId="0" borderId="0" xfId="0" applyNumberFormat="1" applyFont="1" applyFill="1" applyAlignment="1">
      <alignment horizontal="center" vertical="center"/>
    </xf>
    <xf numFmtId="0" fontId="44" fillId="0" borderId="0" xfId="0" applyFont="1" applyFill="1" applyAlignment="1">
      <alignment vertical="center"/>
    </xf>
    <xf numFmtId="0" fontId="13" fillId="0" borderId="3" xfId="0" applyFont="1" applyFill="1" applyBorder="1" applyAlignment="1" applyProtection="1">
      <alignment horizontal="center" vertical="center" wrapText="1"/>
      <protection locked="0"/>
    </xf>
    <xf numFmtId="0" fontId="13" fillId="0" borderId="3" xfId="0" applyFont="1" applyFill="1" applyBorder="1" applyAlignment="1">
      <alignment horizontal="left" vertical="center" wrapText="1"/>
    </xf>
    <xf numFmtId="166" fontId="41" fillId="0" borderId="3" xfId="0" applyNumberFormat="1" applyFont="1" applyFill="1" applyBorder="1" applyAlignment="1">
      <alignment vertical="center"/>
    </xf>
    <xf numFmtId="43" fontId="45" fillId="0" borderId="0" xfId="0" applyNumberFormat="1" applyFont="1" applyFill="1" applyAlignment="1">
      <alignment horizontal="center" vertical="center"/>
    </xf>
    <xf numFmtId="43" fontId="45" fillId="0" borderId="0" xfId="0" applyNumberFormat="1" applyFont="1" applyFill="1" applyAlignment="1">
      <alignment vertical="center"/>
    </xf>
    <xf numFmtId="0" fontId="13" fillId="0" borderId="3" xfId="0" applyFont="1" applyFill="1" applyBorder="1" applyAlignment="1" applyProtection="1">
      <alignment vertical="center" wrapText="1"/>
      <protection locked="0"/>
    </xf>
    <xf numFmtId="0" fontId="41" fillId="0" borderId="3" xfId="0" applyFont="1" applyFill="1" applyBorder="1" applyAlignment="1" applyProtection="1">
      <alignment vertical="center"/>
      <protection locked="0"/>
    </xf>
    <xf numFmtId="0" fontId="41" fillId="0" borderId="3" xfId="0" applyNumberFormat="1" applyFont="1" applyFill="1" applyBorder="1" applyAlignment="1" applyProtection="1">
      <alignment horizontal="center" vertical="center"/>
      <protection locked="0"/>
    </xf>
    <xf numFmtId="0" fontId="28" fillId="0" borderId="3" xfId="0" applyFont="1" applyFill="1" applyBorder="1" applyAlignment="1">
      <alignment horizontal="left" vertical="center" wrapText="1"/>
    </xf>
    <xf numFmtId="166" fontId="28" fillId="0" borderId="3" xfId="1" applyNumberFormat="1" applyFont="1" applyFill="1" applyBorder="1" applyAlignment="1">
      <alignment horizontal="center" vertical="center" wrapText="1"/>
    </xf>
    <xf numFmtId="0" fontId="44" fillId="0" borderId="0" xfId="0" applyFont="1" applyFill="1" applyAlignment="1">
      <alignment horizontal="center" vertical="center" readingOrder="1"/>
    </xf>
    <xf numFmtId="0" fontId="13" fillId="0" borderId="3" xfId="242" applyFont="1" applyFill="1" applyBorder="1" applyAlignment="1">
      <alignment vertical="center" wrapText="1"/>
    </xf>
    <xf numFmtId="166" fontId="44" fillId="0" borderId="0" xfId="0" applyNumberFormat="1" applyFont="1" applyFill="1" applyAlignment="1">
      <alignment vertical="center"/>
    </xf>
    <xf numFmtId="0" fontId="41" fillId="0" borderId="3" xfId="0" applyFont="1" applyFill="1" applyBorder="1" applyAlignment="1" applyProtection="1">
      <alignment horizontal="center" vertical="center" wrapText="1"/>
      <protection locked="0"/>
    </xf>
    <xf numFmtId="0" fontId="41" fillId="0" borderId="3" xfId="34" applyFont="1" applyFill="1" applyBorder="1" applyAlignment="1" applyProtection="1">
      <alignment horizontal="left" vertical="center" wrapText="1"/>
    </xf>
    <xf numFmtId="0" fontId="41" fillId="20" borderId="3" xfId="0" applyFont="1" applyFill="1" applyBorder="1" applyAlignment="1" applyProtection="1">
      <alignment horizontal="center" vertical="center"/>
      <protection locked="0"/>
    </xf>
    <xf numFmtId="0" fontId="41" fillId="20" borderId="3" xfId="0" applyFont="1" applyFill="1" applyBorder="1" applyAlignment="1" applyProtection="1">
      <alignment vertical="center" wrapText="1"/>
      <protection locked="0"/>
    </xf>
    <xf numFmtId="0" fontId="6" fillId="18" borderId="3" xfId="0" applyFont="1" applyFill="1" applyBorder="1" applyAlignment="1" applyProtection="1">
      <alignment horizontal="center" vertical="center"/>
      <protection locked="0"/>
    </xf>
    <xf numFmtId="0" fontId="6" fillId="18" borderId="3" xfId="0" applyFont="1" applyFill="1" applyBorder="1" applyAlignment="1" applyProtection="1">
      <alignment vertical="center" wrapText="1"/>
      <protection locked="0"/>
    </xf>
    <xf numFmtId="0" fontId="6" fillId="18" borderId="3" xfId="0" applyFont="1" applyFill="1" applyBorder="1" applyAlignment="1">
      <alignment horizontal="center" vertical="center" wrapText="1"/>
    </xf>
    <xf numFmtId="166" fontId="6" fillId="18" borderId="3" xfId="1" applyNumberFormat="1" applyFont="1" applyFill="1" applyBorder="1" applyAlignment="1">
      <alignment vertical="center"/>
    </xf>
    <xf numFmtId="166" fontId="6" fillId="18" borderId="3" xfId="1" applyNumberFormat="1" applyFont="1" applyFill="1" applyBorder="1" applyAlignment="1">
      <alignment horizontal="right" vertical="center"/>
    </xf>
    <xf numFmtId="166" fontId="6" fillId="18" borderId="3" xfId="0" applyNumberFormat="1" applyFont="1" applyFill="1" applyBorder="1" applyAlignment="1">
      <alignment vertical="center"/>
    </xf>
    <xf numFmtId="0" fontId="28" fillId="0" borderId="0" xfId="0" applyFont="1" applyAlignment="1">
      <alignment horizontal="center" vertical="center"/>
    </xf>
    <xf numFmtId="0" fontId="29" fillId="0" borderId="0" xfId="0" applyFont="1" applyAlignment="1">
      <alignment horizontal="center" vertical="center"/>
    </xf>
    <xf numFmtId="0" fontId="29" fillId="2" borderId="0" xfId="0" applyFont="1" applyFill="1" applyAlignment="1">
      <alignment vertical="center"/>
    </xf>
    <xf numFmtId="0" fontId="29" fillId="25" borderId="0" xfId="0" applyFont="1" applyFill="1" applyAlignment="1">
      <alignment vertical="center"/>
    </xf>
    <xf numFmtId="0" fontId="29" fillId="0" borderId="0" xfId="0" applyFont="1" applyAlignment="1">
      <alignment vertical="center"/>
    </xf>
    <xf numFmtId="0" fontId="6" fillId="0" borderId="3" xfId="0" applyFont="1" applyBorder="1" applyAlignment="1" applyProtection="1">
      <alignment horizontal="center" vertical="center"/>
      <protection locked="0"/>
    </xf>
    <xf numFmtId="0" fontId="6" fillId="0" borderId="3" xfId="0" applyFont="1" applyBorder="1" applyAlignment="1" applyProtection="1">
      <alignment vertical="center" wrapText="1"/>
      <protection locked="0"/>
    </xf>
    <xf numFmtId="166" fontId="6" fillId="2" borderId="3" xfId="1" applyNumberFormat="1" applyFont="1" applyFill="1" applyBorder="1" applyAlignment="1">
      <alignment horizontal="center" vertical="center"/>
    </xf>
    <xf numFmtId="0" fontId="6" fillId="0" borderId="3" xfId="0" applyFont="1" applyBorder="1" applyAlignment="1">
      <alignment horizontal="center" vertical="center"/>
    </xf>
    <xf numFmtId="0" fontId="6" fillId="2" borderId="3" xfId="0" applyFont="1" applyFill="1" applyBorder="1" applyAlignment="1" applyProtection="1">
      <alignment horizontal="center" vertical="center"/>
      <protection locked="0"/>
    </xf>
    <xf numFmtId="0" fontId="6" fillId="2" borderId="3" xfId="0" applyFont="1" applyFill="1" applyBorder="1" applyAlignment="1">
      <alignment vertical="center" wrapText="1"/>
    </xf>
    <xf numFmtId="0" fontId="28" fillId="2" borderId="0" xfId="0" applyFont="1" applyFill="1" applyAlignment="1">
      <alignment horizontal="center" vertical="center"/>
    </xf>
    <xf numFmtId="0" fontId="28" fillId="2" borderId="0" xfId="0" applyFont="1" applyFill="1" applyAlignment="1">
      <alignment vertical="center"/>
    </xf>
    <xf numFmtId="0" fontId="28" fillId="25" borderId="0" xfId="0" applyFont="1" applyFill="1" applyAlignment="1">
      <alignment vertical="center"/>
    </xf>
    <xf numFmtId="0" fontId="6" fillId="2" borderId="10" xfId="0" applyFont="1" applyFill="1" applyBorder="1" applyAlignment="1">
      <alignment horizontal="left" vertical="center" wrapText="1"/>
    </xf>
    <xf numFmtId="0" fontId="5" fillId="2" borderId="10" xfId="0" applyFont="1" applyFill="1" applyBorder="1" applyAlignment="1">
      <alignment horizontal="left" vertical="center" wrapText="1"/>
    </xf>
    <xf numFmtId="166" fontId="5" fillId="0" borderId="3" xfId="261" applyNumberFormat="1" applyFont="1" applyFill="1" applyBorder="1" applyAlignment="1">
      <alignment vertical="center" wrapText="1"/>
    </xf>
    <xf numFmtId="43" fontId="5" fillId="2" borderId="3" xfId="1" applyFont="1" applyFill="1" applyBorder="1" applyAlignment="1">
      <alignment vertical="center"/>
    </xf>
    <xf numFmtId="0" fontId="5" fillId="0" borderId="3" xfId="260" applyFont="1" applyBorder="1"/>
    <xf numFmtId="166" fontId="5" fillId="0" borderId="3" xfId="1" applyNumberFormat="1" applyFont="1" applyBorder="1" applyAlignment="1">
      <alignment vertical="center"/>
    </xf>
    <xf numFmtId="166" fontId="5" fillId="2" borderId="3" xfId="261" applyNumberFormat="1" applyFont="1" applyFill="1" applyBorder="1" applyAlignment="1">
      <alignment vertical="center" wrapText="1"/>
    </xf>
    <xf numFmtId="176" fontId="40" fillId="3" borderId="3" xfId="1" applyNumberFormat="1" applyFont="1" applyFill="1" applyBorder="1" applyAlignment="1">
      <alignment vertical="center"/>
    </xf>
    <xf numFmtId="166" fontId="40" fillId="3" borderId="3" xfId="1" applyNumberFormat="1" applyFont="1" applyFill="1" applyBorder="1" applyAlignment="1">
      <alignment vertical="center"/>
    </xf>
    <xf numFmtId="2" fontId="5" fillId="0" borderId="3" xfId="0" applyNumberFormat="1" applyFont="1" applyBorder="1" applyAlignment="1">
      <alignment vertical="center" wrapText="1"/>
    </xf>
    <xf numFmtId="167" fontId="5" fillId="2" borderId="3" xfId="1" applyNumberFormat="1" applyFont="1" applyFill="1" applyBorder="1" applyAlignment="1">
      <alignment vertical="center"/>
    </xf>
    <xf numFmtId="176" fontId="5" fillId="2" borderId="3" xfId="1" applyNumberFormat="1" applyFont="1" applyFill="1" applyBorder="1" applyAlignment="1">
      <alignment vertical="center"/>
    </xf>
    <xf numFmtId="167" fontId="5" fillId="0" borderId="3" xfId="1" applyNumberFormat="1" applyFont="1" applyFill="1" applyBorder="1" applyAlignment="1">
      <alignment vertical="center"/>
    </xf>
    <xf numFmtId="43" fontId="5" fillId="0" borderId="3" xfId="5" applyFont="1" applyFill="1" applyBorder="1" applyAlignment="1">
      <alignment vertical="center" wrapText="1"/>
    </xf>
    <xf numFmtId="166" fontId="5" fillId="0" borderId="3" xfId="5" applyNumberFormat="1" applyFont="1" applyBorder="1" applyAlignment="1">
      <alignment vertical="center"/>
    </xf>
    <xf numFmtId="0" fontId="6" fillId="2" borderId="3" xfId="0" applyFont="1" applyFill="1" applyBorder="1" applyAlignment="1" applyProtection="1">
      <alignment vertical="center" wrapText="1"/>
      <protection locked="0"/>
    </xf>
    <xf numFmtId="0" fontId="29" fillId="2" borderId="0" xfId="0" applyFont="1" applyFill="1" applyAlignment="1">
      <alignment horizontal="center" vertical="center"/>
    </xf>
    <xf numFmtId="0" fontId="6" fillId="2" borderId="10" xfId="0" applyFont="1" applyFill="1" applyBorder="1" applyAlignment="1" applyProtection="1">
      <alignment vertical="center" wrapText="1"/>
      <protection locked="0"/>
    </xf>
    <xf numFmtId="0" fontId="28" fillId="25" borderId="0" xfId="0" applyFont="1" applyFill="1" applyAlignment="1">
      <alignment horizontal="center" vertical="center"/>
    </xf>
    <xf numFmtId="0" fontId="5" fillId="2" borderId="3" xfId="0" applyFont="1" applyFill="1" applyBorder="1" applyAlignment="1" applyProtection="1">
      <alignment vertical="center" wrapText="1"/>
      <protection locked="0"/>
    </xf>
    <xf numFmtId="170" fontId="5" fillId="3" borderId="3" xfId="1" applyNumberFormat="1" applyFont="1" applyFill="1" applyBorder="1" applyAlignment="1">
      <alignment vertical="center"/>
    </xf>
    <xf numFmtId="2" fontId="5" fillId="0" borderId="3" xfId="260" applyNumberFormat="1" applyFont="1" applyBorder="1" applyAlignment="1">
      <alignment vertical="center" wrapText="1"/>
    </xf>
    <xf numFmtId="43" fontId="5" fillId="3" borderId="3" xfId="1" applyFont="1" applyFill="1" applyBorder="1" applyAlignment="1">
      <alignment vertical="center"/>
    </xf>
    <xf numFmtId="180" fontId="5" fillId="3" borderId="3" xfId="1" applyNumberFormat="1" applyFont="1" applyFill="1" applyBorder="1" applyAlignment="1">
      <alignment vertical="center"/>
    </xf>
    <xf numFmtId="167" fontId="5" fillId="3" borderId="3" xfId="1" applyNumberFormat="1" applyFont="1" applyFill="1" applyBorder="1" applyAlignment="1">
      <alignment vertical="center"/>
    </xf>
    <xf numFmtId="170" fontId="5" fillId="2" borderId="3" xfId="261" applyNumberFormat="1" applyFont="1" applyFill="1" applyBorder="1" applyAlignment="1">
      <alignment vertical="center" wrapText="1"/>
    </xf>
    <xf numFmtId="170" fontId="5" fillId="0" borderId="3" xfId="261" applyNumberFormat="1" applyFont="1" applyFill="1" applyBorder="1" applyAlignment="1">
      <alignment vertical="center" wrapText="1"/>
    </xf>
    <xf numFmtId="166" fontId="5" fillId="3" borderId="3" xfId="1" applyNumberFormat="1" applyFont="1" applyFill="1" applyBorder="1" applyAlignment="1">
      <alignment horizontal="center" vertical="center"/>
    </xf>
    <xf numFmtId="0" fontId="28" fillId="3" borderId="0" xfId="0" applyFont="1" applyFill="1" applyAlignment="1">
      <alignment horizontal="center" vertical="center"/>
    </xf>
    <xf numFmtId="0" fontId="28" fillId="3" borderId="0" xfId="0" applyFont="1" applyFill="1" applyAlignment="1">
      <alignment vertical="center"/>
    </xf>
    <xf numFmtId="2" fontId="18" fillId="0" borderId="3" xfId="282" applyNumberFormat="1" applyFont="1" applyBorder="1" applyAlignment="1">
      <alignment horizontal="left" vertical="center" wrapText="1"/>
    </xf>
    <xf numFmtId="0" fontId="6" fillId="2" borderId="3" xfId="0" applyFont="1" applyFill="1" applyBorder="1" applyAlignment="1">
      <alignment horizontal="center" vertical="center" wrapText="1"/>
    </xf>
    <xf numFmtId="166" fontId="6" fillId="2" borderId="3" xfId="1" applyNumberFormat="1" applyFont="1" applyFill="1" applyBorder="1" applyAlignment="1">
      <alignment horizontal="right" vertical="center"/>
    </xf>
    <xf numFmtId="0" fontId="28" fillId="2" borderId="3" xfId="0" applyFont="1" applyFill="1" applyBorder="1" applyAlignment="1">
      <alignment horizontal="center" vertical="center"/>
    </xf>
    <xf numFmtId="0" fontId="29" fillId="2" borderId="3" xfId="0" applyFont="1" applyFill="1" applyBorder="1" applyAlignment="1">
      <alignment horizontal="center" vertical="center"/>
    </xf>
    <xf numFmtId="43" fontId="29" fillId="2" borderId="0" xfId="0" applyNumberFormat="1" applyFont="1" applyFill="1" applyAlignment="1">
      <alignment horizontal="center" vertical="center"/>
    </xf>
    <xf numFmtId="166" fontId="5" fillId="3" borderId="3" xfId="1" applyNumberFormat="1" applyFont="1" applyFill="1" applyBorder="1" applyAlignment="1">
      <alignment horizontal="right" vertical="center"/>
    </xf>
    <xf numFmtId="0" fontId="47" fillId="0" borderId="3" xfId="0" applyFont="1" applyBorder="1" applyAlignment="1">
      <alignment vertical="center" wrapText="1"/>
    </xf>
    <xf numFmtId="0" fontId="47" fillId="0" borderId="3" xfId="0" quotePrefix="1" applyFont="1" applyBorder="1" applyAlignment="1">
      <alignment horizontal="left" vertical="center" wrapText="1"/>
    </xf>
    <xf numFmtId="0" fontId="48" fillId="0" borderId="3" xfId="0" applyFont="1" applyBorder="1" applyAlignment="1">
      <alignment vertical="center" wrapText="1"/>
    </xf>
    <xf numFmtId="0" fontId="5" fillId="2" borderId="3" xfId="0" applyFont="1" applyFill="1" applyBorder="1" applyAlignment="1">
      <alignment horizontal="center" vertical="center" wrapText="1"/>
    </xf>
    <xf numFmtId="49" fontId="39" fillId="2" borderId="8" xfId="1" applyNumberFormat="1" applyFont="1" applyFill="1" applyBorder="1" applyAlignment="1">
      <alignment horizontal="center" vertical="center"/>
    </xf>
    <xf numFmtId="0" fontId="47" fillId="0" borderId="3" xfId="0" applyFont="1" applyBorder="1" applyAlignment="1">
      <alignment horizontal="right" vertical="center"/>
    </xf>
    <xf numFmtId="174" fontId="48" fillId="0" borderId="3" xfId="0" applyNumberFormat="1" applyFont="1" applyBorder="1" applyAlignment="1">
      <alignment horizontal="center" vertical="center" wrapText="1"/>
    </xf>
    <xf numFmtId="0" fontId="48" fillId="0" borderId="3" xfId="0" applyFont="1" applyBorder="1" applyAlignment="1">
      <alignment horizontal="right" vertical="center"/>
    </xf>
    <xf numFmtId="0" fontId="48" fillId="0" borderId="3" xfId="243" applyFont="1" applyBorder="1" applyAlignment="1">
      <alignment horizontal="right" vertical="center"/>
    </xf>
    <xf numFmtId="0" fontId="47" fillId="0" borderId="3" xfId="243" applyFont="1" applyBorder="1" applyAlignment="1">
      <alignment horizontal="right" vertical="center"/>
    </xf>
    <xf numFmtId="0" fontId="6" fillId="27" borderId="3" xfId="0" applyFont="1" applyFill="1" applyBorder="1" applyAlignment="1" applyProtection="1">
      <alignment horizontal="center" vertical="center"/>
      <protection locked="0"/>
    </xf>
    <xf numFmtId="0" fontId="6" fillId="27" borderId="3" xfId="0" applyFont="1" applyFill="1" applyBorder="1" applyAlignment="1" applyProtection="1">
      <alignment vertical="center" wrapText="1"/>
      <protection locked="0"/>
    </xf>
    <xf numFmtId="166" fontId="6" fillId="27" borderId="3" xfId="3" applyNumberFormat="1" applyFont="1" applyFill="1" applyBorder="1" applyAlignment="1">
      <alignment horizontal="center" vertical="center"/>
    </xf>
    <xf numFmtId="166" fontId="6" fillId="27" borderId="3" xfId="3" applyNumberFormat="1" applyFont="1" applyFill="1" applyBorder="1" applyAlignment="1">
      <alignment horizontal="right" vertical="center"/>
    </xf>
    <xf numFmtId="166" fontId="6" fillId="27" borderId="3" xfId="1" applyNumberFormat="1" applyFont="1" applyFill="1" applyBorder="1" applyAlignment="1">
      <alignment horizontal="right" vertical="center"/>
    </xf>
    <xf numFmtId="166" fontId="6" fillId="27" borderId="3" xfId="1" applyNumberFormat="1" applyFont="1" applyFill="1" applyBorder="1" applyAlignment="1">
      <alignment vertical="center"/>
    </xf>
    <xf numFmtId="0" fontId="5" fillId="27" borderId="3" xfId="0" applyFont="1" applyFill="1" applyBorder="1" applyAlignment="1">
      <alignment horizontal="center" vertical="center"/>
    </xf>
    <xf numFmtId="0" fontId="28" fillId="27" borderId="3" xfId="0" applyFont="1" applyFill="1" applyBorder="1" applyAlignment="1">
      <alignment horizontal="center" vertical="center"/>
    </xf>
    <xf numFmtId="0" fontId="29" fillId="27" borderId="3" xfId="0" applyFont="1" applyFill="1" applyBorder="1" applyAlignment="1">
      <alignment horizontal="center" vertical="center"/>
    </xf>
    <xf numFmtId="0" fontId="6" fillId="24" borderId="3" xfId="0" applyFont="1" applyFill="1" applyBorder="1" applyAlignment="1" applyProtection="1">
      <alignment horizontal="center" vertical="center"/>
      <protection locked="0"/>
    </xf>
    <xf numFmtId="0" fontId="6" fillId="24" borderId="3" xfId="0" applyFont="1" applyFill="1" applyBorder="1" applyAlignment="1" applyProtection="1">
      <alignment vertical="center" wrapText="1"/>
      <protection locked="0"/>
    </xf>
    <xf numFmtId="0" fontId="6" fillId="24" borderId="3" xfId="0" applyFont="1" applyFill="1" applyBorder="1" applyAlignment="1">
      <alignment horizontal="center" vertical="center" wrapText="1"/>
    </xf>
    <xf numFmtId="166" fontId="6" fillId="24" borderId="3" xfId="1" applyNumberFormat="1" applyFont="1" applyFill="1" applyBorder="1" applyAlignment="1">
      <alignment vertical="center"/>
    </xf>
    <xf numFmtId="166" fontId="6" fillId="24" borderId="3" xfId="1" applyNumberFormat="1" applyFont="1" applyFill="1" applyBorder="1" applyAlignment="1">
      <alignment horizontal="right" vertical="center"/>
    </xf>
    <xf numFmtId="0" fontId="6" fillId="24" borderId="3" xfId="0" applyFont="1" applyFill="1" applyBorder="1" applyAlignment="1">
      <alignment horizontal="center" vertical="center"/>
    </xf>
    <xf numFmtId="0" fontId="28" fillId="24" borderId="3" xfId="0" applyFont="1" applyFill="1" applyBorder="1" applyAlignment="1">
      <alignment horizontal="center" vertical="center"/>
    </xf>
    <xf numFmtId="0" fontId="29" fillId="24" borderId="3" xfId="0" applyFont="1" applyFill="1" applyBorder="1" applyAlignment="1">
      <alignment horizontal="center" vertical="center"/>
    </xf>
    <xf numFmtId="0" fontId="29" fillId="24" borderId="0" xfId="0" applyFont="1" applyFill="1" applyAlignment="1">
      <alignment horizontal="center" vertical="center"/>
    </xf>
    <xf numFmtId="0" fontId="29" fillId="24" borderId="0" xfId="0" applyFont="1" applyFill="1" applyAlignment="1">
      <alignment vertical="center"/>
    </xf>
    <xf numFmtId="166" fontId="6" fillId="0" borderId="3" xfId="1" applyNumberFormat="1" applyFont="1" applyFill="1" applyBorder="1" applyAlignment="1">
      <alignment vertical="center"/>
    </xf>
    <xf numFmtId="166" fontId="6" fillId="0" borderId="3" xfId="1" applyNumberFormat="1" applyFont="1" applyFill="1" applyBorder="1" applyAlignment="1">
      <alignment horizontal="right" vertical="center"/>
    </xf>
    <xf numFmtId="0" fontId="28" fillId="0" borderId="3" xfId="0" applyFont="1" applyBorder="1" applyAlignment="1">
      <alignment horizontal="center" vertical="center"/>
    </xf>
    <xf numFmtId="0" fontId="29" fillId="0" borderId="3" xfId="0" applyFont="1" applyBorder="1" applyAlignment="1">
      <alignment horizontal="center" vertical="center"/>
    </xf>
    <xf numFmtId="43" fontId="47" fillId="3" borderId="8" xfId="1" applyFont="1" applyFill="1" applyBorder="1" applyAlignment="1">
      <alignment vertical="center"/>
    </xf>
    <xf numFmtId="43" fontId="47" fillId="3" borderId="3" xfId="1" applyFont="1" applyFill="1" applyBorder="1" applyAlignment="1">
      <alignment horizontal="center" vertical="center" wrapText="1"/>
    </xf>
    <xf numFmtId="43" fontId="47" fillId="3" borderId="8" xfId="1" applyFont="1" applyFill="1" applyBorder="1" applyAlignment="1">
      <alignment horizontal="center" vertical="center" wrapText="1"/>
    </xf>
    <xf numFmtId="0" fontId="28" fillId="0" borderId="3" xfId="0" applyFont="1" applyBorder="1" applyAlignment="1">
      <alignment horizontal="left" vertical="center"/>
    </xf>
    <xf numFmtId="166" fontId="5" fillId="24" borderId="3" xfId="1" applyNumberFormat="1" applyFont="1" applyFill="1" applyBorder="1" applyAlignment="1">
      <alignment vertical="center"/>
    </xf>
    <xf numFmtId="0" fontId="28" fillId="0" borderId="0" xfId="0" applyFont="1" applyAlignment="1">
      <alignment vertical="center"/>
    </xf>
    <xf numFmtId="166" fontId="49" fillId="0" borderId="3" xfId="1" applyNumberFormat="1" applyFont="1" applyFill="1" applyBorder="1" applyAlignment="1">
      <alignment vertical="center"/>
    </xf>
    <xf numFmtId="166" fontId="16" fillId="0" borderId="3" xfId="1" applyNumberFormat="1" applyFont="1" applyFill="1" applyBorder="1" applyAlignment="1">
      <alignment vertical="center"/>
    </xf>
    <xf numFmtId="43" fontId="49" fillId="3" borderId="8" xfId="1" applyFont="1" applyFill="1" applyBorder="1" applyAlignment="1">
      <alignment vertical="center"/>
    </xf>
    <xf numFmtId="166" fontId="16" fillId="2" borderId="3" xfId="1" applyNumberFormat="1" applyFont="1" applyFill="1" applyBorder="1" applyAlignment="1">
      <alignment vertical="center"/>
    </xf>
    <xf numFmtId="0" fontId="16" fillId="0" borderId="3" xfId="0" applyFont="1" applyBorder="1" applyAlignment="1">
      <alignment horizontal="center" vertical="center"/>
    </xf>
    <xf numFmtId="0" fontId="16" fillId="2" borderId="3" xfId="0" applyFont="1" applyFill="1" applyBorder="1" applyAlignment="1">
      <alignment horizontal="center" vertical="center"/>
    </xf>
    <xf numFmtId="0" fontId="16" fillId="0" borderId="3" xfId="0" applyFont="1" applyBorder="1" applyAlignment="1">
      <alignment horizontal="left" vertical="center"/>
    </xf>
    <xf numFmtId="0" fontId="16" fillId="0" borderId="0" xfId="0" applyFont="1" applyAlignment="1">
      <alignment horizontal="center" vertical="center"/>
    </xf>
    <xf numFmtId="0" fontId="16" fillId="0" borderId="0" xfId="0" applyFont="1" applyAlignment="1">
      <alignment vertical="center"/>
    </xf>
    <xf numFmtId="0" fontId="5" fillId="24" borderId="3" xfId="0" applyFont="1" applyFill="1" applyBorder="1" applyAlignment="1">
      <alignment horizontal="center" vertical="center"/>
    </xf>
    <xf numFmtId="0" fontId="28" fillId="24" borderId="0" xfId="0" applyFont="1" applyFill="1" applyAlignment="1">
      <alignment horizontal="center" vertical="center"/>
    </xf>
    <xf numFmtId="0" fontId="28" fillId="24" borderId="0" xfId="0" applyFont="1" applyFill="1" applyAlignment="1">
      <alignment vertical="center"/>
    </xf>
    <xf numFmtId="0" fontId="28" fillId="25" borderId="0" xfId="0" applyFont="1" applyFill="1" applyAlignment="1">
      <alignment horizontal="left" vertical="center"/>
    </xf>
    <xf numFmtId="166" fontId="28" fillId="2" borderId="0" xfId="0" applyNumberFormat="1" applyFont="1" applyFill="1" applyAlignment="1">
      <alignment horizontal="center" vertical="center"/>
    </xf>
    <xf numFmtId="166" fontId="29" fillId="2" borderId="0" xfId="0" applyNumberFormat="1" applyFont="1" applyFill="1" applyAlignment="1">
      <alignment horizontal="center" vertical="center"/>
    </xf>
    <xf numFmtId="170" fontId="29" fillId="2" borderId="0" xfId="1" applyNumberFormat="1" applyFont="1" applyFill="1" applyAlignment="1">
      <alignment vertical="center"/>
    </xf>
    <xf numFmtId="43" fontId="50" fillId="11" borderId="3" xfId="0" applyNumberFormat="1" applyFont="1" applyFill="1" applyBorder="1" applyAlignment="1">
      <alignment horizontal="left" vertical="center" wrapText="1"/>
    </xf>
    <xf numFmtId="166" fontId="28" fillId="2" borderId="0" xfId="0" applyNumberFormat="1" applyFont="1" applyFill="1" applyAlignment="1">
      <alignment vertical="center"/>
    </xf>
    <xf numFmtId="170" fontId="28" fillId="2" borderId="0" xfId="1" applyNumberFormat="1" applyFont="1" applyFill="1" applyAlignment="1">
      <alignment vertical="center"/>
    </xf>
    <xf numFmtId="0" fontId="47" fillId="0" borderId="3" xfId="0" applyFont="1" applyBorder="1" applyAlignment="1">
      <alignment horizontal="left" vertical="center"/>
    </xf>
    <xf numFmtId="43" fontId="5" fillId="2" borderId="3" xfId="1" applyFont="1" applyFill="1" applyBorder="1" applyAlignment="1" applyProtection="1">
      <alignment horizontal="center" vertical="center" wrapText="1"/>
      <protection locked="0"/>
    </xf>
    <xf numFmtId="0" fontId="6" fillId="2" borderId="3" xfId="0" applyFont="1" applyFill="1" applyBorder="1" applyAlignment="1" applyProtection="1">
      <alignment horizontal="center" vertical="center" wrapText="1"/>
      <protection locked="0"/>
    </xf>
    <xf numFmtId="0" fontId="50" fillId="0" borderId="3" xfId="0" applyFont="1" applyBorder="1" applyAlignment="1">
      <alignment horizontal="left" vertical="center"/>
    </xf>
    <xf numFmtId="0" fontId="47" fillId="0" borderId="3" xfId="271" applyFont="1" applyBorder="1" applyAlignment="1">
      <alignment horizontal="left" wrapText="1"/>
    </xf>
    <xf numFmtId="0" fontId="50" fillId="0" borderId="3" xfId="271" applyFont="1" applyBorder="1" applyAlignment="1">
      <alignment horizontal="left" wrapText="1"/>
    </xf>
    <xf numFmtId="0" fontId="51" fillId="0" borderId="3" xfId="0" applyFont="1" applyBorder="1" applyAlignment="1" applyProtection="1">
      <alignment horizontal="center" vertical="center"/>
      <protection locked="0"/>
    </xf>
    <xf numFmtId="0" fontId="51" fillId="0" borderId="3" xfId="0" applyFont="1" applyBorder="1" applyAlignment="1" applyProtection="1">
      <alignment vertical="center" wrapText="1"/>
      <protection locked="0"/>
    </xf>
    <xf numFmtId="0" fontId="48" fillId="0" borderId="3" xfId="0" applyFont="1" applyBorder="1" applyAlignment="1">
      <alignment horizontal="center" vertical="center" wrapText="1"/>
    </xf>
    <xf numFmtId="166" fontId="5" fillId="0" borderId="3" xfId="1" applyNumberFormat="1" applyFont="1" applyBorder="1" applyAlignment="1">
      <alignment horizontal="right" vertical="center"/>
    </xf>
    <xf numFmtId="14" fontId="5" fillId="0" borderId="3" xfId="0" applyNumberFormat="1" applyFont="1" applyBorder="1" applyAlignment="1">
      <alignment horizontal="center" vertical="center"/>
    </xf>
    <xf numFmtId="0" fontId="48" fillId="0" borderId="3" xfId="271" applyFont="1" applyBorder="1" applyAlignment="1">
      <alignment horizontal="center" vertical="center"/>
    </xf>
    <xf numFmtId="0" fontId="47" fillId="0" borderId="3" xfId="0" applyFont="1" applyBorder="1" applyAlignment="1">
      <alignment vertical="center"/>
    </xf>
    <xf numFmtId="2" fontId="48" fillId="0" borderId="3" xfId="272" applyNumberFormat="1" applyFont="1" applyBorder="1" applyAlignment="1">
      <alignment horizontal="center" vertical="center" wrapText="1"/>
    </xf>
    <xf numFmtId="0" fontId="6" fillId="21" borderId="3" xfId="0" applyFont="1" applyFill="1" applyBorder="1" applyAlignment="1" applyProtection="1">
      <alignment horizontal="center" vertical="center"/>
      <protection locked="0"/>
    </xf>
    <xf numFmtId="0" fontId="6" fillId="21" borderId="3" xfId="0" applyFont="1" applyFill="1" applyBorder="1" applyAlignment="1" applyProtection="1">
      <alignment vertical="center" wrapText="1"/>
      <protection locked="0"/>
    </xf>
    <xf numFmtId="0" fontId="6" fillId="21" borderId="3" xfId="0" applyFont="1" applyFill="1" applyBorder="1" applyAlignment="1">
      <alignment horizontal="center" vertical="center" wrapText="1"/>
    </xf>
    <xf numFmtId="166" fontId="6" fillId="21" borderId="3" xfId="1" applyNumberFormat="1" applyFont="1" applyFill="1" applyBorder="1" applyAlignment="1">
      <alignment vertical="center"/>
    </xf>
    <xf numFmtId="166" fontId="6" fillId="21" borderId="3" xfId="1" applyNumberFormat="1" applyFont="1" applyFill="1" applyBorder="1" applyAlignment="1">
      <alignment horizontal="right" vertical="center"/>
    </xf>
    <xf numFmtId="166" fontId="6" fillId="21" borderId="3" xfId="0" applyNumberFormat="1" applyFont="1" applyFill="1" applyBorder="1" applyAlignment="1">
      <alignment vertical="center"/>
    </xf>
    <xf numFmtId="0" fontId="29" fillId="21" borderId="0" xfId="0" applyFont="1" applyFill="1" applyAlignment="1">
      <alignment vertical="center"/>
    </xf>
    <xf numFmtId="0" fontId="6" fillId="5" borderId="3" xfId="0" applyFont="1" applyFill="1" applyBorder="1" applyAlignment="1" applyProtection="1">
      <alignment horizontal="center" vertical="center"/>
      <protection locked="0"/>
    </xf>
    <xf numFmtId="0" fontId="6" fillId="5" borderId="3" xfId="22" applyFont="1" applyFill="1" applyBorder="1" applyAlignment="1">
      <alignment vertical="center" wrapText="1"/>
    </xf>
    <xf numFmtId="166" fontId="6" fillId="5" borderId="3" xfId="1" applyNumberFormat="1" applyFont="1" applyFill="1" applyBorder="1" applyAlignment="1">
      <alignment horizontal="center" vertical="center"/>
    </xf>
    <xf numFmtId="166" fontId="6" fillId="5" borderId="3" xfId="1" applyNumberFormat="1" applyFont="1" applyFill="1" applyBorder="1" applyAlignment="1">
      <alignment vertical="center"/>
    </xf>
    <xf numFmtId="0" fontId="5" fillId="5" borderId="0" xfId="0" applyFont="1" applyFill="1" applyAlignment="1">
      <alignment vertical="center"/>
    </xf>
    <xf numFmtId="0" fontId="6" fillId="5" borderId="3" xfId="244" applyFont="1" applyFill="1" applyBorder="1" applyAlignment="1">
      <alignment horizontal="left" vertical="center" wrapText="1"/>
    </xf>
    <xf numFmtId="166" fontId="5" fillId="5" borderId="3" xfId="1" applyNumberFormat="1" applyFont="1" applyFill="1" applyBorder="1" applyAlignment="1">
      <alignment vertical="center"/>
    </xf>
    <xf numFmtId="0" fontId="6" fillId="5" borderId="0" xfId="0" applyFont="1" applyFill="1" applyAlignment="1">
      <alignment vertical="center"/>
    </xf>
    <xf numFmtId="0" fontId="5" fillId="2" borderId="3" xfId="244" applyFont="1" applyFill="1" applyBorder="1" applyAlignment="1">
      <alignment horizontal="left" vertical="center" wrapText="1"/>
    </xf>
    <xf numFmtId="0" fontId="5" fillId="2" borderId="3" xfId="0" applyFont="1" applyFill="1" applyBorder="1" applyAlignment="1">
      <alignment vertical="center"/>
    </xf>
    <xf numFmtId="0" fontId="5" fillId="5" borderId="3" xfId="0" applyFont="1" applyFill="1" applyBorder="1" applyAlignment="1" applyProtection="1">
      <alignment horizontal="center" vertical="center"/>
      <protection locked="0"/>
    </xf>
    <xf numFmtId="166" fontId="5" fillId="5" borderId="3" xfId="1" applyNumberFormat="1" applyFont="1" applyFill="1" applyBorder="1" applyAlignment="1">
      <alignment horizontal="center" vertical="center"/>
    </xf>
    <xf numFmtId="3" fontId="16" fillId="5" borderId="3" xfId="0" applyNumberFormat="1" applyFont="1" applyFill="1" applyBorder="1" applyAlignment="1">
      <alignment vertical="center"/>
    </xf>
    <xf numFmtId="0" fontId="5" fillId="5" borderId="3" xfId="0" applyFont="1" applyFill="1" applyBorder="1" applyAlignment="1">
      <alignment horizontal="center" vertical="center"/>
    </xf>
    <xf numFmtId="173" fontId="6" fillId="5" borderId="3" xfId="263" applyFont="1" applyFill="1" applyBorder="1" applyAlignment="1">
      <alignment horizontal="left" vertical="center" wrapText="1"/>
    </xf>
    <xf numFmtId="0" fontId="5" fillId="2" borderId="3" xfId="0" applyFont="1" applyFill="1" applyBorder="1" applyAlignment="1">
      <alignment vertical="center" wrapText="1"/>
    </xf>
    <xf numFmtId="0" fontId="18" fillId="0" borderId="3" xfId="244" applyFont="1" applyBorder="1" applyAlignment="1">
      <alignment vertical="center" wrapText="1"/>
    </xf>
    <xf numFmtId="173" fontId="5" fillId="0" borderId="3" xfId="263" applyFont="1" applyBorder="1" applyAlignment="1">
      <alignment horizontal="left" vertical="center"/>
    </xf>
    <xf numFmtId="0" fontId="5" fillId="0" borderId="3" xfId="287" applyFont="1" applyBorder="1" applyAlignment="1">
      <alignment horizontal="left" vertical="center"/>
    </xf>
    <xf numFmtId="0" fontId="5" fillId="0" borderId="3" xfId="287" applyFont="1" applyBorder="1" applyAlignment="1">
      <alignment vertical="center"/>
    </xf>
    <xf numFmtId="0" fontId="5" fillId="2" borderId="3" xfId="34" applyFont="1" applyFill="1" applyBorder="1" applyAlignment="1" applyProtection="1">
      <alignment horizontal="left" vertical="center" wrapText="1"/>
    </xf>
    <xf numFmtId="0" fontId="5" fillId="2" borderId="3" xfId="34" applyFont="1" applyFill="1" applyBorder="1" applyAlignment="1" applyProtection="1">
      <alignment horizontal="left" vertical="center"/>
    </xf>
    <xf numFmtId="0" fontId="6" fillId="5" borderId="3" xfId="265" applyFont="1" applyFill="1" applyBorder="1" applyAlignment="1">
      <alignment horizontal="left" vertical="center" wrapText="1"/>
    </xf>
    <xf numFmtId="166" fontId="10" fillId="5" borderId="3" xfId="1" applyNumberFormat="1" applyFont="1" applyFill="1" applyBorder="1" applyAlignment="1">
      <alignment vertical="center"/>
    </xf>
    <xf numFmtId="173" fontId="5" fillId="0" borderId="3" xfId="263" applyFont="1" applyBorder="1" applyAlignment="1">
      <alignment horizontal="left" vertical="center" wrapText="1"/>
    </xf>
    <xf numFmtId="43" fontId="5" fillId="0" borderId="3" xfId="1" applyFont="1" applyFill="1" applyBorder="1" applyAlignment="1">
      <alignment horizontal="right" vertical="center"/>
    </xf>
    <xf numFmtId="0" fontId="6" fillId="5" borderId="3" xfId="0" applyFont="1" applyFill="1" applyBorder="1" applyAlignment="1">
      <alignment horizontal="left" vertical="center" wrapText="1"/>
    </xf>
    <xf numFmtId="0" fontId="6" fillId="5" borderId="3" xfId="0" applyFont="1" applyFill="1" applyBorder="1" applyAlignment="1">
      <alignment vertical="center"/>
    </xf>
    <xf numFmtId="0" fontId="5" fillId="2" borderId="3" xfId="287" applyFont="1" applyFill="1" applyBorder="1" applyAlignment="1">
      <alignment vertical="center"/>
    </xf>
    <xf numFmtId="0" fontId="6" fillId="0" borderId="3" xfId="266" applyFont="1" applyBorder="1" applyAlignment="1">
      <alignment vertical="center" wrapText="1"/>
    </xf>
    <xf numFmtId="166" fontId="5" fillId="5" borderId="3" xfId="1" applyNumberFormat="1" applyFont="1" applyFill="1" applyBorder="1" applyAlignment="1">
      <alignment vertical="center" wrapText="1"/>
    </xf>
    <xf numFmtId="0" fontId="5" fillId="0" borderId="3" xfId="0" quotePrefix="1" applyFont="1" applyBorder="1" applyAlignment="1">
      <alignment horizontal="left" vertical="center"/>
    </xf>
    <xf numFmtId="0" fontId="6" fillId="5" borderId="3" xfId="22" applyFont="1" applyFill="1" applyBorder="1" applyAlignment="1">
      <alignment horizontal="center" vertical="center"/>
    </xf>
    <xf numFmtId="0" fontId="6" fillId="5" borderId="3" xfId="0" applyFont="1" applyFill="1" applyBorder="1" applyAlignment="1">
      <alignment horizontal="center" vertical="center"/>
    </xf>
    <xf numFmtId="0" fontId="6" fillId="21" borderId="3" xfId="0" applyFont="1" applyFill="1" applyBorder="1" applyAlignment="1" applyProtection="1">
      <alignment horizontal="center" vertical="center" wrapText="1"/>
      <protection locked="0"/>
    </xf>
    <xf numFmtId="166" fontId="6" fillId="21" borderId="3" xfId="1" applyNumberFormat="1" applyFont="1" applyFill="1" applyBorder="1" applyAlignment="1">
      <alignment horizontal="center" vertical="center"/>
    </xf>
    <xf numFmtId="0" fontId="6" fillId="21" borderId="3" xfId="0" applyFont="1" applyFill="1" applyBorder="1" applyAlignment="1">
      <alignment horizontal="center" vertical="center"/>
    </xf>
    <xf numFmtId="0" fontId="6" fillId="21" borderId="0" xfId="0" applyFont="1" applyFill="1" applyAlignment="1">
      <alignment vertical="center"/>
    </xf>
    <xf numFmtId="0" fontId="6" fillId="5" borderId="3" xfId="0" applyFont="1" applyFill="1" applyBorder="1" applyAlignment="1" applyProtection="1">
      <alignment horizontal="center" vertical="center" wrapText="1"/>
      <protection locked="0"/>
    </xf>
    <xf numFmtId="166" fontId="18" fillId="5" borderId="3" xfId="1" applyNumberFormat="1" applyFont="1" applyFill="1" applyBorder="1" applyAlignment="1">
      <alignment vertical="center"/>
    </xf>
    <xf numFmtId="0" fontId="5" fillId="0" borderId="3" xfId="266" applyFont="1" applyBorder="1" applyAlignment="1">
      <alignment vertical="center" wrapText="1"/>
    </xf>
    <xf numFmtId="166" fontId="19" fillId="5" borderId="3" xfId="1" applyNumberFormat="1" applyFont="1" applyFill="1" applyBorder="1" applyAlignment="1">
      <alignment vertical="center"/>
    </xf>
    <xf numFmtId="0" fontId="5" fillId="0" borderId="3" xfId="73" applyFont="1" applyBorder="1" applyAlignment="1">
      <alignment vertical="center"/>
    </xf>
    <xf numFmtId="0" fontId="5" fillId="0" borderId="3" xfId="0" applyFont="1" applyBorder="1" applyAlignment="1" applyProtection="1">
      <alignment horizontal="center" vertical="center"/>
      <protection locked="0"/>
    </xf>
    <xf numFmtId="166" fontId="6" fillId="5" borderId="3" xfId="1" applyNumberFormat="1" applyFont="1" applyFill="1" applyBorder="1" applyAlignment="1">
      <alignment vertical="center" wrapText="1"/>
    </xf>
    <xf numFmtId="0" fontId="18" fillId="0" borderId="3" xfId="0" applyFont="1" applyBorder="1" applyAlignment="1">
      <alignment vertical="center" wrapText="1"/>
    </xf>
    <xf numFmtId="0" fontId="18" fillId="2" borderId="3" xfId="0" applyFont="1" applyFill="1" applyBorder="1" applyAlignment="1">
      <alignment vertical="center"/>
    </xf>
    <xf numFmtId="0" fontId="5" fillId="3" borderId="3" xfId="0" applyFont="1" applyFill="1" applyBorder="1" applyAlignment="1">
      <alignment horizontal="left" vertical="center"/>
    </xf>
    <xf numFmtId="0" fontId="5" fillId="0" borderId="3" xfId="0" applyFont="1" applyBorder="1" applyAlignment="1">
      <alignment horizontal="left" vertical="center"/>
    </xf>
    <xf numFmtId="0" fontId="41" fillId="20" borderId="3" xfId="0" applyFont="1" applyFill="1" applyBorder="1" applyAlignment="1">
      <alignment horizontal="center" vertical="center" wrapText="1"/>
    </xf>
    <xf numFmtId="49" fontId="39" fillId="2" borderId="3" xfId="268" quotePrefix="1" applyNumberFormat="1" applyFont="1" applyFill="1" applyBorder="1" applyAlignment="1" applyProtection="1">
      <alignment horizontal="center" vertical="center" wrapText="1"/>
      <protection locked="0"/>
    </xf>
    <xf numFmtId="0" fontId="50" fillId="2" borderId="3" xfId="0" applyFont="1" applyFill="1" applyBorder="1" applyAlignment="1">
      <alignment horizontal="left" vertical="center"/>
    </xf>
    <xf numFmtId="166" fontId="13" fillId="2" borderId="3" xfId="1" applyNumberFormat="1" applyFont="1" applyFill="1" applyBorder="1" applyAlignment="1">
      <alignment horizontal="left" vertical="center" wrapText="1"/>
    </xf>
    <xf numFmtId="0" fontId="35" fillId="2" borderId="3" xfId="0" applyFont="1" applyFill="1" applyBorder="1" applyAlignment="1">
      <alignment horizontal="left" vertical="center" wrapText="1"/>
    </xf>
    <xf numFmtId="0" fontId="19" fillId="3" borderId="3" xfId="0" applyFont="1" applyFill="1" applyBorder="1" applyAlignment="1">
      <alignment horizontal="left" vertical="center" wrapText="1"/>
    </xf>
    <xf numFmtId="0" fontId="5" fillId="3" borderId="3" xfId="0" quotePrefix="1" applyFont="1" applyFill="1" applyBorder="1" applyAlignment="1">
      <alignment horizontal="left" vertical="center"/>
    </xf>
    <xf numFmtId="49" fontId="35" fillId="0" borderId="3" xfId="1" quotePrefix="1" applyNumberFormat="1" applyFont="1" applyFill="1" applyBorder="1" applyAlignment="1">
      <alignment horizontal="center" vertical="center"/>
    </xf>
    <xf numFmtId="49" fontId="39" fillId="0" borderId="3" xfId="1" quotePrefix="1" applyNumberFormat="1" applyFont="1" applyFill="1" applyBorder="1" applyAlignment="1">
      <alignment horizontal="center" vertical="center"/>
    </xf>
    <xf numFmtId="173" fontId="40" fillId="2" borderId="3" xfId="262" quotePrefix="1" applyFont="1" applyFill="1" applyBorder="1" applyAlignment="1">
      <alignment vertical="center" wrapText="1"/>
    </xf>
    <xf numFmtId="0" fontId="29" fillId="21" borderId="3" xfId="0" applyFont="1" applyFill="1" applyBorder="1" applyAlignment="1">
      <alignment horizontal="center" vertical="center"/>
    </xf>
    <xf numFmtId="0" fontId="29" fillId="21" borderId="3" xfId="0" applyFont="1" applyFill="1" applyBorder="1" applyAlignment="1">
      <alignment vertical="center"/>
    </xf>
    <xf numFmtId="0" fontId="29" fillId="21" borderId="3" xfId="0" applyFont="1" applyFill="1" applyBorder="1" applyAlignment="1">
      <alignment horizontal="left" vertical="center"/>
    </xf>
    <xf numFmtId="0" fontId="5" fillId="5" borderId="3" xfId="0" applyFont="1" applyFill="1" applyBorder="1" applyAlignment="1">
      <alignment vertical="center"/>
    </xf>
    <xf numFmtId="0" fontId="5" fillId="5" borderId="3" xfId="0" applyFont="1" applyFill="1" applyBorder="1" applyAlignment="1">
      <alignment horizontal="left" vertical="center"/>
    </xf>
    <xf numFmtId="0" fontId="6" fillId="5" borderId="3" xfId="0" applyFont="1" applyFill="1" applyBorder="1" applyAlignment="1">
      <alignment horizontal="left" vertical="center"/>
    </xf>
    <xf numFmtId="0" fontId="5" fillId="0" borderId="3" xfId="266" applyFont="1" applyBorder="1" applyAlignment="1">
      <alignment vertical="center"/>
    </xf>
    <xf numFmtId="0" fontId="5" fillId="25" borderId="3" xfId="0" applyFont="1" applyFill="1" applyBorder="1" applyAlignment="1">
      <alignment horizontal="left" vertical="center"/>
    </xf>
    <xf numFmtId="0" fontId="52" fillId="0" borderId="3" xfId="0" applyFont="1" applyBorder="1"/>
    <xf numFmtId="0" fontId="52" fillId="0" borderId="3" xfId="0" applyFont="1" applyBorder="1" applyAlignment="1">
      <alignment vertical="center"/>
    </xf>
    <xf numFmtId="0" fontId="5" fillId="0" borderId="3" xfId="0" applyFont="1" applyBorder="1" applyAlignment="1">
      <alignment vertical="center"/>
    </xf>
    <xf numFmtId="0" fontId="5" fillId="0" borderId="3" xfId="34" applyFont="1" applyBorder="1" applyAlignment="1" applyProtection="1">
      <alignment horizontal="left" vertical="center"/>
    </xf>
    <xf numFmtId="0" fontId="28" fillId="2" borderId="3" xfId="0" applyFont="1" applyFill="1" applyBorder="1" applyAlignment="1">
      <alignment vertical="center"/>
    </xf>
    <xf numFmtId="0" fontId="28" fillId="25" borderId="3" xfId="0" applyFont="1" applyFill="1" applyBorder="1" applyAlignment="1">
      <alignment horizontal="left" vertical="center"/>
    </xf>
    <xf numFmtId="43" fontId="18" fillId="23" borderId="3" xfId="0" applyNumberFormat="1" applyFont="1" applyFill="1" applyBorder="1" applyAlignment="1">
      <alignment horizontal="center" vertical="center" wrapText="1"/>
    </xf>
    <xf numFmtId="43" fontId="18" fillId="23" borderId="3" xfId="0" applyNumberFormat="1" applyFont="1" applyFill="1" applyBorder="1" applyAlignment="1">
      <alignment horizontal="center" vertical="center"/>
    </xf>
    <xf numFmtId="43" fontId="5" fillId="2" borderId="3" xfId="1" applyFont="1" applyFill="1" applyBorder="1" applyAlignment="1">
      <alignment horizontal="center" vertical="center"/>
    </xf>
    <xf numFmtId="43" fontId="18" fillId="0" borderId="3" xfId="0" applyNumberFormat="1" applyFont="1" applyBorder="1" applyAlignment="1">
      <alignment horizontal="center" vertical="center" wrapText="1"/>
    </xf>
    <xf numFmtId="0" fontId="6" fillId="21" borderId="3" xfId="0" applyFont="1" applyFill="1" applyBorder="1" applyAlignment="1">
      <alignment horizontal="left" vertical="center" wrapText="1"/>
    </xf>
    <xf numFmtId="0" fontId="6" fillId="21" borderId="3" xfId="0" applyFont="1" applyFill="1" applyBorder="1" applyAlignment="1">
      <alignment vertical="center"/>
    </xf>
    <xf numFmtId="0" fontId="6" fillId="21" borderId="3" xfId="0" applyFont="1" applyFill="1" applyBorder="1" applyAlignment="1">
      <alignment horizontal="left" vertical="center"/>
    </xf>
    <xf numFmtId="0" fontId="19" fillId="28" borderId="3" xfId="0" applyFont="1" applyFill="1" applyBorder="1" applyAlignment="1">
      <alignment horizontal="left" vertical="center" wrapText="1"/>
    </xf>
    <xf numFmtId="0" fontId="35" fillId="3" borderId="3" xfId="0" quotePrefix="1" applyFont="1" applyFill="1" applyBorder="1" applyAlignment="1">
      <alignment horizontal="left" vertical="center"/>
    </xf>
    <xf numFmtId="166" fontId="19" fillId="28" borderId="3" xfId="0" applyNumberFormat="1" applyFont="1" applyFill="1" applyBorder="1" applyAlignment="1">
      <alignment vertical="center"/>
    </xf>
    <xf numFmtId="3" fontId="35" fillId="0" borderId="3" xfId="0" applyNumberFormat="1" applyFont="1" applyBorder="1"/>
    <xf numFmtId="3" fontId="18" fillId="0" borderId="3" xfId="0" applyNumberFormat="1" applyFont="1" applyBorder="1" applyAlignment="1">
      <alignment horizontal="right" vertical="center" wrapText="1"/>
    </xf>
    <xf numFmtId="0" fontId="35" fillId="29" borderId="3" xfId="0" quotePrefix="1" applyFont="1" applyFill="1" applyBorder="1" applyAlignment="1">
      <alignment horizontal="left" vertical="center"/>
    </xf>
    <xf numFmtId="0" fontId="28" fillId="0" borderId="3" xfId="0" applyFont="1" applyBorder="1" applyAlignment="1">
      <alignment vertical="center"/>
    </xf>
    <xf numFmtId="3" fontId="11" fillId="5" borderId="3" xfId="0" applyNumberFormat="1" applyFont="1" applyFill="1" applyBorder="1" applyAlignment="1">
      <alignment vertical="center"/>
    </xf>
    <xf numFmtId="0" fontId="35" fillId="3" borderId="3" xfId="0" applyFont="1" applyFill="1" applyBorder="1" applyAlignment="1">
      <alignment horizontal="left" vertical="center"/>
    </xf>
    <xf numFmtId="43" fontId="6" fillId="5" borderId="3" xfId="1" applyFont="1" applyFill="1" applyBorder="1" applyAlignment="1">
      <alignment vertical="center"/>
    </xf>
    <xf numFmtId="3" fontId="18" fillId="22" borderId="3" xfId="0" applyNumberFormat="1" applyFont="1" applyFill="1" applyBorder="1" applyAlignment="1">
      <alignment horizontal="right" vertical="center" wrapText="1"/>
    </xf>
    <xf numFmtId="0" fontId="35" fillId="22" borderId="3" xfId="0" applyFont="1" applyFill="1" applyBorder="1" applyAlignment="1">
      <alignment horizontal="left" vertical="center"/>
    </xf>
    <xf numFmtId="166" fontId="18" fillId="23" borderId="3" xfId="0" applyNumberFormat="1" applyFont="1" applyFill="1" applyBorder="1" applyAlignment="1">
      <alignment horizontal="center" vertical="center" wrapText="1"/>
    </xf>
    <xf numFmtId="166" fontId="18" fillId="23" borderId="3" xfId="0" applyNumberFormat="1" applyFont="1" applyFill="1" applyBorder="1" applyAlignment="1">
      <alignment horizontal="center" vertical="center"/>
    </xf>
    <xf numFmtId="0" fontId="19" fillId="28" borderId="3" xfId="0" applyFont="1" applyFill="1" applyBorder="1" applyAlignment="1">
      <alignment horizontal="left" vertical="center"/>
    </xf>
    <xf numFmtId="0" fontId="35" fillId="0" borderId="3" xfId="0" applyFont="1" applyBorder="1" applyAlignment="1">
      <alignment horizontal="left" vertical="center"/>
    </xf>
    <xf numFmtId="166" fontId="41" fillId="10" borderId="3" xfId="1" applyNumberFormat="1" applyFont="1" applyFill="1" applyBorder="1" applyAlignment="1">
      <alignment vertical="center"/>
    </xf>
    <xf numFmtId="170" fontId="5" fillId="0" borderId="3" xfId="1" quotePrefix="1" applyNumberFormat="1" applyFont="1" applyFill="1" applyBorder="1" applyAlignment="1">
      <alignment horizontal="center" vertical="center" readingOrder="1"/>
    </xf>
    <xf numFmtId="43" fontId="6" fillId="2" borderId="3" xfId="1" applyNumberFormat="1" applyFont="1" applyFill="1" applyBorder="1" applyAlignment="1">
      <alignment horizontal="left" vertical="center" wrapText="1" readingOrder="1"/>
    </xf>
    <xf numFmtId="0" fontId="5" fillId="10" borderId="3" xfId="0" applyFont="1" applyFill="1" applyBorder="1" applyAlignment="1">
      <alignment horizontal="center" vertical="center"/>
    </xf>
    <xf numFmtId="0" fontId="5" fillId="10" borderId="3" xfId="0" applyFont="1" applyFill="1" applyBorder="1" applyAlignment="1">
      <alignment horizontal="left" vertical="center" wrapText="1"/>
    </xf>
    <xf numFmtId="0" fontId="5" fillId="10" borderId="3" xfId="0" quotePrefix="1" applyFont="1" applyFill="1" applyBorder="1" applyAlignment="1">
      <alignment horizontal="left" vertical="center" wrapText="1" indent="1"/>
    </xf>
    <xf numFmtId="166" fontId="5" fillId="10" borderId="3" xfId="1" applyNumberFormat="1" applyFont="1" applyFill="1" applyBorder="1" applyAlignment="1">
      <alignment horizontal="center" vertical="center" wrapText="1"/>
    </xf>
    <xf numFmtId="168" fontId="5" fillId="10" borderId="3" xfId="2" applyNumberFormat="1" applyFont="1" applyFill="1" applyBorder="1" applyAlignment="1">
      <alignment horizontal="center" vertical="center" wrapText="1"/>
    </xf>
    <xf numFmtId="167" fontId="5" fillId="10" borderId="0" xfId="1" applyNumberFormat="1" applyFont="1" applyFill="1" applyAlignment="1">
      <alignment vertical="center"/>
    </xf>
    <xf numFmtId="43" fontId="5" fillId="10" borderId="0" xfId="1" applyFont="1" applyFill="1" applyAlignment="1">
      <alignment vertical="center"/>
    </xf>
    <xf numFmtId="43" fontId="5" fillId="10" borderId="0" xfId="0" applyNumberFormat="1" applyFont="1" applyFill="1"/>
    <xf numFmtId="0" fontId="5" fillId="10" borderId="0" xfId="0" applyFont="1" applyFill="1"/>
    <xf numFmtId="0" fontId="56" fillId="0" borderId="0" xfId="0" applyFont="1" applyAlignment="1">
      <alignment horizontal="center" vertical="center"/>
    </xf>
    <xf numFmtId="0" fontId="56" fillId="0" borderId="0" xfId="0" applyFont="1" applyAlignment="1">
      <alignment vertical="center"/>
    </xf>
    <xf numFmtId="0" fontId="56" fillId="0" borderId="0" xfId="0" applyFont="1" applyAlignment="1">
      <alignment horizontal="left" vertical="center" wrapText="1"/>
    </xf>
    <xf numFmtId="43" fontId="56" fillId="0" borderId="0" xfId="1" applyFont="1" applyBorder="1" applyAlignment="1">
      <alignment vertical="center"/>
    </xf>
    <xf numFmtId="166" fontId="56" fillId="0" borderId="0" xfId="1" applyNumberFormat="1" applyFont="1" applyBorder="1" applyAlignment="1">
      <alignment vertical="center"/>
    </xf>
    <xf numFmtId="0" fontId="54" fillId="0" borderId="0" xfId="0" applyFont="1" applyAlignment="1">
      <alignment horizontal="left" vertical="center" wrapText="1"/>
    </xf>
    <xf numFmtId="0" fontId="57" fillId="19" borderId="15" xfId="0" applyFont="1" applyFill="1" applyBorder="1" applyAlignment="1">
      <alignment horizontal="center" vertical="center" wrapText="1" readingOrder="1"/>
    </xf>
    <xf numFmtId="43" fontId="56" fillId="0" borderId="0" xfId="1" applyFont="1" applyAlignment="1">
      <alignment vertical="center"/>
    </xf>
    <xf numFmtId="0" fontId="57" fillId="19" borderId="15" xfId="0" applyFont="1" applyFill="1" applyBorder="1" applyAlignment="1">
      <alignment horizontal="center" wrapText="1" readingOrder="1"/>
    </xf>
    <xf numFmtId="0" fontId="59" fillId="0" borderId="18" xfId="0" applyFont="1" applyBorder="1" applyAlignment="1">
      <alignment horizontal="left" vertical="center" wrapText="1" readingOrder="1"/>
    </xf>
    <xf numFmtId="0" fontId="59" fillId="0" borderId="19" xfId="0" applyFont="1" applyBorder="1" applyAlignment="1">
      <alignment horizontal="left" vertical="center" wrapText="1" readingOrder="1"/>
    </xf>
    <xf numFmtId="0" fontId="58" fillId="0" borderId="18" xfId="0" applyFont="1" applyBorder="1" applyAlignment="1">
      <alignment horizontal="center" vertical="center" wrapText="1" readingOrder="1"/>
    </xf>
    <xf numFmtId="0" fontId="59" fillId="0" borderId="18" xfId="0" applyFont="1" applyBorder="1" applyAlignment="1">
      <alignment horizontal="center" vertical="center" wrapText="1" readingOrder="1"/>
    </xf>
    <xf numFmtId="0" fontId="59" fillId="0" borderId="18" xfId="0" applyFont="1" applyBorder="1" applyAlignment="1">
      <alignment horizontal="center" wrapText="1" readingOrder="1"/>
    </xf>
    <xf numFmtId="0" fontId="59" fillId="0" borderId="18" xfId="0" quotePrefix="1" applyFont="1" applyBorder="1" applyAlignment="1">
      <alignment horizontal="left" vertical="center" wrapText="1" readingOrder="1"/>
    </xf>
    <xf numFmtId="0" fontId="58" fillId="0" borderId="15" xfId="0" applyFont="1" applyBorder="1" applyAlignment="1">
      <alignment horizontal="center" vertical="center" wrapText="1" readingOrder="1"/>
    </xf>
    <xf numFmtId="0" fontId="59" fillId="0" borderId="15" xfId="0" applyFont="1" applyBorder="1" applyAlignment="1">
      <alignment horizontal="center" vertical="center" wrapText="1" readingOrder="1"/>
    </xf>
    <xf numFmtId="0" fontId="59" fillId="0" borderId="15" xfId="0" applyFont="1" applyBorder="1" applyAlignment="1">
      <alignment horizontal="center" wrapText="1" readingOrder="1"/>
    </xf>
    <xf numFmtId="0" fontId="58" fillId="0" borderId="15" xfId="0" applyFont="1" applyBorder="1" applyAlignment="1">
      <alignment horizontal="left" vertical="center" wrapText="1" readingOrder="1"/>
    </xf>
    <xf numFmtId="166" fontId="56" fillId="0" borderId="0" xfId="1" applyNumberFormat="1" applyFont="1" applyAlignment="1">
      <alignment vertical="center"/>
    </xf>
    <xf numFmtId="0" fontId="56" fillId="19" borderId="15" xfId="0" applyFont="1" applyFill="1" applyBorder="1" applyAlignment="1">
      <alignment horizontal="center" vertical="center" wrapText="1"/>
    </xf>
    <xf numFmtId="0" fontId="56" fillId="0" borderId="18" xfId="0" applyFont="1" applyBorder="1" applyAlignment="1">
      <alignment horizontal="center" vertical="center" wrapText="1"/>
    </xf>
    <xf numFmtId="0" fontId="58" fillId="0" borderId="18" xfId="0" applyFont="1" applyBorder="1" applyAlignment="1">
      <alignment horizontal="left" vertical="center" wrapText="1" readingOrder="1"/>
    </xf>
    <xf numFmtId="0" fontId="58" fillId="0" borderId="18" xfId="0" applyFont="1" applyBorder="1" applyAlignment="1">
      <alignment horizontal="left" vertical="center" readingOrder="1"/>
    </xf>
    <xf numFmtId="0" fontId="56" fillId="0" borderId="15" xfId="0" applyFont="1" applyBorder="1" applyAlignment="1">
      <alignment horizontal="center" vertical="center" wrapText="1"/>
    </xf>
    <xf numFmtId="0" fontId="58" fillId="0" borderId="20" xfId="0" applyFont="1" applyBorder="1" applyAlignment="1">
      <alignment horizontal="left" vertical="center" wrapText="1" readingOrder="1"/>
    </xf>
    <xf numFmtId="0" fontId="56" fillId="0" borderId="15" xfId="0" applyFont="1" applyBorder="1" applyAlignment="1">
      <alignment vertical="center" wrapText="1"/>
    </xf>
    <xf numFmtId="0" fontId="57" fillId="19" borderId="27" xfId="0" applyFont="1" applyFill="1" applyBorder="1" applyAlignment="1">
      <alignment horizontal="center" vertical="center" wrapText="1" readingOrder="1"/>
    </xf>
    <xf numFmtId="0" fontId="57" fillId="19" borderId="21" xfId="0" applyFont="1" applyFill="1" applyBorder="1" applyAlignment="1">
      <alignment horizontal="center" vertical="center" wrapText="1" readingOrder="1"/>
    </xf>
    <xf numFmtId="0" fontId="59" fillId="0" borderId="28" xfId="0" applyFont="1" applyBorder="1" applyAlignment="1">
      <alignment horizontal="center" vertical="center" wrapText="1" readingOrder="1"/>
    </xf>
    <xf numFmtId="0" fontId="59" fillId="0" borderId="21" xfId="0" applyFont="1" applyBorder="1" applyAlignment="1">
      <alignment horizontal="center" vertical="center" wrapText="1" readingOrder="1"/>
    </xf>
    <xf numFmtId="0" fontId="56" fillId="0" borderId="21" xfId="0" applyFont="1" applyBorder="1" applyAlignment="1">
      <alignment horizontal="center" vertical="center" wrapText="1"/>
    </xf>
    <xf numFmtId="0" fontId="58" fillId="0" borderId="21" xfId="0" applyFont="1" applyBorder="1" applyAlignment="1">
      <alignment horizontal="center" vertical="center" wrapText="1" readingOrder="1"/>
    </xf>
    <xf numFmtId="0" fontId="58" fillId="0" borderId="21" xfId="0" applyFont="1" applyBorder="1" applyAlignment="1">
      <alignment horizontal="left" vertical="center" wrapText="1" readingOrder="1"/>
    </xf>
    <xf numFmtId="0" fontId="59" fillId="0" borderId="22" xfId="0" applyFont="1" applyBorder="1" applyAlignment="1">
      <alignment horizontal="center" vertical="center" wrapText="1" readingOrder="1"/>
    </xf>
    <xf numFmtId="0" fontId="59" fillId="0" borderId="23" xfId="0" applyFont="1" applyBorder="1" applyAlignment="1">
      <alignment horizontal="center" vertical="center" wrapText="1" readingOrder="1"/>
    </xf>
    <xf numFmtId="0" fontId="59" fillId="0" borderId="21" xfId="0" applyFont="1" applyBorder="1" applyAlignment="1">
      <alignment horizontal="left" vertical="center" wrapText="1" readingOrder="1"/>
    </xf>
    <xf numFmtId="0" fontId="59" fillId="0" borderId="21" xfId="0" applyFont="1" applyBorder="1" applyAlignment="1">
      <alignment horizontal="right" vertical="center" wrapText="1" readingOrder="1"/>
    </xf>
    <xf numFmtId="0" fontId="60" fillId="0" borderId="21" xfId="0" applyFont="1" applyBorder="1" applyAlignment="1">
      <alignment horizontal="left" vertical="center" wrapText="1" readingOrder="1"/>
    </xf>
    <xf numFmtId="0" fontId="60" fillId="0" borderId="21" xfId="0" applyFont="1" applyBorder="1" applyAlignment="1">
      <alignment horizontal="center" vertical="center" wrapText="1" readingOrder="1"/>
    </xf>
    <xf numFmtId="0" fontId="61" fillId="0" borderId="22" xfId="0" applyFont="1" applyBorder="1" applyAlignment="1">
      <alignment horizontal="left" vertical="top" wrapText="1" readingOrder="1"/>
    </xf>
    <xf numFmtId="0" fontId="58" fillId="0" borderId="22" xfId="0" applyFont="1" applyBorder="1" applyAlignment="1">
      <alignment horizontal="center" vertical="center" wrapText="1" readingOrder="1"/>
    </xf>
    <xf numFmtId="0" fontId="58" fillId="0" borderId="22" xfId="0" applyFont="1" applyBorder="1" applyAlignment="1">
      <alignment horizontal="left" vertical="center" wrapText="1" readingOrder="1"/>
    </xf>
    <xf numFmtId="0" fontId="59" fillId="0" borderId="22" xfId="0" applyFont="1" applyBorder="1" applyAlignment="1">
      <alignment horizontal="right" vertical="center" wrapText="1" readingOrder="1"/>
    </xf>
    <xf numFmtId="0" fontId="58" fillId="0" borderId="22" xfId="0" applyFont="1" applyBorder="1" applyAlignment="1">
      <alignment horizontal="right" vertical="center" wrapText="1" readingOrder="1"/>
    </xf>
    <xf numFmtId="0" fontId="58" fillId="0" borderId="22" xfId="0" applyFont="1" applyBorder="1" applyAlignment="1">
      <alignment horizontal="left" vertical="top" wrapText="1" readingOrder="1"/>
    </xf>
    <xf numFmtId="0" fontId="58" fillId="0" borderId="22" xfId="0" applyFont="1" applyBorder="1" applyAlignment="1">
      <alignment horizontal="left" vertical="top" readingOrder="1"/>
    </xf>
    <xf numFmtId="0" fontId="58" fillId="0" borderId="21" xfId="0" applyFont="1" applyBorder="1" applyAlignment="1">
      <alignment horizontal="right" vertical="center" wrapText="1" readingOrder="1"/>
    </xf>
    <xf numFmtId="0" fontId="61" fillId="0" borderId="21" xfId="0" applyFont="1" applyBorder="1" applyAlignment="1">
      <alignment horizontal="left" vertical="top" wrapText="1" readingOrder="1"/>
    </xf>
    <xf numFmtId="0" fontId="60" fillId="0" borderId="21" xfId="0" applyFont="1" applyBorder="1" applyAlignment="1">
      <alignment horizontal="left" vertical="top" wrapText="1" readingOrder="1"/>
    </xf>
    <xf numFmtId="0" fontId="58" fillId="0" borderId="21" xfId="0" applyFont="1" applyBorder="1" applyAlignment="1">
      <alignment horizontal="left" vertical="top" wrapText="1" readingOrder="1"/>
    </xf>
    <xf numFmtId="0" fontId="57" fillId="30" borderId="15" xfId="0" applyFont="1" applyFill="1" applyBorder="1" applyAlignment="1">
      <alignment horizontal="center" vertical="center" wrapText="1" readingOrder="1"/>
    </xf>
    <xf numFmtId="0" fontId="58" fillId="0" borderId="15" xfId="0" applyFont="1" applyBorder="1" applyAlignment="1">
      <alignment horizontal="center" wrapText="1" readingOrder="1"/>
    </xf>
    <xf numFmtId="0" fontId="59" fillId="0" borderId="15" xfId="0" applyFont="1" applyBorder="1" applyAlignment="1">
      <alignment horizontal="right" wrapText="1" readingOrder="1"/>
    </xf>
    <xf numFmtId="0" fontId="59" fillId="0" borderId="15" xfId="0" applyFont="1" applyBorder="1" applyAlignment="1">
      <alignment horizontal="left" vertical="center" wrapText="1" readingOrder="1"/>
    </xf>
    <xf numFmtId="0" fontId="59" fillId="0" borderId="18" xfId="0" applyFont="1" applyBorder="1" applyAlignment="1">
      <alignment horizontal="right" wrapText="1" readingOrder="1"/>
    </xf>
    <xf numFmtId="0" fontId="58" fillId="0" borderId="21" xfId="0" applyFont="1" applyBorder="1" applyAlignment="1">
      <alignment horizontal="left" wrapText="1" readingOrder="1"/>
    </xf>
    <xf numFmtId="0" fontId="58" fillId="0" borderId="21" xfId="0" applyFont="1" applyBorder="1" applyAlignment="1">
      <alignment horizontal="justify" vertical="center" wrapText="1" readingOrder="1"/>
    </xf>
    <xf numFmtId="0" fontId="59" fillId="0" borderId="21" xfId="0" applyFont="1" applyBorder="1" applyAlignment="1">
      <alignment horizontal="justify" vertical="center" wrapText="1" readingOrder="1"/>
    </xf>
    <xf numFmtId="0" fontId="59" fillId="0" borderId="22" xfId="0" applyFont="1" applyBorder="1" applyAlignment="1">
      <alignment horizontal="justify" vertical="center" wrapText="1" readingOrder="1"/>
    </xf>
    <xf numFmtId="0" fontId="58" fillId="0" borderId="22" xfId="0" quotePrefix="1" applyFont="1" applyBorder="1" applyAlignment="1">
      <alignment horizontal="left" vertical="center" wrapText="1" readingOrder="1"/>
    </xf>
    <xf numFmtId="0" fontId="58" fillId="0" borderId="22" xfId="0" applyFont="1" applyBorder="1" applyAlignment="1">
      <alignment horizontal="left" wrapText="1" readingOrder="1"/>
    </xf>
    <xf numFmtId="0" fontId="58" fillId="0" borderId="22" xfId="0" applyFont="1" applyBorder="1" applyAlignment="1">
      <alignment horizontal="justify" vertical="center" wrapText="1" readingOrder="1"/>
    </xf>
    <xf numFmtId="0" fontId="56" fillId="0" borderId="21" xfId="0" applyFont="1" applyBorder="1" applyAlignment="1">
      <alignment vertical="center" wrapText="1"/>
    </xf>
    <xf numFmtId="0" fontId="59" fillId="14" borderId="15" xfId="0" applyFont="1" applyFill="1" applyBorder="1" applyAlignment="1">
      <alignment horizontal="center" vertical="center" wrapText="1" readingOrder="1"/>
    </xf>
    <xf numFmtId="0" fontId="56" fillId="14" borderId="15" xfId="0" applyFont="1" applyFill="1" applyBorder="1" applyAlignment="1">
      <alignment horizontal="center" vertical="center" wrapText="1"/>
    </xf>
    <xf numFmtId="0" fontId="58" fillId="0" borderId="19" xfId="0" applyFont="1" applyBorder="1" applyAlignment="1">
      <alignment horizontal="left" vertical="center" wrapText="1" readingOrder="1"/>
    </xf>
    <xf numFmtId="0" fontId="28" fillId="25" borderId="0" xfId="0" applyFont="1" applyFill="1" applyAlignment="1">
      <alignment horizontal="left" vertical="center"/>
    </xf>
    <xf numFmtId="0" fontId="8" fillId="0" borderId="0" xfId="0" applyFont="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26" fillId="10" borderId="0" xfId="0" applyFont="1" applyFill="1" applyAlignment="1">
      <alignment horizontal="center" vertical="center"/>
    </xf>
    <xf numFmtId="0" fontId="41" fillId="17" borderId="2" xfId="0" applyFont="1" applyFill="1" applyBorder="1" applyAlignment="1">
      <alignment horizontal="center" vertical="center" wrapText="1"/>
    </xf>
    <xf numFmtId="0" fontId="41" fillId="17" borderId="9" xfId="0" applyFont="1" applyFill="1" applyBorder="1" applyAlignment="1">
      <alignment horizontal="center" vertical="center" wrapText="1"/>
    </xf>
    <xf numFmtId="0" fontId="41" fillId="17" borderId="10" xfId="0" applyFont="1" applyFill="1" applyBorder="1" applyAlignment="1">
      <alignment horizontal="center" vertical="center" wrapText="1"/>
    </xf>
    <xf numFmtId="0" fontId="6" fillId="25" borderId="2" xfId="0" applyFont="1" applyFill="1" applyBorder="1" applyAlignment="1" applyProtection="1">
      <alignment horizontal="center" vertical="center"/>
      <protection locked="0"/>
    </xf>
    <xf numFmtId="0" fontId="6" fillId="25" borderId="9" xfId="0" applyFont="1" applyFill="1" applyBorder="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41" fillId="3" borderId="2" xfId="0" applyFont="1" applyFill="1" applyBorder="1" applyAlignment="1" applyProtection="1">
      <alignment horizontal="center" vertical="center" wrapText="1"/>
      <protection locked="0"/>
    </xf>
    <xf numFmtId="0" fontId="41" fillId="3" borderId="9" xfId="0" applyFont="1" applyFill="1" applyBorder="1" applyAlignment="1" applyProtection="1">
      <alignment horizontal="center" vertical="center" wrapText="1"/>
      <protection locked="0"/>
    </xf>
    <xf numFmtId="0" fontId="41" fillId="3" borderId="10" xfId="0" applyFont="1" applyFill="1" applyBorder="1" applyAlignment="1" applyProtection="1">
      <alignment horizontal="center" vertical="center" wrapText="1"/>
      <protection locked="0"/>
    </xf>
    <xf numFmtId="0" fontId="41" fillId="3" borderId="2" xfId="0" applyFont="1" applyFill="1" applyBorder="1" applyAlignment="1">
      <alignment horizontal="center" vertical="center" wrapText="1"/>
    </xf>
    <xf numFmtId="0" fontId="41" fillId="3" borderId="9" xfId="0" applyFont="1" applyFill="1" applyBorder="1" applyAlignment="1">
      <alignment horizontal="center" vertical="center" wrapText="1"/>
    </xf>
    <xf numFmtId="0" fontId="41" fillId="3" borderId="10" xfId="0" applyFont="1" applyFill="1" applyBorder="1" applyAlignment="1">
      <alignment horizontal="center" vertical="center" wrapText="1"/>
    </xf>
    <xf numFmtId="166" fontId="26" fillId="2" borderId="1" xfId="1" applyNumberFormat="1" applyFont="1" applyFill="1" applyBorder="1" applyAlignment="1">
      <alignment horizontal="center" vertical="center" wrapText="1"/>
    </xf>
    <xf numFmtId="166" fontId="41" fillId="3" borderId="4" xfId="1" applyNumberFormat="1" applyFont="1" applyFill="1" applyBorder="1" applyAlignment="1">
      <alignment horizontal="center" vertical="center" wrapText="1"/>
    </xf>
    <xf numFmtId="166" fontId="41" fillId="3" borderId="5" xfId="1" applyNumberFormat="1" applyFont="1" applyFill="1" applyBorder="1" applyAlignment="1">
      <alignment horizontal="center" vertical="center" wrapText="1"/>
    </xf>
    <xf numFmtId="166" fontId="41" fillId="3" borderId="11" xfId="1" applyNumberFormat="1" applyFont="1" applyFill="1" applyBorder="1" applyAlignment="1">
      <alignment horizontal="center" vertical="center" wrapText="1"/>
    </xf>
    <xf numFmtId="166" fontId="41" fillId="3" borderId="12" xfId="1" applyNumberFormat="1" applyFont="1" applyFill="1" applyBorder="1" applyAlignment="1">
      <alignment horizontal="center" vertical="center" wrapText="1"/>
    </xf>
    <xf numFmtId="0" fontId="41" fillId="3" borderId="4" xfId="0" applyFont="1" applyFill="1" applyBorder="1" applyAlignment="1">
      <alignment horizontal="center" vertical="center" wrapText="1"/>
    </xf>
    <xf numFmtId="0" fontId="41" fillId="3" borderId="11" xfId="0" applyFont="1" applyFill="1" applyBorder="1" applyAlignment="1">
      <alignment horizontal="center" vertical="center" wrapText="1"/>
    </xf>
    <xf numFmtId="166" fontId="41" fillId="3" borderId="3" xfId="1" applyNumberFormat="1" applyFont="1" applyFill="1" applyBorder="1" applyAlignment="1">
      <alignment horizontal="center" vertical="center" wrapText="1"/>
    </xf>
    <xf numFmtId="0" fontId="13" fillId="25" borderId="0" xfId="0" quotePrefix="1" applyFont="1" applyFill="1" applyAlignment="1">
      <alignment horizontal="left" vertical="center"/>
    </xf>
    <xf numFmtId="0" fontId="13" fillId="25" borderId="1" xfId="0" quotePrefix="1" applyFont="1" applyFill="1" applyBorder="1" applyAlignment="1">
      <alignment horizontal="left" vertical="center"/>
    </xf>
    <xf numFmtId="0" fontId="28" fillId="25" borderId="0" xfId="0" quotePrefix="1" applyFont="1" applyFill="1" applyAlignment="1">
      <alignment horizontal="left" vertical="center"/>
    </xf>
    <xf numFmtId="0" fontId="5" fillId="3" borderId="3" xfId="0" quotePrefix="1" applyFont="1" applyFill="1" applyBorder="1" applyAlignment="1">
      <alignment horizontal="left" vertical="center"/>
    </xf>
    <xf numFmtId="0" fontId="5" fillId="3" borderId="3" xfId="0" quotePrefix="1" applyFont="1" applyFill="1" applyBorder="1" applyAlignment="1">
      <alignment horizontal="left" vertical="center" wrapText="1"/>
    </xf>
    <xf numFmtId="0" fontId="35" fillId="3" borderId="3" xfId="0" quotePrefix="1" applyFont="1" applyFill="1" applyBorder="1" applyAlignment="1">
      <alignment horizontal="left" vertical="center"/>
    </xf>
    <xf numFmtId="166" fontId="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0" fontId="11" fillId="0" borderId="13"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Alignment="1">
      <alignment horizontal="center" vertical="center"/>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8" xfId="0" applyFont="1" applyFill="1" applyBorder="1" applyAlignment="1">
      <alignment horizontal="center" vertical="center" wrapText="1" readingOrder="1"/>
    </xf>
    <xf numFmtId="0" fontId="26" fillId="19" borderId="6" xfId="0" applyFont="1" applyFill="1" applyBorder="1" applyAlignment="1">
      <alignment horizontal="center" vertical="center" wrapText="1" readingOrder="1"/>
    </xf>
    <xf numFmtId="0" fontId="26" fillId="19" borderId="7" xfId="0" applyFont="1" applyFill="1" applyBorder="1" applyAlignment="1">
      <alignment horizontal="center" vertical="center" wrapText="1" readingOrder="1"/>
    </xf>
    <xf numFmtId="0" fontId="26" fillId="19" borderId="8" xfId="0" applyFont="1" applyFill="1" applyBorder="1" applyAlignment="1">
      <alignment horizontal="center" vertical="center" wrapText="1" readingOrder="1"/>
    </xf>
    <xf numFmtId="0" fontId="57" fillId="19" borderId="25" xfId="0" applyFont="1" applyFill="1" applyBorder="1" applyAlignment="1">
      <alignment horizontal="center" vertical="center" wrapText="1" readingOrder="1"/>
    </xf>
    <xf numFmtId="0" fontId="57" fillId="19" borderId="26" xfId="0" applyFont="1" applyFill="1" applyBorder="1" applyAlignment="1">
      <alignment horizontal="center" vertical="center" wrapText="1" readingOrder="1"/>
    </xf>
    <xf numFmtId="0" fontId="58" fillId="0" borderId="22" xfId="0" applyFont="1" applyBorder="1" applyAlignment="1">
      <alignment horizontal="center" vertical="center" wrapText="1" readingOrder="1"/>
    </xf>
    <xf numFmtId="0" fontId="58" fillId="0" borderId="23" xfId="0" applyFont="1" applyBorder="1" applyAlignment="1">
      <alignment horizontal="center" vertical="center" wrapText="1" readingOrder="1"/>
    </xf>
    <xf numFmtId="0" fontId="58" fillId="0" borderId="22" xfId="0" applyFont="1" applyBorder="1" applyAlignment="1">
      <alignment horizontal="left" vertical="center" wrapText="1" readingOrder="1"/>
    </xf>
    <xf numFmtId="0" fontId="58" fillId="0" borderId="23" xfId="0" applyFont="1" applyBorder="1" applyAlignment="1">
      <alignment horizontal="left" vertical="center" wrapText="1" readingOrder="1"/>
    </xf>
    <xf numFmtId="0" fontId="59" fillId="0" borderId="22" xfId="0" applyFont="1" applyBorder="1" applyAlignment="1">
      <alignment horizontal="right" vertical="center" wrapText="1" readingOrder="1"/>
    </xf>
    <xf numFmtId="0" fontId="59" fillId="0" borderId="23" xfId="0" applyFont="1" applyBorder="1" applyAlignment="1">
      <alignment horizontal="right" vertical="center" wrapText="1" readingOrder="1"/>
    </xf>
    <xf numFmtId="0" fontId="58" fillId="0" borderId="22" xfId="0" applyFont="1" applyBorder="1" applyAlignment="1">
      <alignment horizontal="right" vertical="center" wrapText="1" readingOrder="1"/>
    </xf>
    <xf numFmtId="0" fontId="58" fillId="0" borderId="23" xfId="0" applyFont="1" applyBorder="1" applyAlignment="1">
      <alignment horizontal="right" vertical="center" wrapText="1" readingOrder="1"/>
    </xf>
    <xf numFmtId="0" fontId="57" fillId="19" borderId="22" xfId="0" applyFont="1" applyFill="1" applyBorder="1" applyAlignment="1">
      <alignment horizontal="center" vertical="center" wrapText="1" readingOrder="1"/>
    </xf>
    <xf numFmtId="0" fontId="57" fillId="19" borderId="23" xfId="0" applyFont="1" applyFill="1" applyBorder="1" applyAlignment="1">
      <alignment horizontal="center" vertical="center" wrapText="1" readingOrder="1"/>
    </xf>
    <xf numFmtId="0" fontId="59" fillId="0" borderId="25" xfId="0" applyFont="1" applyBorder="1" applyAlignment="1">
      <alignment horizontal="center" wrapText="1" readingOrder="1"/>
    </xf>
    <xf numFmtId="0" fontId="59" fillId="0" borderId="26" xfId="0" applyFont="1" applyBorder="1" applyAlignment="1">
      <alignment horizontal="center" wrapText="1" readingOrder="1"/>
    </xf>
    <xf numFmtId="0" fontId="57" fillId="19" borderId="24" xfId="0" applyFont="1" applyFill="1" applyBorder="1" applyAlignment="1">
      <alignment horizontal="center" vertical="center" wrapText="1" readingOrder="1"/>
    </xf>
    <xf numFmtId="0" fontId="57" fillId="19" borderId="29" xfId="0" applyFont="1" applyFill="1" applyBorder="1" applyAlignment="1">
      <alignment horizontal="center" vertical="center" wrapText="1" readingOrder="1"/>
    </xf>
    <xf numFmtId="0" fontId="57" fillId="19" borderId="30" xfId="0" applyFont="1" applyFill="1" applyBorder="1" applyAlignment="1">
      <alignment horizontal="center" vertical="center" wrapText="1" readingOrder="1"/>
    </xf>
    <xf numFmtId="0" fontId="58" fillId="0" borderId="18" xfId="0" applyFont="1" applyBorder="1" applyAlignment="1">
      <alignment horizontal="center" vertical="center" wrapText="1" readingOrder="1"/>
    </xf>
    <xf numFmtId="0" fontId="58" fillId="0" borderId="20" xfId="0" applyFont="1" applyBorder="1" applyAlignment="1">
      <alignment horizontal="center" vertical="center" wrapText="1" readingOrder="1"/>
    </xf>
    <xf numFmtId="0" fontId="59" fillId="0" borderId="18" xfId="0" applyFont="1" applyBorder="1" applyAlignment="1">
      <alignment horizontal="center" vertical="center" wrapText="1" readingOrder="1"/>
    </xf>
    <xf numFmtId="0" fontId="59" fillId="0" borderId="20" xfId="0" applyFont="1" applyBorder="1" applyAlignment="1">
      <alignment horizontal="center" vertical="center" wrapText="1" readingOrder="1"/>
    </xf>
    <xf numFmtId="0" fontId="56" fillId="0" borderId="18" xfId="0" applyFont="1" applyBorder="1" applyAlignment="1">
      <alignment horizontal="center" vertical="center" wrapText="1"/>
    </xf>
    <xf numFmtId="0" fontId="56" fillId="0" borderId="20" xfId="0" applyFont="1" applyBorder="1" applyAlignment="1">
      <alignment horizontal="center" vertical="center" wrapText="1"/>
    </xf>
    <xf numFmtId="0" fontId="54" fillId="0" borderId="0" xfId="0" applyFont="1" applyAlignment="1">
      <alignment horizontal="center" vertical="center" wrapText="1"/>
    </xf>
    <xf numFmtId="0" fontId="54" fillId="0" borderId="0" xfId="0" applyFont="1" applyAlignment="1">
      <alignment horizontal="center" vertical="center"/>
    </xf>
    <xf numFmtId="0" fontId="56" fillId="0" borderId="22" xfId="0" applyFont="1" applyBorder="1" applyAlignment="1">
      <alignment horizontal="center" vertical="center" wrapText="1"/>
    </xf>
    <xf numFmtId="0" fontId="56" fillId="0" borderId="23" xfId="0" applyFont="1" applyBorder="1" applyAlignment="1">
      <alignment horizontal="center" vertical="center" wrapText="1"/>
    </xf>
    <xf numFmtId="0" fontId="61" fillId="0" borderId="22" xfId="0" applyFont="1" applyBorder="1" applyAlignment="1">
      <alignment horizontal="center" vertical="top" wrapText="1" readingOrder="1"/>
    </xf>
    <xf numFmtId="0" fontId="61" fillId="0" borderId="23" xfId="0" applyFont="1" applyBorder="1" applyAlignment="1">
      <alignment horizontal="center" vertical="top" wrapText="1" readingOrder="1"/>
    </xf>
    <xf numFmtId="0" fontId="57" fillId="19" borderId="16" xfId="0" applyFont="1" applyFill="1" applyBorder="1" applyAlignment="1">
      <alignment horizontal="center" vertical="center" wrapText="1" readingOrder="1"/>
    </xf>
    <xf numFmtId="0" fontId="57" fillId="19" borderId="17" xfId="0" applyFont="1" applyFill="1" applyBorder="1" applyAlignment="1">
      <alignment horizontal="center" vertical="center" wrapText="1" readingOrder="1"/>
    </xf>
    <xf numFmtId="0" fontId="58" fillId="0" borderId="19" xfId="0" applyFont="1" applyBorder="1" applyAlignment="1">
      <alignment horizontal="center" vertical="center" wrapText="1" readingOrder="1"/>
    </xf>
    <xf numFmtId="0" fontId="59" fillId="0" borderId="19" xfId="0" applyFont="1" applyBorder="1" applyAlignment="1">
      <alignment horizontal="center" vertical="center" wrapText="1" readingOrder="1"/>
    </xf>
    <xf numFmtId="0" fontId="59" fillId="0" borderId="18" xfId="0" applyFont="1" applyBorder="1" applyAlignment="1">
      <alignment horizontal="center" wrapText="1" readingOrder="1"/>
    </xf>
    <xf numFmtId="0" fontId="59" fillId="0" borderId="19" xfId="0" applyFont="1" applyBorder="1" applyAlignment="1">
      <alignment horizontal="center" wrapText="1" readingOrder="1"/>
    </xf>
    <xf numFmtId="0" fontId="57" fillId="19" borderId="18" xfId="0" applyFont="1" applyFill="1" applyBorder="1" applyAlignment="1">
      <alignment horizontal="center" vertical="center" wrapText="1" readingOrder="1"/>
    </xf>
    <xf numFmtId="0" fontId="57" fillId="19" borderId="19" xfId="0" applyFont="1" applyFill="1" applyBorder="1" applyAlignment="1">
      <alignment horizontal="center" vertical="center" wrapText="1" readingOrder="1"/>
    </xf>
    <xf numFmtId="0" fontId="56" fillId="19" borderId="16" xfId="0" applyFont="1" applyFill="1" applyBorder="1" applyAlignment="1">
      <alignment horizontal="center" vertical="center" wrapText="1"/>
    </xf>
    <xf numFmtId="0" fontId="56" fillId="19" borderId="17" xfId="0" applyFont="1" applyFill="1" applyBorder="1" applyAlignment="1">
      <alignment horizontal="center" vertical="center" wrapText="1"/>
    </xf>
    <xf numFmtId="0" fontId="56" fillId="30" borderId="16" xfId="0" applyFont="1" applyFill="1" applyBorder="1" applyAlignment="1">
      <alignment vertical="center" wrapText="1"/>
    </xf>
    <xf numFmtId="0" fontId="56" fillId="30" borderId="17" xfId="0" applyFont="1" applyFill="1" applyBorder="1" applyAlignment="1">
      <alignment vertical="center" wrapText="1"/>
    </xf>
    <xf numFmtId="0" fontId="57" fillId="30" borderId="18" xfId="0" applyFont="1" applyFill="1" applyBorder="1" applyAlignment="1">
      <alignment horizontal="center" wrapText="1" readingOrder="1"/>
    </xf>
    <xf numFmtId="0" fontId="57" fillId="30" borderId="19" xfId="0" applyFont="1" applyFill="1" applyBorder="1" applyAlignment="1">
      <alignment horizontal="center" wrapText="1" readingOrder="1"/>
    </xf>
    <xf numFmtId="0" fontId="57" fillId="30" borderId="18" xfId="0" applyFont="1" applyFill="1" applyBorder="1" applyAlignment="1">
      <alignment horizontal="center" vertical="center" wrapText="1" readingOrder="1"/>
    </xf>
    <xf numFmtId="0" fontId="57" fillId="30" borderId="19" xfId="0" applyFont="1" applyFill="1" applyBorder="1" applyAlignment="1">
      <alignment horizontal="center" vertical="center" wrapText="1" readingOrder="1"/>
    </xf>
    <xf numFmtId="0" fontId="58" fillId="0" borderId="31" xfId="0" applyFont="1" applyBorder="1" applyAlignment="1">
      <alignment horizontal="left" vertical="center" wrapText="1" readingOrder="1"/>
    </xf>
    <xf numFmtId="0" fontId="58" fillId="0" borderId="32" xfId="0" applyFont="1" applyBorder="1" applyAlignment="1">
      <alignment horizontal="left" vertical="center" wrapText="1" readingOrder="1"/>
    </xf>
    <xf numFmtId="0" fontId="58" fillId="0" borderId="31" xfId="0" quotePrefix="1" applyFont="1" applyBorder="1" applyAlignment="1">
      <alignment horizontal="left" vertical="center" wrapText="1" readingOrder="1"/>
    </xf>
    <xf numFmtId="0" fontId="58" fillId="0" borderId="31" xfId="0" quotePrefix="1" applyFont="1" applyBorder="1" applyAlignment="1">
      <alignment horizontal="left" vertical="center" readingOrder="1"/>
    </xf>
    <xf numFmtId="0" fontId="58" fillId="0" borderId="32" xfId="0" applyFont="1" applyBorder="1" applyAlignment="1">
      <alignment horizontal="left" vertical="center" readingOrder="1"/>
    </xf>
    <xf numFmtId="0" fontId="56" fillId="19" borderId="25" xfId="0" applyFont="1" applyFill="1" applyBorder="1" applyAlignment="1">
      <alignment vertical="center" wrapText="1"/>
    </xf>
    <xf numFmtId="0" fontId="56" fillId="19" borderId="26" xfId="0" applyFont="1" applyFill="1" applyBorder="1" applyAlignment="1">
      <alignment vertical="center" wrapText="1"/>
    </xf>
    <xf numFmtId="0" fontId="59" fillId="0" borderId="25" xfId="0" applyFont="1" applyBorder="1" applyAlignment="1">
      <alignment horizontal="center" vertical="center" wrapText="1" readingOrder="1"/>
    </xf>
    <xf numFmtId="0" fontId="59" fillId="0" borderId="26" xfId="0" applyFont="1" applyBorder="1" applyAlignment="1">
      <alignment horizontal="center" vertical="center" wrapText="1" readingOrder="1"/>
    </xf>
    <xf numFmtId="0" fontId="59" fillId="14" borderId="16" xfId="0" applyFont="1" applyFill="1" applyBorder="1" applyAlignment="1">
      <alignment horizontal="center" vertical="center" wrapText="1" readingOrder="1"/>
    </xf>
    <xf numFmtId="0" fontId="59" fillId="14" borderId="17" xfId="0" applyFont="1" applyFill="1" applyBorder="1" applyAlignment="1">
      <alignment horizontal="center" vertical="center" wrapText="1" readingOrder="1"/>
    </xf>
    <xf numFmtId="0" fontId="58" fillId="0" borderId="18" xfId="0" applyFont="1" applyBorder="1" applyAlignment="1">
      <alignment horizontal="left" vertical="center" wrapText="1" readingOrder="1"/>
    </xf>
    <xf numFmtId="0" fontId="58" fillId="0" borderId="20" xfId="0" applyFont="1" applyBorder="1" applyAlignment="1">
      <alignment horizontal="left" vertical="center" wrapText="1" readingOrder="1"/>
    </xf>
    <xf numFmtId="0" fontId="58" fillId="0" borderId="19" xfId="0" applyFont="1" applyBorder="1" applyAlignment="1">
      <alignment horizontal="left" vertical="center" wrapText="1" readingOrder="1"/>
    </xf>
    <xf numFmtId="0" fontId="7" fillId="0" borderId="0" xfId="0" applyFont="1" applyAlignment="1">
      <alignment horizontal="center" vertical="center" wrapText="1"/>
    </xf>
    <xf numFmtId="0" fontId="7" fillId="0" borderId="0" xfId="0" applyFont="1" applyAlignment="1">
      <alignment horizontal="center" vertical="center"/>
    </xf>
    <xf numFmtId="0" fontId="11" fillId="0" borderId="1" xfId="0" applyFont="1" applyBorder="1" applyAlignment="1">
      <alignment horizontal="center" vertical="center"/>
    </xf>
  </cellXfs>
  <cellStyles count="288">
    <cellStyle name="Comma" xfId="1" builtinId="3"/>
    <cellStyle name="Comma [0] 2" xfId="267"/>
    <cellStyle name="Comma 10" xfId="5"/>
    <cellStyle name="Comma 10 10" xfId="286"/>
    <cellStyle name="Comma 10 2" xfId="13"/>
    <cellStyle name="Comma 10 2 2" xfId="28"/>
    <cellStyle name="Comma 10 4" xfId="14"/>
    <cellStyle name="Comma 101 8" xfId="72"/>
    <cellStyle name="Comma 101 8 2" xfId="82"/>
    <cellStyle name="Comma 101 8 2 2" xfId="107"/>
    <cellStyle name="Comma 101 8 2 2 2" xfId="157"/>
    <cellStyle name="Comma 101 8 2 2 2 2" xfId="257"/>
    <cellStyle name="Comma 101 8 2 2 3" xfId="207"/>
    <cellStyle name="Comma 101 8 2 3" xfId="132"/>
    <cellStyle name="Comma 101 8 2 3 2" xfId="232"/>
    <cellStyle name="Comma 101 8 2 4" xfId="182"/>
    <cellStyle name="Comma 101 8 3" xfId="100"/>
    <cellStyle name="Comma 101 8 3 2" xfId="150"/>
    <cellStyle name="Comma 101 8 3 2 2" xfId="250"/>
    <cellStyle name="Comma 101 8 3 3" xfId="200"/>
    <cellStyle name="Comma 101 8 4" xfId="125"/>
    <cellStyle name="Comma 101 8 4 2" xfId="225"/>
    <cellStyle name="Comma 101 8 5" xfId="175"/>
    <cellStyle name="Comma 11 10 15" xfId="69"/>
    <cellStyle name="Comma 11 10 15 2" xfId="80"/>
    <cellStyle name="Comma 11 10 15 2 2" xfId="105"/>
    <cellStyle name="Comma 11 10 15 2 2 2" xfId="155"/>
    <cellStyle name="Comma 11 10 15 2 2 2 2" xfId="255"/>
    <cellStyle name="Comma 11 10 15 2 2 3" xfId="205"/>
    <cellStyle name="Comma 11 10 15 2 3" xfId="130"/>
    <cellStyle name="Comma 11 10 15 2 3 2" xfId="230"/>
    <cellStyle name="Comma 11 10 15 2 4" xfId="180"/>
    <cellStyle name="Comma 11 10 15 3" xfId="98"/>
    <cellStyle name="Comma 11 10 15 3 2" xfId="148"/>
    <cellStyle name="Comma 11 10 15 3 2 2" xfId="248"/>
    <cellStyle name="Comma 11 10 15 3 3" xfId="198"/>
    <cellStyle name="Comma 11 10 15 4" xfId="123"/>
    <cellStyle name="Comma 11 10 15 4 2" xfId="223"/>
    <cellStyle name="Comma 11 10 15 5" xfId="173"/>
    <cellStyle name="Comma 11 2 2" xfId="62"/>
    <cellStyle name="Comma 13" xfId="3"/>
    <cellStyle name="Comma 2" xfId="46"/>
    <cellStyle name="Comma 2 10 3 2" xfId="261"/>
    <cellStyle name="Comma 2 2" xfId="10"/>
    <cellStyle name="Comma 2 2 2" xfId="12"/>
    <cellStyle name="Comma 2 2 2 2" xfId="42"/>
    <cellStyle name="Comma 2 25" xfId="57"/>
    <cellStyle name="Comma 2 26 3" xfId="264"/>
    <cellStyle name="Comma 2 3" xfId="52"/>
    <cellStyle name="Comma 2 3 2" xfId="71"/>
    <cellStyle name="Comma 2 3 2 2" xfId="81"/>
    <cellStyle name="Comma 2 3 2 2 2" xfId="106"/>
    <cellStyle name="Comma 2 3 2 2 2 2" xfId="156"/>
    <cellStyle name="Comma 2 3 2 2 2 2 2" xfId="256"/>
    <cellStyle name="Comma 2 3 2 2 2 3" xfId="206"/>
    <cellStyle name="Comma 2 3 2 2 3" xfId="131"/>
    <cellStyle name="Comma 2 3 2 2 3 2" xfId="231"/>
    <cellStyle name="Comma 2 3 2 2 4" xfId="181"/>
    <cellStyle name="Comma 2 3 2 3" xfId="99"/>
    <cellStyle name="Comma 2 3 2 3 2" xfId="149"/>
    <cellStyle name="Comma 2 3 2 3 2 2" xfId="249"/>
    <cellStyle name="Comma 2 3 2 3 3" xfId="199"/>
    <cellStyle name="Comma 2 3 2 4" xfId="124"/>
    <cellStyle name="Comma 2 3 2 4 2" xfId="224"/>
    <cellStyle name="Comma 2 3 2 5" xfId="174"/>
    <cellStyle name="Comma 2 4" xfId="63"/>
    <cellStyle name="Comma 2 5" xfId="284"/>
    <cellStyle name="Comma 3" xfId="6"/>
    <cellStyle name="Comma 3 2" xfId="53"/>
    <cellStyle name="Comma 3 2 2" xfId="9"/>
    <cellStyle name="Comma 3 3" xfId="65"/>
    <cellStyle name="Comma 3 3 2" xfId="54"/>
    <cellStyle name="Comma 3 3 2 2" xfId="78"/>
    <cellStyle name="Comma 3 3 2 2 2" xfId="103"/>
    <cellStyle name="Comma 3 3 2 2 2 2" xfId="153"/>
    <cellStyle name="Comma 3 3 2 2 2 2 2" xfId="253"/>
    <cellStyle name="Comma 3 3 2 2 2 3" xfId="203"/>
    <cellStyle name="Comma 3 3 2 2 3" xfId="128"/>
    <cellStyle name="Comma 3 3 2 2 3 2" xfId="228"/>
    <cellStyle name="Comma 3 3 2 2 4" xfId="178"/>
    <cellStyle name="Comma 3 3 3" xfId="96"/>
    <cellStyle name="Comma 3 3 3 2" xfId="146"/>
    <cellStyle name="Comma 3 3 3 2 2" xfId="246"/>
    <cellStyle name="Comma 3 3 3 3" xfId="196"/>
    <cellStyle name="Comma 3 3 4" xfId="121"/>
    <cellStyle name="Comma 3 3 4 2" xfId="221"/>
    <cellStyle name="Comma 3 3 5" xfId="171"/>
    <cellStyle name="Comma 3 4" xfId="273"/>
    <cellStyle name="Comma 37" xfId="26"/>
    <cellStyle name="Comma 4" xfId="45"/>
    <cellStyle name="Comma 5" xfId="40"/>
    <cellStyle name="Ledger 17 x 11 in" xfId="276"/>
    <cellStyle name="Normal" xfId="0" builtinId="0"/>
    <cellStyle name="Normal 10" xfId="271"/>
    <cellStyle name="Normal 10 3" xfId="274"/>
    <cellStyle name="Normal 11 2" xfId="7"/>
    <cellStyle name="Normal 11 2 2" xfId="51"/>
    <cellStyle name="Normal 161" xfId="260"/>
    <cellStyle name="Normal 2" xfId="11"/>
    <cellStyle name="Normal 2 10" xfId="24"/>
    <cellStyle name="Normal 2 11" xfId="266"/>
    <cellStyle name="Normal 2 15" xfId="272"/>
    <cellStyle name="Normal 2 19" xfId="75"/>
    <cellStyle name="Normal 2 19 2" xfId="41"/>
    <cellStyle name="Normal 2 19 2 2" xfId="83"/>
    <cellStyle name="Normal 2 19 2 2 2" xfId="108"/>
    <cellStyle name="Normal 2 19 2 2 2 2" xfId="158"/>
    <cellStyle name="Normal 2 19 2 2 2 2 2" xfId="258"/>
    <cellStyle name="Normal 2 19 2 2 2 3" xfId="208"/>
    <cellStyle name="Normal 2 19 2 2 3" xfId="133"/>
    <cellStyle name="Normal 2 19 2 2 3 2" xfId="233"/>
    <cellStyle name="Normal 2 19 2 2 4" xfId="183"/>
    <cellStyle name="Normal 2 19 3" xfId="101"/>
    <cellStyle name="Normal 2 19 3 2" xfId="151"/>
    <cellStyle name="Normal 2 19 3 2 2" xfId="251"/>
    <cellStyle name="Normal 2 19 3 3" xfId="201"/>
    <cellStyle name="Normal 2 19 4" xfId="126"/>
    <cellStyle name="Normal 2 19 4 2" xfId="226"/>
    <cellStyle name="Normal 2 19 5" xfId="176"/>
    <cellStyle name="Normal 2 2" xfId="25"/>
    <cellStyle name="Normal 2 2 10" xfId="34"/>
    <cellStyle name="Normal 2 2 10 2 2" xfId="43"/>
    <cellStyle name="Normal 2 2 10 3" xfId="259"/>
    <cellStyle name="Normal 2 2 13" xfId="22"/>
    <cellStyle name="Normal 2 2 13 2" xfId="35"/>
    <cellStyle name="Normal 2 2 13 2 2 2 2 2" xfId="287"/>
    <cellStyle name="Normal 2 2 14" xfId="32"/>
    <cellStyle name="Normal 2 2 14 2" xfId="94"/>
    <cellStyle name="Normal 2 2 14 2 2" xfId="144"/>
    <cellStyle name="Normal 2 2 14 2 2 2" xfId="244"/>
    <cellStyle name="Normal 2 2 14 2 3" xfId="194"/>
    <cellStyle name="Normal 2 2 14 3" xfId="119"/>
    <cellStyle name="Normal 2 2 14 3 2" xfId="219"/>
    <cellStyle name="Normal 2 2 14 4" xfId="169"/>
    <cellStyle name="Normal 2 2 16" xfId="279"/>
    <cellStyle name="Normal 2 2 2" xfId="263"/>
    <cellStyle name="Normal 2 2 2 19" xfId="269"/>
    <cellStyle name="Normal 2 2 2 19 2" xfId="278"/>
    <cellStyle name="Normal 2 2 2 3" xfId="64"/>
    <cellStyle name="Normal 2 2 2 3 2" xfId="77"/>
    <cellStyle name="Normal 2 2 2 3 2 2" xfId="102"/>
    <cellStyle name="Normal 2 2 2 3 2 2 2" xfId="152"/>
    <cellStyle name="Normal 2 2 2 3 2 2 2 2" xfId="252"/>
    <cellStyle name="Normal 2 2 2 3 2 2 3" xfId="202"/>
    <cellStyle name="Normal 2 2 2 3 2 3" xfId="127"/>
    <cellStyle name="Normal 2 2 2 3 2 3 2" xfId="227"/>
    <cellStyle name="Normal 2 2 2 3 2 4" xfId="177"/>
    <cellStyle name="Normal 2 2 2 3 3" xfId="95"/>
    <cellStyle name="Normal 2 2 2 3 3 2" xfId="145"/>
    <cellStyle name="Normal 2 2 2 3 3 2 2" xfId="245"/>
    <cellStyle name="Normal 2 2 2 3 3 3" xfId="195"/>
    <cellStyle name="Normal 2 2 2 3 4" xfId="120"/>
    <cellStyle name="Normal 2 2 2 3 4 2" xfId="220"/>
    <cellStyle name="Normal 2 2 2 3 5" xfId="170"/>
    <cellStyle name="Normal 2 2 26" xfId="55"/>
    <cellStyle name="Normal 2 2 33" xfId="277"/>
    <cellStyle name="Normal 2 2 6" xfId="47"/>
    <cellStyle name="Normal 2 2 8" xfId="48"/>
    <cellStyle name="Normal 2 3" xfId="39"/>
    <cellStyle name="Normal 2 3 2 2 2" xfId="4"/>
    <cellStyle name="Normal 2 4" xfId="262"/>
    <cellStyle name="Normal 2 5" xfId="281"/>
    <cellStyle name="Normal 2 6 2" xfId="265"/>
    <cellStyle name="Normal 21" xfId="20"/>
    <cellStyle name="Normal 21 2" xfId="29"/>
    <cellStyle name="Normal 21 2 2" xfId="92"/>
    <cellStyle name="Normal 21 2 2 2" xfId="142"/>
    <cellStyle name="Normal 21 2 2 2 2" xfId="242"/>
    <cellStyle name="Normal 21 2 2 3" xfId="192"/>
    <cellStyle name="Normal 21 2 3" xfId="117"/>
    <cellStyle name="Normal 21 2 3 2" xfId="217"/>
    <cellStyle name="Normal 21 2 4" xfId="167"/>
    <cellStyle name="Normal 21 3" xfId="68"/>
    <cellStyle name="Normal 21 3 2" xfId="79"/>
    <cellStyle name="Normal 21 3 2 2" xfId="104"/>
    <cellStyle name="Normal 21 3 2 2 2" xfId="154"/>
    <cellStyle name="Normal 21 3 2 2 2 2" xfId="254"/>
    <cellStyle name="Normal 21 3 2 2 3" xfId="204"/>
    <cellStyle name="Normal 21 3 2 3" xfId="129"/>
    <cellStyle name="Normal 21 3 2 3 2" xfId="229"/>
    <cellStyle name="Normal 21 3 2 4" xfId="179"/>
    <cellStyle name="Normal 21 3 3" xfId="97"/>
    <cellStyle name="Normal 21 3 3 2" xfId="147"/>
    <cellStyle name="Normal 21 3 3 2 2" xfId="247"/>
    <cellStyle name="Normal 21 3 3 3" xfId="197"/>
    <cellStyle name="Normal 21 3 4" xfId="122"/>
    <cellStyle name="Normal 21 3 4 2" xfId="222"/>
    <cellStyle name="Normal 21 3 5" xfId="172"/>
    <cellStyle name="Normal 21 4" xfId="90"/>
    <cellStyle name="Normal 21 4 2" xfId="140"/>
    <cellStyle name="Normal 21 4 2 2" xfId="240"/>
    <cellStyle name="Normal 21 4 3" xfId="190"/>
    <cellStyle name="Normal 21 5" xfId="115"/>
    <cellStyle name="Normal 21 5 2" xfId="215"/>
    <cellStyle name="Normal 21 6" xfId="165"/>
    <cellStyle name="Normal 278" xfId="282"/>
    <cellStyle name="Normal 3" xfId="8"/>
    <cellStyle name="Normal 3 19" xfId="21"/>
    <cellStyle name="Normal 3 2" xfId="30"/>
    <cellStyle name="Normal 3 2 2" xfId="66"/>
    <cellStyle name="Normal 3 2 2 2" xfId="268"/>
    <cellStyle name="Normal 3 2 3" xfId="93"/>
    <cellStyle name="Normal 3 2 3 2" xfId="143"/>
    <cellStyle name="Normal 3 2 3 2 2" xfId="243"/>
    <cellStyle name="Normal 3 2 3 3" xfId="193"/>
    <cellStyle name="Normal 3 2 4" xfId="118"/>
    <cellStyle name="Normal 3 2 4 2" xfId="218"/>
    <cellStyle name="Normal 3 2 5" xfId="168"/>
    <cellStyle name="Normal 3 3" xfId="50"/>
    <cellStyle name="Normal 3 3 2" xfId="270"/>
    <cellStyle name="Normal 3 4" xfId="84"/>
    <cellStyle name="Normal 3 4 2" xfId="134"/>
    <cellStyle name="Normal 3 4 2 2" xfId="234"/>
    <cellStyle name="Normal 3 4 3" xfId="184"/>
    <cellStyle name="Normal 3 5" xfId="109"/>
    <cellStyle name="Normal 3 5 2" xfId="209"/>
    <cellStyle name="Normal 3 6" xfId="159"/>
    <cellStyle name="Normal 38" xfId="59"/>
    <cellStyle name="Normal 38 2" xfId="61"/>
    <cellStyle name="Normal 39" xfId="76"/>
    <cellStyle name="Normal 4" xfId="23"/>
    <cellStyle name="Normal 4 2" xfId="70"/>
    <cellStyle name="Normal 4 3" xfId="91"/>
    <cellStyle name="Normal 4 3 2" xfId="141"/>
    <cellStyle name="Normal 4 3 2 2" xfId="241"/>
    <cellStyle name="Normal 4 3 3" xfId="191"/>
    <cellStyle name="Normal 4 4" xfId="116"/>
    <cellStyle name="Normal 4 4 2" xfId="216"/>
    <cellStyle name="Normal 4 5" xfId="166"/>
    <cellStyle name="Normal 408" xfId="15"/>
    <cellStyle name="Normal 408 2" xfId="85"/>
    <cellStyle name="Normal 408 2 2" xfId="135"/>
    <cellStyle name="Normal 408 2 2 2" xfId="235"/>
    <cellStyle name="Normal 408 2 3" xfId="185"/>
    <cellStyle name="Normal 408 3" xfId="110"/>
    <cellStyle name="Normal 408 3 2" xfId="210"/>
    <cellStyle name="Normal 408 4" xfId="160"/>
    <cellStyle name="Normal 409 2 3" xfId="38"/>
    <cellStyle name="Normal 41" xfId="31"/>
    <cellStyle name="Normal 41 2" xfId="280"/>
    <cellStyle name="Normal 410" xfId="16"/>
    <cellStyle name="Normal 410 2" xfId="86"/>
    <cellStyle name="Normal 410 2 2" xfId="136"/>
    <cellStyle name="Normal 410 2 2 2" xfId="236"/>
    <cellStyle name="Normal 410 2 3" xfId="186"/>
    <cellStyle name="Normal 410 3" xfId="111"/>
    <cellStyle name="Normal 410 3 2" xfId="211"/>
    <cellStyle name="Normal 410 4" xfId="161"/>
    <cellStyle name="Normal 411" xfId="17"/>
    <cellStyle name="Normal 411 2" xfId="87"/>
    <cellStyle name="Normal 411 2 2" xfId="137"/>
    <cellStyle name="Normal 411 2 2 2" xfId="237"/>
    <cellStyle name="Normal 411 2 3" xfId="187"/>
    <cellStyle name="Normal 411 3" xfId="112"/>
    <cellStyle name="Normal 411 3 2" xfId="212"/>
    <cellStyle name="Normal 411 4" xfId="162"/>
    <cellStyle name="Normal 412" xfId="18"/>
    <cellStyle name="Normal 412 2" xfId="88"/>
    <cellStyle name="Normal 412 2 2" xfId="138"/>
    <cellStyle name="Normal 412 2 2 2" xfId="238"/>
    <cellStyle name="Normal 412 2 3" xfId="188"/>
    <cellStyle name="Normal 412 3" xfId="113"/>
    <cellStyle name="Normal 412 3 2" xfId="213"/>
    <cellStyle name="Normal 412 4" xfId="163"/>
    <cellStyle name="Normal 413" xfId="19"/>
    <cellStyle name="Normal 413 2" xfId="89"/>
    <cellStyle name="Normal 413 2 2" xfId="139"/>
    <cellStyle name="Normal 413 2 2 2" xfId="239"/>
    <cellStyle name="Normal 413 2 3" xfId="189"/>
    <cellStyle name="Normal 413 3" xfId="114"/>
    <cellStyle name="Normal 413 3 2" xfId="214"/>
    <cellStyle name="Normal 413 4" xfId="164"/>
    <cellStyle name="Normal 415" xfId="36"/>
    <cellStyle name="Normal 415 3" xfId="37"/>
    <cellStyle name="Normal 42 2" xfId="56"/>
    <cellStyle name="Normal 42 2 2" xfId="58"/>
    <cellStyle name="Normal 428" xfId="49"/>
    <cellStyle name="Normal 44" xfId="285"/>
    <cellStyle name="Normal 5" xfId="73"/>
    <cellStyle name="Normal 6" xfId="283"/>
    <cellStyle name="Normal 65" xfId="44"/>
    <cellStyle name="Normal 7 3" xfId="74"/>
    <cellStyle name="Normal 8" xfId="33"/>
    <cellStyle name="Normal 9" xfId="275"/>
    <cellStyle name="Normal 96 2" xfId="67"/>
    <cellStyle name="Percent" xfId="2" builtinId="5"/>
    <cellStyle name="Percent 10" xfId="27"/>
    <cellStyle name="Percent 2 4" xfId="60"/>
  </cellStyles>
  <dxfs count="0"/>
  <tableStyles count="0" defaultTableStyle="TableStyleMedium2" defaultPivotStyle="PivotStyleLight16"/>
  <colors>
    <mruColors>
      <color rgb="FF0000FF"/>
      <color rgb="FFEE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6.%20QHDC%20TT%20VIET%20NAM\TT%20KTTC\2024\Ket%20qua\Cac%20mang\Masterlist%202024-2025%20co%20Thue%20-%20Phi%20Gui%20cac%20ma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TD\14122024\IP_WDM_Copy%20of%20Masterlist%202025-2026%20co%20Thue%20-%20Phi%20(theo%20PA2)_Cap%20quang_14_Dec_2024%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C&#272;\16122024\Masterlist%202025-2026%20co%20Thue%20-%20Phi%20(theo%20PA2)%20gui%20cac%20mang_16De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6.%20QHDC%20TT%20VIET%20NAM\TT%20KTTC\2024\Ket%20qua\Tong%20hop\PDF\Masterlist%202024-2025%20co%20Thue%20-%20Phi%20(201220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VT\QHTKVT_Masterlist%202025-2026%20co%20Thue%20-%20Phi%20(theo%20PA2)%20gui%20cac%20mang.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sterlist%202027-2028_CD_290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ster%20list%20QHDC%202027_2028_ML_080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0ef064afb5ff4b56/VT/1.Quy%20Hoach%20ML/QH&#272;C%20Mozambique/QHDC%20MOV%202027%202028/Master%20list%20QHDC%202027_2028_ML_080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ter%20list%202027_2028_CDBR_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admin\AppData\Local\Microsoft\Windows\INetCache\Content.Outlook\O1QN74MD\Form%20-%20Masterlist%202027-2028%20(Gui%20cac%20mang)_MOV_CD_V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sterlist%202027-2028_CNTT_120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admin\AppData\Local\Microsoft\Windows\INetCache\Content.Outlook\O1QN74MD\MVT_Masterlist%202027-2028_tinh%20rieng%205g_20260920_19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4-2025"/>
      <sheetName val="PL1.2 TH theo mục đích"/>
      <sheetName val="PL1.3 Buc tranh sau QH"/>
      <sheetName val="Mã"/>
      <sheetName val="BC 6239"/>
      <sheetName val="DTDV"/>
      <sheetName val="So sanh theo mang"/>
      <sheetName val="So sanh theo DV"/>
      <sheetName val="PL1.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4-2025"/>
      <sheetName val="PL1.2 TH theo mục đích"/>
      <sheetName val="PL1.3 Buc tranh sau QH"/>
      <sheetName val="Mã"/>
      <sheetName val="BC 6239"/>
      <sheetName val="DTDV"/>
      <sheetName val="So sanh theo mang"/>
      <sheetName val="So sanh theo DV"/>
      <sheetName val="PL1.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PL1.2 TH theo mục đích"/>
      <sheetName val="PL1.3 Buc tranh sau QH"/>
      <sheetName val="TH theo DV"/>
      <sheetName val="Input TTr-2026-2030"/>
      <sheetName val="Summary BTS"/>
      <sheetName val="BOM DHCX- Cold Aisle Contain "/>
      <sheetName val="Thay the theo nien han_TTr"/>
      <sheetName val="Note"/>
      <sheetName val="ML_QHDC 2026-BTS"/>
      <sheetName val="ML_QHDC 2026-MTSO"/>
      <sheetName val="Mã"/>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H theo DV"/>
      <sheetName val="PL1.2 TH theo mục đích"/>
      <sheetName val="PL1.3 Buc tranh sau QH"/>
      <sheetName val="Mã"/>
    </sheetNames>
    <sheetDataSet>
      <sheetData sheetId="0" refreshError="1"/>
      <sheetData sheetId="1" refreshError="1"/>
      <sheetData sheetId="2" refreshError="1"/>
      <sheetData sheetId="3" refreshError="1"/>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ã"/>
      <sheetName val="PL1.1 ML2027-2028"/>
      <sheetName val="TH theo DV"/>
      <sheetName val="PL1.2 TH theo mục đích"/>
      <sheetName val="PL1.3 Buc tranh sau QH"/>
    </sheetNames>
    <sheetDataSet>
      <sheetData sheetId="0" refreshError="1"/>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ong tien theo danh muc"/>
      <sheetName val="Thị phần"/>
      <sheetName val="Tinh mat do cong tren ho"/>
      <sheetName val="PL1.2 TH theo mục đích"/>
      <sheetName val="PL1.3 Buc tranh sau QH"/>
      <sheetName val="TH theo DV"/>
      <sheetName val="Mã"/>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CD-Slide 3"/>
      <sheetName val="CD-Slide 2"/>
      <sheetName val="CD-Slide 1"/>
      <sheetName val="PL1.2 TH theo mục đích"/>
      <sheetName val="TH theo DV"/>
      <sheetName val="Slide-giai phap ky thuat"/>
      <sheetName val="PL1.3 Buc tranh sau QH"/>
      <sheetName val="Input TTr-2026-2030"/>
      <sheetName val="Summary BTS"/>
      <sheetName val="BOM DHCX- Cold Aisle Contain "/>
      <sheetName val="Thay the theo nien han_TTr"/>
      <sheetName val="Note"/>
      <sheetName val="ML_QHDC 2026-BTS"/>
      <sheetName val="ML_QHDC 2026-MTSO"/>
      <sheetName val="Mã"/>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H theo DV"/>
      <sheetName val="PL1.2 TH theo mục đích"/>
      <sheetName val="PL1.3 Buc tranh sau QH"/>
      <sheetName val="Mã"/>
      <sheetName val="Dien giai"/>
      <sheetName val="Sheet1"/>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PL1.1 ML2027-2028_PA2"/>
      <sheetName val="TMDT_CNTT_PA1"/>
      <sheetName val="GoiThau_CNTT_PA1"/>
      <sheetName val="TMDT_VI_PA1"/>
      <sheetName val="GoiThau_VI_PA1"/>
      <sheetName val="TH theo DV"/>
      <sheetName val="PL1.2 TH theo mục đích"/>
      <sheetName val="PL1.3 Buc tranh sau QH"/>
      <sheetName val="Đơn giá"/>
      <sheetName val="Mã"/>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EE0033"/>
    <outlinePr summaryBelow="0" summaryRight="0"/>
    <pageSetUpPr fitToPage="1"/>
  </sheetPr>
  <dimension ref="A1:R2938"/>
  <sheetViews>
    <sheetView zoomScale="55" zoomScaleNormal="55" workbookViewId="0">
      <pane xSplit="3" ySplit="7" topLeftCell="D8" activePane="bottomRight" state="frozen"/>
      <selection activeCell="AD1" sqref="AD1:AI1048576"/>
      <selection pane="topRight" activeCell="AD1" sqref="AD1:AI1048576"/>
      <selection pane="bottomLeft" activeCell="AD1" sqref="AD1:AI1048576"/>
      <selection pane="bottomRight" activeCell="D17" sqref="D17"/>
    </sheetView>
  </sheetViews>
  <sheetFormatPr defaultColWidth="9.26953125" defaultRowHeight="13" outlineLevelRow="5" outlineLevelCol="1"/>
  <cols>
    <col min="1" max="1" width="6.1796875" style="65" customWidth="1"/>
    <col min="2" max="2" width="62" style="66" customWidth="1"/>
    <col min="3" max="3" width="6.7265625" style="67" customWidth="1"/>
    <col min="4" max="5" width="16.7265625" style="68" customWidth="1" outlineLevel="1"/>
    <col min="6" max="6" width="14.6328125" style="73" bestFit="1" customWidth="1" outlineLevel="1" collapsed="1"/>
    <col min="7" max="8" width="16.7265625" style="70" customWidth="1" outlineLevel="1"/>
    <col min="9" max="9" width="13.1796875" style="69" customWidth="1"/>
    <col min="10" max="10" width="6.7265625" style="6" customWidth="1"/>
    <col min="11" max="11" width="7.7265625" style="6" customWidth="1" outlineLevel="1"/>
    <col min="12" max="12" width="4.54296875" style="6" customWidth="1" outlineLevel="1"/>
    <col min="13" max="13" width="12.54296875" style="6" customWidth="1" outlineLevel="1"/>
    <col min="14" max="14" width="10.1796875" style="6" customWidth="1" outlineLevel="1"/>
    <col min="15" max="15" width="9.1796875" style="37" customWidth="1" outlineLevel="1"/>
    <col min="16" max="16" width="57.08984375" style="236" customWidth="1"/>
    <col min="17" max="17" width="16.453125" style="37" customWidth="1"/>
    <col min="18" max="25" width="9.26953125" style="5" customWidth="1"/>
    <col min="26" max="16384" width="9.26953125" style="5"/>
  </cols>
  <sheetData>
    <row r="1" spans="1:17" ht="40" customHeight="1">
      <c r="A1" s="807" t="s">
        <v>330</v>
      </c>
      <c r="B1" s="807"/>
      <c r="C1" s="807"/>
      <c r="D1" s="807"/>
      <c r="E1" s="807"/>
      <c r="F1" s="807"/>
      <c r="G1" s="807"/>
      <c r="H1" s="807"/>
      <c r="I1" s="807"/>
      <c r="J1" s="54"/>
      <c r="K1" s="54"/>
      <c r="L1" s="54"/>
      <c r="M1" s="54"/>
      <c r="N1" s="54"/>
      <c r="O1" s="54"/>
      <c r="P1" s="805" t="s">
        <v>934</v>
      </c>
    </row>
    <row r="2" spans="1:17" s="157" customFormat="1" ht="6.65" customHeight="1">
      <c r="A2" s="799"/>
      <c r="B2" s="799"/>
      <c r="C2" s="94"/>
      <c r="D2" s="95"/>
      <c r="E2" s="95"/>
      <c r="F2" s="95"/>
      <c r="G2" s="95"/>
      <c r="H2" s="95"/>
      <c r="I2" s="97"/>
      <c r="J2" s="155"/>
      <c r="K2" s="155"/>
      <c r="L2" s="155"/>
      <c r="M2" s="155"/>
      <c r="N2" s="155"/>
      <c r="O2" s="156"/>
      <c r="P2" s="806"/>
      <c r="Q2" s="154"/>
    </row>
    <row r="3" spans="1:17" s="160" customFormat="1">
      <c r="A3" s="800"/>
      <c r="B3" s="800"/>
      <c r="C3" s="98"/>
      <c r="D3" s="99"/>
      <c r="E3" s="99"/>
      <c r="F3" s="96"/>
      <c r="G3" s="814" t="s">
        <v>116</v>
      </c>
      <c r="H3" s="814"/>
      <c r="I3" s="100"/>
      <c r="J3" s="801" t="s">
        <v>116</v>
      </c>
      <c r="K3" s="801"/>
      <c r="L3" s="801"/>
      <c r="M3" s="155"/>
      <c r="N3" s="155"/>
      <c r="O3" s="159"/>
      <c r="P3" s="806"/>
      <c r="Q3" s="158"/>
    </row>
    <row r="4" spans="1:17" s="246" customFormat="1" ht="26.25" customHeight="1">
      <c r="A4" s="808" t="s">
        <v>0</v>
      </c>
      <c r="B4" s="808" t="s">
        <v>1</v>
      </c>
      <c r="C4" s="811" t="s">
        <v>2</v>
      </c>
      <c r="D4" s="815" t="s">
        <v>331</v>
      </c>
      <c r="E4" s="816"/>
      <c r="F4" s="819" t="s">
        <v>107</v>
      </c>
      <c r="G4" s="821" t="s">
        <v>184</v>
      </c>
      <c r="H4" s="821"/>
      <c r="I4" s="802" t="s">
        <v>185</v>
      </c>
      <c r="J4" s="243" t="s">
        <v>78</v>
      </c>
      <c r="K4" s="243" t="s">
        <v>79</v>
      </c>
      <c r="L4" s="243" t="s">
        <v>80</v>
      </c>
      <c r="M4" s="244"/>
      <c r="N4" s="244"/>
      <c r="O4" s="244"/>
      <c r="P4" s="806"/>
      <c r="Q4" s="245"/>
    </row>
    <row r="5" spans="1:17" s="246" customFormat="1" ht="13.15" customHeight="1">
      <c r="A5" s="809"/>
      <c r="B5" s="809"/>
      <c r="C5" s="812"/>
      <c r="D5" s="817"/>
      <c r="E5" s="818"/>
      <c r="F5" s="820"/>
      <c r="G5" s="821"/>
      <c r="H5" s="821"/>
      <c r="I5" s="803"/>
      <c r="J5" s="243"/>
      <c r="K5" s="243"/>
      <c r="L5" s="243"/>
      <c r="M5" s="244"/>
      <c r="N5" s="244"/>
      <c r="O5" s="244"/>
      <c r="P5" s="806"/>
      <c r="Q5" s="245"/>
    </row>
    <row r="6" spans="1:17" s="246" customFormat="1" ht="14">
      <c r="A6" s="810"/>
      <c r="B6" s="810"/>
      <c r="C6" s="813"/>
      <c r="D6" s="247">
        <v>2027</v>
      </c>
      <c r="E6" s="247">
        <v>2028</v>
      </c>
      <c r="F6" s="248" t="s">
        <v>3</v>
      </c>
      <c r="G6" s="247">
        <v>2027</v>
      </c>
      <c r="H6" s="247">
        <v>2028</v>
      </c>
      <c r="I6" s="803"/>
      <c r="J6" s="243"/>
      <c r="K6" s="243"/>
      <c r="L6" s="243"/>
      <c r="M6" s="244"/>
      <c r="N6" s="244"/>
      <c r="O6" s="244"/>
      <c r="P6" s="806"/>
      <c r="Q6" s="245"/>
    </row>
    <row r="7" spans="1:17" s="255" customFormat="1" ht="14" outlineLevel="1">
      <c r="A7" s="249"/>
      <c r="B7" s="250"/>
      <c r="C7" s="250">
        <v>6</v>
      </c>
      <c r="D7" s="251"/>
      <c r="E7" s="251"/>
      <c r="F7" s="252">
        <v>7</v>
      </c>
      <c r="G7" s="253">
        <f>SUBTOTAL(9,G8:G2592)</f>
        <v>123355280.82176365</v>
      </c>
      <c r="H7" s="253">
        <f>SUBTOTAL(9,H8:H2592)</f>
        <v>101020876.98531467</v>
      </c>
      <c r="I7" s="804"/>
      <c r="J7" s="244"/>
      <c r="K7" s="244"/>
      <c r="L7" s="244"/>
      <c r="M7" s="244"/>
      <c r="N7" s="244"/>
      <c r="O7" s="244"/>
      <c r="P7" s="806"/>
      <c r="Q7" s="254"/>
    </row>
    <row r="8" spans="1:17" s="265" customFormat="1" ht="14">
      <c r="A8" s="256"/>
      <c r="B8" s="257" t="s">
        <v>328</v>
      </c>
      <c r="C8" s="256"/>
      <c r="D8" s="258"/>
      <c r="E8" s="258"/>
      <c r="F8" s="258"/>
      <c r="G8" s="259">
        <f>SUBTOTAL(9,G9:G2592)</f>
        <v>123355280.82176365</v>
      </c>
      <c r="H8" s="259">
        <f>SUBTOTAL(9,H9:H2592)</f>
        <v>101020876.98531467</v>
      </c>
      <c r="I8" s="260"/>
      <c r="J8" s="261"/>
      <c r="K8" s="244"/>
      <c r="L8" s="244"/>
      <c r="M8" s="244"/>
      <c r="N8" s="244"/>
      <c r="O8" s="262"/>
      <c r="P8" s="263"/>
      <c r="Q8" s="264"/>
    </row>
    <row r="9" spans="1:17" s="265" customFormat="1" ht="14">
      <c r="A9" s="266" t="s">
        <v>97</v>
      </c>
      <c r="B9" s="267" t="s">
        <v>329</v>
      </c>
      <c r="C9" s="268"/>
      <c r="D9" s="269"/>
      <c r="E9" s="269"/>
      <c r="F9" s="269"/>
      <c r="G9" s="270">
        <f>SUBTOTAL(9,G10:G2053)</f>
        <v>112748526.97399999</v>
      </c>
      <c r="H9" s="270">
        <f>SUBTOTAL(9,H10:H2053)</f>
        <v>94869815.624199972</v>
      </c>
      <c r="I9" s="270"/>
      <c r="J9" s="244"/>
      <c r="K9" s="244"/>
      <c r="L9" s="244"/>
      <c r="M9" s="244"/>
      <c r="N9" s="244"/>
      <c r="O9" s="262"/>
      <c r="P9" s="263"/>
      <c r="Q9" s="264"/>
    </row>
    <row r="10" spans="1:17" s="279" customFormat="1" ht="14">
      <c r="A10" s="271" t="s">
        <v>13</v>
      </c>
      <c r="B10" s="272" t="s">
        <v>14</v>
      </c>
      <c r="C10" s="273"/>
      <c r="D10" s="274"/>
      <c r="E10" s="274"/>
      <c r="F10" s="274"/>
      <c r="G10" s="274">
        <f>SUBTOTAL(9,G11:G92)</f>
        <v>41358285.5</v>
      </c>
      <c r="H10" s="274">
        <f>SUBTOTAL(9,H11:H92)</f>
        <v>26886814.5</v>
      </c>
      <c r="I10" s="274"/>
      <c r="J10" s="275"/>
      <c r="K10" s="276"/>
      <c r="L10" s="276"/>
      <c r="M10" s="276"/>
      <c r="N10" s="276"/>
      <c r="O10" s="277"/>
      <c r="P10" s="278"/>
      <c r="Q10" s="277"/>
    </row>
    <row r="11" spans="1:17" s="277" customFormat="1" ht="14" outlineLevel="1">
      <c r="A11" s="280" t="s">
        <v>302</v>
      </c>
      <c r="B11" s="281" t="s">
        <v>100</v>
      </c>
      <c r="C11" s="282"/>
      <c r="D11" s="283"/>
      <c r="E11" s="283"/>
      <c r="F11" s="283"/>
      <c r="G11" s="283">
        <f>SUBTOTAL(9,G12:G21)</f>
        <v>0</v>
      </c>
      <c r="H11" s="283">
        <f>SUBTOTAL(9,H12:H21)</f>
        <v>0</v>
      </c>
      <c r="I11" s="284"/>
      <c r="J11" s="254"/>
      <c r="K11" s="254"/>
      <c r="L11" s="254"/>
      <c r="M11" s="275"/>
      <c r="N11" s="275"/>
      <c r="P11" s="237" t="s">
        <v>935</v>
      </c>
    </row>
    <row r="12" spans="1:17" s="286" customFormat="1" ht="14" outlineLevel="2">
      <c r="A12" s="280">
        <v>1</v>
      </c>
      <c r="B12" s="242" t="s">
        <v>287</v>
      </c>
      <c r="C12" s="282"/>
      <c r="D12" s="283"/>
      <c r="E12" s="283"/>
      <c r="F12" s="283"/>
      <c r="G12" s="283"/>
      <c r="H12" s="283"/>
      <c r="I12" s="284"/>
      <c r="J12" s="285"/>
      <c r="K12" s="285"/>
      <c r="L12" s="285"/>
      <c r="N12" s="285"/>
      <c r="P12" s="287"/>
    </row>
    <row r="13" spans="1:17" s="286" customFormat="1" ht="14" outlineLevel="3">
      <c r="A13" s="280" t="s">
        <v>8</v>
      </c>
      <c r="B13" s="240" t="s">
        <v>459</v>
      </c>
      <c r="C13" s="289" t="s">
        <v>24</v>
      </c>
      <c r="D13" s="290">
        <v>622</v>
      </c>
      <c r="E13" s="290">
        <v>458</v>
      </c>
      <c r="F13" s="290"/>
      <c r="G13" s="290">
        <f>F13*D13</f>
        <v>0</v>
      </c>
      <c r="H13" s="290">
        <f>F13*E13</f>
        <v>0</v>
      </c>
      <c r="I13" s="291"/>
      <c r="J13" s="285" t="s">
        <v>7</v>
      </c>
      <c r="K13" s="285" t="s">
        <v>82</v>
      </c>
      <c r="L13" s="285" t="s">
        <v>99</v>
      </c>
      <c r="N13" s="285"/>
      <c r="P13" s="287" t="s">
        <v>1357</v>
      </c>
    </row>
    <row r="14" spans="1:17" s="286" customFormat="1" ht="14" outlineLevel="3">
      <c r="A14" s="292" t="s">
        <v>8</v>
      </c>
      <c r="B14" s="240" t="s">
        <v>467</v>
      </c>
      <c r="C14" s="293" t="s">
        <v>31</v>
      </c>
      <c r="D14" s="290">
        <v>622</v>
      </c>
      <c r="E14" s="290">
        <v>458</v>
      </c>
      <c r="F14" s="290"/>
      <c r="G14" s="290">
        <f>F14*D14</f>
        <v>0</v>
      </c>
      <c r="H14" s="290">
        <f>F14*E14</f>
        <v>0</v>
      </c>
      <c r="I14" s="291"/>
      <c r="J14" s="285" t="s">
        <v>7</v>
      </c>
      <c r="K14" s="285" t="s">
        <v>82</v>
      </c>
      <c r="L14" s="285" t="s">
        <v>99</v>
      </c>
      <c r="N14" s="285"/>
      <c r="P14" s="287" t="s">
        <v>1357</v>
      </c>
    </row>
    <row r="15" spans="1:17" s="286" customFormat="1" ht="14" outlineLevel="3">
      <c r="A15" s="280">
        <v>2</v>
      </c>
      <c r="B15" s="242" t="s">
        <v>288</v>
      </c>
      <c r="C15" s="289"/>
      <c r="D15" s="290"/>
      <c r="E15" s="290"/>
      <c r="F15" s="290"/>
      <c r="G15" s="290"/>
      <c r="H15" s="290"/>
      <c r="I15" s="291"/>
      <c r="J15" s="285"/>
      <c r="K15" s="285"/>
      <c r="L15" s="285"/>
      <c r="N15" s="285"/>
      <c r="P15" s="287"/>
    </row>
    <row r="16" spans="1:17" s="286" customFormat="1" ht="14" outlineLevel="3">
      <c r="A16" s="280" t="s">
        <v>8</v>
      </c>
      <c r="B16" s="288" t="s">
        <v>289</v>
      </c>
      <c r="C16" s="289" t="s">
        <v>34</v>
      </c>
      <c r="D16" s="290"/>
      <c r="E16" s="290"/>
      <c r="F16" s="290"/>
      <c r="G16" s="290">
        <f>F16*D16</f>
        <v>0</v>
      </c>
      <c r="H16" s="290">
        <f>F16*E16</f>
        <v>0</v>
      </c>
      <c r="I16" s="291"/>
      <c r="J16" s="285" t="s">
        <v>7</v>
      </c>
      <c r="K16" s="285" t="s">
        <v>82</v>
      </c>
      <c r="L16" s="285" t="s">
        <v>99</v>
      </c>
      <c r="N16" s="285"/>
      <c r="P16" s="287"/>
    </row>
    <row r="17" spans="1:16" s="286" customFormat="1" ht="14" outlineLevel="2">
      <c r="A17" s="280">
        <v>3</v>
      </c>
      <c r="B17" s="242" t="s">
        <v>290</v>
      </c>
      <c r="C17" s="282"/>
      <c r="D17" s="283"/>
      <c r="E17" s="283"/>
      <c r="F17" s="283"/>
      <c r="G17" s="283"/>
      <c r="H17" s="283"/>
      <c r="I17" s="284"/>
      <c r="J17" s="285"/>
      <c r="K17" s="285"/>
      <c r="L17" s="285"/>
      <c r="N17" s="285"/>
      <c r="P17" s="287"/>
    </row>
    <row r="18" spans="1:16" s="286" customFormat="1" ht="14" outlineLevel="3">
      <c r="A18" s="280" t="s">
        <v>8</v>
      </c>
      <c r="B18" s="288" t="s">
        <v>291</v>
      </c>
      <c r="C18" s="289" t="s">
        <v>34</v>
      </c>
      <c r="D18" s="290"/>
      <c r="E18" s="294"/>
      <c r="F18" s="290"/>
      <c r="G18" s="290">
        <f>F18*D18</f>
        <v>0</v>
      </c>
      <c r="H18" s="290">
        <f>F18*E18</f>
        <v>0</v>
      </c>
      <c r="I18" s="291"/>
      <c r="J18" s="285" t="s">
        <v>7</v>
      </c>
      <c r="K18" s="285" t="s">
        <v>82</v>
      </c>
      <c r="L18" s="285" t="s">
        <v>99</v>
      </c>
      <c r="N18" s="285"/>
      <c r="P18" s="287"/>
    </row>
    <row r="19" spans="1:16" s="286" customFormat="1" ht="14" outlineLevel="3">
      <c r="A19" s="280">
        <v>4</v>
      </c>
      <c r="B19" s="281" t="s">
        <v>292</v>
      </c>
      <c r="C19" s="289"/>
      <c r="D19" s="290"/>
      <c r="E19" s="294"/>
      <c r="F19" s="290"/>
      <c r="G19" s="290"/>
      <c r="H19" s="290"/>
      <c r="I19" s="291"/>
      <c r="J19" s="285"/>
      <c r="K19" s="285"/>
      <c r="L19" s="285"/>
      <c r="N19" s="285"/>
      <c r="P19" s="287"/>
    </row>
    <row r="20" spans="1:16" s="286" customFormat="1" ht="14" outlineLevel="3">
      <c r="A20" s="280" t="s">
        <v>8</v>
      </c>
      <c r="B20" s="288" t="s">
        <v>293</v>
      </c>
      <c r="C20" s="289" t="s">
        <v>34</v>
      </c>
      <c r="D20" s="290"/>
      <c r="E20" s="290"/>
      <c r="F20" s="290"/>
      <c r="G20" s="290">
        <f>F20*D20</f>
        <v>0</v>
      </c>
      <c r="H20" s="290">
        <f>F20*E20</f>
        <v>0</v>
      </c>
      <c r="I20" s="291"/>
      <c r="J20" s="285" t="s">
        <v>7</v>
      </c>
      <c r="K20" s="285" t="s">
        <v>82</v>
      </c>
      <c r="L20" s="285" t="s">
        <v>99</v>
      </c>
      <c r="N20" s="285"/>
      <c r="P20" s="287"/>
    </row>
    <row r="21" spans="1:16" s="286" customFormat="1" ht="14" outlineLevel="3">
      <c r="A21" s="280">
        <v>5</v>
      </c>
      <c r="B21" s="281" t="s">
        <v>294</v>
      </c>
      <c r="C21" s="289"/>
      <c r="D21" s="290"/>
      <c r="E21" s="290"/>
      <c r="F21" s="290"/>
      <c r="G21" s="290"/>
      <c r="H21" s="290"/>
      <c r="I21" s="291"/>
      <c r="J21" s="285"/>
      <c r="K21" s="285"/>
      <c r="L21" s="285"/>
      <c r="N21" s="285"/>
      <c r="P21" s="287"/>
    </row>
    <row r="22" spans="1:16" s="277" customFormat="1" ht="14" outlineLevel="1">
      <c r="A22" s="284" t="s">
        <v>295</v>
      </c>
      <c r="B22" s="281" t="s">
        <v>416</v>
      </c>
      <c r="C22" s="295"/>
      <c r="D22" s="283"/>
      <c r="E22" s="283"/>
      <c r="F22" s="283"/>
      <c r="G22" s="283">
        <f>SUBTOTAL(9,G23:G44)</f>
        <v>4178882</v>
      </c>
      <c r="H22" s="283">
        <f>SUBTOTAL(9,H23:H44)</f>
        <v>3876778</v>
      </c>
      <c r="I22" s="283"/>
      <c r="J22" s="275"/>
      <c r="K22" s="275"/>
      <c r="L22" s="275"/>
      <c r="M22" s="275"/>
      <c r="N22" s="275"/>
      <c r="P22" s="278"/>
    </row>
    <row r="23" spans="1:16" s="277" customFormat="1" ht="14" outlineLevel="2">
      <c r="A23" s="284" t="s">
        <v>4</v>
      </c>
      <c r="B23" s="281" t="s">
        <v>16</v>
      </c>
      <c r="C23" s="282"/>
      <c r="D23" s="283"/>
      <c r="E23" s="283"/>
      <c r="F23" s="283"/>
      <c r="G23" s="283">
        <f>SUBTOTAL(9,G24:G44)</f>
        <v>4178882</v>
      </c>
      <c r="H23" s="283">
        <f>SUBTOTAL(9,H24:H44)</f>
        <v>3876778</v>
      </c>
      <c r="I23" s="283"/>
      <c r="J23" s="275"/>
      <c r="K23" s="275"/>
      <c r="L23" s="275"/>
      <c r="M23" s="275"/>
      <c r="N23" s="275"/>
      <c r="P23" s="278" t="s">
        <v>936</v>
      </c>
    </row>
    <row r="24" spans="1:16" s="277" customFormat="1" ht="14" outlineLevel="3">
      <c r="A24" s="280">
        <v>1</v>
      </c>
      <c r="B24" s="242" t="s">
        <v>182</v>
      </c>
      <c r="C24" s="295"/>
      <c r="D24" s="283"/>
      <c r="E24" s="283"/>
      <c r="F24" s="283"/>
      <c r="G24" s="283">
        <f>SUBTOTAL(9,G25:G31)</f>
        <v>4178882</v>
      </c>
      <c r="H24" s="283">
        <f>SUBTOTAL(9,H25:H31)</f>
        <v>3876778</v>
      </c>
      <c r="I24" s="283"/>
      <c r="J24" s="275"/>
      <c r="K24" s="275"/>
      <c r="L24" s="275"/>
      <c r="M24" s="275"/>
      <c r="N24" s="275"/>
      <c r="P24" s="278"/>
    </row>
    <row r="25" spans="1:16" s="264" customFormat="1" ht="14" outlineLevel="4">
      <c r="A25" s="292" t="s">
        <v>8</v>
      </c>
      <c r="B25" s="240" t="s">
        <v>457</v>
      </c>
      <c r="C25" s="289" t="s">
        <v>31</v>
      </c>
      <c r="D25" s="296">
        <v>182</v>
      </c>
      <c r="E25" s="296">
        <v>178</v>
      </c>
      <c r="F25" s="290">
        <v>14893</v>
      </c>
      <c r="G25" s="290">
        <f t="shared" ref="G25:G28" si="0">F25*D25</f>
        <v>2710526</v>
      </c>
      <c r="H25" s="290">
        <f t="shared" ref="H25:H28" si="1">F25*E25</f>
        <v>2650954</v>
      </c>
      <c r="I25" s="291"/>
      <c r="J25" s="254" t="s">
        <v>7</v>
      </c>
      <c r="K25" s="254" t="s">
        <v>112</v>
      </c>
      <c r="L25" s="254" t="s">
        <v>99</v>
      </c>
      <c r="M25" s="254"/>
      <c r="P25" s="263"/>
    </row>
    <row r="26" spans="1:16" s="264" customFormat="1" ht="14" outlineLevel="4">
      <c r="A26" s="292" t="s">
        <v>8</v>
      </c>
      <c r="B26" s="240" t="s">
        <v>1354</v>
      </c>
      <c r="C26" s="289" t="s">
        <v>31</v>
      </c>
      <c r="D26" s="290">
        <v>93</v>
      </c>
      <c r="E26" s="290">
        <v>72</v>
      </c>
      <c r="F26" s="290">
        <v>8692</v>
      </c>
      <c r="G26" s="290">
        <f t="shared" si="0"/>
        <v>808356</v>
      </c>
      <c r="H26" s="290">
        <f t="shared" si="1"/>
        <v>625824</v>
      </c>
      <c r="I26" s="291"/>
      <c r="J26" s="254" t="s">
        <v>7</v>
      </c>
      <c r="K26" s="254" t="s">
        <v>112</v>
      </c>
      <c r="L26" s="254" t="s">
        <v>99</v>
      </c>
      <c r="M26" s="254"/>
      <c r="N26" s="254"/>
      <c r="P26" s="263"/>
    </row>
    <row r="27" spans="1:16" s="264" customFormat="1" ht="28" outlineLevel="4">
      <c r="A27" s="292" t="s">
        <v>8</v>
      </c>
      <c r="B27" s="288" t="s">
        <v>1355</v>
      </c>
      <c r="C27" s="289" t="s">
        <v>31</v>
      </c>
      <c r="D27" s="290">
        <v>0</v>
      </c>
      <c r="E27" s="290">
        <v>0</v>
      </c>
      <c r="F27" s="290">
        <v>9064</v>
      </c>
      <c r="G27" s="290">
        <f t="shared" si="0"/>
        <v>0</v>
      </c>
      <c r="H27" s="290">
        <f t="shared" si="1"/>
        <v>0</v>
      </c>
      <c r="I27" s="291"/>
      <c r="J27" s="254" t="s">
        <v>7</v>
      </c>
      <c r="K27" s="254" t="s">
        <v>112</v>
      </c>
      <c r="L27" s="254" t="s">
        <v>99</v>
      </c>
      <c r="M27" s="254"/>
      <c r="N27" s="254"/>
      <c r="P27" s="263"/>
    </row>
    <row r="28" spans="1:16" s="264" customFormat="1" ht="14" outlineLevel="4">
      <c r="A28" s="292" t="s">
        <v>8</v>
      </c>
      <c r="B28" s="288" t="s">
        <v>1356</v>
      </c>
      <c r="C28" s="289" t="s">
        <v>34</v>
      </c>
      <c r="D28" s="290">
        <v>0</v>
      </c>
      <c r="E28" s="290">
        <v>0</v>
      </c>
      <c r="F28" s="290">
        <v>100</v>
      </c>
      <c r="G28" s="290">
        <f t="shared" si="0"/>
        <v>0</v>
      </c>
      <c r="H28" s="290">
        <f t="shared" si="1"/>
        <v>0</v>
      </c>
      <c r="I28" s="291"/>
      <c r="J28" s="254" t="s">
        <v>7</v>
      </c>
      <c r="K28" s="254" t="s">
        <v>112</v>
      </c>
      <c r="L28" s="254" t="s">
        <v>99</v>
      </c>
      <c r="M28" s="254"/>
      <c r="N28" s="254"/>
      <c r="P28" s="263"/>
    </row>
    <row r="29" spans="1:16" s="264" customFormat="1" ht="14" outlineLevel="4">
      <c r="A29" s="297" t="s">
        <v>8</v>
      </c>
      <c r="B29" s="240" t="s">
        <v>85</v>
      </c>
      <c r="C29" s="289" t="s">
        <v>34</v>
      </c>
      <c r="D29" s="290">
        <v>825</v>
      </c>
      <c r="E29" s="290">
        <v>750</v>
      </c>
      <c r="F29" s="298">
        <v>650</v>
      </c>
      <c r="G29" s="290">
        <f t="shared" ref="G29:G31" si="2">F29*D29</f>
        <v>536250</v>
      </c>
      <c r="H29" s="290">
        <f t="shared" ref="H29:H31" si="3">F29*E29</f>
        <v>487500</v>
      </c>
      <c r="I29" s="291"/>
      <c r="J29" s="254" t="s">
        <v>7</v>
      </c>
      <c r="K29" s="254" t="s">
        <v>112</v>
      </c>
      <c r="L29" s="254" t="s">
        <v>99</v>
      </c>
      <c r="M29" s="254"/>
      <c r="N29" s="254"/>
      <c r="P29" s="263"/>
    </row>
    <row r="30" spans="1:16" s="264" customFormat="1" ht="14" outlineLevel="4">
      <c r="A30" s="297" t="s">
        <v>8</v>
      </c>
      <c r="B30" s="240" t="s">
        <v>458</v>
      </c>
      <c r="C30" s="289" t="s">
        <v>34</v>
      </c>
      <c r="D30" s="290">
        <v>3300</v>
      </c>
      <c r="E30" s="290">
        <v>3000</v>
      </c>
      <c r="F30" s="298">
        <v>20</v>
      </c>
      <c r="G30" s="290">
        <f t="shared" si="2"/>
        <v>66000</v>
      </c>
      <c r="H30" s="290">
        <f t="shared" si="3"/>
        <v>60000</v>
      </c>
      <c r="I30" s="291"/>
      <c r="J30" s="254" t="s">
        <v>7</v>
      </c>
      <c r="K30" s="254" t="s">
        <v>112</v>
      </c>
      <c r="L30" s="254" t="s">
        <v>99</v>
      </c>
      <c r="M30" s="254"/>
      <c r="N30" s="254"/>
      <c r="P30" s="263"/>
    </row>
    <row r="31" spans="1:16" s="264" customFormat="1" ht="14" outlineLevel="4">
      <c r="A31" s="297" t="s">
        <v>8</v>
      </c>
      <c r="B31" s="240" t="s">
        <v>459</v>
      </c>
      <c r="C31" s="289" t="s">
        <v>34</v>
      </c>
      <c r="D31" s="290">
        <v>275</v>
      </c>
      <c r="E31" s="290">
        <v>250</v>
      </c>
      <c r="F31" s="298">
        <v>210</v>
      </c>
      <c r="G31" s="290">
        <f t="shared" si="2"/>
        <v>57750</v>
      </c>
      <c r="H31" s="290">
        <f t="shared" si="3"/>
        <v>52500</v>
      </c>
      <c r="I31" s="291"/>
      <c r="J31" s="254" t="s">
        <v>7</v>
      </c>
      <c r="K31" s="254" t="s">
        <v>112</v>
      </c>
      <c r="L31" s="254" t="s">
        <v>99</v>
      </c>
      <c r="M31" s="254"/>
      <c r="N31" s="254"/>
      <c r="P31" s="263"/>
    </row>
    <row r="32" spans="1:16" s="277" customFormat="1" ht="14" outlineLevel="3">
      <c r="A32" s="280">
        <v>2</v>
      </c>
      <c r="B32" s="242" t="s">
        <v>460</v>
      </c>
      <c r="C32" s="295"/>
      <c r="D32" s="283"/>
      <c r="E32" s="283"/>
      <c r="F32" s="283"/>
      <c r="G32" s="283">
        <f>SUBTOTAL(9,G33:G39)</f>
        <v>0</v>
      </c>
      <c r="H32" s="283">
        <f>SUBTOTAL(9,H33:H39)</f>
        <v>0</v>
      </c>
      <c r="I32" s="283"/>
      <c r="J32" s="275"/>
      <c r="K32" s="275"/>
      <c r="L32" s="275"/>
      <c r="M32" s="275"/>
      <c r="N32" s="275"/>
      <c r="P32" s="278"/>
    </row>
    <row r="33" spans="1:16" s="264" customFormat="1" ht="14" outlineLevel="4">
      <c r="A33" s="292" t="s">
        <v>8</v>
      </c>
      <c r="B33" s="240" t="s">
        <v>464</v>
      </c>
      <c r="C33" s="289" t="s">
        <v>31</v>
      </c>
      <c r="D33" s="296"/>
      <c r="E33" s="296"/>
      <c r="F33" s="290"/>
      <c r="G33" s="290">
        <f t="shared" ref="G33:G38" si="4">F33*D33</f>
        <v>0</v>
      </c>
      <c r="H33" s="290">
        <f t="shared" ref="H33:H38" si="5">F33*E33</f>
        <v>0</v>
      </c>
      <c r="I33" s="291"/>
      <c r="J33" s="254" t="s">
        <v>7</v>
      </c>
      <c r="K33" s="254" t="s">
        <v>112</v>
      </c>
      <c r="L33" s="254" t="s">
        <v>99</v>
      </c>
      <c r="M33" s="254"/>
      <c r="P33" s="263"/>
    </row>
    <row r="34" spans="1:16" s="264" customFormat="1" ht="14" outlineLevel="4">
      <c r="A34" s="292" t="s">
        <v>8</v>
      </c>
      <c r="B34" s="240" t="s">
        <v>465</v>
      </c>
      <c r="C34" s="289" t="s">
        <v>31</v>
      </c>
      <c r="D34" s="290"/>
      <c r="E34" s="290"/>
      <c r="F34" s="290"/>
      <c r="G34" s="290">
        <f t="shared" si="4"/>
        <v>0</v>
      </c>
      <c r="H34" s="290">
        <f t="shared" si="5"/>
        <v>0</v>
      </c>
      <c r="I34" s="291"/>
      <c r="J34" s="254" t="s">
        <v>7</v>
      </c>
      <c r="K34" s="254" t="s">
        <v>112</v>
      </c>
      <c r="L34" s="254" t="s">
        <v>99</v>
      </c>
      <c r="M34" s="254"/>
      <c r="N34" s="254"/>
      <c r="P34" s="263"/>
    </row>
    <row r="35" spans="1:16" s="264" customFormat="1" ht="14" outlineLevel="4">
      <c r="A35" s="292" t="s">
        <v>8</v>
      </c>
      <c r="B35" s="288" t="s">
        <v>86</v>
      </c>
      <c r="C35" s="289" t="s">
        <v>34</v>
      </c>
      <c r="D35" s="290"/>
      <c r="E35" s="290"/>
      <c r="F35" s="290"/>
      <c r="G35" s="290">
        <f t="shared" si="4"/>
        <v>0</v>
      </c>
      <c r="H35" s="290">
        <f t="shared" si="5"/>
        <v>0</v>
      </c>
      <c r="I35" s="291"/>
      <c r="J35" s="254" t="s">
        <v>7</v>
      </c>
      <c r="K35" s="254" t="s">
        <v>112</v>
      </c>
      <c r="L35" s="254" t="s">
        <v>99</v>
      </c>
      <c r="M35" s="254"/>
      <c r="N35" s="254"/>
      <c r="P35" s="263"/>
    </row>
    <row r="36" spans="1:16" s="264" customFormat="1" ht="14" outlineLevel="4">
      <c r="A36" s="297" t="s">
        <v>8</v>
      </c>
      <c r="B36" s="240" t="s">
        <v>85</v>
      </c>
      <c r="C36" s="289" t="s">
        <v>34</v>
      </c>
      <c r="D36" s="290"/>
      <c r="E36" s="290"/>
      <c r="F36" s="298"/>
      <c r="G36" s="290">
        <f t="shared" si="4"/>
        <v>0</v>
      </c>
      <c r="H36" s="290">
        <f t="shared" si="5"/>
        <v>0</v>
      </c>
      <c r="I36" s="291"/>
      <c r="J36" s="254" t="s">
        <v>7</v>
      </c>
      <c r="K36" s="254" t="s">
        <v>112</v>
      </c>
      <c r="L36" s="254" t="s">
        <v>99</v>
      </c>
      <c r="M36" s="254"/>
      <c r="N36" s="254"/>
      <c r="P36" s="263"/>
    </row>
    <row r="37" spans="1:16" s="264" customFormat="1" ht="14" outlineLevel="4">
      <c r="A37" s="297" t="s">
        <v>8</v>
      </c>
      <c r="B37" s="240" t="s">
        <v>458</v>
      </c>
      <c r="C37" s="289" t="s">
        <v>34</v>
      </c>
      <c r="D37" s="290"/>
      <c r="E37" s="290"/>
      <c r="F37" s="298"/>
      <c r="G37" s="290">
        <f t="shared" si="4"/>
        <v>0</v>
      </c>
      <c r="H37" s="290">
        <f t="shared" si="5"/>
        <v>0</v>
      </c>
      <c r="I37" s="291"/>
      <c r="J37" s="254" t="s">
        <v>7</v>
      </c>
      <c r="K37" s="254" t="s">
        <v>112</v>
      </c>
      <c r="L37" s="254" t="s">
        <v>99</v>
      </c>
      <c r="M37" s="254"/>
      <c r="N37" s="254"/>
      <c r="P37" s="263"/>
    </row>
    <row r="38" spans="1:16" s="264" customFormat="1" ht="14" outlineLevel="4">
      <c r="A38" s="297" t="s">
        <v>8</v>
      </c>
      <c r="B38" s="240" t="s">
        <v>459</v>
      </c>
      <c r="C38" s="289" t="s">
        <v>34</v>
      </c>
      <c r="D38" s="290"/>
      <c r="E38" s="290"/>
      <c r="F38" s="298"/>
      <c r="G38" s="290">
        <f t="shared" si="4"/>
        <v>0</v>
      </c>
      <c r="H38" s="290">
        <f t="shared" si="5"/>
        <v>0</v>
      </c>
      <c r="I38" s="291"/>
      <c r="J38" s="254" t="s">
        <v>7</v>
      </c>
      <c r="K38" s="254" t="s">
        <v>112</v>
      </c>
      <c r="L38" s="254" t="s">
        <v>99</v>
      </c>
      <c r="M38" s="254"/>
      <c r="N38" s="254"/>
      <c r="P38" s="263"/>
    </row>
    <row r="39" spans="1:16" s="277" customFormat="1" ht="14" outlineLevel="3">
      <c r="A39" s="280">
        <v>3</v>
      </c>
      <c r="B39" s="242" t="s">
        <v>461</v>
      </c>
      <c r="C39" s="295"/>
      <c r="D39" s="283"/>
      <c r="E39" s="283"/>
      <c r="F39" s="283"/>
      <c r="G39" s="283">
        <f>SUBTOTAL(9,G40:G46)</f>
        <v>0</v>
      </c>
      <c r="H39" s="283">
        <f>SUBTOTAL(9,H40:H46)</f>
        <v>0</v>
      </c>
      <c r="I39" s="283"/>
      <c r="J39" s="275"/>
      <c r="K39" s="275"/>
      <c r="L39" s="275"/>
      <c r="M39" s="275"/>
      <c r="N39" s="275"/>
      <c r="P39" s="278"/>
    </row>
    <row r="40" spans="1:16" s="264" customFormat="1" ht="14" outlineLevel="4">
      <c r="A40" s="292" t="s">
        <v>8</v>
      </c>
      <c r="B40" s="240" t="s">
        <v>462</v>
      </c>
      <c r="C40" s="289" t="s">
        <v>31</v>
      </c>
      <c r="D40" s="296"/>
      <c r="E40" s="296"/>
      <c r="F40" s="290"/>
      <c r="G40" s="290">
        <f t="shared" ref="G40:G44" si="6">F40*D40</f>
        <v>0</v>
      </c>
      <c r="H40" s="290">
        <f t="shared" ref="H40:H44" si="7">F40*E40</f>
        <v>0</v>
      </c>
      <c r="I40" s="291"/>
      <c r="J40" s="254" t="s">
        <v>7</v>
      </c>
      <c r="K40" s="254" t="s">
        <v>112</v>
      </c>
      <c r="L40" s="254" t="s">
        <v>99</v>
      </c>
      <c r="M40" s="254"/>
      <c r="P40" s="263"/>
    </row>
    <row r="41" spans="1:16" s="264" customFormat="1" ht="14" outlineLevel="4">
      <c r="A41" s="292" t="s">
        <v>8</v>
      </c>
      <c r="B41" s="240" t="s">
        <v>463</v>
      </c>
      <c r="C41" s="289" t="s">
        <v>31</v>
      </c>
      <c r="D41" s="290"/>
      <c r="E41" s="290"/>
      <c r="F41" s="290"/>
      <c r="G41" s="290">
        <f t="shared" si="6"/>
        <v>0</v>
      </c>
      <c r="H41" s="290">
        <f t="shared" si="7"/>
        <v>0</v>
      </c>
      <c r="I41" s="291"/>
      <c r="J41" s="254" t="s">
        <v>7</v>
      </c>
      <c r="K41" s="254" t="s">
        <v>112</v>
      </c>
      <c r="L41" s="254" t="s">
        <v>99</v>
      </c>
      <c r="M41" s="254"/>
      <c r="N41" s="254"/>
      <c r="P41" s="263"/>
    </row>
    <row r="42" spans="1:16" s="264" customFormat="1" ht="14" outlineLevel="4">
      <c r="A42" s="297" t="s">
        <v>8</v>
      </c>
      <c r="B42" s="240" t="s">
        <v>85</v>
      </c>
      <c r="C42" s="289" t="s">
        <v>34</v>
      </c>
      <c r="D42" s="290"/>
      <c r="E42" s="290"/>
      <c r="F42" s="298"/>
      <c r="G42" s="290">
        <f t="shared" si="6"/>
        <v>0</v>
      </c>
      <c r="H42" s="290">
        <f t="shared" si="7"/>
        <v>0</v>
      </c>
      <c r="I42" s="291"/>
      <c r="J42" s="254" t="s">
        <v>7</v>
      </c>
      <c r="K42" s="254" t="s">
        <v>112</v>
      </c>
      <c r="L42" s="254" t="s">
        <v>99</v>
      </c>
      <c r="M42" s="254"/>
      <c r="N42" s="254"/>
      <c r="P42" s="263"/>
    </row>
    <row r="43" spans="1:16" s="264" customFormat="1" ht="14" outlineLevel="4">
      <c r="A43" s="297" t="s">
        <v>8</v>
      </c>
      <c r="B43" s="240" t="s">
        <v>458</v>
      </c>
      <c r="C43" s="289" t="s">
        <v>34</v>
      </c>
      <c r="D43" s="290"/>
      <c r="E43" s="290"/>
      <c r="F43" s="298"/>
      <c r="G43" s="290">
        <f t="shared" si="6"/>
        <v>0</v>
      </c>
      <c r="H43" s="290">
        <f t="shared" si="7"/>
        <v>0</v>
      </c>
      <c r="I43" s="291"/>
      <c r="J43" s="254" t="s">
        <v>7</v>
      </c>
      <c r="K43" s="254" t="s">
        <v>112</v>
      </c>
      <c r="L43" s="254" t="s">
        <v>99</v>
      </c>
      <c r="M43" s="254"/>
      <c r="N43" s="254"/>
      <c r="P43" s="263"/>
    </row>
    <row r="44" spans="1:16" s="264" customFormat="1" ht="14" outlineLevel="4">
      <c r="A44" s="297" t="s">
        <v>8</v>
      </c>
      <c r="B44" s="240" t="s">
        <v>459</v>
      </c>
      <c r="C44" s="289" t="s">
        <v>34</v>
      </c>
      <c r="D44" s="290"/>
      <c r="E44" s="290"/>
      <c r="F44" s="298"/>
      <c r="G44" s="290">
        <f t="shared" si="6"/>
        <v>0</v>
      </c>
      <c r="H44" s="290">
        <f t="shared" si="7"/>
        <v>0</v>
      </c>
      <c r="I44" s="291"/>
      <c r="J44" s="254" t="s">
        <v>7</v>
      </c>
      <c r="K44" s="254" t="s">
        <v>112</v>
      </c>
      <c r="L44" s="254" t="s">
        <v>99</v>
      </c>
      <c r="M44" s="254"/>
      <c r="N44" s="254"/>
      <c r="P44" s="263"/>
    </row>
    <row r="45" spans="1:16" s="277" customFormat="1" ht="14" outlineLevel="2">
      <c r="A45" s="284" t="s">
        <v>12</v>
      </c>
      <c r="B45" s="281" t="s">
        <v>22</v>
      </c>
      <c r="C45" s="282"/>
      <c r="D45" s="283"/>
      <c r="E45" s="283"/>
      <c r="F45" s="283"/>
      <c r="G45" s="283">
        <f>SUBTOTAL(9,G46:G74)</f>
        <v>35433107.5</v>
      </c>
      <c r="H45" s="283">
        <f>SUBTOTAL(9,H46:H74)</f>
        <v>20014219.5</v>
      </c>
      <c r="I45" s="283"/>
      <c r="J45" s="275"/>
      <c r="K45" s="275"/>
      <c r="L45" s="275"/>
      <c r="M45" s="275"/>
      <c r="N45" s="275"/>
      <c r="P45" s="299" t="s">
        <v>937</v>
      </c>
    </row>
    <row r="46" spans="1:16" s="277" customFormat="1" ht="14" outlineLevel="3">
      <c r="A46" s="280">
        <v>1</v>
      </c>
      <c r="B46" s="242" t="s">
        <v>182</v>
      </c>
      <c r="C46" s="295"/>
      <c r="D46" s="283"/>
      <c r="E46" s="283"/>
      <c r="F46" s="283"/>
      <c r="G46" s="283">
        <f>SUBTOTAL(9,G47:G60)</f>
        <v>35433107.5</v>
      </c>
      <c r="H46" s="283">
        <f>SUBTOTAL(9,H47:H60)</f>
        <v>20014219.5</v>
      </c>
      <c r="I46" s="283"/>
      <c r="J46" s="275"/>
      <c r="K46" s="275"/>
      <c r="L46" s="275"/>
      <c r="M46" s="275"/>
      <c r="N46" s="275"/>
      <c r="P46" s="278"/>
    </row>
    <row r="47" spans="1:16" s="264" customFormat="1" ht="14" outlineLevel="4">
      <c r="A47" s="292" t="s">
        <v>8</v>
      </c>
      <c r="B47" s="240" t="s">
        <v>466</v>
      </c>
      <c r="C47" s="293" t="s">
        <v>31</v>
      </c>
      <c r="D47" s="296"/>
      <c r="E47" s="296">
        <v>38</v>
      </c>
      <c r="F47" s="290">
        <v>14744</v>
      </c>
      <c r="G47" s="290">
        <f t="shared" ref="G47:G53" si="8">F47*D47</f>
        <v>0</v>
      </c>
      <c r="H47" s="290">
        <f t="shared" ref="H47:H53" si="9">F47*E47</f>
        <v>560272</v>
      </c>
      <c r="I47" s="291"/>
      <c r="J47" s="254" t="s">
        <v>7</v>
      </c>
      <c r="K47" s="254" t="s">
        <v>113</v>
      </c>
      <c r="L47" s="254" t="s">
        <v>99</v>
      </c>
      <c r="M47" s="254"/>
      <c r="P47" s="263"/>
    </row>
    <row r="48" spans="1:16" s="264" customFormat="1" ht="14" outlineLevel="4">
      <c r="A48" s="292" t="s">
        <v>8</v>
      </c>
      <c r="B48" s="240" t="s">
        <v>1135</v>
      </c>
      <c r="C48" s="293" t="s">
        <v>31</v>
      </c>
      <c r="D48" s="290">
        <v>0</v>
      </c>
      <c r="E48" s="290">
        <v>189</v>
      </c>
      <c r="F48" s="290">
        <v>6400</v>
      </c>
      <c r="G48" s="290">
        <f t="shared" si="8"/>
        <v>0</v>
      </c>
      <c r="H48" s="290">
        <f t="shared" si="9"/>
        <v>1209600</v>
      </c>
      <c r="I48" s="291"/>
      <c r="J48" s="254" t="s">
        <v>7</v>
      </c>
      <c r="K48" s="254" t="s">
        <v>113</v>
      </c>
      <c r="L48" s="254" t="s">
        <v>99</v>
      </c>
      <c r="M48" s="254"/>
      <c r="N48" s="254"/>
      <c r="P48" s="263"/>
    </row>
    <row r="49" spans="1:16" s="264" customFormat="1" ht="14" outlineLevel="4">
      <c r="A49" s="292" t="s">
        <v>8</v>
      </c>
      <c r="B49" s="240" t="s">
        <v>468</v>
      </c>
      <c r="C49" s="293" t="s">
        <v>23</v>
      </c>
      <c r="D49" s="290">
        <v>100</v>
      </c>
      <c r="E49" s="290">
        <v>154</v>
      </c>
      <c r="F49" s="290">
        <v>6120</v>
      </c>
      <c r="G49" s="290">
        <f t="shared" si="8"/>
        <v>612000</v>
      </c>
      <c r="H49" s="290">
        <f t="shared" si="9"/>
        <v>942480</v>
      </c>
      <c r="I49" s="291"/>
      <c r="J49" s="254" t="s">
        <v>7</v>
      </c>
      <c r="K49" s="254" t="s">
        <v>113</v>
      </c>
      <c r="L49" s="254" t="s">
        <v>99</v>
      </c>
      <c r="M49" s="254"/>
      <c r="N49" s="254"/>
      <c r="P49" s="263"/>
    </row>
    <row r="50" spans="1:16" s="264" customFormat="1" ht="14" outlineLevel="4">
      <c r="A50" s="292" t="s">
        <v>8</v>
      </c>
      <c r="B50" s="240" t="s">
        <v>469</v>
      </c>
      <c r="C50" s="293" t="s">
        <v>471</v>
      </c>
      <c r="D50" s="290">
        <v>605</v>
      </c>
      <c r="E50" s="290">
        <v>1584</v>
      </c>
      <c r="F50" s="290">
        <v>710</v>
      </c>
      <c r="G50" s="290">
        <f t="shared" si="8"/>
        <v>429550</v>
      </c>
      <c r="H50" s="290">
        <f t="shared" si="9"/>
        <v>1124640</v>
      </c>
      <c r="I50" s="291"/>
      <c r="J50" s="254" t="s">
        <v>7</v>
      </c>
      <c r="K50" s="254" t="s">
        <v>113</v>
      </c>
      <c r="L50" s="254" t="s">
        <v>99</v>
      </c>
      <c r="M50" s="254"/>
      <c r="N50" s="254"/>
      <c r="P50" s="263"/>
    </row>
    <row r="51" spans="1:16" s="264" customFormat="1" ht="14" outlineLevel="4">
      <c r="A51" s="297" t="s">
        <v>8</v>
      </c>
      <c r="B51" s="240" t="s">
        <v>1361</v>
      </c>
      <c r="C51" s="293" t="s">
        <v>472</v>
      </c>
      <c r="D51" s="290">
        <v>177</v>
      </c>
      <c r="E51" s="290">
        <v>0</v>
      </c>
      <c r="F51" s="298">
        <v>5865</v>
      </c>
      <c r="G51" s="290">
        <f t="shared" si="8"/>
        <v>1038105</v>
      </c>
      <c r="H51" s="290">
        <f t="shared" si="9"/>
        <v>0</v>
      </c>
      <c r="I51" s="291"/>
      <c r="J51" s="254" t="s">
        <v>7</v>
      </c>
      <c r="K51" s="254" t="s">
        <v>113</v>
      </c>
      <c r="L51" s="254" t="s">
        <v>99</v>
      </c>
      <c r="M51" s="254"/>
      <c r="N51" s="254"/>
      <c r="P51" s="263"/>
    </row>
    <row r="52" spans="1:16" s="264" customFormat="1" ht="14" outlineLevel="4">
      <c r="A52" s="297" t="s">
        <v>8</v>
      </c>
      <c r="B52" s="240" t="s">
        <v>1362</v>
      </c>
      <c r="C52" s="293" t="s">
        <v>472</v>
      </c>
      <c r="D52" s="290">
        <v>90</v>
      </c>
      <c r="E52" s="290">
        <v>390</v>
      </c>
      <c r="F52" s="298">
        <v>3904.25</v>
      </c>
      <c r="G52" s="290">
        <f t="shared" si="8"/>
        <v>351382.5</v>
      </c>
      <c r="H52" s="290">
        <f t="shared" si="9"/>
        <v>1522657.5</v>
      </c>
      <c r="I52" s="291"/>
      <c r="J52" s="254" t="s">
        <v>7</v>
      </c>
      <c r="K52" s="254" t="s">
        <v>113</v>
      </c>
      <c r="L52" s="254" t="s">
        <v>99</v>
      </c>
      <c r="M52" s="254"/>
      <c r="N52" s="254"/>
      <c r="P52" s="263"/>
    </row>
    <row r="53" spans="1:16" s="264" customFormat="1" ht="14" outlineLevel="4">
      <c r="A53" s="297" t="s">
        <v>8</v>
      </c>
      <c r="B53" s="240" t="s">
        <v>470</v>
      </c>
      <c r="C53" s="293" t="s">
        <v>472</v>
      </c>
      <c r="D53" s="290">
        <v>300</v>
      </c>
      <c r="E53" s="290">
        <v>380</v>
      </c>
      <c r="F53" s="298">
        <v>4000</v>
      </c>
      <c r="G53" s="290">
        <f t="shared" si="8"/>
        <v>1200000</v>
      </c>
      <c r="H53" s="290">
        <f t="shared" si="9"/>
        <v>1520000</v>
      </c>
      <c r="I53" s="291"/>
      <c r="J53" s="254" t="s">
        <v>7</v>
      </c>
      <c r="K53" s="254" t="s">
        <v>113</v>
      </c>
      <c r="L53" s="254" t="s">
        <v>99</v>
      </c>
      <c r="M53" s="254"/>
      <c r="N53" s="254"/>
      <c r="P53" s="263"/>
    </row>
    <row r="54" spans="1:16" s="264" customFormat="1" ht="14" outlineLevel="4">
      <c r="A54" s="292" t="s">
        <v>8</v>
      </c>
      <c r="B54" s="240" t="s">
        <v>1358</v>
      </c>
      <c r="C54" s="293" t="s">
        <v>471</v>
      </c>
      <c r="D54" s="290">
        <v>100</v>
      </c>
      <c r="E54" s="290">
        <v>0</v>
      </c>
      <c r="F54" s="290">
        <v>59040</v>
      </c>
      <c r="G54" s="290">
        <f t="shared" ref="G54:G55" si="10">F54*D54</f>
        <v>5904000</v>
      </c>
      <c r="H54" s="290">
        <f t="shared" ref="H54:H55" si="11">F54*E54</f>
        <v>0</v>
      </c>
      <c r="I54" s="291"/>
      <c r="J54" s="254" t="s">
        <v>7</v>
      </c>
      <c r="K54" s="254" t="s">
        <v>113</v>
      </c>
      <c r="L54" s="254" t="s">
        <v>99</v>
      </c>
      <c r="M54" s="254"/>
      <c r="N54" s="254"/>
      <c r="P54" s="263"/>
    </row>
    <row r="55" spans="1:16" s="264" customFormat="1" ht="14" outlineLevel="4">
      <c r="A55" s="297" t="s">
        <v>8</v>
      </c>
      <c r="B55" s="240" t="s">
        <v>1359</v>
      </c>
      <c r="C55" s="293" t="s">
        <v>472</v>
      </c>
      <c r="D55" s="290">
        <v>522</v>
      </c>
      <c r="E55" s="290">
        <v>0</v>
      </c>
      <c r="F55" s="298">
        <v>49200</v>
      </c>
      <c r="G55" s="290">
        <f t="shared" si="10"/>
        <v>25682400</v>
      </c>
      <c r="H55" s="290">
        <f t="shared" si="11"/>
        <v>0</v>
      </c>
      <c r="I55" s="291"/>
      <c r="J55" s="254" t="s">
        <v>7</v>
      </c>
      <c r="K55" s="254" t="s">
        <v>113</v>
      </c>
      <c r="L55" s="254" t="s">
        <v>99</v>
      </c>
      <c r="M55" s="254"/>
      <c r="N55" s="254"/>
      <c r="P55" s="263"/>
    </row>
    <row r="56" spans="1:16" s="264" customFormat="1" ht="14" outlineLevel="4">
      <c r="A56" s="297" t="s">
        <v>8</v>
      </c>
      <c r="B56" s="240" t="s">
        <v>1360</v>
      </c>
      <c r="C56" s="293" t="s">
        <v>472</v>
      </c>
      <c r="D56" s="290">
        <v>0</v>
      </c>
      <c r="E56" s="290">
        <v>458</v>
      </c>
      <c r="F56" s="298">
        <v>27600</v>
      </c>
      <c r="G56" s="290">
        <f t="shared" ref="G56:G57" si="12">F56*D56</f>
        <v>0</v>
      </c>
      <c r="H56" s="290">
        <f t="shared" ref="H56:H57" si="13">F56*E56</f>
        <v>12640800</v>
      </c>
      <c r="I56" s="291"/>
      <c r="J56" s="254" t="s">
        <v>7</v>
      </c>
      <c r="K56" s="254" t="s">
        <v>113</v>
      </c>
      <c r="L56" s="254" t="s">
        <v>99</v>
      </c>
      <c r="M56" s="254"/>
      <c r="N56" s="254"/>
      <c r="P56" s="263"/>
    </row>
    <row r="57" spans="1:16" s="264" customFormat="1" ht="14" outlineLevel="4">
      <c r="A57" s="297" t="s">
        <v>8</v>
      </c>
      <c r="B57" s="240" t="s">
        <v>1363</v>
      </c>
      <c r="C57" s="293" t="s">
        <v>15</v>
      </c>
      <c r="D57" s="290">
        <v>0</v>
      </c>
      <c r="E57" s="290">
        <v>189</v>
      </c>
      <c r="F57" s="298">
        <v>800</v>
      </c>
      <c r="G57" s="290">
        <f t="shared" si="12"/>
        <v>0</v>
      </c>
      <c r="H57" s="290">
        <f t="shared" si="13"/>
        <v>151200</v>
      </c>
      <c r="I57" s="291"/>
      <c r="J57" s="254" t="s">
        <v>7</v>
      </c>
      <c r="K57" s="254" t="s">
        <v>113</v>
      </c>
      <c r="L57" s="254" t="s">
        <v>99</v>
      </c>
      <c r="M57" s="254"/>
      <c r="N57" s="254"/>
      <c r="P57" s="263"/>
    </row>
    <row r="58" spans="1:16" s="264" customFormat="1" ht="14" outlineLevel="4">
      <c r="A58" s="297" t="s">
        <v>8</v>
      </c>
      <c r="B58" s="240" t="s">
        <v>85</v>
      </c>
      <c r="C58" s="293" t="s">
        <v>15</v>
      </c>
      <c r="D58" s="290">
        <v>0</v>
      </c>
      <c r="E58" s="290">
        <v>114</v>
      </c>
      <c r="F58" s="298">
        <v>650</v>
      </c>
      <c r="G58" s="290">
        <f t="shared" ref="G58:G60" si="14">F58*D58</f>
        <v>0</v>
      </c>
      <c r="H58" s="290">
        <f t="shared" ref="H58:H60" si="15">F58*E58</f>
        <v>74100</v>
      </c>
      <c r="I58" s="291"/>
      <c r="J58" s="254" t="s">
        <v>7</v>
      </c>
      <c r="K58" s="254" t="s">
        <v>113</v>
      </c>
      <c r="L58" s="254" t="s">
        <v>99</v>
      </c>
      <c r="M58" s="254"/>
      <c r="N58" s="254"/>
      <c r="P58" s="263"/>
    </row>
    <row r="59" spans="1:16" s="264" customFormat="1" ht="14" outlineLevel="4">
      <c r="A59" s="297" t="s">
        <v>8</v>
      </c>
      <c r="B59" s="240" t="s">
        <v>458</v>
      </c>
      <c r="C59" s="293" t="s">
        <v>15</v>
      </c>
      <c r="D59" s="290">
        <v>2268</v>
      </c>
      <c r="E59" s="290">
        <v>3536</v>
      </c>
      <c r="F59" s="298">
        <v>20</v>
      </c>
      <c r="G59" s="290">
        <f t="shared" si="14"/>
        <v>45360</v>
      </c>
      <c r="H59" s="290">
        <f t="shared" si="15"/>
        <v>70720</v>
      </c>
      <c r="I59" s="291"/>
      <c r="J59" s="254" t="s">
        <v>7</v>
      </c>
      <c r="K59" s="254" t="s">
        <v>113</v>
      </c>
      <c r="L59" s="254" t="s">
        <v>99</v>
      </c>
      <c r="M59" s="254"/>
      <c r="N59" s="254"/>
      <c r="P59" s="263"/>
    </row>
    <row r="60" spans="1:16" s="264" customFormat="1" ht="14" outlineLevel="4">
      <c r="A60" s="297" t="s">
        <v>8</v>
      </c>
      <c r="B60" s="240" t="s">
        <v>459</v>
      </c>
      <c r="C60" s="293" t="s">
        <v>15</v>
      </c>
      <c r="D60" s="290">
        <v>811</v>
      </c>
      <c r="E60" s="290">
        <v>941.66666666666652</v>
      </c>
      <c r="F60" s="298">
        <v>210</v>
      </c>
      <c r="G60" s="290">
        <f t="shared" si="14"/>
        <v>170310</v>
      </c>
      <c r="H60" s="290">
        <f t="shared" si="15"/>
        <v>197749.99999999997</v>
      </c>
      <c r="I60" s="291"/>
      <c r="J60" s="254" t="s">
        <v>7</v>
      </c>
      <c r="K60" s="254" t="s">
        <v>113</v>
      </c>
      <c r="L60" s="254" t="s">
        <v>99</v>
      </c>
      <c r="M60" s="254"/>
      <c r="N60" s="254"/>
      <c r="P60" s="263"/>
    </row>
    <row r="61" spans="1:16" s="277" customFormat="1" ht="14" outlineLevel="3">
      <c r="A61" s="280">
        <v>1</v>
      </c>
      <c r="B61" s="242" t="s">
        <v>460</v>
      </c>
      <c r="C61" s="295"/>
      <c r="D61" s="283"/>
      <c r="E61" s="283"/>
      <c r="F61" s="283"/>
      <c r="G61" s="283">
        <f>SUBTOTAL(9,G62:G67)</f>
        <v>0</v>
      </c>
      <c r="H61" s="283">
        <f>SUBTOTAL(9,H62:H67)</f>
        <v>0</v>
      </c>
      <c r="I61" s="283"/>
      <c r="J61" s="275"/>
      <c r="K61" s="275"/>
      <c r="L61" s="275"/>
      <c r="M61" s="275"/>
      <c r="N61" s="275"/>
      <c r="P61" s="278"/>
    </row>
    <row r="62" spans="1:16" s="264" customFormat="1" ht="14" outlineLevel="4">
      <c r="A62" s="292" t="s">
        <v>8</v>
      </c>
      <c r="B62" s="240" t="s">
        <v>464</v>
      </c>
      <c r="C62" s="289" t="s">
        <v>31</v>
      </c>
      <c r="D62" s="296"/>
      <c r="E62" s="296"/>
      <c r="F62" s="290"/>
      <c r="G62" s="290">
        <f t="shared" ref="G62:G65" si="16">F62*D62</f>
        <v>0</v>
      </c>
      <c r="H62" s="290">
        <f t="shared" ref="H62:H65" si="17">F62*E62</f>
        <v>0</v>
      </c>
      <c r="I62" s="291"/>
      <c r="J62" s="254" t="s">
        <v>7</v>
      </c>
      <c r="K62" s="254" t="s">
        <v>113</v>
      </c>
      <c r="L62" s="254" t="s">
        <v>99</v>
      </c>
      <c r="M62" s="254"/>
      <c r="P62" s="263"/>
    </row>
    <row r="63" spans="1:16" s="264" customFormat="1" ht="14" outlineLevel="4">
      <c r="A63" s="292" t="s">
        <v>8</v>
      </c>
      <c r="B63" s="240" t="s">
        <v>465</v>
      </c>
      <c r="C63" s="289" t="s">
        <v>31</v>
      </c>
      <c r="D63" s="290"/>
      <c r="E63" s="290"/>
      <c r="F63" s="290"/>
      <c r="G63" s="290">
        <f t="shared" si="16"/>
        <v>0</v>
      </c>
      <c r="H63" s="290">
        <f t="shared" si="17"/>
        <v>0</v>
      </c>
      <c r="I63" s="291"/>
      <c r="J63" s="254" t="s">
        <v>7</v>
      </c>
      <c r="K63" s="254" t="s">
        <v>113</v>
      </c>
      <c r="L63" s="254" t="s">
        <v>99</v>
      </c>
      <c r="M63" s="254"/>
      <c r="N63" s="254"/>
      <c r="P63" s="263"/>
    </row>
    <row r="64" spans="1:16" s="264" customFormat="1" ht="14" outlineLevel="4">
      <c r="A64" s="292" t="s">
        <v>8</v>
      </c>
      <c r="B64" s="288" t="s">
        <v>86</v>
      </c>
      <c r="C64" s="289" t="s">
        <v>34</v>
      </c>
      <c r="D64" s="290"/>
      <c r="E64" s="290"/>
      <c r="F64" s="290"/>
      <c r="G64" s="290">
        <f t="shared" si="16"/>
        <v>0</v>
      </c>
      <c r="H64" s="290">
        <f t="shared" si="17"/>
        <v>0</v>
      </c>
      <c r="I64" s="291"/>
      <c r="J64" s="254" t="s">
        <v>7</v>
      </c>
      <c r="K64" s="254" t="s">
        <v>113</v>
      </c>
      <c r="L64" s="254" t="s">
        <v>99</v>
      </c>
      <c r="M64" s="254"/>
      <c r="N64" s="254"/>
      <c r="P64" s="263"/>
    </row>
    <row r="65" spans="1:16" s="264" customFormat="1" ht="14" outlineLevel="4">
      <c r="A65" s="292" t="s">
        <v>8</v>
      </c>
      <c r="B65" s="240" t="s">
        <v>85</v>
      </c>
      <c r="C65" s="289" t="s">
        <v>34</v>
      </c>
      <c r="D65" s="290"/>
      <c r="E65" s="290"/>
      <c r="F65" s="290"/>
      <c r="G65" s="290">
        <f t="shared" si="16"/>
        <v>0</v>
      </c>
      <c r="H65" s="290">
        <f t="shared" si="17"/>
        <v>0</v>
      </c>
      <c r="I65" s="291"/>
      <c r="J65" s="254" t="s">
        <v>7</v>
      </c>
      <c r="K65" s="254" t="s">
        <v>113</v>
      </c>
      <c r="L65" s="254" t="s">
        <v>99</v>
      </c>
      <c r="M65" s="254"/>
      <c r="N65" s="254"/>
      <c r="P65" s="263"/>
    </row>
    <row r="66" spans="1:16" s="264" customFormat="1" ht="14" outlineLevel="4">
      <c r="A66" s="297" t="s">
        <v>8</v>
      </c>
      <c r="B66" s="240" t="s">
        <v>458</v>
      </c>
      <c r="C66" s="289" t="s">
        <v>34</v>
      </c>
      <c r="D66" s="290"/>
      <c r="E66" s="290"/>
      <c r="F66" s="298"/>
      <c r="G66" s="290">
        <f t="shared" ref="G66:G67" si="18">F66*D66</f>
        <v>0</v>
      </c>
      <c r="H66" s="290">
        <f t="shared" ref="H66:H67" si="19">F66*E66</f>
        <v>0</v>
      </c>
      <c r="I66" s="291"/>
      <c r="J66" s="254" t="s">
        <v>7</v>
      </c>
      <c r="K66" s="254" t="s">
        <v>113</v>
      </c>
      <c r="L66" s="254" t="s">
        <v>99</v>
      </c>
      <c r="M66" s="254"/>
      <c r="N66" s="254"/>
      <c r="P66" s="263"/>
    </row>
    <row r="67" spans="1:16" s="264" customFormat="1" ht="14" outlineLevel="4">
      <c r="A67" s="297" t="s">
        <v>8</v>
      </c>
      <c r="B67" s="240" t="s">
        <v>459</v>
      </c>
      <c r="C67" s="289" t="s">
        <v>34</v>
      </c>
      <c r="D67" s="290"/>
      <c r="E67" s="290"/>
      <c r="F67" s="298"/>
      <c r="G67" s="290">
        <f t="shared" si="18"/>
        <v>0</v>
      </c>
      <c r="H67" s="290">
        <f t="shared" si="19"/>
        <v>0</v>
      </c>
      <c r="I67" s="291"/>
      <c r="J67" s="254" t="s">
        <v>7</v>
      </c>
      <c r="K67" s="254" t="s">
        <v>113</v>
      </c>
      <c r="L67" s="254" t="s">
        <v>99</v>
      </c>
      <c r="M67" s="254"/>
      <c r="N67" s="254"/>
      <c r="P67" s="263"/>
    </row>
    <row r="68" spans="1:16" s="277" customFormat="1" ht="14" outlineLevel="3">
      <c r="A68" s="280">
        <v>3</v>
      </c>
      <c r="B68" s="242" t="s">
        <v>461</v>
      </c>
      <c r="C68" s="295"/>
      <c r="D68" s="283"/>
      <c r="E68" s="283"/>
      <c r="F68" s="283"/>
      <c r="G68" s="283">
        <f>SUBTOTAL(9,G69:G74)</f>
        <v>0</v>
      </c>
      <c r="H68" s="283">
        <f>SUBTOTAL(9,H69:H74)</f>
        <v>0</v>
      </c>
      <c r="I68" s="283"/>
      <c r="J68" s="275"/>
      <c r="K68" s="275"/>
      <c r="L68" s="275"/>
      <c r="M68" s="275"/>
      <c r="N68" s="275"/>
      <c r="P68" s="278"/>
    </row>
    <row r="69" spans="1:16" s="264" customFormat="1" ht="14" outlineLevel="4">
      <c r="A69" s="292" t="s">
        <v>8</v>
      </c>
      <c r="B69" s="240" t="s">
        <v>1274</v>
      </c>
      <c r="C69" s="289" t="s">
        <v>31</v>
      </c>
      <c r="D69" s="296"/>
      <c r="E69" s="296"/>
      <c r="F69" s="298">
        <v>11800</v>
      </c>
      <c r="G69" s="290">
        <f t="shared" ref="G69:G73" si="20">F69*D69</f>
        <v>0</v>
      </c>
      <c r="H69" s="290">
        <f t="shared" ref="H69:H73" si="21">F69*E69</f>
        <v>0</v>
      </c>
      <c r="I69" s="291"/>
      <c r="J69" s="254" t="s">
        <v>7</v>
      </c>
      <c r="K69" s="254" t="s">
        <v>113</v>
      </c>
      <c r="L69" s="254" t="s">
        <v>99</v>
      </c>
      <c r="M69" s="254"/>
      <c r="P69" s="263"/>
    </row>
    <row r="70" spans="1:16" s="264" customFormat="1" ht="14" outlineLevel="4">
      <c r="A70" s="292" t="s">
        <v>8</v>
      </c>
      <c r="B70" s="240" t="s">
        <v>1275</v>
      </c>
      <c r="C70" s="289" t="s">
        <v>31</v>
      </c>
      <c r="D70" s="296"/>
      <c r="E70" s="296"/>
      <c r="F70" s="298">
        <v>8692</v>
      </c>
      <c r="G70" s="290">
        <f t="shared" ref="G70" si="22">F70*D70</f>
        <v>0</v>
      </c>
      <c r="H70" s="290">
        <f t="shared" ref="H70" si="23">F70*E70</f>
        <v>0</v>
      </c>
      <c r="I70" s="291"/>
      <c r="J70" s="254" t="s">
        <v>7</v>
      </c>
      <c r="K70" s="254" t="s">
        <v>113</v>
      </c>
      <c r="L70" s="254" t="s">
        <v>99</v>
      </c>
      <c r="M70" s="254"/>
      <c r="P70" s="263"/>
    </row>
    <row r="71" spans="1:16" s="264" customFormat="1" ht="14" outlineLevel="4">
      <c r="A71" s="292" t="s">
        <v>8</v>
      </c>
      <c r="B71" s="240" t="s">
        <v>1354</v>
      </c>
      <c r="C71" s="289" t="s">
        <v>31</v>
      </c>
      <c r="D71" s="290"/>
      <c r="E71" s="290"/>
      <c r="F71" s="298">
        <v>9064</v>
      </c>
      <c r="G71" s="290">
        <f t="shared" si="20"/>
        <v>0</v>
      </c>
      <c r="H71" s="290">
        <f t="shared" si="21"/>
        <v>0</v>
      </c>
      <c r="I71" s="291"/>
      <c r="J71" s="254" t="s">
        <v>7</v>
      </c>
      <c r="K71" s="254" t="s">
        <v>113</v>
      </c>
      <c r="L71" s="254" t="s">
        <v>99</v>
      </c>
      <c r="M71" s="254"/>
      <c r="N71" s="254"/>
      <c r="P71" s="263"/>
    </row>
    <row r="72" spans="1:16" s="264" customFormat="1" ht="14" outlineLevel="4">
      <c r="A72" s="292" t="s">
        <v>8</v>
      </c>
      <c r="B72" s="240" t="s">
        <v>85</v>
      </c>
      <c r="C72" s="289" t="s">
        <v>34</v>
      </c>
      <c r="D72" s="290"/>
      <c r="E72" s="290"/>
      <c r="F72" s="298">
        <v>600</v>
      </c>
      <c r="G72" s="290">
        <f t="shared" si="20"/>
        <v>0</v>
      </c>
      <c r="H72" s="290">
        <f t="shared" si="21"/>
        <v>0</v>
      </c>
      <c r="I72" s="291"/>
      <c r="J72" s="254" t="s">
        <v>7</v>
      </c>
      <c r="K72" s="254" t="s">
        <v>113</v>
      </c>
      <c r="L72" s="254" t="s">
        <v>99</v>
      </c>
      <c r="M72" s="254"/>
      <c r="N72" s="254"/>
      <c r="P72" s="263"/>
    </row>
    <row r="73" spans="1:16" s="264" customFormat="1" ht="14" outlineLevel="4">
      <c r="A73" s="292" t="s">
        <v>8</v>
      </c>
      <c r="B73" s="240" t="s">
        <v>458</v>
      </c>
      <c r="C73" s="289" t="s">
        <v>34</v>
      </c>
      <c r="D73" s="290"/>
      <c r="E73" s="290"/>
      <c r="F73" s="298">
        <v>20</v>
      </c>
      <c r="G73" s="290">
        <f t="shared" si="20"/>
        <v>0</v>
      </c>
      <c r="H73" s="290">
        <f t="shared" si="21"/>
        <v>0</v>
      </c>
      <c r="I73" s="291"/>
      <c r="J73" s="254" t="s">
        <v>7</v>
      </c>
      <c r="K73" s="254" t="s">
        <v>113</v>
      </c>
      <c r="L73" s="254" t="s">
        <v>99</v>
      </c>
      <c r="M73" s="254"/>
      <c r="N73" s="254"/>
      <c r="P73" s="263"/>
    </row>
    <row r="74" spans="1:16" s="264" customFormat="1" ht="14" outlineLevel="4">
      <c r="A74" s="297" t="s">
        <v>8</v>
      </c>
      <c r="B74" s="240" t="s">
        <v>459</v>
      </c>
      <c r="C74" s="289" t="s">
        <v>34</v>
      </c>
      <c r="D74" s="290"/>
      <c r="E74" s="290"/>
      <c r="F74" s="298">
        <v>210</v>
      </c>
      <c r="G74" s="290">
        <f t="shared" ref="G74" si="24">F74*D74</f>
        <v>0</v>
      </c>
      <c r="H74" s="290">
        <f t="shared" ref="H74" si="25">F74*E74</f>
        <v>0</v>
      </c>
      <c r="I74" s="291"/>
      <c r="J74" s="254" t="s">
        <v>7</v>
      </c>
      <c r="K74" s="254" t="s">
        <v>113</v>
      </c>
      <c r="L74" s="254" t="s">
        <v>99</v>
      </c>
      <c r="M74" s="254"/>
      <c r="N74" s="254"/>
      <c r="P74" s="263"/>
    </row>
    <row r="75" spans="1:16" s="277" customFormat="1" ht="14" outlineLevel="2">
      <c r="A75" s="280" t="s">
        <v>12</v>
      </c>
      <c r="B75" s="281" t="s">
        <v>296</v>
      </c>
      <c r="C75" s="282"/>
      <c r="D75" s="283"/>
      <c r="E75" s="283"/>
      <c r="F75" s="283"/>
      <c r="G75" s="283">
        <f>SUBTOTAL(9,G76:G77)</f>
        <v>0</v>
      </c>
      <c r="H75" s="283">
        <f>SUBTOTAL(9,H76:H77)</f>
        <v>864000</v>
      </c>
      <c r="I75" s="284"/>
      <c r="J75" s="254"/>
      <c r="K75" s="254"/>
      <c r="L75" s="254"/>
      <c r="M75" s="275"/>
      <c r="N75" s="275"/>
      <c r="P75" s="278" t="s">
        <v>938</v>
      </c>
    </row>
    <row r="76" spans="1:16" s="264" customFormat="1" ht="14" outlineLevel="4">
      <c r="A76" s="292" t="s">
        <v>8</v>
      </c>
      <c r="B76" s="240" t="s">
        <v>1364</v>
      </c>
      <c r="C76" s="289" t="s">
        <v>24</v>
      </c>
      <c r="D76" s="290">
        <v>0</v>
      </c>
      <c r="E76" s="290">
        <v>400</v>
      </c>
      <c r="F76" s="290">
        <v>210</v>
      </c>
      <c r="G76" s="290">
        <f t="shared" ref="G76:G77" si="26">F76*D76</f>
        <v>0</v>
      </c>
      <c r="H76" s="290">
        <f t="shared" ref="H76:H77" si="27">F76*E76</f>
        <v>84000</v>
      </c>
      <c r="I76" s="291"/>
      <c r="J76" s="254" t="s">
        <v>7</v>
      </c>
      <c r="K76" s="254" t="s">
        <v>128</v>
      </c>
      <c r="L76" s="254" t="s">
        <v>99</v>
      </c>
      <c r="M76" s="254"/>
      <c r="N76" s="254"/>
      <c r="P76" s="263"/>
    </row>
    <row r="77" spans="1:16" s="264" customFormat="1" ht="14" outlineLevel="4">
      <c r="A77" s="292" t="s">
        <v>8</v>
      </c>
      <c r="B77" s="240" t="s">
        <v>85</v>
      </c>
      <c r="C77" s="289" t="s">
        <v>34</v>
      </c>
      <c r="D77" s="290">
        <v>0</v>
      </c>
      <c r="E77" s="290">
        <v>1200</v>
      </c>
      <c r="F77" s="290">
        <v>650</v>
      </c>
      <c r="G77" s="290">
        <f t="shared" si="26"/>
        <v>0</v>
      </c>
      <c r="H77" s="290">
        <f t="shared" si="27"/>
        <v>780000</v>
      </c>
      <c r="I77" s="291"/>
      <c r="J77" s="254" t="s">
        <v>7</v>
      </c>
      <c r="K77" s="254" t="s">
        <v>128</v>
      </c>
      <c r="L77" s="254" t="s">
        <v>99</v>
      </c>
      <c r="M77" s="254"/>
      <c r="N77" s="254"/>
      <c r="P77" s="263"/>
    </row>
    <row r="78" spans="1:16" s="277" customFormat="1" ht="14" outlineLevel="2">
      <c r="A78" s="280" t="s">
        <v>19</v>
      </c>
      <c r="B78" s="300" t="s">
        <v>297</v>
      </c>
      <c r="C78" s="282"/>
      <c r="D78" s="283"/>
      <c r="E78" s="283"/>
      <c r="F78" s="283"/>
      <c r="G78" s="283">
        <f>SUBTOTAL(9,G79:G84)</f>
        <v>500000</v>
      </c>
      <c r="H78" s="283">
        <f>SUBTOTAL(9,H79:H84)</f>
        <v>0</v>
      </c>
      <c r="I78" s="291"/>
      <c r="J78" s="254"/>
      <c r="K78" s="254"/>
      <c r="L78" s="254"/>
      <c r="M78" s="275"/>
      <c r="N78" s="275"/>
      <c r="P78" s="278" t="s">
        <v>939</v>
      </c>
    </row>
    <row r="79" spans="1:16" s="277" customFormat="1" ht="14" outlineLevel="3">
      <c r="A79" s="280">
        <v>1</v>
      </c>
      <c r="B79" s="281" t="s">
        <v>298</v>
      </c>
      <c r="C79" s="282"/>
      <c r="D79" s="283"/>
      <c r="E79" s="283"/>
      <c r="F79" s="283"/>
      <c r="G79" s="283">
        <f>SUBTOTAL(9,G80:G81)</f>
        <v>500000</v>
      </c>
      <c r="H79" s="283"/>
      <c r="I79" s="284"/>
      <c r="J79" s="275"/>
      <c r="K79" s="275"/>
      <c r="L79" s="275"/>
      <c r="M79" s="275"/>
      <c r="N79" s="275"/>
      <c r="P79" s="278"/>
    </row>
    <row r="80" spans="1:16" s="264" customFormat="1" ht="14" outlineLevel="4">
      <c r="A80" s="280" t="s">
        <v>8</v>
      </c>
      <c r="B80" s="288" t="s">
        <v>473</v>
      </c>
      <c r="C80" s="289" t="s">
        <v>9</v>
      </c>
      <c r="D80" s="290">
        <v>1</v>
      </c>
      <c r="E80" s="290">
        <v>0</v>
      </c>
      <c r="F80" s="290">
        <v>500000</v>
      </c>
      <c r="G80" s="290">
        <f t="shared" ref="G80:G81" si="28">F80*D80</f>
        <v>500000</v>
      </c>
      <c r="H80" s="290">
        <f t="shared" ref="H80:H81" si="29">F80*E80</f>
        <v>0</v>
      </c>
      <c r="I80" s="291"/>
      <c r="J80" s="254" t="s">
        <v>7</v>
      </c>
      <c r="K80" s="254" t="s">
        <v>128</v>
      </c>
      <c r="L80" s="254" t="s">
        <v>99</v>
      </c>
      <c r="M80" s="254"/>
      <c r="N80" s="254"/>
      <c r="P80" s="263"/>
    </row>
    <row r="81" spans="1:17" s="264" customFormat="1" ht="14" outlineLevel="4">
      <c r="A81" s="280" t="s">
        <v>8</v>
      </c>
      <c r="B81" s="288" t="s">
        <v>299</v>
      </c>
      <c r="C81" s="289" t="s">
        <v>183</v>
      </c>
      <c r="D81" s="290"/>
      <c r="E81" s="290"/>
      <c r="F81" s="290"/>
      <c r="G81" s="290">
        <f t="shared" si="28"/>
        <v>0</v>
      </c>
      <c r="H81" s="290">
        <f t="shared" si="29"/>
        <v>0</v>
      </c>
      <c r="I81" s="291"/>
      <c r="J81" s="254" t="s">
        <v>7</v>
      </c>
      <c r="K81" s="254" t="s">
        <v>128</v>
      </c>
      <c r="L81" s="254" t="s">
        <v>99</v>
      </c>
      <c r="M81" s="254"/>
      <c r="N81" s="254"/>
      <c r="P81" s="263"/>
    </row>
    <row r="82" spans="1:17" s="277" customFormat="1" ht="14" outlineLevel="3">
      <c r="A82" s="280">
        <v>2</v>
      </c>
      <c r="B82" s="281" t="s">
        <v>300</v>
      </c>
      <c r="C82" s="295"/>
      <c r="D82" s="283"/>
      <c r="E82" s="283"/>
      <c r="F82" s="301"/>
      <c r="G82" s="283">
        <f>SUBTOTAL(9,G83:G84)</f>
        <v>0</v>
      </c>
      <c r="H82" s="283"/>
      <c r="I82" s="284"/>
      <c r="J82" s="275"/>
      <c r="K82" s="275"/>
      <c r="L82" s="275"/>
      <c r="M82" s="275"/>
      <c r="N82" s="275"/>
      <c r="P82" s="278"/>
    </row>
    <row r="83" spans="1:17" s="264" customFormat="1" ht="14" outlineLevel="4">
      <c r="A83" s="280" t="s">
        <v>8</v>
      </c>
      <c r="B83" s="288" t="s">
        <v>303</v>
      </c>
      <c r="C83" s="289" t="s">
        <v>34</v>
      </c>
      <c r="D83" s="290"/>
      <c r="E83" s="290"/>
      <c r="F83" s="290"/>
      <c r="G83" s="290">
        <f t="shared" ref="G83:G84" si="30">F83*D83</f>
        <v>0</v>
      </c>
      <c r="H83" s="290">
        <f t="shared" ref="H83:H84" si="31">F83*E83</f>
        <v>0</v>
      </c>
      <c r="I83" s="291"/>
      <c r="J83" s="254" t="s">
        <v>7</v>
      </c>
      <c r="K83" s="254" t="s">
        <v>112</v>
      </c>
      <c r="L83" s="254" t="s">
        <v>99</v>
      </c>
      <c r="M83" s="254"/>
      <c r="N83" s="254"/>
      <c r="P83" s="263"/>
    </row>
    <row r="84" spans="1:17" s="264" customFormat="1" ht="28" outlineLevel="4">
      <c r="A84" s="280" t="s">
        <v>8</v>
      </c>
      <c r="B84" s="288" t="s">
        <v>301</v>
      </c>
      <c r="C84" s="289" t="s">
        <v>34</v>
      </c>
      <c r="D84" s="290"/>
      <c r="E84" s="290"/>
      <c r="F84" s="290"/>
      <c r="G84" s="290">
        <f t="shared" si="30"/>
        <v>0</v>
      </c>
      <c r="H84" s="290">
        <f t="shared" si="31"/>
        <v>0</v>
      </c>
      <c r="I84" s="291"/>
      <c r="J84" s="254" t="s">
        <v>7</v>
      </c>
      <c r="K84" s="254" t="s">
        <v>187</v>
      </c>
      <c r="L84" s="254" t="s">
        <v>99</v>
      </c>
      <c r="M84" s="254"/>
      <c r="N84" s="254"/>
      <c r="P84" s="263"/>
    </row>
    <row r="85" spans="1:17" s="305" customFormat="1" ht="14" outlineLevel="1">
      <c r="A85" s="284" t="s">
        <v>332</v>
      </c>
      <c r="B85" s="242" t="s">
        <v>324</v>
      </c>
      <c r="C85" s="282"/>
      <c r="D85" s="283"/>
      <c r="E85" s="283"/>
      <c r="F85" s="283"/>
      <c r="G85" s="283">
        <f>SUBTOTAL(9,G86:G92)</f>
        <v>1246296</v>
      </c>
      <c r="H85" s="283">
        <f>SUBTOTAL(9,H86:H92)</f>
        <v>2131817</v>
      </c>
      <c r="I85" s="283"/>
      <c r="J85" s="302"/>
      <c r="K85" s="303"/>
      <c r="L85" s="303"/>
      <c r="M85" s="304"/>
      <c r="N85" s="304"/>
      <c r="P85" s="306" t="s">
        <v>940</v>
      </c>
    </row>
    <row r="86" spans="1:17" s="308" customFormat="1" ht="14" outlineLevel="2">
      <c r="A86" s="297" t="s">
        <v>8</v>
      </c>
      <c r="B86" s="307" t="s">
        <v>1365</v>
      </c>
      <c r="C86" s="289" t="s">
        <v>31</v>
      </c>
      <c r="D86" s="290">
        <v>20</v>
      </c>
      <c r="E86" s="290">
        <v>60</v>
      </c>
      <c r="F86" s="290">
        <v>6073</v>
      </c>
      <c r="G86" s="290">
        <f t="shared" ref="G86:G89" si="32">F86*D86</f>
        <v>121460</v>
      </c>
      <c r="H86" s="290">
        <f t="shared" ref="H86:H89" si="33">F86*E86</f>
        <v>364380</v>
      </c>
      <c r="I86" s="291"/>
      <c r="J86" s="254" t="s">
        <v>7</v>
      </c>
      <c r="K86" s="303" t="s">
        <v>325</v>
      </c>
      <c r="L86" s="303" t="s">
        <v>99</v>
      </c>
      <c r="M86" s="303"/>
      <c r="N86" s="303"/>
      <c r="P86" s="309"/>
    </row>
    <row r="87" spans="1:17" s="308" customFormat="1" ht="14" outlineLevel="2">
      <c r="A87" s="297" t="s">
        <v>8</v>
      </c>
      <c r="B87" s="307" t="s">
        <v>1366</v>
      </c>
      <c r="C87" s="289" t="s">
        <v>31</v>
      </c>
      <c r="D87" s="290">
        <v>30</v>
      </c>
      <c r="E87" s="290">
        <v>65</v>
      </c>
      <c r="F87" s="290">
        <v>6073</v>
      </c>
      <c r="G87" s="290">
        <f t="shared" si="32"/>
        <v>182190</v>
      </c>
      <c r="H87" s="290">
        <f t="shared" si="33"/>
        <v>394745</v>
      </c>
      <c r="I87" s="291"/>
      <c r="J87" s="254" t="s">
        <v>7</v>
      </c>
      <c r="K87" s="303" t="s">
        <v>325</v>
      </c>
      <c r="L87" s="303" t="s">
        <v>99</v>
      </c>
      <c r="M87" s="303"/>
      <c r="N87" s="303"/>
      <c r="P87" s="309"/>
    </row>
    <row r="88" spans="1:17" s="308" customFormat="1" ht="14" outlineLevel="2">
      <c r="A88" s="297" t="s">
        <v>8</v>
      </c>
      <c r="B88" s="310" t="s">
        <v>1367</v>
      </c>
      <c r="C88" s="289" t="s">
        <v>31</v>
      </c>
      <c r="D88" s="290">
        <v>0</v>
      </c>
      <c r="E88" s="290">
        <v>70</v>
      </c>
      <c r="F88" s="290">
        <v>6633.9</v>
      </c>
      <c r="G88" s="290">
        <f t="shared" si="32"/>
        <v>0</v>
      </c>
      <c r="H88" s="290">
        <f t="shared" si="33"/>
        <v>464373</v>
      </c>
      <c r="I88" s="291"/>
      <c r="J88" s="254" t="s">
        <v>7</v>
      </c>
      <c r="K88" s="303" t="s">
        <v>325</v>
      </c>
      <c r="L88" s="303" t="s">
        <v>99</v>
      </c>
      <c r="M88" s="303"/>
      <c r="N88" s="303"/>
      <c r="P88" s="309"/>
    </row>
    <row r="89" spans="1:17" s="308" customFormat="1" ht="14" outlineLevel="2">
      <c r="A89" s="297" t="s">
        <v>8</v>
      </c>
      <c r="B89" s="307" t="s">
        <v>1368</v>
      </c>
      <c r="C89" s="289" t="s">
        <v>31</v>
      </c>
      <c r="D89" s="290">
        <v>40</v>
      </c>
      <c r="E89" s="290">
        <v>35</v>
      </c>
      <c r="F89" s="290">
        <v>9515.4</v>
      </c>
      <c r="G89" s="290">
        <f t="shared" si="32"/>
        <v>380616</v>
      </c>
      <c r="H89" s="290">
        <f t="shared" si="33"/>
        <v>333039</v>
      </c>
      <c r="I89" s="291"/>
      <c r="J89" s="254" t="s">
        <v>7</v>
      </c>
      <c r="K89" s="303" t="s">
        <v>325</v>
      </c>
      <c r="L89" s="303" t="s">
        <v>99</v>
      </c>
      <c r="M89" s="303"/>
      <c r="N89" s="303"/>
      <c r="P89" s="309"/>
    </row>
    <row r="90" spans="1:17" s="308" customFormat="1" ht="14" outlineLevel="2">
      <c r="A90" s="297" t="s">
        <v>8</v>
      </c>
      <c r="B90" s="307" t="s">
        <v>1369</v>
      </c>
      <c r="C90" s="289" t="s">
        <v>31</v>
      </c>
      <c r="D90" s="290">
        <v>40</v>
      </c>
      <c r="E90" s="290">
        <v>35</v>
      </c>
      <c r="F90" s="290">
        <v>9496</v>
      </c>
      <c r="G90" s="290">
        <f t="shared" ref="G90:G92" si="34">F90*D90</f>
        <v>379840</v>
      </c>
      <c r="H90" s="290">
        <f t="shared" ref="H90:H92" si="35">F90*E90</f>
        <v>332360</v>
      </c>
      <c r="I90" s="291"/>
      <c r="J90" s="254" t="s">
        <v>7</v>
      </c>
      <c r="K90" s="303" t="s">
        <v>325</v>
      </c>
      <c r="L90" s="303" t="s">
        <v>99</v>
      </c>
      <c r="M90" s="303"/>
      <c r="N90" s="303"/>
      <c r="P90" s="309"/>
    </row>
    <row r="91" spans="1:17" s="308" customFormat="1" ht="14" outlineLevel="2">
      <c r="A91" s="297" t="s">
        <v>8</v>
      </c>
      <c r="B91" s="310" t="s">
        <v>1370</v>
      </c>
      <c r="C91" s="289" t="s">
        <v>31</v>
      </c>
      <c r="D91" s="290">
        <v>30</v>
      </c>
      <c r="E91" s="290">
        <v>40</v>
      </c>
      <c r="F91" s="290">
        <v>6073</v>
      </c>
      <c r="G91" s="290">
        <f t="shared" si="34"/>
        <v>182190</v>
      </c>
      <c r="H91" s="290">
        <f t="shared" si="35"/>
        <v>242920</v>
      </c>
      <c r="I91" s="291"/>
      <c r="J91" s="254" t="s">
        <v>7</v>
      </c>
      <c r="K91" s="303" t="s">
        <v>325</v>
      </c>
      <c r="L91" s="303" t="s">
        <v>99</v>
      </c>
      <c r="M91" s="303"/>
      <c r="N91" s="303"/>
      <c r="P91" s="309"/>
    </row>
    <row r="92" spans="1:17" s="308" customFormat="1" ht="14" outlineLevel="2">
      <c r="A92" s="297" t="s">
        <v>8</v>
      </c>
      <c r="B92" s="307"/>
      <c r="C92" s="289" t="s">
        <v>31</v>
      </c>
      <c r="D92" s="290"/>
      <c r="E92" s="290"/>
      <c r="F92" s="290">
        <v>8692</v>
      </c>
      <c r="G92" s="290">
        <f t="shared" si="34"/>
        <v>0</v>
      </c>
      <c r="H92" s="290">
        <f t="shared" si="35"/>
        <v>0</v>
      </c>
      <c r="I92" s="291"/>
      <c r="J92" s="254" t="s">
        <v>7</v>
      </c>
      <c r="K92" s="303" t="s">
        <v>325</v>
      </c>
      <c r="L92" s="303" t="s">
        <v>99</v>
      </c>
      <c r="M92" s="303"/>
      <c r="N92" s="303"/>
      <c r="P92" s="309"/>
    </row>
    <row r="93" spans="1:17" s="497" customFormat="1">
      <c r="A93" s="487" t="s">
        <v>40</v>
      </c>
      <c r="B93" s="488" t="s">
        <v>17</v>
      </c>
      <c r="C93" s="489"/>
      <c r="D93" s="490"/>
      <c r="E93" s="490"/>
      <c r="F93" s="491"/>
      <c r="G93" s="490">
        <f>SUBTOTAL(9,G94:G247)</f>
        <v>8950010</v>
      </c>
      <c r="H93" s="490">
        <f>SUBTOTAL(9,H94:H247)</f>
        <v>0</v>
      </c>
      <c r="I93" s="492"/>
      <c r="J93" s="493"/>
      <c r="K93" s="494"/>
      <c r="L93" s="494"/>
      <c r="M93" s="494"/>
      <c r="N93" s="494"/>
      <c r="O93" s="495"/>
      <c r="P93" s="496"/>
      <c r="Q93" s="495"/>
    </row>
    <row r="94" spans="1:17" s="497" customFormat="1" outlineLevel="1">
      <c r="A94" s="498" t="s">
        <v>4</v>
      </c>
      <c r="B94" s="499" t="s">
        <v>22</v>
      </c>
      <c r="C94" s="500"/>
      <c r="D94" s="2"/>
      <c r="E94" s="2"/>
      <c r="F94" s="2"/>
      <c r="G94" s="2">
        <f>SUBTOTAL(9,G95:G156)</f>
        <v>2982350</v>
      </c>
      <c r="H94" s="2">
        <f>SUBTOTAL(9,H95:H156)</f>
        <v>0</v>
      </c>
      <c r="I94" s="501"/>
      <c r="J94" s="493"/>
      <c r="K94" s="493"/>
      <c r="L94" s="493"/>
      <c r="M94" s="494"/>
      <c r="N94" s="494"/>
      <c r="O94" s="495"/>
      <c r="P94" s="496"/>
      <c r="Q94" s="495"/>
    </row>
    <row r="95" spans="1:17" s="505" customFormat="1" outlineLevel="2">
      <c r="A95" s="502">
        <v>1</v>
      </c>
      <c r="B95" s="503" t="s">
        <v>212</v>
      </c>
      <c r="C95" s="500" t="s">
        <v>24</v>
      </c>
      <c r="D95" s="2"/>
      <c r="E95" s="2"/>
      <c r="F95" s="2"/>
      <c r="G95" s="2">
        <f>SUBTOTAL(9,G96)</f>
        <v>0</v>
      </c>
      <c r="H95" s="2">
        <f t="shared" ref="H95:H156" si="36">F95*E95</f>
        <v>0</v>
      </c>
      <c r="I95" s="38"/>
      <c r="J95" s="493" t="s">
        <v>18</v>
      </c>
      <c r="K95" s="493" t="s">
        <v>203</v>
      </c>
      <c r="L95" s="504" t="s">
        <v>99</v>
      </c>
      <c r="M95" s="504"/>
      <c r="N95" s="504"/>
      <c r="P95" s="506"/>
    </row>
    <row r="96" spans="1:17" s="505" customFormat="1" outlineLevel="2">
      <c r="A96" s="502">
        <v>2</v>
      </c>
      <c r="B96" s="507" t="s">
        <v>337</v>
      </c>
      <c r="C96" s="500" t="s">
        <v>213</v>
      </c>
      <c r="D96" s="2"/>
      <c r="E96" s="2"/>
      <c r="F96" s="2"/>
      <c r="G96" s="2">
        <f>SUBTOTAL(9,G97:G103)</f>
        <v>0</v>
      </c>
      <c r="H96" s="2">
        <f t="shared" si="36"/>
        <v>0</v>
      </c>
      <c r="I96" s="38"/>
      <c r="J96" s="493" t="s">
        <v>18</v>
      </c>
      <c r="K96" s="493" t="s">
        <v>113</v>
      </c>
      <c r="L96" s="504" t="s">
        <v>99</v>
      </c>
      <c r="M96" s="504"/>
      <c r="N96" s="504"/>
      <c r="P96" s="506"/>
    </row>
    <row r="97" spans="1:16" s="505" customFormat="1" outlineLevel="2">
      <c r="A97" s="53" t="s">
        <v>8</v>
      </c>
      <c r="B97" s="508" t="s">
        <v>397</v>
      </c>
      <c r="C97" s="448" t="s">
        <v>44</v>
      </c>
      <c r="D97" s="509"/>
      <c r="E97" s="8"/>
      <c r="F97" s="510">
        <v>0.39</v>
      </c>
      <c r="G97" s="8">
        <f t="shared" ref="G97:G121" si="37">F97*D97</f>
        <v>0</v>
      </c>
      <c r="H97" s="8">
        <f t="shared" si="36"/>
        <v>0</v>
      </c>
      <c r="I97" s="1"/>
      <c r="J97" s="493" t="s">
        <v>18</v>
      </c>
      <c r="K97" s="493" t="s">
        <v>113</v>
      </c>
      <c r="L97" s="504" t="s">
        <v>99</v>
      </c>
      <c r="M97" s="504"/>
      <c r="N97" s="504"/>
      <c r="P97" s="506"/>
    </row>
    <row r="98" spans="1:16" s="505" customFormat="1" outlineLevel="2">
      <c r="A98" s="53" t="s">
        <v>8</v>
      </c>
      <c r="B98" s="508" t="s">
        <v>399</v>
      </c>
      <c r="C98" s="448" t="s">
        <v>44</v>
      </c>
      <c r="D98" s="509"/>
      <c r="E98" s="8"/>
      <c r="F98" s="510">
        <v>0.26</v>
      </c>
      <c r="G98" s="8">
        <f t="shared" si="37"/>
        <v>0</v>
      </c>
      <c r="H98" s="8">
        <f t="shared" si="36"/>
        <v>0</v>
      </c>
      <c r="I98" s="1"/>
      <c r="J98" s="493" t="s">
        <v>18</v>
      </c>
      <c r="K98" s="493" t="s">
        <v>113</v>
      </c>
      <c r="L98" s="504" t="s">
        <v>99</v>
      </c>
      <c r="M98" s="504"/>
      <c r="N98" s="504"/>
      <c r="P98" s="506"/>
    </row>
    <row r="99" spans="1:16" s="505" customFormat="1" outlineLevel="2">
      <c r="A99" s="53" t="s">
        <v>8</v>
      </c>
      <c r="B99" s="508" t="s">
        <v>398</v>
      </c>
      <c r="C99" s="448" t="s">
        <v>44</v>
      </c>
      <c r="D99" s="509"/>
      <c r="E99" s="8"/>
      <c r="F99" s="510">
        <v>0.05</v>
      </c>
      <c r="G99" s="8">
        <f t="shared" si="37"/>
        <v>0</v>
      </c>
      <c r="H99" s="8">
        <f t="shared" si="36"/>
        <v>0</v>
      </c>
      <c r="I99" s="1"/>
      <c r="J99" s="493" t="s">
        <v>18</v>
      </c>
      <c r="K99" s="493" t="s">
        <v>113</v>
      </c>
      <c r="L99" s="504" t="s">
        <v>99</v>
      </c>
      <c r="M99" s="504"/>
      <c r="N99" s="504"/>
      <c r="P99" s="506"/>
    </row>
    <row r="100" spans="1:16" s="505" customFormat="1" outlineLevel="2">
      <c r="A100" s="53" t="s">
        <v>8</v>
      </c>
      <c r="B100" s="508" t="s">
        <v>415</v>
      </c>
      <c r="C100" s="448" t="s">
        <v>9</v>
      </c>
      <c r="D100" s="8"/>
      <c r="E100" s="8"/>
      <c r="F100" s="8">
        <v>110000</v>
      </c>
      <c r="G100" s="8">
        <f t="shared" si="37"/>
        <v>0</v>
      </c>
      <c r="H100" s="8">
        <f t="shared" si="36"/>
        <v>0</v>
      </c>
      <c r="I100" s="1"/>
      <c r="J100" s="493" t="s">
        <v>18</v>
      </c>
      <c r="K100" s="493" t="s">
        <v>113</v>
      </c>
      <c r="L100" s="504" t="s">
        <v>99</v>
      </c>
      <c r="M100" s="504"/>
      <c r="N100" s="504"/>
      <c r="P100" s="506"/>
    </row>
    <row r="101" spans="1:16" s="505" customFormat="1" outlineLevel="2">
      <c r="A101" s="53" t="s">
        <v>8</v>
      </c>
      <c r="B101" s="508" t="s">
        <v>400</v>
      </c>
      <c r="C101" s="448" t="s">
        <v>9</v>
      </c>
      <c r="D101" s="8"/>
      <c r="E101" s="8"/>
      <c r="F101" s="8">
        <v>160000</v>
      </c>
      <c r="G101" s="8">
        <f t="shared" si="37"/>
        <v>0</v>
      </c>
      <c r="H101" s="8">
        <f t="shared" si="36"/>
        <v>0</v>
      </c>
      <c r="I101" s="1"/>
      <c r="J101" s="493" t="s">
        <v>18</v>
      </c>
      <c r="K101" s="493" t="s">
        <v>113</v>
      </c>
      <c r="L101" s="504" t="s">
        <v>99</v>
      </c>
      <c r="M101" s="504"/>
      <c r="N101" s="504"/>
      <c r="P101" s="506"/>
    </row>
    <row r="102" spans="1:16" s="505" customFormat="1" outlineLevel="2">
      <c r="A102" s="53" t="s">
        <v>8</v>
      </c>
      <c r="B102" s="508" t="s">
        <v>338</v>
      </c>
      <c r="C102" s="448" t="s">
        <v>9</v>
      </c>
      <c r="D102" s="8"/>
      <c r="E102" s="8"/>
      <c r="F102" s="8">
        <v>50000</v>
      </c>
      <c r="G102" s="8">
        <f t="shared" si="37"/>
        <v>0</v>
      </c>
      <c r="H102" s="8">
        <f t="shared" si="36"/>
        <v>0</v>
      </c>
      <c r="I102" s="1"/>
      <c r="J102" s="493" t="s">
        <v>18</v>
      </c>
      <c r="K102" s="493" t="s">
        <v>113</v>
      </c>
      <c r="L102" s="504" t="s">
        <v>99</v>
      </c>
      <c r="M102" s="504"/>
      <c r="N102" s="504"/>
      <c r="P102" s="506"/>
    </row>
    <row r="103" spans="1:16" s="505" customFormat="1" outlineLevel="2">
      <c r="A103" s="53" t="s">
        <v>8</v>
      </c>
      <c r="B103" s="508" t="s">
        <v>339</v>
      </c>
      <c r="C103" s="448" t="s">
        <v>9</v>
      </c>
      <c r="D103" s="8"/>
      <c r="E103" s="8"/>
      <c r="F103" s="8">
        <v>20000</v>
      </c>
      <c r="G103" s="8">
        <f t="shared" si="37"/>
        <v>0</v>
      </c>
      <c r="H103" s="8">
        <f t="shared" si="36"/>
        <v>0</v>
      </c>
      <c r="I103" s="1"/>
      <c r="J103" s="493" t="s">
        <v>18</v>
      </c>
      <c r="K103" s="493" t="s">
        <v>113</v>
      </c>
      <c r="L103" s="504" t="s">
        <v>99</v>
      </c>
      <c r="M103" s="504"/>
      <c r="N103" s="504"/>
      <c r="P103" s="506"/>
    </row>
    <row r="104" spans="1:16" s="505" customFormat="1" outlineLevel="2">
      <c r="A104" s="502">
        <v>3</v>
      </c>
      <c r="B104" s="507" t="s">
        <v>1154</v>
      </c>
      <c r="C104" s="448" t="s">
        <v>213</v>
      </c>
      <c r="D104" s="8"/>
      <c r="E104" s="8"/>
      <c r="F104" s="8"/>
      <c r="G104" s="2">
        <f>SUBTOTAL(9,G105:G121)</f>
        <v>468000</v>
      </c>
      <c r="H104" s="8">
        <f t="shared" si="36"/>
        <v>0</v>
      </c>
      <c r="I104" s="1"/>
      <c r="J104" s="493"/>
      <c r="K104" s="493"/>
      <c r="L104" s="504"/>
      <c r="N104" s="504"/>
      <c r="P104" s="798" t="s">
        <v>1212</v>
      </c>
    </row>
    <row r="105" spans="1:16" s="505" customFormat="1" outlineLevel="2">
      <c r="A105" s="53" t="s">
        <v>8</v>
      </c>
      <c r="B105" s="511" t="s">
        <v>1155</v>
      </c>
      <c r="C105" s="448" t="s">
        <v>44</v>
      </c>
      <c r="D105" s="512">
        <v>3000000</v>
      </c>
      <c r="E105" s="509"/>
      <c r="F105" s="171">
        <v>4.8000000000000001E-2</v>
      </c>
      <c r="G105" s="8">
        <f t="shared" si="37"/>
        <v>144000</v>
      </c>
      <c r="H105" s="8">
        <f t="shared" si="36"/>
        <v>0</v>
      </c>
      <c r="I105" s="1"/>
      <c r="J105" s="493" t="s">
        <v>18</v>
      </c>
      <c r="K105" s="493" t="s">
        <v>113</v>
      </c>
      <c r="L105" s="504" t="s">
        <v>99</v>
      </c>
      <c r="M105" s="504"/>
      <c r="N105" s="504"/>
      <c r="P105" s="798"/>
    </row>
    <row r="106" spans="1:16" s="505" customFormat="1" outlineLevel="2">
      <c r="A106" s="53" t="s">
        <v>8</v>
      </c>
      <c r="B106" s="511" t="s">
        <v>1156</v>
      </c>
      <c r="C106" s="448" t="s">
        <v>44</v>
      </c>
      <c r="D106" s="512">
        <v>9000000</v>
      </c>
      <c r="E106" s="8"/>
      <c r="F106" s="171">
        <v>1.2E-2</v>
      </c>
      <c r="G106" s="8">
        <f t="shared" si="37"/>
        <v>108000</v>
      </c>
      <c r="H106" s="8">
        <f t="shared" si="36"/>
        <v>0</v>
      </c>
      <c r="I106" s="1"/>
      <c r="J106" s="493" t="s">
        <v>18</v>
      </c>
      <c r="K106" s="493" t="s">
        <v>113</v>
      </c>
      <c r="L106" s="504" t="s">
        <v>99</v>
      </c>
      <c r="M106" s="504"/>
      <c r="N106" s="504"/>
      <c r="P106" s="798"/>
    </row>
    <row r="107" spans="1:16" s="505" customFormat="1" outlineLevel="2">
      <c r="A107" s="53" t="s">
        <v>8</v>
      </c>
      <c r="B107" s="511" t="s">
        <v>1157</v>
      </c>
      <c r="C107" s="448" t="s">
        <v>44</v>
      </c>
      <c r="D107" s="512">
        <v>2000000</v>
      </c>
      <c r="E107" s="8"/>
      <c r="F107" s="171">
        <v>4.8000000000000001E-2</v>
      </c>
      <c r="G107" s="8">
        <f t="shared" si="37"/>
        <v>96000</v>
      </c>
      <c r="H107" s="8">
        <f t="shared" si="36"/>
        <v>0</v>
      </c>
      <c r="I107" s="1"/>
      <c r="J107" s="493" t="s">
        <v>18</v>
      </c>
      <c r="K107" s="493" t="s">
        <v>113</v>
      </c>
      <c r="L107" s="504" t="s">
        <v>99</v>
      </c>
      <c r="M107" s="504"/>
      <c r="N107" s="504"/>
      <c r="P107" s="798"/>
    </row>
    <row r="108" spans="1:16" s="505" customFormat="1" outlineLevel="2">
      <c r="A108" s="53" t="s">
        <v>8</v>
      </c>
      <c r="B108" s="511" t="s">
        <v>1158</v>
      </c>
      <c r="C108" s="448" t="s">
        <v>44</v>
      </c>
      <c r="D108" s="512">
        <v>6000000</v>
      </c>
      <c r="E108" s="8"/>
      <c r="F108" s="171">
        <v>1.2E-2</v>
      </c>
      <c r="G108" s="8">
        <f t="shared" si="37"/>
        <v>72000</v>
      </c>
      <c r="H108" s="8">
        <f t="shared" si="36"/>
        <v>0</v>
      </c>
      <c r="I108" s="1"/>
      <c r="J108" s="493" t="s">
        <v>18</v>
      </c>
      <c r="K108" s="493" t="s">
        <v>113</v>
      </c>
      <c r="L108" s="504" t="s">
        <v>99</v>
      </c>
      <c r="M108" s="504"/>
      <c r="N108" s="504"/>
      <c r="P108" s="798"/>
    </row>
    <row r="109" spans="1:16" s="505" customFormat="1" outlineLevel="2">
      <c r="A109" s="53" t="s">
        <v>8</v>
      </c>
      <c r="B109" s="511" t="s">
        <v>1159</v>
      </c>
      <c r="C109" s="448" t="s">
        <v>44</v>
      </c>
      <c r="D109" s="512">
        <v>0</v>
      </c>
      <c r="E109" s="8"/>
      <c r="F109" s="171">
        <v>4.8000000000000001E-2</v>
      </c>
      <c r="G109" s="8">
        <f t="shared" si="37"/>
        <v>0</v>
      </c>
      <c r="H109" s="8">
        <f t="shared" si="36"/>
        <v>0</v>
      </c>
      <c r="I109" s="1"/>
      <c r="J109" s="493" t="s">
        <v>18</v>
      </c>
      <c r="K109" s="493" t="s">
        <v>113</v>
      </c>
      <c r="L109" s="504" t="s">
        <v>99</v>
      </c>
      <c r="M109" s="504"/>
      <c r="N109" s="504"/>
      <c r="P109" s="798"/>
    </row>
    <row r="110" spans="1:16" s="505" customFormat="1" outlineLevel="2">
      <c r="A110" s="53" t="s">
        <v>8</v>
      </c>
      <c r="B110" s="511" t="s">
        <v>1160</v>
      </c>
      <c r="C110" s="448" t="s">
        <v>44</v>
      </c>
      <c r="D110" s="512">
        <v>0</v>
      </c>
      <c r="E110" s="8"/>
      <c r="F110" s="171">
        <v>1.2E-2</v>
      </c>
      <c r="G110" s="8">
        <f t="shared" si="37"/>
        <v>0</v>
      </c>
      <c r="H110" s="8">
        <f t="shared" si="36"/>
        <v>0</v>
      </c>
      <c r="I110" s="1"/>
      <c r="J110" s="493" t="s">
        <v>18</v>
      </c>
      <c r="K110" s="493" t="s">
        <v>113</v>
      </c>
      <c r="L110" s="504" t="s">
        <v>99</v>
      </c>
      <c r="M110" s="504"/>
      <c r="N110" s="504"/>
      <c r="P110" s="798"/>
    </row>
    <row r="111" spans="1:16" s="505" customFormat="1" outlineLevel="2">
      <c r="A111" s="53" t="s">
        <v>8</v>
      </c>
      <c r="B111" s="511" t="s">
        <v>1161</v>
      </c>
      <c r="C111" s="448" t="s">
        <v>44</v>
      </c>
      <c r="D111" s="512">
        <v>500000</v>
      </c>
      <c r="E111" s="8"/>
      <c r="F111" s="171">
        <v>4.8000000000000001E-2</v>
      </c>
      <c r="G111" s="8">
        <f t="shared" si="37"/>
        <v>24000</v>
      </c>
      <c r="H111" s="8">
        <f t="shared" si="36"/>
        <v>0</v>
      </c>
      <c r="I111" s="1"/>
      <c r="J111" s="493" t="s">
        <v>18</v>
      </c>
      <c r="K111" s="493" t="s">
        <v>113</v>
      </c>
      <c r="L111" s="504" t="s">
        <v>99</v>
      </c>
      <c r="M111" s="504"/>
      <c r="N111" s="504"/>
      <c r="P111" s="798"/>
    </row>
    <row r="112" spans="1:16" s="505" customFormat="1" outlineLevel="2">
      <c r="A112" s="53" t="s">
        <v>8</v>
      </c>
      <c r="B112" s="511" t="s">
        <v>1162</v>
      </c>
      <c r="C112" s="448" t="s">
        <v>44</v>
      </c>
      <c r="D112" s="512">
        <v>2000000</v>
      </c>
      <c r="E112" s="8"/>
      <c r="F112" s="171">
        <v>1.2E-2</v>
      </c>
      <c r="G112" s="8">
        <f t="shared" si="37"/>
        <v>24000</v>
      </c>
      <c r="H112" s="8">
        <f t="shared" si="36"/>
        <v>0</v>
      </c>
      <c r="I112" s="1"/>
      <c r="J112" s="493" t="s">
        <v>18</v>
      </c>
      <c r="K112" s="493" t="s">
        <v>113</v>
      </c>
      <c r="L112" s="504" t="s">
        <v>99</v>
      </c>
      <c r="M112" s="504"/>
      <c r="N112" s="504"/>
      <c r="P112" s="798"/>
    </row>
    <row r="113" spans="1:16" s="505" customFormat="1" ht="14" outlineLevel="2">
      <c r="A113" s="53" t="s">
        <v>8</v>
      </c>
      <c r="B113" s="511" t="s">
        <v>1163</v>
      </c>
      <c r="C113" s="448" t="s">
        <v>44</v>
      </c>
      <c r="D113" s="513"/>
      <c r="E113" s="509"/>
      <c r="F113" s="514">
        <v>3.2000000000000001E-2</v>
      </c>
      <c r="G113" s="8">
        <f t="shared" si="37"/>
        <v>0</v>
      </c>
      <c r="H113" s="8">
        <f t="shared" si="36"/>
        <v>0</v>
      </c>
      <c r="I113" s="1"/>
      <c r="J113" s="493" t="s">
        <v>18</v>
      </c>
      <c r="K113" s="493" t="s">
        <v>113</v>
      </c>
      <c r="L113" s="504" t="s">
        <v>99</v>
      </c>
      <c r="M113" s="504"/>
      <c r="N113" s="504"/>
      <c r="P113" s="798"/>
    </row>
    <row r="114" spans="1:16" s="505" customFormat="1" ht="14" outlineLevel="2">
      <c r="A114" s="53" t="s">
        <v>8</v>
      </c>
      <c r="B114" s="511" t="s">
        <v>1164</v>
      </c>
      <c r="C114" s="448" t="s">
        <v>44</v>
      </c>
      <c r="D114" s="8"/>
      <c r="E114" s="8"/>
      <c r="F114" s="514">
        <v>8.0000000000000002E-3</v>
      </c>
      <c r="G114" s="8">
        <f t="shared" si="37"/>
        <v>0</v>
      </c>
      <c r="H114" s="8">
        <f t="shared" si="36"/>
        <v>0</v>
      </c>
      <c r="I114" s="1"/>
      <c r="J114" s="493" t="s">
        <v>18</v>
      </c>
      <c r="K114" s="493" t="s">
        <v>113</v>
      </c>
      <c r="L114" s="504" t="s">
        <v>99</v>
      </c>
      <c r="M114" s="504"/>
      <c r="N114" s="504"/>
      <c r="P114" s="798"/>
    </row>
    <row r="115" spans="1:16" s="505" customFormat="1" ht="14" outlineLevel="2">
      <c r="A115" s="53" t="s">
        <v>8</v>
      </c>
      <c r="B115" s="511" t="s">
        <v>1165</v>
      </c>
      <c r="C115" s="448" t="s">
        <v>44</v>
      </c>
      <c r="D115" s="8"/>
      <c r="E115" s="8"/>
      <c r="F115" s="514">
        <v>3.2000000000000001E-2</v>
      </c>
      <c r="G115" s="8">
        <f t="shared" si="37"/>
        <v>0</v>
      </c>
      <c r="H115" s="8">
        <f t="shared" si="36"/>
        <v>0</v>
      </c>
      <c r="I115" s="1"/>
      <c r="J115" s="493" t="s">
        <v>18</v>
      </c>
      <c r="K115" s="493" t="s">
        <v>113</v>
      </c>
      <c r="L115" s="504" t="s">
        <v>99</v>
      </c>
      <c r="M115" s="504"/>
      <c r="N115" s="504"/>
      <c r="P115" s="798"/>
    </row>
    <row r="116" spans="1:16" s="505" customFormat="1" ht="14" outlineLevel="2">
      <c r="A116" s="53" t="s">
        <v>8</v>
      </c>
      <c r="B116" s="511" t="s">
        <v>1166</v>
      </c>
      <c r="C116" s="448" t="s">
        <v>44</v>
      </c>
      <c r="D116" s="8"/>
      <c r="E116" s="8"/>
      <c r="F116" s="514">
        <v>8.0000000000000002E-3</v>
      </c>
      <c r="G116" s="8">
        <f t="shared" si="37"/>
        <v>0</v>
      </c>
      <c r="H116" s="8">
        <f t="shared" si="36"/>
        <v>0</v>
      </c>
      <c r="I116" s="1"/>
      <c r="J116" s="493" t="s">
        <v>18</v>
      </c>
      <c r="K116" s="493" t="s">
        <v>113</v>
      </c>
      <c r="L116" s="504" t="s">
        <v>99</v>
      </c>
      <c r="M116" s="504"/>
      <c r="N116" s="504"/>
      <c r="P116" s="798"/>
    </row>
    <row r="117" spans="1:16" s="505" customFormat="1" ht="14" outlineLevel="2">
      <c r="A117" s="53" t="s">
        <v>8</v>
      </c>
      <c r="B117" s="511" t="s">
        <v>1167</v>
      </c>
      <c r="C117" s="448" t="s">
        <v>44</v>
      </c>
      <c r="D117" s="8"/>
      <c r="E117" s="8"/>
      <c r="F117" s="514">
        <v>3.2000000000000001E-2</v>
      </c>
      <c r="G117" s="8">
        <f t="shared" si="37"/>
        <v>0</v>
      </c>
      <c r="H117" s="8">
        <f t="shared" si="36"/>
        <v>0</v>
      </c>
      <c r="I117" s="1"/>
      <c r="J117" s="493" t="s">
        <v>18</v>
      </c>
      <c r="K117" s="493" t="s">
        <v>113</v>
      </c>
      <c r="L117" s="504" t="s">
        <v>99</v>
      </c>
      <c r="M117" s="504"/>
      <c r="N117" s="504"/>
      <c r="P117" s="798"/>
    </row>
    <row r="118" spans="1:16" s="505" customFormat="1" ht="14" outlineLevel="2">
      <c r="A118" s="53" t="s">
        <v>8</v>
      </c>
      <c r="B118" s="511" t="s">
        <v>1168</v>
      </c>
      <c r="C118" s="448" t="s">
        <v>44</v>
      </c>
      <c r="D118" s="8"/>
      <c r="E118" s="8"/>
      <c r="F118" s="514">
        <v>8.0000000000000002E-3</v>
      </c>
      <c r="G118" s="8">
        <f t="shared" si="37"/>
        <v>0</v>
      </c>
      <c r="H118" s="8">
        <f t="shared" si="36"/>
        <v>0</v>
      </c>
      <c r="I118" s="1"/>
      <c r="J118" s="493" t="s">
        <v>18</v>
      </c>
      <c r="K118" s="493" t="s">
        <v>113</v>
      </c>
      <c r="L118" s="504" t="s">
        <v>99</v>
      </c>
      <c r="M118" s="504"/>
      <c r="N118" s="504"/>
      <c r="P118" s="798"/>
    </row>
    <row r="119" spans="1:16" s="505" customFormat="1" ht="14" outlineLevel="2">
      <c r="A119" s="53" t="s">
        <v>8</v>
      </c>
      <c r="B119" s="511" t="s">
        <v>1169</v>
      </c>
      <c r="C119" s="448" t="s">
        <v>44</v>
      </c>
      <c r="D119" s="8"/>
      <c r="E119" s="8"/>
      <c r="F119" s="514">
        <v>3.2000000000000001E-2</v>
      </c>
      <c r="G119" s="8">
        <f t="shared" si="37"/>
        <v>0</v>
      </c>
      <c r="H119" s="8">
        <f t="shared" si="36"/>
        <v>0</v>
      </c>
      <c r="I119" s="1"/>
      <c r="J119" s="493" t="s">
        <v>18</v>
      </c>
      <c r="K119" s="493" t="s">
        <v>82</v>
      </c>
      <c r="L119" s="504" t="s">
        <v>99</v>
      </c>
      <c r="M119" s="504"/>
      <c r="N119" s="504"/>
      <c r="P119" s="798"/>
    </row>
    <row r="120" spans="1:16" s="505" customFormat="1" ht="14" outlineLevel="2">
      <c r="A120" s="53" t="s">
        <v>8</v>
      </c>
      <c r="B120" s="511" t="s">
        <v>1170</v>
      </c>
      <c r="C120" s="448" t="s">
        <v>44</v>
      </c>
      <c r="D120" s="8"/>
      <c r="E120" s="8"/>
      <c r="F120" s="514">
        <v>8.0000000000000002E-3</v>
      </c>
      <c r="G120" s="8">
        <f t="shared" si="37"/>
        <v>0</v>
      </c>
      <c r="H120" s="8">
        <f t="shared" si="36"/>
        <v>0</v>
      </c>
      <c r="I120" s="1"/>
      <c r="J120" s="493" t="s">
        <v>18</v>
      </c>
      <c r="K120" s="493" t="s">
        <v>82</v>
      </c>
      <c r="L120" s="504" t="s">
        <v>99</v>
      </c>
      <c r="M120" s="504"/>
      <c r="N120" s="504"/>
      <c r="P120" s="798"/>
    </row>
    <row r="121" spans="1:16" s="505" customFormat="1" ht="14" outlineLevel="2">
      <c r="A121" s="53" t="s">
        <v>8</v>
      </c>
      <c r="B121" s="511" t="s">
        <v>1171</v>
      </c>
      <c r="C121" s="448" t="s">
        <v>9</v>
      </c>
      <c r="D121" s="8"/>
      <c r="E121" s="8"/>
      <c r="F121" s="515">
        <v>150000</v>
      </c>
      <c r="G121" s="8">
        <f t="shared" si="37"/>
        <v>0</v>
      </c>
      <c r="H121" s="8">
        <f t="shared" si="36"/>
        <v>0</v>
      </c>
      <c r="I121" s="1"/>
      <c r="J121" s="493" t="s">
        <v>18</v>
      </c>
      <c r="K121" s="493" t="s">
        <v>113</v>
      </c>
      <c r="L121" s="504" t="s">
        <v>99</v>
      </c>
      <c r="M121" s="504"/>
      <c r="N121" s="504"/>
      <c r="P121" s="595"/>
    </row>
    <row r="122" spans="1:16" s="505" customFormat="1" ht="25.25" customHeight="1" outlineLevel="2">
      <c r="A122" s="502">
        <v>4</v>
      </c>
      <c r="B122" s="507" t="s">
        <v>340</v>
      </c>
      <c r="C122" s="448" t="s">
        <v>44</v>
      </c>
      <c r="D122" s="8"/>
      <c r="E122" s="8"/>
      <c r="F122" s="8"/>
      <c r="G122" s="2">
        <f>SUBTOTAL(9,G123:G126)</f>
        <v>0</v>
      </c>
      <c r="H122" s="8">
        <f t="shared" si="36"/>
        <v>0</v>
      </c>
      <c r="I122" s="1"/>
      <c r="J122" s="493" t="s">
        <v>18</v>
      </c>
      <c r="K122" s="493" t="s">
        <v>113</v>
      </c>
      <c r="L122" s="504" t="s">
        <v>99</v>
      </c>
      <c r="N122" s="504"/>
      <c r="P122" s="798" t="s">
        <v>1172</v>
      </c>
    </row>
    <row r="123" spans="1:16" s="505" customFormat="1" ht="25.25" customHeight="1" outlineLevel="2">
      <c r="A123" s="53" t="s">
        <v>8</v>
      </c>
      <c r="B123" s="511" t="s">
        <v>341</v>
      </c>
      <c r="C123" s="448" t="s">
        <v>44</v>
      </c>
      <c r="D123" s="513"/>
      <c r="E123" s="8"/>
      <c r="F123" s="510">
        <v>0.6</v>
      </c>
      <c r="G123" s="8">
        <f t="shared" ref="G123:G156" si="38">F123*D123</f>
        <v>0</v>
      </c>
      <c r="H123" s="8">
        <f t="shared" si="36"/>
        <v>0</v>
      </c>
      <c r="I123" s="1"/>
      <c r="J123" s="493" t="s">
        <v>18</v>
      </c>
      <c r="K123" s="493" t="s">
        <v>113</v>
      </c>
      <c r="L123" s="504" t="s">
        <v>99</v>
      </c>
      <c r="M123" s="504"/>
      <c r="N123" s="504"/>
      <c r="P123" s="798"/>
    </row>
    <row r="124" spans="1:16" s="505" customFormat="1" ht="25.25" customHeight="1" outlineLevel="2">
      <c r="A124" s="53" t="s">
        <v>8</v>
      </c>
      <c r="B124" s="511" t="s">
        <v>342</v>
      </c>
      <c r="C124" s="448" t="s">
        <v>44</v>
      </c>
      <c r="D124" s="513"/>
      <c r="E124" s="8"/>
      <c r="F124" s="510">
        <v>0.4</v>
      </c>
      <c r="G124" s="8">
        <f t="shared" si="38"/>
        <v>0</v>
      </c>
      <c r="H124" s="8">
        <f t="shared" si="36"/>
        <v>0</v>
      </c>
      <c r="I124" s="1"/>
      <c r="J124" s="493" t="s">
        <v>18</v>
      </c>
      <c r="K124" s="493" t="s">
        <v>113</v>
      </c>
      <c r="L124" s="504" t="s">
        <v>99</v>
      </c>
      <c r="M124" s="504"/>
      <c r="N124" s="504"/>
      <c r="P124" s="798"/>
    </row>
    <row r="125" spans="1:16" s="505" customFormat="1" ht="25.25" customHeight="1" outlineLevel="2">
      <c r="A125" s="53" t="s">
        <v>8</v>
      </c>
      <c r="B125" s="511" t="s">
        <v>343</v>
      </c>
      <c r="C125" s="448" t="s">
        <v>9</v>
      </c>
      <c r="D125" s="8"/>
      <c r="E125" s="8"/>
      <c r="F125" s="8">
        <v>80000</v>
      </c>
      <c r="G125" s="8">
        <f t="shared" si="38"/>
        <v>0</v>
      </c>
      <c r="H125" s="8">
        <f t="shared" si="36"/>
        <v>0</v>
      </c>
      <c r="I125" s="1"/>
      <c r="J125" s="493" t="s">
        <v>18</v>
      </c>
      <c r="K125" s="493" t="s">
        <v>113</v>
      </c>
      <c r="L125" s="504" t="s">
        <v>99</v>
      </c>
      <c r="M125" s="504"/>
      <c r="N125" s="504"/>
      <c r="P125" s="798"/>
    </row>
    <row r="126" spans="1:16" s="505" customFormat="1" ht="25.25" customHeight="1" outlineLevel="2">
      <c r="A126" s="53" t="s">
        <v>8</v>
      </c>
      <c r="B126" s="511" t="s">
        <v>344</v>
      </c>
      <c r="C126" s="448" t="s">
        <v>9</v>
      </c>
      <c r="D126" s="8"/>
      <c r="E126" s="8"/>
      <c r="F126" s="8">
        <v>150000</v>
      </c>
      <c r="G126" s="8">
        <f t="shared" si="38"/>
        <v>0</v>
      </c>
      <c r="H126" s="8">
        <f t="shared" si="36"/>
        <v>0</v>
      </c>
      <c r="I126" s="1"/>
      <c r="J126" s="493" t="s">
        <v>18</v>
      </c>
      <c r="K126" s="493" t="s">
        <v>113</v>
      </c>
      <c r="L126" s="504" t="s">
        <v>99</v>
      </c>
      <c r="M126" s="504"/>
      <c r="N126" s="504"/>
      <c r="P126" s="798"/>
    </row>
    <row r="127" spans="1:16" s="505" customFormat="1" outlineLevel="2">
      <c r="A127" s="502">
        <v>5</v>
      </c>
      <c r="B127" s="507" t="s">
        <v>345</v>
      </c>
      <c r="C127" s="500" t="s">
        <v>42</v>
      </c>
      <c r="D127" s="2"/>
      <c r="E127" s="2"/>
      <c r="F127" s="2"/>
      <c r="G127" s="2">
        <f>SUBTOTAL(9,G128:G150)</f>
        <v>2514350</v>
      </c>
      <c r="H127" s="2">
        <f t="shared" si="36"/>
        <v>0</v>
      </c>
      <c r="I127" s="38"/>
      <c r="J127" s="493"/>
      <c r="K127" s="493"/>
      <c r="L127" s="504"/>
      <c r="N127" s="504"/>
      <c r="P127" s="798" t="s">
        <v>1213</v>
      </c>
    </row>
    <row r="128" spans="1:16" s="505" customFormat="1" outlineLevel="2">
      <c r="A128" s="53" t="s">
        <v>8</v>
      </c>
      <c r="B128" s="516" t="s">
        <v>1052</v>
      </c>
      <c r="C128" s="448" t="s">
        <v>1173</v>
      </c>
      <c r="D128" s="512">
        <v>1200000</v>
      </c>
      <c r="E128" s="8"/>
      <c r="F128" s="517">
        <v>0.6</v>
      </c>
      <c r="G128" s="8">
        <f t="shared" si="38"/>
        <v>720000</v>
      </c>
      <c r="H128" s="8">
        <f t="shared" si="36"/>
        <v>0</v>
      </c>
      <c r="I128" s="1"/>
      <c r="J128" s="493" t="s">
        <v>18</v>
      </c>
      <c r="K128" s="493" t="s">
        <v>113</v>
      </c>
      <c r="L128" s="504" t="s">
        <v>99</v>
      </c>
      <c r="M128" s="504"/>
      <c r="N128" s="504"/>
      <c r="P128" s="798"/>
    </row>
    <row r="129" spans="1:16" s="505" customFormat="1" outlineLevel="2">
      <c r="A129" s="53" t="s">
        <v>8</v>
      </c>
      <c r="B129" s="516" t="s">
        <v>1053</v>
      </c>
      <c r="C129" s="448" t="s">
        <v>1054</v>
      </c>
      <c r="D129" s="512">
        <v>1800000</v>
      </c>
      <c r="E129" s="8"/>
      <c r="F129" s="517"/>
      <c r="G129" s="8">
        <f t="shared" si="38"/>
        <v>0</v>
      </c>
      <c r="H129" s="8">
        <f t="shared" si="36"/>
        <v>0</v>
      </c>
      <c r="I129" s="1"/>
      <c r="J129" s="493" t="s">
        <v>18</v>
      </c>
      <c r="K129" s="493" t="s">
        <v>113</v>
      </c>
      <c r="L129" s="504" t="s">
        <v>99</v>
      </c>
      <c r="M129" s="504"/>
      <c r="N129" s="504"/>
      <c r="P129" s="798"/>
    </row>
    <row r="130" spans="1:16" s="505" customFormat="1" outlineLevel="2">
      <c r="A130" s="53" t="s">
        <v>8</v>
      </c>
      <c r="B130" s="516" t="s">
        <v>1174</v>
      </c>
      <c r="C130" s="448" t="s">
        <v>42</v>
      </c>
      <c r="D130" s="512">
        <v>72000</v>
      </c>
      <c r="E130" s="8"/>
      <c r="F130" s="517"/>
      <c r="G130" s="8">
        <f t="shared" si="38"/>
        <v>0</v>
      </c>
      <c r="H130" s="8">
        <f t="shared" si="36"/>
        <v>0</v>
      </c>
      <c r="I130" s="1"/>
      <c r="J130" s="493" t="s">
        <v>18</v>
      </c>
      <c r="K130" s="493" t="s">
        <v>113</v>
      </c>
      <c r="L130" s="504" t="s">
        <v>99</v>
      </c>
      <c r="M130" s="504"/>
      <c r="N130" s="504"/>
      <c r="P130" s="798"/>
    </row>
    <row r="131" spans="1:16" s="505" customFormat="1" outlineLevel="2">
      <c r="A131" s="53" t="s">
        <v>8</v>
      </c>
      <c r="B131" s="508" t="s">
        <v>1055</v>
      </c>
      <c r="C131" s="448" t="s">
        <v>1173</v>
      </c>
      <c r="D131" s="512">
        <v>300000</v>
      </c>
      <c r="E131" s="8"/>
      <c r="F131" s="510">
        <v>1.08</v>
      </c>
      <c r="G131" s="8">
        <f>F131*D131</f>
        <v>324000</v>
      </c>
      <c r="H131" s="8">
        <f t="shared" si="36"/>
        <v>0</v>
      </c>
      <c r="I131" s="1"/>
      <c r="J131" s="493" t="s">
        <v>18</v>
      </c>
      <c r="K131" s="493" t="s">
        <v>113</v>
      </c>
      <c r="L131" s="504" t="s">
        <v>99</v>
      </c>
      <c r="M131" s="504"/>
      <c r="N131" s="504"/>
      <c r="P131" s="798"/>
    </row>
    <row r="132" spans="1:16" s="505" customFormat="1" outlineLevel="2">
      <c r="A132" s="53" t="s">
        <v>8</v>
      </c>
      <c r="B132" s="508" t="s">
        <v>1056</v>
      </c>
      <c r="C132" s="448" t="s">
        <v>1054</v>
      </c>
      <c r="D132" s="512">
        <v>450000</v>
      </c>
      <c r="E132" s="8"/>
      <c r="F132" s="510"/>
      <c r="G132" s="8">
        <f t="shared" ref="G132:G133" si="39">F132*D132</f>
        <v>0</v>
      </c>
      <c r="H132" s="8">
        <f t="shared" si="36"/>
        <v>0</v>
      </c>
      <c r="I132" s="1"/>
      <c r="J132" s="493" t="s">
        <v>18</v>
      </c>
      <c r="K132" s="493" t="s">
        <v>113</v>
      </c>
      <c r="L132" s="504" t="s">
        <v>99</v>
      </c>
      <c r="M132" s="504"/>
      <c r="N132" s="504"/>
      <c r="P132" s="798"/>
    </row>
    <row r="133" spans="1:16" s="505" customFormat="1" outlineLevel="2">
      <c r="A133" s="53" t="s">
        <v>8</v>
      </c>
      <c r="B133" s="508" t="s">
        <v>1057</v>
      </c>
      <c r="C133" s="448" t="s">
        <v>42</v>
      </c>
      <c r="D133" s="512">
        <v>18000</v>
      </c>
      <c r="E133" s="8"/>
      <c r="F133" s="510"/>
      <c r="G133" s="8">
        <f t="shared" si="39"/>
        <v>0</v>
      </c>
      <c r="H133" s="8">
        <f t="shared" si="36"/>
        <v>0</v>
      </c>
      <c r="I133" s="1"/>
      <c r="J133" s="493" t="s">
        <v>18</v>
      </c>
      <c r="K133" s="493" t="s">
        <v>113</v>
      </c>
      <c r="L133" s="504" t="s">
        <v>99</v>
      </c>
      <c r="M133" s="504"/>
      <c r="N133" s="504"/>
      <c r="P133" s="798"/>
    </row>
    <row r="134" spans="1:16" s="505" customFormat="1" ht="14" outlineLevel="2">
      <c r="A134" s="53" t="s">
        <v>8</v>
      </c>
      <c r="B134" s="508" t="s">
        <v>1175</v>
      </c>
      <c r="C134" s="448" t="s">
        <v>1173</v>
      </c>
      <c r="D134" s="239">
        <v>1500000</v>
      </c>
      <c r="E134" s="8"/>
      <c r="F134" s="510">
        <v>0.4</v>
      </c>
      <c r="G134" s="8">
        <f>F134*D134</f>
        <v>600000</v>
      </c>
      <c r="H134" s="8">
        <f t="shared" si="36"/>
        <v>0</v>
      </c>
      <c r="I134" s="1"/>
      <c r="J134" s="493" t="s">
        <v>18</v>
      </c>
      <c r="K134" s="493" t="s">
        <v>113</v>
      </c>
      <c r="L134" s="504" t="s">
        <v>99</v>
      </c>
      <c r="M134" s="504"/>
      <c r="N134" s="504"/>
      <c r="P134" s="798"/>
    </row>
    <row r="135" spans="1:16" s="505" customFormat="1" ht="14" outlineLevel="2">
      <c r="A135" s="53" t="s">
        <v>8</v>
      </c>
      <c r="B135" s="508" t="s">
        <v>1176</v>
      </c>
      <c r="C135" s="448" t="s">
        <v>1054</v>
      </c>
      <c r="D135" s="239">
        <v>2250000</v>
      </c>
      <c r="E135" s="8"/>
      <c r="F135" s="510"/>
      <c r="G135" s="8">
        <f t="shared" ref="G135:G136" si="40">F135*D135</f>
        <v>0</v>
      </c>
      <c r="H135" s="8">
        <f t="shared" si="36"/>
        <v>0</v>
      </c>
      <c r="I135" s="1"/>
      <c r="J135" s="493" t="s">
        <v>18</v>
      </c>
      <c r="K135" s="493" t="s">
        <v>113</v>
      </c>
      <c r="L135" s="504" t="s">
        <v>99</v>
      </c>
      <c r="M135" s="504"/>
      <c r="N135" s="504"/>
      <c r="P135" s="798"/>
    </row>
    <row r="136" spans="1:16" s="505" customFormat="1" ht="14" outlineLevel="2">
      <c r="A136" s="53" t="s">
        <v>8</v>
      </c>
      <c r="B136" s="508" t="s">
        <v>1177</v>
      </c>
      <c r="C136" s="448" t="s">
        <v>42</v>
      </c>
      <c r="D136" s="239">
        <v>90000</v>
      </c>
      <c r="E136" s="8"/>
      <c r="F136" s="510"/>
      <c r="G136" s="8">
        <f t="shared" si="40"/>
        <v>0</v>
      </c>
      <c r="H136" s="8">
        <f t="shared" si="36"/>
        <v>0</v>
      </c>
      <c r="I136" s="1"/>
      <c r="J136" s="493" t="s">
        <v>18</v>
      </c>
      <c r="K136" s="493" t="s">
        <v>113</v>
      </c>
      <c r="L136" s="504" t="s">
        <v>99</v>
      </c>
      <c r="M136" s="504"/>
      <c r="N136" s="504"/>
      <c r="P136" s="798"/>
    </row>
    <row r="137" spans="1:16" s="505" customFormat="1" outlineLevel="2">
      <c r="A137" s="53" t="s">
        <v>8</v>
      </c>
      <c r="B137" s="508" t="s">
        <v>349</v>
      </c>
      <c r="C137" s="448" t="s">
        <v>1054</v>
      </c>
      <c r="D137" s="8"/>
      <c r="E137" s="8"/>
      <c r="F137" s="518">
        <v>6.1800000000000001E-2</v>
      </c>
      <c r="G137" s="8">
        <f t="shared" si="38"/>
        <v>0</v>
      </c>
      <c r="H137" s="8">
        <f t="shared" si="36"/>
        <v>0</v>
      </c>
      <c r="I137" s="1"/>
      <c r="J137" s="493" t="s">
        <v>18</v>
      </c>
      <c r="K137" s="493" t="s">
        <v>113</v>
      </c>
      <c r="L137" s="504" t="s">
        <v>99</v>
      </c>
      <c r="M137" s="504"/>
      <c r="N137" s="504"/>
      <c r="P137" s="798"/>
    </row>
    <row r="138" spans="1:16" s="505" customFormat="1" outlineLevel="2">
      <c r="A138" s="53" t="s">
        <v>8</v>
      </c>
      <c r="B138" s="508" t="s">
        <v>1067</v>
      </c>
      <c r="C138" s="448" t="s">
        <v>1054</v>
      </c>
      <c r="D138" s="8"/>
      <c r="E138" s="8"/>
      <c r="F138" s="518">
        <v>4.1200000000000001E-2</v>
      </c>
      <c r="G138" s="8">
        <f t="shared" si="38"/>
        <v>0</v>
      </c>
      <c r="H138" s="8">
        <f t="shared" si="36"/>
        <v>0</v>
      </c>
      <c r="I138" s="1"/>
      <c r="J138" s="493" t="s">
        <v>18</v>
      </c>
      <c r="K138" s="493" t="s">
        <v>113</v>
      </c>
      <c r="L138" s="504" t="s">
        <v>99</v>
      </c>
      <c r="M138" s="504"/>
      <c r="N138" s="504"/>
      <c r="P138" s="798"/>
    </row>
    <row r="139" spans="1:16" s="505" customFormat="1" outlineLevel="2">
      <c r="A139" s="53" t="s">
        <v>8</v>
      </c>
      <c r="B139" s="508" t="s">
        <v>350</v>
      </c>
      <c r="C139" s="448" t="s">
        <v>42</v>
      </c>
      <c r="D139" s="512">
        <v>47000</v>
      </c>
      <c r="E139" s="8"/>
      <c r="F139" s="510">
        <v>4.05</v>
      </c>
      <c r="G139" s="8">
        <f t="shared" si="38"/>
        <v>190350</v>
      </c>
      <c r="H139" s="8">
        <f t="shared" si="36"/>
        <v>0</v>
      </c>
      <c r="I139" s="1"/>
      <c r="J139" s="493" t="s">
        <v>18</v>
      </c>
      <c r="K139" s="493" t="s">
        <v>113</v>
      </c>
      <c r="L139" s="504" t="s">
        <v>99</v>
      </c>
      <c r="M139" s="504"/>
      <c r="N139" s="504"/>
      <c r="P139" s="798"/>
    </row>
    <row r="140" spans="1:16" s="505" customFormat="1" outlineLevel="2">
      <c r="A140" s="53" t="s">
        <v>8</v>
      </c>
      <c r="B140" s="508" t="s">
        <v>351</v>
      </c>
      <c r="C140" s="448" t="s">
        <v>42</v>
      </c>
      <c r="D140" s="512">
        <v>160000</v>
      </c>
      <c r="E140" s="8"/>
      <c r="F140" s="519">
        <v>3</v>
      </c>
      <c r="G140" s="8">
        <f t="shared" si="38"/>
        <v>480000</v>
      </c>
      <c r="H140" s="8">
        <f t="shared" si="36"/>
        <v>0</v>
      </c>
      <c r="I140" s="1"/>
      <c r="J140" s="493" t="s">
        <v>18</v>
      </c>
      <c r="K140" s="493" t="s">
        <v>113</v>
      </c>
      <c r="L140" s="504" t="s">
        <v>99</v>
      </c>
      <c r="M140" s="504"/>
      <c r="N140" s="504"/>
      <c r="P140" s="798"/>
    </row>
    <row r="141" spans="1:16" s="505" customFormat="1" ht="14" outlineLevel="2">
      <c r="A141" s="53" t="s">
        <v>8</v>
      </c>
      <c r="B141" s="508" t="s">
        <v>1043</v>
      </c>
      <c r="C141" s="448" t="s">
        <v>42</v>
      </c>
      <c r="D141" s="239">
        <v>260000</v>
      </c>
      <c r="E141" s="8"/>
      <c r="F141" s="510" t="s">
        <v>1047</v>
      </c>
      <c r="G141" s="8"/>
      <c r="H141" s="8"/>
      <c r="I141" s="1"/>
      <c r="J141" s="493" t="s">
        <v>18</v>
      </c>
      <c r="K141" s="493" t="s">
        <v>113</v>
      </c>
      <c r="L141" s="504" t="s">
        <v>99</v>
      </c>
      <c r="M141" s="504"/>
      <c r="N141" s="504"/>
      <c r="P141" s="798"/>
    </row>
    <row r="142" spans="1:16" s="505" customFormat="1" ht="14" outlineLevel="2">
      <c r="A142" s="53" t="s">
        <v>8</v>
      </c>
      <c r="B142" s="508" t="s">
        <v>1044</v>
      </c>
      <c r="C142" s="448" t="s">
        <v>42</v>
      </c>
      <c r="D142" s="239">
        <v>140000</v>
      </c>
      <c r="E142" s="8"/>
      <c r="F142" s="510" t="s">
        <v>1047</v>
      </c>
      <c r="G142" s="8"/>
      <c r="H142" s="8"/>
      <c r="I142" s="1"/>
      <c r="J142" s="493" t="s">
        <v>18</v>
      </c>
      <c r="K142" s="493" t="s">
        <v>113</v>
      </c>
      <c r="L142" s="504" t="s">
        <v>99</v>
      </c>
      <c r="M142" s="504"/>
      <c r="N142" s="504"/>
      <c r="P142" s="798"/>
    </row>
    <row r="143" spans="1:16" s="505" customFormat="1" ht="26" outlineLevel="2">
      <c r="A143" s="53" t="s">
        <v>8</v>
      </c>
      <c r="B143" s="508" t="s">
        <v>1045</v>
      </c>
      <c r="C143" s="448" t="s">
        <v>9</v>
      </c>
      <c r="D143" s="239">
        <v>2</v>
      </c>
      <c r="E143" s="8"/>
      <c r="F143" s="510" t="s">
        <v>1047</v>
      </c>
      <c r="G143" s="8"/>
      <c r="H143" s="8"/>
      <c r="I143" s="1"/>
      <c r="J143" s="493" t="s">
        <v>18</v>
      </c>
      <c r="K143" s="493" t="s">
        <v>113</v>
      </c>
      <c r="L143" s="504" t="s">
        <v>99</v>
      </c>
      <c r="M143" s="504"/>
      <c r="N143" s="504"/>
      <c r="P143" s="798"/>
    </row>
    <row r="144" spans="1:16" s="505" customFormat="1" ht="26" outlineLevel="2">
      <c r="A144" s="53" t="s">
        <v>8</v>
      </c>
      <c r="B144" s="508" t="s">
        <v>1046</v>
      </c>
      <c r="C144" s="448" t="s">
        <v>9</v>
      </c>
      <c r="D144" s="239">
        <v>2</v>
      </c>
      <c r="E144" s="8"/>
      <c r="F144" s="510" t="s">
        <v>1047</v>
      </c>
      <c r="G144" s="8"/>
      <c r="H144" s="8"/>
      <c r="I144" s="1"/>
      <c r="J144" s="493" t="s">
        <v>18</v>
      </c>
      <c r="K144" s="493" t="s">
        <v>113</v>
      </c>
      <c r="L144" s="504" t="s">
        <v>99</v>
      </c>
      <c r="M144" s="504"/>
      <c r="N144" s="504"/>
      <c r="P144" s="798"/>
    </row>
    <row r="145" spans="1:16" s="505" customFormat="1" outlineLevel="2">
      <c r="A145" s="53" t="s">
        <v>8</v>
      </c>
      <c r="B145" s="508" t="s">
        <v>406</v>
      </c>
      <c r="C145" s="448" t="s">
        <v>9</v>
      </c>
      <c r="D145" s="512">
        <v>1</v>
      </c>
      <c r="E145" s="8"/>
      <c r="F145" s="89">
        <v>200000</v>
      </c>
      <c r="G145" s="8">
        <f t="shared" si="38"/>
        <v>200000</v>
      </c>
      <c r="H145" s="8">
        <f t="shared" si="36"/>
        <v>0</v>
      </c>
      <c r="I145" s="1"/>
      <c r="J145" s="493" t="s">
        <v>18</v>
      </c>
      <c r="K145" s="493" t="s">
        <v>113</v>
      </c>
      <c r="L145" s="504" t="s">
        <v>99</v>
      </c>
      <c r="M145" s="504"/>
      <c r="N145" s="504"/>
      <c r="P145" s="798"/>
    </row>
    <row r="146" spans="1:16" s="505" customFormat="1" outlineLevel="2">
      <c r="A146" s="53" t="s">
        <v>8</v>
      </c>
      <c r="B146" s="508" t="s">
        <v>405</v>
      </c>
      <c r="C146" s="448" t="s">
        <v>9</v>
      </c>
      <c r="D146" s="8">
        <v>0</v>
      </c>
      <c r="E146" s="8"/>
      <c r="F146" s="89">
        <v>90000</v>
      </c>
      <c r="G146" s="8">
        <f t="shared" si="38"/>
        <v>0</v>
      </c>
      <c r="H146" s="8">
        <f t="shared" si="36"/>
        <v>0</v>
      </c>
      <c r="I146" s="1"/>
      <c r="J146" s="493" t="s">
        <v>18</v>
      </c>
      <c r="K146" s="493" t="s">
        <v>113</v>
      </c>
      <c r="L146" s="504" t="s">
        <v>99</v>
      </c>
      <c r="M146" s="504"/>
      <c r="N146" s="504"/>
      <c r="P146" s="798"/>
    </row>
    <row r="147" spans="1:16" s="505" customFormat="1" ht="14" outlineLevel="2">
      <c r="A147" s="53" t="s">
        <v>8</v>
      </c>
      <c r="B147" s="508" t="s">
        <v>1075</v>
      </c>
      <c r="C147" s="448" t="s">
        <v>1173</v>
      </c>
      <c r="D147" s="512"/>
      <c r="E147" s="8"/>
      <c r="F147" s="315">
        <v>20</v>
      </c>
      <c r="G147" s="8">
        <f t="shared" si="38"/>
        <v>0</v>
      </c>
      <c r="H147" s="8">
        <f t="shared" si="36"/>
        <v>0</v>
      </c>
      <c r="I147" s="1"/>
      <c r="J147" s="493" t="s">
        <v>18</v>
      </c>
      <c r="K147" s="493" t="s">
        <v>82</v>
      </c>
      <c r="L147" s="504" t="s">
        <v>99</v>
      </c>
      <c r="M147" s="504"/>
      <c r="N147" s="504"/>
      <c r="P147" s="798" t="s">
        <v>1178</v>
      </c>
    </row>
    <row r="148" spans="1:16" s="505" customFormat="1" ht="14" outlineLevel="2">
      <c r="A148" s="53" t="s">
        <v>8</v>
      </c>
      <c r="B148" s="508" t="s">
        <v>1076</v>
      </c>
      <c r="C148" s="448" t="s">
        <v>1054</v>
      </c>
      <c r="D148" s="512"/>
      <c r="E148" s="8"/>
      <c r="F148" s="315"/>
      <c r="G148" s="8">
        <f t="shared" si="38"/>
        <v>0</v>
      </c>
      <c r="H148" s="8">
        <f t="shared" si="36"/>
        <v>0</v>
      </c>
      <c r="I148" s="1"/>
      <c r="J148" s="493" t="s">
        <v>18</v>
      </c>
      <c r="K148" s="493" t="s">
        <v>82</v>
      </c>
      <c r="L148" s="504" t="s">
        <v>99</v>
      </c>
      <c r="M148" s="504"/>
      <c r="N148" s="504"/>
      <c r="P148" s="798"/>
    </row>
    <row r="149" spans="1:16" s="505" customFormat="1" ht="14" outlineLevel="2">
      <c r="A149" s="53" t="s">
        <v>8</v>
      </c>
      <c r="B149" s="508" t="s">
        <v>1074</v>
      </c>
      <c r="C149" s="448" t="s">
        <v>42</v>
      </c>
      <c r="D149" s="512"/>
      <c r="E149" s="8"/>
      <c r="F149" s="315"/>
      <c r="G149" s="8">
        <f t="shared" si="38"/>
        <v>0</v>
      </c>
      <c r="H149" s="8">
        <f t="shared" si="36"/>
        <v>0</v>
      </c>
      <c r="I149" s="1"/>
      <c r="J149" s="493" t="s">
        <v>18</v>
      </c>
      <c r="K149" s="493" t="s">
        <v>82</v>
      </c>
      <c r="L149" s="504" t="s">
        <v>99</v>
      </c>
      <c r="M149" s="504"/>
      <c r="N149" s="504"/>
      <c r="P149" s="798"/>
    </row>
    <row r="150" spans="1:16" s="505" customFormat="1" ht="14" outlineLevel="2">
      <c r="A150" s="53" t="s">
        <v>8</v>
      </c>
      <c r="B150" s="508" t="s">
        <v>1077</v>
      </c>
      <c r="C150" s="448" t="s">
        <v>9</v>
      </c>
      <c r="D150" s="512"/>
      <c r="E150" s="8"/>
      <c r="F150" s="294">
        <v>300000</v>
      </c>
      <c r="G150" s="8">
        <f>F150*D150</f>
        <v>0</v>
      </c>
      <c r="H150" s="8">
        <f t="shared" si="36"/>
        <v>0</v>
      </c>
      <c r="I150" s="1"/>
      <c r="J150" s="493" t="s">
        <v>18</v>
      </c>
      <c r="K150" s="493" t="s">
        <v>82</v>
      </c>
      <c r="L150" s="504" t="s">
        <v>99</v>
      </c>
      <c r="M150" s="504"/>
      <c r="N150" s="504"/>
      <c r="P150" s="798"/>
    </row>
    <row r="151" spans="1:16" s="505" customFormat="1" outlineLevel="2">
      <c r="A151" s="502">
        <v>6</v>
      </c>
      <c r="B151" s="507" t="s">
        <v>346</v>
      </c>
      <c r="C151" s="500"/>
      <c r="D151" s="2"/>
      <c r="E151" s="2"/>
      <c r="F151" s="2"/>
      <c r="G151" s="2">
        <f>SUBTOTAL(9,G152:G154)</f>
        <v>0</v>
      </c>
      <c r="H151" s="2">
        <f t="shared" si="36"/>
        <v>0</v>
      </c>
      <c r="I151" s="38"/>
      <c r="J151" s="493" t="s">
        <v>18</v>
      </c>
      <c r="K151" s="493" t="s">
        <v>113</v>
      </c>
      <c r="L151" s="504" t="s">
        <v>99</v>
      </c>
      <c r="M151" s="504"/>
      <c r="N151" s="504"/>
      <c r="P151" s="798" t="s">
        <v>1179</v>
      </c>
    </row>
    <row r="152" spans="1:16" s="505" customFormat="1" outlineLevel="2">
      <c r="A152" s="53" t="s">
        <v>8</v>
      </c>
      <c r="B152" s="508" t="s">
        <v>407</v>
      </c>
      <c r="C152" s="448" t="s">
        <v>348</v>
      </c>
      <c r="D152" s="8"/>
      <c r="E152" s="8"/>
      <c r="F152" s="520">
        <v>55</v>
      </c>
      <c r="G152" s="8">
        <f t="shared" ref="G152:G154" si="41">F152*D152</f>
        <v>0</v>
      </c>
      <c r="H152" s="8">
        <f t="shared" si="36"/>
        <v>0</v>
      </c>
      <c r="I152" s="1"/>
      <c r="J152" s="493" t="s">
        <v>18</v>
      </c>
      <c r="K152" s="493" t="s">
        <v>113</v>
      </c>
      <c r="L152" s="504" t="s">
        <v>99</v>
      </c>
      <c r="M152" s="504"/>
      <c r="N152" s="504"/>
      <c r="P152" s="798"/>
    </row>
    <row r="153" spans="1:16" s="505" customFormat="1" outlineLevel="2">
      <c r="A153" s="53" t="s">
        <v>8</v>
      </c>
      <c r="B153" s="508" t="s">
        <v>408</v>
      </c>
      <c r="C153" s="448" t="s">
        <v>348</v>
      </c>
      <c r="D153" s="8"/>
      <c r="E153" s="8"/>
      <c r="F153" s="520">
        <v>61.7</v>
      </c>
      <c r="G153" s="8">
        <f t="shared" si="41"/>
        <v>0</v>
      </c>
      <c r="H153" s="8">
        <f t="shared" si="36"/>
        <v>0</v>
      </c>
      <c r="I153" s="1"/>
      <c r="J153" s="493" t="s">
        <v>18</v>
      </c>
      <c r="K153" s="493" t="s">
        <v>113</v>
      </c>
      <c r="L153" s="504" t="s">
        <v>99</v>
      </c>
      <c r="M153" s="504"/>
      <c r="N153" s="504"/>
      <c r="P153" s="798"/>
    </row>
    <row r="154" spans="1:16" s="505" customFormat="1" outlineLevel="2">
      <c r="A154" s="53" t="s">
        <v>8</v>
      </c>
      <c r="B154" s="508" t="s">
        <v>409</v>
      </c>
      <c r="C154" s="448" t="s">
        <v>9</v>
      </c>
      <c r="D154" s="8"/>
      <c r="E154" s="8"/>
      <c r="F154" s="521">
        <v>30000</v>
      </c>
      <c r="G154" s="8">
        <f t="shared" si="41"/>
        <v>0</v>
      </c>
      <c r="H154" s="8">
        <f t="shared" si="36"/>
        <v>0</v>
      </c>
      <c r="I154" s="1"/>
      <c r="J154" s="493" t="s">
        <v>18</v>
      </c>
      <c r="K154" s="493" t="s">
        <v>113</v>
      </c>
      <c r="L154" s="504" t="s">
        <v>99</v>
      </c>
      <c r="M154" s="504"/>
      <c r="N154" s="504"/>
      <c r="P154" s="798"/>
    </row>
    <row r="155" spans="1:16" s="505" customFormat="1" outlineLevel="2">
      <c r="A155" s="502">
        <v>7</v>
      </c>
      <c r="B155" s="507" t="s">
        <v>1038</v>
      </c>
      <c r="C155" s="448" t="s">
        <v>213</v>
      </c>
      <c r="D155" s="8"/>
      <c r="E155" s="8"/>
      <c r="F155" s="8"/>
      <c r="G155" s="2">
        <f>SUBTOTAL(9,G156)</f>
        <v>0</v>
      </c>
      <c r="H155" s="8">
        <f t="shared" si="36"/>
        <v>0</v>
      </c>
      <c r="I155" s="1"/>
      <c r="J155" s="493" t="s">
        <v>18</v>
      </c>
      <c r="K155" s="493" t="s">
        <v>113</v>
      </c>
      <c r="L155" s="504" t="s">
        <v>99</v>
      </c>
      <c r="M155" s="504"/>
      <c r="N155" s="504"/>
      <c r="P155" s="506"/>
    </row>
    <row r="156" spans="1:16" s="505" customFormat="1" outlineLevel="2">
      <c r="A156" s="502">
        <v>8</v>
      </c>
      <c r="B156" s="507" t="s">
        <v>736</v>
      </c>
      <c r="C156" s="448" t="s">
        <v>213</v>
      </c>
      <c r="D156" s="8"/>
      <c r="E156" s="8"/>
      <c r="F156" s="8"/>
      <c r="G156" s="8">
        <f t="shared" si="38"/>
        <v>0</v>
      </c>
      <c r="H156" s="8">
        <f t="shared" si="36"/>
        <v>0</v>
      </c>
      <c r="I156" s="1"/>
      <c r="J156" s="493" t="s">
        <v>18</v>
      </c>
      <c r="K156" s="493" t="s">
        <v>113</v>
      </c>
      <c r="L156" s="504" t="s">
        <v>99</v>
      </c>
      <c r="M156" s="504"/>
      <c r="N156" s="504"/>
      <c r="P156" s="506"/>
    </row>
    <row r="157" spans="1:16" s="495" customFormat="1" outlineLevel="1">
      <c r="A157" s="502" t="s">
        <v>12</v>
      </c>
      <c r="B157" s="522" t="s">
        <v>118</v>
      </c>
      <c r="C157" s="500"/>
      <c r="D157" s="2"/>
      <c r="E157" s="2"/>
      <c r="F157" s="2"/>
      <c r="G157" s="2">
        <f>SUBTOTAL(9,G158:G177)</f>
        <v>60000</v>
      </c>
      <c r="H157" s="2">
        <f>SUBTOTAL(9,H173:H177)</f>
        <v>0</v>
      </c>
      <c r="I157" s="2"/>
      <c r="J157" s="493"/>
      <c r="K157" s="504"/>
      <c r="L157" s="504"/>
      <c r="M157" s="523"/>
      <c r="N157" s="523"/>
      <c r="P157" s="496"/>
    </row>
    <row r="158" spans="1:16" s="495" customFormat="1" outlineLevel="1">
      <c r="A158" s="502">
        <v>1</v>
      </c>
      <c r="B158" s="524" t="s">
        <v>1180</v>
      </c>
      <c r="C158" s="500"/>
      <c r="D158" s="2"/>
      <c r="E158" s="2"/>
      <c r="F158" s="2"/>
      <c r="G158" s="2">
        <f>SUBTOTAL(9,G159:G160)</f>
        <v>60000</v>
      </c>
      <c r="H158" s="2"/>
      <c r="I158" s="2"/>
      <c r="J158" s="493"/>
      <c r="K158" s="504"/>
      <c r="L158" s="504"/>
      <c r="M158" s="523"/>
      <c r="N158" s="523"/>
      <c r="P158" s="798" t="s">
        <v>941</v>
      </c>
    </row>
    <row r="159" spans="1:16" s="505" customFormat="1" outlineLevel="2">
      <c r="A159" s="53" t="s">
        <v>8</v>
      </c>
      <c r="B159" s="508" t="s">
        <v>353</v>
      </c>
      <c r="C159" s="448" t="s">
        <v>9</v>
      </c>
      <c r="D159" s="512">
        <v>3</v>
      </c>
      <c r="E159" s="8"/>
      <c r="F159" s="89">
        <v>10000</v>
      </c>
      <c r="G159" s="8">
        <f>F159*D159</f>
        <v>30000</v>
      </c>
      <c r="H159" s="8">
        <f>F159*E159</f>
        <v>0</v>
      </c>
      <c r="I159" s="1"/>
      <c r="J159" s="493" t="s">
        <v>18</v>
      </c>
      <c r="K159" s="493" t="s">
        <v>128</v>
      </c>
      <c r="L159" s="504" t="s">
        <v>99</v>
      </c>
      <c r="N159" s="504"/>
      <c r="P159" s="798"/>
    </row>
    <row r="160" spans="1:16" s="505" customFormat="1" outlineLevel="2">
      <c r="A160" s="53" t="s">
        <v>8</v>
      </c>
      <c r="B160" s="508" t="s">
        <v>352</v>
      </c>
      <c r="C160" s="448" t="s">
        <v>9</v>
      </c>
      <c r="D160" s="512">
        <v>3</v>
      </c>
      <c r="E160" s="8"/>
      <c r="F160" s="89">
        <v>10000</v>
      </c>
      <c r="G160" s="8">
        <f>F160*D160</f>
        <v>30000</v>
      </c>
      <c r="H160" s="8">
        <f>F160*E160</f>
        <v>0</v>
      </c>
      <c r="I160" s="1"/>
      <c r="J160" s="493" t="s">
        <v>18</v>
      </c>
      <c r="K160" s="493" t="s">
        <v>128</v>
      </c>
      <c r="L160" s="504" t="s">
        <v>99</v>
      </c>
      <c r="M160" s="504"/>
      <c r="N160" s="504"/>
      <c r="P160" s="798"/>
    </row>
    <row r="161" spans="1:16" s="495" customFormat="1" outlineLevel="1">
      <c r="A161" s="502">
        <v>2</v>
      </c>
      <c r="B161" s="524" t="s">
        <v>1181</v>
      </c>
      <c r="C161" s="500"/>
      <c r="D161" s="2"/>
      <c r="E161" s="2"/>
      <c r="F161" s="2"/>
      <c r="G161" s="2">
        <f>SUBTOTAL(9,G162:G163)</f>
        <v>0</v>
      </c>
      <c r="H161" s="2"/>
      <c r="I161" s="2"/>
      <c r="J161" s="493"/>
      <c r="K161" s="504"/>
      <c r="L161" s="504"/>
      <c r="M161" s="523"/>
      <c r="N161" s="523"/>
      <c r="P161" s="496"/>
    </row>
    <row r="162" spans="1:16" s="505" customFormat="1" outlineLevel="2">
      <c r="A162" s="53" t="s">
        <v>8</v>
      </c>
      <c r="B162" s="508" t="s">
        <v>1058</v>
      </c>
      <c r="C162" s="448" t="s">
        <v>9</v>
      </c>
      <c r="D162" s="512"/>
      <c r="E162" s="8"/>
      <c r="F162" s="89"/>
      <c r="G162" s="2">
        <f t="shared" ref="G162:G163" si="42">SUBTOTAL(9,G163:G164)</f>
        <v>0</v>
      </c>
      <c r="H162" s="8">
        <f>F162*E162</f>
        <v>0</v>
      </c>
      <c r="I162" s="1"/>
      <c r="J162" s="493" t="s">
        <v>18</v>
      </c>
      <c r="K162" s="493" t="s">
        <v>128</v>
      </c>
      <c r="L162" s="504" t="s">
        <v>99</v>
      </c>
      <c r="N162" s="504"/>
      <c r="P162" s="525"/>
    </row>
    <row r="163" spans="1:16" s="505" customFormat="1" outlineLevel="2">
      <c r="A163" s="53" t="s">
        <v>8</v>
      </c>
      <c r="B163" s="508" t="s">
        <v>1059</v>
      </c>
      <c r="C163" s="448" t="s">
        <v>9</v>
      </c>
      <c r="D163" s="512"/>
      <c r="E163" s="8"/>
      <c r="F163" s="89"/>
      <c r="G163" s="2">
        <f t="shared" si="42"/>
        <v>0</v>
      </c>
      <c r="H163" s="8">
        <f>F163*E163</f>
        <v>0</v>
      </c>
      <c r="I163" s="1"/>
      <c r="J163" s="493" t="s">
        <v>18</v>
      </c>
      <c r="K163" s="493" t="s">
        <v>128</v>
      </c>
      <c r="L163" s="504" t="s">
        <v>99</v>
      </c>
      <c r="M163" s="504"/>
      <c r="N163" s="504"/>
      <c r="P163" s="506"/>
    </row>
    <row r="164" spans="1:16" s="495" customFormat="1" outlineLevel="1">
      <c r="A164" s="502">
        <v>3</v>
      </c>
      <c r="B164" s="524" t="s">
        <v>1182</v>
      </c>
      <c r="C164" s="500"/>
      <c r="D164" s="2"/>
      <c r="E164" s="2"/>
      <c r="F164" s="2"/>
      <c r="G164" s="2">
        <f>SUBTOTAL(9,G165:G166)</f>
        <v>0</v>
      </c>
      <c r="H164" s="2"/>
      <c r="I164" s="2"/>
      <c r="J164" s="493"/>
      <c r="K164" s="504"/>
      <c r="L164" s="504"/>
      <c r="M164" s="523"/>
      <c r="N164" s="523"/>
      <c r="P164" s="496"/>
    </row>
    <row r="165" spans="1:16" s="505" customFormat="1" outlineLevel="2">
      <c r="A165" s="53" t="s">
        <v>8</v>
      </c>
      <c r="B165" s="508" t="s">
        <v>1060</v>
      </c>
      <c r="C165" s="448" t="s">
        <v>9</v>
      </c>
      <c r="D165" s="512"/>
      <c r="E165" s="8"/>
      <c r="F165" s="89"/>
      <c r="G165" s="8">
        <f>F165*D165</f>
        <v>0</v>
      </c>
      <c r="H165" s="8">
        <f>F165*E165</f>
        <v>0</v>
      </c>
      <c r="I165" s="1"/>
      <c r="J165" s="493" t="s">
        <v>18</v>
      </c>
      <c r="K165" s="493" t="s">
        <v>128</v>
      </c>
      <c r="L165" s="504" t="s">
        <v>99</v>
      </c>
      <c r="N165" s="504"/>
      <c r="P165" s="525"/>
    </row>
    <row r="166" spans="1:16" s="505" customFormat="1" outlineLevel="2">
      <c r="A166" s="53" t="s">
        <v>8</v>
      </c>
      <c r="B166" s="508" t="s">
        <v>1061</v>
      </c>
      <c r="C166" s="448" t="s">
        <v>9</v>
      </c>
      <c r="D166" s="512"/>
      <c r="E166" s="8"/>
      <c r="F166" s="89"/>
      <c r="G166" s="8">
        <f>F166*D166</f>
        <v>0</v>
      </c>
      <c r="H166" s="8">
        <f>F166*E166</f>
        <v>0</v>
      </c>
      <c r="I166" s="1"/>
      <c r="J166" s="493" t="s">
        <v>18</v>
      </c>
      <c r="K166" s="493" t="s">
        <v>128</v>
      </c>
      <c r="L166" s="504" t="s">
        <v>99</v>
      </c>
      <c r="M166" s="504"/>
      <c r="N166" s="504"/>
      <c r="P166" s="506"/>
    </row>
    <row r="167" spans="1:16" s="495" customFormat="1" outlineLevel="1">
      <c r="A167" s="502">
        <v>4</v>
      </c>
      <c r="B167" s="524" t="s">
        <v>1183</v>
      </c>
      <c r="C167" s="500"/>
      <c r="D167" s="2"/>
      <c r="E167" s="2"/>
      <c r="F167" s="2"/>
      <c r="G167" s="2">
        <f>SUBTOTAL(9,G168:G169)</f>
        <v>0</v>
      </c>
      <c r="H167" s="2"/>
      <c r="I167" s="2"/>
      <c r="J167" s="493"/>
      <c r="K167" s="504"/>
      <c r="L167" s="504"/>
      <c r="M167" s="523"/>
      <c r="N167" s="523"/>
      <c r="P167" s="496"/>
    </row>
    <row r="168" spans="1:16" s="505" customFormat="1" outlineLevel="2">
      <c r="A168" s="53" t="s">
        <v>8</v>
      </c>
      <c r="B168" s="508" t="s">
        <v>1062</v>
      </c>
      <c r="C168" s="448" t="s">
        <v>9</v>
      </c>
      <c r="D168" s="512"/>
      <c r="E168" s="8"/>
      <c r="F168" s="89"/>
      <c r="G168" s="8">
        <f>F168*D168</f>
        <v>0</v>
      </c>
      <c r="H168" s="8">
        <f>F168*E168</f>
        <v>0</v>
      </c>
      <c r="I168" s="1"/>
      <c r="J168" s="493" t="s">
        <v>18</v>
      </c>
      <c r="K168" s="493" t="s">
        <v>128</v>
      </c>
      <c r="L168" s="504" t="s">
        <v>99</v>
      </c>
      <c r="N168" s="504"/>
      <c r="P168" s="525"/>
    </row>
    <row r="169" spans="1:16" s="505" customFormat="1" outlineLevel="2">
      <c r="A169" s="53" t="s">
        <v>8</v>
      </c>
      <c r="B169" s="508" t="s">
        <v>1063</v>
      </c>
      <c r="C169" s="448" t="s">
        <v>9</v>
      </c>
      <c r="D169" s="512"/>
      <c r="E169" s="8"/>
      <c r="F169" s="89"/>
      <c r="G169" s="8">
        <f>F169*D169</f>
        <v>0</v>
      </c>
      <c r="H169" s="8">
        <f>F169*E169</f>
        <v>0</v>
      </c>
      <c r="I169" s="1"/>
      <c r="J169" s="493" t="s">
        <v>18</v>
      </c>
      <c r="K169" s="493" t="s">
        <v>128</v>
      </c>
      <c r="L169" s="504" t="s">
        <v>99</v>
      </c>
      <c r="M169" s="504"/>
      <c r="N169" s="504"/>
      <c r="P169" s="506"/>
    </row>
    <row r="170" spans="1:16" s="505" customFormat="1" outlineLevel="2">
      <c r="A170" s="502">
        <v>5</v>
      </c>
      <c r="B170" s="507" t="s">
        <v>410</v>
      </c>
      <c r="C170" s="448" t="s">
        <v>9</v>
      </c>
      <c r="D170" s="8"/>
      <c r="E170" s="8"/>
      <c r="F170" s="521"/>
      <c r="G170" s="2">
        <f>SUBTOTAL(9,G171:G172)</f>
        <v>0</v>
      </c>
      <c r="H170" s="8">
        <f t="shared" ref="H170:H177" si="43">F170*E170</f>
        <v>0</v>
      </c>
      <c r="I170" s="1"/>
      <c r="J170" s="493"/>
      <c r="K170" s="493"/>
      <c r="L170" s="504"/>
      <c r="M170" s="504"/>
      <c r="N170" s="504"/>
      <c r="P170" s="506"/>
    </row>
    <row r="171" spans="1:16" s="505" customFormat="1" outlineLevel="2">
      <c r="A171" s="53" t="s">
        <v>8</v>
      </c>
      <c r="B171" s="508" t="s">
        <v>411</v>
      </c>
      <c r="C171" s="448" t="s">
        <v>9</v>
      </c>
      <c r="D171" s="8"/>
      <c r="E171" s="8"/>
      <c r="F171" s="521"/>
      <c r="G171" s="8">
        <f t="shared" ref="G171:G172" si="44">F171*D171</f>
        <v>0</v>
      </c>
      <c r="H171" s="8">
        <f t="shared" si="43"/>
        <v>0</v>
      </c>
      <c r="I171" s="1"/>
      <c r="J171" s="493" t="s">
        <v>18</v>
      </c>
      <c r="K171" s="493" t="s">
        <v>128</v>
      </c>
      <c r="L171" s="504" t="s">
        <v>99</v>
      </c>
      <c r="M171" s="504"/>
      <c r="N171" s="504"/>
      <c r="P171" s="506"/>
    </row>
    <row r="172" spans="1:16" s="505" customFormat="1" outlineLevel="2">
      <c r="A172" s="53" t="s">
        <v>8</v>
      </c>
      <c r="B172" s="508" t="s">
        <v>411</v>
      </c>
      <c r="C172" s="448" t="s">
        <v>9</v>
      </c>
      <c r="D172" s="8"/>
      <c r="E172" s="8"/>
      <c r="F172" s="521"/>
      <c r="G172" s="8">
        <f t="shared" si="44"/>
        <v>0</v>
      </c>
      <c r="H172" s="8">
        <f t="shared" si="43"/>
        <v>0</v>
      </c>
      <c r="I172" s="1"/>
      <c r="J172" s="493" t="s">
        <v>18</v>
      </c>
      <c r="K172" s="493" t="s">
        <v>128</v>
      </c>
      <c r="L172" s="504" t="s">
        <v>99</v>
      </c>
      <c r="M172" s="504"/>
      <c r="N172" s="504"/>
      <c r="P172" s="506"/>
    </row>
    <row r="173" spans="1:16" s="505" customFormat="1" ht="40.75" customHeight="1" outlineLevel="2">
      <c r="A173" s="502">
        <v>6</v>
      </c>
      <c r="B173" s="522" t="s">
        <v>1039</v>
      </c>
      <c r="C173" s="448" t="s">
        <v>9</v>
      </c>
      <c r="D173" s="8"/>
      <c r="E173" s="8"/>
      <c r="F173" s="8"/>
      <c r="G173" s="2">
        <f>SUBTOTAL(9,G174:G176)</f>
        <v>0</v>
      </c>
      <c r="H173" s="8">
        <f t="shared" si="43"/>
        <v>0</v>
      </c>
      <c r="I173" s="1"/>
      <c r="J173" s="493"/>
      <c r="K173" s="504"/>
      <c r="L173" s="504"/>
      <c r="M173" s="504"/>
      <c r="N173" s="504"/>
      <c r="P173" s="822" t="s">
        <v>1184</v>
      </c>
    </row>
    <row r="174" spans="1:16" s="505" customFormat="1" ht="40.75" customHeight="1" outlineLevel="2">
      <c r="A174" s="53" t="s">
        <v>8</v>
      </c>
      <c r="B174" s="508" t="s">
        <v>1040</v>
      </c>
      <c r="C174" s="448" t="s">
        <v>9</v>
      </c>
      <c r="D174" s="8">
        <v>0</v>
      </c>
      <c r="E174" s="8"/>
      <c r="F174" s="521">
        <v>0</v>
      </c>
      <c r="G174" s="8">
        <f t="shared" ref="G174:G177" si="45">F174*D174</f>
        <v>0</v>
      </c>
      <c r="H174" s="8">
        <f t="shared" si="43"/>
        <v>0</v>
      </c>
      <c r="I174" s="1"/>
      <c r="J174" s="493" t="s">
        <v>18</v>
      </c>
      <c r="K174" s="493" t="s">
        <v>113</v>
      </c>
      <c r="L174" s="504" t="s">
        <v>99</v>
      </c>
      <c r="M174" s="504"/>
      <c r="N174" s="504"/>
      <c r="P174" s="822"/>
    </row>
    <row r="175" spans="1:16" s="505" customFormat="1" ht="40.75" customHeight="1" outlineLevel="2">
      <c r="A175" s="53" t="s">
        <v>8</v>
      </c>
      <c r="B175" s="508" t="s">
        <v>1041</v>
      </c>
      <c r="C175" s="448" t="s">
        <v>9</v>
      </c>
      <c r="D175" s="8">
        <v>0</v>
      </c>
      <c r="E175" s="8"/>
      <c r="F175" s="521">
        <v>0</v>
      </c>
      <c r="G175" s="8">
        <f t="shared" si="45"/>
        <v>0</v>
      </c>
      <c r="H175" s="8">
        <f t="shared" si="43"/>
        <v>0</v>
      </c>
      <c r="I175" s="1"/>
      <c r="J175" s="493" t="s">
        <v>18</v>
      </c>
      <c r="K175" s="493" t="s">
        <v>113</v>
      </c>
      <c r="L175" s="504" t="s">
        <v>99</v>
      </c>
      <c r="M175" s="504"/>
      <c r="N175" s="504"/>
      <c r="P175" s="822"/>
    </row>
    <row r="176" spans="1:16" s="505" customFormat="1" ht="40.75" customHeight="1" outlineLevel="2">
      <c r="A176" s="53" t="s">
        <v>8</v>
      </c>
      <c r="B176" s="508" t="s">
        <v>1042</v>
      </c>
      <c r="C176" s="448" t="s">
        <v>9</v>
      </c>
      <c r="D176" s="8">
        <v>0</v>
      </c>
      <c r="E176" s="8"/>
      <c r="F176" s="521">
        <v>0</v>
      </c>
      <c r="G176" s="8">
        <f t="shared" si="45"/>
        <v>0</v>
      </c>
      <c r="H176" s="8">
        <f t="shared" si="43"/>
        <v>0</v>
      </c>
      <c r="I176" s="1"/>
      <c r="J176" s="493" t="s">
        <v>18</v>
      </c>
      <c r="K176" s="493" t="s">
        <v>113</v>
      </c>
      <c r="L176" s="504" t="s">
        <v>99</v>
      </c>
      <c r="M176" s="504"/>
      <c r="N176" s="504"/>
      <c r="P176" s="823"/>
    </row>
    <row r="177" spans="1:16" s="505" customFormat="1" outlineLevel="2">
      <c r="A177" s="502">
        <v>8</v>
      </c>
      <c r="B177" s="522" t="s">
        <v>1185</v>
      </c>
      <c r="C177" s="448" t="s">
        <v>9</v>
      </c>
      <c r="D177" s="8"/>
      <c r="E177" s="8"/>
      <c r="F177" s="8"/>
      <c r="G177" s="8">
        <f t="shared" si="45"/>
        <v>0</v>
      </c>
      <c r="H177" s="8">
        <f t="shared" si="43"/>
        <v>0</v>
      </c>
      <c r="I177" s="1"/>
      <c r="J177" s="493" t="s">
        <v>18</v>
      </c>
      <c r="K177" s="504" t="s">
        <v>128</v>
      </c>
      <c r="L177" s="504" t="s">
        <v>99</v>
      </c>
      <c r="M177" s="504"/>
      <c r="N177" s="504"/>
      <c r="P177" s="506"/>
    </row>
    <row r="178" spans="1:16" s="495" customFormat="1" outlineLevel="1">
      <c r="A178" s="502" t="s">
        <v>19</v>
      </c>
      <c r="B178" s="522" t="s">
        <v>324</v>
      </c>
      <c r="C178" s="500"/>
      <c r="D178" s="2"/>
      <c r="E178" s="2"/>
      <c r="F178" s="2"/>
      <c r="G178" s="2">
        <f>SUBTOTAL(9,G179:G180)</f>
        <v>0</v>
      </c>
      <c r="H178" s="2">
        <f>SUBTOTAL(9,H179:H180)</f>
        <v>0</v>
      </c>
      <c r="I178" s="2"/>
      <c r="J178" s="493"/>
      <c r="K178" s="504"/>
      <c r="L178" s="504"/>
      <c r="M178" s="523"/>
      <c r="N178" s="523"/>
      <c r="P178" s="798" t="s">
        <v>1186</v>
      </c>
    </row>
    <row r="179" spans="1:16" s="505" customFormat="1" outlineLevel="2">
      <c r="A179" s="53">
        <v>1</v>
      </c>
      <c r="B179" s="526" t="s">
        <v>347</v>
      </c>
      <c r="C179" s="448" t="s">
        <v>9</v>
      </c>
      <c r="D179" s="8"/>
      <c r="E179" s="8"/>
      <c r="F179" s="8">
        <v>100000</v>
      </c>
      <c r="G179" s="8">
        <f t="shared" ref="G179:G180" si="46">F179*D179</f>
        <v>0</v>
      </c>
      <c r="H179" s="8">
        <f t="shared" ref="H179:H180" si="47">F179*E179</f>
        <v>0</v>
      </c>
      <c r="I179" s="1"/>
      <c r="J179" s="493" t="s">
        <v>18</v>
      </c>
      <c r="K179" s="504" t="s">
        <v>325</v>
      </c>
      <c r="L179" s="504" t="s">
        <v>99</v>
      </c>
      <c r="M179" s="504"/>
      <c r="N179" s="504"/>
      <c r="P179" s="798"/>
    </row>
    <row r="180" spans="1:16" s="505" customFormat="1" outlineLevel="2">
      <c r="A180" s="53">
        <v>2</v>
      </c>
      <c r="B180" s="526"/>
      <c r="C180" s="448" t="s">
        <v>214</v>
      </c>
      <c r="D180" s="8"/>
      <c r="E180" s="8"/>
      <c r="F180" s="8"/>
      <c r="G180" s="8">
        <f t="shared" si="46"/>
        <v>0</v>
      </c>
      <c r="H180" s="8">
        <f t="shared" si="47"/>
        <v>0</v>
      </c>
      <c r="I180" s="1"/>
      <c r="J180" s="493" t="s">
        <v>18</v>
      </c>
      <c r="K180" s="504" t="s">
        <v>325</v>
      </c>
      <c r="L180" s="504" t="s">
        <v>99</v>
      </c>
      <c r="M180" s="504"/>
      <c r="N180" s="504"/>
      <c r="P180" s="798"/>
    </row>
    <row r="181" spans="1:16" s="495" customFormat="1" outlineLevel="1">
      <c r="A181" s="502" t="s">
        <v>26</v>
      </c>
      <c r="B181" s="522" t="s">
        <v>137</v>
      </c>
      <c r="C181" s="500"/>
      <c r="D181" s="2"/>
      <c r="E181" s="2"/>
      <c r="F181" s="2"/>
      <c r="G181" s="2">
        <f>SUBTOTAL(9,G182:G247)</f>
        <v>5907660</v>
      </c>
      <c r="H181" s="2">
        <f>SUBTOTAL(9,H183:H237)</f>
        <v>0</v>
      </c>
      <c r="I181" s="38"/>
      <c r="J181" s="493"/>
      <c r="K181" s="504"/>
      <c r="L181" s="504"/>
      <c r="M181" s="523"/>
      <c r="N181" s="523"/>
      <c r="P181" s="496"/>
    </row>
    <row r="182" spans="1:16" s="505" customFormat="1" ht="18.649999999999999" customHeight="1" outlineLevel="2">
      <c r="A182" s="502">
        <v>1</v>
      </c>
      <c r="B182" s="507" t="s">
        <v>1187</v>
      </c>
      <c r="C182" s="448"/>
      <c r="D182" s="8"/>
      <c r="E182" s="8"/>
      <c r="F182" s="8"/>
      <c r="G182" s="2">
        <f>SUBTOTAL(9,G183:G188)</f>
        <v>0</v>
      </c>
      <c r="H182" s="8">
        <f t="shared" ref="H182:H241" si="48">F182*E182</f>
        <v>0</v>
      </c>
      <c r="I182" s="1"/>
      <c r="J182" s="493" t="s">
        <v>18</v>
      </c>
      <c r="K182" s="493" t="s">
        <v>128</v>
      </c>
      <c r="L182" s="504" t="s">
        <v>99</v>
      </c>
      <c r="M182" s="504"/>
      <c r="N182" s="504"/>
      <c r="P182" s="824"/>
    </row>
    <row r="183" spans="1:16" s="495" customFormat="1" ht="18.649999999999999" customHeight="1" outlineLevel="1">
      <c r="A183" s="53" t="s">
        <v>8</v>
      </c>
      <c r="B183" s="508" t="s">
        <v>419</v>
      </c>
      <c r="C183" s="448" t="s">
        <v>394</v>
      </c>
      <c r="D183" s="8"/>
      <c r="E183" s="8"/>
      <c r="F183" s="527">
        <v>1.9920000000000002</v>
      </c>
      <c r="G183" s="8">
        <f t="shared" ref="G183:G188" si="49">F183*D183</f>
        <v>0</v>
      </c>
      <c r="H183" s="8">
        <f t="shared" si="48"/>
        <v>0</v>
      </c>
      <c r="I183" s="1"/>
      <c r="J183" s="493" t="s">
        <v>18</v>
      </c>
      <c r="K183" s="504" t="s">
        <v>128</v>
      </c>
      <c r="L183" s="504" t="s">
        <v>99</v>
      </c>
      <c r="M183" s="523"/>
      <c r="N183" s="523"/>
      <c r="P183" s="798"/>
    </row>
    <row r="184" spans="1:16" s="505" customFormat="1" ht="18.649999999999999" customHeight="1" outlineLevel="2">
      <c r="A184" s="53" t="s">
        <v>8</v>
      </c>
      <c r="B184" s="508" t="s">
        <v>420</v>
      </c>
      <c r="C184" s="448" t="s">
        <v>394</v>
      </c>
      <c r="D184" s="8"/>
      <c r="E184" s="8"/>
      <c r="F184" s="527">
        <v>3.3200000000000003</v>
      </c>
      <c r="G184" s="8">
        <f t="shared" si="49"/>
        <v>0</v>
      </c>
      <c r="H184" s="8">
        <f t="shared" si="48"/>
        <v>0</v>
      </c>
      <c r="I184" s="1"/>
      <c r="J184" s="493" t="s">
        <v>18</v>
      </c>
      <c r="K184" s="504" t="s">
        <v>128</v>
      </c>
      <c r="L184" s="504" t="s">
        <v>99</v>
      </c>
      <c r="M184" s="504"/>
      <c r="N184" s="504"/>
      <c r="P184" s="798"/>
    </row>
    <row r="185" spans="1:16" s="505" customFormat="1" ht="18.649999999999999" customHeight="1" outlineLevel="2">
      <c r="A185" s="53" t="s">
        <v>8</v>
      </c>
      <c r="B185" s="508" t="s">
        <v>401</v>
      </c>
      <c r="C185" s="448" t="s">
        <v>44</v>
      </c>
      <c r="D185" s="8"/>
      <c r="E185" s="8"/>
      <c r="F185" s="527">
        <v>0.156</v>
      </c>
      <c r="G185" s="8">
        <f t="shared" si="49"/>
        <v>0</v>
      </c>
      <c r="H185" s="8">
        <f t="shared" si="48"/>
        <v>0</v>
      </c>
      <c r="I185" s="1"/>
      <c r="J185" s="493" t="s">
        <v>18</v>
      </c>
      <c r="K185" s="504" t="s">
        <v>128</v>
      </c>
      <c r="L185" s="504" t="s">
        <v>99</v>
      </c>
      <c r="M185" s="504"/>
      <c r="N185" s="504"/>
      <c r="P185" s="798"/>
    </row>
    <row r="186" spans="1:16" s="505" customFormat="1" ht="18.649999999999999" customHeight="1" outlineLevel="2">
      <c r="A186" s="53" t="s">
        <v>8</v>
      </c>
      <c r="B186" s="508" t="s">
        <v>402</v>
      </c>
      <c r="C186" s="448" t="s">
        <v>44</v>
      </c>
      <c r="D186" s="8"/>
      <c r="E186" s="8"/>
      <c r="F186" s="527">
        <v>0.26</v>
      </c>
      <c r="G186" s="8">
        <f t="shared" si="49"/>
        <v>0</v>
      </c>
      <c r="H186" s="8">
        <f t="shared" si="48"/>
        <v>0</v>
      </c>
      <c r="I186" s="1"/>
      <c r="J186" s="493" t="s">
        <v>18</v>
      </c>
      <c r="K186" s="504" t="s">
        <v>128</v>
      </c>
      <c r="L186" s="504" t="s">
        <v>99</v>
      </c>
      <c r="M186" s="504"/>
      <c r="N186" s="504"/>
      <c r="P186" s="798"/>
    </row>
    <row r="187" spans="1:16" s="505" customFormat="1" ht="18.649999999999999" customHeight="1" outlineLevel="2">
      <c r="A187" s="53" t="s">
        <v>8</v>
      </c>
      <c r="B187" s="528" t="s">
        <v>415</v>
      </c>
      <c r="C187" s="448" t="s">
        <v>9</v>
      </c>
      <c r="D187" s="8"/>
      <c r="E187" s="8"/>
      <c r="F187" s="8">
        <v>110000</v>
      </c>
      <c r="G187" s="8">
        <f t="shared" si="49"/>
        <v>0</v>
      </c>
      <c r="H187" s="8">
        <f t="shared" si="48"/>
        <v>0</v>
      </c>
      <c r="I187" s="1"/>
      <c r="J187" s="493" t="s">
        <v>18</v>
      </c>
      <c r="K187" s="504" t="s">
        <v>128</v>
      </c>
      <c r="L187" s="504" t="s">
        <v>99</v>
      </c>
      <c r="M187" s="504"/>
      <c r="N187" s="504"/>
      <c r="P187" s="798"/>
    </row>
    <row r="188" spans="1:16" s="505" customFormat="1" ht="18.649999999999999" customHeight="1" outlineLevel="2">
      <c r="A188" s="53" t="s">
        <v>8</v>
      </c>
      <c r="B188" s="528" t="s">
        <v>400</v>
      </c>
      <c r="C188" s="448" t="s">
        <v>9</v>
      </c>
      <c r="D188" s="8"/>
      <c r="E188" s="8"/>
      <c r="F188" s="8">
        <v>160000</v>
      </c>
      <c r="G188" s="8">
        <f t="shared" si="49"/>
        <v>0</v>
      </c>
      <c r="H188" s="8">
        <f t="shared" si="48"/>
        <v>0</v>
      </c>
      <c r="I188" s="1"/>
      <c r="J188" s="493" t="s">
        <v>18</v>
      </c>
      <c r="K188" s="504" t="s">
        <v>128</v>
      </c>
      <c r="L188" s="504" t="s">
        <v>99</v>
      </c>
      <c r="M188" s="504"/>
      <c r="N188" s="504"/>
      <c r="P188" s="798"/>
    </row>
    <row r="189" spans="1:16" s="505" customFormat="1" outlineLevel="2">
      <c r="A189" s="502">
        <v>2</v>
      </c>
      <c r="B189" s="507" t="s">
        <v>345</v>
      </c>
      <c r="C189" s="448" t="s">
        <v>42</v>
      </c>
      <c r="D189" s="8"/>
      <c r="E189" s="8"/>
      <c r="F189" s="8"/>
      <c r="G189" s="2">
        <f>SUBTOTAL(9,G190:G207)</f>
        <v>1849100</v>
      </c>
      <c r="H189" s="8">
        <f t="shared" si="48"/>
        <v>0</v>
      </c>
      <c r="I189" s="1"/>
      <c r="J189" s="493"/>
      <c r="K189" s="504"/>
      <c r="L189" s="504"/>
      <c r="N189" s="504"/>
      <c r="P189" s="525"/>
    </row>
    <row r="190" spans="1:16" s="495" customFormat="1" outlineLevel="1">
      <c r="A190" s="53" t="s">
        <v>8</v>
      </c>
      <c r="B190" s="516" t="s">
        <v>367</v>
      </c>
      <c r="C190" s="448" t="s">
        <v>1173</v>
      </c>
      <c r="D190" s="512">
        <v>2000000</v>
      </c>
      <c r="E190" s="8"/>
      <c r="F190" s="529">
        <v>0.24</v>
      </c>
      <c r="G190" s="8">
        <f t="shared" ref="G190:G233" si="50">F190*D190</f>
        <v>480000</v>
      </c>
      <c r="H190" s="8">
        <f t="shared" si="48"/>
        <v>0</v>
      </c>
      <c r="I190" s="1"/>
      <c r="J190" s="493" t="s">
        <v>18</v>
      </c>
      <c r="K190" s="504" t="s">
        <v>128</v>
      </c>
      <c r="L190" s="504" t="s">
        <v>99</v>
      </c>
      <c r="N190" s="523"/>
      <c r="P190" s="798" t="s">
        <v>1214</v>
      </c>
    </row>
    <row r="191" spans="1:16" s="495" customFormat="1" outlineLevel="1">
      <c r="A191" s="53" t="s">
        <v>8</v>
      </c>
      <c r="B191" s="516" t="s">
        <v>1068</v>
      </c>
      <c r="C191" s="448" t="s">
        <v>1054</v>
      </c>
      <c r="D191" s="512">
        <v>3000000</v>
      </c>
      <c r="E191" s="8"/>
      <c r="F191" s="529"/>
      <c r="G191" s="8">
        <f t="shared" si="50"/>
        <v>0</v>
      </c>
      <c r="H191" s="8">
        <f t="shared" si="48"/>
        <v>0</v>
      </c>
      <c r="I191" s="1"/>
      <c r="J191" s="493" t="s">
        <v>18</v>
      </c>
      <c r="K191" s="504" t="s">
        <v>128</v>
      </c>
      <c r="L191" s="504" t="s">
        <v>99</v>
      </c>
      <c r="N191" s="523"/>
      <c r="P191" s="798"/>
    </row>
    <row r="192" spans="1:16" s="495" customFormat="1" outlineLevel="1">
      <c r="A192" s="53" t="s">
        <v>8</v>
      </c>
      <c r="B192" s="516" t="s">
        <v>1069</v>
      </c>
      <c r="C192" s="448" t="s">
        <v>42</v>
      </c>
      <c r="D192" s="512">
        <v>120000</v>
      </c>
      <c r="E192" s="8"/>
      <c r="F192" s="529"/>
      <c r="G192" s="8">
        <f t="shared" si="50"/>
        <v>0</v>
      </c>
      <c r="H192" s="8">
        <f t="shared" si="48"/>
        <v>0</v>
      </c>
      <c r="I192" s="1"/>
      <c r="J192" s="493" t="s">
        <v>18</v>
      </c>
      <c r="K192" s="504" t="s">
        <v>128</v>
      </c>
      <c r="L192" s="504" t="s">
        <v>99</v>
      </c>
      <c r="N192" s="523"/>
      <c r="P192" s="798"/>
    </row>
    <row r="193" spans="1:16" s="495" customFormat="1" ht="14" outlineLevel="1">
      <c r="A193" s="53" t="s">
        <v>8</v>
      </c>
      <c r="B193" s="313" t="s">
        <v>1188</v>
      </c>
      <c r="C193" s="448" t="s">
        <v>1173</v>
      </c>
      <c r="D193" s="512"/>
      <c r="E193" s="8"/>
      <c r="F193" s="529">
        <v>0.43200000000000005</v>
      </c>
      <c r="G193" s="8">
        <f t="shared" si="50"/>
        <v>0</v>
      </c>
      <c r="H193" s="8">
        <f t="shared" si="48"/>
        <v>0</v>
      </c>
      <c r="I193" s="1"/>
      <c r="J193" s="493" t="s">
        <v>18</v>
      </c>
      <c r="K193" s="504" t="s">
        <v>128</v>
      </c>
      <c r="L193" s="504" t="s">
        <v>99</v>
      </c>
      <c r="N193" s="523"/>
      <c r="P193" s="798"/>
    </row>
    <row r="194" spans="1:16" s="495" customFormat="1" ht="14" outlineLevel="1">
      <c r="A194" s="53" t="s">
        <v>8</v>
      </c>
      <c r="B194" s="313" t="s">
        <v>1189</v>
      </c>
      <c r="C194" s="448" t="s">
        <v>1054</v>
      </c>
      <c r="D194" s="512"/>
      <c r="E194" s="8"/>
      <c r="F194" s="529"/>
      <c r="G194" s="8">
        <f t="shared" si="50"/>
        <v>0</v>
      </c>
      <c r="H194" s="8">
        <f t="shared" si="48"/>
        <v>0</v>
      </c>
      <c r="I194" s="1"/>
      <c r="J194" s="493" t="s">
        <v>18</v>
      </c>
      <c r="K194" s="504" t="s">
        <v>128</v>
      </c>
      <c r="L194" s="504" t="s">
        <v>99</v>
      </c>
      <c r="N194" s="523"/>
      <c r="P194" s="798"/>
    </row>
    <row r="195" spans="1:16" s="495" customFormat="1" ht="14" outlineLevel="1">
      <c r="A195" s="53" t="s">
        <v>8</v>
      </c>
      <c r="B195" s="313" t="s">
        <v>1190</v>
      </c>
      <c r="C195" s="448" t="s">
        <v>42</v>
      </c>
      <c r="D195" s="512"/>
      <c r="E195" s="8"/>
      <c r="F195" s="529"/>
      <c r="G195" s="8">
        <f t="shared" si="50"/>
        <v>0</v>
      </c>
      <c r="H195" s="8">
        <f t="shared" si="48"/>
        <v>0</v>
      </c>
      <c r="I195" s="1"/>
      <c r="J195" s="493" t="s">
        <v>18</v>
      </c>
      <c r="K195" s="504" t="s">
        <v>128</v>
      </c>
      <c r="L195" s="504" t="s">
        <v>99</v>
      </c>
      <c r="N195" s="523"/>
      <c r="P195" s="798"/>
    </row>
    <row r="196" spans="1:16" s="505" customFormat="1" outlineLevel="2">
      <c r="A196" s="53" t="s">
        <v>8</v>
      </c>
      <c r="B196" s="516" t="s">
        <v>354</v>
      </c>
      <c r="C196" s="448" t="s">
        <v>1173</v>
      </c>
      <c r="D196" s="512">
        <v>1500000</v>
      </c>
      <c r="E196" s="8"/>
      <c r="F196" s="529">
        <v>0.4</v>
      </c>
      <c r="G196" s="8">
        <f t="shared" si="50"/>
        <v>600000</v>
      </c>
      <c r="H196" s="8">
        <f t="shared" si="48"/>
        <v>0</v>
      </c>
      <c r="I196" s="1"/>
      <c r="J196" s="493" t="s">
        <v>18</v>
      </c>
      <c r="K196" s="504" t="s">
        <v>128</v>
      </c>
      <c r="L196" s="504" t="s">
        <v>99</v>
      </c>
      <c r="N196" s="504"/>
      <c r="P196" s="798"/>
    </row>
    <row r="197" spans="1:16" s="505" customFormat="1" outlineLevel="2">
      <c r="A197" s="53" t="s">
        <v>8</v>
      </c>
      <c r="B197" s="516" t="s">
        <v>1070</v>
      </c>
      <c r="C197" s="448" t="s">
        <v>1054</v>
      </c>
      <c r="D197" s="512">
        <v>2250000</v>
      </c>
      <c r="E197" s="8"/>
      <c r="F197" s="529"/>
      <c r="G197" s="8">
        <f t="shared" si="50"/>
        <v>0</v>
      </c>
      <c r="H197" s="8">
        <f t="shared" si="48"/>
        <v>0</v>
      </c>
      <c r="I197" s="1"/>
      <c r="J197" s="493" t="s">
        <v>18</v>
      </c>
      <c r="K197" s="504" t="s">
        <v>128</v>
      </c>
      <c r="L197" s="504" t="s">
        <v>99</v>
      </c>
      <c r="N197" s="504"/>
      <c r="P197" s="798"/>
    </row>
    <row r="198" spans="1:16" s="505" customFormat="1" outlineLevel="2">
      <c r="A198" s="53" t="s">
        <v>8</v>
      </c>
      <c r="B198" s="516" t="s">
        <v>1071</v>
      </c>
      <c r="C198" s="448" t="s">
        <v>42</v>
      </c>
      <c r="D198" s="512">
        <v>90000</v>
      </c>
      <c r="E198" s="8"/>
      <c r="F198" s="529"/>
      <c r="G198" s="8">
        <f t="shared" si="50"/>
        <v>0</v>
      </c>
      <c r="H198" s="8">
        <f t="shared" si="48"/>
        <v>0</v>
      </c>
      <c r="I198" s="1"/>
      <c r="J198" s="493" t="s">
        <v>18</v>
      </c>
      <c r="K198" s="504" t="s">
        <v>128</v>
      </c>
      <c r="L198" s="504" t="s">
        <v>99</v>
      </c>
      <c r="N198" s="504"/>
      <c r="P198" s="798"/>
    </row>
    <row r="199" spans="1:16" s="505" customFormat="1" outlineLevel="2">
      <c r="A199" s="53" t="s">
        <v>8</v>
      </c>
      <c r="B199" s="516" t="s">
        <v>1072</v>
      </c>
      <c r="C199" s="448" t="s">
        <v>1054</v>
      </c>
      <c r="D199" s="512"/>
      <c r="E199" s="8"/>
      <c r="F199" s="530">
        <v>2.4720000000000002E-2</v>
      </c>
      <c r="G199" s="8">
        <f t="shared" si="50"/>
        <v>0</v>
      </c>
      <c r="H199" s="8">
        <f t="shared" si="48"/>
        <v>0</v>
      </c>
      <c r="I199" s="1"/>
      <c r="J199" s="493" t="s">
        <v>18</v>
      </c>
      <c r="K199" s="504" t="s">
        <v>128</v>
      </c>
      <c r="L199" s="504" t="s">
        <v>99</v>
      </c>
      <c r="N199" s="504"/>
      <c r="P199" s="798"/>
    </row>
    <row r="200" spans="1:16" s="505" customFormat="1" outlineLevel="2">
      <c r="A200" s="53" t="s">
        <v>8</v>
      </c>
      <c r="B200" s="516" t="s">
        <v>1073</v>
      </c>
      <c r="C200" s="448" t="s">
        <v>1054</v>
      </c>
      <c r="D200" s="512"/>
      <c r="E200" s="8"/>
      <c r="F200" s="530">
        <v>4.1200000000000001E-2</v>
      </c>
      <c r="G200" s="8">
        <f t="shared" si="50"/>
        <v>0</v>
      </c>
      <c r="H200" s="8">
        <f t="shared" si="48"/>
        <v>0</v>
      </c>
      <c r="I200" s="1"/>
      <c r="J200" s="493" t="s">
        <v>18</v>
      </c>
      <c r="K200" s="504" t="s">
        <v>128</v>
      </c>
      <c r="L200" s="504" t="s">
        <v>99</v>
      </c>
      <c r="N200" s="504"/>
      <c r="P200" s="798"/>
    </row>
    <row r="201" spans="1:16" s="505" customFormat="1" outlineLevel="2">
      <c r="A201" s="53" t="s">
        <v>8</v>
      </c>
      <c r="B201" s="516" t="s">
        <v>355</v>
      </c>
      <c r="C201" s="448" t="s">
        <v>42</v>
      </c>
      <c r="D201" s="512">
        <v>55000</v>
      </c>
      <c r="E201" s="8"/>
      <c r="F201" s="529">
        <v>1.62</v>
      </c>
      <c r="G201" s="8">
        <f t="shared" si="50"/>
        <v>89100</v>
      </c>
      <c r="H201" s="8">
        <f t="shared" si="48"/>
        <v>0</v>
      </c>
      <c r="I201" s="1"/>
      <c r="J201" s="493" t="s">
        <v>18</v>
      </c>
      <c r="K201" s="504" t="s">
        <v>128</v>
      </c>
      <c r="L201" s="504" t="s">
        <v>99</v>
      </c>
      <c r="N201" s="504"/>
      <c r="P201" s="798"/>
    </row>
    <row r="202" spans="1:16" s="505" customFormat="1" outlineLevel="2">
      <c r="A202" s="53" t="s">
        <v>8</v>
      </c>
      <c r="B202" s="516" t="s">
        <v>356</v>
      </c>
      <c r="C202" s="448" t="s">
        <v>42</v>
      </c>
      <c r="D202" s="512">
        <v>160000</v>
      </c>
      <c r="E202" s="8"/>
      <c r="F202" s="531">
        <v>3</v>
      </c>
      <c r="G202" s="8">
        <f t="shared" si="50"/>
        <v>480000</v>
      </c>
      <c r="H202" s="8">
        <f t="shared" si="48"/>
        <v>0</v>
      </c>
      <c r="I202" s="1"/>
      <c r="J202" s="493" t="s">
        <v>18</v>
      </c>
      <c r="K202" s="504" t="s">
        <v>128</v>
      </c>
      <c r="L202" s="504" t="s">
        <v>99</v>
      </c>
      <c r="N202" s="504"/>
      <c r="P202" s="798"/>
    </row>
    <row r="203" spans="1:16" s="495" customFormat="1" outlineLevel="1">
      <c r="A203" s="53" t="s">
        <v>8</v>
      </c>
      <c r="B203" s="516" t="s">
        <v>1048</v>
      </c>
      <c r="C203" s="448" t="s">
        <v>42</v>
      </c>
      <c r="D203" s="512">
        <v>260000</v>
      </c>
      <c r="E203" s="8"/>
      <c r="F203" s="529" t="s">
        <v>1047</v>
      </c>
      <c r="G203" s="8"/>
      <c r="H203" s="8"/>
      <c r="I203" s="1"/>
      <c r="J203" s="493" t="s">
        <v>18</v>
      </c>
      <c r="K203" s="504" t="s">
        <v>128</v>
      </c>
      <c r="L203" s="504" t="s">
        <v>99</v>
      </c>
      <c r="N203" s="523"/>
      <c r="P203" s="798"/>
    </row>
    <row r="204" spans="1:16" s="495" customFormat="1" outlineLevel="1">
      <c r="A204" s="53" t="s">
        <v>8</v>
      </c>
      <c r="B204" s="516" t="s">
        <v>1049</v>
      </c>
      <c r="C204" s="448" t="s">
        <v>42</v>
      </c>
      <c r="D204" s="512">
        <v>180000</v>
      </c>
      <c r="E204" s="8"/>
      <c r="F204" s="529" t="s">
        <v>1047</v>
      </c>
      <c r="G204" s="8"/>
      <c r="H204" s="8"/>
      <c r="I204" s="1"/>
      <c r="J204" s="493" t="s">
        <v>18</v>
      </c>
      <c r="K204" s="504" t="s">
        <v>128</v>
      </c>
      <c r="L204" s="504" t="s">
        <v>99</v>
      </c>
      <c r="N204" s="523"/>
      <c r="P204" s="798"/>
    </row>
    <row r="205" spans="1:16" s="505" customFormat="1" ht="26" outlineLevel="2">
      <c r="A205" s="53" t="s">
        <v>8</v>
      </c>
      <c r="B205" s="516" t="s">
        <v>1050</v>
      </c>
      <c r="C205" s="448" t="s">
        <v>9</v>
      </c>
      <c r="D205" s="512">
        <v>2</v>
      </c>
      <c r="E205" s="8"/>
      <c r="F205" s="529" t="s">
        <v>1047</v>
      </c>
      <c r="G205" s="8"/>
      <c r="H205" s="8"/>
      <c r="I205" s="1"/>
      <c r="J205" s="493" t="s">
        <v>18</v>
      </c>
      <c r="K205" s="504" t="s">
        <v>128</v>
      </c>
      <c r="L205" s="504" t="s">
        <v>99</v>
      </c>
      <c r="N205" s="504"/>
      <c r="P205" s="798"/>
    </row>
    <row r="206" spans="1:16" s="505" customFormat="1" ht="26" outlineLevel="2">
      <c r="A206" s="53" t="s">
        <v>8</v>
      </c>
      <c r="B206" s="516" t="s">
        <v>1051</v>
      </c>
      <c r="C206" s="448" t="s">
        <v>9</v>
      </c>
      <c r="D206" s="512">
        <v>2</v>
      </c>
      <c r="E206" s="8"/>
      <c r="F206" s="529" t="s">
        <v>1047</v>
      </c>
      <c r="G206" s="8"/>
      <c r="H206" s="8"/>
      <c r="I206" s="1"/>
      <c r="J206" s="493" t="s">
        <v>18</v>
      </c>
      <c r="K206" s="504" t="s">
        <v>128</v>
      </c>
      <c r="L206" s="504" t="s">
        <v>99</v>
      </c>
      <c r="N206" s="504"/>
      <c r="P206" s="798"/>
    </row>
    <row r="207" spans="1:16" s="505" customFormat="1" outlineLevel="2">
      <c r="A207" s="53" t="s">
        <v>8</v>
      </c>
      <c r="B207" s="516" t="s">
        <v>412</v>
      </c>
      <c r="C207" s="448" t="s">
        <v>9</v>
      </c>
      <c r="D207" s="512">
        <v>1</v>
      </c>
      <c r="E207" s="8"/>
      <c r="F207" s="170">
        <v>200000</v>
      </c>
      <c r="G207" s="8">
        <f t="shared" si="50"/>
        <v>200000</v>
      </c>
      <c r="H207" s="8">
        <f t="shared" si="48"/>
        <v>0</v>
      </c>
      <c r="I207" s="1"/>
      <c r="J207" s="493" t="s">
        <v>18</v>
      </c>
      <c r="K207" s="504" t="s">
        <v>128</v>
      </c>
      <c r="L207" s="504" t="s">
        <v>99</v>
      </c>
      <c r="N207" s="504"/>
      <c r="P207" s="798"/>
    </row>
    <row r="208" spans="1:16" s="505" customFormat="1" outlineLevel="2">
      <c r="A208" s="53">
        <v>3</v>
      </c>
      <c r="B208" s="507" t="s">
        <v>403</v>
      </c>
      <c r="C208" s="448" t="s">
        <v>213</v>
      </c>
      <c r="D208" s="8"/>
      <c r="E208" s="8"/>
      <c r="F208" s="8"/>
      <c r="G208" s="2">
        <f>SUBTOTAL(9,G209:G229)</f>
        <v>412560.00000000006</v>
      </c>
      <c r="H208" s="8">
        <f t="shared" si="48"/>
        <v>0</v>
      </c>
      <c r="I208" s="1"/>
      <c r="J208" s="493"/>
      <c r="K208" s="504"/>
      <c r="L208" s="504"/>
      <c r="N208" s="504"/>
      <c r="P208" s="525"/>
    </row>
    <row r="209" spans="1:16" s="505" customFormat="1" outlineLevel="2">
      <c r="A209" s="53" t="s">
        <v>8</v>
      </c>
      <c r="B209" s="511" t="s">
        <v>1191</v>
      </c>
      <c r="C209" s="448" t="s">
        <v>44</v>
      </c>
      <c r="D209" s="512">
        <v>11000000</v>
      </c>
      <c r="E209" s="8"/>
      <c r="F209" s="532">
        <v>1.9200000000000002E-2</v>
      </c>
      <c r="G209" s="8">
        <f t="shared" si="50"/>
        <v>211200.00000000003</v>
      </c>
      <c r="H209" s="8">
        <f t="shared" si="48"/>
        <v>0</v>
      </c>
      <c r="I209" s="1"/>
      <c r="J209" s="493" t="s">
        <v>18</v>
      </c>
      <c r="K209" s="493" t="s">
        <v>128</v>
      </c>
      <c r="L209" s="504" t="s">
        <v>99</v>
      </c>
      <c r="N209" s="504"/>
      <c r="P209" s="798" t="s">
        <v>1192</v>
      </c>
    </row>
    <row r="210" spans="1:16" s="505" customFormat="1" outlineLevel="2">
      <c r="A210" s="53" t="s">
        <v>8</v>
      </c>
      <c r="B210" s="511" t="s">
        <v>1193</v>
      </c>
      <c r="C210" s="448" t="s">
        <v>44</v>
      </c>
      <c r="D210" s="512">
        <v>23000000</v>
      </c>
      <c r="E210" s="8"/>
      <c r="F210" s="533">
        <v>4.8000000000000004E-3</v>
      </c>
      <c r="G210" s="8">
        <f t="shared" si="50"/>
        <v>110400.00000000001</v>
      </c>
      <c r="H210" s="8">
        <f t="shared" si="48"/>
        <v>0</v>
      </c>
      <c r="I210" s="1"/>
      <c r="J210" s="493" t="s">
        <v>18</v>
      </c>
      <c r="K210" s="493" t="s">
        <v>128</v>
      </c>
      <c r="L210" s="504" t="s">
        <v>99</v>
      </c>
      <c r="N210" s="504"/>
      <c r="P210" s="798"/>
    </row>
    <row r="211" spans="1:16" s="505" customFormat="1" outlineLevel="2">
      <c r="A211" s="53" t="s">
        <v>8</v>
      </c>
      <c r="B211" s="511" t="s">
        <v>1194</v>
      </c>
      <c r="C211" s="448" t="s">
        <v>44</v>
      </c>
      <c r="D211" s="512">
        <v>1700000</v>
      </c>
      <c r="E211" s="8"/>
      <c r="F211" s="532">
        <v>1.9200000000000002E-2</v>
      </c>
      <c r="G211" s="8">
        <f t="shared" si="50"/>
        <v>32640.000000000004</v>
      </c>
      <c r="H211" s="8">
        <f t="shared" si="48"/>
        <v>0</v>
      </c>
      <c r="I211" s="1"/>
      <c r="J211" s="493" t="s">
        <v>18</v>
      </c>
      <c r="K211" s="493" t="s">
        <v>128</v>
      </c>
      <c r="L211" s="504" t="s">
        <v>99</v>
      </c>
      <c r="N211" s="504"/>
      <c r="P211" s="798"/>
    </row>
    <row r="212" spans="1:16" s="505" customFormat="1" outlineLevel="2">
      <c r="A212" s="53" t="s">
        <v>8</v>
      </c>
      <c r="B212" s="511" t="s">
        <v>1195</v>
      </c>
      <c r="C212" s="448" t="s">
        <v>44</v>
      </c>
      <c r="D212" s="512">
        <v>7000000</v>
      </c>
      <c r="E212" s="8"/>
      <c r="F212" s="533">
        <v>4.8000000000000004E-3</v>
      </c>
      <c r="G212" s="8">
        <f t="shared" si="50"/>
        <v>33600</v>
      </c>
      <c r="H212" s="8">
        <f t="shared" si="48"/>
        <v>0</v>
      </c>
      <c r="I212" s="1"/>
      <c r="J212" s="493" t="s">
        <v>18</v>
      </c>
      <c r="K212" s="493" t="s">
        <v>128</v>
      </c>
      <c r="L212" s="504" t="s">
        <v>99</v>
      </c>
      <c r="N212" s="504"/>
      <c r="P212" s="798"/>
    </row>
    <row r="213" spans="1:16" s="505" customFormat="1" outlineLevel="2">
      <c r="A213" s="53" t="s">
        <v>8</v>
      </c>
      <c r="B213" s="511" t="s">
        <v>1196</v>
      </c>
      <c r="C213" s="448" t="s">
        <v>44</v>
      </c>
      <c r="D213" s="512">
        <v>700000</v>
      </c>
      <c r="E213" s="8"/>
      <c r="F213" s="532">
        <v>1.9200000000000002E-2</v>
      </c>
      <c r="G213" s="8">
        <f t="shared" si="50"/>
        <v>13440.000000000002</v>
      </c>
      <c r="H213" s="8">
        <f t="shared" si="48"/>
        <v>0</v>
      </c>
      <c r="I213" s="1"/>
      <c r="J213" s="493" t="s">
        <v>18</v>
      </c>
      <c r="K213" s="493" t="s">
        <v>128</v>
      </c>
      <c r="L213" s="504" t="s">
        <v>99</v>
      </c>
      <c r="N213" s="504"/>
      <c r="P213" s="798"/>
    </row>
    <row r="214" spans="1:16" s="505" customFormat="1" outlineLevel="2">
      <c r="A214" s="53" t="s">
        <v>8</v>
      </c>
      <c r="B214" s="511" t="s">
        <v>1197</v>
      </c>
      <c r="C214" s="448" t="s">
        <v>44</v>
      </c>
      <c r="D214" s="512">
        <v>2100000</v>
      </c>
      <c r="E214" s="8"/>
      <c r="F214" s="533">
        <v>4.8000000000000004E-3</v>
      </c>
      <c r="G214" s="8">
        <f t="shared" si="50"/>
        <v>10080.000000000002</v>
      </c>
      <c r="H214" s="8">
        <f t="shared" si="48"/>
        <v>0</v>
      </c>
      <c r="I214" s="1"/>
      <c r="J214" s="493" t="s">
        <v>18</v>
      </c>
      <c r="K214" s="493" t="s">
        <v>128</v>
      </c>
      <c r="L214" s="504" t="s">
        <v>99</v>
      </c>
      <c r="N214" s="504"/>
      <c r="P214" s="798"/>
    </row>
    <row r="215" spans="1:16" s="505" customFormat="1" outlineLevel="2">
      <c r="A215" s="53" t="s">
        <v>8</v>
      </c>
      <c r="B215" s="511" t="s">
        <v>1198</v>
      </c>
      <c r="C215" s="448" t="s">
        <v>44</v>
      </c>
      <c r="D215" s="512">
        <v>50000</v>
      </c>
      <c r="E215" s="8"/>
      <c r="F215" s="532">
        <v>1.9200000000000002E-2</v>
      </c>
      <c r="G215" s="8">
        <f t="shared" si="50"/>
        <v>960.00000000000011</v>
      </c>
      <c r="H215" s="8">
        <f t="shared" si="48"/>
        <v>0</v>
      </c>
      <c r="I215" s="1"/>
      <c r="J215" s="493" t="s">
        <v>18</v>
      </c>
      <c r="K215" s="493" t="s">
        <v>128</v>
      </c>
      <c r="L215" s="504" t="s">
        <v>99</v>
      </c>
      <c r="N215" s="504"/>
      <c r="P215" s="798"/>
    </row>
    <row r="216" spans="1:16" s="505" customFormat="1" outlineLevel="2">
      <c r="A216" s="53" t="s">
        <v>8</v>
      </c>
      <c r="B216" s="511" t="s">
        <v>1199</v>
      </c>
      <c r="C216" s="448" t="s">
        <v>44</v>
      </c>
      <c r="D216" s="512">
        <v>50000</v>
      </c>
      <c r="E216" s="8"/>
      <c r="F216" s="533">
        <v>4.8000000000000004E-3</v>
      </c>
      <c r="G216" s="8">
        <f t="shared" si="50"/>
        <v>240.00000000000003</v>
      </c>
      <c r="H216" s="8">
        <f t="shared" si="48"/>
        <v>0</v>
      </c>
      <c r="I216" s="1"/>
      <c r="J216" s="493" t="s">
        <v>18</v>
      </c>
      <c r="K216" s="493" t="s">
        <v>128</v>
      </c>
      <c r="L216" s="504" t="s">
        <v>99</v>
      </c>
      <c r="N216" s="504"/>
      <c r="P216" s="798"/>
    </row>
    <row r="217" spans="1:16" s="505" customFormat="1" outlineLevel="2">
      <c r="A217" s="53" t="s">
        <v>8</v>
      </c>
      <c r="B217" s="511" t="s">
        <v>1200</v>
      </c>
      <c r="C217" s="448" t="s">
        <v>44</v>
      </c>
      <c r="D217" s="8"/>
      <c r="E217" s="8"/>
      <c r="F217" s="533">
        <v>3.2000000000000001E-2</v>
      </c>
      <c r="G217" s="8">
        <f t="shared" si="50"/>
        <v>0</v>
      </c>
      <c r="H217" s="8">
        <f t="shared" si="48"/>
        <v>0</v>
      </c>
      <c r="I217" s="1"/>
      <c r="J217" s="493" t="s">
        <v>18</v>
      </c>
      <c r="K217" s="493" t="s">
        <v>128</v>
      </c>
      <c r="L217" s="504" t="s">
        <v>99</v>
      </c>
      <c r="N217" s="504"/>
      <c r="P217" s="798"/>
    </row>
    <row r="218" spans="1:16" s="505" customFormat="1" outlineLevel="2">
      <c r="A218" s="53" t="s">
        <v>8</v>
      </c>
      <c r="B218" s="511" t="s">
        <v>1201</v>
      </c>
      <c r="C218" s="448" t="s">
        <v>44</v>
      </c>
      <c r="D218" s="8"/>
      <c r="E218" s="8"/>
      <c r="F218" s="533">
        <v>8.0000000000000002E-3</v>
      </c>
      <c r="G218" s="8">
        <f t="shared" si="50"/>
        <v>0</v>
      </c>
      <c r="H218" s="8">
        <f t="shared" si="48"/>
        <v>0</v>
      </c>
      <c r="I218" s="1"/>
      <c r="J218" s="493" t="s">
        <v>18</v>
      </c>
      <c r="K218" s="493" t="s">
        <v>128</v>
      </c>
      <c r="L218" s="504" t="s">
        <v>99</v>
      </c>
      <c r="N218" s="504"/>
      <c r="P218" s="798"/>
    </row>
    <row r="219" spans="1:16" s="505" customFormat="1" outlineLevel="2">
      <c r="A219" s="53" t="s">
        <v>8</v>
      </c>
      <c r="B219" s="511" t="s">
        <v>1202</v>
      </c>
      <c r="C219" s="448" t="s">
        <v>44</v>
      </c>
      <c r="D219" s="8"/>
      <c r="E219" s="8"/>
      <c r="F219" s="533">
        <v>3.2000000000000001E-2</v>
      </c>
      <c r="G219" s="8">
        <f t="shared" si="50"/>
        <v>0</v>
      </c>
      <c r="H219" s="8">
        <f t="shared" si="48"/>
        <v>0</v>
      </c>
      <c r="I219" s="1"/>
      <c r="J219" s="493" t="s">
        <v>18</v>
      </c>
      <c r="K219" s="493" t="s">
        <v>128</v>
      </c>
      <c r="L219" s="504" t="s">
        <v>99</v>
      </c>
      <c r="N219" s="504"/>
      <c r="P219" s="798"/>
    </row>
    <row r="220" spans="1:16" s="505" customFormat="1" outlineLevel="2">
      <c r="A220" s="53" t="s">
        <v>8</v>
      </c>
      <c r="B220" s="511" t="s">
        <v>1203</v>
      </c>
      <c r="C220" s="448" t="s">
        <v>44</v>
      </c>
      <c r="D220" s="8"/>
      <c r="E220" s="8"/>
      <c r="F220" s="533">
        <v>8.0000000000000002E-3</v>
      </c>
      <c r="G220" s="8">
        <f t="shared" si="50"/>
        <v>0</v>
      </c>
      <c r="H220" s="8">
        <f t="shared" si="48"/>
        <v>0</v>
      </c>
      <c r="I220" s="1"/>
      <c r="J220" s="493" t="s">
        <v>18</v>
      </c>
      <c r="K220" s="493" t="s">
        <v>128</v>
      </c>
      <c r="L220" s="504" t="s">
        <v>99</v>
      </c>
      <c r="N220" s="504"/>
      <c r="P220" s="798"/>
    </row>
    <row r="221" spans="1:16" s="505" customFormat="1" outlineLevel="2">
      <c r="A221" s="53" t="s">
        <v>8</v>
      </c>
      <c r="B221" s="511" t="s">
        <v>1204</v>
      </c>
      <c r="C221" s="448" t="s">
        <v>44</v>
      </c>
      <c r="D221" s="8"/>
      <c r="E221" s="8"/>
      <c r="F221" s="533">
        <v>3.2000000000000001E-2</v>
      </c>
      <c r="G221" s="8">
        <f t="shared" si="50"/>
        <v>0</v>
      </c>
      <c r="H221" s="8">
        <f t="shared" si="48"/>
        <v>0</v>
      </c>
      <c r="I221" s="1"/>
      <c r="J221" s="493" t="s">
        <v>18</v>
      </c>
      <c r="K221" s="493" t="s">
        <v>128</v>
      </c>
      <c r="L221" s="504" t="s">
        <v>99</v>
      </c>
      <c r="N221" s="504"/>
      <c r="P221" s="798"/>
    </row>
    <row r="222" spans="1:16" s="505" customFormat="1" outlineLevel="2">
      <c r="A222" s="53" t="s">
        <v>8</v>
      </c>
      <c r="B222" s="511" t="s">
        <v>1205</v>
      </c>
      <c r="C222" s="448" t="s">
        <v>44</v>
      </c>
      <c r="D222" s="8"/>
      <c r="E222" s="8"/>
      <c r="F222" s="533">
        <v>8.0000000000000002E-3</v>
      </c>
      <c r="G222" s="8">
        <f t="shared" si="50"/>
        <v>0</v>
      </c>
      <c r="H222" s="8">
        <f t="shared" si="48"/>
        <v>0</v>
      </c>
      <c r="I222" s="1"/>
      <c r="J222" s="493" t="s">
        <v>18</v>
      </c>
      <c r="K222" s="493" t="s">
        <v>128</v>
      </c>
      <c r="L222" s="504" t="s">
        <v>99</v>
      </c>
      <c r="N222" s="504"/>
      <c r="P222" s="798"/>
    </row>
    <row r="223" spans="1:16" s="505" customFormat="1" outlineLevel="2">
      <c r="A223" s="53" t="s">
        <v>8</v>
      </c>
      <c r="B223" s="511" t="s">
        <v>1206</v>
      </c>
      <c r="C223" s="448" t="s">
        <v>44</v>
      </c>
      <c r="D223" s="8"/>
      <c r="E223" s="8"/>
      <c r="F223" s="533">
        <v>3.2000000000000001E-2</v>
      </c>
      <c r="G223" s="8">
        <f t="shared" si="50"/>
        <v>0</v>
      </c>
      <c r="H223" s="8">
        <f t="shared" si="48"/>
        <v>0</v>
      </c>
      <c r="I223" s="1"/>
      <c r="J223" s="493" t="s">
        <v>18</v>
      </c>
      <c r="K223" s="493" t="s">
        <v>128</v>
      </c>
      <c r="L223" s="504" t="s">
        <v>99</v>
      </c>
      <c r="N223" s="504"/>
      <c r="P223" s="798"/>
    </row>
    <row r="224" spans="1:16" s="505" customFormat="1" outlineLevel="2">
      <c r="A224" s="53" t="s">
        <v>8</v>
      </c>
      <c r="B224" s="511" t="s">
        <v>1207</v>
      </c>
      <c r="C224" s="448" t="s">
        <v>44</v>
      </c>
      <c r="D224" s="8"/>
      <c r="E224" s="8"/>
      <c r="F224" s="533">
        <v>8.0000000000000002E-3</v>
      </c>
      <c r="G224" s="8">
        <f t="shared" si="50"/>
        <v>0</v>
      </c>
      <c r="H224" s="8">
        <f t="shared" si="48"/>
        <v>0</v>
      </c>
      <c r="I224" s="1"/>
      <c r="J224" s="493" t="s">
        <v>18</v>
      </c>
      <c r="K224" s="493" t="s">
        <v>128</v>
      </c>
      <c r="L224" s="504" t="s">
        <v>99</v>
      </c>
      <c r="N224" s="504"/>
      <c r="P224" s="798"/>
    </row>
    <row r="225" spans="1:16" s="505" customFormat="1" outlineLevel="2">
      <c r="A225" s="53" t="s">
        <v>8</v>
      </c>
      <c r="B225" s="508" t="s">
        <v>1208</v>
      </c>
      <c r="C225" s="448" t="s">
        <v>9</v>
      </c>
      <c r="D225" s="8"/>
      <c r="E225" s="8"/>
      <c r="F225" s="509">
        <v>80000</v>
      </c>
      <c r="G225" s="8">
        <f t="shared" si="50"/>
        <v>0</v>
      </c>
      <c r="H225" s="8">
        <f t="shared" si="48"/>
        <v>0</v>
      </c>
      <c r="I225" s="1"/>
      <c r="J225" s="493" t="s">
        <v>18</v>
      </c>
      <c r="K225" s="493" t="s">
        <v>128</v>
      </c>
      <c r="L225" s="504" t="s">
        <v>99</v>
      </c>
      <c r="N225" s="504"/>
      <c r="P225" s="798"/>
    </row>
    <row r="226" spans="1:16" s="505" customFormat="1" outlineLevel="2">
      <c r="A226" s="53" t="s">
        <v>8</v>
      </c>
      <c r="B226" s="508" t="s">
        <v>1209</v>
      </c>
      <c r="C226" s="448" t="s">
        <v>9</v>
      </c>
      <c r="D226" s="8"/>
      <c r="E226" s="8"/>
      <c r="F226" s="509">
        <v>100000</v>
      </c>
      <c r="G226" s="8">
        <f t="shared" si="50"/>
        <v>0</v>
      </c>
      <c r="H226" s="8">
        <f t="shared" si="48"/>
        <v>0</v>
      </c>
      <c r="I226" s="1"/>
      <c r="J226" s="493" t="s">
        <v>18</v>
      </c>
      <c r="K226" s="493" t="s">
        <v>128</v>
      </c>
      <c r="L226" s="504" t="s">
        <v>99</v>
      </c>
      <c r="N226" s="504"/>
      <c r="P226" s="798"/>
    </row>
    <row r="227" spans="1:16" s="505" customFormat="1" outlineLevel="2">
      <c r="A227" s="53" t="s">
        <v>8</v>
      </c>
      <c r="B227" s="508" t="s">
        <v>1171</v>
      </c>
      <c r="C227" s="448" t="s">
        <v>9</v>
      </c>
      <c r="D227" s="8"/>
      <c r="E227" s="8"/>
      <c r="F227" s="509">
        <v>150000</v>
      </c>
      <c r="G227" s="8">
        <f t="shared" si="50"/>
        <v>0</v>
      </c>
      <c r="H227" s="8">
        <f t="shared" si="48"/>
        <v>0</v>
      </c>
      <c r="I227" s="1"/>
      <c r="J227" s="493" t="s">
        <v>18</v>
      </c>
      <c r="K227" s="493" t="s">
        <v>128</v>
      </c>
      <c r="L227" s="504" t="s">
        <v>99</v>
      </c>
      <c r="N227" s="504"/>
      <c r="P227" s="798"/>
    </row>
    <row r="228" spans="1:16" s="505" customFormat="1" outlineLevel="2">
      <c r="A228" s="53" t="s">
        <v>8</v>
      </c>
      <c r="B228" s="508" t="s">
        <v>1210</v>
      </c>
      <c r="C228" s="448" t="s">
        <v>9</v>
      </c>
      <c r="D228" s="8"/>
      <c r="E228" s="8"/>
      <c r="F228" s="509">
        <v>10000</v>
      </c>
      <c r="G228" s="8">
        <f t="shared" si="50"/>
        <v>0</v>
      </c>
      <c r="H228" s="8">
        <f t="shared" si="48"/>
        <v>0</v>
      </c>
      <c r="I228" s="1"/>
      <c r="J228" s="493" t="s">
        <v>18</v>
      </c>
      <c r="K228" s="493" t="s">
        <v>128</v>
      </c>
      <c r="L228" s="504" t="s">
        <v>99</v>
      </c>
      <c r="N228" s="504"/>
      <c r="P228" s="798"/>
    </row>
    <row r="229" spans="1:16" s="505" customFormat="1" outlineLevel="2">
      <c r="A229" s="53" t="s">
        <v>8</v>
      </c>
      <c r="B229" s="508" t="s">
        <v>1063</v>
      </c>
      <c r="C229" s="448" t="s">
        <v>9</v>
      </c>
      <c r="D229" s="8"/>
      <c r="E229" s="8"/>
      <c r="F229" s="509">
        <v>10000</v>
      </c>
      <c r="G229" s="8">
        <f t="shared" si="50"/>
        <v>0</v>
      </c>
      <c r="H229" s="8">
        <f t="shared" si="48"/>
        <v>0</v>
      </c>
      <c r="I229" s="1"/>
      <c r="J229" s="493" t="s">
        <v>18</v>
      </c>
      <c r="K229" s="493" t="s">
        <v>128</v>
      </c>
      <c r="L229" s="504" t="s">
        <v>99</v>
      </c>
      <c r="N229" s="504"/>
      <c r="P229" s="798"/>
    </row>
    <row r="230" spans="1:16" s="505" customFormat="1" outlineLevel="2">
      <c r="A230" s="502">
        <v>4</v>
      </c>
      <c r="B230" s="507" t="s">
        <v>340</v>
      </c>
      <c r="C230" s="448" t="s">
        <v>44</v>
      </c>
      <c r="D230" s="8"/>
      <c r="E230" s="8"/>
      <c r="F230" s="8"/>
      <c r="G230" s="2">
        <f>SUBTOTAL(9,G231:G233)</f>
        <v>0</v>
      </c>
      <c r="H230" s="8">
        <f t="shared" si="48"/>
        <v>0</v>
      </c>
      <c r="I230" s="1"/>
      <c r="J230" s="493"/>
      <c r="K230" s="493"/>
      <c r="L230" s="504"/>
      <c r="N230" s="504"/>
      <c r="P230" s="525"/>
    </row>
    <row r="231" spans="1:16" s="505" customFormat="1" outlineLevel="2">
      <c r="A231" s="53" t="s">
        <v>8</v>
      </c>
      <c r="B231" s="511" t="s">
        <v>1064</v>
      </c>
      <c r="C231" s="448" t="s">
        <v>44</v>
      </c>
      <c r="D231" s="513"/>
      <c r="E231" s="8"/>
      <c r="F231" s="510">
        <v>0.6</v>
      </c>
      <c r="G231" s="8">
        <f t="shared" si="50"/>
        <v>0</v>
      </c>
      <c r="H231" s="8">
        <f t="shared" si="48"/>
        <v>0</v>
      </c>
      <c r="I231" s="1"/>
      <c r="J231" s="493" t="s">
        <v>18</v>
      </c>
      <c r="K231" s="493" t="s">
        <v>128</v>
      </c>
      <c r="L231" s="504" t="s">
        <v>99</v>
      </c>
      <c r="M231" s="504"/>
      <c r="N231" s="504"/>
      <c r="P231" s="506"/>
    </row>
    <row r="232" spans="1:16" s="505" customFormat="1" outlineLevel="2">
      <c r="A232" s="53" t="s">
        <v>8</v>
      </c>
      <c r="B232" s="511" t="s">
        <v>1065</v>
      </c>
      <c r="C232" s="448" t="s">
        <v>44</v>
      </c>
      <c r="D232" s="513"/>
      <c r="E232" s="8"/>
      <c r="F232" s="510">
        <v>0.4</v>
      </c>
      <c r="G232" s="8">
        <f t="shared" si="50"/>
        <v>0</v>
      </c>
      <c r="H232" s="8">
        <f t="shared" si="48"/>
        <v>0</v>
      </c>
      <c r="I232" s="1"/>
      <c r="J232" s="493" t="s">
        <v>18</v>
      </c>
      <c r="K232" s="493" t="s">
        <v>128</v>
      </c>
      <c r="L232" s="504" t="s">
        <v>99</v>
      </c>
      <c r="M232" s="504"/>
      <c r="N232" s="504"/>
      <c r="P232" s="506"/>
    </row>
    <row r="233" spans="1:16" s="505" customFormat="1" outlineLevel="2">
      <c r="A233" s="53" t="s">
        <v>8</v>
      </c>
      <c r="B233" s="511" t="s">
        <v>1066</v>
      </c>
      <c r="C233" s="448" t="s">
        <v>9</v>
      </c>
      <c r="D233" s="8"/>
      <c r="E233" s="8"/>
      <c r="F233" s="8">
        <v>80000</v>
      </c>
      <c r="G233" s="8">
        <f t="shared" si="50"/>
        <v>0</v>
      </c>
      <c r="H233" s="8">
        <f t="shared" si="48"/>
        <v>0</v>
      </c>
      <c r="I233" s="1"/>
      <c r="J233" s="493" t="s">
        <v>18</v>
      </c>
      <c r="K233" s="493" t="s">
        <v>128</v>
      </c>
      <c r="L233" s="504" t="s">
        <v>99</v>
      </c>
      <c r="M233" s="504"/>
      <c r="N233" s="504"/>
      <c r="P233" s="506"/>
    </row>
    <row r="234" spans="1:16" s="505" customFormat="1" ht="34.75" customHeight="1" outlineLevel="2">
      <c r="A234" s="502">
        <v>5</v>
      </c>
      <c r="B234" s="507" t="s">
        <v>1038</v>
      </c>
      <c r="C234" s="448" t="s">
        <v>213</v>
      </c>
      <c r="D234" s="8"/>
      <c r="E234" s="8"/>
      <c r="F234" s="8"/>
      <c r="G234" s="2">
        <f>SUBTOTAL(9,G235:G237)</f>
        <v>2198000</v>
      </c>
      <c r="H234" s="8">
        <f t="shared" si="48"/>
        <v>0</v>
      </c>
      <c r="I234" s="1"/>
      <c r="J234" s="493"/>
      <c r="K234" s="504"/>
      <c r="L234" s="504"/>
      <c r="N234" s="504"/>
      <c r="P234" s="798" t="s">
        <v>1215</v>
      </c>
    </row>
    <row r="235" spans="1:16" s="536" customFormat="1" ht="34.75" customHeight="1" outlineLevel="2">
      <c r="A235" s="53" t="s">
        <v>8</v>
      </c>
      <c r="B235" s="516" t="s">
        <v>365</v>
      </c>
      <c r="C235" s="534" t="s">
        <v>213</v>
      </c>
      <c r="D235" s="512">
        <v>2000</v>
      </c>
      <c r="E235" s="170"/>
      <c r="F235" s="89">
        <v>9</v>
      </c>
      <c r="G235" s="170">
        <f t="shared" ref="G235:G241" si="51">F235*D235</f>
        <v>18000</v>
      </c>
      <c r="H235" s="170">
        <f t="shared" si="48"/>
        <v>0</v>
      </c>
      <c r="I235" s="92"/>
      <c r="J235" s="535" t="s">
        <v>18</v>
      </c>
      <c r="K235" s="535" t="s">
        <v>128</v>
      </c>
      <c r="L235" s="535" t="s">
        <v>99</v>
      </c>
      <c r="N235" s="535"/>
      <c r="P235" s="798"/>
    </row>
    <row r="236" spans="1:16" s="536" customFormat="1" ht="34.75" customHeight="1" outlineLevel="2">
      <c r="A236" s="53" t="s">
        <v>8</v>
      </c>
      <c r="B236" s="516" t="s">
        <v>366</v>
      </c>
      <c r="C236" s="448" t="s">
        <v>213</v>
      </c>
      <c r="D236" s="512">
        <v>220000</v>
      </c>
      <c r="E236" s="8"/>
      <c r="F236" s="89">
        <v>9</v>
      </c>
      <c r="G236" s="8">
        <f t="shared" si="51"/>
        <v>1980000</v>
      </c>
      <c r="H236" s="170">
        <f t="shared" si="48"/>
        <v>0</v>
      </c>
      <c r="I236" s="92"/>
      <c r="J236" s="535" t="s">
        <v>18</v>
      </c>
      <c r="K236" s="535" t="s">
        <v>128</v>
      </c>
      <c r="L236" s="535" t="s">
        <v>99</v>
      </c>
      <c r="N236" s="535"/>
      <c r="P236" s="798"/>
    </row>
    <row r="237" spans="1:16" s="536" customFormat="1" ht="34.75" customHeight="1" outlineLevel="2">
      <c r="A237" s="53" t="s">
        <v>8</v>
      </c>
      <c r="B237" s="537" t="s">
        <v>404</v>
      </c>
      <c r="C237" s="534" t="s">
        <v>9</v>
      </c>
      <c r="D237" s="512">
        <v>4</v>
      </c>
      <c r="E237" s="170"/>
      <c r="F237" s="170">
        <v>50000</v>
      </c>
      <c r="G237" s="170">
        <f t="shared" si="51"/>
        <v>200000</v>
      </c>
      <c r="H237" s="170">
        <f t="shared" si="48"/>
        <v>0</v>
      </c>
      <c r="I237" s="92"/>
      <c r="J237" s="535" t="s">
        <v>18</v>
      </c>
      <c r="K237" s="535" t="s">
        <v>128</v>
      </c>
      <c r="L237" s="535" t="s">
        <v>99</v>
      </c>
      <c r="N237" s="535"/>
      <c r="P237" s="798"/>
    </row>
    <row r="238" spans="1:16" s="505" customFormat="1" outlineLevel="2">
      <c r="A238" s="502">
        <v>6</v>
      </c>
      <c r="B238" s="507" t="s">
        <v>346</v>
      </c>
      <c r="C238" s="500"/>
      <c r="D238" s="2"/>
      <c r="E238" s="2"/>
      <c r="F238" s="2"/>
      <c r="G238" s="2">
        <f>SUBTOTAL(9,G239:G241)</f>
        <v>0</v>
      </c>
      <c r="H238" s="2">
        <f t="shared" si="48"/>
        <v>0</v>
      </c>
      <c r="I238" s="38"/>
      <c r="J238" s="493"/>
      <c r="K238" s="504"/>
      <c r="L238" s="504"/>
      <c r="M238" s="504"/>
      <c r="N238" s="504"/>
      <c r="P238" s="798"/>
    </row>
    <row r="239" spans="1:16" s="505" customFormat="1" outlineLevel="2">
      <c r="A239" s="53" t="s">
        <v>8</v>
      </c>
      <c r="B239" s="508" t="s">
        <v>407</v>
      </c>
      <c r="C239" s="448" t="s">
        <v>348</v>
      </c>
      <c r="D239" s="8"/>
      <c r="E239" s="8"/>
      <c r="F239" s="520">
        <v>55</v>
      </c>
      <c r="G239" s="8">
        <f t="shared" si="51"/>
        <v>0</v>
      </c>
      <c r="H239" s="8">
        <f t="shared" si="48"/>
        <v>0</v>
      </c>
      <c r="I239" s="1"/>
      <c r="J239" s="493" t="s">
        <v>18</v>
      </c>
      <c r="K239" s="504" t="s">
        <v>128</v>
      </c>
      <c r="L239" s="504" t="s">
        <v>99</v>
      </c>
      <c r="M239" s="504"/>
      <c r="N239" s="504"/>
      <c r="P239" s="798"/>
    </row>
    <row r="240" spans="1:16" s="505" customFormat="1" outlineLevel="2">
      <c r="A240" s="53" t="s">
        <v>8</v>
      </c>
      <c r="B240" s="508" t="s">
        <v>408</v>
      </c>
      <c r="C240" s="448" t="s">
        <v>348</v>
      </c>
      <c r="D240" s="8"/>
      <c r="E240" s="8"/>
      <c r="F240" s="520">
        <v>61.7</v>
      </c>
      <c r="G240" s="8">
        <f t="shared" si="51"/>
        <v>0</v>
      </c>
      <c r="H240" s="8">
        <f t="shared" si="48"/>
        <v>0</v>
      </c>
      <c r="I240" s="1"/>
      <c r="J240" s="493" t="s">
        <v>18</v>
      </c>
      <c r="K240" s="504" t="s">
        <v>128</v>
      </c>
      <c r="L240" s="504" t="s">
        <v>99</v>
      </c>
      <c r="M240" s="504"/>
      <c r="N240" s="504"/>
      <c r="P240" s="798"/>
    </row>
    <row r="241" spans="1:16" s="505" customFormat="1" outlineLevel="2">
      <c r="A241" s="53" t="s">
        <v>8</v>
      </c>
      <c r="B241" s="508" t="s">
        <v>409</v>
      </c>
      <c r="C241" s="448" t="s">
        <v>9</v>
      </c>
      <c r="D241" s="8"/>
      <c r="E241" s="8"/>
      <c r="F241" s="521">
        <v>30000</v>
      </c>
      <c r="G241" s="8">
        <f t="shared" si="51"/>
        <v>0</v>
      </c>
      <c r="H241" s="8">
        <f t="shared" si="48"/>
        <v>0</v>
      </c>
      <c r="I241" s="1"/>
      <c r="J241" s="493" t="s">
        <v>18</v>
      </c>
      <c r="K241" s="504" t="s">
        <v>128</v>
      </c>
      <c r="L241" s="504" t="s">
        <v>99</v>
      </c>
      <c r="M241" s="504"/>
      <c r="N241" s="504"/>
      <c r="P241" s="798"/>
    </row>
    <row r="242" spans="1:16" s="505" customFormat="1" ht="19.75" customHeight="1" outlineLevel="2">
      <c r="A242" s="502">
        <v>7</v>
      </c>
      <c r="B242" s="522" t="s">
        <v>364</v>
      </c>
      <c r="C242" s="448"/>
      <c r="D242" s="8"/>
      <c r="E242" s="8"/>
      <c r="F242" s="89"/>
      <c r="G242" s="2">
        <f>SUBTOTAL(9,G243:G247)</f>
        <v>1448000</v>
      </c>
      <c r="H242" s="8"/>
      <c r="I242" s="1"/>
      <c r="J242" s="493"/>
      <c r="K242" s="493"/>
      <c r="L242" s="504"/>
      <c r="M242" s="504"/>
      <c r="N242" s="504"/>
      <c r="P242" s="798" t="s">
        <v>1216</v>
      </c>
    </row>
    <row r="243" spans="1:16" s="505" customFormat="1" ht="19.75" customHeight="1" outlineLevel="2">
      <c r="A243" s="53" t="s">
        <v>8</v>
      </c>
      <c r="B243" s="508" t="s">
        <v>357</v>
      </c>
      <c r="C243" s="448" t="s">
        <v>362</v>
      </c>
      <c r="D243" s="512">
        <v>70000</v>
      </c>
      <c r="E243" s="8"/>
      <c r="F243" s="519">
        <v>4.2</v>
      </c>
      <c r="G243" s="8">
        <f t="shared" ref="G243:G247" si="52">F243*D243</f>
        <v>294000</v>
      </c>
      <c r="H243" s="8">
        <f>F243*E243</f>
        <v>0</v>
      </c>
      <c r="I243" s="1"/>
      <c r="J243" s="493" t="s">
        <v>18</v>
      </c>
      <c r="K243" s="493" t="s">
        <v>128</v>
      </c>
      <c r="L243" s="504" t="s">
        <v>99</v>
      </c>
      <c r="N243" s="504"/>
      <c r="P243" s="798"/>
    </row>
    <row r="244" spans="1:16" s="505" customFormat="1" ht="19.75" customHeight="1" outlineLevel="2">
      <c r="A244" s="53" t="s">
        <v>8</v>
      </c>
      <c r="B244" s="508" t="s">
        <v>358</v>
      </c>
      <c r="C244" s="448" t="s">
        <v>362</v>
      </c>
      <c r="D244" s="512">
        <v>100000</v>
      </c>
      <c r="E244" s="8"/>
      <c r="F244" s="519">
        <v>2.8000000000000003</v>
      </c>
      <c r="G244" s="8">
        <f t="shared" si="52"/>
        <v>280000</v>
      </c>
      <c r="H244" s="8">
        <f>F244*E244</f>
        <v>0</v>
      </c>
      <c r="I244" s="1"/>
      <c r="J244" s="493" t="s">
        <v>18</v>
      </c>
      <c r="K244" s="493" t="s">
        <v>128</v>
      </c>
      <c r="L244" s="504" t="s">
        <v>99</v>
      </c>
      <c r="N244" s="504"/>
      <c r="P244" s="798"/>
    </row>
    <row r="245" spans="1:16" s="505" customFormat="1" ht="19.75" customHeight="1" outlineLevel="2">
      <c r="A245" s="53" t="s">
        <v>8</v>
      </c>
      <c r="B245" s="508" t="s">
        <v>359</v>
      </c>
      <c r="C245" s="448" t="s">
        <v>363</v>
      </c>
      <c r="D245" s="512">
        <v>70000</v>
      </c>
      <c r="E245" s="8"/>
      <c r="F245" s="519">
        <v>4.2</v>
      </c>
      <c r="G245" s="8">
        <f t="shared" si="52"/>
        <v>294000</v>
      </c>
      <c r="H245" s="8">
        <f>F245*E245</f>
        <v>0</v>
      </c>
      <c r="I245" s="1"/>
      <c r="J245" s="493" t="s">
        <v>18</v>
      </c>
      <c r="K245" s="493" t="s">
        <v>128</v>
      </c>
      <c r="L245" s="504" t="s">
        <v>99</v>
      </c>
      <c r="N245" s="504"/>
      <c r="P245" s="798"/>
    </row>
    <row r="246" spans="1:16" s="505" customFormat="1" ht="19.75" customHeight="1" outlineLevel="2">
      <c r="A246" s="53" t="s">
        <v>8</v>
      </c>
      <c r="B246" s="508" t="s">
        <v>360</v>
      </c>
      <c r="C246" s="448" t="s">
        <v>363</v>
      </c>
      <c r="D246" s="512">
        <v>100000</v>
      </c>
      <c r="E246" s="8"/>
      <c r="F246" s="519">
        <v>2.8000000000000003</v>
      </c>
      <c r="G246" s="8">
        <f t="shared" si="52"/>
        <v>280000</v>
      </c>
      <c r="H246" s="8">
        <f>F246*E246</f>
        <v>0</v>
      </c>
      <c r="I246" s="1"/>
      <c r="J246" s="493" t="s">
        <v>18</v>
      </c>
      <c r="K246" s="493" t="s">
        <v>128</v>
      </c>
      <c r="L246" s="504" t="s">
        <v>99</v>
      </c>
      <c r="N246" s="504"/>
      <c r="P246" s="798"/>
    </row>
    <row r="247" spans="1:16" s="505" customFormat="1" ht="19.75" customHeight="1" outlineLevel="2">
      <c r="A247" s="53" t="s">
        <v>8</v>
      </c>
      <c r="B247" s="508" t="s">
        <v>361</v>
      </c>
      <c r="C247" s="448" t="s">
        <v>9</v>
      </c>
      <c r="D247" s="512">
        <v>2</v>
      </c>
      <c r="E247" s="8"/>
      <c r="F247" s="89">
        <v>150000</v>
      </c>
      <c r="G247" s="8">
        <f t="shared" si="52"/>
        <v>300000</v>
      </c>
      <c r="H247" s="8">
        <f>F247*E247</f>
        <v>0</v>
      </c>
      <c r="I247" s="1"/>
      <c r="J247" s="493" t="s">
        <v>18</v>
      </c>
      <c r="K247" s="493" t="s">
        <v>128</v>
      </c>
      <c r="L247" s="504" t="s">
        <v>99</v>
      </c>
      <c r="N247" s="504"/>
      <c r="P247" s="798"/>
    </row>
    <row r="248" spans="1:16" s="305" customFormat="1" ht="14">
      <c r="A248" s="317" t="s">
        <v>45</v>
      </c>
      <c r="B248" s="318" t="s">
        <v>29</v>
      </c>
      <c r="C248" s="319"/>
      <c r="D248" s="320"/>
      <c r="E248" s="320"/>
      <c r="F248" s="321"/>
      <c r="G248" s="320">
        <f>SUBTOTAL(9,G249:G317)</f>
        <v>1238527.2999999996</v>
      </c>
      <c r="H248" s="320">
        <f>SUBTOTAL(9,H249:H317)</f>
        <v>563337.36</v>
      </c>
      <c r="I248" s="322"/>
      <c r="J248" s="303"/>
      <c r="K248" s="323"/>
      <c r="L248" s="323"/>
      <c r="M248" s="323"/>
      <c r="N248" s="311"/>
      <c r="P248" s="324"/>
    </row>
    <row r="249" spans="1:16" s="495" customFormat="1" outlineLevel="1">
      <c r="A249" s="502" t="s">
        <v>4</v>
      </c>
      <c r="B249" s="522" t="s">
        <v>16</v>
      </c>
      <c r="C249" s="500"/>
      <c r="D249" s="2"/>
      <c r="E249" s="2"/>
      <c r="F249" s="2"/>
      <c r="G249" s="2">
        <f>SUBTOTAL(9,G250:G267)</f>
        <v>771794.84</v>
      </c>
      <c r="H249" s="2">
        <f>SUBTOTAL(9,H250:H267)</f>
        <v>171738.84</v>
      </c>
      <c r="I249" s="38"/>
      <c r="J249" s="504"/>
      <c r="K249" s="596"/>
      <c r="L249" s="596"/>
      <c r="M249" s="597"/>
      <c r="N249" s="523"/>
      <c r="P249" s="598"/>
    </row>
    <row r="250" spans="1:16" s="505" customFormat="1" ht="14.65" customHeight="1" outlineLevel="2">
      <c r="A250" s="58">
        <v>1</v>
      </c>
      <c r="B250" s="599" t="s">
        <v>739</v>
      </c>
      <c r="C250" s="448"/>
      <c r="D250" s="8"/>
      <c r="E250" s="8"/>
      <c r="F250" s="8"/>
      <c r="G250" s="2">
        <f>SUBTOTAL(9,G251:G267)</f>
        <v>771794.84</v>
      </c>
      <c r="H250" s="2">
        <f>SUBTOTAL(9,H251:H267)</f>
        <v>171738.84</v>
      </c>
      <c r="I250" s="1"/>
      <c r="J250" s="504"/>
      <c r="K250" s="596"/>
      <c r="L250" s="504"/>
      <c r="M250" s="597"/>
      <c r="N250" s="596"/>
      <c r="O250" s="600"/>
      <c r="P250" s="601"/>
    </row>
    <row r="251" spans="1:16" s="505" customFormat="1" ht="14.65" customHeight="1" outlineLevel="2">
      <c r="A251" s="58">
        <v>1.1000000000000001</v>
      </c>
      <c r="B251" s="602" t="s">
        <v>718</v>
      </c>
      <c r="C251" s="448" t="s">
        <v>24</v>
      </c>
      <c r="D251" s="510">
        <v>52</v>
      </c>
      <c r="E251" s="510">
        <v>12</v>
      </c>
      <c r="F251" s="510">
        <v>1197</v>
      </c>
      <c r="G251" s="8">
        <f t="shared" ref="G251:H272" si="53">F251*D251</f>
        <v>62244</v>
      </c>
      <c r="H251" s="8">
        <f t="shared" ref="H251:H314" si="54">F251*E251</f>
        <v>14364</v>
      </c>
      <c r="I251" s="1"/>
      <c r="J251" s="504" t="s">
        <v>29</v>
      </c>
      <c r="K251" s="596" t="s">
        <v>114</v>
      </c>
      <c r="L251" s="504" t="s">
        <v>99</v>
      </c>
      <c r="M251" s="597"/>
      <c r="N251" s="596"/>
      <c r="O251" s="600"/>
      <c r="P251" s="601"/>
    </row>
    <row r="252" spans="1:16" s="505" customFormat="1" ht="14.65" customHeight="1" outlineLevel="2">
      <c r="A252" s="58">
        <v>1.2</v>
      </c>
      <c r="B252" s="602" t="s">
        <v>719</v>
      </c>
      <c r="C252" s="448" t="s">
        <v>24</v>
      </c>
      <c r="D252" s="510">
        <v>2360</v>
      </c>
      <c r="E252" s="510">
        <v>360</v>
      </c>
      <c r="F252" s="510">
        <v>25</v>
      </c>
      <c r="G252" s="8">
        <f t="shared" si="53"/>
        <v>59000</v>
      </c>
      <c r="H252" s="8">
        <f t="shared" si="54"/>
        <v>9000</v>
      </c>
      <c r="I252" s="1"/>
      <c r="J252" s="504" t="s">
        <v>29</v>
      </c>
      <c r="K252" s="596" t="s">
        <v>114</v>
      </c>
      <c r="L252" s="504" t="s">
        <v>99</v>
      </c>
      <c r="M252" s="597"/>
      <c r="N252" s="596"/>
      <c r="O252" s="600"/>
      <c r="P252" s="601"/>
    </row>
    <row r="253" spans="1:16" s="505" customFormat="1" ht="14.65" customHeight="1" outlineLevel="2">
      <c r="A253" s="58">
        <v>1.3</v>
      </c>
      <c r="B253" s="602" t="s">
        <v>720</v>
      </c>
      <c r="C253" s="448" t="s">
        <v>24</v>
      </c>
      <c r="D253" s="510">
        <v>208</v>
      </c>
      <c r="E253" s="510">
        <v>48</v>
      </c>
      <c r="F253" s="510">
        <v>20</v>
      </c>
      <c r="G253" s="8">
        <f t="shared" si="53"/>
        <v>4160</v>
      </c>
      <c r="H253" s="8">
        <f t="shared" si="54"/>
        <v>960</v>
      </c>
      <c r="I253" s="1"/>
      <c r="J253" s="504" t="s">
        <v>29</v>
      </c>
      <c r="K253" s="596" t="s">
        <v>114</v>
      </c>
      <c r="L253" s="504" t="s">
        <v>99</v>
      </c>
      <c r="M253" s="597"/>
      <c r="N253" s="596"/>
      <c r="O253" s="600"/>
      <c r="P253" s="601"/>
    </row>
    <row r="254" spans="1:16" s="505" customFormat="1" ht="14.65" customHeight="1" outlineLevel="2">
      <c r="A254" s="58">
        <v>1.4</v>
      </c>
      <c r="B254" s="602" t="s">
        <v>721</v>
      </c>
      <c r="C254" s="448" t="s">
        <v>24</v>
      </c>
      <c r="D254" s="510">
        <v>2360</v>
      </c>
      <c r="E254" s="510">
        <v>360</v>
      </c>
      <c r="F254" s="510">
        <v>5.3</v>
      </c>
      <c r="G254" s="8">
        <f t="shared" si="53"/>
        <v>12508</v>
      </c>
      <c r="H254" s="8">
        <f t="shared" si="54"/>
        <v>1908</v>
      </c>
      <c r="I254" s="1"/>
      <c r="J254" s="504" t="s">
        <v>29</v>
      </c>
      <c r="K254" s="596" t="s">
        <v>114</v>
      </c>
      <c r="L254" s="504" t="s">
        <v>99</v>
      </c>
      <c r="M254" s="597"/>
      <c r="N254" s="596"/>
      <c r="O254" s="600"/>
      <c r="P254" s="601"/>
    </row>
    <row r="255" spans="1:16" s="505" customFormat="1" ht="14.65" customHeight="1" outlineLevel="2">
      <c r="A255" s="58">
        <v>1.5</v>
      </c>
      <c r="B255" s="602" t="s">
        <v>722</v>
      </c>
      <c r="C255" s="448" t="s">
        <v>24</v>
      </c>
      <c r="D255" s="510">
        <v>2000</v>
      </c>
      <c r="E255" s="510">
        <v>1440</v>
      </c>
      <c r="F255" s="510">
        <v>4</v>
      </c>
      <c r="G255" s="8">
        <f t="shared" si="53"/>
        <v>8000</v>
      </c>
      <c r="H255" s="8">
        <f t="shared" si="54"/>
        <v>5760</v>
      </c>
      <c r="I255" s="1"/>
      <c r="J255" s="504" t="s">
        <v>29</v>
      </c>
      <c r="K255" s="596" t="s">
        <v>114</v>
      </c>
      <c r="L255" s="504" t="s">
        <v>99</v>
      </c>
      <c r="M255" s="597"/>
      <c r="N255" s="596"/>
      <c r="O255" s="600"/>
      <c r="P255" s="601"/>
    </row>
    <row r="256" spans="1:16" s="505" customFormat="1" ht="14.65" customHeight="1" outlineLevel="2">
      <c r="A256" s="58">
        <v>1.6</v>
      </c>
      <c r="B256" s="602" t="s">
        <v>723</v>
      </c>
      <c r="C256" s="448" t="s">
        <v>30</v>
      </c>
      <c r="D256" s="510">
        <v>676</v>
      </c>
      <c r="E256" s="510">
        <v>156</v>
      </c>
      <c r="F256" s="510">
        <v>630</v>
      </c>
      <c r="G256" s="8">
        <f t="shared" si="53"/>
        <v>425880</v>
      </c>
      <c r="H256" s="8">
        <f t="shared" si="54"/>
        <v>98280</v>
      </c>
      <c r="I256" s="1"/>
      <c r="J256" s="504" t="s">
        <v>29</v>
      </c>
      <c r="K256" s="596" t="s">
        <v>114</v>
      </c>
      <c r="L256" s="504" t="s">
        <v>99</v>
      </c>
      <c r="M256" s="597"/>
      <c r="N256" s="596"/>
      <c r="O256" s="600"/>
      <c r="P256" s="601"/>
    </row>
    <row r="257" spans="1:16" s="505" customFormat="1" ht="14.65" customHeight="1" outlineLevel="2">
      <c r="A257" s="58">
        <v>1.7</v>
      </c>
      <c r="B257" s="602" t="s">
        <v>724</v>
      </c>
      <c r="C257" s="448" t="s">
        <v>30</v>
      </c>
      <c r="D257" s="510">
        <v>0</v>
      </c>
      <c r="E257" s="510">
        <v>0</v>
      </c>
      <c r="F257" s="510">
        <v>572</v>
      </c>
      <c r="G257" s="8">
        <f t="shared" si="53"/>
        <v>0</v>
      </c>
      <c r="H257" s="8">
        <f t="shared" si="54"/>
        <v>0</v>
      </c>
      <c r="I257" s="1"/>
      <c r="J257" s="504" t="s">
        <v>29</v>
      </c>
      <c r="K257" s="596" t="s">
        <v>114</v>
      </c>
      <c r="L257" s="504" t="s">
        <v>99</v>
      </c>
      <c r="M257" s="597"/>
      <c r="N257" s="596"/>
      <c r="O257" s="600"/>
      <c r="P257" s="601"/>
    </row>
    <row r="258" spans="1:16" s="505" customFormat="1" ht="14.65" customHeight="1" outlineLevel="2">
      <c r="A258" s="58">
        <v>1.8</v>
      </c>
      <c r="B258" s="602" t="s">
        <v>725</v>
      </c>
      <c r="C258" s="448" t="s">
        <v>24</v>
      </c>
      <c r="D258" s="510">
        <v>8272</v>
      </c>
      <c r="E258" s="510">
        <v>1872</v>
      </c>
      <c r="F258" s="510">
        <v>3.72</v>
      </c>
      <c r="G258" s="8">
        <f t="shared" si="53"/>
        <v>30771.84</v>
      </c>
      <c r="H258" s="8">
        <f t="shared" si="54"/>
        <v>6963.84</v>
      </c>
      <c r="I258" s="1"/>
      <c r="J258" s="504" t="s">
        <v>29</v>
      </c>
      <c r="K258" s="596" t="s">
        <v>114</v>
      </c>
      <c r="L258" s="504" t="s">
        <v>99</v>
      </c>
      <c r="M258" s="597"/>
      <c r="N258" s="596"/>
      <c r="O258" s="600"/>
      <c r="P258" s="601"/>
    </row>
    <row r="259" spans="1:16" s="505" customFormat="1" ht="14.65" customHeight="1" outlineLevel="2">
      <c r="A259" s="58">
        <v>1.9</v>
      </c>
      <c r="B259" s="602" t="s">
        <v>726</v>
      </c>
      <c r="C259" s="448" t="s">
        <v>24</v>
      </c>
      <c r="D259" s="510">
        <v>5648</v>
      </c>
      <c r="E259" s="510">
        <v>1248</v>
      </c>
      <c r="F259" s="510">
        <v>4.0199999999999996</v>
      </c>
      <c r="G259" s="8">
        <f t="shared" si="53"/>
        <v>22704.959999999999</v>
      </c>
      <c r="H259" s="8">
        <f t="shared" si="54"/>
        <v>5016.9599999999991</v>
      </c>
      <c r="I259" s="1"/>
      <c r="J259" s="504" t="s">
        <v>29</v>
      </c>
      <c r="K259" s="596" t="s">
        <v>114</v>
      </c>
      <c r="L259" s="504" t="s">
        <v>99</v>
      </c>
      <c r="M259" s="597"/>
      <c r="N259" s="596"/>
      <c r="O259" s="600"/>
      <c r="P259" s="601"/>
    </row>
    <row r="260" spans="1:16" s="505" customFormat="1" ht="14.65" customHeight="1" outlineLevel="2">
      <c r="A260" s="603">
        <v>1.1000000000000001</v>
      </c>
      <c r="B260" s="602" t="s">
        <v>727</v>
      </c>
      <c r="C260" s="448" t="s">
        <v>36</v>
      </c>
      <c r="D260" s="510">
        <v>13520</v>
      </c>
      <c r="E260" s="510">
        <v>3120</v>
      </c>
      <c r="F260" s="510">
        <v>1.5</v>
      </c>
      <c r="G260" s="8">
        <f t="shared" si="53"/>
        <v>20280</v>
      </c>
      <c r="H260" s="8">
        <f t="shared" si="54"/>
        <v>4680</v>
      </c>
      <c r="I260" s="1"/>
      <c r="J260" s="504" t="s">
        <v>29</v>
      </c>
      <c r="K260" s="596" t="s">
        <v>114</v>
      </c>
      <c r="L260" s="504" t="s">
        <v>99</v>
      </c>
      <c r="M260" s="597"/>
      <c r="N260" s="596"/>
      <c r="O260" s="600"/>
      <c r="P260" s="601"/>
    </row>
    <row r="261" spans="1:16" s="505" customFormat="1" ht="14.65" customHeight="1" outlineLevel="2">
      <c r="A261" s="58">
        <v>1.1100000000000001</v>
      </c>
      <c r="B261" s="602" t="s">
        <v>728</v>
      </c>
      <c r="C261" s="448" t="s">
        <v>380</v>
      </c>
      <c r="D261" s="510">
        <v>42654.720000000001</v>
      </c>
      <c r="E261" s="510">
        <v>9054.7199999999993</v>
      </c>
      <c r="F261" s="510">
        <v>0.25</v>
      </c>
      <c r="G261" s="8">
        <f t="shared" si="53"/>
        <v>10663.68</v>
      </c>
      <c r="H261" s="8">
        <f t="shared" si="54"/>
        <v>2263.6799999999998</v>
      </c>
      <c r="I261" s="1"/>
      <c r="J261" s="504" t="s">
        <v>29</v>
      </c>
      <c r="K261" s="596" t="s">
        <v>114</v>
      </c>
      <c r="L261" s="504" t="s">
        <v>99</v>
      </c>
      <c r="M261" s="597"/>
      <c r="N261" s="596"/>
      <c r="O261" s="600"/>
      <c r="P261" s="601"/>
    </row>
    <row r="262" spans="1:16" s="505" customFormat="1" ht="14.65" customHeight="1" outlineLevel="2">
      <c r="A262" s="603">
        <v>1.1200000000000001</v>
      </c>
      <c r="B262" s="602" t="s">
        <v>729</v>
      </c>
      <c r="C262" s="448" t="s">
        <v>36</v>
      </c>
      <c r="D262" s="510">
        <v>35546</v>
      </c>
      <c r="E262" s="510">
        <v>7546</v>
      </c>
      <c r="F262" s="510">
        <v>0.06</v>
      </c>
      <c r="G262" s="8">
        <f t="shared" si="53"/>
        <v>2132.7599999999998</v>
      </c>
      <c r="H262" s="8">
        <f t="shared" si="54"/>
        <v>452.76</v>
      </c>
      <c r="I262" s="1"/>
      <c r="J262" s="504" t="s">
        <v>29</v>
      </c>
      <c r="K262" s="596" t="s">
        <v>114</v>
      </c>
      <c r="L262" s="504" t="s">
        <v>99</v>
      </c>
      <c r="M262" s="597"/>
      <c r="N262" s="596"/>
      <c r="O262" s="600"/>
      <c r="P262" s="601"/>
    </row>
    <row r="263" spans="1:16" s="505" customFormat="1" ht="14.65" customHeight="1" outlineLevel="2">
      <c r="A263" s="58">
        <v>1.1299999999999999</v>
      </c>
      <c r="B263" s="602" t="s">
        <v>730</v>
      </c>
      <c r="C263" s="448" t="s">
        <v>380</v>
      </c>
      <c r="D263" s="510">
        <v>1604.8</v>
      </c>
      <c r="E263" s="510">
        <v>244.79999999999998</v>
      </c>
      <c r="F263" s="510">
        <v>2</v>
      </c>
      <c r="G263" s="8">
        <f t="shared" si="53"/>
        <v>3209.6</v>
      </c>
      <c r="H263" s="8">
        <f t="shared" si="54"/>
        <v>489.59999999999997</v>
      </c>
      <c r="I263" s="1"/>
      <c r="J263" s="504" t="s">
        <v>29</v>
      </c>
      <c r="K263" s="596" t="s">
        <v>114</v>
      </c>
      <c r="L263" s="504" t="s">
        <v>99</v>
      </c>
      <c r="M263" s="597"/>
      <c r="N263" s="596"/>
      <c r="O263" s="600"/>
      <c r="P263" s="601"/>
    </row>
    <row r="264" spans="1:16" s="505" customFormat="1" ht="14.65" customHeight="1" outlineLevel="2">
      <c r="A264" s="603">
        <v>1.1399999999999999</v>
      </c>
      <c r="B264" s="602" t="s">
        <v>731</v>
      </c>
      <c r="C264" s="448" t="s">
        <v>24</v>
      </c>
      <c r="D264" s="510">
        <v>208</v>
      </c>
      <c r="E264" s="510">
        <v>48</v>
      </c>
      <c r="F264" s="510">
        <v>86</v>
      </c>
      <c r="G264" s="8">
        <f t="shared" si="53"/>
        <v>17888</v>
      </c>
      <c r="H264" s="8">
        <f t="shared" si="54"/>
        <v>4128</v>
      </c>
      <c r="I264" s="1"/>
      <c r="J264" s="504" t="s">
        <v>29</v>
      </c>
      <c r="K264" s="596" t="s">
        <v>114</v>
      </c>
      <c r="L264" s="504" t="s">
        <v>99</v>
      </c>
      <c r="M264" s="597"/>
      <c r="N264" s="596"/>
      <c r="O264" s="600"/>
      <c r="P264" s="601"/>
    </row>
    <row r="265" spans="1:16" s="505" customFormat="1" ht="14.65" customHeight="1" outlineLevel="2">
      <c r="A265" s="58">
        <v>1.1499999999999999</v>
      </c>
      <c r="B265" s="602" t="s">
        <v>732</v>
      </c>
      <c r="C265" s="448" t="s">
        <v>48</v>
      </c>
      <c r="D265" s="510">
        <v>1776</v>
      </c>
      <c r="E265" s="510">
        <v>336</v>
      </c>
      <c r="F265" s="510">
        <v>52</v>
      </c>
      <c r="G265" s="8">
        <f t="shared" si="53"/>
        <v>92352</v>
      </c>
      <c r="H265" s="8">
        <f t="shared" si="54"/>
        <v>17472</v>
      </c>
      <c r="I265" s="1"/>
      <c r="J265" s="504" t="s">
        <v>29</v>
      </c>
      <c r="K265" s="596" t="s">
        <v>114</v>
      </c>
      <c r="L265" s="504" t="s">
        <v>99</v>
      </c>
      <c r="M265" s="597"/>
      <c r="N265" s="596"/>
      <c r="O265" s="600"/>
      <c r="P265" s="601"/>
    </row>
    <row r="266" spans="1:16" s="505" customFormat="1" ht="14.65" customHeight="1" outlineLevel="2">
      <c r="A266" s="603">
        <v>1.1599999999999999</v>
      </c>
      <c r="B266" s="602" t="s">
        <v>733</v>
      </c>
      <c r="C266" s="448" t="s">
        <v>24</v>
      </c>
      <c r="D266" s="510">
        <v>0</v>
      </c>
      <c r="E266" s="510">
        <v>0</v>
      </c>
      <c r="F266" s="510">
        <v>15</v>
      </c>
      <c r="G266" s="8">
        <f t="shared" si="53"/>
        <v>0</v>
      </c>
      <c r="H266" s="8">
        <f t="shared" si="54"/>
        <v>0</v>
      </c>
      <c r="I266" s="1"/>
      <c r="J266" s="504" t="s">
        <v>29</v>
      </c>
      <c r="K266" s="596" t="s">
        <v>114</v>
      </c>
      <c r="L266" s="504" t="s">
        <v>99</v>
      </c>
      <c r="M266" s="597"/>
      <c r="N266" s="596"/>
      <c r="O266" s="600"/>
      <c r="P266" s="601"/>
    </row>
    <row r="267" spans="1:16" s="505" customFormat="1" ht="14.65" customHeight="1" outlineLevel="2">
      <c r="A267" s="58">
        <v>1.17</v>
      </c>
      <c r="B267" s="602" t="s">
        <v>734</v>
      </c>
      <c r="C267" s="448" t="s">
        <v>15</v>
      </c>
      <c r="D267" s="510">
        <v>0</v>
      </c>
      <c r="E267" s="510">
        <v>0</v>
      </c>
      <c r="F267" s="510">
        <v>6.86</v>
      </c>
      <c r="G267" s="8">
        <f t="shared" si="53"/>
        <v>0</v>
      </c>
      <c r="H267" s="8">
        <f t="shared" si="54"/>
        <v>0</v>
      </c>
      <c r="I267" s="1"/>
      <c r="J267" s="504" t="s">
        <v>29</v>
      </c>
      <c r="K267" s="596" t="s">
        <v>114</v>
      </c>
      <c r="L267" s="504" t="s">
        <v>99</v>
      </c>
      <c r="M267" s="597"/>
      <c r="N267" s="596"/>
      <c r="O267" s="600"/>
      <c r="P267" s="601"/>
    </row>
    <row r="268" spans="1:16" s="505" customFormat="1" ht="14.65" customHeight="1" outlineLevel="2">
      <c r="A268" s="604" t="s">
        <v>12</v>
      </c>
      <c r="B268" s="605" t="s">
        <v>22</v>
      </c>
      <c r="C268" s="448"/>
      <c r="D268" s="8"/>
      <c r="E268" s="8"/>
      <c r="F268" s="510"/>
      <c r="G268" s="2">
        <f>SUBTOTAL(9,G269:G276)</f>
        <v>303652</v>
      </c>
      <c r="H268" s="2">
        <f>SUBTOTAL(9,H269:H276)</f>
        <v>260000</v>
      </c>
      <c r="I268" s="1"/>
      <c r="J268" s="504"/>
      <c r="K268" s="596"/>
      <c r="L268" s="504"/>
      <c r="M268" s="597"/>
      <c r="N268" s="596"/>
      <c r="O268" s="600"/>
      <c r="P268" s="601"/>
    </row>
    <row r="269" spans="1:16" s="505" customFormat="1" ht="14.65" customHeight="1" outlineLevel="2">
      <c r="A269" s="604">
        <v>1</v>
      </c>
      <c r="B269" s="599" t="s">
        <v>95</v>
      </c>
      <c r="C269" s="448">
        <v>0</v>
      </c>
      <c r="D269" s="8"/>
      <c r="E269" s="510"/>
      <c r="F269" s="510">
        <v>0</v>
      </c>
      <c r="G269" s="2">
        <f>SUBTOTAL(9,G270)</f>
        <v>0</v>
      </c>
      <c r="H269" s="2">
        <f>SUBTOTAL(9,H270)</f>
        <v>260000</v>
      </c>
      <c r="I269" s="1"/>
      <c r="J269" s="504"/>
      <c r="K269" s="596"/>
      <c r="L269" s="504"/>
      <c r="M269" s="597"/>
      <c r="N269" s="596"/>
      <c r="O269" s="600"/>
      <c r="P269" s="601"/>
    </row>
    <row r="270" spans="1:16" s="505" customFormat="1" ht="14.65" customHeight="1" outlineLevel="2">
      <c r="A270" s="58">
        <v>1.1000000000000001</v>
      </c>
      <c r="B270" s="606" t="s">
        <v>735</v>
      </c>
      <c r="C270" s="448" t="s">
        <v>24</v>
      </c>
      <c r="D270" s="510">
        <v>0</v>
      </c>
      <c r="E270" s="510">
        <v>2</v>
      </c>
      <c r="F270" s="510">
        <v>130000</v>
      </c>
      <c r="G270" s="8">
        <f t="shared" si="53"/>
        <v>0</v>
      </c>
      <c r="H270" s="8">
        <f t="shared" si="54"/>
        <v>260000</v>
      </c>
      <c r="I270" s="1"/>
      <c r="J270" s="504" t="s">
        <v>29</v>
      </c>
      <c r="K270" s="596" t="s">
        <v>115</v>
      </c>
      <c r="L270" s="504" t="s">
        <v>99</v>
      </c>
      <c r="M270" s="597"/>
      <c r="N270" s="596"/>
      <c r="O270" s="600"/>
      <c r="P270" s="601"/>
    </row>
    <row r="271" spans="1:16" s="505" customFormat="1" ht="43.5" customHeight="1" outlineLevel="2">
      <c r="A271" s="604">
        <v>2</v>
      </c>
      <c r="B271" s="599" t="s">
        <v>736</v>
      </c>
      <c r="C271" s="448">
        <v>0</v>
      </c>
      <c r="D271" s="510"/>
      <c r="E271" s="510"/>
      <c r="F271" s="510">
        <v>0</v>
      </c>
      <c r="G271" s="2">
        <f>SUBTOTAL(9,G272:G273)</f>
        <v>151826</v>
      </c>
      <c r="H271" s="2">
        <f>SUBTOTAL(9,H272:H273)</f>
        <v>0</v>
      </c>
      <c r="J271" s="504"/>
      <c r="K271" s="596"/>
      <c r="L271" s="504"/>
      <c r="M271" s="597"/>
      <c r="N271" s="596"/>
      <c r="O271" s="600"/>
      <c r="P271" s="63" t="s">
        <v>1265</v>
      </c>
    </row>
    <row r="272" spans="1:16" s="505" customFormat="1" ht="14.65" customHeight="1" outlineLevel="2">
      <c r="A272" s="58">
        <v>2.1</v>
      </c>
      <c r="B272" s="606" t="s">
        <v>1266</v>
      </c>
      <c r="C272" s="448" t="s">
        <v>738</v>
      </c>
      <c r="D272" s="510">
        <v>2</v>
      </c>
      <c r="E272" s="510">
        <v>0</v>
      </c>
      <c r="F272" s="510">
        <v>59563</v>
      </c>
      <c r="G272" s="8">
        <f t="shared" si="53"/>
        <v>119126</v>
      </c>
      <c r="H272" s="2">
        <f t="shared" si="53"/>
        <v>0</v>
      </c>
      <c r="I272" s="1"/>
      <c r="J272" s="504" t="s">
        <v>29</v>
      </c>
      <c r="K272" s="596" t="s">
        <v>115</v>
      </c>
      <c r="L272" s="504" t="s">
        <v>99</v>
      </c>
      <c r="M272" s="597"/>
      <c r="N272" s="596"/>
      <c r="O272" s="600"/>
      <c r="P272" s="601"/>
    </row>
    <row r="273" spans="1:16" s="505" customFormat="1" ht="14.65" customHeight="1" outlineLevel="2">
      <c r="A273" s="58">
        <v>2.2000000000000002</v>
      </c>
      <c r="B273" s="606" t="s">
        <v>1267</v>
      </c>
      <c r="C273" s="448" t="s">
        <v>24</v>
      </c>
      <c r="D273" s="510">
        <v>2</v>
      </c>
      <c r="E273" s="510"/>
      <c r="F273" s="510">
        <v>16350</v>
      </c>
      <c r="G273" s="8">
        <f t="shared" ref="G273:G314" si="55">F273*D273</f>
        <v>32700</v>
      </c>
      <c r="H273" s="2"/>
      <c r="I273" s="1"/>
      <c r="J273" s="504" t="s">
        <v>29</v>
      </c>
      <c r="K273" s="596" t="s">
        <v>115</v>
      </c>
      <c r="L273" s="504" t="s">
        <v>99</v>
      </c>
      <c r="M273" s="597"/>
      <c r="N273" s="596"/>
      <c r="O273" s="600"/>
      <c r="P273" s="601"/>
    </row>
    <row r="274" spans="1:16" s="505" customFormat="1" ht="24.75" customHeight="1" outlineLevel="2">
      <c r="A274" s="58">
        <v>3</v>
      </c>
      <c r="B274" s="599" t="s">
        <v>737</v>
      </c>
      <c r="C274" s="448">
        <v>0</v>
      </c>
      <c r="D274" s="510"/>
      <c r="E274" s="510"/>
      <c r="F274" s="510">
        <v>0</v>
      </c>
      <c r="G274" s="2">
        <f>SUBTOTAL(9,G275:G276)</f>
        <v>151826</v>
      </c>
      <c r="H274" s="2">
        <f>SUBTOTAL(9,H275:H276)</f>
        <v>0</v>
      </c>
      <c r="J274" s="504"/>
      <c r="K274" s="596"/>
      <c r="L274" s="504"/>
      <c r="M274" s="597"/>
      <c r="N274" s="596"/>
      <c r="O274" s="600"/>
      <c r="P274" s="63" t="s">
        <v>1265</v>
      </c>
    </row>
    <row r="275" spans="1:16" s="505" customFormat="1" ht="14.65" customHeight="1" outlineLevel="2">
      <c r="A275" s="58">
        <v>3.1</v>
      </c>
      <c r="B275" s="606" t="s">
        <v>1268</v>
      </c>
      <c r="C275" s="448" t="s">
        <v>738</v>
      </c>
      <c r="D275" s="510">
        <v>2</v>
      </c>
      <c r="E275" s="510">
        <v>0</v>
      </c>
      <c r="F275" s="510">
        <v>59563</v>
      </c>
      <c r="G275" s="8">
        <f t="shared" si="55"/>
        <v>119126</v>
      </c>
      <c r="H275" s="8">
        <f t="shared" si="54"/>
        <v>0</v>
      </c>
      <c r="I275" s="1"/>
      <c r="J275" s="504" t="s">
        <v>29</v>
      </c>
      <c r="K275" s="596" t="s">
        <v>115</v>
      </c>
      <c r="L275" s="504" t="s">
        <v>99</v>
      </c>
      <c r="M275" s="597"/>
      <c r="N275" s="596"/>
      <c r="O275" s="600"/>
      <c r="P275" s="601"/>
    </row>
    <row r="276" spans="1:16" s="505" customFormat="1" ht="14.65" customHeight="1" outlineLevel="2">
      <c r="A276" s="58">
        <v>3.2</v>
      </c>
      <c r="B276" s="606" t="s">
        <v>1267</v>
      </c>
      <c r="C276" s="448" t="s">
        <v>24</v>
      </c>
      <c r="D276" s="510">
        <v>2</v>
      </c>
      <c r="E276" s="510"/>
      <c r="F276" s="510">
        <v>16350</v>
      </c>
      <c r="G276" s="8">
        <f t="shared" si="55"/>
        <v>32700</v>
      </c>
      <c r="H276" s="8"/>
      <c r="I276" s="1"/>
      <c r="J276" s="504" t="s">
        <v>29</v>
      </c>
      <c r="K276" s="596" t="s">
        <v>115</v>
      </c>
      <c r="L276" s="504" t="s">
        <v>99</v>
      </c>
      <c r="M276" s="597"/>
      <c r="N276" s="596"/>
      <c r="O276" s="600"/>
      <c r="P276" s="601"/>
    </row>
    <row r="277" spans="1:16" s="505" customFormat="1" ht="14.65" customHeight="1" outlineLevel="2">
      <c r="A277" s="604" t="s">
        <v>19</v>
      </c>
      <c r="B277" s="607" t="s">
        <v>1269</v>
      </c>
      <c r="C277" s="448"/>
      <c r="D277" s="8"/>
      <c r="E277" s="8"/>
      <c r="F277" s="510"/>
      <c r="G277" s="2">
        <f>SUBTOTAL(9,G278:G295)</f>
        <v>76359.660000000018</v>
      </c>
      <c r="H277" s="2">
        <f>SUBTOTAL(9,H278:H295)</f>
        <v>82019.320000000007</v>
      </c>
      <c r="I277" s="1"/>
      <c r="J277" s="504"/>
      <c r="K277" s="596"/>
      <c r="L277" s="504"/>
      <c r="M277" s="597"/>
      <c r="N277" s="596"/>
      <c r="O277" s="600"/>
      <c r="P277" s="601"/>
    </row>
    <row r="278" spans="1:16" s="505" customFormat="1" ht="14.65" customHeight="1" outlineLevel="2">
      <c r="A278" s="604">
        <v>1</v>
      </c>
      <c r="B278" s="607" t="s">
        <v>739</v>
      </c>
      <c r="C278" s="448"/>
      <c r="D278" s="8"/>
      <c r="E278" s="8"/>
      <c r="F278" s="510"/>
      <c r="G278" s="2">
        <f>SUBTOTAL(9,G279:G295)</f>
        <v>76359.660000000018</v>
      </c>
      <c r="H278" s="2">
        <f>SUBTOTAL(9,H279:H295)</f>
        <v>82019.320000000007</v>
      </c>
      <c r="I278" s="1"/>
      <c r="J278" s="504"/>
      <c r="K278" s="596"/>
      <c r="L278" s="504"/>
      <c r="M278" s="597"/>
      <c r="N278" s="596"/>
      <c r="O278" s="600"/>
      <c r="P278" s="601"/>
    </row>
    <row r="279" spans="1:16" s="505" customFormat="1" ht="14.65" customHeight="1" outlineLevel="2">
      <c r="A279" s="58">
        <v>1.1000000000000001</v>
      </c>
      <c r="B279" s="606" t="s">
        <v>718</v>
      </c>
      <c r="C279" s="448" t="s">
        <v>24</v>
      </c>
      <c r="D279" s="510">
        <v>6</v>
      </c>
      <c r="E279" s="510">
        <v>7</v>
      </c>
      <c r="F279" s="510">
        <v>1197</v>
      </c>
      <c r="G279" s="8">
        <f t="shared" si="55"/>
        <v>7182</v>
      </c>
      <c r="H279" s="8">
        <f t="shared" si="54"/>
        <v>8379</v>
      </c>
      <c r="I279" s="1"/>
      <c r="J279" s="504" t="s">
        <v>29</v>
      </c>
      <c r="K279" s="596" t="s">
        <v>325</v>
      </c>
      <c r="L279" s="504" t="s">
        <v>99</v>
      </c>
      <c r="M279" s="597"/>
      <c r="N279" s="596"/>
      <c r="O279" s="600"/>
      <c r="P279" s="601"/>
    </row>
    <row r="280" spans="1:16" s="505" customFormat="1" ht="14.65" customHeight="1" outlineLevel="2">
      <c r="A280" s="58">
        <v>1.2</v>
      </c>
      <c r="B280" s="606" t="s">
        <v>719</v>
      </c>
      <c r="C280" s="448" t="s">
        <v>24</v>
      </c>
      <c r="D280" s="510">
        <v>298</v>
      </c>
      <c r="E280" s="510">
        <v>309</v>
      </c>
      <c r="F280" s="510">
        <v>25</v>
      </c>
      <c r="G280" s="8">
        <f t="shared" si="55"/>
        <v>7450</v>
      </c>
      <c r="H280" s="8">
        <f t="shared" si="54"/>
        <v>7725</v>
      </c>
      <c r="I280" s="1"/>
      <c r="J280" s="504" t="s">
        <v>29</v>
      </c>
      <c r="K280" s="596" t="s">
        <v>325</v>
      </c>
      <c r="L280" s="504" t="s">
        <v>99</v>
      </c>
      <c r="M280" s="597"/>
      <c r="N280" s="596"/>
      <c r="O280" s="600"/>
      <c r="P280" s="601"/>
    </row>
    <row r="281" spans="1:16" s="505" customFormat="1" ht="14.65" customHeight="1" outlineLevel="2">
      <c r="A281" s="58">
        <v>1.3</v>
      </c>
      <c r="B281" s="606" t="s">
        <v>720</v>
      </c>
      <c r="C281" s="448" t="s">
        <v>24</v>
      </c>
      <c r="D281" s="510">
        <v>8</v>
      </c>
      <c r="E281" s="510">
        <v>9</v>
      </c>
      <c r="F281" s="510">
        <v>20</v>
      </c>
      <c r="G281" s="8">
        <f t="shared" si="55"/>
        <v>160</v>
      </c>
      <c r="H281" s="8">
        <f t="shared" si="54"/>
        <v>180</v>
      </c>
      <c r="I281" s="1"/>
      <c r="J281" s="504" t="s">
        <v>29</v>
      </c>
      <c r="K281" s="596" t="s">
        <v>325</v>
      </c>
      <c r="L281" s="504" t="s">
        <v>99</v>
      </c>
      <c r="M281" s="597"/>
      <c r="N281" s="596"/>
      <c r="O281" s="600"/>
      <c r="P281" s="601"/>
    </row>
    <row r="282" spans="1:16" s="505" customFormat="1" ht="14.65" customHeight="1" outlineLevel="2">
      <c r="A282" s="58">
        <v>1.4</v>
      </c>
      <c r="B282" s="606" t="s">
        <v>721</v>
      </c>
      <c r="C282" s="448" t="s">
        <v>24</v>
      </c>
      <c r="D282" s="510">
        <v>303</v>
      </c>
      <c r="E282" s="510">
        <v>314</v>
      </c>
      <c r="F282" s="510">
        <v>5.3</v>
      </c>
      <c r="G282" s="8">
        <f t="shared" si="55"/>
        <v>1605.8999999999999</v>
      </c>
      <c r="H282" s="8">
        <f t="shared" si="54"/>
        <v>1664.2</v>
      </c>
      <c r="I282" s="1"/>
      <c r="J282" s="504" t="s">
        <v>29</v>
      </c>
      <c r="K282" s="596" t="s">
        <v>325</v>
      </c>
      <c r="L282" s="504" t="s">
        <v>99</v>
      </c>
      <c r="M282" s="597"/>
      <c r="N282" s="596"/>
      <c r="O282" s="600"/>
      <c r="P282" s="601"/>
    </row>
    <row r="283" spans="1:16" s="505" customFormat="1" ht="14.65" customHeight="1" outlineLevel="2">
      <c r="A283" s="58">
        <v>1.5</v>
      </c>
      <c r="B283" s="606" t="s">
        <v>722</v>
      </c>
      <c r="C283" s="448" t="s">
        <v>24</v>
      </c>
      <c r="D283" s="510">
        <v>122</v>
      </c>
      <c r="E283" s="510">
        <v>165</v>
      </c>
      <c r="F283" s="510">
        <v>4</v>
      </c>
      <c r="G283" s="8">
        <f t="shared" si="55"/>
        <v>488</v>
      </c>
      <c r="H283" s="8">
        <f t="shared" si="54"/>
        <v>660</v>
      </c>
      <c r="I283" s="1"/>
      <c r="J283" s="504" t="s">
        <v>29</v>
      </c>
      <c r="K283" s="596" t="s">
        <v>325</v>
      </c>
      <c r="L283" s="504" t="s">
        <v>99</v>
      </c>
      <c r="M283" s="597"/>
      <c r="N283" s="596"/>
      <c r="O283" s="600"/>
      <c r="P283" s="601"/>
    </row>
    <row r="284" spans="1:16" s="505" customFormat="1" ht="14.65" customHeight="1" outlineLevel="2">
      <c r="A284" s="58">
        <v>1.6</v>
      </c>
      <c r="B284" s="606" t="s">
        <v>723</v>
      </c>
      <c r="C284" s="448" t="s">
        <v>30</v>
      </c>
      <c r="D284" s="510">
        <v>76</v>
      </c>
      <c r="E284" s="510">
        <v>81</v>
      </c>
      <c r="F284" s="510">
        <v>630</v>
      </c>
      <c r="G284" s="8">
        <f t="shared" si="55"/>
        <v>47880</v>
      </c>
      <c r="H284" s="8">
        <f t="shared" si="54"/>
        <v>51030</v>
      </c>
      <c r="I284" s="1"/>
      <c r="J284" s="504" t="s">
        <v>29</v>
      </c>
      <c r="K284" s="596" t="s">
        <v>325</v>
      </c>
      <c r="L284" s="504" t="s">
        <v>99</v>
      </c>
      <c r="M284" s="597"/>
      <c r="N284" s="596"/>
      <c r="O284" s="600"/>
      <c r="P284" s="601"/>
    </row>
    <row r="285" spans="1:16" s="505" customFormat="1" ht="14.65" customHeight="1" outlineLevel="2">
      <c r="A285" s="58">
        <v>1.7</v>
      </c>
      <c r="B285" s="606" t="s">
        <v>724</v>
      </c>
      <c r="C285" s="448" t="s">
        <v>30</v>
      </c>
      <c r="D285" s="510">
        <v>0</v>
      </c>
      <c r="E285" s="510">
        <v>0</v>
      </c>
      <c r="F285" s="510">
        <v>572</v>
      </c>
      <c r="G285" s="8">
        <f t="shared" si="55"/>
        <v>0</v>
      </c>
      <c r="H285" s="8">
        <f t="shared" si="54"/>
        <v>0</v>
      </c>
      <c r="I285" s="1"/>
      <c r="J285" s="504" t="s">
        <v>29</v>
      </c>
      <c r="K285" s="596" t="s">
        <v>325</v>
      </c>
      <c r="L285" s="504" t="s">
        <v>99</v>
      </c>
      <c r="M285" s="597"/>
      <c r="N285" s="596"/>
      <c r="O285" s="600"/>
      <c r="P285" s="601"/>
    </row>
    <row r="286" spans="1:16" s="505" customFormat="1" ht="14.65" customHeight="1" outlineLevel="2">
      <c r="A286" s="58">
        <v>1.8</v>
      </c>
      <c r="B286" s="606" t="s">
        <v>725</v>
      </c>
      <c r="C286" s="448" t="s">
        <v>24</v>
      </c>
      <c r="D286" s="510">
        <v>912</v>
      </c>
      <c r="E286" s="510">
        <v>972</v>
      </c>
      <c r="F286" s="510">
        <v>3.72</v>
      </c>
      <c r="G286" s="8">
        <f t="shared" si="55"/>
        <v>3392.6400000000003</v>
      </c>
      <c r="H286" s="8">
        <f t="shared" si="54"/>
        <v>3615.84</v>
      </c>
      <c r="I286" s="1"/>
      <c r="J286" s="504" t="s">
        <v>29</v>
      </c>
      <c r="K286" s="596" t="s">
        <v>325</v>
      </c>
      <c r="L286" s="504" t="s">
        <v>99</v>
      </c>
      <c r="M286" s="597"/>
      <c r="N286" s="596"/>
      <c r="O286" s="600"/>
      <c r="P286" s="601"/>
    </row>
    <row r="287" spans="1:16" s="505" customFormat="1" ht="14.65" customHeight="1" outlineLevel="2">
      <c r="A287" s="58">
        <v>1.9</v>
      </c>
      <c r="B287" s="606" t="s">
        <v>726</v>
      </c>
      <c r="C287" s="448" t="s">
        <v>24</v>
      </c>
      <c r="D287" s="510">
        <v>608</v>
      </c>
      <c r="E287" s="510">
        <v>648</v>
      </c>
      <c r="F287" s="510">
        <v>4.0199999999999996</v>
      </c>
      <c r="G287" s="8">
        <f t="shared" si="55"/>
        <v>2444.16</v>
      </c>
      <c r="H287" s="8">
        <f t="shared" si="54"/>
        <v>2604.9599999999996</v>
      </c>
      <c r="I287" s="1"/>
      <c r="J287" s="504" t="s">
        <v>29</v>
      </c>
      <c r="K287" s="596" t="s">
        <v>325</v>
      </c>
      <c r="L287" s="504" t="s">
        <v>99</v>
      </c>
      <c r="M287" s="597"/>
      <c r="N287" s="596"/>
      <c r="O287" s="600"/>
      <c r="P287" s="601"/>
    </row>
    <row r="288" spans="1:16" s="505" customFormat="1" ht="14.65" customHeight="1" outlineLevel="2">
      <c r="A288" s="603">
        <v>1.1000000000000001</v>
      </c>
      <c r="B288" s="606" t="s">
        <v>727</v>
      </c>
      <c r="C288" s="448" t="s">
        <v>36</v>
      </c>
      <c r="D288" s="510">
        <v>1520</v>
      </c>
      <c r="E288" s="510">
        <v>1620</v>
      </c>
      <c r="F288" s="510">
        <v>1.5</v>
      </c>
      <c r="G288" s="8">
        <f t="shared" si="55"/>
        <v>2280</v>
      </c>
      <c r="H288" s="8">
        <f t="shared" si="54"/>
        <v>2430</v>
      </c>
      <c r="I288" s="1"/>
      <c r="J288" s="504" t="s">
        <v>29</v>
      </c>
      <c r="K288" s="596" t="s">
        <v>325</v>
      </c>
      <c r="L288" s="504" t="s">
        <v>99</v>
      </c>
      <c r="M288" s="597"/>
      <c r="N288" s="596"/>
      <c r="O288" s="600"/>
      <c r="P288" s="601"/>
    </row>
    <row r="289" spans="1:16" s="505" customFormat="1" ht="14.65" customHeight="1" outlineLevel="2">
      <c r="A289" s="58">
        <v>1.1100000000000001</v>
      </c>
      <c r="B289" s="606" t="s">
        <v>728</v>
      </c>
      <c r="C289" s="448" t="s">
        <v>380</v>
      </c>
      <c r="D289" s="510">
        <v>4423.2</v>
      </c>
      <c r="E289" s="510">
        <v>4694.3999999999996</v>
      </c>
      <c r="F289" s="510">
        <v>0.25</v>
      </c>
      <c r="G289" s="8">
        <f t="shared" si="55"/>
        <v>1105.8</v>
      </c>
      <c r="H289" s="8">
        <f t="shared" si="54"/>
        <v>1173.5999999999999</v>
      </c>
      <c r="I289" s="1"/>
      <c r="J289" s="504" t="s">
        <v>29</v>
      </c>
      <c r="K289" s="596" t="s">
        <v>325</v>
      </c>
      <c r="L289" s="504" t="s">
        <v>99</v>
      </c>
      <c r="M289" s="597"/>
      <c r="N289" s="596"/>
      <c r="O289" s="600"/>
      <c r="P289" s="601"/>
    </row>
    <row r="290" spans="1:16" s="505" customFormat="1" ht="14.65" customHeight="1" outlineLevel="2">
      <c r="A290" s="603">
        <v>1.1200000000000001</v>
      </c>
      <c r="B290" s="606" t="s">
        <v>729</v>
      </c>
      <c r="C290" s="448" t="s">
        <v>36</v>
      </c>
      <c r="D290" s="510">
        <v>3686</v>
      </c>
      <c r="E290" s="510">
        <v>3912</v>
      </c>
      <c r="F290" s="510">
        <v>0.06</v>
      </c>
      <c r="G290" s="8">
        <f t="shared" si="55"/>
        <v>221.16</v>
      </c>
      <c r="H290" s="8">
        <f t="shared" si="54"/>
        <v>234.72</v>
      </c>
      <c r="I290" s="1"/>
      <c r="J290" s="504" t="s">
        <v>29</v>
      </c>
      <c r="K290" s="596" t="s">
        <v>325</v>
      </c>
      <c r="L290" s="504" t="s">
        <v>99</v>
      </c>
      <c r="M290" s="597"/>
      <c r="N290" s="596"/>
      <c r="O290" s="600"/>
      <c r="P290" s="601"/>
    </row>
    <row r="291" spans="1:16" s="505" customFormat="1" ht="14.65" customHeight="1" outlineLevel="2">
      <c r="A291" s="58">
        <v>1.1299999999999999</v>
      </c>
      <c r="B291" s="606" t="s">
        <v>730</v>
      </c>
      <c r="C291" s="448" t="s">
        <v>380</v>
      </c>
      <c r="D291" s="510">
        <v>0</v>
      </c>
      <c r="E291" s="510">
        <v>0</v>
      </c>
      <c r="F291" s="510">
        <v>2</v>
      </c>
      <c r="G291" s="8">
        <f t="shared" si="55"/>
        <v>0</v>
      </c>
      <c r="H291" s="8">
        <f t="shared" si="54"/>
        <v>0</v>
      </c>
      <c r="I291" s="1"/>
      <c r="J291" s="504" t="s">
        <v>29</v>
      </c>
      <c r="K291" s="596" t="s">
        <v>325</v>
      </c>
      <c r="L291" s="504" t="s">
        <v>99</v>
      </c>
      <c r="M291" s="597"/>
      <c r="N291" s="596"/>
      <c r="O291" s="600"/>
      <c r="P291" s="601"/>
    </row>
    <row r="292" spans="1:16" s="505" customFormat="1" ht="14.65" customHeight="1" outlineLevel="2">
      <c r="A292" s="603">
        <v>1.1399999999999999</v>
      </c>
      <c r="B292" s="606" t="s">
        <v>731</v>
      </c>
      <c r="C292" s="448" t="s">
        <v>24</v>
      </c>
      <c r="D292" s="510">
        <v>25</v>
      </c>
      <c r="E292" s="510">
        <v>27</v>
      </c>
      <c r="F292" s="510">
        <v>86</v>
      </c>
      <c r="G292" s="8">
        <f t="shared" si="55"/>
        <v>2150</v>
      </c>
      <c r="H292" s="8">
        <f t="shared" si="54"/>
        <v>2322</v>
      </c>
      <c r="I292" s="1"/>
      <c r="J292" s="504" t="s">
        <v>29</v>
      </c>
      <c r="K292" s="596" t="s">
        <v>325</v>
      </c>
      <c r="L292" s="504" t="s">
        <v>99</v>
      </c>
      <c r="M292" s="597"/>
      <c r="N292" s="596"/>
      <c r="O292" s="600"/>
      <c r="P292" s="601"/>
    </row>
    <row r="293" spans="1:16" s="505" customFormat="1" ht="14.65" customHeight="1" outlineLevel="2">
      <c r="A293" s="58">
        <v>1.1499999999999999</v>
      </c>
      <c r="B293" s="606" t="s">
        <v>732</v>
      </c>
      <c r="C293" s="448" t="s">
        <v>48</v>
      </c>
      <c r="D293" s="510">
        <v>0</v>
      </c>
      <c r="E293" s="510">
        <v>0</v>
      </c>
      <c r="F293" s="510">
        <v>52</v>
      </c>
      <c r="G293" s="8">
        <f t="shared" si="55"/>
        <v>0</v>
      </c>
      <c r="H293" s="8">
        <f t="shared" si="54"/>
        <v>0</v>
      </c>
      <c r="I293" s="1"/>
      <c r="J293" s="504" t="s">
        <v>29</v>
      </c>
      <c r="K293" s="596" t="s">
        <v>325</v>
      </c>
      <c r="L293" s="504" t="s">
        <v>99</v>
      </c>
      <c r="M293" s="597"/>
      <c r="N293" s="596"/>
      <c r="O293" s="600"/>
      <c r="P293" s="601"/>
    </row>
    <row r="294" spans="1:16" s="505" customFormat="1" ht="14.65" customHeight="1" outlineLevel="2">
      <c r="A294" s="603">
        <v>1.1599999999999999</v>
      </c>
      <c r="B294" s="606" t="s">
        <v>733</v>
      </c>
      <c r="C294" s="448" t="s">
        <v>24</v>
      </c>
      <c r="D294" s="510">
        <v>0</v>
      </c>
      <c r="E294" s="510">
        <v>0</v>
      </c>
      <c r="F294" s="510">
        <v>15</v>
      </c>
      <c r="G294" s="8">
        <f t="shared" si="55"/>
        <v>0</v>
      </c>
      <c r="H294" s="8">
        <f t="shared" si="54"/>
        <v>0</v>
      </c>
      <c r="I294" s="1"/>
      <c r="J294" s="504" t="s">
        <v>29</v>
      </c>
      <c r="K294" s="596" t="s">
        <v>325</v>
      </c>
      <c r="L294" s="504" t="s">
        <v>99</v>
      </c>
      <c r="M294" s="597"/>
      <c r="N294" s="596"/>
      <c r="O294" s="600"/>
      <c r="P294" s="601"/>
    </row>
    <row r="295" spans="1:16" s="505" customFormat="1" ht="14.65" customHeight="1" outlineLevel="2">
      <c r="A295" s="58">
        <v>1.17</v>
      </c>
      <c r="B295" s="606" t="s">
        <v>734</v>
      </c>
      <c r="C295" s="448" t="s">
        <v>15</v>
      </c>
      <c r="D295" s="510">
        <v>0</v>
      </c>
      <c r="E295" s="510">
        <v>0</v>
      </c>
      <c r="F295" s="510">
        <v>6.86</v>
      </c>
      <c r="G295" s="8">
        <f t="shared" si="55"/>
        <v>0</v>
      </c>
      <c r="H295" s="8">
        <f t="shared" si="54"/>
        <v>0</v>
      </c>
      <c r="I295" s="1"/>
      <c r="J295" s="504" t="s">
        <v>29</v>
      </c>
      <c r="K295" s="596" t="s">
        <v>325</v>
      </c>
      <c r="L295" s="504" t="s">
        <v>99</v>
      </c>
      <c r="M295" s="597"/>
      <c r="N295" s="596"/>
      <c r="O295" s="600"/>
      <c r="P295" s="601"/>
    </row>
    <row r="296" spans="1:16" s="505" customFormat="1" ht="14.65" customHeight="1" outlineLevel="2">
      <c r="A296" s="604" t="s">
        <v>26</v>
      </c>
      <c r="B296" s="607" t="s">
        <v>1270</v>
      </c>
      <c r="C296" s="448"/>
      <c r="D296" s="8"/>
      <c r="E296" s="8"/>
      <c r="F296" s="510"/>
      <c r="G296" s="2">
        <f>SUBTOTAL(9,G297:G314)</f>
        <v>44320.800000000003</v>
      </c>
      <c r="H296" s="2">
        <f>SUBTOTAL(9,H297:H314)</f>
        <v>49579.199999999997</v>
      </c>
      <c r="I296" s="1"/>
      <c r="J296" s="504"/>
      <c r="K296" s="596"/>
      <c r="L296" s="504"/>
      <c r="M296" s="597"/>
      <c r="N296" s="596"/>
      <c r="O296" s="600"/>
      <c r="P296" s="601"/>
    </row>
    <row r="297" spans="1:16" s="505" customFormat="1" ht="14.65" customHeight="1" outlineLevel="2">
      <c r="A297" s="604">
        <v>1</v>
      </c>
      <c r="B297" s="607" t="s">
        <v>739</v>
      </c>
      <c r="C297" s="448"/>
      <c r="D297" s="8"/>
      <c r="E297" s="8"/>
      <c r="F297" s="510"/>
      <c r="G297" s="2">
        <f>SUBTOTAL(9,G298:G314)</f>
        <v>44320.800000000003</v>
      </c>
      <c r="H297" s="2">
        <f>SUBTOTAL(9,H298:H314)</f>
        <v>49579.199999999997</v>
      </c>
      <c r="I297" s="1"/>
      <c r="J297" s="504"/>
      <c r="K297" s="596"/>
      <c r="L297" s="504"/>
      <c r="M297" s="597"/>
      <c r="N297" s="596"/>
      <c r="O297" s="600"/>
      <c r="P297" s="601"/>
    </row>
    <row r="298" spans="1:16" s="505" customFormat="1" ht="14.65" customHeight="1" outlineLevel="2">
      <c r="A298" s="58">
        <v>1.1000000000000001</v>
      </c>
      <c r="B298" s="606" t="s">
        <v>718</v>
      </c>
      <c r="C298" s="448" t="s">
        <v>24</v>
      </c>
      <c r="D298" s="510">
        <v>0</v>
      </c>
      <c r="E298" s="510">
        <v>0</v>
      </c>
      <c r="F298" s="510">
        <v>1197</v>
      </c>
      <c r="G298" s="8">
        <f t="shared" si="55"/>
        <v>0</v>
      </c>
      <c r="H298" s="8">
        <f t="shared" si="54"/>
        <v>0</v>
      </c>
      <c r="I298" s="1"/>
      <c r="J298" s="504"/>
      <c r="K298" s="596"/>
      <c r="L298" s="504"/>
      <c r="M298" s="597"/>
      <c r="N298" s="596"/>
      <c r="O298" s="600"/>
      <c r="P298" s="601"/>
    </row>
    <row r="299" spans="1:16" s="505" customFormat="1" ht="14.65" customHeight="1" outlineLevel="2">
      <c r="A299" s="58">
        <v>1.2</v>
      </c>
      <c r="B299" s="606" t="s">
        <v>719</v>
      </c>
      <c r="C299" s="448" t="s">
        <v>24</v>
      </c>
      <c r="D299" s="510">
        <v>0</v>
      </c>
      <c r="E299" s="510">
        <v>0</v>
      </c>
      <c r="F299" s="510">
        <v>25</v>
      </c>
      <c r="G299" s="8">
        <f t="shared" si="55"/>
        <v>0</v>
      </c>
      <c r="H299" s="8">
        <f t="shared" si="54"/>
        <v>0</v>
      </c>
      <c r="I299" s="1"/>
      <c r="J299" s="504" t="s">
        <v>29</v>
      </c>
      <c r="K299" s="596" t="s">
        <v>211</v>
      </c>
      <c r="L299" s="504" t="s">
        <v>99</v>
      </c>
      <c r="M299" s="597"/>
      <c r="N299" s="596"/>
      <c r="O299" s="600"/>
      <c r="P299" s="601"/>
    </row>
    <row r="300" spans="1:16" s="505" customFormat="1" ht="14.65" customHeight="1" outlineLevel="2">
      <c r="A300" s="58">
        <v>1.3</v>
      </c>
      <c r="B300" s="606" t="s">
        <v>720</v>
      </c>
      <c r="C300" s="448" t="s">
        <v>24</v>
      </c>
      <c r="D300" s="510">
        <v>0</v>
      </c>
      <c r="E300" s="510">
        <v>0</v>
      </c>
      <c r="F300" s="510">
        <v>20</v>
      </c>
      <c r="G300" s="8">
        <f t="shared" si="55"/>
        <v>0</v>
      </c>
      <c r="H300" s="8">
        <f t="shared" si="54"/>
        <v>0</v>
      </c>
      <c r="I300" s="1"/>
      <c r="J300" s="504" t="s">
        <v>29</v>
      </c>
      <c r="K300" s="596" t="s">
        <v>211</v>
      </c>
      <c r="L300" s="504" t="s">
        <v>99</v>
      </c>
      <c r="M300" s="597"/>
      <c r="N300" s="596"/>
      <c r="O300" s="600"/>
      <c r="P300" s="601"/>
    </row>
    <row r="301" spans="1:16" s="505" customFormat="1" ht="14.65" customHeight="1" outlineLevel="2">
      <c r="A301" s="58">
        <v>1.4</v>
      </c>
      <c r="B301" s="606" t="s">
        <v>721</v>
      </c>
      <c r="C301" s="448" t="s">
        <v>24</v>
      </c>
      <c r="D301" s="510">
        <v>0</v>
      </c>
      <c r="E301" s="510">
        <v>0</v>
      </c>
      <c r="F301" s="510">
        <v>5.3</v>
      </c>
      <c r="G301" s="8">
        <f t="shared" si="55"/>
        <v>0</v>
      </c>
      <c r="H301" s="8">
        <f t="shared" si="54"/>
        <v>0</v>
      </c>
      <c r="I301" s="1"/>
      <c r="J301" s="504" t="s">
        <v>29</v>
      </c>
      <c r="K301" s="596" t="s">
        <v>211</v>
      </c>
      <c r="L301" s="504" t="s">
        <v>99</v>
      </c>
      <c r="M301" s="597"/>
      <c r="N301" s="596"/>
      <c r="O301" s="600"/>
      <c r="P301" s="601"/>
    </row>
    <row r="302" spans="1:16" s="505" customFormat="1" ht="14.65" customHeight="1" outlineLevel="2">
      <c r="A302" s="58">
        <v>1.5</v>
      </c>
      <c r="B302" s="606" t="s">
        <v>722</v>
      </c>
      <c r="C302" s="448" t="s">
        <v>24</v>
      </c>
      <c r="D302" s="510">
        <v>0</v>
      </c>
      <c r="E302" s="510">
        <v>0</v>
      </c>
      <c r="F302" s="510">
        <v>4</v>
      </c>
      <c r="G302" s="8">
        <f t="shared" si="55"/>
        <v>0</v>
      </c>
      <c r="H302" s="8">
        <f t="shared" si="54"/>
        <v>0</v>
      </c>
      <c r="I302" s="1"/>
      <c r="J302" s="504" t="s">
        <v>29</v>
      </c>
      <c r="K302" s="596" t="s">
        <v>211</v>
      </c>
      <c r="L302" s="504" t="s">
        <v>99</v>
      </c>
      <c r="M302" s="597"/>
      <c r="N302" s="596"/>
      <c r="O302" s="600"/>
      <c r="P302" s="601"/>
    </row>
    <row r="303" spans="1:16" s="505" customFormat="1" ht="14.65" customHeight="1" outlineLevel="2">
      <c r="A303" s="58">
        <v>1.6</v>
      </c>
      <c r="B303" s="606" t="s">
        <v>723</v>
      </c>
      <c r="C303" s="448" t="s">
        <v>30</v>
      </c>
      <c r="D303" s="510">
        <v>59</v>
      </c>
      <c r="E303" s="510">
        <v>66</v>
      </c>
      <c r="F303" s="510">
        <v>630</v>
      </c>
      <c r="G303" s="8">
        <f t="shared" si="55"/>
        <v>37170</v>
      </c>
      <c r="H303" s="8">
        <f t="shared" si="54"/>
        <v>41580</v>
      </c>
      <c r="I303" s="1"/>
      <c r="J303" s="504" t="s">
        <v>29</v>
      </c>
      <c r="K303" s="596" t="s">
        <v>211</v>
      </c>
      <c r="L303" s="504" t="s">
        <v>99</v>
      </c>
      <c r="M303" s="597"/>
      <c r="N303" s="596"/>
      <c r="O303" s="600"/>
      <c r="P303" s="601"/>
    </row>
    <row r="304" spans="1:16" s="505" customFormat="1" ht="14.65" customHeight="1" outlineLevel="2">
      <c r="A304" s="58">
        <v>1.7</v>
      </c>
      <c r="B304" s="606" t="s">
        <v>724</v>
      </c>
      <c r="C304" s="448" t="s">
        <v>30</v>
      </c>
      <c r="D304" s="510">
        <v>0</v>
      </c>
      <c r="E304" s="510">
        <v>0</v>
      </c>
      <c r="F304" s="510">
        <v>572</v>
      </c>
      <c r="G304" s="8">
        <f t="shared" si="55"/>
        <v>0</v>
      </c>
      <c r="H304" s="8">
        <f t="shared" si="54"/>
        <v>0</v>
      </c>
      <c r="I304" s="1"/>
      <c r="J304" s="504" t="s">
        <v>29</v>
      </c>
      <c r="K304" s="596" t="s">
        <v>211</v>
      </c>
      <c r="L304" s="504" t="s">
        <v>99</v>
      </c>
      <c r="M304" s="597"/>
      <c r="N304" s="596"/>
      <c r="O304" s="600"/>
      <c r="P304" s="601"/>
    </row>
    <row r="305" spans="1:18" s="505" customFormat="1" ht="14.65" customHeight="1" outlineLevel="2">
      <c r="A305" s="58">
        <v>1.8</v>
      </c>
      <c r="B305" s="606" t="s">
        <v>725</v>
      </c>
      <c r="C305" s="448" t="s">
        <v>24</v>
      </c>
      <c r="D305" s="510">
        <v>708</v>
      </c>
      <c r="E305" s="510">
        <v>792</v>
      </c>
      <c r="F305" s="510">
        <v>3.72</v>
      </c>
      <c r="G305" s="8">
        <f t="shared" si="55"/>
        <v>2633.76</v>
      </c>
      <c r="H305" s="8">
        <f t="shared" si="54"/>
        <v>2946.2400000000002</v>
      </c>
      <c r="I305" s="1"/>
      <c r="J305" s="504" t="s">
        <v>29</v>
      </c>
      <c r="K305" s="596" t="s">
        <v>211</v>
      </c>
      <c r="L305" s="504" t="s">
        <v>99</v>
      </c>
      <c r="M305" s="597"/>
      <c r="N305" s="596"/>
      <c r="O305" s="600"/>
      <c r="P305" s="601"/>
    </row>
    <row r="306" spans="1:18" s="505" customFormat="1" ht="14.65" customHeight="1" outlineLevel="2">
      <c r="A306" s="58">
        <v>1.9</v>
      </c>
      <c r="B306" s="606" t="s">
        <v>726</v>
      </c>
      <c r="C306" s="448" t="s">
        <v>24</v>
      </c>
      <c r="D306" s="510">
        <v>472</v>
      </c>
      <c r="E306" s="510">
        <v>528</v>
      </c>
      <c r="F306" s="510">
        <v>4.0199999999999996</v>
      </c>
      <c r="G306" s="8">
        <f t="shared" si="55"/>
        <v>1897.4399999999998</v>
      </c>
      <c r="H306" s="8">
        <f t="shared" si="54"/>
        <v>2122.56</v>
      </c>
      <c r="I306" s="1"/>
      <c r="J306" s="504" t="s">
        <v>29</v>
      </c>
      <c r="K306" s="596" t="s">
        <v>211</v>
      </c>
      <c r="L306" s="504" t="s">
        <v>99</v>
      </c>
      <c r="M306" s="597"/>
      <c r="N306" s="596"/>
      <c r="O306" s="600"/>
      <c r="P306" s="601"/>
    </row>
    <row r="307" spans="1:18" s="505" customFormat="1" ht="14.65" customHeight="1" outlineLevel="2">
      <c r="A307" s="603">
        <v>1.1000000000000001</v>
      </c>
      <c r="B307" s="606" t="s">
        <v>727</v>
      </c>
      <c r="C307" s="448" t="s">
        <v>36</v>
      </c>
      <c r="D307" s="510">
        <v>1180</v>
      </c>
      <c r="E307" s="510">
        <v>1320</v>
      </c>
      <c r="F307" s="510">
        <v>1.5</v>
      </c>
      <c r="G307" s="8">
        <f t="shared" si="55"/>
        <v>1770</v>
      </c>
      <c r="H307" s="8">
        <f t="shared" si="54"/>
        <v>1980</v>
      </c>
      <c r="I307" s="1"/>
      <c r="J307" s="504" t="s">
        <v>29</v>
      </c>
      <c r="K307" s="596" t="s">
        <v>211</v>
      </c>
      <c r="L307" s="504" t="s">
        <v>99</v>
      </c>
      <c r="M307" s="597"/>
      <c r="N307" s="596"/>
      <c r="O307" s="600"/>
      <c r="P307" s="601"/>
    </row>
    <row r="308" spans="1:18" s="505" customFormat="1" ht="14.65" customHeight="1" outlineLevel="2">
      <c r="A308" s="58">
        <v>1.1100000000000001</v>
      </c>
      <c r="B308" s="606" t="s">
        <v>728</v>
      </c>
      <c r="C308" s="448" t="s">
        <v>380</v>
      </c>
      <c r="D308" s="510">
        <v>2832</v>
      </c>
      <c r="E308" s="510">
        <v>3168</v>
      </c>
      <c r="F308" s="510">
        <v>0.25</v>
      </c>
      <c r="G308" s="8">
        <f t="shared" si="55"/>
        <v>708</v>
      </c>
      <c r="H308" s="8">
        <f t="shared" si="54"/>
        <v>792</v>
      </c>
      <c r="I308" s="1"/>
      <c r="J308" s="504" t="s">
        <v>29</v>
      </c>
      <c r="K308" s="596" t="s">
        <v>211</v>
      </c>
      <c r="L308" s="504" t="s">
        <v>99</v>
      </c>
      <c r="M308" s="597"/>
      <c r="N308" s="596"/>
      <c r="O308" s="600"/>
      <c r="P308" s="601"/>
    </row>
    <row r="309" spans="1:18" s="505" customFormat="1" ht="14.65" customHeight="1" outlineLevel="2">
      <c r="A309" s="603">
        <v>1.1200000000000001</v>
      </c>
      <c r="B309" s="606" t="s">
        <v>729</v>
      </c>
      <c r="C309" s="448" t="s">
        <v>36</v>
      </c>
      <c r="D309" s="510">
        <v>2360</v>
      </c>
      <c r="E309" s="510">
        <v>2640</v>
      </c>
      <c r="F309" s="510">
        <v>0.06</v>
      </c>
      <c r="G309" s="8">
        <f t="shared" si="55"/>
        <v>141.6</v>
      </c>
      <c r="H309" s="8">
        <f t="shared" si="54"/>
        <v>158.4</v>
      </c>
      <c r="I309" s="1"/>
      <c r="J309" s="504" t="s">
        <v>29</v>
      </c>
      <c r="K309" s="596" t="s">
        <v>211</v>
      </c>
      <c r="L309" s="504" t="s">
        <v>99</v>
      </c>
      <c r="M309" s="597"/>
      <c r="N309" s="596"/>
      <c r="O309" s="600"/>
      <c r="P309" s="601"/>
    </row>
    <row r="310" spans="1:18" s="505" customFormat="1" ht="14.65" customHeight="1" outlineLevel="2">
      <c r="A310" s="58">
        <v>1.1299999999999999</v>
      </c>
      <c r="B310" s="606" t="s">
        <v>730</v>
      </c>
      <c r="C310" s="448" t="s">
        <v>380</v>
      </c>
      <c r="D310" s="510">
        <v>0</v>
      </c>
      <c r="E310" s="510">
        <v>0</v>
      </c>
      <c r="F310" s="510">
        <v>2</v>
      </c>
      <c r="G310" s="8">
        <f t="shared" si="55"/>
        <v>0</v>
      </c>
      <c r="H310" s="8">
        <f t="shared" si="54"/>
        <v>0</v>
      </c>
      <c r="I310" s="1"/>
      <c r="J310" s="504" t="s">
        <v>29</v>
      </c>
      <c r="K310" s="596" t="s">
        <v>211</v>
      </c>
      <c r="L310" s="504" t="s">
        <v>99</v>
      </c>
      <c r="M310" s="597"/>
      <c r="N310" s="596"/>
      <c r="O310" s="600"/>
      <c r="P310" s="601"/>
    </row>
    <row r="311" spans="1:18" s="505" customFormat="1" ht="14.65" customHeight="1" outlineLevel="2">
      <c r="A311" s="603">
        <v>1.1399999999999999</v>
      </c>
      <c r="B311" s="606" t="s">
        <v>731</v>
      </c>
      <c r="C311" s="448" t="s">
        <v>24</v>
      </c>
      <c r="D311" s="510">
        <v>0</v>
      </c>
      <c r="E311" s="510">
        <v>0</v>
      </c>
      <c r="F311" s="510">
        <v>86</v>
      </c>
      <c r="G311" s="8">
        <f t="shared" si="55"/>
        <v>0</v>
      </c>
      <c r="H311" s="8">
        <f t="shared" si="54"/>
        <v>0</v>
      </c>
      <c r="I311" s="1"/>
      <c r="J311" s="504" t="s">
        <v>29</v>
      </c>
      <c r="K311" s="596" t="s">
        <v>211</v>
      </c>
      <c r="L311" s="504" t="s">
        <v>99</v>
      </c>
      <c r="M311" s="597"/>
      <c r="N311" s="596"/>
      <c r="O311" s="600"/>
      <c r="P311" s="601"/>
    </row>
    <row r="312" spans="1:18" s="505" customFormat="1" ht="14.65" customHeight="1" outlineLevel="2">
      <c r="A312" s="58">
        <v>1.1499999999999999</v>
      </c>
      <c r="B312" s="606" t="s">
        <v>732</v>
      </c>
      <c r="C312" s="448" t="s">
        <v>48</v>
      </c>
      <c r="D312" s="510">
        <v>0</v>
      </c>
      <c r="E312" s="510">
        <v>0</v>
      </c>
      <c r="F312" s="510">
        <v>52</v>
      </c>
      <c r="G312" s="8">
        <f t="shared" si="55"/>
        <v>0</v>
      </c>
      <c r="H312" s="8">
        <f t="shared" si="54"/>
        <v>0</v>
      </c>
      <c r="I312" s="1"/>
      <c r="J312" s="504" t="s">
        <v>29</v>
      </c>
      <c r="K312" s="596" t="s">
        <v>211</v>
      </c>
      <c r="L312" s="504" t="s">
        <v>99</v>
      </c>
      <c r="M312" s="597"/>
      <c r="N312" s="596"/>
      <c r="O312" s="600"/>
      <c r="P312" s="601"/>
    </row>
    <row r="313" spans="1:18" s="505" customFormat="1" ht="14.65" customHeight="1" outlineLevel="2">
      <c r="A313" s="603">
        <v>1.1599999999999999</v>
      </c>
      <c r="B313" s="606" t="s">
        <v>733</v>
      </c>
      <c r="C313" s="448" t="s">
        <v>24</v>
      </c>
      <c r="D313" s="510">
        <v>0</v>
      </c>
      <c r="E313" s="510">
        <v>0</v>
      </c>
      <c r="F313" s="510">
        <v>15</v>
      </c>
      <c r="G313" s="8">
        <f t="shared" si="55"/>
        <v>0</v>
      </c>
      <c r="H313" s="8">
        <f t="shared" si="54"/>
        <v>0</v>
      </c>
      <c r="I313" s="1"/>
      <c r="J313" s="504" t="s">
        <v>29</v>
      </c>
      <c r="K313" s="596" t="s">
        <v>211</v>
      </c>
      <c r="L313" s="504" t="s">
        <v>99</v>
      </c>
      <c r="M313" s="597"/>
      <c r="N313" s="596"/>
      <c r="O313" s="600"/>
      <c r="P313" s="601"/>
    </row>
    <row r="314" spans="1:18" s="505" customFormat="1" ht="14.65" customHeight="1" outlineLevel="2">
      <c r="A314" s="58">
        <v>1.17</v>
      </c>
      <c r="B314" s="606" t="s">
        <v>734</v>
      </c>
      <c r="C314" s="448" t="s">
        <v>15</v>
      </c>
      <c r="D314" s="510">
        <v>0</v>
      </c>
      <c r="E314" s="510">
        <v>0</v>
      </c>
      <c r="F314" s="510">
        <v>6.86</v>
      </c>
      <c r="G314" s="8">
        <f t="shared" si="55"/>
        <v>0</v>
      </c>
      <c r="H314" s="8">
        <f t="shared" si="54"/>
        <v>0</v>
      </c>
      <c r="I314" s="1"/>
      <c r="J314" s="504" t="s">
        <v>29</v>
      </c>
      <c r="K314" s="596" t="s">
        <v>211</v>
      </c>
      <c r="L314" s="504" t="s">
        <v>99</v>
      </c>
      <c r="M314" s="597"/>
      <c r="N314" s="596"/>
      <c r="O314" s="600"/>
      <c r="P314" s="601"/>
    </row>
    <row r="315" spans="1:18" ht="15.5">
      <c r="A315" s="608" t="s">
        <v>333</v>
      </c>
      <c r="B315" s="609" t="s">
        <v>1152</v>
      </c>
      <c r="C315" s="610"/>
      <c r="D315" s="47"/>
      <c r="E315" s="47"/>
      <c r="F315" s="611"/>
      <c r="G315" s="2">
        <f>SUBTOTAL(9,G316:G317)</f>
        <v>42400</v>
      </c>
      <c r="H315" s="2">
        <f>SUBTOTAL(9,H316:H317)</f>
        <v>0</v>
      </c>
      <c r="I315" s="612"/>
      <c r="P315" s="37"/>
      <c r="R315" s="37"/>
    </row>
    <row r="316" spans="1:18" ht="15.5">
      <c r="A316" s="613">
        <v>1</v>
      </c>
      <c r="B316" s="614" t="s">
        <v>825</v>
      </c>
      <c r="C316" s="615" t="s">
        <v>24</v>
      </c>
      <c r="D316" s="47">
        <v>20</v>
      </c>
      <c r="E316" s="47"/>
      <c r="F316" s="611">
        <v>2000</v>
      </c>
      <c r="G316" s="8">
        <f t="shared" ref="G316:G317" si="56">F316*D316</f>
        <v>40000</v>
      </c>
      <c r="H316" s="8">
        <f t="shared" ref="H316:H317" si="57">F316*E316</f>
        <v>0</v>
      </c>
      <c r="I316" s="612"/>
      <c r="J316" s="504" t="s">
        <v>29</v>
      </c>
      <c r="K316" s="596" t="s">
        <v>128</v>
      </c>
      <c r="L316" s="504" t="s">
        <v>99</v>
      </c>
      <c r="P316" s="37"/>
      <c r="R316" s="37"/>
    </row>
    <row r="317" spans="1:18" ht="15.5">
      <c r="A317" s="613">
        <v>2</v>
      </c>
      <c r="B317" s="614" t="s">
        <v>1153</v>
      </c>
      <c r="C317" s="615" t="s">
        <v>24</v>
      </c>
      <c r="D317" s="47">
        <v>20</v>
      </c>
      <c r="E317" s="47"/>
      <c r="F317" s="611">
        <v>120</v>
      </c>
      <c r="G317" s="8">
        <f t="shared" si="56"/>
        <v>2400</v>
      </c>
      <c r="H317" s="8">
        <f t="shared" si="57"/>
        <v>0</v>
      </c>
      <c r="I317" s="612"/>
      <c r="J317" s="504" t="s">
        <v>29</v>
      </c>
      <c r="K317" s="596" t="s">
        <v>128</v>
      </c>
      <c r="L317" s="504" t="s">
        <v>99</v>
      </c>
      <c r="P317" s="37"/>
      <c r="R317" s="37"/>
    </row>
    <row r="318" spans="1:18" s="312" customFormat="1" ht="14">
      <c r="A318" s="332" t="s">
        <v>52</v>
      </c>
      <c r="B318" s="333" t="s">
        <v>426</v>
      </c>
      <c r="C318" s="334"/>
      <c r="D318" s="335"/>
      <c r="E318" s="335"/>
      <c r="F318" s="336"/>
      <c r="G318" s="335">
        <f>SUBTOTAL(9,G319:G472)</f>
        <v>30857228</v>
      </c>
      <c r="H318" s="335">
        <f>SUBTOTAL(9,H319:H472)</f>
        <v>33292589.600000001</v>
      </c>
      <c r="I318" s="337"/>
      <c r="J318" s="302"/>
      <c r="K318" s="311"/>
      <c r="L318" s="311"/>
      <c r="M318" s="311"/>
      <c r="N318" s="311"/>
      <c r="O318" s="305"/>
      <c r="P318" s="306"/>
      <c r="Q318" s="305"/>
    </row>
    <row r="319" spans="1:18" s="622" customFormat="1">
      <c r="A319" s="616" t="s">
        <v>1276</v>
      </c>
      <c r="B319" s="617" t="s">
        <v>38</v>
      </c>
      <c r="C319" s="618"/>
      <c r="D319" s="619"/>
      <c r="E319" s="619"/>
      <c r="F319" s="620"/>
      <c r="G319" s="619">
        <f>SUBTOTAL(9,G320:G396)</f>
        <v>18047532</v>
      </c>
      <c r="H319" s="619">
        <f>SUBTOTAL(9,H320:H396)</f>
        <v>22402864</v>
      </c>
      <c r="I319" s="621"/>
      <c r="J319" s="1" t="s">
        <v>38</v>
      </c>
      <c r="K319" s="682"/>
      <c r="L319" s="682"/>
      <c r="M319" s="682"/>
      <c r="N319" s="682"/>
      <c r="O319" s="683"/>
      <c r="P319" s="684"/>
      <c r="Q319" s="683"/>
      <c r="R319" s="683"/>
    </row>
    <row r="320" spans="1:18" s="627" customFormat="1" outlineLevel="1">
      <c r="A320" s="623" t="s">
        <v>4</v>
      </c>
      <c r="B320" s="624" t="s">
        <v>434</v>
      </c>
      <c r="C320" s="625"/>
      <c r="D320" s="626"/>
      <c r="E320" s="626"/>
      <c r="F320" s="626"/>
      <c r="G320" s="626">
        <f>SUBTOTAL(9,G321:G346)</f>
        <v>13422491</v>
      </c>
      <c r="H320" s="626">
        <f>SUBTOTAL(9,H321:H346)</f>
        <v>14080210</v>
      </c>
      <c r="I320" s="626"/>
      <c r="J320" s="1" t="s">
        <v>38</v>
      </c>
      <c r="K320" s="636"/>
      <c r="L320" s="636"/>
      <c r="M320" s="636"/>
      <c r="N320" s="636"/>
      <c r="O320" s="685"/>
      <c r="P320" s="686"/>
      <c r="Q320" s="685"/>
      <c r="R320" s="685"/>
    </row>
    <row r="321" spans="1:18" s="630" customFormat="1" outlineLevel="2">
      <c r="A321" s="623">
        <v>1</v>
      </c>
      <c r="B321" s="628" t="s">
        <v>1277</v>
      </c>
      <c r="C321" s="625"/>
      <c r="D321" s="626"/>
      <c r="E321" s="626"/>
      <c r="F321" s="626"/>
      <c r="G321" s="626">
        <f>SUBTOTAL(9,G322:G323)</f>
        <v>702904</v>
      </c>
      <c r="H321" s="626">
        <f>SUBTOTAL(9,H322:H323)</f>
        <v>527778</v>
      </c>
      <c r="I321" s="626"/>
      <c r="J321" s="1" t="s">
        <v>38</v>
      </c>
      <c r="K321" s="656"/>
      <c r="L321" s="656"/>
      <c r="M321" s="656"/>
      <c r="N321" s="656"/>
      <c r="O321" s="650"/>
      <c r="P321" s="687"/>
      <c r="Q321" s="650"/>
      <c r="R321" s="650"/>
    </row>
    <row r="322" spans="1:18" s="37" customFormat="1" ht="26" outlineLevel="3">
      <c r="A322" s="53" t="s">
        <v>8</v>
      </c>
      <c r="B322" s="640" t="s">
        <v>1407</v>
      </c>
      <c r="C322" s="448" t="s">
        <v>24</v>
      </c>
      <c r="D322" s="8">
        <v>4</v>
      </c>
      <c r="E322" s="8">
        <v>2</v>
      </c>
      <c r="F322" s="8">
        <v>87563</v>
      </c>
      <c r="G322" s="8">
        <f>F322*D322</f>
        <v>350252</v>
      </c>
      <c r="H322" s="8">
        <f>F322*E322</f>
        <v>175126</v>
      </c>
      <c r="I322" s="1"/>
      <c r="J322" s="1" t="s">
        <v>38</v>
      </c>
      <c r="K322" s="303" t="s">
        <v>210</v>
      </c>
      <c r="L322" s="1" t="s">
        <v>99</v>
      </c>
      <c r="M322" s="1" t="s">
        <v>127</v>
      </c>
      <c r="N322" s="647" t="s">
        <v>738</v>
      </c>
      <c r="O322" s="647" t="s">
        <v>1278</v>
      </c>
      <c r="P322" s="678" t="s">
        <v>1279</v>
      </c>
      <c r="Q322" s="632"/>
      <c r="R322" s="688" t="s">
        <v>1408</v>
      </c>
    </row>
    <row r="323" spans="1:18" s="37" customFormat="1" ht="14" outlineLevel="3">
      <c r="A323" s="53" t="s">
        <v>8</v>
      </c>
      <c r="B323" s="640" t="s">
        <v>1409</v>
      </c>
      <c r="C323" s="448" t="s">
        <v>24</v>
      </c>
      <c r="D323" s="8">
        <v>4</v>
      </c>
      <c r="E323" s="8">
        <v>4</v>
      </c>
      <c r="F323" s="8">
        <v>88163</v>
      </c>
      <c r="G323" s="8">
        <f>F323*D323</f>
        <v>352652</v>
      </c>
      <c r="H323" s="8">
        <f>F323*E323</f>
        <v>352652</v>
      </c>
      <c r="I323" s="1"/>
      <c r="J323" s="1" t="s">
        <v>38</v>
      </c>
      <c r="K323" s="303" t="s">
        <v>210</v>
      </c>
      <c r="L323" s="1" t="s">
        <v>99</v>
      </c>
      <c r="M323" s="1" t="s">
        <v>127</v>
      </c>
      <c r="N323" s="647" t="s">
        <v>738</v>
      </c>
      <c r="O323" s="632" t="s">
        <v>1280</v>
      </c>
      <c r="P323" s="678" t="s">
        <v>1281</v>
      </c>
      <c r="Q323" s="632"/>
      <c r="R323" s="688" t="s">
        <v>1410</v>
      </c>
    </row>
    <row r="324" spans="1:18" s="627" customFormat="1" outlineLevel="3">
      <c r="A324" s="633">
        <v>2</v>
      </c>
      <c r="B324" s="628" t="s">
        <v>369</v>
      </c>
      <c r="C324" s="634" t="s">
        <v>24</v>
      </c>
      <c r="D324" s="629"/>
      <c r="E324" s="629"/>
      <c r="F324" s="635"/>
      <c r="G324" s="626">
        <f>SUBTOTAL(9,G325:G326)</f>
        <v>790467</v>
      </c>
      <c r="H324" s="626">
        <f>SUBTOTAL(9,H325:H326)</f>
        <v>1756060</v>
      </c>
      <c r="I324" s="636"/>
      <c r="J324" s="636" t="s">
        <v>38</v>
      </c>
      <c r="K324" s="636"/>
      <c r="L324" s="636" t="s">
        <v>99</v>
      </c>
      <c r="M324" s="636" t="s">
        <v>127</v>
      </c>
      <c r="N324" s="636"/>
      <c r="O324" s="685"/>
      <c r="P324" s="686"/>
      <c r="Q324" s="685"/>
      <c r="R324" s="685"/>
    </row>
    <row r="325" spans="1:18" s="37" customFormat="1" ht="26" outlineLevel="3">
      <c r="A325" s="53" t="s">
        <v>8</v>
      </c>
      <c r="B325" s="640" t="s">
        <v>1407</v>
      </c>
      <c r="C325" s="448" t="s">
        <v>24</v>
      </c>
      <c r="D325" s="8">
        <v>5</v>
      </c>
      <c r="E325" s="8">
        <v>12</v>
      </c>
      <c r="F325" s="8">
        <v>87563</v>
      </c>
      <c r="G325" s="8">
        <f>F325*D325</f>
        <v>437815</v>
      </c>
      <c r="H325" s="8">
        <f>F325*E325</f>
        <v>1050756</v>
      </c>
      <c r="I325" s="1"/>
      <c r="J325" s="1" t="s">
        <v>38</v>
      </c>
      <c r="K325" s="303" t="s">
        <v>209</v>
      </c>
      <c r="L325" s="1" t="s">
        <v>99</v>
      </c>
      <c r="M325" s="1" t="s">
        <v>127</v>
      </c>
      <c r="N325" s="647" t="s">
        <v>738</v>
      </c>
      <c r="O325" s="647" t="s">
        <v>1278</v>
      </c>
      <c r="P325" s="678" t="s">
        <v>1282</v>
      </c>
      <c r="Q325" s="632"/>
      <c r="R325" s="688" t="s">
        <v>1408</v>
      </c>
    </row>
    <row r="326" spans="1:18" s="37" customFormat="1" ht="14" outlineLevel="3">
      <c r="A326" s="53" t="s">
        <v>8</v>
      </c>
      <c r="B326" s="640" t="s">
        <v>1409</v>
      </c>
      <c r="C326" s="448" t="s">
        <v>24</v>
      </c>
      <c r="D326" s="8">
        <v>4</v>
      </c>
      <c r="E326" s="8">
        <v>8</v>
      </c>
      <c r="F326" s="8">
        <v>88163</v>
      </c>
      <c r="G326" s="8">
        <f>F326*D326</f>
        <v>352652</v>
      </c>
      <c r="H326" s="8">
        <f>F326*E326</f>
        <v>705304</v>
      </c>
      <c r="I326" s="1"/>
      <c r="J326" s="1" t="s">
        <v>38</v>
      </c>
      <c r="K326" s="303" t="s">
        <v>209</v>
      </c>
      <c r="L326" s="1" t="s">
        <v>99</v>
      </c>
      <c r="M326" s="1" t="s">
        <v>127</v>
      </c>
      <c r="N326" s="647" t="s">
        <v>738</v>
      </c>
      <c r="O326" s="632" t="s">
        <v>1280</v>
      </c>
      <c r="P326" s="678" t="s">
        <v>1283</v>
      </c>
      <c r="Q326" s="632"/>
      <c r="R326" s="688" t="s">
        <v>1411</v>
      </c>
    </row>
    <row r="327" spans="1:18" s="627" customFormat="1" outlineLevel="3">
      <c r="A327" s="633">
        <v>3</v>
      </c>
      <c r="B327" s="637" t="s">
        <v>1284</v>
      </c>
      <c r="C327" s="634"/>
      <c r="D327" s="629"/>
      <c r="E327" s="629"/>
      <c r="F327" s="635"/>
      <c r="G327" s="629">
        <f>SUBTOTAL(9,G328:G340)</f>
        <v>1972748</v>
      </c>
      <c r="H327" s="629">
        <f>SUBTOTAL(9,H328:I340)</f>
        <v>0</v>
      </c>
      <c r="I327" s="636"/>
      <c r="J327" s="1" t="s">
        <v>38</v>
      </c>
      <c r="K327" s="636"/>
      <c r="L327" s="636"/>
      <c r="M327" s="636"/>
      <c r="N327" s="636"/>
      <c r="O327" s="685"/>
      <c r="P327" s="686"/>
      <c r="Q327" s="685"/>
      <c r="R327" s="685"/>
    </row>
    <row r="328" spans="1:18" s="37" customFormat="1" outlineLevel="4">
      <c r="A328" s="53" t="s">
        <v>8</v>
      </c>
      <c r="B328" s="638" t="s">
        <v>217</v>
      </c>
      <c r="C328" s="448" t="s">
        <v>24</v>
      </c>
      <c r="D328" s="8">
        <v>10</v>
      </c>
      <c r="E328" s="639"/>
      <c r="F328" s="8">
        <v>46889</v>
      </c>
      <c r="G328" s="8">
        <f t="shared" ref="G328:G340" si="58">F328*D328</f>
        <v>468890</v>
      </c>
      <c r="H328" s="8">
        <f t="shared" ref="H328:H340" si="59">F328*E328</f>
        <v>0</v>
      </c>
      <c r="I328" s="1"/>
      <c r="J328" s="1" t="s">
        <v>38</v>
      </c>
      <c r="K328" s="1" t="s">
        <v>210</v>
      </c>
      <c r="L328" s="1" t="s">
        <v>99</v>
      </c>
      <c r="M328" s="1" t="s">
        <v>127</v>
      </c>
      <c r="N328" s="640" t="s">
        <v>1285</v>
      </c>
      <c r="O328" s="640" t="s">
        <v>1285</v>
      </c>
      <c r="P328" s="689"/>
      <c r="Q328" s="632"/>
      <c r="R328" s="640" t="s">
        <v>1412</v>
      </c>
    </row>
    <row r="329" spans="1:18" s="37" customFormat="1" outlineLevel="4">
      <c r="A329" s="53" t="s">
        <v>8</v>
      </c>
      <c r="B329" s="638" t="s">
        <v>1413</v>
      </c>
      <c r="C329" s="448" t="s">
        <v>24</v>
      </c>
      <c r="D329" s="8">
        <v>1</v>
      </c>
      <c r="E329" s="639"/>
      <c r="F329" s="8">
        <v>65340</v>
      </c>
      <c r="G329" s="8">
        <f t="shared" si="58"/>
        <v>65340</v>
      </c>
      <c r="H329" s="8">
        <f t="shared" si="59"/>
        <v>0</v>
      </c>
      <c r="I329" s="1"/>
      <c r="J329" s="1" t="s">
        <v>38</v>
      </c>
      <c r="K329" s="1" t="s">
        <v>210</v>
      </c>
      <c r="L329" s="1" t="s">
        <v>99</v>
      </c>
      <c r="M329" s="1" t="s">
        <v>127</v>
      </c>
      <c r="N329" s="640" t="s">
        <v>1285</v>
      </c>
      <c r="O329" s="640" t="s">
        <v>1285</v>
      </c>
      <c r="P329" s="689"/>
      <c r="Q329" s="632"/>
      <c r="R329" s="632"/>
    </row>
    <row r="330" spans="1:18" s="37" customFormat="1" outlineLevel="4">
      <c r="A330" s="53" t="s">
        <v>8</v>
      </c>
      <c r="B330" s="631" t="s">
        <v>218</v>
      </c>
      <c r="C330" s="448" t="s">
        <v>24</v>
      </c>
      <c r="D330" s="8">
        <v>8</v>
      </c>
      <c r="E330" s="8"/>
      <c r="F330" s="8">
        <v>41851</v>
      </c>
      <c r="G330" s="8">
        <f t="shared" si="58"/>
        <v>334808</v>
      </c>
      <c r="H330" s="8">
        <f t="shared" si="59"/>
        <v>0</v>
      </c>
      <c r="I330" s="1"/>
      <c r="J330" s="1" t="s">
        <v>38</v>
      </c>
      <c r="K330" s="1" t="s">
        <v>210</v>
      </c>
      <c r="L330" s="1" t="s">
        <v>99</v>
      </c>
      <c r="M330" s="1" t="s">
        <v>127</v>
      </c>
      <c r="N330" s="641" t="s">
        <v>1286</v>
      </c>
      <c r="O330" s="641" t="s">
        <v>1286</v>
      </c>
      <c r="P330" s="689"/>
      <c r="Q330" s="632"/>
      <c r="R330" s="640" t="s">
        <v>1414</v>
      </c>
    </row>
    <row r="331" spans="1:18" s="37" customFormat="1" ht="14" outlineLevel="4">
      <c r="A331" s="53" t="s">
        <v>8</v>
      </c>
      <c r="B331" s="631" t="s">
        <v>1136</v>
      </c>
      <c r="C331" s="448" t="s">
        <v>24</v>
      </c>
      <c r="D331" s="8">
        <v>4</v>
      </c>
      <c r="E331" s="8"/>
      <c r="F331" s="8">
        <v>41319</v>
      </c>
      <c r="G331" s="8">
        <f t="shared" si="58"/>
        <v>165276</v>
      </c>
      <c r="H331" s="8">
        <f t="shared" si="59"/>
        <v>0</v>
      </c>
      <c r="I331" s="1"/>
      <c r="J331" s="1" t="s">
        <v>38</v>
      </c>
      <c r="K331" s="1" t="s">
        <v>210</v>
      </c>
      <c r="L331" s="1" t="s">
        <v>99</v>
      </c>
      <c r="M331" s="1" t="s">
        <v>127</v>
      </c>
      <c r="N331" s="642" t="s">
        <v>1287</v>
      </c>
      <c r="O331" s="632" t="s">
        <v>1136</v>
      </c>
      <c r="P331" s="689"/>
      <c r="Q331" s="632"/>
      <c r="R331" s="690" t="s">
        <v>1415</v>
      </c>
    </row>
    <row r="332" spans="1:18" s="37" customFormat="1" ht="14" outlineLevel="4">
      <c r="A332" s="53" t="s">
        <v>8</v>
      </c>
      <c r="B332" s="638" t="s">
        <v>180</v>
      </c>
      <c r="C332" s="448" t="s">
        <v>24</v>
      </c>
      <c r="D332" s="8">
        <v>3</v>
      </c>
      <c r="E332" s="8"/>
      <c r="F332" s="8">
        <v>41319</v>
      </c>
      <c r="G332" s="8">
        <f t="shared" si="58"/>
        <v>123957</v>
      </c>
      <c r="H332" s="8">
        <f t="shared" si="59"/>
        <v>0</v>
      </c>
      <c r="I332" s="1"/>
      <c r="J332" s="1" t="s">
        <v>38</v>
      </c>
      <c r="K332" s="1" t="s">
        <v>210</v>
      </c>
      <c r="L332" s="1" t="s">
        <v>99</v>
      </c>
      <c r="M332" s="1" t="s">
        <v>127</v>
      </c>
      <c r="N332" s="642" t="s">
        <v>1287</v>
      </c>
      <c r="O332" s="632" t="s">
        <v>1288</v>
      </c>
      <c r="P332" s="689"/>
      <c r="Q332" s="632"/>
      <c r="R332" s="690" t="s">
        <v>1416</v>
      </c>
    </row>
    <row r="333" spans="1:18" s="37" customFormat="1" ht="14" outlineLevel="4">
      <c r="A333" s="53" t="s">
        <v>8</v>
      </c>
      <c r="B333" s="643" t="s">
        <v>177</v>
      </c>
      <c r="C333" s="448" t="s">
        <v>24</v>
      </c>
      <c r="D333" s="8">
        <v>10</v>
      </c>
      <c r="E333" s="8"/>
      <c r="F333" s="8">
        <v>15197</v>
      </c>
      <c r="G333" s="8">
        <f t="shared" si="58"/>
        <v>151970</v>
      </c>
      <c r="H333" s="8">
        <f t="shared" si="59"/>
        <v>0</v>
      </c>
      <c r="I333" s="1"/>
      <c r="J333" s="1" t="s">
        <v>38</v>
      </c>
      <c r="K333" s="1" t="s">
        <v>210</v>
      </c>
      <c r="L333" s="1" t="s">
        <v>99</v>
      </c>
      <c r="M333" s="1" t="s">
        <v>127</v>
      </c>
      <c r="N333" s="642" t="s">
        <v>1287</v>
      </c>
      <c r="O333" s="632" t="s">
        <v>1289</v>
      </c>
      <c r="P333" s="689"/>
      <c r="Q333" s="632"/>
      <c r="R333" s="691" t="s">
        <v>1417</v>
      </c>
    </row>
    <row r="334" spans="1:18" s="37" customFormat="1" ht="14" outlineLevel="4">
      <c r="A334" s="53" t="s">
        <v>8</v>
      </c>
      <c r="B334" s="643" t="s">
        <v>178</v>
      </c>
      <c r="C334" s="448" t="s">
        <v>24</v>
      </c>
      <c r="D334" s="8">
        <v>4</v>
      </c>
      <c r="E334" s="8"/>
      <c r="F334" s="8">
        <v>15197</v>
      </c>
      <c r="G334" s="8">
        <f t="shared" si="58"/>
        <v>60788</v>
      </c>
      <c r="H334" s="8">
        <f t="shared" si="59"/>
        <v>0</v>
      </c>
      <c r="I334" s="1"/>
      <c r="J334" s="1" t="s">
        <v>38</v>
      </c>
      <c r="K334" s="1" t="s">
        <v>210</v>
      </c>
      <c r="L334" s="1" t="s">
        <v>99</v>
      </c>
      <c r="M334" s="1" t="s">
        <v>127</v>
      </c>
      <c r="N334" s="642" t="s">
        <v>1287</v>
      </c>
      <c r="O334" s="632" t="s">
        <v>1290</v>
      </c>
      <c r="P334" s="689"/>
      <c r="Q334" s="632"/>
      <c r="R334" s="691" t="s">
        <v>1418</v>
      </c>
    </row>
    <row r="335" spans="1:18" s="37" customFormat="1" ht="14" outlineLevel="4">
      <c r="A335" s="53" t="s">
        <v>8</v>
      </c>
      <c r="B335" s="643" t="s">
        <v>219</v>
      </c>
      <c r="C335" s="448" t="s">
        <v>24</v>
      </c>
      <c r="D335" s="8">
        <v>4</v>
      </c>
      <c r="E335" s="8"/>
      <c r="F335" s="8">
        <v>15197</v>
      </c>
      <c r="G335" s="8">
        <f t="shared" si="58"/>
        <v>60788</v>
      </c>
      <c r="H335" s="8">
        <f t="shared" si="59"/>
        <v>0</v>
      </c>
      <c r="I335" s="1"/>
      <c r="J335" s="1" t="s">
        <v>38</v>
      </c>
      <c r="K335" s="1" t="s">
        <v>210</v>
      </c>
      <c r="L335" s="1" t="s">
        <v>99</v>
      </c>
      <c r="M335" s="1" t="s">
        <v>127</v>
      </c>
      <c r="N335" s="642" t="s">
        <v>1287</v>
      </c>
      <c r="O335" s="632" t="s">
        <v>1291</v>
      </c>
      <c r="P335" s="689"/>
      <c r="Q335" s="632"/>
      <c r="R335" s="691" t="s">
        <v>1419</v>
      </c>
    </row>
    <row r="336" spans="1:18" s="37" customFormat="1" ht="14" outlineLevel="4">
      <c r="A336" s="53" t="s">
        <v>8</v>
      </c>
      <c r="B336" s="643" t="s">
        <v>125</v>
      </c>
      <c r="C336" s="448" t="s">
        <v>24</v>
      </c>
      <c r="D336" s="8">
        <v>7</v>
      </c>
      <c r="E336" s="8"/>
      <c r="F336" s="8">
        <v>4517</v>
      </c>
      <c r="G336" s="8">
        <f t="shared" si="58"/>
        <v>31619</v>
      </c>
      <c r="H336" s="8">
        <f t="shared" si="59"/>
        <v>0</v>
      </c>
      <c r="I336" s="1"/>
      <c r="J336" s="1" t="s">
        <v>38</v>
      </c>
      <c r="K336" s="1" t="s">
        <v>210</v>
      </c>
      <c r="L336" s="1" t="s">
        <v>99</v>
      </c>
      <c r="M336" s="1" t="s">
        <v>127</v>
      </c>
      <c r="N336" s="642" t="s">
        <v>1287</v>
      </c>
      <c r="O336" s="644" t="s">
        <v>125</v>
      </c>
      <c r="P336" s="689"/>
      <c r="Q336" s="632"/>
      <c r="R336" s="691" t="s">
        <v>1420</v>
      </c>
    </row>
    <row r="337" spans="1:18" s="37" customFormat="1" ht="14" outlineLevel="4">
      <c r="A337" s="53" t="s">
        <v>8</v>
      </c>
      <c r="B337" s="643" t="s">
        <v>126</v>
      </c>
      <c r="C337" s="448" t="s">
        <v>24</v>
      </c>
      <c r="D337" s="8">
        <v>2</v>
      </c>
      <c r="E337" s="8"/>
      <c r="F337" s="8">
        <v>41319</v>
      </c>
      <c r="G337" s="8">
        <f t="shared" si="58"/>
        <v>82638</v>
      </c>
      <c r="H337" s="8">
        <f t="shared" si="59"/>
        <v>0</v>
      </c>
      <c r="I337" s="1"/>
      <c r="J337" s="1" t="s">
        <v>38</v>
      </c>
      <c r="K337" s="1" t="s">
        <v>210</v>
      </c>
      <c r="L337" s="1" t="s">
        <v>99</v>
      </c>
      <c r="M337" s="1" t="s">
        <v>127</v>
      </c>
      <c r="N337" s="642" t="s">
        <v>1287</v>
      </c>
      <c r="O337" s="644" t="s">
        <v>126</v>
      </c>
      <c r="P337" s="689"/>
      <c r="Q337" s="632"/>
      <c r="R337" s="691" t="s">
        <v>1421</v>
      </c>
    </row>
    <row r="338" spans="1:18" s="37" customFormat="1" outlineLevel="4">
      <c r="A338" s="53" t="s">
        <v>8</v>
      </c>
      <c r="B338" s="643" t="s">
        <v>179</v>
      </c>
      <c r="C338" s="448" t="s">
        <v>9</v>
      </c>
      <c r="D338" s="8">
        <v>1</v>
      </c>
      <c r="E338" s="8"/>
      <c r="F338" s="8">
        <v>62501</v>
      </c>
      <c r="G338" s="8">
        <f t="shared" si="58"/>
        <v>62501</v>
      </c>
      <c r="H338" s="8">
        <f t="shared" si="59"/>
        <v>0</v>
      </c>
      <c r="I338" s="1"/>
      <c r="J338" s="1" t="s">
        <v>38</v>
      </c>
      <c r="K338" s="1" t="s">
        <v>210</v>
      </c>
      <c r="L338" s="1" t="s">
        <v>99</v>
      </c>
      <c r="M338" s="1" t="s">
        <v>127</v>
      </c>
      <c r="N338" s="642" t="s">
        <v>1287</v>
      </c>
      <c r="O338" s="632" t="s">
        <v>1292</v>
      </c>
      <c r="P338" s="689"/>
      <c r="Q338" s="632"/>
      <c r="R338" s="671" t="s">
        <v>1422</v>
      </c>
    </row>
    <row r="339" spans="1:18" s="37" customFormat="1" outlineLevel="3">
      <c r="A339" s="53" t="s">
        <v>8</v>
      </c>
      <c r="B339" s="162" t="s">
        <v>427</v>
      </c>
      <c r="C339" s="448" t="s">
        <v>9</v>
      </c>
      <c r="D339" s="8">
        <v>9</v>
      </c>
      <c r="E339" s="446"/>
      <c r="F339" s="8">
        <v>1162</v>
      </c>
      <c r="G339" s="8">
        <f t="shared" si="58"/>
        <v>10458</v>
      </c>
      <c r="H339" s="8">
        <f t="shared" si="59"/>
        <v>0</v>
      </c>
      <c r="I339" s="1"/>
      <c r="J339" s="1" t="s">
        <v>38</v>
      </c>
      <c r="K339" s="1" t="s">
        <v>210</v>
      </c>
      <c r="L339" s="1" t="s">
        <v>99</v>
      </c>
      <c r="M339" s="1" t="s">
        <v>127</v>
      </c>
      <c r="N339" s="642" t="s">
        <v>1293</v>
      </c>
      <c r="O339" s="642" t="s">
        <v>1293</v>
      </c>
      <c r="P339" s="669" t="s">
        <v>1294</v>
      </c>
      <c r="Q339" s="632"/>
      <c r="R339" s="632"/>
    </row>
    <row r="340" spans="1:18" s="37" customFormat="1" ht="14" outlineLevel="3">
      <c r="A340" s="53" t="s">
        <v>8</v>
      </c>
      <c r="B340" s="640" t="s">
        <v>1423</v>
      </c>
      <c r="C340" s="448" t="s">
        <v>24</v>
      </c>
      <c r="D340" s="8">
        <v>5</v>
      </c>
      <c r="E340" s="8"/>
      <c r="F340" s="8">
        <v>70743</v>
      </c>
      <c r="G340" s="8">
        <f t="shared" si="58"/>
        <v>353715</v>
      </c>
      <c r="H340" s="8">
        <f t="shared" si="59"/>
        <v>0</v>
      </c>
      <c r="I340" s="1"/>
      <c r="J340" s="1" t="s">
        <v>38</v>
      </c>
      <c r="K340" s="1" t="s">
        <v>210</v>
      </c>
      <c r="L340" s="1" t="s">
        <v>99</v>
      </c>
      <c r="M340" s="1" t="s">
        <v>127</v>
      </c>
      <c r="N340" s="647" t="s">
        <v>738</v>
      </c>
      <c r="O340" s="692" t="s">
        <v>1424</v>
      </c>
      <c r="P340" s="669"/>
      <c r="Q340" s="632"/>
      <c r="R340" s="688" t="s">
        <v>1425</v>
      </c>
    </row>
    <row r="341" spans="1:18" s="627" customFormat="1" ht="13.5" outlineLevel="3">
      <c r="A341" s="623">
        <v>4</v>
      </c>
      <c r="B341" s="645" t="s">
        <v>370</v>
      </c>
      <c r="C341" s="634"/>
      <c r="D341" s="629"/>
      <c r="E341" s="629"/>
      <c r="F341" s="635"/>
      <c r="G341" s="646">
        <f>SUBTOTAL(9,G342:G343)</f>
        <v>836372</v>
      </c>
      <c r="H341" s="646">
        <f t="shared" ref="H341" si="60">SUBTOTAL(9,H342:H343)</f>
        <v>836372</v>
      </c>
      <c r="I341" s="636"/>
      <c r="J341" s="1" t="s">
        <v>38</v>
      </c>
      <c r="K341" s="636"/>
      <c r="L341" s="636"/>
      <c r="M341" s="636"/>
      <c r="N341" s="636"/>
      <c r="O341" s="685"/>
      <c r="P341" s="686"/>
      <c r="Q341" s="685"/>
      <c r="R341" s="685"/>
    </row>
    <row r="342" spans="1:18" s="37" customFormat="1" ht="26" outlineLevel="3">
      <c r="A342" s="53" t="s">
        <v>8</v>
      </c>
      <c r="B342" s="631" t="s">
        <v>175</v>
      </c>
      <c r="C342" s="448" t="s">
        <v>24</v>
      </c>
      <c r="D342" s="8">
        <v>6</v>
      </c>
      <c r="E342" s="8">
        <v>6</v>
      </c>
      <c r="F342" s="8">
        <v>69092</v>
      </c>
      <c r="G342" s="8">
        <f>F342*D342</f>
        <v>414552</v>
      </c>
      <c r="H342" s="8">
        <f>F342*E342</f>
        <v>414552</v>
      </c>
      <c r="I342" s="1"/>
      <c r="J342" s="1" t="s">
        <v>38</v>
      </c>
      <c r="K342" s="1" t="s">
        <v>202</v>
      </c>
      <c r="L342" s="1" t="s">
        <v>99</v>
      </c>
      <c r="M342" s="1" t="s">
        <v>127</v>
      </c>
      <c r="N342" s="647" t="s">
        <v>738</v>
      </c>
      <c r="O342" s="647" t="s">
        <v>175</v>
      </c>
      <c r="P342" s="826" t="s">
        <v>1295</v>
      </c>
      <c r="Q342" s="632"/>
      <c r="R342" s="640" t="s">
        <v>1426</v>
      </c>
    </row>
    <row r="343" spans="1:18" s="37" customFormat="1" ht="26" outlineLevel="3">
      <c r="A343" s="53" t="s">
        <v>8</v>
      </c>
      <c r="B343" s="631" t="s">
        <v>215</v>
      </c>
      <c r="C343" s="448" t="s">
        <v>24</v>
      </c>
      <c r="D343" s="8">
        <v>4</v>
      </c>
      <c r="E343" s="8">
        <v>4</v>
      </c>
      <c r="F343" s="8">
        <v>105455</v>
      </c>
      <c r="G343" s="8">
        <f>F343*D343</f>
        <v>421820</v>
      </c>
      <c r="H343" s="8">
        <f>F343*E343</f>
        <v>421820</v>
      </c>
      <c r="I343" s="1"/>
      <c r="J343" s="1" t="s">
        <v>38</v>
      </c>
      <c r="K343" s="1" t="s">
        <v>202</v>
      </c>
      <c r="L343" s="1" t="s">
        <v>99</v>
      </c>
      <c r="M343" s="1" t="s">
        <v>127</v>
      </c>
      <c r="N343" s="647" t="s">
        <v>738</v>
      </c>
      <c r="O343" s="647" t="s">
        <v>215</v>
      </c>
      <c r="P343" s="825"/>
      <c r="Q343" s="632"/>
      <c r="R343" s="640" t="s">
        <v>1427</v>
      </c>
    </row>
    <row r="344" spans="1:18" s="627" customFormat="1" ht="13.5" outlineLevel="3">
      <c r="A344" s="623">
        <v>5</v>
      </c>
      <c r="B344" s="645" t="s">
        <v>429</v>
      </c>
      <c r="C344" s="634"/>
      <c r="D344" s="629"/>
      <c r="E344" s="629"/>
      <c r="F344" s="629"/>
      <c r="G344" s="646">
        <f>SUBTOTAL(9,G345:G346)</f>
        <v>9120000</v>
      </c>
      <c r="H344" s="646">
        <f>SUBTOTAL(9,H345:H346)</f>
        <v>10960000</v>
      </c>
      <c r="I344" s="636"/>
      <c r="J344" s="1" t="s">
        <v>38</v>
      </c>
      <c r="K344" s="636"/>
      <c r="L344" s="636"/>
      <c r="M344" s="636"/>
      <c r="N344" s="636"/>
      <c r="O344" s="685"/>
      <c r="P344" s="686" t="s">
        <v>1428</v>
      </c>
      <c r="Q344" s="685"/>
      <c r="R344" s="685"/>
    </row>
    <row r="345" spans="1:18" s="37" customFormat="1" outlineLevel="3">
      <c r="A345" s="53" t="s">
        <v>8</v>
      </c>
      <c r="B345" s="162" t="s">
        <v>428</v>
      </c>
      <c r="C345" s="448" t="s">
        <v>9</v>
      </c>
      <c r="D345" s="446">
        <v>19000000</v>
      </c>
      <c r="E345" s="446">
        <v>2000000</v>
      </c>
      <c r="F345" s="648">
        <v>0.48</v>
      </c>
      <c r="G345" s="8">
        <f>F345*D345</f>
        <v>9120000</v>
      </c>
      <c r="H345" s="8">
        <f>F345*E345</f>
        <v>960000</v>
      </c>
      <c r="I345" s="1"/>
      <c r="J345" s="1" t="s">
        <v>38</v>
      </c>
      <c r="K345" s="1" t="s">
        <v>210</v>
      </c>
      <c r="L345" s="1" t="s">
        <v>99</v>
      </c>
      <c r="M345" s="1" t="s">
        <v>127</v>
      </c>
      <c r="N345" s="63" t="s">
        <v>1296</v>
      </c>
      <c r="O345" s="632"/>
      <c r="P345" s="689"/>
      <c r="Q345" s="632"/>
      <c r="R345" s="632"/>
    </row>
    <row r="346" spans="1:18" s="37" customFormat="1" outlineLevel="3">
      <c r="A346" s="53" t="s">
        <v>8</v>
      </c>
      <c r="B346" s="162" t="s">
        <v>430</v>
      </c>
      <c r="C346" s="448" t="s">
        <v>9</v>
      </c>
      <c r="D346" s="446"/>
      <c r="E346" s="446">
        <v>20000000</v>
      </c>
      <c r="F346" s="648">
        <v>0.5</v>
      </c>
      <c r="G346" s="8">
        <f>F346*D346</f>
        <v>0</v>
      </c>
      <c r="H346" s="8">
        <f>F346*E346</f>
        <v>10000000</v>
      </c>
      <c r="I346" s="1"/>
      <c r="J346" s="1" t="s">
        <v>38</v>
      </c>
      <c r="K346" s="1" t="s">
        <v>210</v>
      </c>
      <c r="L346" s="1" t="s">
        <v>99</v>
      </c>
      <c r="M346" s="1" t="s">
        <v>127</v>
      </c>
      <c r="N346" s="63" t="s">
        <v>1297</v>
      </c>
      <c r="O346" s="63" t="s">
        <v>1297</v>
      </c>
      <c r="P346" s="689"/>
      <c r="Q346" s="632"/>
      <c r="R346" s="632"/>
    </row>
    <row r="347" spans="1:18" s="627" customFormat="1" outlineLevel="1">
      <c r="A347" s="623" t="s">
        <v>12</v>
      </c>
      <c r="B347" s="649" t="s">
        <v>435</v>
      </c>
      <c r="C347" s="625"/>
      <c r="D347" s="626"/>
      <c r="E347" s="626"/>
      <c r="F347" s="626"/>
      <c r="G347" s="626">
        <f>SUBTOTAL(9,G348:G355)</f>
        <v>1183504</v>
      </c>
      <c r="H347" s="626">
        <f>SUBTOTAL(9,H348:H355)</f>
        <v>1590832</v>
      </c>
      <c r="I347" s="626"/>
      <c r="J347" s="1" t="s">
        <v>38</v>
      </c>
      <c r="K347" s="636"/>
      <c r="L347" s="636"/>
      <c r="M347" s="636"/>
      <c r="N347" s="636"/>
      <c r="O347" s="685"/>
      <c r="P347" s="686"/>
      <c r="Q347" s="685"/>
      <c r="R347" s="685"/>
    </row>
    <row r="348" spans="1:18" s="630" customFormat="1" outlineLevel="2">
      <c r="A348" s="623">
        <v>1</v>
      </c>
      <c r="B348" s="650" t="s">
        <v>436</v>
      </c>
      <c r="C348" s="625"/>
      <c r="D348" s="626"/>
      <c r="E348" s="626"/>
      <c r="F348" s="626"/>
      <c r="G348" s="626">
        <f>SUBTOTAL(9,G349:G350)</f>
        <v>351452</v>
      </c>
      <c r="H348" s="626">
        <f>SUBTOTAL(9,H349:H350)</f>
        <v>1054356</v>
      </c>
      <c r="I348" s="626"/>
      <c r="J348" s="1" t="s">
        <v>38</v>
      </c>
      <c r="K348" s="656"/>
      <c r="L348" s="656"/>
      <c r="M348" s="656"/>
      <c r="N348" s="656"/>
      <c r="O348" s="650"/>
      <c r="P348" s="687"/>
      <c r="Q348" s="650"/>
      <c r="R348" s="650"/>
    </row>
    <row r="349" spans="1:18" s="37" customFormat="1" ht="26" outlineLevel="3">
      <c r="A349" s="53" t="s">
        <v>8</v>
      </c>
      <c r="B349" s="640" t="s">
        <v>1407</v>
      </c>
      <c r="C349" s="448" t="s">
        <v>24</v>
      </c>
      <c r="D349" s="8">
        <v>2</v>
      </c>
      <c r="E349" s="8">
        <v>6</v>
      </c>
      <c r="F349" s="445">
        <v>87563</v>
      </c>
      <c r="G349" s="8">
        <f>F349*D349</f>
        <v>175126</v>
      </c>
      <c r="H349" s="8">
        <f>F349*E349</f>
        <v>525378</v>
      </c>
      <c r="I349" s="1"/>
      <c r="J349" s="1" t="s">
        <v>38</v>
      </c>
      <c r="K349" s="1" t="s">
        <v>210</v>
      </c>
      <c r="L349" s="1" t="s">
        <v>99</v>
      </c>
      <c r="M349" s="1" t="s">
        <v>127</v>
      </c>
      <c r="N349" s="647" t="s">
        <v>738</v>
      </c>
      <c r="O349" s="647" t="s">
        <v>1278</v>
      </c>
      <c r="P349" s="678" t="s">
        <v>1298</v>
      </c>
      <c r="Q349" s="632"/>
      <c r="R349" s="688" t="s">
        <v>1408</v>
      </c>
    </row>
    <row r="350" spans="1:18" s="37" customFormat="1" outlineLevel="3">
      <c r="A350" s="53" t="s">
        <v>8</v>
      </c>
      <c r="B350" s="640" t="s">
        <v>1409</v>
      </c>
      <c r="C350" s="448" t="s">
        <v>24</v>
      </c>
      <c r="D350" s="8">
        <v>2</v>
      </c>
      <c r="E350" s="8">
        <v>6</v>
      </c>
      <c r="F350" s="445">
        <v>88163</v>
      </c>
      <c r="G350" s="8">
        <f>F350*D350</f>
        <v>176326</v>
      </c>
      <c r="H350" s="8">
        <f>F350*E350</f>
        <v>528978</v>
      </c>
      <c r="I350" s="1"/>
      <c r="J350" s="1" t="s">
        <v>38</v>
      </c>
      <c r="K350" s="1" t="s">
        <v>210</v>
      </c>
      <c r="L350" s="1" t="s">
        <v>99</v>
      </c>
      <c r="M350" s="1" t="s">
        <v>127</v>
      </c>
      <c r="N350" s="647" t="s">
        <v>738</v>
      </c>
      <c r="O350" s="651" t="s">
        <v>1280</v>
      </c>
      <c r="P350" s="678" t="s">
        <v>1299</v>
      </c>
      <c r="Q350" s="632"/>
      <c r="R350" s="688" t="s">
        <v>1429</v>
      </c>
    </row>
    <row r="351" spans="1:18" s="37" customFormat="1" outlineLevel="3">
      <c r="A351" s="53">
        <v>2</v>
      </c>
      <c r="B351" s="652" t="s">
        <v>437</v>
      </c>
      <c r="C351" s="448" t="s">
        <v>24</v>
      </c>
      <c r="D351" s="8"/>
      <c r="E351" s="8"/>
      <c r="F351" s="445"/>
      <c r="G351" s="626">
        <f>SUBTOTAL(9,G352)</f>
        <v>240900</v>
      </c>
      <c r="H351" s="626">
        <f>SUBTOTAL(9,H352)</f>
        <v>240900</v>
      </c>
      <c r="I351" s="1"/>
      <c r="J351" s="1" t="s">
        <v>38</v>
      </c>
      <c r="K351" s="1"/>
      <c r="L351" s="1"/>
      <c r="M351" s="1"/>
      <c r="N351" s="1"/>
      <c r="O351" s="1"/>
      <c r="P351" s="689"/>
      <c r="Q351" s="632"/>
      <c r="R351" s="632"/>
    </row>
    <row r="352" spans="1:18" s="37" customFormat="1" outlineLevel="3">
      <c r="A352" s="53" t="s">
        <v>8</v>
      </c>
      <c r="B352" s="631" t="s">
        <v>1430</v>
      </c>
      <c r="C352" s="448" t="s">
        <v>24</v>
      </c>
      <c r="D352" s="8">
        <v>4</v>
      </c>
      <c r="E352" s="8">
        <v>4</v>
      </c>
      <c r="F352" s="445">
        <v>60225</v>
      </c>
      <c r="G352" s="8">
        <f>F352*D352</f>
        <v>240900</v>
      </c>
      <c r="H352" s="8">
        <f>F352*E352</f>
        <v>240900</v>
      </c>
      <c r="I352" s="1"/>
      <c r="J352" s="1" t="s">
        <v>38</v>
      </c>
      <c r="K352" s="1" t="s">
        <v>210</v>
      </c>
      <c r="L352" s="1" t="s">
        <v>99</v>
      </c>
      <c r="M352" s="1" t="s">
        <v>127</v>
      </c>
      <c r="N352" s="647" t="s">
        <v>738</v>
      </c>
      <c r="O352" s="642" t="s">
        <v>1300</v>
      </c>
      <c r="P352" s="678" t="s">
        <v>1301</v>
      </c>
      <c r="Q352" s="632"/>
      <c r="R352" s="688" t="s">
        <v>1431</v>
      </c>
    </row>
    <row r="353" spans="1:18" s="37" customFormat="1" outlineLevel="3">
      <c r="A353" s="623">
        <v>3</v>
      </c>
      <c r="B353" s="650" t="s">
        <v>1302</v>
      </c>
      <c r="C353" s="650"/>
      <c r="D353" s="650"/>
      <c r="E353" s="650"/>
      <c r="F353" s="650"/>
      <c r="G353" s="626">
        <f>SUBTOTAL(9,G354:G355)</f>
        <v>591152</v>
      </c>
      <c r="H353" s="626">
        <f>SUBTOTAL(9,H354:H355)</f>
        <v>295576</v>
      </c>
      <c r="I353" s="1"/>
      <c r="J353" s="1" t="s">
        <v>38</v>
      </c>
      <c r="K353" s="1"/>
      <c r="L353" s="1"/>
      <c r="M353" s="1"/>
      <c r="N353" s="647"/>
      <c r="O353" s="642"/>
      <c r="P353" s="678"/>
      <c r="Q353" s="632"/>
      <c r="R353" s="632"/>
    </row>
    <row r="354" spans="1:18" s="37" customFormat="1" ht="52" outlineLevel="3">
      <c r="A354" s="53" t="s">
        <v>8</v>
      </c>
      <c r="B354" s="640" t="s">
        <v>1407</v>
      </c>
      <c r="C354" s="448" t="s">
        <v>24</v>
      </c>
      <c r="D354" s="8">
        <v>4</v>
      </c>
      <c r="E354" s="8">
        <v>2</v>
      </c>
      <c r="F354" s="8">
        <v>87563</v>
      </c>
      <c r="G354" s="8">
        <f>F354*D354</f>
        <v>350252</v>
      </c>
      <c r="H354" s="8">
        <f>F354*E354</f>
        <v>175126</v>
      </c>
      <c r="I354" s="1"/>
      <c r="J354" s="1" t="s">
        <v>38</v>
      </c>
      <c r="K354" s="1" t="s">
        <v>210</v>
      </c>
      <c r="L354" s="1" t="s">
        <v>99</v>
      </c>
      <c r="M354" s="1"/>
      <c r="N354" s="647" t="s">
        <v>738</v>
      </c>
      <c r="O354" s="640" t="s">
        <v>1278</v>
      </c>
      <c r="P354" s="200" t="s">
        <v>1303</v>
      </c>
      <c r="Q354" s="632"/>
      <c r="R354" s="688" t="s">
        <v>1408</v>
      </c>
    </row>
    <row r="355" spans="1:18" s="37" customFormat="1" ht="221" outlineLevel="3">
      <c r="A355" s="53" t="s">
        <v>8</v>
      </c>
      <c r="B355" s="640" t="s">
        <v>1432</v>
      </c>
      <c r="C355" s="448" t="s">
        <v>24</v>
      </c>
      <c r="D355" s="8">
        <v>4</v>
      </c>
      <c r="E355" s="8">
        <v>2</v>
      </c>
      <c r="F355" s="8">
        <v>60225</v>
      </c>
      <c r="G355" s="8">
        <f>F355*D355</f>
        <v>240900</v>
      </c>
      <c r="H355" s="8">
        <f>F355*E355</f>
        <v>120450</v>
      </c>
      <c r="I355" s="1"/>
      <c r="J355" s="1" t="s">
        <v>38</v>
      </c>
      <c r="K355" s="1" t="s">
        <v>210</v>
      </c>
      <c r="L355" s="1" t="s">
        <v>99</v>
      </c>
      <c r="M355" s="1"/>
      <c r="N355" s="647" t="s">
        <v>738</v>
      </c>
      <c r="O355" s="692" t="s">
        <v>1433</v>
      </c>
      <c r="P355" s="200" t="s">
        <v>1304</v>
      </c>
      <c r="Q355" s="632"/>
      <c r="R355" s="668" t="s">
        <v>1434</v>
      </c>
    </row>
    <row r="356" spans="1:18" s="627" customFormat="1" outlineLevel="1">
      <c r="A356" s="623" t="s">
        <v>19</v>
      </c>
      <c r="B356" s="649" t="s">
        <v>1305</v>
      </c>
      <c r="C356" s="625"/>
      <c r="D356" s="626"/>
      <c r="E356" s="626"/>
      <c r="F356" s="626"/>
      <c r="G356" s="626">
        <f>SUBTOTAL(9,G357:G360)</f>
        <v>723956</v>
      </c>
      <c r="H356" s="626">
        <f>SUBTOTAL(9,H357:H360)</f>
        <v>2447683</v>
      </c>
      <c r="I356" s="626"/>
      <c r="J356" s="1" t="s">
        <v>38</v>
      </c>
      <c r="K356" s="636"/>
      <c r="L356" s="636"/>
      <c r="M356" s="636"/>
      <c r="N356" s="636"/>
      <c r="O356" s="685"/>
      <c r="P356" s="686"/>
      <c r="Q356" s="685"/>
      <c r="R356" s="685"/>
    </row>
    <row r="357" spans="1:18" s="627" customFormat="1" outlineLevel="3">
      <c r="A357" s="633">
        <v>1</v>
      </c>
      <c r="B357" s="649" t="s">
        <v>376</v>
      </c>
      <c r="C357" s="634"/>
      <c r="D357" s="629"/>
      <c r="E357" s="629"/>
      <c r="F357" s="635"/>
      <c r="G357" s="629">
        <f>SUBTOTAL(9,G358:G360)</f>
        <v>723956</v>
      </c>
      <c r="H357" s="629">
        <f>SUBTOTAL(9,H358:H360)</f>
        <v>2447683</v>
      </c>
      <c r="I357" s="636"/>
      <c r="J357" s="1" t="s">
        <v>38</v>
      </c>
      <c r="K357" s="636"/>
      <c r="L357" s="636"/>
      <c r="M357" s="636"/>
      <c r="N357" s="636"/>
      <c r="O357" s="685"/>
      <c r="P357" s="686"/>
      <c r="Q357" s="685"/>
      <c r="R357" s="685"/>
    </row>
    <row r="358" spans="1:18" s="37" customFormat="1" ht="39" outlineLevel="3">
      <c r="A358" s="53" t="s">
        <v>8</v>
      </c>
      <c r="B358" s="631" t="s">
        <v>144</v>
      </c>
      <c r="C358" s="448" t="s">
        <v>24</v>
      </c>
      <c r="D358" s="8">
        <v>1</v>
      </c>
      <c r="E358" s="8">
        <v>2</v>
      </c>
      <c r="F358" s="8">
        <v>649370</v>
      </c>
      <c r="G358" s="8">
        <f>F358*D358</f>
        <v>649370</v>
      </c>
      <c r="H358" s="8">
        <f>F358*E358</f>
        <v>1298740</v>
      </c>
      <c r="I358" s="1"/>
      <c r="J358" s="1" t="s">
        <v>38</v>
      </c>
      <c r="K358" s="1" t="s">
        <v>210</v>
      </c>
      <c r="L358" s="1" t="s">
        <v>99</v>
      </c>
      <c r="M358" s="1" t="s">
        <v>127</v>
      </c>
      <c r="N358" s="63" t="s">
        <v>55</v>
      </c>
      <c r="O358" s="631" t="s">
        <v>144</v>
      </c>
      <c r="P358" s="689" t="s">
        <v>1306</v>
      </c>
      <c r="Q358" s="632"/>
      <c r="R358" s="693" t="s">
        <v>1435</v>
      </c>
    </row>
    <row r="359" spans="1:18" s="37" customFormat="1" ht="52" outlineLevel="3">
      <c r="A359" s="53" t="s">
        <v>8</v>
      </c>
      <c r="B359" s="631" t="s">
        <v>176</v>
      </c>
      <c r="C359" s="448" t="s">
        <v>24</v>
      </c>
      <c r="D359" s="8">
        <v>2</v>
      </c>
      <c r="E359" s="8">
        <v>4</v>
      </c>
      <c r="F359" s="8">
        <v>37293</v>
      </c>
      <c r="G359" s="8">
        <f>F359*D359</f>
        <v>74586</v>
      </c>
      <c r="H359" s="8">
        <f>F359*E359</f>
        <v>149172</v>
      </c>
      <c r="I359" s="1"/>
      <c r="J359" s="1" t="s">
        <v>38</v>
      </c>
      <c r="K359" s="1" t="s">
        <v>210</v>
      </c>
      <c r="L359" s="1" t="s">
        <v>99</v>
      </c>
      <c r="M359" s="1" t="s">
        <v>127</v>
      </c>
      <c r="N359" s="63" t="s">
        <v>1307</v>
      </c>
      <c r="O359" s="631" t="s">
        <v>176</v>
      </c>
      <c r="P359" s="689"/>
      <c r="Q359" s="632"/>
      <c r="R359" s="671" t="s">
        <v>1436</v>
      </c>
    </row>
    <row r="360" spans="1:18" s="37" customFormat="1" outlineLevel="3">
      <c r="A360" s="53" t="s">
        <v>8</v>
      </c>
      <c r="B360" s="631" t="s">
        <v>216</v>
      </c>
      <c r="C360" s="448" t="s">
        <v>9</v>
      </c>
      <c r="D360" s="16"/>
      <c r="E360" s="16">
        <v>1</v>
      </c>
      <c r="F360" s="8">
        <v>999771</v>
      </c>
      <c r="G360" s="8">
        <f>F360*D360</f>
        <v>0</v>
      </c>
      <c r="H360" s="8">
        <f>F360*E360</f>
        <v>999771</v>
      </c>
      <c r="I360" s="1"/>
      <c r="J360" s="1" t="s">
        <v>38</v>
      </c>
      <c r="K360" s="1" t="s">
        <v>210</v>
      </c>
      <c r="L360" s="1" t="s">
        <v>99</v>
      </c>
      <c r="M360" s="1" t="s">
        <v>127</v>
      </c>
      <c r="N360" s="63" t="s">
        <v>55</v>
      </c>
      <c r="O360" s="632" t="s">
        <v>1308</v>
      </c>
      <c r="P360" s="689"/>
      <c r="Q360" s="632"/>
      <c r="R360" s="632" t="s">
        <v>1437</v>
      </c>
    </row>
    <row r="361" spans="1:18" s="627" customFormat="1" outlineLevel="3">
      <c r="A361" s="623" t="s">
        <v>26</v>
      </c>
      <c r="B361" s="628" t="s">
        <v>137</v>
      </c>
      <c r="C361" s="634"/>
      <c r="D361" s="629"/>
      <c r="E361" s="629"/>
      <c r="F361" s="653"/>
      <c r="G361" s="626">
        <f>SUBTOTAL(9,G362:G371)</f>
        <v>1487340</v>
      </c>
      <c r="H361" s="626">
        <f>SUBTOTAL(9,H362:H371)</f>
        <v>2422390</v>
      </c>
      <c r="I361" s="636"/>
      <c r="J361" s="636"/>
      <c r="K361" s="636"/>
      <c r="L361" s="636"/>
      <c r="M361" s="636"/>
      <c r="N361" s="636"/>
      <c r="O361" s="685"/>
      <c r="P361" s="686"/>
      <c r="Q361" s="685"/>
      <c r="R361" s="685"/>
    </row>
    <row r="362" spans="1:18" s="627" customFormat="1" outlineLevel="3">
      <c r="A362" s="623">
        <v>1</v>
      </c>
      <c r="B362" s="628" t="s">
        <v>413</v>
      </c>
      <c r="C362" s="634"/>
      <c r="D362" s="629"/>
      <c r="E362" s="629"/>
      <c r="F362" s="635"/>
      <c r="G362" s="626">
        <f>SUBTOTAL(9,G363:G365)</f>
        <v>0</v>
      </c>
      <c r="H362" s="626">
        <f>SUBTOTAL(9,H363:H365)</f>
        <v>1659006</v>
      </c>
      <c r="I362" s="636"/>
      <c r="J362" s="636"/>
      <c r="K362" s="636"/>
      <c r="L362" s="636"/>
      <c r="M362" s="636"/>
      <c r="N362" s="636"/>
      <c r="O362" s="685"/>
      <c r="P362" s="686"/>
      <c r="Q362" s="685"/>
      <c r="R362" s="685"/>
    </row>
    <row r="363" spans="1:18" s="37" customFormat="1" ht="26" outlineLevel="3">
      <c r="A363" s="53" t="s">
        <v>8</v>
      </c>
      <c r="B363" s="640" t="s">
        <v>1407</v>
      </c>
      <c r="C363" s="448" t="s">
        <v>24</v>
      </c>
      <c r="D363" s="8"/>
      <c r="E363" s="8">
        <v>2</v>
      </c>
      <c r="F363" s="445">
        <v>87563</v>
      </c>
      <c r="G363" s="8">
        <f>F363*D363</f>
        <v>0</v>
      </c>
      <c r="H363" s="8">
        <f>F363*E363</f>
        <v>175126</v>
      </c>
      <c r="I363" s="1"/>
      <c r="J363" s="1" t="s">
        <v>38</v>
      </c>
      <c r="K363" s="1" t="s">
        <v>128</v>
      </c>
      <c r="L363" s="1" t="s">
        <v>99</v>
      </c>
      <c r="M363" s="1" t="s">
        <v>127</v>
      </c>
      <c r="N363" s="647" t="s">
        <v>738</v>
      </c>
      <c r="O363" s="647" t="s">
        <v>1278</v>
      </c>
      <c r="P363" s="654" t="s">
        <v>943</v>
      </c>
      <c r="Q363" s="632"/>
      <c r="R363" s="688" t="s">
        <v>1408</v>
      </c>
    </row>
    <row r="364" spans="1:18" s="37" customFormat="1" outlineLevel="3">
      <c r="A364" s="53" t="s">
        <v>8</v>
      </c>
      <c r="B364" s="640" t="s">
        <v>1409</v>
      </c>
      <c r="C364" s="448" t="s">
        <v>24</v>
      </c>
      <c r="D364" s="8"/>
      <c r="E364" s="8">
        <v>10</v>
      </c>
      <c r="F364" s="447">
        <v>88163</v>
      </c>
      <c r="G364" s="8">
        <f>F364*D364</f>
        <v>0</v>
      </c>
      <c r="H364" s="8">
        <f>F364*E364</f>
        <v>881630</v>
      </c>
      <c r="I364" s="1"/>
      <c r="J364" s="1" t="s">
        <v>38</v>
      </c>
      <c r="K364" s="1" t="s">
        <v>128</v>
      </c>
      <c r="L364" s="1" t="s">
        <v>99</v>
      </c>
      <c r="M364" s="1" t="s">
        <v>127</v>
      </c>
      <c r="N364" s="647" t="s">
        <v>738</v>
      </c>
      <c r="O364" s="651" t="s">
        <v>1280</v>
      </c>
      <c r="P364" s="671" t="s">
        <v>942</v>
      </c>
      <c r="Q364" s="632"/>
      <c r="R364" s="688" t="s">
        <v>1411</v>
      </c>
    </row>
    <row r="365" spans="1:18" s="37" customFormat="1" outlineLevel="3">
      <c r="A365" s="53" t="s">
        <v>8</v>
      </c>
      <c r="B365" s="631" t="s">
        <v>1430</v>
      </c>
      <c r="C365" s="448" t="s">
        <v>24</v>
      </c>
      <c r="D365" s="8"/>
      <c r="E365" s="8">
        <v>10</v>
      </c>
      <c r="F365" s="445">
        <v>60225</v>
      </c>
      <c r="G365" s="8">
        <f>F365*D365</f>
        <v>0</v>
      </c>
      <c r="H365" s="8">
        <f>F365*E365</f>
        <v>602250</v>
      </c>
      <c r="I365" s="1"/>
      <c r="J365" s="1" t="s">
        <v>38</v>
      </c>
      <c r="K365" s="1" t="s">
        <v>128</v>
      </c>
      <c r="L365" s="1" t="s">
        <v>99</v>
      </c>
      <c r="M365" s="1" t="s">
        <v>127</v>
      </c>
      <c r="N365" s="647" t="s">
        <v>738</v>
      </c>
      <c r="O365" s="642" t="s">
        <v>1300</v>
      </c>
      <c r="P365" s="654" t="s">
        <v>944</v>
      </c>
      <c r="Q365" s="632"/>
      <c r="R365" s="688" t="s">
        <v>1431</v>
      </c>
    </row>
    <row r="366" spans="1:18" s="630" customFormat="1" outlineLevel="2">
      <c r="A366" s="623">
        <v>2</v>
      </c>
      <c r="B366" s="624" t="s">
        <v>55</v>
      </c>
      <c r="C366" s="625"/>
      <c r="D366" s="626"/>
      <c r="E366" s="626"/>
      <c r="F366" s="626"/>
      <c r="G366" s="626">
        <f>SUBTOTAL(9,G367:G368)</f>
        <v>1447912</v>
      </c>
      <c r="H366" s="626">
        <f t="shared" ref="H366" si="61">SUBTOTAL(9,H367:H368)</f>
        <v>723956</v>
      </c>
      <c r="I366" s="655"/>
      <c r="J366" s="656"/>
      <c r="K366" s="656"/>
      <c r="L366" s="656"/>
      <c r="M366" s="656"/>
      <c r="N366" s="656"/>
      <c r="O366" s="650"/>
      <c r="P366" s="687"/>
      <c r="Q366" s="650"/>
      <c r="R366" s="650"/>
    </row>
    <row r="367" spans="1:18" s="37" customFormat="1" ht="66" customHeight="1" outlineLevel="3">
      <c r="A367" s="53" t="s">
        <v>8</v>
      </c>
      <c r="B367" s="631" t="s">
        <v>144</v>
      </c>
      <c r="C367" s="448" t="s">
        <v>24</v>
      </c>
      <c r="D367" s="8">
        <v>2</v>
      </c>
      <c r="E367" s="8">
        <v>1</v>
      </c>
      <c r="F367" s="8">
        <v>649370</v>
      </c>
      <c r="G367" s="8">
        <f>F367*D367</f>
        <v>1298740</v>
      </c>
      <c r="H367" s="8">
        <f>F367*E367</f>
        <v>649370</v>
      </c>
      <c r="I367" s="1"/>
      <c r="J367" s="1" t="s">
        <v>38</v>
      </c>
      <c r="K367" s="1" t="s">
        <v>128</v>
      </c>
      <c r="L367" s="1" t="s">
        <v>99</v>
      </c>
      <c r="M367" s="1" t="s">
        <v>127</v>
      </c>
      <c r="N367" s="63" t="s">
        <v>55</v>
      </c>
      <c r="O367" s="631" t="s">
        <v>144</v>
      </c>
      <c r="P367" s="670" t="s">
        <v>1309</v>
      </c>
      <c r="Q367" s="632"/>
      <c r="R367" s="693" t="s">
        <v>1435</v>
      </c>
    </row>
    <row r="368" spans="1:18" s="37" customFormat="1" ht="52" outlineLevel="3">
      <c r="A368" s="53" t="s">
        <v>8</v>
      </c>
      <c r="B368" s="631" t="s">
        <v>176</v>
      </c>
      <c r="C368" s="448" t="s">
        <v>24</v>
      </c>
      <c r="D368" s="8">
        <v>4</v>
      </c>
      <c r="E368" s="8">
        <v>2</v>
      </c>
      <c r="F368" s="8">
        <v>37293</v>
      </c>
      <c r="G368" s="8">
        <f>F368*D368</f>
        <v>149172</v>
      </c>
      <c r="H368" s="8">
        <f>F368*E368</f>
        <v>74586</v>
      </c>
      <c r="I368" s="1"/>
      <c r="J368" s="1" t="s">
        <v>38</v>
      </c>
      <c r="K368" s="1" t="s">
        <v>128</v>
      </c>
      <c r="L368" s="1" t="s">
        <v>99</v>
      </c>
      <c r="M368" s="1" t="s">
        <v>127</v>
      </c>
      <c r="N368" s="63" t="s">
        <v>1307</v>
      </c>
      <c r="O368" s="631" t="s">
        <v>176</v>
      </c>
      <c r="P368" s="670"/>
      <c r="Q368" s="632"/>
      <c r="R368" s="671" t="s">
        <v>1436</v>
      </c>
    </row>
    <row r="369" spans="1:18" s="630" customFormat="1" outlineLevel="2">
      <c r="A369" s="623">
        <v>3</v>
      </c>
      <c r="B369" s="649" t="s">
        <v>35</v>
      </c>
      <c r="C369" s="625"/>
      <c r="D369" s="626"/>
      <c r="E369" s="626"/>
      <c r="F369" s="626"/>
      <c r="G369" s="626">
        <f>SUBTOTAL(9,G370:G371)</f>
        <v>39428</v>
      </c>
      <c r="H369" s="626">
        <f>SUBTOTAL(9,H370:H371)</f>
        <v>39428</v>
      </c>
      <c r="I369" s="656"/>
      <c r="J369" s="1" t="s">
        <v>38</v>
      </c>
      <c r="K369" s="656"/>
      <c r="L369" s="656"/>
      <c r="M369" s="656"/>
      <c r="N369" s="656"/>
      <c r="O369" s="650"/>
      <c r="P369" s="670"/>
      <c r="Q369" s="650"/>
      <c r="R369" s="650"/>
    </row>
    <row r="370" spans="1:18" s="37" customFormat="1" ht="14" outlineLevel="4">
      <c r="A370" s="53" t="s">
        <v>8</v>
      </c>
      <c r="B370" s="643" t="s">
        <v>177</v>
      </c>
      <c r="C370" s="448" t="s">
        <v>24</v>
      </c>
      <c r="D370" s="8">
        <v>2</v>
      </c>
      <c r="E370" s="8">
        <v>2</v>
      </c>
      <c r="F370" s="446">
        <v>15197</v>
      </c>
      <c r="G370" s="8">
        <f>F370*D370</f>
        <v>30394</v>
      </c>
      <c r="H370" s="8">
        <f>F370*E370</f>
        <v>30394</v>
      </c>
      <c r="I370" s="1"/>
      <c r="J370" s="1" t="s">
        <v>38</v>
      </c>
      <c r="K370" s="1" t="s">
        <v>128</v>
      </c>
      <c r="L370" s="1" t="s">
        <v>99</v>
      </c>
      <c r="M370" s="1" t="s">
        <v>127</v>
      </c>
      <c r="N370" s="642" t="s">
        <v>1287</v>
      </c>
      <c r="O370" s="632" t="s">
        <v>1289</v>
      </c>
      <c r="P370" s="689"/>
      <c r="Q370" s="632"/>
      <c r="R370" s="691" t="s">
        <v>1438</v>
      </c>
    </row>
    <row r="371" spans="1:18" s="37" customFormat="1" ht="14" outlineLevel="4">
      <c r="A371" s="53" t="s">
        <v>8</v>
      </c>
      <c r="B371" s="643" t="s">
        <v>125</v>
      </c>
      <c r="C371" s="448" t="s">
        <v>24</v>
      </c>
      <c r="D371" s="8">
        <v>2</v>
      </c>
      <c r="E371" s="8">
        <v>2</v>
      </c>
      <c r="F371" s="446">
        <v>4517</v>
      </c>
      <c r="G371" s="8">
        <f>F371*D371</f>
        <v>9034</v>
      </c>
      <c r="H371" s="8">
        <f>F371*E371</f>
        <v>9034</v>
      </c>
      <c r="I371" s="1"/>
      <c r="J371" s="1" t="s">
        <v>38</v>
      </c>
      <c r="K371" s="1" t="s">
        <v>128</v>
      </c>
      <c r="L371" s="1" t="s">
        <v>99</v>
      </c>
      <c r="M371" s="1" t="s">
        <v>127</v>
      </c>
      <c r="N371" s="642" t="s">
        <v>1287</v>
      </c>
      <c r="O371" s="644" t="s">
        <v>125</v>
      </c>
      <c r="P371" s="689"/>
      <c r="Q371" s="632"/>
      <c r="R371" s="691" t="s">
        <v>1439</v>
      </c>
    </row>
    <row r="372" spans="1:18" s="630" customFormat="1" outlineLevel="2">
      <c r="A372" s="623" t="s">
        <v>37</v>
      </c>
      <c r="B372" s="649" t="s">
        <v>425</v>
      </c>
      <c r="C372" s="625"/>
      <c r="D372" s="626"/>
      <c r="E372" s="626"/>
      <c r="F372" s="626"/>
      <c r="G372" s="626">
        <f>SUBTOTAL(9,G373:G373)</f>
        <v>400000</v>
      </c>
      <c r="H372" s="626">
        <f>SUBTOTAL(9,H373:H373)</f>
        <v>400000</v>
      </c>
      <c r="I372" s="656"/>
      <c r="J372" s="1" t="s">
        <v>38</v>
      </c>
      <c r="K372" s="656"/>
      <c r="L372" s="656"/>
      <c r="M372" s="656"/>
      <c r="N372" s="656"/>
      <c r="O372" s="650"/>
      <c r="P372" s="687"/>
      <c r="Q372" s="650"/>
      <c r="R372" s="650"/>
    </row>
    <row r="373" spans="1:18" s="505" customFormat="1" outlineLevel="2">
      <c r="A373" s="53" t="s">
        <v>8</v>
      </c>
      <c r="B373" s="652" t="s">
        <v>438</v>
      </c>
      <c r="C373" s="448" t="s">
        <v>9</v>
      </c>
      <c r="D373" s="16">
        <v>1</v>
      </c>
      <c r="E373" s="8">
        <v>1</v>
      </c>
      <c r="F373" s="8">
        <v>400000</v>
      </c>
      <c r="G373" s="8">
        <f>F373*D373</f>
        <v>400000</v>
      </c>
      <c r="H373" s="8">
        <f>F373*E373</f>
        <v>400000</v>
      </c>
      <c r="I373" s="1"/>
      <c r="J373" s="1" t="s">
        <v>38</v>
      </c>
      <c r="K373" s="540" t="s">
        <v>325</v>
      </c>
      <c r="L373" s="540" t="s">
        <v>99</v>
      </c>
      <c r="M373" s="540"/>
      <c r="N373" s="540"/>
      <c r="O373" s="694"/>
      <c r="P373" s="695"/>
      <c r="Q373" s="694"/>
      <c r="R373" s="694"/>
    </row>
    <row r="374" spans="1:18" s="630" customFormat="1" outlineLevel="4">
      <c r="A374" s="623" t="s">
        <v>333</v>
      </c>
      <c r="B374" s="649" t="s">
        <v>377</v>
      </c>
      <c r="C374" s="625" t="s">
        <v>9</v>
      </c>
      <c r="D374" s="626"/>
      <c r="E374" s="626"/>
      <c r="F374" s="626"/>
      <c r="G374" s="626">
        <f>SUBTOTAL(9,G375:G385)</f>
        <v>55241</v>
      </c>
      <c r="H374" s="626">
        <f t="shared" ref="H374" si="62">SUBTOTAL(9,H375:H385)</f>
        <v>55119</v>
      </c>
      <c r="I374" s="656"/>
      <c r="J374" s="1" t="s">
        <v>38</v>
      </c>
      <c r="K374" s="656"/>
      <c r="L374" s="656"/>
      <c r="M374" s="656"/>
      <c r="N374" s="687"/>
      <c r="O374" s="650"/>
      <c r="P374" s="687"/>
      <c r="Q374" s="650"/>
      <c r="R374" s="650"/>
    </row>
    <row r="375" spans="1:18" s="37" customFormat="1" outlineLevel="4">
      <c r="A375" s="53" t="s">
        <v>8</v>
      </c>
      <c r="B375" s="638" t="s">
        <v>378</v>
      </c>
      <c r="C375" s="448" t="s">
        <v>24</v>
      </c>
      <c r="D375" s="8">
        <v>0</v>
      </c>
      <c r="E375" s="8">
        <v>0</v>
      </c>
      <c r="F375" s="31">
        <v>3000</v>
      </c>
      <c r="G375" s="8">
        <f t="shared" ref="G375:G385" si="63">F375*D375</f>
        <v>0</v>
      </c>
      <c r="H375" s="8">
        <f t="shared" ref="H375:H393" si="64">F375*E375</f>
        <v>0</v>
      </c>
      <c r="I375" s="1"/>
      <c r="J375" s="1" t="s">
        <v>38</v>
      </c>
      <c r="K375" s="1" t="s">
        <v>210</v>
      </c>
      <c r="L375" s="1" t="s">
        <v>99</v>
      </c>
      <c r="M375" s="1" t="s">
        <v>127</v>
      </c>
      <c r="N375" s="63" t="s">
        <v>1310</v>
      </c>
      <c r="O375" s="632"/>
      <c r="P375" s="689" t="s">
        <v>1311</v>
      </c>
      <c r="Q375" s="632"/>
      <c r="R375" s="632"/>
    </row>
    <row r="376" spans="1:18" s="37" customFormat="1" outlineLevel="4">
      <c r="A376" s="53" t="s">
        <v>8</v>
      </c>
      <c r="B376" s="638" t="s">
        <v>379</v>
      </c>
      <c r="C376" s="448" t="s">
        <v>380</v>
      </c>
      <c r="D376" s="8">
        <v>420</v>
      </c>
      <c r="E376" s="8">
        <v>420</v>
      </c>
      <c r="F376" s="696">
        <v>6</v>
      </c>
      <c r="G376" s="8">
        <f t="shared" si="63"/>
        <v>2520</v>
      </c>
      <c r="H376" s="8">
        <f t="shared" si="64"/>
        <v>2520</v>
      </c>
      <c r="I376" s="1"/>
      <c r="J376" s="1" t="s">
        <v>38</v>
      </c>
      <c r="K376" s="1" t="s">
        <v>210</v>
      </c>
      <c r="L376" s="1" t="s">
        <v>99</v>
      </c>
      <c r="M376" s="1" t="s">
        <v>127</v>
      </c>
      <c r="N376" s="63" t="s">
        <v>1310</v>
      </c>
      <c r="O376" s="632"/>
      <c r="P376" s="689"/>
      <c r="Q376" s="632"/>
      <c r="R376" s="632"/>
    </row>
    <row r="377" spans="1:18" s="37" customFormat="1" outlineLevel="4">
      <c r="A377" s="53" t="s">
        <v>8</v>
      </c>
      <c r="B377" s="638" t="s">
        <v>381</v>
      </c>
      <c r="C377" s="448" t="s">
        <v>380</v>
      </c>
      <c r="D377" s="8">
        <v>210</v>
      </c>
      <c r="E377" s="8">
        <v>210</v>
      </c>
      <c r="F377" s="696">
        <v>5</v>
      </c>
      <c r="G377" s="8">
        <f t="shared" si="63"/>
        <v>1050</v>
      </c>
      <c r="H377" s="8">
        <f t="shared" si="64"/>
        <v>1050</v>
      </c>
      <c r="I377" s="1"/>
      <c r="J377" s="1" t="s">
        <v>38</v>
      </c>
      <c r="K377" s="1" t="s">
        <v>210</v>
      </c>
      <c r="L377" s="1" t="s">
        <v>99</v>
      </c>
      <c r="M377" s="1" t="s">
        <v>127</v>
      </c>
      <c r="N377" s="63" t="s">
        <v>1310</v>
      </c>
      <c r="O377" s="632"/>
      <c r="P377" s="689"/>
      <c r="Q377" s="632"/>
      <c r="R377" s="632"/>
    </row>
    <row r="378" spans="1:18" s="37" customFormat="1" outlineLevel="4">
      <c r="A378" s="53" t="s">
        <v>8</v>
      </c>
      <c r="B378" s="631" t="s">
        <v>382</v>
      </c>
      <c r="C378" s="448" t="s">
        <v>383</v>
      </c>
      <c r="D378" s="8">
        <v>3</v>
      </c>
      <c r="E378" s="8">
        <v>3</v>
      </c>
      <c r="F378" s="697">
        <v>158</v>
      </c>
      <c r="G378" s="8">
        <f t="shared" si="63"/>
        <v>474</v>
      </c>
      <c r="H378" s="8">
        <f t="shared" si="64"/>
        <v>474</v>
      </c>
      <c r="I378" s="1"/>
      <c r="J378" s="1" t="s">
        <v>38</v>
      </c>
      <c r="K378" s="1" t="s">
        <v>210</v>
      </c>
      <c r="L378" s="1" t="s">
        <v>99</v>
      </c>
      <c r="M378" s="1" t="s">
        <v>127</v>
      </c>
      <c r="N378" s="63" t="s">
        <v>1310</v>
      </c>
      <c r="O378" s="632"/>
      <c r="P378" s="689"/>
      <c r="Q378" s="632"/>
      <c r="R378" s="632"/>
    </row>
    <row r="379" spans="1:18" s="37" customFormat="1" outlineLevel="4">
      <c r="A379" s="53" t="s">
        <v>8</v>
      </c>
      <c r="B379" s="638" t="s">
        <v>384</v>
      </c>
      <c r="C379" s="448" t="s">
        <v>385</v>
      </c>
      <c r="D379" s="8">
        <v>3</v>
      </c>
      <c r="E379" s="8">
        <v>3</v>
      </c>
      <c r="F379" s="698">
        <v>125</v>
      </c>
      <c r="G379" s="8">
        <f t="shared" si="63"/>
        <v>375</v>
      </c>
      <c r="H379" s="8">
        <f t="shared" si="64"/>
        <v>375</v>
      </c>
      <c r="I379" s="1"/>
      <c r="J379" s="1" t="s">
        <v>38</v>
      </c>
      <c r="K379" s="1" t="s">
        <v>210</v>
      </c>
      <c r="L379" s="1" t="s">
        <v>99</v>
      </c>
      <c r="M379" s="1" t="s">
        <v>127</v>
      </c>
      <c r="N379" s="63" t="s">
        <v>1310</v>
      </c>
      <c r="O379" s="632"/>
      <c r="P379" s="689"/>
      <c r="Q379" s="632"/>
      <c r="R379" s="632"/>
    </row>
    <row r="380" spans="1:18" s="37" customFormat="1" outlineLevel="4">
      <c r="A380" s="53" t="s">
        <v>8</v>
      </c>
      <c r="B380" s="643" t="s">
        <v>386</v>
      </c>
      <c r="C380" s="448" t="s">
        <v>387</v>
      </c>
      <c r="D380" s="8">
        <v>34</v>
      </c>
      <c r="E380" s="8">
        <v>28</v>
      </c>
      <c r="F380" s="699">
        <v>23</v>
      </c>
      <c r="G380" s="8">
        <f t="shared" si="63"/>
        <v>782</v>
      </c>
      <c r="H380" s="8">
        <f t="shared" si="64"/>
        <v>644</v>
      </c>
      <c r="I380" s="1"/>
      <c r="J380" s="1" t="s">
        <v>38</v>
      </c>
      <c r="K380" s="1" t="s">
        <v>210</v>
      </c>
      <c r="L380" s="1" t="s">
        <v>99</v>
      </c>
      <c r="M380" s="1" t="s">
        <v>127</v>
      </c>
      <c r="N380" s="63" t="s">
        <v>1310</v>
      </c>
      <c r="O380" s="632"/>
      <c r="P380" s="689"/>
      <c r="Q380" s="632"/>
      <c r="R380" s="632"/>
    </row>
    <row r="381" spans="1:18" s="37" customFormat="1" outlineLevel="4">
      <c r="A381" s="53" t="s">
        <v>8</v>
      </c>
      <c r="B381" s="643" t="s">
        <v>388</v>
      </c>
      <c r="C381" s="448" t="s">
        <v>375</v>
      </c>
      <c r="D381" s="8">
        <v>5</v>
      </c>
      <c r="E381" s="8">
        <v>5</v>
      </c>
      <c r="F381" s="449">
        <v>4</v>
      </c>
      <c r="G381" s="8">
        <f t="shared" si="63"/>
        <v>20</v>
      </c>
      <c r="H381" s="8">
        <f t="shared" si="64"/>
        <v>20</v>
      </c>
      <c r="I381" s="1"/>
      <c r="J381" s="1" t="s">
        <v>38</v>
      </c>
      <c r="K381" s="1" t="s">
        <v>210</v>
      </c>
      <c r="L381" s="1" t="s">
        <v>99</v>
      </c>
      <c r="M381" s="1" t="s">
        <v>127</v>
      </c>
      <c r="N381" s="63" t="s">
        <v>1310</v>
      </c>
      <c r="O381" s="632"/>
      <c r="P381" s="689"/>
      <c r="Q381" s="632"/>
      <c r="R381" s="632"/>
    </row>
    <row r="382" spans="1:18" s="37" customFormat="1" outlineLevel="4">
      <c r="A382" s="53" t="s">
        <v>8</v>
      </c>
      <c r="B382" s="643" t="s">
        <v>389</v>
      </c>
      <c r="C382" s="448" t="s">
        <v>375</v>
      </c>
      <c r="D382" s="8">
        <v>5</v>
      </c>
      <c r="E382" s="8">
        <v>5</v>
      </c>
      <c r="F382" s="699">
        <v>4</v>
      </c>
      <c r="G382" s="8">
        <f t="shared" si="63"/>
        <v>20</v>
      </c>
      <c r="H382" s="8">
        <f t="shared" si="64"/>
        <v>20</v>
      </c>
      <c r="I382" s="1"/>
      <c r="J382" s="1" t="s">
        <v>38</v>
      </c>
      <c r="K382" s="1" t="s">
        <v>210</v>
      </c>
      <c r="L382" s="1" t="s">
        <v>99</v>
      </c>
      <c r="M382" s="1" t="s">
        <v>127</v>
      </c>
      <c r="N382" s="63" t="s">
        <v>1310</v>
      </c>
      <c r="O382" s="632"/>
      <c r="P382" s="689"/>
      <c r="Q382" s="632"/>
      <c r="R382" s="632"/>
    </row>
    <row r="383" spans="1:18" s="37" customFormat="1" outlineLevel="4">
      <c r="A383" s="53" t="s">
        <v>8</v>
      </c>
      <c r="B383" s="643" t="s">
        <v>390</v>
      </c>
      <c r="C383" s="448" t="s">
        <v>387</v>
      </c>
      <c r="D383" s="8"/>
      <c r="E383" s="8">
        <v>8</v>
      </c>
      <c r="F383" s="449">
        <v>1</v>
      </c>
      <c r="G383" s="8">
        <f t="shared" si="63"/>
        <v>0</v>
      </c>
      <c r="H383" s="8">
        <f t="shared" si="64"/>
        <v>8</v>
      </c>
      <c r="I383" s="1"/>
      <c r="J383" s="1" t="s">
        <v>38</v>
      </c>
      <c r="K383" s="1" t="s">
        <v>210</v>
      </c>
      <c r="L383" s="1" t="s">
        <v>99</v>
      </c>
      <c r="M383" s="1" t="s">
        <v>127</v>
      </c>
      <c r="N383" s="63" t="s">
        <v>1310</v>
      </c>
      <c r="O383" s="632"/>
      <c r="P383" s="689"/>
      <c r="Q383" s="632"/>
      <c r="R383" s="632"/>
    </row>
    <row r="384" spans="1:18" s="37" customFormat="1" outlineLevel="4">
      <c r="A384" s="53" t="s">
        <v>8</v>
      </c>
      <c r="B384" s="643" t="s">
        <v>391</v>
      </c>
      <c r="C384" s="448" t="s">
        <v>387</v>
      </c>
      <c r="D384" s="8"/>
      <c r="E384" s="8">
        <v>8</v>
      </c>
      <c r="F384" s="449">
        <v>1</v>
      </c>
      <c r="G384" s="8">
        <f t="shared" si="63"/>
        <v>0</v>
      </c>
      <c r="H384" s="8">
        <f t="shared" si="64"/>
        <v>8</v>
      </c>
      <c r="I384" s="1"/>
      <c r="J384" s="1" t="s">
        <v>38</v>
      </c>
      <c r="K384" s="1" t="s">
        <v>210</v>
      </c>
      <c r="L384" s="1" t="s">
        <v>99</v>
      </c>
      <c r="M384" s="1" t="s">
        <v>127</v>
      </c>
      <c r="N384" s="63" t="s">
        <v>1310</v>
      </c>
      <c r="O384" s="632"/>
      <c r="P384" s="689"/>
      <c r="Q384" s="632"/>
      <c r="R384" s="632"/>
    </row>
    <row r="385" spans="1:18" s="37" customFormat="1" outlineLevel="4">
      <c r="A385" s="53" t="s">
        <v>8</v>
      </c>
      <c r="B385" s="643" t="s">
        <v>392</v>
      </c>
      <c r="C385" s="448" t="s">
        <v>9</v>
      </c>
      <c r="D385" s="8">
        <v>1</v>
      </c>
      <c r="E385" s="8">
        <v>1</v>
      </c>
      <c r="F385" s="450">
        <v>50000</v>
      </c>
      <c r="G385" s="8">
        <f t="shared" si="63"/>
        <v>50000</v>
      </c>
      <c r="H385" s="8">
        <f t="shared" si="64"/>
        <v>50000</v>
      </c>
      <c r="I385" s="1"/>
      <c r="J385" s="1" t="s">
        <v>38</v>
      </c>
      <c r="K385" s="1" t="s">
        <v>210</v>
      </c>
      <c r="L385" s="1" t="s">
        <v>99</v>
      </c>
      <c r="M385" s="1" t="s">
        <v>127</v>
      </c>
      <c r="N385" s="63" t="s">
        <v>1310</v>
      </c>
      <c r="O385" s="632"/>
      <c r="P385" s="689"/>
      <c r="Q385" s="632"/>
      <c r="R385" s="632"/>
    </row>
    <row r="386" spans="1:18" s="627" customFormat="1" ht="13.5" outlineLevel="3">
      <c r="A386" s="623" t="s">
        <v>87</v>
      </c>
      <c r="B386" s="645" t="s">
        <v>371</v>
      </c>
      <c r="C386" s="634" t="s">
        <v>9</v>
      </c>
      <c r="D386" s="629"/>
      <c r="E386" s="629"/>
      <c r="F386" s="629"/>
      <c r="G386" s="646">
        <f>SUBTOTAL(9,G387:G393)</f>
        <v>775000</v>
      </c>
      <c r="H386" s="646">
        <f t="shared" ref="H386" si="65">SUBTOTAL(9,H387:H393)</f>
        <v>525000</v>
      </c>
      <c r="I386" s="636"/>
      <c r="J386" s="1" t="s">
        <v>38</v>
      </c>
      <c r="K386" s="636"/>
      <c r="L386" s="636"/>
      <c r="M386" s="636"/>
      <c r="N386" s="636"/>
      <c r="O386" s="685"/>
      <c r="P386" s="686"/>
      <c r="Q386" s="685"/>
      <c r="R386" s="685"/>
    </row>
    <row r="387" spans="1:18" s="37" customFormat="1" outlineLevel="3">
      <c r="A387" s="53" t="s">
        <v>8</v>
      </c>
      <c r="B387" s="631" t="s">
        <v>431</v>
      </c>
      <c r="C387" s="448" t="s">
        <v>9</v>
      </c>
      <c r="D387" s="8">
        <v>1</v>
      </c>
      <c r="E387" s="8">
        <v>1</v>
      </c>
      <c r="F387" s="8">
        <v>150000</v>
      </c>
      <c r="G387" s="8">
        <f t="shared" ref="G387:G393" si="66">F387*D387</f>
        <v>150000</v>
      </c>
      <c r="H387" s="8">
        <f t="shared" si="64"/>
        <v>150000</v>
      </c>
      <c r="I387" s="1"/>
      <c r="J387" s="1" t="s">
        <v>38</v>
      </c>
      <c r="K387" s="1" t="s">
        <v>210</v>
      </c>
      <c r="L387" s="1" t="s">
        <v>99</v>
      </c>
      <c r="M387" s="1" t="s">
        <v>127</v>
      </c>
      <c r="N387" s="63" t="s">
        <v>1296</v>
      </c>
      <c r="O387" s="632"/>
      <c r="P387" s="689"/>
      <c r="Q387" s="632"/>
      <c r="R387" s="632"/>
    </row>
    <row r="388" spans="1:18" s="37" customFormat="1" outlineLevel="3">
      <c r="A388" s="53" t="s">
        <v>8</v>
      </c>
      <c r="B388" s="631" t="s">
        <v>432</v>
      </c>
      <c r="C388" s="448" t="s">
        <v>9</v>
      </c>
      <c r="D388" s="8">
        <v>1</v>
      </c>
      <c r="E388" s="8">
        <v>1</v>
      </c>
      <c r="F388" s="8">
        <v>60000</v>
      </c>
      <c r="G388" s="8">
        <f t="shared" si="66"/>
        <v>60000</v>
      </c>
      <c r="H388" s="8">
        <f t="shared" si="64"/>
        <v>60000</v>
      </c>
      <c r="I388" s="1"/>
      <c r="J388" s="1" t="s">
        <v>38</v>
      </c>
      <c r="K388" s="1" t="s">
        <v>210</v>
      </c>
      <c r="L388" s="1" t="s">
        <v>99</v>
      </c>
      <c r="M388" s="1" t="s">
        <v>127</v>
      </c>
      <c r="N388" s="63" t="s">
        <v>1296</v>
      </c>
      <c r="O388" s="632"/>
      <c r="P388" s="689"/>
      <c r="Q388" s="632"/>
      <c r="R388" s="632"/>
    </row>
    <row r="389" spans="1:18" s="37" customFormat="1" outlineLevel="3">
      <c r="A389" s="53" t="s">
        <v>8</v>
      </c>
      <c r="B389" s="631" t="s">
        <v>372</v>
      </c>
      <c r="C389" s="448" t="s">
        <v>9</v>
      </c>
      <c r="D389" s="8">
        <v>1</v>
      </c>
      <c r="E389" s="8">
        <v>1</v>
      </c>
      <c r="F389" s="8">
        <v>15000</v>
      </c>
      <c r="G389" s="8">
        <f t="shared" si="66"/>
        <v>15000</v>
      </c>
      <c r="H389" s="8">
        <f t="shared" si="64"/>
        <v>15000</v>
      </c>
      <c r="I389" s="1"/>
      <c r="J389" s="1" t="s">
        <v>38</v>
      </c>
      <c r="K389" s="1" t="s">
        <v>210</v>
      </c>
      <c r="L389" s="1" t="s">
        <v>99</v>
      </c>
      <c r="M389" s="1" t="s">
        <v>127</v>
      </c>
      <c r="N389" s="63" t="s">
        <v>1296</v>
      </c>
      <c r="O389" s="632"/>
      <c r="P389" s="689"/>
      <c r="Q389" s="632"/>
      <c r="R389" s="632"/>
    </row>
    <row r="390" spans="1:18" s="37" customFormat="1" outlineLevel="3">
      <c r="A390" s="53" t="s">
        <v>8</v>
      </c>
      <c r="B390" s="631" t="s">
        <v>373</v>
      </c>
      <c r="C390" s="448" t="s">
        <v>9</v>
      </c>
      <c r="D390" s="8">
        <v>1</v>
      </c>
      <c r="E390" s="8">
        <v>1</v>
      </c>
      <c r="F390" s="8">
        <v>25000</v>
      </c>
      <c r="G390" s="8">
        <f t="shared" si="66"/>
        <v>25000</v>
      </c>
      <c r="H390" s="8">
        <f t="shared" si="64"/>
        <v>25000</v>
      </c>
      <c r="I390" s="1"/>
      <c r="J390" s="1" t="s">
        <v>38</v>
      </c>
      <c r="K390" s="1" t="s">
        <v>210</v>
      </c>
      <c r="L390" s="1" t="s">
        <v>99</v>
      </c>
      <c r="M390" s="1" t="s">
        <v>127</v>
      </c>
      <c r="N390" s="63" t="s">
        <v>1296</v>
      </c>
      <c r="O390" s="632"/>
      <c r="P390" s="689"/>
      <c r="Q390" s="632"/>
      <c r="R390" s="632"/>
    </row>
    <row r="391" spans="1:18" s="37" customFormat="1" outlineLevel="3">
      <c r="A391" s="53" t="s">
        <v>8</v>
      </c>
      <c r="B391" s="631" t="s">
        <v>374</v>
      </c>
      <c r="C391" s="448" t="s">
        <v>9</v>
      </c>
      <c r="D391" s="8">
        <v>1</v>
      </c>
      <c r="E391" s="8">
        <v>1</v>
      </c>
      <c r="F391" s="8">
        <v>25000</v>
      </c>
      <c r="G391" s="8">
        <f t="shared" si="66"/>
        <v>25000</v>
      </c>
      <c r="H391" s="8">
        <f t="shared" si="64"/>
        <v>25000</v>
      </c>
      <c r="I391" s="1"/>
      <c r="J391" s="1" t="s">
        <v>38</v>
      </c>
      <c r="K391" s="1" t="s">
        <v>210</v>
      </c>
      <c r="L391" s="1" t="s">
        <v>99</v>
      </c>
      <c r="M391" s="1" t="s">
        <v>127</v>
      </c>
      <c r="N391" s="63" t="s">
        <v>1296</v>
      </c>
      <c r="O391" s="632"/>
      <c r="P391" s="689"/>
      <c r="Q391" s="632"/>
      <c r="R391" s="632"/>
    </row>
    <row r="392" spans="1:18" s="37" customFormat="1" outlineLevel="3">
      <c r="A392" s="53" t="s">
        <v>8</v>
      </c>
      <c r="B392" s="631" t="s">
        <v>433</v>
      </c>
      <c r="C392" s="448" t="s">
        <v>9</v>
      </c>
      <c r="D392" s="8">
        <v>1</v>
      </c>
      <c r="E392" s="8">
        <v>1</v>
      </c>
      <c r="F392" s="8">
        <v>250000</v>
      </c>
      <c r="G392" s="8">
        <f t="shared" si="66"/>
        <v>250000</v>
      </c>
      <c r="H392" s="8">
        <f t="shared" si="64"/>
        <v>250000</v>
      </c>
      <c r="I392" s="1"/>
      <c r="J392" s="1" t="s">
        <v>38</v>
      </c>
      <c r="K392" s="1" t="s">
        <v>210</v>
      </c>
      <c r="L392" s="1" t="s">
        <v>99</v>
      </c>
      <c r="M392" s="1" t="s">
        <v>127</v>
      </c>
      <c r="N392" s="63" t="s">
        <v>1296</v>
      </c>
      <c r="O392" s="632"/>
      <c r="P392" s="689"/>
      <c r="Q392" s="632"/>
      <c r="R392" s="632"/>
    </row>
    <row r="393" spans="1:18" s="37" customFormat="1" outlineLevel="3">
      <c r="A393" s="53" t="s">
        <v>8</v>
      </c>
      <c r="B393" s="631" t="s">
        <v>1440</v>
      </c>
      <c r="C393" s="448" t="s">
        <v>9</v>
      </c>
      <c r="D393" s="8">
        <v>1</v>
      </c>
      <c r="E393" s="8"/>
      <c r="F393" s="8">
        <v>250000</v>
      </c>
      <c r="G393" s="8">
        <f t="shared" si="66"/>
        <v>250000</v>
      </c>
      <c r="H393" s="8">
        <f t="shared" si="64"/>
        <v>0</v>
      </c>
      <c r="I393" s="1"/>
      <c r="J393" s="1" t="s">
        <v>38</v>
      </c>
      <c r="K393" s="1" t="s">
        <v>210</v>
      </c>
      <c r="L393" s="1" t="s">
        <v>99</v>
      </c>
      <c r="M393" s="1" t="s">
        <v>127</v>
      </c>
      <c r="N393" s="63" t="s">
        <v>1296</v>
      </c>
      <c r="O393" s="632"/>
      <c r="P393" s="689"/>
      <c r="Q393" s="632"/>
      <c r="R393" s="632"/>
    </row>
    <row r="394" spans="1:18" s="627" customFormat="1" outlineLevel="1">
      <c r="A394" s="623" t="s">
        <v>447</v>
      </c>
      <c r="B394" s="649" t="s">
        <v>393</v>
      </c>
      <c r="C394" s="625"/>
      <c r="D394" s="626"/>
      <c r="E394" s="626"/>
      <c r="F394" s="626"/>
      <c r="G394" s="626">
        <f>SUBTOTAL(9,G395:G396)</f>
        <v>0</v>
      </c>
      <c r="H394" s="626">
        <f>SUBTOTAL(9,H395:H396)</f>
        <v>881630</v>
      </c>
      <c r="I394" s="655"/>
      <c r="J394" s="1" t="s">
        <v>38</v>
      </c>
      <c r="K394" s="636"/>
      <c r="L394" s="636"/>
      <c r="M394" s="636"/>
      <c r="N394" s="636"/>
      <c r="O394" s="685"/>
      <c r="P394" s="686"/>
      <c r="Q394" s="685"/>
      <c r="R394" s="685"/>
    </row>
    <row r="395" spans="1:18" s="627" customFormat="1" outlineLevel="3">
      <c r="A395" s="623">
        <v>1</v>
      </c>
      <c r="B395" s="628" t="s">
        <v>413</v>
      </c>
      <c r="C395" s="634"/>
      <c r="D395" s="629"/>
      <c r="E395" s="629"/>
      <c r="F395" s="635"/>
      <c r="G395" s="629">
        <f>SUBTOTAL(9,G396:G396)</f>
        <v>0</v>
      </c>
      <c r="H395" s="629">
        <f>SUBTOTAL(9,H396:H396)</f>
        <v>881630</v>
      </c>
      <c r="I395" s="636"/>
      <c r="J395" s="1" t="s">
        <v>38</v>
      </c>
      <c r="K395" s="636"/>
      <c r="L395" s="636"/>
      <c r="M395" s="636"/>
      <c r="N395" s="636"/>
      <c r="O395" s="685"/>
      <c r="P395" s="686"/>
      <c r="Q395" s="685"/>
      <c r="R395" s="685"/>
    </row>
    <row r="396" spans="1:18" s="37" customFormat="1" outlineLevel="3">
      <c r="A396" s="53" t="s">
        <v>8</v>
      </c>
      <c r="B396" s="640" t="s">
        <v>1409</v>
      </c>
      <c r="C396" s="448" t="s">
        <v>24</v>
      </c>
      <c r="D396" s="8"/>
      <c r="E396" s="8">
        <v>10</v>
      </c>
      <c r="F396" s="8">
        <v>88163</v>
      </c>
      <c r="G396" s="8">
        <f>F396*D396</f>
        <v>0</v>
      </c>
      <c r="H396" s="8">
        <f>F396*E396</f>
        <v>881630</v>
      </c>
      <c r="I396" s="1"/>
      <c r="J396" s="1" t="s">
        <v>38</v>
      </c>
      <c r="K396" s="1" t="s">
        <v>128</v>
      </c>
      <c r="L396" s="1" t="s">
        <v>99</v>
      </c>
      <c r="M396" s="1" t="s">
        <v>127</v>
      </c>
      <c r="N396" s="647" t="s">
        <v>738</v>
      </c>
      <c r="O396" s="651" t="s">
        <v>1280</v>
      </c>
      <c r="P396" s="670" t="s">
        <v>1312</v>
      </c>
      <c r="Q396" s="632"/>
      <c r="R396" s="632"/>
    </row>
    <row r="397" spans="1:18" s="660" customFormat="1" ht="14" outlineLevel="3">
      <c r="A397" s="657" t="s">
        <v>447</v>
      </c>
      <c r="B397" s="700" t="s">
        <v>449</v>
      </c>
      <c r="C397" s="658"/>
      <c r="D397" s="619"/>
      <c r="E397" s="619"/>
      <c r="F397" s="619"/>
      <c r="G397" s="619">
        <f>SUBTOTAL(9,G398:G467)</f>
        <v>12551234</v>
      </c>
      <c r="H397" s="619">
        <f>SUBTOTAL(9,H398:H467)</f>
        <v>10851263.6</v>
      </c>
      <c r="I397" s="659"/>
      <c r="J397" s="302" t="s">
        <v>1405</v>
      </c>
      <c r="K397" s="659"/>
      <c r="L397" s="659"/>
      <c r="M397" s="659"/>
      <c r="N397" s="659"/>
      <c r="O397" s="701"/>
      <c r="P397" s="702"/>
      <c r="Q397" s="701"/>
      <c r="R397" s="701"/>
    </row>
    <row r="398" spans="1:18" s="627" customFormat="1" ht="14" outlineLevel="3">
      <c r="A398" s="661">
        <v>1</v>
      </c>
      <c r="B398" s="645" t="s">
        <v>414</v>
      </c>
      <c r="C398" s="634"/>
      <c r="D398" s="629"/>
      <c r="E398" s="629"/>
      <c r="F398" s="662"/>
      <c r="G398" s="629">
        <f>SUBTOTAL(9,G399:G400)</f>
        <v>0</v>
      </c>
      <c r="H398" s="629">
        <f>SUBTOTAL(9,H399:H400)</f>
        <v>0</v>
      </c>
      <c r="I398" s="636"/>
      <c r="J398" s="302" t="s">
        <v>1405</v>
      </c>
      <c r="K398" s="636"/>
      <c r="L398" s="636"/>
      <c r="M398" s="636"/>
      <c r="N398" s="636"/>
      <c r="O398" s="685"/>
      <c r="P398" s="686"/>
      <c r="Q398" s="685"/>
      <c r="R398" s="685"/>
    </row>
    <row r="399" spans="1:18" s="37" customFormat="1" ht="14" outlineLevel="3">
      <c r="A399" s="604" t="s">
        <v>8</v>
      </c>
      <c r="B399" s="663" t="s">
        <v>396</v>
      </c>
      <c r="C399" s="448" t="s">
        <v>9</v>
      </c>
      <c r="D399" s="8"/>
      <c r="E399" s="8"/>
      <c r="F399" s="451"/>
      <c r="G399" s="8">
        <f t="shared" ref="G399:G400" si="67">F399*D399</f>
        <v>0</v>
      </c>
      <c r="H399" s="8">
        <f>F399*E399</f>
        <v>0</v>
      </c>
      <c r="I399" s="1"/>
      <c r="J399" s="302" t="s">
        <v>1405</v>
      </c>
      <c r="K399" s="1" t="s">
        <v>209</v>
      </c>
      <c r="L399" s="1" t="s">
        <v>99</v>
      </c>
      <c r="M399" s="1" t="s">
        <v>127</v>
      </c>
      <c r="N399" s="1"/>
      <c r="O399" s="632"/>
      <c r="P399" s="689"/>
      <c r="Q399" s="632"/>
      <c r="R399" s="632"/>
    </row>
    <row r="400" spans="1:18" s="37" customFormat="1" ht="14" outlineLevel="3">
      <c r="A400" s="604" t="s">
        <v>8</v>
      </c>
      <c r="B400" s="663" t="s">
        <v>395</v>
      </c>
      <c r="C400" s="448" t="s">
        <v>9</v>
      </c>
      <c r="D400" s="8"/>
      <c r="E400" s="8"/>
      <c r="F400" s="451"/>
      <c r="G400" s="8">
        <f t="shared" si="67"/>
        <v>0</v>
      </c>
      <c r="H400" s="8">
        <f>F400*E400</f>
        <v>0</v>
      </c>
      <c r="I400" s="1"/>
      <c r="J400" s="302" t="s">
        <v>1405</v>
      </c>
      <c r="K400" s="1" t="s">
        <v>209</v>
      </c>
      <c r="L400" s="1" t="s">
        <v>99</v>
      </c>
      <c r="M400" s="1" t="s">
        <v>127</v>
      </c>
      <c r="N400" s="1"/>
      <c r="O400" s="632"/>
      <c r="P400" s="689"/>
      <c r="Q400" s="632"/>
      <c r="R400" s="632"/>
    </row>
    <row r="401" spans="1:18" s="630" customFormat="1" ht="14" outlineLevel="3">
      <c r="A401" s="661">
        <v>2</v>
      </c>
      <c r="B401" s="703" t="s">
        <v>439</v>
      </c>
      <c r="C401" s="625" t="s">
        <v>9</v>
      </c>
      <c r="D401" s="626"/>
      <c r="E401" s="626"/>
      <c r="F401" s="664"/>
      <c r="G401" s="626">
        <f>SUBTOTAL(9,G402:G436)</f>
        <v>4437732</v>
      </c>
      <c r="H401" s="626">
        <f>SUBTOTAL(9,H402:H436)</f>
        <v>5374066.5999999996</v>
      </c>
      <c r="I401" s="656"/>
      <c r="J401" s="302" t="s">
        <v>1405</v>
      </c>
      <c r="K401" s="656"/>
      <c r="L401" s="656"/>
      <c r="M401" s="656"/>
      <c r="N401" s="656"/>
      <c r="O401" s="650"/>
      <c r="P401" s="687"/>
      <c r="Q401" s="650"/>
      <c r="R401" s="650"/>
    </row>
    <row r="402" spans="1:18" s="630" customFormat="1" ht="14" outlineLevel="3">
      <c r="A402" s="661">
        <v>2.1</v>
      </c>
      <c r="B402" s="703" t="s">
        <v>440</v>
      </c>
      <c r="C402" s="625"/>
      <c r="D402" s="626"/>
      <c r="E402" s="626"/>
      <c r="F402" s="664"/>
      <c r="G402" s="626">
        <f>SUBTOTAL(9,G403:G405)</f>
        <v>1055556</v>
      </c>
      <c r="H402" s="626">
        <f>SUBTOTAL(9,H403:H405)</f>
        <v>1843623</v>
      </c>
      <c r="I402" s="656"/>
      <c r="J402" s="302" t="s">
        <v>1405</v>
      </c>
      <c r="K402" s="656"/>
      <c r="L402" s="656"/>
      <c r="M402" s="656"/>
      <c r="N402" s="656"/>
      <c r="O402" s="650"/>
      <c r="P402" s="687"/>
      <c r="Q402" s="650"/>
      <c r="R402" s="650"/>
    </row>
    <row r="403" spans="1:18" s="630" customFormat="1" ht="14" outlineLevel="3">
      <c r="A403" s="623" t="s">
        <v>441</v>
      </c>
      <c r="B403" s="628" t="s">
        <v>413</v>
      </c>
      <c r="C403" s="625"/>
      <c r="D403" s="626"/>
      <c r="E403" s="626"/>
      <c r="F403" s="664"/>
      <c r="G403" s="626"/>
      <c r="H403" s="626"/>
      <c r="I403" s="656"/>
      <c r="J403" s="302" t="s">
        <v>1405</v>
      </c>
      <c r="K403" s="656"/>
      <c r="L403" s="656"/>
      <c r="M403" s="656"/>
      <c r="N403" s="656"/>
      <c r="O403" s="650"/>
      <c r="P403" s="687"/>
      <c r="Q403" s="650"/>
      <c r="R403" s="650"/>
    </row>
    <row r="404" spans="1:18" s="37" customFormat="1" ht="26" outlineLevel="3">
      <c r="A404" s="53" t="s">
        <v>8</v>
      </c>
      <c r="B404" s="640" t="s">
        <v>1407</v>
      </c>
      <c r="C404" s="448" t="s">
        <v>24</v>
      </c>
      <c r="D404" s="8">
        <v>4</v>
      </c>
      <c r="E404" s="8">
        <v>13</v>
      </c>
      <c r="F404" s="451">
        <v>87563</v>
      </c>
      <c r="G404" s="8">
        <f>F404*D404</f>
        <v>350252</v>
      </c>
      <c r="H404" s="8">
        <f>F404*E404</f>
        <v>1138319</v>
      </c>
      <c r="I404" s="1"/>
      <c r="J404" s="302" t="s">
        <v>1405</v>
      </c>
      <c r="K404" s="1" t="s">
        <v>209</v>
      </c>
      <c r="L404" s="1" t="s">
        <v>99</v>
      </c>
      <c r="M404" s="1" t="s">
        <v>127</v>
      </c>
      <c r="N404" s="647" t="s">
        <v>738</v>
      </c>
      <c r="O404" s="647" t="s">
        <v>1278</v>
      </c>
      <c r="P404" s="704" t="s">
        <v>1313</v>
      </c>
      <c r="Q404" s="632"/>
      <c r="R404" s="688" t="s">
        <v>1408</v>
      </c>
    </row>
    <row r="405" spans="1:18" s="37" customFormat="1" ht="14" outlineLevel="3">
      <c r="A405" s="53" t="s">
        <v>8</v>
      </c>
      <c r="B405" s="640" t="s">
        <v>1409</v>
      </c>
      <c r="C405" s="448" t="s">
        <v>24</v>
      </c>
      <c r="D405" s="8">
        <v>8</v>
      </c>
      <c r="E405" s="8">
        <v>8</v>
      </c>
      <c r="F405" s="451">
        <v>88163</v>
      </c>
      <c r="G405" s="8">
        <f>F405*D405</f>
        <v>705304</v>
      </c>
      <c r="H405" s="8">
        <f>F405*E405</f>
        <v>705304</v>
      </c>
      <c r="I405" s="1"/>
      <c r="J405" s="302" t="s">
        <v>1405</v>
      </c>
      <c r="K405" s="1" t="s">
        <v>209</v>
      </c>
      <c r="L405" s="1" t="s">
        <v>99</v>
      </c>
      <c r="M405" s="1" t="s">
        <v>127</v>
      </c>
      <c r="N405" s="647" t="s">
        <v>738</v>
      </c>
      <c r="O405" s="651" t="s">
        <v>1280</v>
      </c>
      <c r="P405" s="704" t="s">
        <v>1314</v>
      </c>
      <c r="Q405" s="632"/>
      <c r="R405" s="688" t="s">
        <v>1411</v>
      </c>
    </row>
    <row r="406" spans="1:18" s="630" customFormat="1" ht="14" outlineLevel="3">
      <c r="A406" s="661">
        <v>2.2000000000000002</v>
      </c>
      <c r="B406" s="705" t="s">
        <v>1441</v>
      </c>
      <c r="C406" s="625"/>
      <c r="D406" s="626"/>
      <c r="E406" s="626"/>
      <c r="F406" s="626"/>
      <c r="G406" s="626">
        <f>SUBTOTAL(9,G407:G418)</f>
        <v>2049665</v>
      </c>
      <c r="H406" s="626">
        <f>SUBTOTAL(9,H407:H418)</f>
        <v>1319100</v>
      </c>
      <c r="I406" s="656"/>
      <c r="J406" s="302" t="s">
        <v>1405</v>
      </c>
      <c r="K406" s="656"/>
      <c r="L406" s="656"/>
      <c r="M406" s="656"/>
      <c r="N406" s="656"/>
      <c r="O406" s="650"/>
      <c r="P406" s="687"/>
      <c r="Q406" s="650"/>
      <c r="R406" s="650"/>
    </row>
    <row r="407" spans="1:18" s="627" customFormat="1" ht="14" outlineLevel="3">
      <c r="A407" s="623" t="s">
        <v>444</v>
      </c>
      <c r="B407" s="628" t="s">
        <v>413</v>
      </c>
      <c r="C407" s="634"/>
      <c r="D407" s="629"/>
      <c r="E407" s="629"/>
      <c r="F407" s="635"/>
      <c r="G407" s="629"/>
      <c r="H407" s="629"/>
      <c r="I407" s="636"/>
      <c r="J407" s="302" t="s">
        <v>1405</v>
      </c>
      <c r="K407" s="636"/>
      <c r="L407" s="636"/>
      <c r="M407" s="636"/>
      <c r="N407" s="636"/>
      <c r="O407" s="685"/>
      <c r="P407" s="686"/>
      <c r="Q407" s="685"/>
      <c r="R407" s="685"/>
    </row>
    <row r="408" spans="1:18" s="37" customFormat="1" ht="26" outlineLevel="3">
      <c r="A408" s="53" t="s">
        <v>8</v>
      </c>
      <c r="B408" s="640" t="s">
        <v>1407</v>
      </c>
      <c r="C408" s="448" t="s">
        <v>24</v>
      </c>
      <c r="D408" s="8">
        <v>9</v>
      </c>
      <c r="E408" s="8">
        <v>4</v>
      </c>
      <c r="F408" s="8">
        <v>87563</v>
      </c>
      <c r="G408" s="8">
        <f>F408*D408</f>
        <v>788067</v>
      </c>
      <c r="H408" s="8">
        <f>F408*E408</f>
        <v>350252</v>
      </c>
      <c r="I408" s="1"/>
      <c r="J408" s="302" t="s">
        <v>1405</v>
      </c>
      <c r="K408" s="1" t="s">
        <v>209</v>
      </c>
      <c r="L408" s="1" t="s">
        <v>99</v>
      </c>
      <c r="M408" s="1" t="s">
        <v>127</v>
      </c>
      <c r="N408" s="647" t="s">
        <v>738</v>
      </c>
      <c r="O408" s="647" t="s">
        <v>1278</v>
      </c>
      <c r="P408" s="704" t="s">
        <v>1315</v>
      </c>
      <c r="Q408" s="632"/>
      <c r="R408" s="688" t="s">
        <v>1408</v>
      </c>
    </row>
    <row r="409" spans="1:18" s="37" customFormat="1" ht="14" outlineLevel="3">
      <c r="A409" s="53" t="s">
        <v>8</v>
      </c>
      <c r="B409" s="640" t="s">
        <v>1409</v>
      </c>
      <c r="C409" s="448" t="s">
        <v>24</v>
      </c>
      <c r="D409" s="8">
        <v>2</v>
      </c>
      <c r="E409" s="8">
        <v>2</v>
      </c>
      <c r="F409" s="8">
        <v>88163</v>
      </c>
      <c r="G409" s="8">
        <f>F409*D409</f>
        <v>176326</v>
      </c>
      <c r="H409" s="8">
        <f>F409*E409</f>
        <v>176326</v>
      </c>
      <c r="I409" s="1"/>
      <c r="J409" s="302" t="s">
        <v>1405</v>
      </c>
      <c r="K409" s="1" t="s">
        <v>209</v>
      </c>
      <c r="L409" s="1" t="s">
        <v>99</v>
      </c>
      <c r="M409" s="1" t="s">
        <v>127</v>
      </c>
      <c r="N409" s="647" t="s">
        <v>738</v>
      </c>
      <c r="O409" s="651" t="s">
        <v>1280</v>
      </c>
      <c r="P409" s="704" t="s">
        <v>1316</v>
      </c>
      <c r="Q409" s="632"/>
      <c r="R409" s="688" t="s">
        <v>1411</v>
      </c>
    </row>
    <row r="410" spans="1:18" s="37" customFormat="1" ht="14" outlineLevel="3">
      <c r="A410" s="53" t="s">
        <v>8</v>
      </c>
      <c r="B410" s="631" t="s">
        <v>1430</v>
      </c>
      <c r="C410" s="448" t="s">
        <v>24</v>
      </c>
      <c r="D410" s="8"/>
      <c r="E410" s="8">
        <v>12</v>
      </c>
      <c r="F410" s="8">
        <v>60225</v>
      </c>
      <c r="G410" s="8">
        <f>F410*D410</f>
        <v>0</v>
      </c>
      <c r="H410" s="8">
        <f>F410*E410</f>
        <v>722700</v>
      </c>
      <c r="I410" s="1"/>
      <c r="J410" s="302" t="s">
        <v>1405</v>
      </c>
      <c r="K410" s="1" t="s">
        <v>209</v>
      </c>
      <c r="L410" s="1" t="s">
        <v>99</v>
      </c>
      <c r="M410" s="1" t="s">
        <v>127</v>
      </c>
      <c r="N410" s="647" t="s">
        <v>738</v>
      </c>
      <c r="O410" s="665" t="s">
        <v>1300</v>
      </c>
      <c r="P410" s="704" t="s">
        <v>1317</v>
      </c>
      <c r="Q410" s="632"/>
      <c r="R410" s="688" t="s">
        <v>1442</v>
      </c>
    </row>
    <row r="411" spans="1:18" s="630" customFormat="1" ht="14" outlineLevel="2">
      <c r="A411" s="623" t="s">
        <v>445</v>
      </c>
      <c r="B411" s="624" t="s">
        <v>55</v>
      </c>
      <c r="C411" s="625"/>
      <c r="D411" s="626"/>
      <c r="E411" s="626"/>
      <c r="F411" s="626"/>
      <c r="G411" s="626">
        <f>SUBTOTAL(9,G412:G413)</f>
        <v>798542</v>
      </c>
      <c r="H411" s="626">
        <f>SUBTOTAL(9,H412:H413)</f>
        <v>0</v>
      </c>
      <c r="I411" s="655"/>
      <c r="J411" s="302" t="s">
        <v>1405</v>
      </c>
      <c r="K411" s="656"/>
      <c r="L411" s="656"/>
      <c r="M411" s="656"/>
      <c r="N411" s="656"/>
      <c r="O411" s="650"/>
      <c r="P411" s="687"/>
      <c r="Q411" s="650"/>
      <c r="R411" s="650"/>
    </row>
    <row r="412" spans="1:18" s="37" customFormat="1" ht="39" outlineLevel="3">
      <c r="A412" s="53" t="s">
        <v>8</v>
      </c>
      <c r="B412" s="631" t="s">
        <v>198</v>
      </c>
      <c r="C412" s="448" t="s">
        <v>24</v>
      </c>
      <c r="D412" s="8">
        <v>2</v>
      </c>
      <c r="E412" s="8"/>
      <c r="F412" s="706">
        <v>324685</v>
      </c>
      <c r="G412" s="8">
        <f>F412*D412</f>
        <v>649370</v>
      </c>
      <c r="H412" s="8">
        <f>F412*E412</f>
        <v>0</v>
      </c>
      <c r="I412" s="1"/>
      <c r="J412" s="302" t="s">
        <v>1405</v>
      </c>
      <c r="K412" s="1" t="s">
        <v>209</v>
      </c>
      <c r="L412" s="1" t="s">
        <v>99</v>
      </c>
      <c r="M412" s="1" t="s">
        <v>127</v>
      </c>
      <c r="N412" s="63" t="s">
        <v>55</v>
      </c>
      <c r="O412" s="631" t="s">
        <v>198</v>
      </c>
      <c r="P412" s="827" t="s">
        <v>1318</v>
      </c>
      <c r="Q412" s="632"/>
      <c r="R412" s="693" t="s">
        <v>1443</v>
      </c>
    </row>
    <row r="413" spans="1:18" s="37" customFormat="1" ht="14" outlineLevel="3">
      <c r="A413" s="53" t="s">
        <v>8</v>
      </c>
      <c r="B413" s="631" t="s">
        <v>176</v>
      </c>
      <c r="C413" s="448" t="s">
        <v>24</v>
      </c>
      <c r="D413" s="8">
        <v>4</v>
      </c>
      <c r="E413" s="8"/>
      <c r="F413" s="706">
        <v>37293</v>
      </c>
      <c r="G413" s="8">
        <f>F413*D413</f>
        <v>149172</v>
      </c>
      <c r="H413" s="8">
        <f>F413*E413</f>
        <v>0</v>
      </c>
      <c r="I413" s="1"/>
      <c r="J413" s="302" t="s">
        <v>1405</v>
      </c>
      <c r="K413" s="1" t="s">
        <v>209</v>
      </c>
      <c r="L413" s="1" t="s">
        <v>99</v>
      </c>
      <c r="M413" s="1" t="s">
        <v>127</v>
      </c>
      <c r="N413" s="63" t="s">
        <v>55</v>
      </c>
      <c r="O413" s="63" t="s">
        <v>1307</v>
      </c>
      <c r="P413" s="827"/>
      <c r="Q413" s="632"/>
      <c r="R413" s="671" t="s">
        <v>1436</v>
      </c>
    </row>
    <row r="414" spans="1:18" s="630" customFormat="1" ht="14" outlineLevel="2">
      <c r="A414" s="623" t="s">
        <v>446</v>
      </c>
      <c r="B414" s="649" t="s">
        <v>35</v>
      </c>
      <c r="C414" s="625"/>
      <c r="D414" s="626"/>
      <c r="E414" s="626"/>
      <c r="F414" s="626"/>
      <c r="G414" s="626">
        <f>SUBTOTAL(9,G415:G418)</f>
        <v>286730</v>
      </c>
      <c r="H414" s="626">
        <f>SUBTOTAL(9,H415:H418)</f>
        <v>69822</v>
      </c>
      <c r="I414" s="656"/>
      <c r="J414" s="302" t="s">
        <v>1405</v>
      </c>
      <c r="K414" s="656"/>
      <c r="L414" s="656"/>
      <c r="M414" s="656"/>
      <c r="N414" s="656"/>
      <c r="O414" s="650"/>
      <c r="P414" s="687"/>
      <c r="Q414" s="650"/>
      <c r="R414" s="650"/>
    </row>
    <row r="415" spans="1:18" s="37" customFormat="1" ht="14" outlineLevel="4">
      <c r="A415" s="53" t="s">
        <v>8</v>
      </c>
      <c r="B415" s="638" t="s">
        <v>217</v>
      </c>
      <c r="C415" s="448" t="s">
        <v>24</v>
      </c>
      <c r="D415" s="8">
        <v>2</v>
      </c>
      <c r="E415" s="8"/>
      <c r="F415" s="8">
        <v>46889</v>
      </c>
      <c r="G415" s="8">
        <f>F415*D415</f>
        <v>93778</v>
      </c>
      <c r="H415" s="8">
        <f>F415*E415</f>
        <v>0</v>
      </c>
      <c r="I415" s="1"/>
      <c r="J415" s="302" t="s">
        <v>1405</v>
      </c>
      <c r="K415" s="1" t="s">
        <v>209</v>
      </c>
      <c r="L415" s="1" t="s">
        <v>99</v>
      </c>
      <c r="M415" s="1" t="s">
        <v>127</v>
      </c>
      <c r="N415" s="640" t="s">
        <v>1285</v>
      </c>
      <c r="O415" s="632"/>
      <c r="P415" s="704" t="s">
        <v>1319</v>
      </c>
      <c r="Q415" s="632"/>
      <c r="R415" s="640" t="s">
        <v>1412</v>
      </c>
    </row>
    <row r="416" spans="1:18" s="37" customFormat="1" ht="14" outlineLevel="4">
      <c r="A416" s="53" t="s">
        <v>8</v>
      </c>
      <c r="B416" s="631" t="s">
        <v>218</v>
      </c>
      <c r="C416" s="448" t="s">
        <v>24</v>
      </c>
      <c r="D416" s="8">
        <v>2</v>
      </c>
      <c r="E416" s="8"/>
      <c r="F416" s="707">
        <v>41851</v>
      </c>
      <c r="G416" s="8">
        <f>F416*D416</f>
        <v>83702</v>
      </c>
      <c r="H416" s="8">
        <f>F416*E416</f>
        <v>0</v>
      </c>
      <c r="I416" s="1"/>
      <c r="J416" s="302" t="s">
        <v>1405</v>
      </c>
      <c r="K416" s="1" t="s">
        <v>209</v>
      </c>
      <c r="L416" s="1" t="s">
        <v>99</v>
      </c>
      <c r="M416" s="1" t="s">
        <v>127</v>
      </c>
      <c r="N416" s="641" t="s">
        <v>1286</v>
      </c>
      <c r="O416" s="632"/>
      <c r="P416" s="704" t="s">
        <v>1320</v>
      </c>
      <c r="Q416" s="632"/>
      <c r="R416" s="640" t="s">
        <v>1414</v>
      </c>
    </row>
    <row r="417" spans="1:18" s="37" customFormat="1" ht="14" outlineLevel="4">
      <c r="A417" s="53" t="s">
        <v>8</v>
      </c>
      <c r="B417" s="643" t="s">
        <v>177</v>
      </c>
      <c r="C417" s="448" t="s">
        <v>24</v>
      </c>
      <c r="D417" s="8">
        <v>6</v>
      </c>
      <c r="E417" s="8">
        <v>4</v>
      </c>
      <c r="F417" s="446">
        <v>15197</v>
      </c>
      <c r="G417" s="8">
        <f>F417*D417</f>
        <v>91182</v>
      </c>
      <c r="H417" s="8">
        <f>F417*E417</f>
        <v>60788</v>
      </c>
      <c r="I417" s="1"/>
      <c r="J417" s="302" t="s">
        <v>1405</v>
      </c>
      <c r="K417" s="1" t="s">
        <v>209</v>
      </c>
      <c r="L417" s="1" t="s">
        <v>99</v>
      </c>
      <c r="M417" s="1" t="s">
        <v>127</v>
      </c>
      <c r="N417" s="642" t="s">
        <v>1287</v>
      </c>
      <c r="O417" s="632" t="s">
        <v>1289</v>
      </c>
      <c r="P417" s="708" t="s">
        <v>1321</v>
      </c>
      <c r="Q417" s="632"/>
      <c r="R417" s="691" t="s">
        <v>1417</v>
      </c>
    </row>
    <row r="418" spans="1:18" s="37" customFormat="1" ht="14" outlineLevel="4">
      <c r="A418" s="53" t="s">
        <v>8</v>
      </c>
      <c r="B418" s="643" t="s">
        <v>125</v>
      </c>
      <c r="C418" s="448" t="s">
        <v>24</v>
      </c>
      <c r="D418" s="8">
        <v>4</v>
      </c>
      <c r="E418" s="8">
        <v>2</v>
      </c>
      <c r="F418" s="446">
        <v>4517</v>
      </c>
      <c r="G418" s="8">
        <f>F418*D418</f>
        <v>18068</v>
      </c>
      <c r="H418" s="8">
        <f>F418*E418</f>
        <v>9034</v>
      </c>
      <c r="I418" s="1"/>
      <c r="J418" s="302" t="s">
        <v>1405</v>
      </c>
      <c r="K418" s="1" t="s">
        <v>209</v>
      </c>
      <c r="L418" s="1" t="s">
        <v>99</v>
      </c>
      <c r="M418" s="1" t="s">
        <v>127</v>
      </c>
      <c r="N418" s="642" t="s">
        <v>1287</v>
      </c>
      <c r="O418" s="644" t="s">
        <v>125</v>
      </c>
      <c r="P418" s="708" t="s">
        <v>1322</v>
      </c>
      <c r="Q418" s="632"/>
      <c r="R418" s="691" t="s">
        <v>1444</v>
      </c>
    </row>
    <row r="419" spans="1:18" s="630" customFormat="1" ht="14" outlineLevel="2">
      <c r="A419" s="623">
        <v>2.2999999999999998</v>
      </c>
      <c r="B419" s="649" t="s">
        <v>425</v>
      </c>
      <c r="C419" s="625"/>
      <c r="D419" s="626"/>
      <c r="E419" s="626"/>
      <c r="F419" s="626"/>
      <c r="G419" s="626">
        <f>SUBTOTAL(9,G420:G420)</f>
        <v>400000</v>
      </c>
      <c r="H419" s="626">
        <f>SUBTOTAL(9,H420:H420)</f>
        <v>400000</v>
      </c>
      <c r="I419" s="656"/>
      <c r="J419" s="302" t="s">
        <v>1405</v>
      </c>
      <c r="K419" s="656"/>
      <c r="L419" s="656"/>
      <c r="M419" s="656"/>
      <c r="N419" s="656"/>
      <c r="O419" s="650"/>
      <c r="P419" s="687"/>
      <c r="Q419" s="650"/>
      <c r="R419" s="650"/>
    </row>
    <row r="420" spans="1:18" s="582" customFormat="1" ht="14" outlineLevel="2">
      <c r="A420" s="666" t="s">
        <v>8</v>
      </c>
      <c r="B420" s="663" t="s">
        <v>438</v>
      </c>
      <c r="C420" s="446" t="s">
        <v>9</v>
      </c>
      <c r="D420" s="16">
        <v>1</v>
      </c>
      <c r="E420" s="89">
        <v>1</v>
      </c>
      <c r="F420" s="89">
        <v>400000</v>
      </c>
      <c r="G420" s="89">
        <f>F420*D420</f>
        <v>400000</v>
      </c>
      <c r="H420" s="89">
        <f>F420*E420</f>
        <v>400000</v>
      </c>
      <c r="I420" s="16"/>
      <c r="J420" s="302" t="s">
        <v>1405</v>
      </c>
      <c r="K420" s="1" t="s">
        <v>209</v>
      </c>
      <c r="L420" s="16" t="s">
        <v>99</v>
      </c>
      <c r="M420" s="16" t="s">
        <v>127</v>
      </c>
      <c r="N420" s="580" t="s">
        <v>1269</v>
      </c>
      <c r="O420" s="709"/>
      <c r="P420" s="580"/>
      <c r="Q420" s="709"/>
      <c r="R420" s="709"/>
    </row>
    <row r="421" spans="1:18" s="630" customFormat="1" ht="14" outlineLevel="3">
      <c r="A421" s="623">
        <v>2.4</v>
      </c>
      <c r="B421" s="628" t="s">
        <v>137</v>
      </c>
      <c r="C421" s="625"/>
      <c r="D421" s="626"/>
      <c r="E421" s="626"/>
      <c r="F421" s="667"/>
      <c r="G421" s="626">
        <f>SUBTOTAL(9,G422:G424)</f>
        <v>881630</v>
      </c>
      <c r="H421" s="626">
        <f>SUBTOTAL(9,H422:H423)</f>
        <v>700504</v>
      </c>
      <c r="I421" s="656"/>
      <c r="J421" s="302" t="s">
        <v>1405</v>
      </c>
      <c r="K421" s="656"/>
      <c r="L421" s="656"/>
      <c r="M421" s="656"/>
      <c r="N421" s="656"/>
      <c r="O421" s="650"/>
      <c r="P421" s="687"/>
      <c r="Q421" s="650"/>
      <c r="R421" s="650"/>
    </row>
    <row r="422" spans="1:18" s="630" customFormat="1" ht="14" outlineLevel="3">
      <c r="A422" s="623"/>
      <c r="B422" s="628" t="s">
        <v>413</v>
      </c>
      <c r="C422" s="625"/>
      <c r="D422" s="626"/>
      <c r="E422" s="626"/>
      <c r="F422" s="710"/>
      <c r="G422" s="626"/>
      <c r="H422" s="626"/>
      <c r="I422" s="656"/>
      <c r="J422" s="302" t="s">
        <v>1405</v>
      </c>
      <c r="K422" s="656"/>
      <c r="L422" s="656"/>
      <c r="M422" s="656"/>
      <c r="N422" s="656"/>
      <c r="O422" s="650"/>
      <c r="P422" s="687"/>
      <c r="Q422" s="650"/>
      <c r="R422" s="650"/>
    </row>
    <row r="423" spans="1:18" s="37" customFormat="1" ht="26" outlineLevel="3">
      <c r="A423" s="53" t="s">
        <v>8</v>
      </c>
      <c r="B423" s="640" t="s">
        <v>1407</v>
      </c>
      <c r="C423" s="448" t="s">
        <v>24</v>
      </c>
      <c r="D423" s="8">
        <v>0</v>
      </c>
      <c r="E423" s="8">
        <v>8</v>
      </c>
      <c r="F423" s="8">
        <v>87563</v>
      </c>
      <c r="G423" s="8">
        <f>F423*D423</f>
        <v>0</v>
      </c>
      <c r="H423" s="8">
        <f>F423*E423</f>
        <v>700504</v>
      </c>
      <c r="I423" s="1"/>
      <c r="J423" s="302" t="s">
        <v>1405</v>
      </c>
      <c r="K423" s="1" t="s">
        <v>209</v>
      </c>
      <c r="L423" s="1" t="s">
        <v>99</v>
      </c>
      <c r="M423" s="1" t="s">
        <v>127</v>
      </c>
      <c r="N423" s="647" t="s">
        <v>738</v>
      </c>
      <c r="O423" s="647" t="s">
        <v>1278</v>
      </c>
      <c r="P423" s="704" t="s">
        <v>1323</v>
      </c>
      <c r="Q423" s="632"/>
      <c r="R423" s="688" t="s">
        <v>1408</v>
      </c>
    </row>
    <row r="424" spans="1:18" s="37" customFormat="1" ht="14" outlineLevel="3">
      <c r="A424" s="53" t="s">
        <v>8</v>
      </c>
      <c r="B424" s="640" t="s">
        <v>1409</v>
      </c>
      <c r="C424" s="448" t="s">
        <v>24</v>
      </c>
      <c r="D424" s="8">
        <v>10</v>
      </c>
      <c r="E424" s="8">
        <v>12</v>
      </c>
      <c r="F424" s="8">
        <v>88163</v>
      </c>
      <c r="G424" s="510">
        <f>F424*D424</f>
        <v>881630</v>
      </c>
      <c r="H424" s="8">
        <f>F424*E424</f>
        <v>1057956</v>
      </c>
      <c r="I424" s="1"/>
      <c r="J424" s="302" t="s">
        <v>1405</v>
      </c>
      <c r="K424" s="1" t="s">
        <v>209</v>
      </c>
      <c r="L424" s="1" t="s">
        <v>99</v>
      </c>
      <c r="M424" s="1" t="s">
        <v>127</v>
      </c>
      <c r="N424" s="647" t="s">
        <v>738</v>
      </c>
      <c r="O424" s="651" t="s">
        <v>1280</v>
      </c>
      <c r="P424" s="711" t="s">
        <v>1324</v>
      </c>
      <c r="Q424" s="632"/>
      <c r="R424" s="688" t="s">
        <v>1411</v>
      </c>
    </row>
    <row r="425" spans="1:18" s="630" customFormat="1" ht="14" outlineLevel="4">
      <c r="A425" s="623">
        <v>2.5</v>
      </c>
      <c r="B425" s="649" t="s">
        <v>377</v>
      </c>
      <c r="C425" s="625"/>
      <c r="D425" s="626"/>
      <c r="E425" s="626"/>
      <c r="F425" s="626"/>
      <c r="G425" s="712">
        <f>SUBTOTAL(9,G426:G436)</f>
        <v>50881</v>
      </c>
      <c r="H425" s="626">
        <f t="shared" ref="H425" si="68">SUBTOTAL(9,H426:H436)</f>
        <v>52883.6</v>
      </c>
      <c r="I425" s="656"/>
      <c r="J425" s="302" t="s">
        <v>1405</v>
      </c>
      <c r="K425" s="656"/>
      <c r="L425" s="656"/>
      <c r="M425" s="656"/>
      <c r="N425" s="656"/>
      <c r="O425" s="650"/>
      <c r="P425" s="687"/>
      <c r="Q425" s="650"/>
      <c r="R425" s="650"/>
    </row>
    <row r="426" spans="1:18" s="37" customFormat="1" ht="14" outlineLevel="4">
      <c r="A426" s="53" t="s">
        <v>8</v>
      </c>
      <c r="B426" s="638" t="s">
        <v>378</v>
      </c>
      <c r="C426" s="448" t="s">
        <v>24</v>
      </c>
      <c r="D426" s="8">
        <v>0</v>
      </c>
      <c r="E426" s="8">
        <v>0</v>
      </c>
      <c r="F426" s="713">
        <v>3000</v>
      </c>
      <c r="G426" s="510">
        <f t="shared" ref="G426:G436" si="69">F426*D426</f>
        <v>0</v>
      </c>
      <c r="H426" s="8">
        <f t="shared" ref="H426:H436" si="70">F426*E426</f>
        <v>0</v>
      </c>
      <c r="I426" s="1"/>
      <c r="J426" s="302" t="s">
        <v>1405</v>
      </c>
      <c r="K426" s="1" t="s">
        <v>209</v>
      </c>
      <c r="L426" s="1" t="s">
        <v>99</v>
      </c>
      <c r="M426" s="1" t="s">
        <v>127</v>
      </c>
      <c r="N426" s="63" t="s">
        <v>1310</v>
      </c>
      <c r="O426" s="632"/>
      <c r="P426" s="714" t="s">
        <v>945</v>
      </c>
      <c r="Q426" s="632"/>
      <c r="R426" s="632"/>
    </row>
    <row r="427" spans="1:18" s="37" customFormat="1" ht="14" outlineLevel="4">
      <c r="A427" s="53" t="s">
        <v>8</v>
      </c>
      <c r="B427" s="638" t="s">
        <v>379</v>
      </c>
      <c r="C427" s="448" t="s">
        <v>380</v>
      </c>
      <c r="D427" s="8"/>
      <c r="E427" s="8">
        <v>320</v>
      </c>
      <c r="F427" s="715">
        <v>5.73</v>
      </c>
      <c r="G427" s="510">
        <f t="shared" si="69"/>
        <v>0</v>
      </c>
      <c r="H427" s="8">
        <f t="shared" si="70"/>
        <v>1833.6000000000001</v>
      </c>
      <c r="I427" s="1"/>
      <c r="J427" s="302" t="s">
        <v>1405</v>
      </c>
      <c r="K427" s="1" t="s">
        <v>209</v>
      </c>
      <c r="L427" s="1" t="s">
        <v>99</v>
      </c>
      <c r="M427" s="1" t="s">
        <v>127</v>
      </c>
      <c r="N427" s="63" t="s">
        <v>1310</v>
      </c>
      <c r="O427" s="632"/>
      <c r="P427" s="689"/>
      <c r="Q427" s="632"/>
      <c r="R427" s="632"/>
    </row>
    <row r="428" spans="1:18" s="37" customFormat="1" ht="14" outlineLevel="4">
      <c r="A428" s="53" t="s">
        <v>8</v>
      </c>
      <c r="B428" s="638" t="s">
        <v>381</v>
      </c>
      <c r="C428" s="448" t="s">
        <v>380</v>
      </c>
      <c r="D428" s="8"/>
      <c r="E428" s="8">
        <v>60</v>
      </c>
      <c r="F428" s="715">
        <v>4.2</v>
      </c>
      <c r="G428" s="510">
        <f t="shared" si="69"/>
        <v>0</v>
      </c>
      <c r="H428" s="8">
        <f t="shared" si="70"/>
        <v>252</v>
      </c>
      <c r="I428" s="1"/>
      <c r="J428" s="302" t="s">
        <v>1405</v>
      </c>
      <c r="K428" s="1" t="s">
        <v>209</v>
      </c>
      <c r="L428" s="1" t="s">
        <v>99</v>
      </c>
      <c r="M428" s="1" t="s">
        <v>127</v>
      </c>
      <c r="N428" s="63" t="s">
        <v>1310</v>
      </c>
      <c r="O428" s="632"/>
      <c r="P428" s="689"/>
      <c r="Q428" s="632"/>
      <c r="R428" s="632"/>
    </row>
    <row r="429" spans="1:18" s="37" customFormat="1" ht="14" outlineLevel="4">
      <c r="A429" s="53" t="s">
        <v>8</v>
      </c>
      <c r="B429" s="631" t="s">
        <v>382</v>
      </c>
      <c r="C429" s="448" t="s">
        <v>383</v>
      </c>
      <c r="D429" s="8">
        <v>3</v>
      </c>
      <c r="E429" s="8">
        <v>2</v>
      </c>
      <c r="F429" s="716">
        <v>158</v>
      </c>
      <c r="G429" s="510">
        <f t="shared" si="69"/>
        <v>474</v>
      </c>
      <c r="H429" s="8">
        <f t="shared" si="70"/>
        <v>316</v>
      </c>
      <c r="I429" s="1"/>
      <c r="J429" s="302" t="s">
        <v>1405</v>
      </c>
      <c r="K429" s="1" t="s">
        <v>209</v>
      </c>
      <c r="L429" s="1" t="s">
        <v>99</v>
      </c>
      <c r="M429" s="1" t="s">
        <v>127</v>
      </c>
      <c r="N429" s="63" t="s">
        <v>1310</v>
      </c>
      <c r="O429" s="632"/>
      <c r="P429" s="689"/>
      <c r="Q429" s="632"/>
      <c r="R429" s="632"/>
    </row>
    <row r="430" spans="1:18" s="37" customFormat="1" ht="14" outlineLevel="4">
      <c r="A430" s="53" t="s">
        <v>8</v>
      </c>
      <c r="B430" s="638" t="s">
        <v>384</v>
      </c>
      <c r="C430" s="448" t="s">
        <v>385</v>
      </c>
      <c r="D430" s="8">
        <v>3</v>
      </c>
      <c r="E430" s="8">
        <v>2</v>
      </c>
      <c r="F430" s="448">
        <v>125</v>
      </c>
      <c r="G430" s="510">
        <f t="shared" si="69"/>
        <v>375</v>
      </c>
      <c r="H430" s="8">
        <f t="shared" si="70"/>
        <v>250</v>
      </c>
      <c r="I430" s="1"/>
      <c r="J430" s="302" t="s">
        <v>1405</v>
      </c>
      <c r="K430" s="1" t="s">
        <v>209</v>
      </c>
      <c r="L430" s="1" t="s">
        <v>99</v>
      </c>
      <c r="M430" s="1" t="s">
        <v>127</v>
      </c>
      <c r="N430" s="63" t="s">
        <v>1310</v>
      </c>
      <c r="O430" s="632"/>
      <c r="P430" s="689"/>
      <c r="Q430" s="632"/>
      <c r="R430" s="632"/>
    </row>
    <row r="431" spans="1:18" s="37" customFormat="1" ht="14" outlineLevel="4">
      <c r="A431" s="53" t="s">
        <v>8</v>
      </c>
      <c r="B431" s="643" t="s">
        <v>386</v>
      </c>
      <c r="C431" s="448" t="s">
        <v>387</v>
      </c>
      <c r="D431" s="8"/>
      <c r="E431" s="8">
        <v>8</v>
      </c>
      <c r="F431" s="699">
        <v>23</v>
      </c>
      <c r="G431" s="510">
        <f t="shared" si="69"/>
        <v>0</v>
      </c>
      <c r="H431" s="8">
        <f t="shared" si="70"/>
        <v>184</v>
      </c>
      <c r="I431" s="1"/>
      <c r="J431" s="302" t="s">
        <v>1405</v>
      </c>
      <c r="K431" s="1" t="s">
        <v>209</v>
      </c>
      <c r="L431" s="1" t="s">
        <v>99</v>
      </c>
      <c r="M431" s="1" t="s">
        <v>127</v>
      </c>
      <c r="N431" s="63" t="s">
        <v>1310</v>
      </c>
      <c r="O431" s="632"/>
      <c r="P431" s="689"/>
      <c r="Q431" s="632"/>
      <c r="R431" s="632"/>
    </row>
    <row r="432" spans="1:18" s="37" customFormat="1" ht="14" outlineLevel="4">
      <c r="A432" s="53" t="s">
        <v>8</v>
      </c>
      <c r="B432" s="643" t="s">
        <v>388</v>
      </c>
      <c r="C432" s="448" t="s">
        <v>375</v>
      </c>
      <c r="D432" s="8">
        <v>4</v>
      </c>
      <c r="E432" s="8">
        <v>3</v>
      </c>
      <c r="F432" s="449">
        <v>4</v>
      </c>
      <c r="G432" s="510">
        <f t="shared" si="69"/>
        <v>16</v>
      </c>
      <c r="H432" s="8">
        <f t="shared" si="70"/>
        <v>12</v>
      </c>
      <c r="I432" s="1"/>
      <c r="J432" s="302" t="s">
        <v>1405</v>
      </c>
      <c r="K432" s="1" t="s">
        <v>209</v>
      </c>
      <c r="L432" s="1" t="s">
        <v>99</v>
      </c>
      <c r="M432" s="1" t="s">
        <v>127</v>
      </c>
      <c r="N432" s="63" t="s">
        <v>1310</v>
      </c>
      <c r="O432" s="632"/>
      <c r="P432" s="689"/>
      <c r="Q432" s="632"/>
      <c r="R432" s="632"/>
    </row>
    <row r="433" spans="1:18" s="37" customFormat="1" ht="14" outlineLevel="4">
      <c r="A433" s="53" t="s">
        <v>8</v>
      </c>
      <c r="B433" s="643" t="s">
        <v>389</v>
      </c>
      <c r="C433" s="448" t="s">
        <v>375</v>
      </c>
      <c r="D433" s="8">
        <v>4</v>
      </c>
      <c r="E433" s="8">
        <v>5</v>
      </c>
      <c r="F433" s="699">
        <v>4</v>
      </c>
      <c r="G433" s="510">
        <f t="shared" si="69"/>
        <v>16</v>
      </c>
      <c r="H433" s="8">
        <f t="shared" si="70"/>
        <v>20</v>
      </c>
      <c r="I433" s="1"/>
      <c r="J433" s="302" t="s">
        <v>1405</v>
      </c>
      <c r="K433" s="1" t="s">
        <v>209</v>
      </c>
      <c r="L433" s="1" t="s">
        <v>99</v>
      </c>
      <c r="M433" s="1" t="s">
        <v>127</v>
      </c>
      <c r="N433" s="63" t="s">
        <v>1310</v>
      </c>
      <c r="O433" s="632"/>
      <c r="P433" s="689"/>
      <c r="Q433" s="632"/>
      <c r="R433" s="632"/>
    </row>
    <row r="434" spans="1:18" s="37" customFormat="1" ht="14" outlineLevel="4">
      <c r="A434" s="53" t="s">
        <v>8</v>
      </c>
      <c r="B434" s="643" t="s">
        <v>390</v>
      </c>
      <c r="C434" s="448" t="s">
        <v>387</v>
      </c>
      <c r="D434" s="8"/>
      <c r="E434" s="8">
        <v>8</v>
      </c>
      <c r="F434" s="449">
        <v>1</v>
      </c>
      <c r="G434" s="510">
        <f t="shared" si="69"/>
        <v>0</v>
      </c>
      <c r="H434" s="8">
        <f t="shared" si="70"/>
        <v>8</v>
      </c>
      <c r="I434" s="1"/>
      <c r="J434" s="302" t="s">
        <v>1405</v>
      </c>
      <c r="K434" s="1" t="s">
        <v>209</v>
      </c>
      <c r="L434" s="1" t="s">
        <v>99</v>
      </c>
      <c r="M434" s="1" t="s">
        <v>127</v>
      </c>
      <c r="N434" s="63" t="s">
        <v>1310</v>
      </c>
      <c r="O434" s="632"/>
      <c r="P434" s="689"/>
      <c r="Q434" s="632"/>
      <c r="R434" s="632"/>
    </row>
    <row r="435" spans="1:18" s="37" customFormat="1" ht="14" outlineLevel="4">
      <c r="A435" s="53" t="s">
        <v>8</v>
      </c>
      <c r="B435" s="643" t="s">
        <v>391</v>
      </c>
      <c r="C435" s="448" t="s">
        <v>387</v>
      </c>
      <c r="D435" s="8"/>
      <c r="E435" s="8">
        <v>8</v>
      </c>
      <c r="F435" s="449">
        <v>1</v>
      </c>
      <c r="G435" s="510">
        <f t="shared" si="69"/>
        <v>0</v>
      </c>
      <c r="H435" s="8">
        <f t="shared" si="70"/>
        <v>8</v>
      </c>
      <c r="I435" s="1"/>
      <c r="J435" s="302" t="s">
        <v>1405</v>
      </c>
      <c r="K435" s="1" t="s">
        <v>209</v>
      </c>
      <c r="L435" s="1" t="s">
        <v>99</v>
      </c>
      <c r="M435" s="1" t="s">
        <v>127</v>
      </c>
      <c r="N435" s="63" t="s">
        <v>1310</v>
      </c>
      <c r="O435" s="632"/>
      <c r="P435" s="689"/>
      <c r="Q435" s="632"/>
      <c r="R435" s="632"/>
    </row>
    <row r="436" spans="1:18" s="37" customFormat="1" ht="14" outlineLevel="4">
      <c r="A436" s="53" t="s">
        <v>8</v>
      </c>
      <c r="B436" s="643" t="s">
        <v>392</v>
      </c>
      <c r="C436" s="448" t="s">
        <v>9</v>
      </c>
      <c r="D436" s="8">
        <v>1</v>
      </c>
      <c r="E436" s="8">
        <v>1</v>
      </c>
      <c r="F436" s="713">
        <v>50000</v>
      </c>
      <c r="G436" s="510">
        <f t="shared" si="69"/>
        <v>50000</v>
      </c>
      <c r="H436" s="8">
        <f t="shared" si="70"/>
        <v>50000</v>
      </c>
      <c r="I436" s="1"/>
      <c r="J436" s="302" t="s">
        <v>1405</v>
      </c>
      <c r="K436" s="1" t="s">
        <v>209</v>
      </c>
      <c r="L436" s="1" t="s">
        <v>99</v>
      </c>
      <c r="M436" s="1" t="s">
        <v>127</v>
      </c>
      <c r="N436" s="63" t="s">
        <v>1310</v>
      </c>
      <c r="O436" s="632"/>
      <c r="P436" s="689"/>
      <c r="Q436" s="632"/>
      <c r="R436" s="632"/>
    </row>
    <row r="437" spans="1:18" s="627" customFormat="1" ht="14" outlineLevel="3">
      <c r="A437" s="661">
        <v>3</v>
      </c>
      <c r="B437" s="717" t="s">
        <v>450</v>
      </c>
      <c r="C437" s="634"/>
      <c r="D437" s="629"/>
      <c r="E437" s="629"/>
      <c r="F437" s="629"/>
      <c r="G437" s="626">
        <f>SUBTOTAL(9,G438:G460)</f>
        <v>2298502</v>
      </c>
      <c r="H437" s="626">
        <f>SUBTOTAL(9,H438:H460)</f>
        <v>3212197</v>
      </c>
      <c r="I437" s="636"/>
      <c r="J437" s="302" t="s">
        <v>1405</v>
      </c>
      <c r="K437" s="636"/>
      <c r="L437" s="636"/>
      <c r="M437" s="636"/>
      <c r="N437" s="636"/>
      <c r="O437" s="685"/>
      <c r="P437" s="686"/>
      <c r="Q437" s="685"/>
      <c r="R437" s="685"/>
    </row>
    <row r="438" spans="1:18" s="630" customFormat="1" ht="14" outlineLevel="3">
      <c r="A438" s="661">
        <v>3.1</v>
      </c>
      <c r="B438" s="705" t="s">
        <v>1441</v>
      </c>
      <c r="C438" s="625"/>
      <c r="D438" s="626"/>
      <c r="E438" s="626"/>
      <c r="F438" s="629"/>
      <c r="G438" s="626">
        <f>SUBTOTAL(9,G439:G448)</f>
        <v>2239261</v>
      </c>
      <c r="H438" s="626">
        <f>SUBTOTAL(9,H439:H448)</f>
        <v>3143944</v>
      </c>
      <c r="I438" s="656"/>
      <c r="J438" s="302" t="s">
        <v>1405</v>
      </c>
      <c r="K438" s="656"/>
      <c r="L438" s="656"/>
      <c r="M438" s="656"/>
      <c r="N438" s="656"/>
      <c r="O438" s="650"/>
      <c r="P438" s="687"/>
      <c r="Q438" s="650"/>
      <c r="R438" s="650"/>
    </row>
    <row r="439" spans="1:18" s="630" customFormat="1" ht="14" outlineLevel="3">
      <c r="A439" s="623" t="s">
        <v>451</v>
      </c>
      <c r="B439" s="628" t="s">
        <v>413</v>
      </c>
      <c r="C439" s="625"/>
      <c r="D439" s="626"/>
      <c r="E439" s="626"/>
      <c r="F439" s="629"/>
      <c r="G439" s="626">
        <f>SUBTOTAL(9,G440:G442)</f>
        <v>1405808</v>
      </c>
      <c r="H439" s="626">
        <f>SUBTOTAL(9,H440:H442)</f>
        <v>2709762</v>
      </c>
      <c r="I439" s="656"/>
      <c r="J439" s="302" t="s">
        <v>1405</v>
      </c>
      <c r="K439" s="656"/>
      <c r="L439" s="656"/>
      <c r="M439" s="656"/>
      <c r="N439" s="656"/>
      <c r="O439" s="650"/>
      <c r="P439" s="687"/>
      <c r="Q439" s="650"/>
      <c r="R439" s="650"/>
    </row>
    <row r="440" spans="1:18" s="37" customFormat="1" ht="26" outlineLevel="3">
      <c r="A440" s="53" t="s">
        <v>8</v>
      </c>
      <c r="B440" s="640" t="s">
        <v>1407</v>
      </c>
      <c r="C440" s="448" t="s">
        <v>24</v>
      </c>
      <c r="D440" s="8">
        <v>8</v>
      </c>
      <c r="E440" s="8">
        <v>14</v>
      </c>
      <c r="F440" s="8">
        <v>87563</v>
      </c>
      <c r="G440" s="8">
        <f>F440*D440</f>
        <v>700504</v>
      </c>
      <c r="H440" s="8">
        <f>F440*E440</f>
        <v>1225882</v>
      </c>
      <c r="I440" s="1"/>
      <c r="J440" s="302" t="s">
        <v>1405</v>
      </c>
      <c r="K440" s="1" t="s">
        <v>209</v>
      </c>
      <c r="L440" s="1" t="s">
        <v>99</v>
      </c>
      <c r="M440" s="1" t="s">
        <v>127</v>
      </c>
      <c r="N440" s="647" t="s">
        <v>738</v>
      </c>
      <c r="O440" s="647" t="s">
        <v>1278</v>
      </c>
      <c r="P440" s="704" t="s">
        <v>1325</v>
      </c>
      <c r="Q440" s="632"/>
      <c r="R440" s="688" t="s">
        <v>1408</v>
      </c>
    </row>
    <row r="441" spans="1:18" s="37" customFormat="1" ht="14" outlineLevel="3">
      <c r="A441" s="53" t="s">
        <v>8</v>
      </c>
      <c r="B441" s="640" t="s">
        <v>1409</v>
      </c>
      <c r="C441" s="448" t="s">
        <v>24</v>
      </c>
      <c r="D441" s="8">
        <v>8</v>
      </c>
      <c r="E441" s="8">
        <v>10</v>
      </c>
      <c r="F441" s="8">
        <v>88163</v>
      </c>
      <c r="G441" s="8">
        <f>F441*D441</f>
        <v>705304</v>
      </c>
      <c r="H441" s="8">
        <f>F441*E441</f>
        <v>881630</v>
      </c>
      <c r="I441" s="1"/>
      <c r="J441" s="302" t="s">
        <v>1405</v>
      </c>
      <c r="K441" s="1" t="s">
        <v>209</v>
      </c>
      <c r="L441" s="1" t="s">
        <v>99</v>
      </c>
      <c r="M441" s="1" t="s">
        <v>127</v>
      </c>
      <c r="N441" s="647" t="s">
        <v>738</v>
      </c>
      <c r="O441" s="651" t="s">
        <v>1280</v>
      </c>
      <c r="P441" s="689"/>
      <c r="Q441" s="632"/>
      <c r="R441" s="688" t="s">
        <v>1411</v>
      </c>
    </row>
    <row r="442" spans="1:18" s="37" customFormat="1" ht="14" outlineLevel="3">
      <c r="A442" s="53" t="s">
        <v>8</v>
      </c>
      <c r="B442" s="631" t="s">
        <v>1430</v>
      </c>
      <c r="C442" s="448" t="s">
        <v>24</v>
      </c>
      <c r="D442" s="8"/>
      <c r="E442" s="8">
        <v>10</v>
      </c>
      <c r="F442" s="8">
        <v>60225</v>
      </c>
      <c r="G442" s="8">
        <f>F442*D442</f>
        <v>0</v>
      </c>
      <c r="H442" s="8">
        <f>F442*E442</f>
        <v>602250</v>
      </c>
      <c r="I442" s="1"/>
      <c r="J442" s="302" t="s">
        <v>1405</v>
      </c>
      <c r="K442" s="1" t="s">
        <v>209</v>
      </c>
      <c r="L442" s="1" t="s">
        <v>99</v>
      </c>
      <c r="M442" s="1" t="s">
        <v>127</v>
      </c>
      <c r="N442" s="647" t="s">
        <v>738</v>
      </c>
      <c r="O442" s="665" t="s">
        <v>1300</v>
      </c>
      <c r="P442" s="689"/>
      <c r="Q442" s="632"/>
      <c r="R442" s="688" t="s">
        <v>1431</v>
      </c>
    </row>
    <row r="443" spans="1:18" s="630" customFormat="1" ht="14" outlineLevel="2">
      <c r="A443" s="623" t="s">
        <v>452</v>
      </c>
      <c r="B443" s="624" t="s">
        <v>55</v>
      </c>
      <c r="C443" s="625"/>
      <c r="D443" s="626"/>
      <c r="E443" s="626"/>
      <c r="F443" s="626"/>
      <c r="G443" s="626">
        <f>SUBTOTAL(9,G444:G445)</f>
        <v>798542</v>
      </c>
      <c r="H443" s="626">
        <f>SUBTOTAL(9,H444:H445)</f>
        <v>399271</v>
      </c>
      <c r="I443" s="655"/>
      <c r="J443" s="302" t="s">
        <v>1405</v>
      </c>
      <c r="K443" s="656"/>
      <c r="L443" s="656"/>
      <c r="M443" s="656"/>
      <c r="N443" s="656"/>
      <c r="O443" s="650"/>
      <c r="P443" s="687"/>
      <c r="Q443" s="650"/>
      <c r="R443" s="650"/>
    </row>
    <row r="444" spans="1:18" s="37" customFormat="1" ht="39" outlineLevel="3">
      <c r="A444" s="53" t="s">
        <v>8</v>
      </c>
      <c r="B444" s="631" t="s">
        <v>198</v>
      </c>
      <c r="C444" s="448" t="s">
        <v>24</v>
      </c>
      <c r="D444" s="8">
        <v>2</v>
      </c>
      <c r="E444" s="8">
        <v>1</v>
      </c>
      <c r="F444" s="8">
        <v>324685</v>
      </c>
      <c r="G444" s="8">
        <f>F444*D444</f>
        <v>649370</v>
      </c>
      <c r="H444" s="8">
        <f>F444*E444</f>
        <v>324685</v>
      </c>
      <c r="I444" s="1"/>
      <c r="J444" s="302" t="s">
        <v>1405</v>
      </c>
      <c r="K444" s="1" t="s">
        <v>209</v>
      </c>
      <c r="L444" s="1" t="s">
        <v>99</v>
      </c>
      <c r="M444" s="1" t="s">
        <v>127</v>
      </c>
      <c r="N444" s="63" t="s">
        <v>55</v>
      </c>
      <c r="O444" s="631" t="s">
        <v>198</v>
      </c>
      <c r="P444" s="825" t="s">
        <v>1326</v>
      </c>
      <c r="Q444" s="632"/>
      <c r="R444" s="693" t="s">
        <v>1443</v>
      </c>
    </row>
    <row r="445" spans="1:18" s="37" customFormat="1" ht="14" outlineLevel="3">
      <c r="A445" s="53" t="s">
        <v>8</v>
      </c>
      <c r="B445" s="631" t="s">
        <v>176</v>
      </c>
      <c r="C445" s="448" t="s">
        <v>24</v>
      </c>
      <c r="D445" s="8">
        <v>4</v>
      </c>
      <c r="E445" s="8">
        <v>2</v>
      </c>
      <c r="F445" s="8">
        <v>37293</v>
      </c>
      <c r="G445" s="8">
        <f>F445*D445</f>
        <v>149172</v>
      </c>
      <c r="H445" s="8">
        <f>F445*E445</f>
        <v>74586</v>
      </c>
      <c r="I445" s="1"/>
      <c r="J445" s="302" t="s">
        <v>1405</v>
      </c>
      <c r="K445" s="1" t="s">
        <v>209</v>
      </c>
      <c r="L445" s="1" t="s">
        <v>99</v>
      </c>
      <c r="M445" s="1" t="s">
        <v>127</v>
      </c>
      <c r="N445" s="63" t="s">
        <v>55</v>
      </c>
      <c r="O445" s="63" t="s">
        <v>1307</v>
      </c>
      <c r="P445" s="825"/>
      <c r="Q445" s="632"/>
      <c r="R445" s="671" t="s">
        <v>1436</v>
      </c>
    </row>
    <row r="446" spans="1:18" s="630" customFormat="1" ht="14" outlineLevel="2">
      <c r="A446" s="623" t="s">
        <v>453</v>
      </c>
      <c r="B446" s="649" t="s">
        <v>35</v>
      </c>
      <c r="C446" s="625"/>
      <c r="D446" s="626"/>
      <c r="E446" s="626"/>
      <c r="F446" s="626"/>
      <c r="G446" s="626">
        <f>SUBTOTAL(9,G447:G448)</f>
        <v>34911</v>
      </c>
      <c r="H446" s="626">
        <f>SUBTOTAL(9,H447:H448)</f>
        <v>34911</v>
      </c>
      <c r="I446" s="656"/>
      <c r="J446" s="302" t="s">
        <v>1405</v>
      </c>
      <c r="K446" s="656"/>
      <c r="L446" s="656"/>
      <c r="M446" s="656"/>
      <c r="N446" s="656"/>
      <c r="O446" s="650"/>
      <c r="P446" s="687"/>
      <c r="Q446" s="650"/>
      <c r="R446" s="650"/>
    </row>
    <row r="447" spans="1:18" s="37" customFormat="1" ht="14" outlineLevel="4">
      <c r="A447" s="53" t="s">
        <v>8</v>
      </c>
      <c r="B447" s="643" t="s">
        <v>177</v>
      </c>
      <c r="C447" s="448" t="s">
        <v>24</v>
      </c>
      <c r="D447" s="8">
        <v>2</v>
      </c>
      <c r="E447" s="8">
        <v>2</v>
      </c>
      <c r="F447" s="446">
        <v>15197</v>
      </c>
      <c r="G447" s="8">
        <f>F447*D447</f>
        <v>30394</v>
      </c>
      <c r="H447" s="8">
        <f>F447*E447</f>
        <v>30394</v>
      </c>
      <c r="I447" s="1"/>
      <c r="J447" s="302" t="s">
        <v>1405</v>
      </c>
      <c r="K447" s="1" t="s">
        <v>209</v>
      </c>
      <c r="L447" s="1" t="s">
        <v>99</v>
      </c>
      <c r="M447" s="1" t="s">
        <v>127</v>
      </c>
      <c r="N447" s="642" t="s">
        <v>1287</v>
      </c>
      <c r="O447" s="632" t="s">
        <v>1289</v>
      </c>
      <c r="P447" s="689"/>
      <c r="Q447" s="632"/>
      <c r="R447" s="691" t="s">
        <v>1445</v>
      </c>
    </row>
    <row r="448" spans="1:18" s="37" customFormat="1" ht="14" outlineLevel="4">
      <c r="A448" s="53" t="s">
        <v>8</v>
      </c>
      <c r="B448" s="643" t="s">
        <v>125</v>
      </c>
      <c r="C448" s="448" t="s">
        <v>24</v>
      </c>
      <c r="D448" s="8">
        <v>1</v>
      </c>
      <c r="E448" s="8">
        <v>1</v>
      </c>
      <c r="F448" s="446">
        <v>4517</v>
      </c>
      <c r="G448" s="8">
        <f>F448*D448</f>
        <v>4517</v>
      </c>
      <c r="H448" s="8">
        <f>F448*E448</f>
        <v>4517</v>
      </c>
      <c r="I448" s="1"/>
      <c r="J448" s="302" t="s">
        <v>1405</v>
      </c>
      <c r="K448" s="1" t="s">
        <v>209</v>
      </c>
      <c r="L448" s="1" t="s">
        <v>99</v>
      </c>
      <c r="M448" s="1" t="s">
        <v>127</v>
      </c>
      <c r="N448" s="642" t="s">
        <v>1287</v>
      </c>
      <c r="O448" s="644" t="s">
        <v>125</v>
      </c>
      <c r="P448" s="689"/>
      <c r="Q448" s="632"/>
      <c r="R448" s="691" t="s">
        <v>1444</v>
      </c>
    </row>
    <row r="449" spans="1:18" s="630" customFormat="1" ht="14" outlineLevel="4">
      <c r="A449" s="623">
        <v>3.2</v>
      </c>
      <c r="B449" s="649" t="s">
        <v>377</v>
      </c>
      <c r="C449" s="625"/>
      <c r="D449" s="626"/>
      <c r="E449" s="626"/>
      <c r="F449" s="626"/>
      <c r="G449" s="626">
        <f>SUBTOTAL(9,G450:G460)</f>
        <v>59241</v>
      </c>
      <c r="H449" s="626">
        <f t="shared" ref="H449" si="71">SUBTOTAL(9,H450:H460)</f>
        <v>68253</v>
      </c>
      <c r="I449" s="656"/>
      <c r="J449" s="302" t="s">
        <v>1405</v>
      </c>
      <c r="K449" s="656"/>
      <c r="L449" s="656"/>
      <c r="M449" s="656"/>
      <c r="N449" s="656"/>
      <c r="O449" s="650"/>
      <c r="P449" s="687"/>
      <c r="Q449" s="650"/>
      <c r="R449" s="650"/>
    </row>
    <row r="450" spans="1:18" s="37" customFormat="1" ht="14" outlineLevel="4">
      <c r="A450" s="53" t="s">
        <v>8</v>
      </c>
      <c r="B450" s="638" t="s">
        <v>378</v>
      </c>
      <c r="C450" s="448" t="s">
        <v>24</v>
      </c>
      <c r="D450" s="8">
        <v>2</v>
      </c>
      <c r="E450" s="8">
        <v>5</v>
      </c>
      <c r="F450" s="713">
        <v>3000</v>
      </c>
      <c r="G450" s="8">
        <f t="shared" ref="G450:G460" si="72">F450*D450</f>
        <v>6000</v>
      </c>
      <c r="H450" s="8">
        <f t="shared" ref="H450:H460" si="73">F450*E450</f>
        <v>15000</v>
      </c>
      <c r="I450" s="1"/>
      <c r="J450" s="302" t="s">
        <v>1405</v>
      </c>
      <c r="K450" s="1" t="s">
        <v>209</v>
      </c>
      <c r="L450" s="1" t="s">
        <v>99</v>
      </c>
      <c r="M450" s="1" t="s">
        <v>127</v>
      </c>
      <c r="N450" s="63" t="s">
        <v>1310</v>
      </c>
      <c r="O450" s="632"/>
      <c r="P450" s="689"/>
      <c r="Q450" s="632"/>
      <c r="R450" s="632"/>
    </row>
    <row r="451" spans="1:18" s="37" customFormat="1" ht="14" outlineLevel="4">
      <c r="A451" s="53" t="s">
        <v>8</v>
      </c>
      <c r="B451" s="638" t="s">
        <v>379</v>
      </c>
      <c r="C451" s="448" t="s">
        <v>380</v>
      </c>
      <c r="D451" s="8">
        <v>280</v>
      </c>
      <c r="E451" s="8">
        <v>280</v>
      </c>
      <c r="F451" s="696">
        <v>6</v>
      </c>
      <c r="G451" s="8">
        <f t="shared" si="72"/>
        <v>1680</v>
      </c>
      <c r="H451" s="8">
        <f t="shared" si="73"/>
        <v>1680</v>
      </c>
      <c r="I451" s="1"/>
      <c r="J451" s="302" t="s">
        <v>1405</v>
      </c>
      <c r="K451" s="1" t="s">
        <v>209</v>
      </c>
      <c r="L451" s="1" t="s">
        <v>99</v>
      </c>
      <c r="M451" s="1" t="s">
        <v>127</v>
      </c>
      <c r="N451" s="63" t="s">
        <v>1310</v>
      </c>
      <c r="O451" s="632"/>
      <c r="P451" s="689"/>
      <c r="Q451" s="632"/>
      <c r="R451" s="632"/>
    </row>
    <row r="452" spans="1:18" s="37" customFormat="1" ht="14" outlineLevel="4">
      <c r="A452" s="53" t="s">
        <v>8</v>
      </c>
      <c r="B452" s="638" t="s">
        <v>381</v>
      </c>
      <c r="C452" s="448" t="s">
        <v>380</v>
      </c>
      <c r="D452" s="8">
        <v>90</v>
      </c>
      <c r="E452" s="8">
        <v>90</v>
      </c>
      <c r="F452" s="696">
        <v>5</v>
      </c>
      <c r="G452" s="8">
        <f t="shared" si="72"/>
        <v>450</v>
      </c>
      <c r="H452" s="8">
        <f t="shared" si="73"/>
        <v>450</v>
      </c>
      <c r="I452" s="1"/>
      <c r="J452" s="302" t="s">
        <v>1405</v>
      </c>
      <c r="K452" s="1" t="s">
        <v>209</v>
      </c>
      <c r="L452" s="1" t="s">
        <v>99</v>
      </c>
      <c r="M452" s="1" t="s">
        <v>127</v>
      </c>
      <c r="N452" s="63" t="s">
        <v>1310</v>
      </c>
      <c r="O452" s="632"/>
      <c r="P452" s="689"/>
      <c r="Q452" s="632"/>
      <c r="R452" s="632"/>
    </row>
    <row r="453" spans="1:18" s="37" customFormat="1" ht="14" outlineLevel="4">
      <c r="A453" s="53" t="s">
        <v>8</v>
      </c>
      <c r="B453" s="631" t="s">
        <v>382</v>
      </c>
      <c r="C453" s="448" t="s">
        <v>383</v>
      </c>
      <c r="D453" s="8">
        <v>3</v>
      </c>
      <c r="E453" s="8">
        <v>3</v>
      </c>
      <c r="F453" s="716">
        <v>158</v>
      </c>
      <c r="G453" s="8">
        <f t="shared" si="72"/>
        <v>474</v>
      </c>
      <c r="H453" s="8">
        <f t="shared" si="73"/>
        <v>474</v>
      </c>
      <c r="I453" s="1"/>
      <c r="J453" s="302" t="s">
        <v>1405</v>
      </c>
      <c r="K453" s="1" t="s">
        <v>209</v>
      </c>
      <c r="L453" s="1" t="s">
        <v>99</v>
      </c>
      <c r="M453" s="1" t="s">
        <v>127</v>
      </c>
      <c r="N453" s="63" t="s">
        <v>1310</v>
      </c>
      <c r="O453" s="632"/>
      <c r="P453" s="689"/>
      <c r="Q453" s="632"/>
      <c r="R453" s="632"/>
    </row>
    <row r="454" spans="1:18" s="37" customFormat="1" ht="14" outlineLevel="4">
      <c r="A454" s="53" t="s">
        <v>8</v>
      </c>
      <c r="B454" s="638" t="s">
        <v>384</v>
      </c>
      <c r="C454" s="448" t="s">
        <v>385</v>
      </c>
      <c r="D454" s="8">
        <v>3</v>
      </c>
      <c r="E454" s="8">
        <v>3</v>
      </c>
      <c r="F454" s="448">
        <v>125</v>
      </c>
      <c r="G454" s="8">
        <f t="shared" si="72"/>
        <v>375</v>
      </c>
      <c r="H454" s="8">
        <f t="shared" si="73"/>
        <v>375</v>
      </c>
      <c r="I454" s="1"/>
      <c r="J454" s="302" t="s">
        <v>1405</v>
      </c>
      <c r="K454" s="1" t="s">
        <v>209</v>
      </c>
      <c r="L454" s="1" t="s">
        <v>99</v>
      </c>
      <c r="M454" s="1" t="s">
        <v>127</v>
      </c>
      <c r="N454" s="63" t="s">
        <v>1310</v>
      </c>
      <c r="O454" s="632"/>
      <c r="P454" s="689"/>
      <c r="Q454" s="632"/>
      <c r="R454" s="632"/>
    </row>
    <row r="455" spans="1:18" s="37" customFormat="1" ht="14" outlineLevel="4">
      <c r="A455" s="53" t="s">
        <v>8</v>
      </c>
      <c r="B455" s="643" t="s">
        <v>386</v>
      </c>
      <c r="C455" s="448" t="s">
        <v>387</v>
      </c>
      <c r="D455" s="8">
        <v>10</v>
      </c>
      <c r="E455" s="8">
        <v>10</v>
      </c>
      <c r="F455" s="699">
        <v>23</v>
      </c>
      <c r="G455" s="8">
        <f t="shared" si="72"/>
        <v>230</v>
      </c>
      <c r="H455" s="8">
        <f t="shared" si="73"/>
        <v>230</v>
      </c>
      <c r="I455" s="1"/>
      <c r="J455" s="302" t="s">
        <v>1405</v>
      </c>
      <c r="K455" s="1" t="s">
        <v>209</v>
      </c>
      <c r="L455" s="1" t="s">
        <v>99</v>
      </c>
      <c r="M455" s="1" t="s">
        <v>127</v>
      </c>
      <c r="N455" s="63" t="s">
        <v>1310</v>
      </c>
      <c r="O455" s="632"/>
      <c r="P455" s="689"/>
      <c r="Q455" s="632"/>
      <c r="R455" s="632"/>
    </row>
    <row r="456" spans="1:18" s="37" customFormat="1" ht="14" outlineLevel="4">
      <c r="A456" s="53" t="s">
        <v>8</v>
      </c>
      <c r="B456" s="643" t="s">
        <v>388</v>
      </c>
      <c r="C456" s="448" t="s">
        <v>375</v>
      </c>
      <c r="D456" s="8">
        <v>4</v>
      </c>
      <c r="E456" s="8">
        <v>4</v>
      </c>
      <c r="F456" s="449">
        <v>4</v>
      </c>
      <c r="G456" s="8">
        <f t="shared" si="72"/>
        <v>16</v>
      </c>
      <c r="H456" s="8">
        <f t="shared" si="73"/>
        <v>16</v>
      </c>
      <c r="I456" s="1"/>
      <c r="J456" s="302" t="s">
        <v>1405</v>
      </c>
      <c r="K456" s="1" t="s">
        <v>209</v>
      </c>
      <c r="L456" s="1" t="s">
        <v>99</v>
      </c>
      <c r="M456" s="1" t="s">
        <v>127</v>
      </c>
      <c r="N456" s="63" t="s">
        <v>1310</v>
      </c>
      <c r="O456" s="632"/>
      <c r="P456" s="689"/>
      <c r="Q456" s="632"/>
      <c r="R456" s="632"/>
    </row>
    <row r="457" spans="1:18" s="37" customFormat="1" ht="14" outlineLevel="4">
      <c r="A457" s="53" t="s">
        <v>8</v>
      </c>
      <c r="B457" s="643" t="s">
        <v>389</v>
      </c>
      <c r="C457" s="448" t="s">
        <v>375</v>
      </c>
      <c r="D457" s="8">
        <v>4</v>
      </c>
      <c r="E457" s="8">
        <v>4</v>
      </c>
      <c r="F457" s="699">
        <v>4</v>
      </c>
      <c r="G457" s="8">
        <f t="shared" si="72"/>
        <v>16</v>
      </c>
      <c r="H457" s="8">
        <f t="shared" si="73"/>
        <v>16</v>
      </c>
      <c r="I457" s="1"/>
      <c r="J457" s="302" t="s">
        <v>1405</v>
      </c>
      <c r="K457" s="1" t="s">
        <v>209</v>
      </c>
      <c r="L457" s="1" t="s">
        <v>99</v>
      </c>
      <c r="M457" s="1" t="s">
        <v>127</v>
      </c>
      <c r="N457" s="63" t="s">
        <v>1310</v>
      </c>
      <c r="O457" s="632"/>
      <c r="P457" s="689"/>
      <c r="Q457" s="632"/>
      <c r="R457" s="632"/>
    </row>
    <row r="458" spans="1:18" s="37" customFormat="1" ht="14" outlineLevel="4">
      <c r="A458" s="53" t="s">
        <v>8</v>
      </c>
      <c r="B458" s="643" t="s">
        <v>390</v>
      </c>
      <c r="C458" s="448" t="s">
        <v>387</v>
      </c>
      <c r="D458" s="8"/>
      <c r="E458" s="8">
        <v>6</v>
      </c>
      <c r="F458" s="449">
        <v>1</v>
      </c>
      <c r="G458" s="8">
        <f t="shared" si="72"/>
        <v>0</v>
      </c>
      <c r="H458" s="8">
        <f t="shared" si="73"/>
        <v>6</v>
      </c>
      <c r="I458" s="1"/>
      <c r="J458" s="302" t="s">
        <v>1405</v>
      </c>
      <c r="K458" s="1" t="s">
        <v>209</v>
      </c>
      <c r="L458" s="1" t="s">
        <v>99</v>
      </c>
      <c r="M458" s="1" t="s">
        <v>127</v>
      </c>
      <c r="N458" s="63" t="s">
        <v>1310</v>
      </c>
      <c r="O458" s="632"/>
      <c r="P458" s="689"/>
      <c r="Q458" s="632"/>
      <c r="R458" s="632"/>
    </row>
    <row r="459" spans="1:18" s="37" customFormat="1" ht="14" outlineLevel="4">
      <c r="A459" s="53" t="s">
        <v>8</v>
      </c>
      <c r="B459" s="643" t="s">
        <v>391</v>
      </c>
      <c r="C459" s="448" t="s">
        <v>387</v>
      </c>
      <c r="D459" s="8"/>
      <c r="E459" s="8">
        <v>6</v>
      </c>
      <c r="F459" s="449">
        <v>1</v>
      </c>
      <c r="G459" s="8">
        <f t="shared" si="72"/>
        <v>0</v>
      </c>
      <c r="H459" s="8">
        <f t="shared" si="73"/>
        <v>6</v>
      </c>
      <c r="I459" s="1"/>
      <c r="J459" s="302" t="s">
        <v>1405</v>
      </c>
      <c r="K459" s="1" t="s">
        <v>209</v>
      </c>
      <c r="L459" s="1" t="s">
        <v>99</v>
      </c>
      <c r="M459" s="1" t="s">
        <v>127</v>
      </c>
      <c r="N459" s="63" t="s">
        <v>1310</v>
      </c>
      <c r="O459" s="632"/>
      <c r="P459" s="689"/>
      <c r="Q459" s="632"/>
      <c r="R459" s="632"/>
    </row>
    <row r="460" spans="1:18" s="37" customFormat="1" ht="14" outlineLevel="4">
      <c r="A460" s="53" t="s">
        <v>8</v>
      </c>
      <c r="B460" s="643" t="s">
        <v>392</v>
      </c>
      <c r="C460" s="448" t="s">
        <v>9</v>
      </c>
      <c r="D460" s="8">
        <v>1</v>
      </c>
      <c r="E460" s="8">
        <v>1</v>
      </c>
      <c r="F460" s="713">
        <v>50000</v>
      </c>
      <c r="G460" s="8">
        <f t="shared" si="72"/>
        <v>50000</v>
      </c>
      <c r="H460" s="8">
        <f t="shared" si="73"/>
        <v>50000</v>
      </c>
      <c r="I460" s="1"/>
      <c r="J460" s="302" t="s">
        <v>1405</v>
      </c>
      <c r="K460" s="1" t="s">
        <v>209</v>
      </c>
      <c r="L460" s="1" t="s">
        <v>99</v>
      </c>
      <c r="M460" s="1" t="s">
        <v>127</v>
      </c>
      <c r="N460" s="63" t="s">
        <v>1310</v>
      </c>
      <c r="O460" s="632"/>
      <c r="P460" s="689"/>
      <c r="Q460" s="632"/>
      <c r="R460" s="632"/>
    </row>
    <row r="461" spans="1:18" s="630" customFormat="1" ht="14" outlineLevel="4">
      <c r="A461" s="623">
        <v>4</v>
      </c>
      <c r="B461" s="649" t="s">
        <v>33</v>
      </c>
      <c r="C461" s="625"/>
      <c r="D461" s="626"/>
      <c r="E461" s="626"/>
      <c r="F461" s="626"/>
      <c r="G461" s="626">
        <f>SUBTOTAL(9,G462:G467)</f>
        <v>5815000</v>
      </c>
      <c r="H461" s="626">
        <f>SUBTOTAL(9,H462:H467)</f>
        <v>2265000</v>
      </c>
      <c r="I461" s="656"/>
      <c r="J461" s="302" t="s">
        <v>1405</v>
      </c>
      <c r="K461" s="656"/>
      <c r="L461" s="656"/>
      <c r="M461" s="656"/>
      <c r="N461" s="656"/>
      <c r="O461" s="650"/>
      <c r="P461" s="687"/>
      <c r="Q461" s="650"/>
      <c r="R461" s="650"/>
    </row>
    <row r="462" spans="1:18" s="37" customFormat="1" ht="14" outlineLevel="4">
      <c r="A462" s="53" t="s">
        <v>8</v>
      </c>
      <c r="B462" s="643" t="s">
        <v>1446</v>
      </c>
      <c r="C462" s="448" t="s">
        <v>9</v>
      </c>
      <c r="D462" s="8">
        <v>510</v>
      </c>
      <c r="E462" s="8">
        <v>180</v>
      </c>
      <c r="F462" s="707">
        <v>10000</v>
      </c>
      <c r="G462" s="8">
        <f t="shared" ref="G462:G467" si="74">F462*D462</f>
        <v>5100000</v>
      </c>
      <c r="H462" s="8">
        <f t="shared" ref="H462:H467" si="75">F462*E462</f>
        <v>1800000</v>
      </c>
      <c r="I462" s="1"/>
      <c r="J462" s="302" t="s">
        <v>1405</v>
      </c>
      <c r="K462" s="1" t="s">
        <v>209</v>
      </c>
      <c r="L462" s="1" t="s">
        <v>99</v>
      </c>
      <c r="M462" s="1" t="s">
        <v>127</v>
      </c>
      <c r="N462" s="63" t="s">
        <v>33</v>
      </c>
      <c r="O462" s="632"/>
      <c r="P462" s="718" t="s">
        <v>946</v>
      </c>
      <c r="Q462" s="632"/>
      <c r="R462" s="632"/>
    </row>
    <row r="463" spans="1:18" s="37" customFormat="1" ht="14" outlineLevel="4">
      <c r="A463" s="53" t="s">
        <v>8</v>
      </c>
      <c r="B463" s="643" t="s">
        <v>456</v>
      </c>
      <c r="C463" s="448" t="s">
        <v>9</v>
      </c>
      <c r="D463" s="8">
        <v>6</v>
      </c>
      <c r="E463" s="8">
        <v>6</v>
      </c>
      <c r="F463" s="707">
        <v>35000</v>
      </c>
      <c r="G463" s="8">
        <f t="shared" si="74"/>
        <v>210000</v>
      </c>
      <c r="H463" s="8">
        <f t="shared" si="75"/>
        <v>210000</v>
      </c>
      <c r="I463" s="1"/>
      <c r="J463" s="302" t="s">
        <v>1405</v>
      </c>
      <c r="K463" s="1" t="s">
        <v>209</v>
      </c>
      <c r="L463" s="1" t="s">
        <v>99</v>
      </c>
      <c r="M463" s="1" t="s">
        <v>127</v>
      </c>
      <c r="N463" s="63" t="s">
        <v>33</v>
      </c>
      <c r="O463" s="632"/>
      <c r="P463" s="689"/>
      <c r="Q463" s="632"/>
      <c r="R463" s="632"/>
    </row>
    <row r="464" spans="1:18" s="37" customFormat="1" ht="14" outlineLevel="4">
      <c r="A464" s="53" t="s">
        <v>8</v>
      </c>
      <c r="B464" s="643" t="s">
        <v>454</v>
      </c>
      <c r="C464" s="448" t="s">
        <v>9</v>
      </c>
      <c r="D464" s="8">
        <v>1</v>
      </c>
      <c r="E464" s="8">
        <v>1</v>
      </c>
      <c r="F464" s="707">
        <v>55000</v>
      </c>
      <c r="G464" s="8">
        <f t="shared" si="74"/>
        <v>55000</v>
      </c>
      <c r="H464" s="8">
        <f t="shared" si="75"/>
        <v>55000</v>
      </c>
      <c r="I464" s="1"/>
      <c r="J464" s="302" t="s">
        <v>1405</v>
      </c>
      <c r="K464" s="1" t="s">
        <v>209</v>
      </c>
      <c r="L464" s="1" t="s">
        <v>99</v>
      </c>
      <c r="M464" s="1" t="s">
        <v>127</v>
      </c>
      <c r="N464" s="63" t="s">
        <v>1293</v>
      </c>
      <c r="O464" s="632"/>
      <c r="P464" s="689"/>
      <c r="Q464" s="632"/>
      <c r="R464" s="632"/>
    </row>
    <row r="465" spans="1:18" s="37" customFormat="1" ht="14" outlineLevel="4">
      <c r="A465" s="53" t="s">
        <v>8</v>
      </c>
      <c r="B465" s="643" t="s">
        <v>455</v>
      </c>
      <c r="C465" s="448" t="s">
        <v>9</v>
      </c>
      <c r="D465" s="8">
        <v>1</v>
      </c>
      <c r="E465" s="8">
        <v>1</v>
      </c>
      <c r="F465" s="8">
        <v>200000</v>
      </c>
      <c r="G465" s="8">
        <f t="shared" si="74"/>
        <v>200000</v>
      </c>
      <c r="H465" s="8">
        <f t="shared" si="75"/>
        <v>200000</v>
      </c>
      <c r="I465" s="1"/>
      <c r="J465" s="302" t="s">
        <v>1405</v>
      </c>
      <c r="K465" s="1" t="s">
        <v>209</v>
      </c>
      <c r="L465" s="1" t="s">
        <v>99</v>
      </c>
      <c r="M465" s="1" t="s">
        <v>127</v>
      </c>
      <c r="N465" s="63" t="s">
        <v>1293</v>
      </c>
      <c r="O465" s="632"/>
      <c r="P465" s="689"/>
      <c r="Q465" s="632"/>
      <c r="R465" s="632"/>
    </row>
    <row r="466" spans="1:18" s="37" customFormat="1" ht="14" outlineLevel="4">
      <c r="A466" s="53" t="s">
        <v>8</v>
      </c>
      <c r="B466" s="668" t="s">
        <v>1327</v>
      </c>
      <c r="C466" s="448" t="s">
        <v>9</v>
      </c>
      <c r="D466" s="8">
        <v>1</v>
      </c>
      <c r="E466" s="8"/>
      <c r="F466" s="707">
        <v>50000</v>
      </c>
      <c r="G466" s="8">
        <f t="shared" si="74"/>
        <v>50000</v>
      </c>
      <c r="H466" s="8">
        <f t="shared" si="75"/>
        <v>0</v>
      </c>
      <c r="I466" s="1"/>
      <c r="J466" s="302" t="s">
        <v>1405</v>
      </c>
      <c r="K466" s="1" t="s">
        <v>209</v>
      </c>
      <c r="L466" s="1" t="s">
        <v>99</v>
      </c>
      <c r="M466" s="1"/>
      <c r="N466" s="63"/>
      <c r="O466" s="632"/>
      <c r="P466" s="689"/>
      <c r="Q466" s="632"/>
      <c r="R466" s="632"/>
    </row>
    <row r="467" spans="1:18" s="37" customFormat="1" ht="14" outlineLevel="4">
      <c r="A467" s="53" t="s">
        <v>8</v>
      </c>
      <c r="B467" s="668" t="s">
        <v>1328</v>
      </c>
      <c r="C467" s="448" t="s">
        <v>9</v>
      </c>
      <c r="D467" s="8">
        <v>1</v>
      </c>
      <c r="E467" s="8"/>
      <c r="F467" s="8">
        <v>200000</v>
      </c>
      <c r="G467" s="8">
        <f t="shared" si="74"/>
        <v>200000</v>
      </c>
      <c r="H467" s="8">
        <f t="shared" si="75"/>
        <v>0</v>
      </c>
      <c r="I467" s="1"/>
      <c r="J467" s="302" t="s">
        <v>1405</v>
      </c>
      <c r="K467" s="1" t="s">
        <v>209</v>
      </c>
      <c r="L467" s="1" t="s">
        <v>99</v>
      </c>
      <c r="M467" s="1"/>
      <c r="N467" s="63"/>
      <c r="O467" s="632"/>
      <c r="P467" s="689"/>
      <c r="Q467" s="632"/>
      <c r="R467" s="632"/>
    </row>
    <row r="468" spans="1:18" s="630" customFormat="1" ht="14" outlineLevel="4">
      <c r="A468" s="623" t="s">
        <v>448</v>
      </c>
      <c r="B468" s="649" t="s">
        <v>88</v>
      </c>
      <c r="C468" s="625"/>
      <c r="D468" s="626"/>
      <c r="E468" s="626"/>
      <c r="F468" s="626"/>
      <c r="G468" s="626">
        <f>SUBTOTAL(9,G469:G472)</f>
        <v>258462</v>
      </c>
      <c r="H468" s="626">
        <f>SUBTOTAL(9,H469:H472)</f>
        <v>38462</v>
      </c>
      <c r="I468" s="656"/>
      <c r="J468" s="302" t="s">
        <v>38</v>
      </c>
      <c r="K468" s="656"/>
      <c r="L468" s="656"/>
      <c r="M468" s="656"/>
      <c r="N468" s="656"/>
      <c r="O468" s="650"/>
      <c r="P468" s="687"/>
      <c r="Q468" s="650"/>
      <c r="R468" s="650"/>
    </row>
    <row r="469" spans="1:18" s="37" customFormat="1" ht="14" outlineLevel="4">
      <c r="A469" s="53" t="s">
        <v>8</v>
      </c>
      <c r="B469" s="643" t="s">
        <v>1329</v>
      </c>
      <c r="C469" s="448" t="s">
        <v>9</v>
      </c>
      <c r="D469" s="632">
        <v>1</v>
      </c>
      <c r="E469" s="8">
        <v>1</v>
      </c>
      <c r="F469" s="8">
        <v>38462</v>
      </c>
      <c r="G469" s="8">
        <f t="shared" ref="G469:G472" si="76">F469*D469</f>
        <v>38462</v>
      </c>
      <c r="H469" s="8">
        <f t="shared" ref="H469:H472" si="77">F469*E469</f>
        <v>38462</v>
      </c>
      <c r="I469" s="1"/>
      <c r="J469" s="302" t="s">
        <v>38</v>
      </c>
      <c r="K469" s="379" t="s">
        <v>88</v>
      </c>
      <c r="L469" s="379" t="s">
        <v>99</v>
      </c>
      <c r="M469" s="1" t="s">
        <v>127</v>
      </c>
      <c r="N469" s="63" t="s">
        <v>33</v>
      </c>
      <c r="O469" s="632"/>
      <c r="P469" s="718" t="s">
        <v>946</v>
      </c>
      <c r="Q469" s="632"/>
      <c r="R469" s="632"/>
    </row>
    <row r="470" spans="1:18" s="37" customFormat="1" ht="14" outlineLevel="4">
      <c r="A470" s="53" t="s">
        <v>8</v>
      </c>
      <c r="B470" s="643" t="s">
        <v>1330</v>
      </c>
      <c r="C470" s="448" t="s">
        <v>9</v>
      </c>
      <c r="D470" s="8">
        <v>1</v>
      </c>
      <c r="E470" s="8"/>
      <c r="F470" s="707">
        <v>200000</v>
      </c>
      <c r="G470" s="8">
        <f t="shared" si="76"/>
        <v>200000</v>
      </c>
      <c r="H470" s="8">
        <f t="shared" si="77"/>
        <v>0</v>
      </c>
      <c r="I470" s="1"/>
      <c r="J470" s="302" t="s">
        <v>38</v>
      </c>
      <c r="K470" s="379" t="s">
        <v>88</v>
      </c>
      <c r="L470" s="379" t="s">
        <v>99</v>
      </c>
      <c r="M470" s="1" t="s">
        <v>127</v>
      </c>
      <c r="N470" s="63" t="s">
        <v>33</v>
      </c>
      <c r="O470" s="632"/>
      <c r="P470" s="689"/>
      <c r="Q470" s="632"/>
      <c r="R470" s="632"/>
    </row>
    <row r="471" spans="1:18" s="37" customFormat="1" ht="14" outlineLevel="4">
      <c r="A471" s="53" t="s">
        <v>8</v>
      </c>
      <c r="B471" s="643" t="s">
        <v>1331</v>
      </c>
      <c r="C471" s="448" t="s">
        <v>9</v>
      </c>
      <c r="D471" s="8">
        <v>1</v>
      </c>
      <c r="E471" s="8"/>
      <c r="F471" s="707">
        <v>20000</v>
      </c>
      <c r="G471" s="8">
        <f t="shared" si="76"/>
        <v>20000</v>
      </c>
      <c r="H471" s="8">
        <f t="shared" si="77"/>
        <v>0</v>
      </c>
      <c r="I471" s="1"/>
      <c r="J471" s="302" t="s">
        <v>38</v>
      </c>
      <c r="K471" s="379" t="s">
        <v>88</v>
      </c>
      <c r="L471" s="379" t="s">
        <v>99</v>
      </c>
      <c r="M471" s="1" t="s">
        <v>127</v>
      </c>
      <c r="N471" s="63" t="s">
        <v>1293</v>
      </c>
      <c r="O471" s="632"/>
      <c r="P471" s="689"/>
      <c r="Q471" s="632"/>
      <c r="R471" s="632"/>
    </row>
    <row r="472" spans="1:18" s="37" customFormat="1" ht="14" outlineLevel="4">
      <c r="A472" s="53" t="s">
        <v>8</v>
      </c>
      <c r="B472" s="643" t="s">
        <v>1447</v>
      </c>
      <c r="C472" s="448" t="s">
        <v>9</v>
      </c>
      <c r="D472" s="8"/>
      <c r="E472" s="8"/>
      <c r="F472" s="8"/>
      <c r="G472" s="8">
        <f t="shared" si="76"/>
        <v>0</v>
      </c>
      <c r="H472" s="8">
        <f t="shared" si="77"/>
        <v>0</v>
      </c>
      <c r="I472" s="1"/>
      <c r="J472" s="302" t="s">
        <v>38</v>
      </c>
      <c r="K472" s="379" t="s">
        <v>88</v>
      </c>
      <c r="L472" s="379" t="s">
        <v>99</v>
      </c>
      <c r="M472" s="1" t="s">
        <v>127</v>
      </c>
      <c r="N472" s="63" t="s">
        <v>1293</v>
      </c>
      <c r="O472" s="632"/>
      <c r="P472" s="689"/>
      <c r="Q472" s="632"/>
      <c r="R472" s="632"/>
    </row>
    <row r="473" spans="1:18" s="312" customFormat="1" ht="14">
      <c r="A473" s="342" t="s">
        <v>56</v>
      </c>
      <c r="B473" s="343" t="s">
        <v>20</v>
      </c>
      <c r="C473" s="344"/>
      <c r="D473" s="345"/>
      <c r="E473" s="345"/>
      <c r="F473" s="346"/>
      <c r="G473" s="345">
        <f>SUBTOTAL(9,G474:G1675)</f>
        <v>21726392.891999997</v>
      </c>
      <c r="H473" s="345">
        <f>SUBTOTAL(9,H474:H1675)</f>
        <v>18701167.264199995</v>
      </c>
      <c r="I473" s="347"/>
      <c r="J473" s="302" t="s">
        <v>21</v>
      </c>
      <c r="K473" s="311"/>
      <c r="L473" s="311"/>
      <c r="M473" s="311"/>
      <c r="N473" s="311"/>
      <c r="O473" s="305"/>
      <c r="P473" s="306"/>
      <c r="Q473" s="305"/>
    </row>
    <row r="474" spans="1:18" s="305" customFormat="1" ht="14" outlineLevel="1">
      <c r="A474" s="280" t="s">
        <v>368</v>
      </c>
      <c r="B474" s="242" t="s">
        <v>740</v>
      </c>
      <c r="C474" s="282"/>
      <c r="D474" s="283"/>
      <c r="E474" s="283"/>
      <c r="F474" s="283"/>
      <c r="G474" s="283">
        <f>SUBTOTAL(9,G475:G550)</f>
        <v>1263200.3395999998</v>
      </c>
      <c r="H474" s="283">
        <f>SUBTOTAL(9,H475:H550)</f>
        <v>1447974.5559999999</v>
      </c>
      <c r="I474" s="284"/>
      <c r="J474" s="302" t="s">
        <v>21</v>
      </c>
      <c r="K474" s="303"/>
      <c r="L474" s="303"/>
      <c r="M474" s="303"/>
      <c r="N474" s="304"/>
      <c r="P474" s="306"/>
    </row>
    <row r="475" spans="1:18" s="305" customFormat="1" ht="14" outlineLevel="2">
      <c r="A475" s="280">
        <v>1</v>
      </c>
      <c r="B475" s="242" t="s">
        <v>742</v>
      </c>
      <c r="C475" s="289"/>
      <c r="D475" s="290"/>
      <c r="E475" s="290"/>
      <c r="F475" s="290"/>
      <c r="G475" s="283">
        <f>SUBTOTAL(9,G476:G486)</f>
        <v>231000</v>
      </c>
      <c r="H475" s="283">
        <f>SUBTOTAL(9,H476:H486)</f>
        <v>244200</v>
      </c>
      <c r="I475" s="284"/>
      <c r="J475" s="302" t="s">
        <v>21</v>
      </c>
      <c r="K475" s="303"/>
      <c r="L475" s="303"/>
      <c r="M475" s="303" t="s">
        <v>147</v>
      </c>
      <c r="N475" s="304"/>
      <c r="P475" s="306"/>
      <c r="Q475" s="348" t="s">
        <v>147</v>
      </c>
    </row>
    <row r="476" spans="1:18" s="308" customFormat="1" ht="14" outlineLevel="3">
      <c r="A476" s="292" t="s">
        <v>8</v>
      </c>
      <c r="B476" s="307" t="s">
        <v>51</v>
      </c>
      <c r="C476" s="289"/>
      <c r="D476" s="290"/>
      <c r="E476" s="290"/>
      <c r="F476" s="290"/>
      <c r="G476" s="8">
        <f t="shared" ref="G476:G488" si="78">F476*D476</f>
        <v>0</v>
      </c>
      <c r="H476" s="290">
        <f t="shared" ref="H476:H486" si="79">F476*E476</f>
        <v>0</v>
      </c>
      <c r="I476" s="291"/>
      <c r="J476" s="302" t="s">
        <v>21</v>
      </c>
      <c r="K476" s="303" t="s">
        <v>112</v>
      </c>
      <c r="L476" s="303" t="s">
        <v>99</v>
      </c>
      <c r="M476" s="303" t="s">
        <v>147</v>
      </c>
      <c r="N476" s="303"/>
      <c r="P476" s="309"/>
      <c r="Q476" s="348" t="s">
        <v>147</v>
      </c>
    </row>
    <row r="477" spans="1:18" s="308" customFormat="1" ht="14" outlineLevel="3">
      <c r="A477" s="292" t="s">
        <v>8</v>
      </c>
      <c r="B477" s="349" t="s">
        <v>221</v>
      </c>
      <c r="C477" s="289" t="s">
        <v>25</v>
      </c>
      <c r="D477" s="290"/>
      <c r="E477" s="290"/>
      <c r="F477" s="290"/>
      <c r="G477" s="8">
        <f t="shared" si="78"/>
        <v>0</v>
      </c>
      <c r="H477" s="290">
        <f t="shared" si="79"/>
        <v>0</v>
      </c>
      <c r="I477" s="291"/>
      <c r="J477" s="302" t="s">
        <v>21</v>
      </c>
      <c r="K477" s="303" t="s">
        <v>112</v>
      </c>
      <c r="L477" s="303" t="s">
        <v>99</v>
      </c>
      <c r="M477" s="303" t="s">
        <v>147</v>
      </c>
      <c r="N477" s="325"/>
      <c r="P477" s="309"/>
      <c r="Q477" s="348" t="s">
        <v>147</v>
      </c>
    </row>
    <row r="478" spans="1:18" s="308" customFormat="1" ht="14" outlineLevel="3">
      <c r="A478" s="292" t="s">
        <v>8</v>
      </c>
      <c r="B478" s="349" t="s">
        <v>222</v>
      </c>
      <c r="C478" s="289" t="s">
        <v>25</v>
      </c>
      <c r="D478" s="290"/>
      <c r="E478" s="290"/>
      <c r="F478" s="290"/>
      <c r="G478" s="8">
        <f t="shared" si="78"/>
        <v>0</v>
      </c>
      <c r="H478" s="290">
        <f t="shared" si="79"/>
        <v>0</v>
      </c>
      <c r="I478" s="291"/>
      <c r="J478" s="302" t="s">
        <v>21</v>
      </c>
      <c r="K478" s="303" t="s">
        <v>112</v>
      </c>
      <c r="L478" s="303" t="s">
        <v>99</v>
      </c>
      <c r="M478" s="303" t="s">
        <v>147</v>
      </c>
      <c r="N478" s="325"/>
      <c r="P478" s="309"/>
      <c r="Q478" s="348" t="s">
        <v>147</v>
      </c>
    </row>
    <row r="479" spans="1:18" s="308" customFormat="1" ht="14" outlineLevel="3">
      <c r="A479" s="292" t="s">
        <v>8</v>
      </c>
      <c r="B479" s="349" t="s">
        <v>46</v>
      </c>
      <c r="C479" s="289"/>
      <c r="D479" s="290"/>
      <c r="E479" s="290"/>
      <c r="F479" s="290"/>
      <c r="G479" s="8">
        <f t="shared" si="78"/>
        <v>0</v>
      </c>
      <c r="H479" s="290">
        <f t="shared" si="79"/>
        <v>0</v>
      </c>
      <c r="I479" s="291"/>
      <c r="J479" s="302" t="s">
        <v>21</v>
      </c>
      <c r="K479" s="303" t="s">
        <v>112</v>
      </c>
      <c r="L479" s="303" t="s">
        <v>99</v>
      </c>
      <c r="M479" s="303" t="s">
        <v>147</v>
      </c>
      <c r="N479" s="325"/>
      <c r="P479" s="309"/>
      <c r="Q479" s="348" t="s">
        <v>147</v>
      </c>
    </row>
    <row r="480" spans="1:18" s="308" customFormat="1" ht="14" outlineLevel="3">
      <c r="A480" s="292" t="s">
        <v>8</v>
      </c>
      <c r="B480" s="349" t="s">
        <v>123</v>
      </c>
      <c r="C480" s="289" t="s">
        <v>25</v>
      </c>
      <c r="D480" s="290"/>
      <c r="E480" s="290"/>
      <c r="F480" s="290"/>
      <c r="G480" s="8">
        <f t="shared" si="78"/>
        <v>0</v>
      </c>
      <c r="H480" s="290">
        <f t="shared" si="79"/>
        <v>0</v>
      </c>
      <c r="I480" s="291"/>
      <c r="J480" s="302" t="s">
        <v>21</v>
      </c>
      <c r="K480" s="303" t="s">
        <v>112</v>
      </c>
      <c r="L480" s="303" t="s">
        <v>99</v>
      </c>
      <c r="M480" s="303" t="s">
        <v>147</v>
      </c>
      <c r="N480" s="325"/>
      <c r="P480" s="309"/>
      <c r="Q480" s="348" t="s">
        <v>147</v>
      </c>
    </row>
    <row r="481" spans="1:17" s="308" customFormat="1" ht="14" outlineLevel="3">
      <c r="A481" s="292" t="s">
        <v>8</v>
      </c>
      <c r="B481" s="349" t="s">
        <v>223</v>
      </c>
      <c r="C481" s="289" t="s">
        <v>25</v>
      </c>
      <c r="D481" s="290"/>
      <c r="E481" s="290"/>
      <c r="F481" s="290"/>
      <c r="G481" s="8">
        <f t="shared" si="78"/>
        <v>0</v>
      </c>
      <c r="H481" s="290">
        <f t="shared" si="79"/>
        <v>0</v>
      </c>
      <c r="I481" s="291"/>
      <c r="J481" s="302" t="s">
        <v>21</v>
      </c>
      <c r="K481" s="303" t="s">
        <v>112</v>
      </c>
      <c r="L481" s="303" t="s">
        <v>99</v>
      </c>
      <c r="M481" s="303" t="s">
        <v>147</v>
      </c>
      <c r="N481" s="325"/>
      <c r="P481" s="309"/>
      <c r="Q481" s="348" t="s">
        <v>147</v>
      </c>
    </row>
    <row r="482" spans="1:17" s="308" customFormat="1" ht="14" outlineLevel="3">
      <c r="A482" s="292" t="s">
        <v>8</v>
      </c>
      <c r="B482" s="350" t="s">
        <v>741</v>
      </c>
      <c r="C482" s="289" t="s">
        <v>25</v>
      </c>
      <c r="D482" s="290">
        <v>420</v>
      </c>
      <c r="E482" s="290">
        <v>444</v>
      </c>
      <c r="F482" s="231">
        <v>550</v>
      </c>
      <c r="G482" s="8">
        <f t="shared" si="78"/>
        <v>231000</v>
      </c>
      <c r="H482" s="290">
        <f t="shared" si="79"/>
        <v>244200</v>
      </c>
      <c r="I482" s="291"/>
      <c r="J482" s="302" t="s">
        <v>21</v>
      </c>
      <c r="K482" s="303" t="s">
        <v>112</v>
      </c>
      <c r="L482" s="303" t="s">
        <v>99</v>
      </c>
      <c r="M482" s="303" t="s">
        <v>147</v>
      </c>
      <c r="N482" s="325"/>
      <c r="P482" s="309"/>
      <c r="Q482" s="348" t="s">
        <v>147</v>
      </c>
    </row>
    <row r="483" spans="1:17" s="308" customFormat="1" ht="14" outlineLevel="3">
      <c r="A483" s="292" t="s">
        <v>8</v>
      </c>
      <c r="B483" s="349" t="s">
        <v>225</v>
      </c>
      <c r="C483" s="289" t="s">
        <v>25</v>
      </c>
      <c r="D483" s="290"/>
      <c r="E483" s="290"/>
      <c r="F483" s="290"/>
      <c r="G483" s="8">
        <f t="shared" si="78"/>
        <v>0</v>
      </c>
      <c r="H483" s="290">
        <f t="shared" si="79"/>
        <v>0</v>
      </c>
      <c r="I483" s="291"/>
      <c r="J483" s="302" t="s">
        <v>21</v>
      </c>
      <c r="K483" s="303" t="s">
        <v>112</v>
      </c>
      <c r="L483" s="303" t="s">
        <v>99</v>
      </c>
      <c r="M483" s="303" t="s">
        <v>147</v>
      </c>
      <c r="N483" s="325"/>
      <c r="P483" s="309"/>
      <c r="Q483" s="348" t="s">
        <v>147</v>
      </c>
    </row>
    <row r="484" spans="1:17" s="308" customFormat="1" ht="14" outlineLevel="3">
      <c r="A484" s="292" t="s">
        <v>8</v>
      </c>
      <c r="B484" s="349" t="s">
        <v>226</v>
      </c>
      <c r="C484" s="289" t="s">
        <v>25</v>
      </c>
      <c r="D484" s="290"/>
      <c r="E484" s="290"/>
      <c r="F484" s="290"/>
      <c r="G484" s="8">
        <f t="shared" si="78"/>
        <v>0</v>
      </c>
      <c r="H484" s="290">
        <f t="shared" si="79"/>
        <v>0</v>
      </c>
      <c r="I484" s="291"/>
      <c r="J484" s="302" t="s">
        <v>21</v>
      </c>
      <c r="K484" s="303" t="s">
        <v>112</v>
      </c>
      <c r="L484" s="303" t="s">
        <v>99</v>
      </c>
      <c r="M484" s="303" t="s">
        <v>147</v>
      </c>
      <c r="N484" s="325"/>
      <c r="P484" s="309"/>
      <c r="Q484" s="348" t="s">
        <v>147</v>
      </c>
    </row>
    <row r="485" spans="1:17" s="308" customFormat="1" ht="14" outlineLevel="3">
      <c r="A485" s="292" t="s">
        <v>8</v>
      </c>
      <c r="B485" s="349" t="s">
        <v>227</v>
      </c>
      <c r="C485" s="289" t="s">
        <v>25</v>
      </c>
      <c r="D485" s="290"/>
      <c r="E485" s="290"/>
      <c r="F485" s="290"/>
      <c r="G485" s="8">
        <f t="shared" si="78"/>
        <v>0</v>
      </c>
      <c r="H485" s="290">
        <f t="shared" si="79"/>
        <v>0</v>
      </c>
      <c r="I485" s="291"/>
      <c r="J485" s="302" t="s">
        <v>21</v>
      </c>
      <c r="K485" s="303" t="s">
        <v>112</v>
      </c>
      <c r="L485" s="303" t="s">
        <v>99</v>
      </c>
      <c r="M485" s="303" t="s">
        <v>147</v>
      </c>
      <c r="N485" s="325"/>
      <c r="P485" s="309"/>
      <c r="Q485" s="348" t="s">
        <v>147</v>
      </c>
    </row>
    <row r="486" spans="1:17" s="308" customFormat="1" ht="14" outlineLevel="3">
      <c r="A486" s="292" t="s">
        <v>8</v>
      </c>
      <c r="B486" s="349" t="s">
        <v>228</v>
      </c>
      <c r="C486" s="289" t="s">
        <v>25</v>
      </c>
      <c r="D486" s="290"/>
      <c r="E486" s="290"/>
      <c r="F486" s="290"/>
      <c r="G486" s="8">
        <f t="shared" si="78"/>
        <v>0</v>
      </c>
      <c r="H486" s="290">
        <f t="shared" si="79"/>
        <v>0</v>
      </c>
      <c r="I486" s="291"/>
      <c r="J486" s="302" t="s">
        <v>21</v>
      </c>
      <c r="K486" s="303" t="s">
        <v>112</v>
      </c>
      <c r="L486" s="303" t="s">
        <v>99</v>
      </c>
      <c r="M486" s="303" t="s">
        <v>147</v>
      </c>
      <c r="N486" s="325"/>
      <c r="P486" s="309"/>
      <c r="Q486" s="348" t="s">
        <v>147</v>
      </c>
    </row>
    <row r="487" spans="1:17" s="305" customFormat="1" ht="14" outlineLevel="2">
      <c r="A487" s="280">
        <v>2</v>
      </c>
      <c r="B487" s="242" t="s">
        <v>743</v>
      </c>
      <c r="C487" s="289"/>
      <c r="D487" s="290"/>
      <c r="E487" s="290"/>
      <c r="F487" s="290"/>
      <c r="G487" s="283">
        <f>SUBTOTAL(9,G488)</f>
        <v>213500</v>
      </c>
      <c r="H487" s="283">
        <f>SUBTOTAL(9,H488)</f>
        <v>224000</v>
      </c>
      <c r="I487" s="284"/>
      <c r="J487" s="302" t="s">
        <v>21</v>
      </c>
      <c r="K487" s="303"/>
      <c r="L487" s="303"/>
      <c r="M487" s="303" t="s">
        <v>147</v>
      </c>
      <c r="N487" s="304"/>
      <c r="P487" s="306"/>
      <c r="Q487" s="348" t="s">
        <v>147</v>
      </c>
    </row>
    <row r="488" spans="1:17" s="308" customFormat="1" ht="14" outlineLevel="3">
      <c r="A488" s="292" t="s">
        <v>8</v>
      </c>
      <c r="B488" s="351" t="s">
        <v>743</v>
      </c>
      <c r="C488" s="289" t="s">
        <v>744</v>
      </c>
      <c r="D488" s="290">
        <v>61</v>
      </c>
      <c r="E488" s="290">
        <v>64</v>
      </c>
      <c r="F488" s="290">
        <v>3500</v>
      </c>
      <c r="G488" s="8">
        <f t="shared" si="78"/>
        <v>213500</v>
      </c>
      <c r="H488" s="290">
        <f t="shared" ref="H488" si="80">F488*E488</f>
        <v>224000</v>
      </c>
      <c r="I488" s="291"/>
      <c r="J488" s="302" t="s">
        <v>21</v>
      </c>
      <c r="K488" s="303" t="s">
        <v>112</v>
      </c>
      <c r="L488" s="303" t="s">
        <v>99</v>
      </c>
      <c r="M488" s="303" t="s">
        <v>147</v>
      </c>
      <c r="N488" s="325"/>
      <c r="P488" s="309"/>
      <c r="Q488" s="348" t="s">
        <v>147</v>
      </c>
    </row>
    <row r="489" spans="1:17" s="305" customFormat="1" ht="14" outlineLevel="2">
      <c r="A489" s="280">
        <v>3</v>
      </c>
      <c r="B489" s="242" t="s">
        <v>47</v>
      </c>
      <c r="C489" s="282"/>
      <c r="D489" s="283"/>
      <c r="E489" s="283"/>
      <c r="F489" s="283"/>
      <c r="G489" s="283">
        <f>SUBTOTAL(9,G490:G511)</f>
        <v>348320</v>
      </c>
      <c r="H489" s="283">
        <f>SUBTOTAL(9,H490:H511)</f>
        <v>407488.4</v>
      </c>
      <c r="I489" s="352"/>
      <c r="J489" s="302" t="s">
        <v>21</v>
      </c>
      <c r="K489" s="303"/>
      <c r="L489" s="303"/>
      <c r="M489" s="303" t="s">
        <v>147</v>
      </c>
      <c r="N489" s="304"/>
      <c r="P489" s="306"/>
      <c r="Q489" s="348" t="s">
        <v>147</v>
      </c>
    </row>
    <row r="490" spans="1:17" s="305" customFormat="1" ht="14" outlineLevel="3">
      <c r="A490" s="280">
        <v>3.1</v>
      </c>
      <c r="B490" s="242" t="s">
        <v>89</v>
      </c>
      <c r="C490" s="282"/>
      <c r="D490" s="283"/>
      <c r="E490" s="283"/>
      <c r="F490" s="283"/>
      <c r="G490" s="283"/>
      <c r="H490" s="283"/>
      <c r="I490" s="284"/>
      <c r="J490" s="302" t="s">
        <v>21</v>
      </c>
      <c r="K490" s="303"/>
      <c r="L490" s="303"/>
      <c r="M490" s="303" t="s">
        <v>147</v>
      </c>
      <c r="N490" s="304"/>
      <c r="P490" s="306"/>
      <c r="Q490" s="348" t="s">
        <v>147</v>
      </c>
    </row>
    <row r="491" spans="1:17" s="308" customFormat="1" ht="14" outlineLevel="3">
      <c r="A491" s="292" t="s">
        <v>8</v>
      </c>
      <c r="B491" s="349" t="s">
        <v>229</v>
      </c>
      <c r="C491" s="289" t="s">
        <v>24</v>
      </c>
      <c r="D491" s="290">
        <v>4410</v>
      </c>
      <c r="E491" s="290">
        <v>4662</v>
      </c>
      <c r="F491" s="231">
        <v>4.2</v>
      </c>
      <c r="G491" s="8">
        <f t="shared" ref="G491:G508" si="81">F491*D491</f>
        <v>18522</v>
      </c>
      <c r="H491" s="290">
        <f t="shared" ref="H491:H508" si="82">F491*E491</f>
        <v>19580.400000000001</v>
      </c>
      <c r="I491" s="291"/>
      <c r="J491" s="302" t="s">
        <v>21</v>
      </c>
      <c r="K491" s="303" t="s">
        <v>112</v>
      </c>
      <c r="L491" s="303" t="s">
        <v>99</v>
      </c>
      <c r="M491" s="303" t="s">
        <v>147</v>
      </c>
      <c r="N491" s="325"/>
      <c r="P491" s="309"/>
      <c r="Q491" s="348" t="s">
        <v>147</v>
      </c>
    </row>
    <row r="492" spans="1:17" s="308" customFormat="1" ht="14" outlineLevel="3">
      <c r="A492" s="292" t="s">
        <v>8</v>
      </c>
      <c r="B492" s="349" t="s">
        <v>230</v>
      </c>
      <c r="C492" s="289" t="s">
        <v>24</v>
      </c>
      <c r="D492" s="290"/>
      <c r="E492" s="290"/>
      <c r="F492" s="290"/>
      <c r="G492" s="8">
        <f t="shared" si="81"/>
        <v>0</v>
      </c>
      <c r="H492" s="290">
        <f t="shared" si="82"/>
        <v>0</v>
      </c>
      <c r="I492" s="291"/>
      <c r="J492" s="302" t="s">
        <v>21</v>
      </c>
      <c r="K492" s="303" t="s">
        <v>112</v>
      </c>
      <c r="L492" s="303" t="s">
        <v>99</v>
      </c>
      <c r="M492" s="303" t="s">
        <v>147</v>
      </c>
      <c r="N492" s="325"/>
      <c r="P492" s="309"/>
      <c r="Q492" s="348" t="s">
        <v>147</v>
      </c>
    </row>
    <row r="493" spans="1:17" s="308" customFormat="1" ht="14" outlineLevel="3">
      <c r="A493" s="292" t="s">
        <v>8</v>
      </c>
      <c r="B493" s="349" t="s">
        <v>231</v>
      </c>
      <c r="C493" s="289" t="s">
        <v>24</v>
      </c>
      <c r="D493" s="290">
        <v>1470</v>
      </c>
      <c r="E493" s="290">
        <v>3996</v>
      </c>
      <c r="F493" s="231">
        <v>5</v>
      </c>
      <c r="G493" s="8">
        <f t="shared" si="81"/>
        <v>7350</v>
      </c>
      <c r="H493" s="290">
        <f t="shared" si="82"/>
        <v>19980</v>
      </c>
      <c r="I493" s="291"/>
      <c r="J493" s="302" t="s">
        <v>21</v>
      </c>
      <c r="K493" s="303" t="s">
        <v>112</v>
      </c>
      <c r="L493" s="303" t="s">
        <v>99</v>
      </c>
      <c r="M493" s="303" t="s">
        <v>147</v>
      </c>
      <c r="N493" s="325"/>
      <c r="P493" s="309"/>
      <c r="Q493" s="348" t="s">
        <v>147</v>
      </c>
    </row>
    <row r="494" spans="1:17" s="308" customFormat="1" ht="14" outlineLevel="3">
      <c r="A494" s="292" t="s">
        <v>8</v>
      </c>
      <c r="B494" s="349" t="s">
        <v>232</v>
      </c>
      <c r="C494" s="289" t="s">
        <v>24</v>
      </c>
      <c r="D494" s="290"/>
      <c r="E494" s="290"/>
      <c r="F494" s="290"/>
      <c r="G494" s="8">
        <f t="shared" si="81"/>
        <v>0</v>
      </c>
      <c r="H494" s="290">
        <f t="shared" si="82"/>
        <v>0</v>
      </c>
      <c r="I494" s="291"/>
      <c r="J494" s="302" t="s">
        <v>21</v>
      </c>
      <c r="K494" s="303" t="s">
        <v>112</v>
      </c>
      <c r="L494" s="303" t="s">
        <v>99</v>
      </c>
      <c r="M494" s="303" t="s">
        <v>147</v>
      </c>
      <c r="N494" s="325"/>
      <c r="P494" s="309"/>
      <c r="Q494" s="348" t="s">
        <v>147</v>
      </c>
    </row>
    <row r="495" spans="1:17" s="308" customFormat="1" ht="14" outlineLevel="3">
      <c r="A495" s="292" t="s">
        <v>8</v>
      </c>
      <c r="B495" s="349" t="s">
        <v>233</v>
      </c>
      <c r="C495" s="289" t="s">
        <v>24</v>
      </c>
      <c r="D495" s="290"/>
      <c r="E495" s="290"/>
      <c r="F495" s="290"/>
      <c r="G495" s="8">
        <f t="shared" si="81"/>
        <v>0</v>
      </c>
      <c r="H495" s="290">
        <f t="shared" si="82"/>
        <v>0</v>
      </c>
      <c r="I495" s="291"/>
      <c r="J495" s="302" t="s">
        <v>21</v>
      </c>
      <c r="K495" s="303" t="s">
        <v>112</v>
      </c>
      <c r="L495" s="303" t="s">
        <v>99</v>
      </c>
      <c r="M495" s="303" t="s">
        <v>147</v>
      </c>
      <c r="N495" s="325"/>
      <c r="P495" s="309"/>
      <c r="Q495" s="348" t="s">
        <v>147</v>
      </c>
    </row>
    <row r="496" spans="1:17" s="308" customFormat="1" ht="14" outlineLevel="3">
      <c r="A496" s="292" t="s">
        <v>8</v>
      </c>
      <c r="B496" s="349" t="s">
        <v>234</v>
      </c>
      <c r="C496" s="289" t="s">
        <v>24</v>
      </c>
      <c r="D496" s="290"/>
      <c r="E496" s="290"/>
      <c r="F496" s="290"/>
      <c r="G496" s="8">
        <f t="shared" si="81"/>
        <v>0</v>
      </c>
      <c r="H496" s="290">
        <f t="shared" si="82"/>
        <v>0</v>
      </c>
      <c r="I496" s="291"/>
      <c r="J496" s="302" t="s">
        <v>21</v>
      </c>
      <c r="K496" s="303" t="s">
        <v>112</v>
      </c>
      <c r="L496" s="303" t="s">
        <v>99</v>
      </c>
      <c r="M496" s="303" t="s">
        <v>147</v>
      </c>
      <c r="N496" s="325"/>
      <c r="P496" s="309"/>
      <c r="Q496" s="348" t="s">
        <v>147</v>
      </c>
    </row>
    <row r="497" spans="1:17" s="308" customFormat="1" ht="14" outlineLevel="3">
      <c r="A497" s="292" t="s">
        <v>8</v>
      </c>
      <c r="B497" s="349" t="s">
        <v>746</v>
      </c>
      <c r="C497" s="289" t="s">
        <v>24</v>
      </c>
      <c r="D497" s="290">
        <v>140</v>
      </c>
      <c r="E497" s="290">
        <v>296</v>
      </c>
      <c r="F497" s="231">
        <v>12</v>
      </c>
      <c r="G497" s="8">
        <f t="shared" si="81"/>
        <v>1680</v>
      </c>
      <c r="H497" s="290">
        <f t="shared" si="82"/>
        <v>3552</v>
      </c>
      <c r="I497" s="291"/>
      <c r="J497" s="302" t="s">
        <v>21</v>
      </c>
      <c r="K497" s="303" t="s">
        <v>112</v>
      </c>
      <c r="L497" s="303" t="s">
        <v>99</v>
      </c>
      <c r="M497" s="303" t="s">
        <v>147</v>
      </c>
      <c r="N497" s="325"/>
      <c r="P497" s="309"/>
      <c r="Q497" s="348" t="s">
        <v>147</v>
      </c>
    </row>
    <row r="498" spans="1:17" s="308" customFormat="1" ht="14" outlineLevel="3">
      <c r="A498" s="292" t="s">
        <v>8</v>
      </c>
      <c r="B498" s="349" t="s">
        <v>747</v>
      </c>
      <c r="C498" s="289" t="s">
        <v>24</v>
      </c>
      <c r="D498" s="290">
        <v>140</v>
      </c>
      <c r="E498" s="290">
        <v>296</v>
      </c>
      <c r="F498" s="231">
        <v>10</v>
      </c>
      <c r="G498" s="8">
        <f t="shared" si="81"/>
        <v>1400</v>
      </c>
      <c r="H498" s="290">
        <f t="shared" ref="H498" si="83">F498*E498</f>
        <v>2960</v>
      </c>
      <c r="I498" s="291"/>
      <c r="J498" s="302" t="s">
        <v>21</v>
      </c>
      <c r="K498" s="303" t="s">
        <v>112</v>
      </c>
      <c r="L498" s="303" t="s">
        <v>99</v>
      </c>
      <c r="M498" s="303" t="s">
        <v>147</v>
      </c>
      <c r="N498" s="325"/>
      <c r="P498" s="309"/>
      <c r="Q498" s="348" t="s">
        <v>147</v>
      </c>
    </row>
    <row r="499" spans="1:17" s="308" customFormat="1" ht="14" outlineLevel="3">
      <c r="A499" s="292" t="s">
        <v>8</v>
      </c>
      <c r="B499" s="349" t="s">
        <v>235</v>
      </c>
      <c r="C499" s="289" t="s">
        <v>24</v>
      </c>
      <c r="D499" s="290">
        <v>280</v>
      </c>
      <c r="E499" s="290">
        <v>296</v>
      </c>
      <c r="F499" s="290">
        <v>15</v>
      </c>
      <c r="G499" s="8">
        <f t="shared" si="81"/>
        <v>4200</v>
      </c>
      <c r="H499" s="290">
        <f t="shared" si="82"/>
        <v>4440</v>
      </c>
      <c r="I499" s="291"/>
      <c r="J499" s="302" t="s">
        <v>21</v>
      </c>
      <c r="K499" s="303" t="s">
        <v>112</v>
      </c>
      <c r="L499" s="303" t="s">
        <v>99</v>
      </c>
      <c r="M499" s="303" t="s">
        <v>147</v>
      </c>
      <c r="N499" s="325"/>
      <c r="P499" s="309"/>
      <c r="Q499" s="348" t="s">
        <v>147</v>
      </c>
    </row>
    <row r="500" spans="1:17" s="308" customFormat="1" ht="14" outlineLevel="3">
      <c r="A500" s="292" t="s">
        <v>8</v>
      </c>
      <c r="B500" s="241" t="s">
        <v>236</v>
      </c>
      <c r="C500" s="289" t="s">
        <v>24</v>
      </c>
      <c r="D500" s="290"/>
      <c r="E500" s="290"/>
      <c r="F500" s="231"/>
      <c r="G500" s="8">
        <f t="shared" si="81"/>
        <v>0</v>
      </c>
      <c r="H500" s="290">
        <f t="shared" si="82"/>
        <v>0</v>
      </c>
      <c r="I500" s="291"/>
      <c r="J500" s="302" t="s">
        <v>21</v>
      </c>
      <c r="K500" s="303" t="s">
        <v>112</v>
      </c>
      <c r="L500" s="303" t="s">
        <v>99</v>
      </c>
      <c r="M500" s="303" t="s">
        <v>147</v>
      </c>
      <c r="N500" s="325"/>
      <c r="P500" s="309"/>
      <c r="Q500" s="348" t="s">
        <v>147</v>
      </c>
    </row>
    <row r="501" spans="1:17" s="308" customFormat="1" ht="14" outlineLevel="3">
      <c r="A501" s="292" t="s">
        <v>8</v>
      </c>
      <c r="B501" s="349" t="s">
        <v>237</v>
      </c>
      <c r="C501" s="289" t="s">
        <v>24</v>
      </c>
      <c r="D501" s="290"/>
      <c r="E501" s="290"/>
      <c r="F501" s="290"/>
      <c r="G501" s="8">
        <f t="shared" si="81"/>
        <v>0</v>
      </c>
      <c r="H501" s="290">
        <f t="shared" si="82"/>
        <v>0</v>
      </c>
      <c r="I501" s="291"/>
      <c r="J501" s="302" t="s">
        <v>21</v>
      </c>
      <c r="K501" s="303" t="s">
        <v>112</v>
      </c>
      <c r="L501" s="303" t="s">
        <v>99</v>
      </c>
      <c r="M501" s="303" t="s">
        <v>147</v>
      </c>
      <c r="N501" s="325"/>
      <c r="P501" s="309"/>
      <c r="Q501" s="348" t="s">
        <v>147</v>
      </c>
    </row>
    <row r="502" spans="1:17" s="308" customFormat="1" ht="14" outlineLevel="3">
      <c r="A502" s="292" t="s">
        <v>8</v>
      </c>
      <c r="B502" s="349" t="s">
        <v>238</v>
      </c>
      <c r="C502" s="289" t="s">
        <v>24</v>
      </c>
      <c r="D502" s="290"/>
      <c r="E502" s="290"/>
      <c r="F502" s="290"/>
      <c r="G502" s="8">
        <f t="shared" si="81"/>
        <v>0</v>
      </c>
      <c r="H502" s="290">
        <f t="shared" si="82"/>
        <v>0</v>
      </c>
      <c r="I502" s="291"/>
      <c r="J502" s="302" t="s">
        <v>21</v>
      </c>
      <c r="K502" s="303" t="s">
        <v>112</v>
      </c>
      <c r="L502" s="303" t="s">
        <v>99</v>
      </c>
      <c r="M502" s="303" t="s">
        <v>147</v>
      </c>
      <c r="N502" s="325"/>
      <c r="P502" s="309"/>
      <c r="Q502" s="348" t="s">
        <v>147</v>
      </c>
    </row>
    <row r="503" spans="1:17" s="308" customFormat="1" ht="14" outlineLevel="3">
      <c r="A503" s="292" t="s">
        <v>8</v>
      </c>
      <c r="B503" s="349" t="s">
        <v>239</v>
      </c>
      <c r="C503" s="289" t="s">
        <v>24</v>
      </c>
      <c r="D503" s="290"/>
      <c r="E503" s="290"/>
      <c r="F503" s="290"/>
      <c r="G503" s="8">
        <f t="shared" si="81"/>
        <v>0</v>
      </c>
      <c r="H503" s="290">
        <f t="shared" si="82"/>
        <v>0</v>
      </c>
      <c r="I503" s="291"/>
      <c r="J503" s="302" t="s">
        <v>21</v>
      </c>
      <c r="K503" s="303" t="s">
        <v>112</v>
      </c>
      <c r="L503" s="303" t="s">
        <v>99</v>
      </c>
      <c r="M503" s="303" t="s">
        <v>147</v>
      </c>
      <c r="N503" s="325"/>
      <c r="P503" s="309"/>
      <c r="Q503" s="348" t="s">
        <v>147</v>
      </c>
    </row>
    <row r="504" spans="1:17" s="308" customFormat="1" ht="14" outlineLevel="3">
      <c r="A504" s="292" t="s">
        <v>8</v>
      </c>
      <c r="B504" s="349" t="s">
        <v>240</v>
      </c>
      <c r="C504" s="289" t="s">
        <v>24</v>
      </c>
      <c r="D504" s="290"/>
      <c r="E504" s="290"/>
      <c r="F504" s="290"/>
      <c r="G504" s="8">
        <f t="shared" si="81"/>
        <v>0</v>
      </c>
      <c r="H504" s="290">
        <f t="shared" si="82"/>
        <v>0</v>
      </c>
      <c r="I504" s="291"/>
      <c r="J504" s="302" t="s">
        <v>21</v>
      </c>
      <c r="K504" s="303" t="s">
        <v>112</v>
      </c>
      <c r="L504" s="303" t="s">
        <v>99</v>
      </c>
      <c r="M504" s="303" t="s">
        <v>147</v>
      </c>
      <c r="N504" s="325"/>
      <c r="P504" s="309"/>
      <c r="Q504" s="348" t="s">
        <v>147</v>
      </c>
    </row>
    <row r="505" spans="1:17" s="308" customFormat="1" ht="14" outlineLevel="3">
      <c r="A505" s="292" t="s">
        <v>8</v>
      </c>
      <c r="B505" s="349" t="s">
        <v>241</v>
      </c>
      <c r="C505" s="289" t="s">
        <v>11</v>
      </c>
      <c r="D505" s="290">
        <v>11760</v>
      </c>
      <c r="E505" s="290">
        <v>13320</v>
      </c>
      <c r="F505" s="232">
        <v>0.4</v>
      </c>
      <c r="G505" s="8">
        <f t="shared" si="81"/>
        <v>4704</v>
      </c>
      <c r="H505" s="290">
        <f t="shared" si="82"/>
        <v>5328</v>
      </c>
      <c r="I505" s="291"/>
      <c r="J505" s="302" t="s">
        <v>21</v>
      </c>
      <c r="K505" s="303" t="s">
        <v>112</v>
      </c>
      <c r="L505" s="303" t="s">
        <v>99</v>
      </c>
      <c r="M505" s="303" t="s">
        <v>147</v>
      </c>
      <c r="N505" s="325"/>
      <c r="P505" s="309"/>
      <c r="Q505" s="348" t="s">
        <v>147</v>
      </c>
    </row>
    <row r="506" spans="1:17" s="308" customFormat="1" ht="14" outlineLevel="3">
      <c r="A506" s="292" t="s">
        <v>8</v>
      </c>
      <c r="B506" s="349" t="s">
        <v>242</v>
      </c>
      <c r="C506" s="289" t="s">
        <v>24</v>
      </c>
      <c r="D506" s="290">
        <v>23520</v>
      </c>
      <c r="E506" s="290">
        <v>26640</v>
      </c>
      <c r="F506" s="232">
        <v>0.2</v>
      </c>
      <c r="G506" s="8">
        <f t="shared" si="81"/>
        <v>4704</v>
      </c>
      <c r="H506" s="290">
        <f t="shared" si="82"/>
        <v>5328</v>
      </c>
      <c r="I506" s="291"/>
      <c r="J506" s="302" t="s">
        <v>21</v>
      </c>
      <c r="K506" s="303" t="s">
        <v>112</v>
      </c>
      <c r="L506" s="303" t="s">
        <v>99</v>
      </c>
      <c r="M506" s="303" t="s">
        <v>147</v>
      </c>
      <c r="N506" s="325"/>
      <c r="P506" s="309"/>
      <c r="Q506" s="348" t="s">
        <v>147</v>
      </c>
    </row>
    <row r="507" spans="1:17" s="308" customFormat="1" ht="14" outlineLevel="3">
      <c r="A507" s="292" t="s">
        <v>8</v>
      </c>
      <c r="B507" s="349" t="s">
        <v>243</v>
      </c>
      <c r="C507" s="289" t="s">
        <v>24</v>
      </c>
      <c r="D507" s="290"/>
      <c r="E507" s="290"/>
      <c r="F507" s="290"/>
      <c r="G507" s="8">
        <f t="shared" si="81"/>
        <v>0</v>
      </c>
      <c r="H507" s="290">
        <f t="shared" si="82"/>
        <v>0</v>
      </c>
      <c r="I507" s="291"/>
      <c r="J507" s="302" t="s">
        <v>21</v>
      </c>
      <c r="K507" s="303" t="s">
        <v>112</v>
      </c>
      <c r="L507" s="303" t="s">
        <v>99</v>
      </c>
      <c r="M507" s="303" t="s">
        <v>147</v>
      </c>
      <c r="N507" s="325"/>
      <c r="P507" s="309"/>
      <c r="Q507" s="348" t="s">
        <v>147</v>
      </c>
    </row>
    <row r="508" spans="1:17" s="308" customFormat="1" ht="14" outlineLevel="3">
      <c r="A508" s="292" t="s">
        <v>8</v>
      </c>
      <c r="B508" s="349" t="s">
        <v>244</v>
      </c>
      <c r="C508" s="289" t="s">
        <v>24</v>
      </c>
      <c r="D508" s="290"/>
      <c r="E508" s="290"/>
      <c r="F508" s="290"/>
      <c r="G508" s="8">
        <f t="shared" si="81"/>
        <v>0</v>
      </c>
      <c r="H508" s="290">
        <f t="shared" si="82"/>
        <v>0</v>
      </c>
      <c r="I508" s="291"/>
      <c r="J508" s="302" t="s">
        <v>21</v>
      </c>
      <c r="K508" s="303" t="s">
        <v>112</v>
      </c>
      <c r="L508" s="303" t="s">
        <v>99</v>
      </c>
      <c r="M508" s="303" t="s">
        <v>147</v>
      </c>
      <c r="N508" s="325"/>
      <c r="P508" s="309"/>
      <c r="Q508" s="348" t="s">
        <v>147</v>
      </c>
    </row>
    <row r="509" spans="1:17" s="305" customFormat="1" ht="14" outlineLevel="3">
      <c r="A509" s="280">
        <v>3.2</v>
      </c>
      <c r="B509" s="242" t="s">
        <v>745</v>
      </c>
      <c r="C509" s="282"/>
      <c r="D509" s="283"/>
      <c r="E509" s="283"/>
      <c r="F509" s="283"/>
      <c r="G509" s="283"/>
      <c r="H509" s="283"/>
      <c r="I509" s="284"/>
      <c r="J509" s="302" t="s">
        <v>21</v>
      </c>
      <c r="K509" s="303"/>
      <c r="L509" s="303"/>
      <c r="M509" s="304"/>
      <c r="N509" s="304"/>
      <c r="P509" s="306"/>
      <c r="Q509" s="348" t="s">
        <v>147</v>
      </c>
    </row>
    <row r="510" spans="1:17" s="308" customFormat="1" ht="14" outlineLevel="3">
      <c r="A510" s="292" t="s">
        <v>8</v>
      </c>
      <c r="B510" s="307" t="s">
        <v>732</v>
      </c>
      <c r="C510" s="289" t="s">
        <v>48</v>
      </c>
      <c r="D510" s="290">
        <v>5880</v>
      </c>
      <c r="E510" s="290">
        <v>6660</v>
      </c>
      <c r="F510" s="231">
        <v>52</v>
      </c>
      <c r="G510" s="8">
        <f t="shared" ref="G510:G511" si="84">F510*D510</f>
        <v>305760</v>
      </c>
      <c r="H510" s="290">
        <f t="shared" ref="H510:H511" si="85">F510*E510</f>
        <v>346320</v>
      </c>
      <c r="I510" s="291"/>
      <c r="J510" s="302" t="s">
        <v>21</v>
      </c>
      <c r="K510" s="303" t="s">
        <v>112</v>
      </c>
      <c r="L510" s="303" t="s">
        <v>99</v>
      </c>
      <c r="M510" s="303" t="s">
        <v>147</v>
      </c>
      <c r="N510" s="325"/>
      <c r="P510" s="309"/>
      <c r="Q510" s="348" t="s">
        <v>147</v>
      </c>
    </row>
    <row r="511" spans="1:17" s="308" customFormat="1" ht="14" outlineLevel="3">
      <c r="A511" s="292" t="s">
        <v>8</v>
      </c>
      <c r="B511" s="307" t="s">
        <v>50</v>
      </c>
      <c r="C511" s="289" t="s">
        <v>48</v>
      </c>
      <c r="D511" s="290"/>
      <c r="E511" s="290"/>
      <c r="F511" s="290"/>
      <c r="G511" s="8">
        <f t="shared" si="84"/>
        <v>0</v>
      </c>
      <c r="H511" s="290">
        <f t="shared" si="85"/>
        <v>0</v>
      </c>
      <c r="I511" s="291"/>
      <c r="J511" s="302" t="s">
        <v>21</v>
      </c>
      <c r="K511" s="303" t="s">
        <v>112</v>
      </c>
      <c r="L511" s="303" t="s">
        <v>99</v>
      </c>
      <c r="M511" s="303" t="s">
        <v>147</v>
      </c>
      <c r="N511" s="325"/>
      <c r="P511" s="309"/>
      <c r="Q511" s="348" t="s">
        <v>147</v>
      </c>
    </row>
    <row r="512" spans="1:17" s="305" customFormat="1" ht="14" outlineLevel="4">
      <c r="A512" s="280">
        <v>4</v>
      </c>
      <c r="B512" s="300" t="s">
        <v>839</v>
      </c>
      <c r="C512" s="282"/>
      <c r="D512" s="283"/>
      <c r="E512" s="283"/>
      <c r="F512" s="283"/>
      <c r="G512" s="283">
        <f>SUBTOTAL(9,G513:G550)</f>
        <v>470380.33960000006</v>
      </c>
      <c r="H512" s="283">
        <f>SUBTOTAL(9,H513:H550)</f>
        <v>572286.15599999984</v>
      </c>
      <c r="I512" s="283"/>
      <c r="J512" s="302" t="s">
        <v>21</v>
      </c>
      <c r="K512" s="303"/>
      <c r="L512" s="303"/>
      <c r="M512" s="303" t="s">
        <v>32</v>
      </c>
      <c r="N512" s="304"/>
      <c r="P512" s="306"/>
    </row>
    <row r="513" spans="1:16" s="305" customFormat="1" ht="14" outlineLevel="3">
      <c r="A513" s="280">
        <v>4.0999999999999996</v>
      </c>
      <c r="B513" s="339" t="s">
        <v>1342</v>
      </c>
      <c r="C513" s="341"/>
      <c r="D513" s="331"/>
      <c r="E513" s="331"/>
      <c r="F513" s="331"/>
      <c r="G513" s="331">
        <f>SUBTOTAL(9,G514:G530)</f>
        <v>257275.69959999999</v>
      </c>
      <c r="H513" s="331">
        <f>SUBTOTAL(9,H514:H530)</f>
        <v>211461.75599999996</v>
      </c>
      <c r="I513" s="353"/>
      <c r="J513" s="302" t="s">
        <v>21</v>
      </c>
      <c r="K513" s="303"/>
      <c r="L513" s="303"/>
      <c r="M513" s="303" t="s">
        <v>32</v>
      </c>
      <c r="N513" s="304"/>
      <c r="P513" s="306"/>
    </row>
    <row r="514" spans="1:16" s="469" customFormat="1" ht="14" outlineLevel="4">
      <c r="A514" s="470" t="s">
        <v>8</v>
      </c>
      <c r="B514" s="475" t="s">
        <v>1340</v>
      </c>
      <c r="C514" s="338" t="s">
        <v>879</v>
      </c>
      <c r="D514" s="294">
        <v>97</v>
      </c>
      <c r="E514" s="294">
        <v>66</v>
      </c>
      <c r="F514" s="294">
        <v>2200</v>
      </c>
      <c r="G514" s="8">
        <f t="shared" ref="G514:G530" si="86">F514*D514</f>
        <v>213400</v>
      </c>
      <c r="H514" s="294">
        <f t="shared" ref="H514:H530" si="87">F514*E514</f>
        <v>145200</v>
      </c>
      <c r="I514" s="467"/>
      <c r="J514" s="302" t="s">
        <v>21</v>
      </c>
      <c r="K514" s="457" t="s">
        <v>112</v>
      </c>
      <c r="L514" s="457" t="s">
        <v>99</v>
      </c>
      <c r="M514" s="457" t="s">
        <v>32</v>
      </c>
      <c r="N514" s="468"/>
    </row>
    <row r="515" spans="1:16" s="469" customFormat="1" ht="14" outlineLevel="4">
      <c r="A515" s="470" t="s">
        <v>8</v>
      </c>
      <c r="B515" s="475" t="s">
        <v>907</v>
      </c>
      <c r="C515" s="338" t="s">
        <v>148</v>
      </c>
      <c r="D515" s="294"/>
      <c r="E515" s="294"/>
      <c r="F515" s="294">
        <v>24.31</v>
      </c>
      <c r="G515" s="8">
        <f t="shared" si="86"/>
        <v>0</v>
      </c>
      <c r="H515" s="294">
        <f t="shared" ref="H515:H518" si="88">F515*E515</f>
        <v>0</v>
      </c>
      <c r="I515" s="467"/>
      <c r="J515" s="302" t="s">
        <v>21</v>
      </c>
      <c r="K515" s="457" t="s">
        <v>112</v>
      </c>
      <c r="L515" s="457" t="s">
        <v>99</v>
      </c>
      <c r="M515" s="457" t="s">
        <v>32</v>
      </c>
      <c r="N515" s="468"/>
    </row>
    <row r="516" spans="1:16" s="469" customFormat="1" ht="14" outlineLevel="4">
      <c r="A516" s="470" t="s">
        <v>8</v>
      </c>
      <c r="B516" s="475" t="s">
        <v>908</v>
      </c>
      <c r="C516" s="338" t="s">
        <v>148</v>
      </c>
      <c r="D516" s="294"/>
      <c r="E516" s="294"/>
      <c r="F516" s="294">
        <v>24.31</v>
      </c>
      <c r="G516" s="8">
        <f t="shared" si="86"/>
        <v>0</v>
      </c>
      <c r="H516" s="294">
        <f t="shared" si="88"/>
        <v>0</v>
      </c>
      <c r="I516" s="467"/>
      <c r="J516" s="302" t="s">
        <v>21</v>
      </c>
      <c r="K516" s="457" t="s">
        <v>112</v>
      </c>
      <c r="L516" s="457" t="s">
        <v>99</v>
      </c>
      <c r="M516" s="457" t="s">
        <v>32</v>
      </c>
      <c r="N516" s="468"/>
    </row>
    <row r="517" spans="1:16" s="469" customFormat="1" ht="14" outlineLevel="4">
      <c r="A517" s="470" t="s">
        <v>8</v>
      </c>
      <c r="B517" s="475" t="s">
        <v>909</v>
      </c>
      <c r="C517" s="338" t="s">
        <v>148</v>
      </c>
      <c r="D517" s="294"/>
      <c r="E517" s="294"/>
      <c r="F517" s="294">
        <v>24.31</v>
      </c>
      <c r="G517" s="8">
        <f t="shared" si="86"/>
        <v>0</v>
      </c>
      <c r="H517" s="294">
        <f t="shared" si="88"/>
        <v>0</v>
      </c>
      <c r="I517" s="467"/>
      <c r="J517" s="302" t="s">
        <v>21</v>
      </c>
      <c r="K517" s="457" t="s">
        <v>112</v>
      </c>
      <c r="L517" s="457" t="s">
        <v>99</v>
      </c>
      <c r="M517" s="457" t="s">
        <v>32</v>
      </c>
      <c r="N517" s="468"/>
    </row>
    <row r="518" spans="1:16" s="469" customFormat="1" ht="14" outlineLevel="4">
      <c r="A518" s="470" t="s">
        <v>8</v>
      </c>
      <c r="B518" s="475" t="s">
        <v>910</v>
      </c>
      <c r="C518" s="338" t="s">
        <v>148</v>
      </c>
      <c r="D518" s="294"/>
      <c r="E518" s="294"/>
      <c r="F518" s="294">
        <v>24.31</v>
      </c>
      <c r="G518" s="8">
        <f t="shared" si="86"/>
        <v>0</v>
      </c>
      <c r="H518" s="294">
        <f t="shared" si="88"/>
        <v>0</v>
      </c>
      <c r="I518" s="467"/>
      <c r="J518" s="302" t="s">
        <v>21</v>
      </c>
      <c r="K518" s="457" t="s">
        <v>112</v>
      </c>
      <c r="L518" s="457" t="s">
        <v>99</v>
      </c>
      <c r="M518" s="457" t="s">
        <v>32</v>
      </c>
      <c r="N518" s="468"/>
    </row>
    <row r="519" spans="1:16" s="469" customFormat="1" ht="14" outlineLevel="4">
      <c r="A519" s="470" t="s">
        <v>8</v>
      </c>
      <c r="B519" s="475" t="s">
        <v>1451</v>
      </c>
      <c r="C519" s="338" t="s">
        <v>148</v>
      </c>
      <c r="D519" s="294">
        <v>97</v>
      </c>
      <c r="E519" s="294">
        <v>66</v>
      </c>
      <c r="F519" s="294">
        <v>24.31</v>
      </c>
      <c r="G519" s="8">
        <f t="shared" si="86"/>
        <v>2358.0699999999997</v>
      </c>
      <c r="H519" s="294">
        <f t="shared" si="87"/>
        <v>1604.4599999999998</v>
      </c>
      <c r="I519" s="467"/>
      <c r="J519" s="302" t="s">
        <v>21</v>
      </c>
      <c r="K519" s="457" t="s">
        <v>112</v>
      </c>
      <c r="L519" s="457" t="s">
        <v>99</v>
      </c>
      <c r="M519" s="457" t="s">
        <v>32</v>
      </c>
      <c r="N519" s="468"/>
    </row>
    <row r="520" spans="1:16" s="469" customFormat="1" ht="14" outlineLevel="4">
      <c r="A520" s="470" t="s">
        <v>8</v>
      </c>
      <c r="B520" s="475" t="s">
        <v>840</v>
      </c>
      <c r="C520" s="338" t="s">
        <v>148</v>
      </c>
      <c r="D520" s="294"/>
      <c r="E520" s="294">
        <v>66</v>
      </c>
      <c r="F520" s="294">
        <v>24.31</v>
      </c>
      <c r="G520" s="8">
        <f t="shared" si="86"/>
        <v>0</v>
      </c>
      <c r="H520" s="294">
        <f t="shared" si="87"/>
        <v>1604.4599999999998</v>
      </c>
      <c r="I520" s="467"/>
      <c r="J520" s="302" t="s">
        <v>21</v>
      </c>
      <c r="K520" s="457" t="s">
        <v>112</v>
      </c>
      <c r="L520" s="457" t="s">
        <v>99</v>
      </c>
      <c r="M520" s="457" t="s">
        <v>32</v>
      </c>
      <c r="N520" s="468"/>
    </row>
    <row r="521" spans="1:16" s="469" customFormat="1" ht="14" outlineLevel="4">
      <c r="A521" s="470" t="s">
        <v>8</v>
      </c>
      <c r="B521" s="475" t="s">
        <v>841</v>
      </c>
      <c r="C521" s="338" t="s">
        <v>148</v>
      </c>
      <c r="D521" s="294"/>
      <c r="E521" s="294"/>
      <c r="F521" s="294">
        <v>24.31</v>
      </c>
      <c r="G521" s="8">
        <f t="shared" si="86"/>
        <v>0</v>
      </c>
      <c r="H521" s="294">
        <f t="shared" si="87"/>
        <v>0</v>
      </c>
      <c r="I521" s="467"/>
      <c r="J521" s="302" t="s">
        <v>21</v>
      </c>
      <c r="K521" s="457" t="s">
        <v>112</v>
      </c>
      <c r="L521" s="457" t="s">
        <v>99</v>
      </c>
      <c r="M521" s="457" t="s">
        <v>32</v>
      </c>
      <c r="N521" s="468"/>
    </row>
    <row r="522" spans="1:16" s="469" customFormat="1" ht="14" outlineLevel="4">
      <c r="A522" s="470" t="s">
        <v>8</v>
      </c>
      <c r="B522" s="475" t="s">
        <v>842</v>
      </c>
      <c r="C522" s="338" t="s">
        <v>148</v>
      </c>
      <c r="D522" s="294"/>
      <c r="E522" s="294">
        <v>66</v>
      </c>
      <c r="F522" s="294">
        <v>24.31</v>
      </c>
      <c r="G522" s="8">
        <f t="shared" si="86"/>
        <v>0</v>
      </c>
      <c r="H522" s="294">
        <f t="shared" si="87"/>
        <v>1604.4599999999998</v>
      </c>
      <c r="I522" s="467"/>
      <c r="J522" s="302" t="s">
        <v>21</v>
      </c>
      <c r="K522" s="457" t="s">
        <v>112</v>
      </c>
      <c r="L522" s="457" t="s">
        <v>99</v>
      </c>
      <c r="M522" s="457" t="s">
        <v>32</v>
      </c>
      <c r="N522" s="468"/>
    </row>
    <row r="523" spans="1:16" s="469" customFormat="1" ht="28" outlineLevel="4">
      <c r="A523" s="470" t="s">
        <v>8</v>
      </c>
      <c r="B523" s="475" t="s">
        <v>1452</v>
      </c>
      <c r="C523" s="338" t="s">
        <v>148</v>
      </c>
      <c r="D523" s="294">
        <v>108.63999999999999</v>
      </c>
      <c r="E523" s="294">
        <v>105.60000000000001</v>
      </c>
      <c r="F523" s="294">
        <v>37.4</v>
      </c>
      <c r="G523" s="8">
        <f t="shared" si="86"/>
        <v>4063.1359999999995</v>
      </c>
      <c r="H523" s="294">
        <f t="shared" si="87"/>
        <v>3949.44</v>
      </c>
      <c r="I523" s="467"/>
      <c r="J523" s="302" t="s">
        <v>21</v>
      </c>
      <c r="K523" s="457" t="s">
        <v>112</v>
      </c>
      <c r="L523" s="457" t="s">
        <v>99</v>
      </c>
      <c r="M523" s="457" t="s">
        <v>32</v>
      </c>
      <c r="N523" s="468"/>
    </row>
    <row r="524" spans="1:16" s="469" customFormat="1" ht="26" outlineLevel="4">
      <c r="A524" s="470" t="s">
        <v>8</v>
      </c>
      <c r="B524" s="478" t="s">
        <v>1453</v>
      </c>
      <c r="C524" s="338" t="s">
        <v>148</v>
      </c>
      <c r="D524" s="479">
        <v>108.63999999999999</v>
      </c>
      <c r="E524" s="294">
        <v>105.60000000000001</v>
      </c>
      <c r="F524" s="294">
        <v>99</v>
      </c>
      <c r="G524" s="8">
        <f t="shared" si="86"/>
        <v>10755.359999999999</v>
      </c>
      <c r="H524" s="294">
        <f t="shared" si="87"/>
        <v>10454.400000000001</v>
      </c>
      <c r="I524" s="467"/>
      <c r="J524" s="302" t="s">
        <v>21</v>
      </c>
      <c r="K524" s="457" t="s">
        <v>112</v>
      </c>
      <c r="L524" s="457" t="s">
        <v>99</v>
      </c>
      <c r="M524" s="457" t="s">
        <v>32</v>
      </c>
      <c r="N524" s="468"/>
    </row>
    <row r="525" spans="1:16" s="469" customFormat="1" ht="28" outlineLevel="4">
      <c r="A525" s="470" t="s">
        <v>8</v>
      </c>
      <c r="B525" s="475" t="s">
        <v>1454</v>
      </c>
      <c r="C525" s="338" t="s">
        <v>148</v>
      </c>
      <c r="D525" s="294">
        <v>54.319999999999993</v>
      </c>
      <c r="E525" s="294">
        <v>52.800000000000004</v>
      </c>
      <c r="F525" s="294">
        <v>220</v>
      </c>
      <c r="G525" s="8">
        <f t="shared" si="86"/>
        <v>11950.399999999998</v>
      </c>
      <c r="H525" s="294">
        <f t="shared" si="87"/>
        <v>11616.000000000002</v>
      </c>
      <c r="I525" s="467"/>
      <c r="J525" s="302" t="s">
        <v>21</v>
      </c>
      <c r="K525" s="457" t="s">
        <v>112</v>
      </c>
      <c r="L525" s="457" t="s">
        <v>99</v>
      </c>
      <c r="M525" s="457" t="s">
        <v>32</v>
      </c>
      <c r="N525" s="468"/>
    </row>
    <row r="526" spans="1:16" s="469" customFormat="1" ht="28" outlineLevel="4">
      <c r="A526" s="470" t="s">
        <v>8</v>
      </c>
      <c r="B526" s="475" t="s">
        <v>1455</v>
      </c>
      <c r="C526" s="338" t="s">
        <v>148</v>
      </c>
      <c r="D526" s="294">
        <v>46.56</v>
      </c>
      <c r="E526" s="294">
        <v>105.60000000000001</v>
      </c>
      <c r="F526" s="294">
        <v>24.31</v>
      </c>
      <c r="G526" s="8">
        <f t="shared" si="86"/>
        <v>1131.8735999999999</v>
      </c>
      <c r="H526" s="294">
        <f t="shared" si="87"/>
        <v>2567.136</v>
      </c>
      <c r="I526" s="467"/>
      <c r="J526" s="302" t="s">
        <v>21</v>
      </c>
      <c r="K526" s="457" t="s">
        <v>112</v>
      </c>
      <c r="L526" s="457" t="s">
        <v>99</v>
      </c>
      <c r="M526" s="457" t="s">
        <v>32</v>
      </c>
      <c r="N526" s="468"/>
    </row>
    <row r="527" spans="1:16" s="469" customFormat="1" ht="28" outlineLevel="4">
      <c r="A527" s="470" t="s">
        <v>8</v>
      </c>
      <c r="B527" s="475" t="s">
        <v>1456</v>
      </c>
      <c r="C527" s="338" t="s">
        <v>148</v>
      </c>
      <c r="D527" s="294">
        <v>46.56</v>
      </c>
      <c r="E527" s="294">
        <v>105.60000000000001</v>
      </c>
      <c r="F527" s="294">
        <v>66</v>
      </c>
      <c r="G527" s="8">
        <f t="shared" si="86"/>
        <v>3072.96</v>
      </c>
      <c r="H527" s="294">
        <f t="shared" si="87"/>
        <v>6969.6</v>
      </c>
      <c r="I527" s="467"/>
      <c r="J527" s="302" t="s">
        <v>21</v>
      </c>
      <c r="K527" s="457" t="s">
        <v>112</v>
      </c>
      <c r="L527" s="457" t="s">
        <v>99</v>
      </c>
      <c r="M527" s="457" t="s">
        <v>32</v>
      </c>
      <c r="N527" s="468"/>
    </row>
    <row r="528" spans="1:16" s="469" customFormat="1" ht="28" outlineLevel="4">
      <c r="A528" s="470" t="s">
        <v>8</v>
      </c>
      <c r="B528" s="475" t="s">
        <v>1457</v>
      </c>
      <c r="C528" s="338" t="s">
        <v>148</v>
      </c>
      <c r="D528" s="294">
        <v>23.28</v>
      </c>
      <c r="E528" s="294">
        <v>52.800000000000004</v>
      </c>
      <c r="F528" s="294">
        <v>140</v>
      </c>
      <c r="G528" s="8">
        <f t="shared" si="86"/>
        <v>3259.2000000000003</v>
      </c>
      <c r="H528" s="294">
        <f t="shared" si="87"/>
        <v>7392.0000000000009</v>
      </c>
      <c r="I528" s="467"/>
      <c r="J528" s="302" t="s">
        <v>21</v>
      </c>
      <c r="K528" s="457" t="s">
        <v>112</v>
      </c>
      <c r="L528" s="457" t="s">
        <v>99</v>
      </c>
      <c r="M528" s="457" t="s">
        <v>32</v>
      </c>
      <c r="N528" s="468"/>
    </row>
    <row r="529" spans="1:14" s="469" customFormat="1" ht="14" outlineLevel="4">
      <c r="A529" s="470" t="s">
        <v>8</v>
      </c>
      <c r="B529" s="475" t="s">
        <v>918</v>
      </c>
      <c r="C529" s="338" t="s">
        <v>148</v>
      </c>
      <c r="D529" s="294">
        <v>194</v>
      </c>
      <c r="E529" s="294">
        <v>396</v>
      </c>
      <c r="F529" s="294">
        <v>37.549999999999997</v>
      </c>
      <c r="G529" s="8">
        <f t="shared" si="86"/>
        <v>7284.7</v>
      </c>
      <c r="H529" s="294">
        <f t="shared" si="87"/>
        <v>14869.8</v>
      </c>
      <c r="I529" s="467"/>
      <c r="J529" s="302" t="s">
        <v>21</v>
      </c>
      <c r="K529" s="457" t="s">
        <v>112</v>
      </c>
      <c r="L529" s="457" t="s">
        <v>99</v>
      </c>
      <c r="M529" s="457" t="s">
        <v>32</v>
      </c>
      <c r="N529" s="468"/>
    </row>
    <row r="530" spans="1:14" s="469" customFormat="1" ht="14" outlineLevel="4">
      <c r="A530" s="470" t="s">
        <v>8</v>
      </c>
      <c r="B530" s="475" t="s">
        <v>853</v>
      </c>
      <c r="C530" s="338" t="s">
        <v>880</v>
      </c>
      <c r="D530" s="294"/>
      <c r="E530" s="294">
        <v>726</v>
      </c>
      <c r="F530" s="294">
        <v>5</v>
      </c>
      <c r="G530" s="8">
        <f t="shared" si="86"/>
        <v>0</v>
      </c>
      <c r="H530" s="294">
        <f t="shared" si="87"/>
        <v>3630</v>
      </c>
      <c r="I530" s="467"/>
      <c r="J530" s="302" t="s">
        <v>21</v>
      </c>
      <c r="K530" s="457" t="s">
        <v>112</v>
      </c>
      <c r="L530" s="457" t="s">
        <v>99</v>
      </c>
      <c r="M530" s="457" t="s">
        <v>32</v>
      </c>
      <c r="N530" s="468"/>
    </row>
    <row r="531" spans="1:14" s="459" customFormat="1" ht="14" outlineLevel="3">
      <c r="A531" s="452">
        <v>4.2</v>
      </c>
      <c r="B531" s="461" t="s">
        <v>854</v>
      </c>
      <c r="C531" s="454"/>
      <c r="D531" s="455"/>
      <c r="E531" s="455"/>
      <c r="F531" s="455"/>
      <c r="G531" s="455"/>
      <c r="H531" s="455">
        <f>SUBTOTAL(9,H532:H547)</f>
        <v>358488.4</v>
      </c>
      <c r="I531" s="462"/>
      <c r="J531" s="302" t="s">
        <v>21</v>
      </c>
      <c r="K531" s="457"/>
      <c r="L531" s="457"/>
      <c r="M531" s="303" t="s">
        <v>32</v>
      </c>
      <c r="N531" s="458"/>
    </row>
    <row r="532" spans="1:14" s="469" customFormat="1" ht="14" outlineLevel="4">
      <c r="A532" s="470" t="s">
        <v>8</v>
      </c>
      <c r="B532" s="475" t="s">
        <v>920</v>
      </c>
      <c r="C532" s="338" t="s">
        <v>879</v>
      </c>
      <c r="D532" s="294">
        <v>104</v>
      </c>
      <c r="E532" s="294">
        <v>146</v>
      </c>
      <c r="F532" s="294">
        <v>1400</v>
      </c>
      <c r="G532" s="8">
        <f t="shared" ref="G532:G547" si="89">F532*D532</f>
        <v>145600</v>
      </c>
      <c r="H532" s="294">
        <f t="shared" ref="H532:H537" si="90">F532*E532</f>
        <v>204400</v>
      </c>
      <c r="I532" s="467"/>
      <c r="J532" s="302" t="s">
        <v>21</v>
      </c>
      <c r="K532" s="457" t="s">
        <v>112</v>
      </c>
      <c r="L532" s="457" t="s">
        <v>99</v>
      </c>
      <c r="M532" s="457" t="s">
        <v>32</v>
      </c>
      <c r="N532" s="468"/>
    </row>
    <row r="533" spans="1:14" s="469" customFormat="1" ht="14" outlineLevel="4">
      <c r="A533" s="470" t="s">
        <v>8</v>
      </c>
      <c r="B533" s="475" t="s">
        <v>921</v>
      </c>
      <c r="C533" s="338" t="s">
        <v>148</v>
      </c>
      <c r="D533" s="294"/>
      <c r="E533" s="294">
        <v>146</v>
      </c>
      <c r="F533" s="294">
        <v>13</v>
      </c>
      <c r="G533" s="8">
        <f t="shared" si="89"/>
        <v>0</v>
      </c>
      <c r="H533" s="294">
        <f t="shared" si="90"/>
        <v>1898</v>
      </c>
      <c r="I533" s="467"/>
      <c r="J533" s="302" t="s">
        <v>21</v>
      </c>
      <c r="K533" s="457" t="s">
        <v>112</v>
      </c>
      <c r="L533" s="457" t="s">
        <v>99</v>
      </c>
      <c r="M533" s="457" t="s">
        <v>32</v>
      </c>
      <c r="N533" s="468"/>
    </row>
    <row r="534" spans="1:14" s="469" customFormat="1" ht="14" outlineLevel="4">
      <c r="A534" s="470" t="s">
        <v>8</v>
      </c>
      <c r="B534" s="475" t="s">
        <v>922</v>
      </c>
      <c r="C534" s="338" t="s">
        <v>148</v>
      </c>
      <c r="D534" s="294"/>
      <c r="E534" s="294">
        <v>146</v>
      </c>
      <c r="F534" s="294">
        <v>13</v>
      </c>
      <c r="G534" s="8">
        <f t="shared" si="89"/>
        <v>0</v>
      </c>
      <c r="H534" s="294">
        <f t="shared" si="90"/>
        <v>1898</v>
      </c>
      <c r="I534" s="467"/>
      <c r="J534" s="302" t="s">
        <v>21</v>
      </c>
      <c r="K534" s="457" t="s">
        <v>112</v>
      </c>
      <c r="L534" s="457" t="s">
        <v>99</v>
      </c>
      <c r="M534" s="457" t="s">
        <v>32</v>
      </c>
      <c r="N534" s="468"/>
    </row>
    <row r="535" spans="1:14" s="469" customFormat="1" ht="14" outlineLevel="4">
      <c r="A535" s="470" t="s">
        <v>8</v>
      </c>
      <c r="B535" s="475" t="s">
        <v>923</v>
      </c>
      <c r="C535" s="338" t="s">
        <v>148</v>
      </c>
      <c r="D535" s="294"/>
      <c r="E535" s="294">
        <v>146</v>
      </c>
      <c r="F535" s="294">
        <v>13</v>
      </c>
      <c r="G535" s="8">
        <f t="shared" si="89"/>
        <v>0</v>
      </c>
      <c r="H535" s="294">
        <f t="shared" si="90"/>
        <v>1898</v>
      </c>
      <c r="I535" s="467"/>
      <c r="J535" s="302" t="s">
        <v>21</v>
      </c>
      <c r="K535" s="457" t="s">
        <v>112</v>
      </c>
      <c r="L535" s="457" t="s">
        <v>99</v>
      </c>
      <c r="M535" s="457" t="s">
        <v>32</v>
      </c>
      <c r="N535" s="468"/>
    </row>
    <row r="536" spans="1:14" s="469" customFormat="1" ht="14" outlineLevel="4">
      <c r="A536" s="470" t="s">
        <v>8</v>
      </c>
      <c r="B536" s="475" t="s">
        <v>1458</v>
      </c>
      <c r="C536" s="338" t="s">
        <v>148</v>
      </c>
      <c r="D536" s="294">
        <v>104</v>
      </c>
      <c r="E536" s="294"/>
      <c r="F536" s="294">
        <v>13</v>
      </c>
      <c r="G536" s="8">
        <f t="shared" si="89"/>
        <v>1352</v>
      </c>
      <c r="H536" s="294">
        <f t="shared" si="90"/>
        <v>0</v>
      </c>
      <c r="I536" s="467"/>
      <c r="J536" s="302" t="s">
        <v>21</v>
      </c>
      <c r="K536" s="457" t="s">
        <v>112</v>
      </c>
      <c r="L536" s="457" t="s">
        <v>99</v>
      </c>
      <c r="M536" s="457" t="s">
        <v>32</v>
      </c>
      <c r="N536" s="468"/>
    </row>
    <row r="537" spans="1:14" s="469" customFormat="1" ht="14" outlineLevel="4">
      <c r="A537" s="470" t="s">
        <v>8</v>
      </c>
      <c r="B537" s="475" t="s">
        <v>1459</v>
      </c>
      <c r="C537" s="338" t="s">
        <v>148</v>
      </c>
      <c r="D537" s="294"/>
      <c r="E537" s="294"/>
      <c r="F537" s="294">
        <v>13</v>
      </c>
      <c r="G537" s="8">
        <f t="shared" si="89"/>
        <v>0</v>
      </c>
      <c r="H537" s="294">
        <f t="shared" si="90"/>
        <v>0</v>
      </c>
      <c r="I537" s="467"/>
      <c r="J537" s="302" t="s">
        <v>21</v>
      </c>
      <c r="K537" s="457" t="s">
        <v>112</v>
      </c>
      <c r="L537" s="457" t="s">
        <v>99</v>
      </c>
      <c r="M537" s="457" t="s">
        <v>32</v>
      </c>
      <c r="N537" s="468"/>
    </row>
    <row r="538" spans="1:14" s="469" customFormat="1" ht="14" outlineLevel="4">
      <c r="A538" s="470" t="s">
        <v>8</v>
      </c>
      <c r="B538" s="475" t="s">
        <v>1460</v>
      </c>
      <c r="C538" s="338" t="s">
        <v>148</v>
      </c>
      <c r="D538" s="294"/>
      <c r="E538" s="294">
        <v>146</v>
      </c>
      <c r="F538" s="294">
        <v>52</v>
      </c>
      <c r="G538" s="8">
        <f t="shared" si="89"/>
        <v>0</v>
      </c>
      <c r="H538" s="294">
        <f t="shared" ref="H538:H547" si="91">F538*E538</f>
        <v>7592</v>
      </c>
      <c r="I538" s="467"/>
      <c r="J538" s="302" t="s">
        <v>21</v>
      </c>
      <c r="K538" s="457" t="s">
        <v>112</v>
      </c>
      <c r="L538" s="457" t="s">
        <v>99</v>
      </c>
      <c r="M538" s="457" t="s">
        <v>32</v>
      </c>
      <c r="N538" s="468"/>
    </row>
    <row r="539" spans="1:14" s="469" customFormat="1" ht="14" outlineLevel="4">
      <c r="A539" s="470" t="s">
        <v>8</v>
      </c>
      <c r="B539" s="475" t="s">
        <v>855</v>
      </c>
      <c r="C539" s="338" t="s">
        <v>148</v>
      </c>
      <c r="D539" s="294">
        <v>624</v>
      </c>
      <c r="E539" s="294">
        <v>876</v>
      </c>
      <c r="F539" s="294">
        <v>25</v>
      </c>
      <c r="G539" s="8">
        <f t="shared" si="89"/>
        <v>15600</v>
      </c>
      <c r="H539" s="294">
        <f t="shared" si="91"/>
        <v>21900</v>
      </c>
      <c r="I539" s="467"/>
      <c r="J539" s="302" t="s">
        <v>21</v>
      </c>
      <c r="K539" s="457" t="s">
        <v>112</v>
      </c>
      <c r="L539" s="457" t="s">
        <v>99</v>
      </c>
      <c r="M539" s="457" t="s">
        <v>32</v>
      </c>
      <c r="N539" s="468"/>
    </row>
    <row r="540" spans="1:14" s="469" customFormat="1" ht="14" outlineLevel="4">
      <c r="A540" s="470" t="s">
        <v>8</v>
      </c>
      <c r="B540" s="475" t="s">
        <v>1461</v>
      </c>
      <c r="C540" s="338" t="s">
        <v>148</v>
      </c>
      <c r="D540" s="294">
        <v>49.92</v>
      </c>
      <c r="E540" s="294">
        <v>233.60000000000002</v>
      </c>
      <c r="F540" s="294">
        <v>13</v>
      </c>
      <c r="G540" s="8">
        <f t="shared" si="89"/>
        <v>648.96</v>
      </c>
      <c r="H540" s="294">
        <f t="shared" si="91"/>
        <v>3036.8</v>
      </c>
      <c r="I540" s="467"/>
      <c r="J540" s="302" t="s">
        <v>21</v>
      </c>
      <c r="K540" s="457" t="s">
        <v>112</v>
      </c>
      <c r="L540" s="457" t="s">
        <v>99</v>
      </c>
      <c r="M540" s="457" t="s">
        <v>32</v>
      </c>
      <c r="N540" s="468"/>
    </row>
    <row r="541" spans="1:14" s="469" customFormat="1" ht="14" outlineLevel="4">
      <c r="A541" s="470" t="s">
        <v>8</v>
      </c>
      <c r="B541" s="475" t="s">
        <v>1462</v>
      </c>
      <c r="C541" s="338" t="s">
        <v>148</v>
      </c>
      <c r="D541" s="294">
        <v>49.92</v>
      </c>
      <c r="E541" s="294">
        <v>233.60000000000002</v>
      </c>
      <c r="F541" s="294">
        <v>70</v>
      </c>
      <c r="G541" s="8">
        <f t="shared" si="89"/>
        <v>3494.4</v>
      </c>
      <c r="H541" s="294">
        <f t="shared" si="91"/>
        <v>16352.000000000002</v>
      </c>
      <c r="I541" s="467"/>
      <c r="J541" s="302" t="s">
        <v>21</v>
      </c>
      <c r="K541" s="457" t="s">
        <v>112</v>
      </c>
      <c r="L541" s="457" t="s">
        <v>99</v>
      </c>
      <c r="M541" s="457" t="s">
        <v>32</v>
      </c>
      <c r="N541" s="468"/>
    </row>
    <row r="542" spans="1:14" s="469" customFormat="1" ht="14" outlineLevel="4">
      <c r="A542" s="470" t="s">
        <v>8</v>
      </c>
      <c r="B542" s="475" t="s">
        <v>1463</v>
      </c>
      <c r="C542" s="338" t="s">
        <v>148</v>
      </c>
      <c r="D542" s="294">
        <v>24.96</v>
      </c>
      <c r="E542" s="294">
        <v>116.80000000000001</v>
      </c>
      <c r="F542" s="294">
        <v>140</v>
      </c>
      <c r="G542" s="8">
        <f t="shared" si="89"/>
        <v>3494.4</v>
      </c>
      <c r="H542" s="294">
        <f t="shared" si="91"/>
        <v>16352.000000000002</v>
      </c>
      <c r="I542" s="467"/>
      <c r="J542" s="302" t="s">
        <v>21</v>
      </c>
      <c r="K542" s="457" t="s">
        <v>112</v>
      </c>
      <c r="L542" s="457" t="s">
        <v>99</v>
      </c>
      <c r="M542" s="457" t="s">
        <v>32</v>
      </c>
      <c r="N542" s="468"/>
    </row>
    <row r="543" spans="1:14" s="469" customFormat="1" ht="14" outlineLevel="4">
      <c r="A543" s="470" t="s">
        <v>8</v>
      </c>
      <c r="B543" s="475" t="s">
        <v>1464</v>
      </c>
      <c r="C543" s="338" t="s">
        <v>148</v>
      </c>
      <c r="D543" s="294">
        <v>116.48</v>
      </c>
      <c r="E543" s="294">
        <v>233.60000000000002</v>
      </c>
      <c r="F543" s="294">
        <v>52</v>
      </c>
      <c r="G543" s="8">
        <f t="shared" si="89"/>
        <v>6056.96</v>
      </c>
      <c r="H543" s="294">
        <f t="shared" si="91"/>
        <v>12147.2</v>
      </c>
      <c r="I543" s="467"/>
      <c r="J543" s="302" t="s">
        <v>21</v>
      </c>
      <c r="K543" s="457" t="s">
        <v>112</v>
      </c>
      <c r="L543" s="457" t="s">
        <v>99</v>
      </c>
      <c r="M543" s="457" t="s">
        <v>32</v>
      </c>
      <c r="N543" s="468"/>
    </row>
    <row r="544" spans="1:14" s="469" customFormat="1" ht="14" outlineLevel="4">
      <c r="A544" s="470" t="s">
        <v>8</v>
      </c>
      <c r="B544" s="475" t="s">
        <v>1465</v>
      </c>
      <c r="C544" s="338" t="s">
        <v>148</v>
      </c>
      <c r="D544" s="294">
        <v>116.48</v>
      </c>
      <c r="E544" s="294">
        <v>233.60000000000002</v>
      </c>
      <c r="F544" s="294">
        <v>132</v>
      </c>
      <c r="G544" s="8">
        <f t="shared" si="89"/>
        <v>15375.36</v>
      </c>
      <c r="H544" s="294">
        <f t="shared" si="91"/>
        <v>30835.200000000004</v>
      </c>
      <c r="I544" s="467"/>
      <c r="J544" s="302" t="s">
        <v>21</v>
      </c>
      <c r="K544" s="457" t="s">
        <v>112</v>
      </c>
      <c r="L544" s="457" t="s">
        <v>99</v>
      </c>
      <c r="M544" s="457" t="s">
        <v>32</v>
      </c>
      <c r="N544" s="468"/>
    </row>
    <row r="545" spans="1:17" s="469" customFormat="1" ht="14" outlineLevel="4">
      <c r="A545" s="470" t="s">
        <v>8</v>
      </c>
      <c r="B545" s="475" t="s">
        <v>1466</v>
      </c>
      <c r="C545" s="338" t="s">
        <v>148</v>
      </c>
      <c r="D545" s="294">
        <v>58.24</v>
      </c>
      <c r="E545" s="294">
        <v>116.80000000000001</v>
      </c>
      <c r="F545" s="294">
        <v>269</v>
      </c>
      <c r="G545" s="8">
        <f t="shared" si="89"/>
        <v>15666.560000000001</v>
      </c>
      <c r="H545" s="294">
        <f t="shared" si="91"/>
        <v>31419.200000000004</v>
      </c>
      <c r="I545" s="467"/>
      <c r="J545" s="302" t="s">
        <v>21</v>
      </c>
      <c r="K545" s="457" t="s">
        <v>112</v>
      </c>
      <c r="L545" s="457" t="s">
        <v>99</v>
      </c>
      <c r="M545" s="457" t="s">
        <v>32</v>
      </c>
      <c r="N545" s="468"/>
    </row>
    <row r="546" spans="1:17" s="469" customFormat="1" ht="14" outlineLevel="4">
      <c r="A546" s="470" t="s">
        <v>8</v>
      </c>
      <c r="B546" s="475" t="s">
        <v>926</v>
      </c>
      <c r="C546" s="338" t="s">
        <v>927</v>
      </c>
      <c r="D546" s="294"/>
      <c r="E546" s="294"/>
      <c r="F546" s="294">
        <v>175</v>
      </c>
      <c r="G546" s="8">
        <f t="shared" si="89"/>
        <v>0</v>
      </c>
      <c r="H546" s="294">
        <f t="shared" si="91"/>
        <v>0</v>
      </c>
      <c r="I546" s="467"/>
      <c r="J546" s="302" t="s">
        <v>21</v>
      </c>
      <c r="K546" s="457" t="s">
        <v>112</v>
      </c>
      <c r="L546" s="457" t="s">
        <v>99</v>
      </c>
      <c r="M546" s="457" t="s">
        <v>32</v>
      </c>
      <c r="N546" s="468"/>
    </row>
    <row r="547" spans="1:17" s="469" customFormat="1" ht="14" outlineLevel="4">
      <c r="A547" s="470" t="s">
        <v>8</v>
      </c>
      <c r="B547" s="475" t="s">
        <v>853</v>
      </c>
      <c r="C547" s="338" t="s">
        <v>880</v>
      </c>
      <c r="D547" s="294">
        <v>520</v>
      </c>
      <c r="E547" s="294">
        <v>1751.9999999999998</v>
      </c>
      <c r="F547" s="294">
        <v>5</v>
      </c>
      <c r="G547" s="8">
        <f t="shared" si="89"/>
        <v>2600</v>
      </c>
      <c r="H547" s="294">
        <f t="shared" si="91"/>
        <v>8759.9999999999982</v>
      </c>
      <c r="I547" s="467"/>
      <c r="J547" s="302" t="s">
        <v>21</v>
      </c>
      <c r="K547" s="457" t="s">
        <v>112</v>
      </c>
      <c r="L547" s="457" t="s">
        <v>99</v>
      </c>
      <c r="M547" s="457" t="s">
        <v>32</v>
      </c>
      <c r="N547" s="468"/>
    </row>
    <row r="548" spans="1:17" s="459" customFormat="1" ht="14" outlineLevel="3">
      <c r="A548" s="452">
        <v>5</v>
      </c>
      <c r="B548" s="461" t="s">
        <v>930</v>
      </c>
      <c r="C548" s="454"/>
      <c r="D548" s="455"/>
      <c r="E548" s="455"/>
      <c r="F548" s="455"/>
      <c r="G548" s="455">
        <f>SUBTOTAL(9,G549:G550)</f>
        <v>3216</v>
      </c>
      <c r="H548" s="455">
        <f>SUBTOTAL(9,H549:H550)</f>
        <v>2336</v>
      </c>
      <c r="I548" s="462"/>
      <c r="J548" s="302" t="s">
        <v>21</v>
      </c>
      <c r="K548" s="457"/>
      <c r="L548" s="457"/>
      <c r="M548" s="303" t="s">
        <v>32</v>
      </c>
      <c r="N548" s="458"/>
    </row>
    <row r="549" spans="1:17" s="469" customFormat="1" ht="14" outlineLevel="4">
      <c r="A549" s="470" t="s">
        <v>8</v>
      </c>
      <c r="B549" s="475" t="s">
        <v>931</v>
      </c>
      <c r="C549" s="338" t="s">
        <v>33</v>
      </c>
      <c r="D549" s="294"/>
      <c r="E549" s="294"/>
      <c r="F549" s="294"/>
      <c r="G549" s="8">
        <f t="shared" ref="G549:G550" si="92">F549*D549</f>
        <v>0</v>
      </c>
      <c r="H549" s="294">
        <f t="shared" ref="H549:H550" si="93">F549*E549</f>
        <v>0</v>
      </c>
      <c r="I549" s="467"/>
      <c r="J549" s="302" t="s">
        <v>21</v>
      </c>
      <c r="K549" s="457" t="s">
        <v>112</v>
      </c>
      <c r="L549" s="457" t="s">
        <v>99</v>
      </c>
      <c r="M549" s="457" t="s">
        <v>32</v>
      </c>
      <c r="N549" s="468"/>
    </row>
    <row r="550" spans="1:17" s="469" customFormat="1" ht="14" outlineLevel="4">
      <c r="A550" s="470" t="s">
        <v>8</v>
      </c>
      <c r="B550" s="475" t="s">
        <v>932</v>
      </c>
      <c r="C550" s="338" t="s">
        <v>33</v>
      </c>
      <c r="D550" s="294">
        <v>201</v>
      </c>
      <c r="E550" s="294">
        <v>146</v>
      </c>
      <c r="F550" s="294">
        <v>16</v>
      </c>
      <c r="G550" s="8">
        <f t="shared" si="92"/>
        <v>3216</v>
      </c>
      <c r="H550" s="294">
        <f t="shared" si="93"/>
        <v>2336</v>
      </c>
      <c r="I550" s="467"/>
      <c r="J550" s="302" t="s">
        <v>21</v>
      </c>
      <c r="K550" s="457" t="s">
        <v>112</v>
      </c>
      <c r="L550" s="457" t="s">
        <v>99</v>
      </c>
      <c r="M550" s="457" t="s">
        <v>32</v>
      </c>
      <c r="N550" s="468"/>
    </row>
    <row r="551" spans="1:17" s="305" customFormat="1" ht="13.75" customHeight="1" outlineLevel="1">
      <c r="A551" s="280" t="s">
        <v>929</v>
      </c>
      <c r="B551" s="242" t="s">
        <v>748</v>
      </c>
      <c r="C551" s="282"/>
      <c r="D551" s="283"/>
      <c r="E551" s="283"/>
      <c r="F551" s="283"/>
      <c r="G551" s="283"/>
      <c r="H551" s="283">
        <f>SUBTOTAL(9,H552:H603)</f>
        <v>0</v>
      </c>
      <c r="I551" s="284"/>
      <c r="J551" s="302" t="s">
        <v>21</v>
      </c>
      <c r="K551" s="303"/>
      <c r="L551" s="303"/>
      <c r="M551" s="304"/>
      <c r="N551" s="304"/>
      <c r="P551" s="306"/>
    </row>
    <row r="552" spans="1:17" s="305" customFormat="1" ht="14" outlineLevel="2">
      <c r="A552" s="280">
        <v>1</v>
      </c>
      <c r="B552" s="242" t="s">
        <v>749</v>
      </c>
      <c r="C552" s="289"/>
      <c r="D552" s="290"/>
      <c r="E552" s="290"/>
      <c r="F552" s="290"/>
      <c r="G552" s="283"/>
      <c r="H552" s="283">
        <f>SUBTOTAL(9,H553:H563)</f>
        <v>0</v>
      </c>
      <c r="I552" s="284"/>
      <c r="J552" s="302" t="s">
        <v>21</v>
      </c>
      <c r="K552" s="303"/>
      <c r="L552" s="303"/>
      <c r="M552" s="304" t="s">
        <v>147</v>
      </c>
      <c r="N552" s="304"/>
      <c r="P552" s="306"/>
      <c r="Q552" s="348" t="s">
        <v>147</v>
      </c>
    </row>
    <row r="553" spans="1:17" s="308" customFormat="1" ht="14" outlineLevel="3">
      <c r="A553" s="292" t="s">
        <v>8</v>
      </c>
      <c r="B553" s="307" t="s">
        <v>51</v>
      </c>
      <c r="C553" s="289"/>
      <c r="D553" s="290"/>
      <c r="E553" s="290"/>
      <c r="F553" s="290"/>
      <c r="G553" s="8">
        <f t="shared" ref="G553:G563" si="94">F553*D553</f>
        <v>0</v>
      </c>
      <c r="H553" s="290">
        <f t="shared" ref="H553:H563" si="95">F553*E553</f>
        <v>0</v>
      </c>
      <c r="I553" s="291"/>
      <c r="J553" s="302" t="s">
        <v>21</v>
      </c>
      <c r="K553" s="303" t="s">
        <v>82</v>
      </c>
      <c r="L553" s="303" t="s">
        <v>99</v>
      </c>
      <c r="M553" s="304" t="s">
        <v>147</v>
      </c>
      <c r="N553" s="303"/>
      <c r="P553" s="309"/>
      <c r="Q553" s="348" t="s">
        <v>147</v>
      </c>
    </row>
    <row r="554" spans="1:17" s="308" customFormat="1" ht="14" outlineLevel="3">
      <c r="A554" s="292" t="s">
        <v>8</v>
      </c>
      <c r="B554" s="349" t="s">
        <v>221</v>
      </c>
      <c r="C554" s="289" t="s">
        <v>25</v>
      </c>
      <c r="D554" s="290"/>
      <c r="E554" s="290"/>
      <c r="F554" s="290"/>
      <c r="G554" s="8">
        <f t="shared" si="94"/>
        <v>0</v>
      </c>
      <c r="H554" s="290">
        <f t="shared" si="95"/>
        <v>0</v>
      </c>
      <c r="I554" s="291"/>
      <c r="J554" s="302" t="s">
        <v>21</v>
      </c>
      <c r="K554" s="303" t="s">
        <v>82</v>
      </c>
      <c r="L554" s="303" t="s">
        <v>99</v>
      </c>
      <c r="M554" s="304" t="s">
        <v>147</v>
      </c>
      <c r="N554" s="325"/>
      <c r="P554" s="309"/>
      <c r="Q554" s="348" t="s">
        <v>147</v>
      </c>
    </row>
    <row r="555" spans="1:17" s="308" customFormat="1" ht="14" outlineLevel="3">
      <c r="A555" s="292" t="s">
        <v>8</v>
      </c>
      <c r="B555" s="349" t="s">
        <v>222</v>
      </c>
      <c r="C555" s="289" t="s">
        <v>25</v>
      </c>
      <c r="D555" s="290"/>
      <c r="E555" s="290"/>
      <c r="F555" s="290"/>
      <c r="G555" s="8">
        <f t="shared" si="94"/>
        <v>0</v>
      </c>
      <c r="H555" s="290">
        <f t="shared" si="95"/>
        <v>0</v>
      </c>
      <c r="I555" s="291"/>
      <c r="J555" s="302" t="s">
        <v>21</v>
      </c>
      <c r="K555" s="303" t="s">
        <v>82</v>
      </c>
      <c r="L555" s="303" t="s">
        <v>99</v>
      </c>
      <c r="M555" s="304" t="s">
        <v>147</v>
      </c>
      <c r="N555" s="325"/>
      <c r="P555" s="309"/>
      <c r="Q555" s="348" t="s">
        <v>147</v>
      </c>
    </row>
    <row r="556" spans="1:17" s="308" customFormat="1" ht="14" outlineLevel="3">
      <c r="A556" s="292" t="s">
        <v>8</v>
      </c>
      <c r="B556" s="349" t="s">
        <v>46</v>
      </c>
      <c r="C556" s="289"/>
      <c r="D556" s="290"/>
      <c r="E556" s="290"/>
      <c r="F556" s="290"/>
      <c r="G556" s="8">
        <f t="shared" si="94"/>
        <v>0</v>
      </c>
      <c r="H556" s="290">
        <f t="shared" si="95"/>
        <v>0</v>
      </c>
      <c r="I556" s="291"/>
      <c r="J556" s="302" t="s">
        <v>21</v>
      </c>
      <c r="K556" s="303" t="s">
        <v>82</v>
      </c>
      <c r="L556" s="303" t="s">
        <v>99</v>
      </c>
      <c r="M556" s="304" t="s">
        <v>147</v>
      </c>
      <c r="N556" s="325"/>
      <c r="P556" s="309"/>
      <c r="Q556" s="348" t="s">
        <v>147</v>
      </c>
    </row>
    <row r="557" spans="1:17" s="308" customFormat="1" ht="14" outlineLevel="3">
      <c r="A557" s="292" t="s">
        <v>8</v>
      </c>
      <c r="B557" s="349" t="s">
        <v>123</v>
      </c>
      <c r="C557" s="289" t="s">
        <v>25</v>
      </c>
      <c r="D557" s="290"/>
      <c r="E557" s="290"/>
      <c r="F557" s="290"/>
      <c r="G557" s="8">
        <f t="shared" si="94"/>
        <v>0</v>
      </c>
      <c r="H557" s="290">
        <f t="shared" si="95"/>
        <v>0</v>
      </c>
      <c r="I557" s="291"/>
      <c r="J557" s="302" t="s">
        <v>21</v>
      </c>
      <c r="K557" s="303" t="s">
        <v>82</v>
      </c>
      <c r="L557" s="303" t="s">
        <v>99</v>
      </c>
      <c r="M557" s="304" t="s">
        <v>147</v>
      </c>
      <c r="N557" s="325"/>
      <c r="P557" s="309"/>
      <c r="Q557" s="348" t="s">
        <v>147</v>
      </c>
    </row>
    <row r="558" spans="1:17" s="308" customFormat="1" ht="14" outlineLevel="3">
      <c r="A558" s="292" t="s">
        <v>8</v>
      </c>
      <c r="B558" s="349" t="s">
        <v>223</v>
      </c>
      <c r="C558" s="289" t="s">
        <v>25</v>
      </c>
      <c r="D558" s="290"/>
      <c r="E558" s="290"/>
      <c r="F558" s="290"/>
      <c r="G558" s="8">
        <f t="shared" si="94"/>
        <v>0</v>
      </c>
      <c r="H558" s="290">
        <f t="shared" si="95"/>
        <v>0</v>
      </c>
      <c r="I558" s="291"/>
      <c r="J558" s="302" t="s">
        <v>21</v>
      </c>
      <c r="K558" s="303" t="s">
        <v>82</v>
      </c>
      <c r="L558" s="303" t="s">
        <v>99</v>
      </c>
      <c r="M558" s="304" t="s">
        <v>147</v>
      </c>
      <c r="N558" s="325"/>
      <c r="P558" s="309"/>
      <c r="Q558" s="348" t="s">
        <v>147</v>
      </c>
    </row>
    <row r="559" spans="1:17" s="308" customFormat="1" ht="14" outlineLevel="3">
      <c r="A559" s="292" t="s">
        <v>8</v>
      </c>
      <c r="B559" s="350" t="s">
        <v>741</v>
      </c>
      <c r="C559" s="289" t="s">
        <v>25</v>
      </c>
      <c r="D559" s="290"/>
      <c r="E559" s="290"/>
      <c r="F559" s="231"/>
      <c r="G559" s="8">
        <f t="shared" si="94"/>
        <v>0</v>
      </c>
      <c r="H559" s="290">
        <f t="shared" si="95"/>
        <v>0</v>
      </c>
      <c r="I559" s="291"/>
      <c r="J559" s="302" t="s">
        <v>21</v>
      </c>
      <c r="K559" s="303" t="s">
        <v>82</v>
      </c>
      <c r="L559" s="303" t="s">
        <v>99</v>
      </c>
      <c r="M559" s="304" t="s">
        <v>147</v>
      </c>
      <c r="N559" s="325"/>
      <c r="P559" s="309"/>
      <c r="Q559" s="348" t="s">
        <v>147</v>
      </c>
    </row>
    <row r="560" spans="1:17" s="308" customFormat="1" ht="14" outlineLevel="3">
      <c r="A560" s="292" t="s">
        <v>8</v>
      </c>
      <c r="B560" s="349" t="s">
        <v>225</v>
      </c>
      <c r="C560" s="289" t="s">
        <v>25</v>
      </c>
      <c r="D560" s="290"/>
      <c r="E560" s="290"/>
      <c r="F560" s="290"/>
      <c r="G560" s="8">
        <f t="shared" si="94"/>
        <v>0</v>
      </c>
      <c r="H560" s="290">
        <f t="shared" si="95"/>
        <v>0</v>
      </c>
      <c r="I560" s="291"/>
      <c r="J560" s="302" t="s">
        <v>21</v>
      </c>
      <c r="K560" s="303" t="s">
        <v>82</v>
      </c>
      <c r="L560" s="303" t="s">
        <v>99</v>
      </c>
      <c r="M560" s="304" t="s">
        <v>147</v>
      </c>
      <c r="N560" s="325"/>
      <c r="P560" s="309"/>
      <c r="Q560" s="348" t="s">
        <v>147</v>
      </c>
    </row>
    <row r="561" spans="1:17" s="308" customFormat="1" ht="14" outlineLevel="3">
      <c r="A561" s="292" t="s">
        <v>8</v>
      </c>
      <c r="B561" s="349" t="s">
        <v>226</v>
      </c>
      <c r="C561" s="289" t="s">
        <v>25</v>
      </c>
      <c r="D561" s="290"/>
      <c r="E561" s="290"/>
      <c r="F561" s="290"/>
      <c r="G561" s="8">
        <f t="shared" si="94"/>
        <v>0</v>
      </c>
      <c r="H561" s="290">
        <f t="shared" si="95"/>
        <v>0</v>
      </c>
      <c r="I561" s="291"/>
      <c r="J561" s="302" t="s">
        <v>21</v>
      </c>
      <c r="K561" s="303" t="s">
        <v>82</v>
      </c>
      <c r="L561" s="303" t="s">
        <v>99</v>
      </c>
      <c r="M561" s="304" t="s">
        <v>147</v>
      </c>
      <c r="N561" s="325"/>
      <c r="P561" s="309"/>
      <c r="Q561" s="348" t="s">
        <v>147</v>
      </c>
    </row>
    <row r="562" spans="1:17" s="308" customFormat="1" ht="14" outlineLevel="3">
      <c r="A562" s="292" t="s">
        <v>8</v>
      </c>
      <c r="B562" s="349" t="s">
        <v>227</v>
      </c>
      <c r="C562" s="289" t="s">
        <v>25</v>
      </c>
      <c r="D562" s="290"/>
      <c r="E562" s="290"/>
      <c r="F562" s="290"/>
      <c r="G562" s="8">
        <f t="shared" si="94"/>
        <v>0</v>
      </c>
      <c r="H562" s="290">
        <f t="shared" si="95"/>
        <v>0</v>
      </c>
      <c r="I562" s="291"/>
      <c r="J562" s="302" t="s">
        <v>21</v>
      </c>
      <c r="K562" s="303" t="s">
        <v>82</v>
      </c>
      <c r="L562" s="303" t="s">
        <v>99</v>
      </c>
      <c r="M562" s="304" t="s">
        <v>147</v>
      </c>
      <c r="N562" s="325"/>
      <c r="P562" s="309"/>
      <c r="Q562" s="348" t="s">
        <v>147</v>
      </c>
    </row>
    <row r="563" spans="1:17" s="308" customFormat="1" ht="14" outlineLevel="3">
      <c r="A563" s="292" t="s">
        <v>8</v>
      </c>
      <c r="B563" s="349" t="s">
        <v>228</v>
      </c>
      <c r="C563" s="289" t="s">
        <v>25</v>
      </c>
      <c r="D563" s="290"/>
      <c r="E563" s="290"/>
      <c r="F563" s="290"/>
      <c r="G563" s="8">
        <f t="shared" si="94"/>
        <v>0</v>
      </c>
      <c r="H563" s="290">
        <f t="shared" si="95"/>
        <v>0</v>
      </c>
      <c r="I563" s="291"/>
      <c r="J563" s="302" t="s">
        <v>21</v>
      </c>
      <c r="K563" s="303" t="s">
        <v>82</v>
      </c>
      <c r="L563" s="303" t="s">
        <v>99</v>
      </c>
      <c r="M563" s="304" t="s">
        <v>147</v>
      </c>
      <c r="N563" s="325"/>
      <c r="P563" s="309"/>
      <c r="Q563" s="348" t="s">
        <v>147</v>
      </c>
    </row>
    <row r="564" spans="1:17" s="305" customFormat="1" ht="14" outlineLevel="2">
      <c r="A564" s="280">
        <v>2</v>
      </c>
      <c r="B564" s="242" t="s">
        <v>743</v>
      </c>
      <c r="C564" s="289"/>
      <c r="D564" s="290"/>
      <c r="E564" s="290"/>
      <c r="F564" s="290"/>
      <c r="G564" s="283"/>
      <c r="H564" s="283">
        <f>SUBTOTAL(9,H565)</f>
        <v>0</v>
      </c>
      <c r="I564" s="284"/>
      <c r="J564" s="302" t="s">
        <v>21</v>
      </c>
      <c r="K564" s="303"/>
      <c r="L564" s="303"/>
      <c r="M564" s="304" t="s">
        <v>147</v>
      </c>
      <c r="N564" s="304"/>
      <c r="P564" s="306"/>
      <c r="Q564" s="348" t="s">
        <v>147</v>
      </c>
    </row>
    <row r="565" spans="1:17" s="308" customFormat="1" ht="14" outlineLevel="3">
      <c r="A565" s="292" t="s">
        <v>8</v>
      </c>
      <c r="B565" s="351" t="s">
        <v>743</v>
      </c>
      <c r="C565" s="289" t="s">
        <v>744</v>
      </c>
      <c r="D565" s="290"/>
      <c r="E565" s="290"/>
      <c r="F565" s="290"/>
      <c r="G565" s="8">
        <f t="shared" ref="G565" si="96">F565*D565</f>
        <v>0</v>
      </c>
      <c r="H565" s="290">
        <f t="shared" ref="H565" si="97">F565*E565</f>
        <v>0</v>
      </c>
      <c r="I565" s="291"/>
      <c r="J565" s="302" t="s">
        <v>21</v>
      </c>
      <c r="K565" s="303" t="s">
        <v>82</v>
      </c>
      <c r="L565" s="303" t="s">
        <v>99</v>
      </c>
      <c r="M565" s="304" t="s">
        <v>147</v>
      </c>
      <c r="N565" s="325"/>
      <c r="P565" s="309"/>
      <c r="Q565" s="348" t="s">
        <v>147</v>
      </c>
    </row>
    <row r="566" spans="1:17" s="305" customFormat="1" ht="14" outlineLevel="2">
      <c r="A566" s="280">
        <v>3</v>
      </c>
      <c r="B566" s="242" t="s">
        <v>47</v>
      </c>
      <c r="C566" s="282"/>
      <c r="D566" s="283"/>
      <c r="E566" s="283"/>
      <c r="F566" s="283"/>
      <c r="G566" s="283"/>
      <c r="H566" s="283">
        <f>SUBTOTAL(9,H567:H588)</f>
        <v>0</v>
      </c>
      <c r="I566" s="352"/>
      <c r="J566" s="302" t="s">
        <v>21</v>
      </c>
      <c r="K566" s="303"/>
      <c r="L566" s="303"/>
      <c r="M566" s="304" t="s">
        <v>147</v>
      </c>
      <c r="N566" s="304"/>
      <c r="P566" s="306"/>
      <c r="Q566" s="348" t="s">
        <v>147</v>
      </c>
    </row>
    <row r="567" spans="1:17" s="305" customFormat="1" ht="14" outlineLevel="3">
      <c r="A567" s="280"/>
      <c r="B567" s="242" t="s">
        <v>89</v>
      </c>
      <c r="C567" s="282"/>
      <c r="D567" s="283"/>
      <c r="E567" s="283"/>
      <c r="F567" s="283"/>
      <c r="G567" s="283"/>
      <c r="H567" s="283">
        <f t="shared" ref="H567" si="98">SUBTOTAL(9,H568:H585)</f>
        <v>0</v>
      </c>
      <c r="I567" s="284"/>
      <c r="J567" s="302" t="s">
        <v>21</v>
      </c>
      <c r="K567" s="303"/>
      <c r="L567" s="303"/>
      <c r="M567" s="304" t="s">
        <v>147</v>
      </c>
      <c r="N567" s="304"/>
      <c r="P567" s="306"/>
      <c r="Q567" s="348" t="s">
        <v>147</v>
      </c>
    </row>
    <row r="568" spans="1:17" s="308" customFormat="1" ht="14" outlineLevel="3">
      <c r="A568" s="292" t="s">
        <v>8</v>
      </c>
      <c r="B568" s="349" t="s">
        <v>229</v>
      </c>
      <c r="C568" s="289" t="s">
        <v>24</v>
      </c>
      <c r="D568" s="290"/>
      <c r="E568" s="290"/>
      <c r="F568" s="231"/>
      <c r="G568" s="8">
        <f t="shared" ref="G568:G585" si="99">F568*D568</f>
        <v>0</v>
      </c>
      <c r="H568" s="290">
        <f t="shared" ref="H568:H585" si="100">F568*E568</f>
        <v>0</v>
      </c>
      <c r="I568" s="291"/>
      <c r="J568" s="302" t="s">
        <v>21</v>
      </c>
      <c r="K568" s="303" t="s">
        <v>82</v>
      </c>
      <c r="L568" s="303" t="s">
        <v>99</v>
      </c>
      <c r="M568" s="304" t="s">
        <v>147</v>
      </c>
      <c r="N568" s="325"/>
      <c r="P568" s="309"/>
      <c r="Q568" s="348" t="s">
        <v>147</v>
      </c>
    </row>
    <row r="569" spans="1:17" s="308" customFormat="1" ht="14" outlineLevel="3">
      <c r="A569" s="292" t="s">
        <v>8</v>
      </c>
      <c r="B569" s="349" t="s">
        <v>230</v>
      </c>
      <c r="C569" s="289" t="s">
        <v>24</v>
      </c>
      <c r="D569" s="290"/>
      <c r="E569" s="290"/>
      <c r="F569" s="290"/>
      <c r="G569" s="8">
        <f t="shared" si="99"/>
        <v>0</v>
      </c>
      <c r="H569" s="290">
        <f t="shared" si="100"/>
        <v>0</v>
      </c>
      <c r="I569" s="291"/>
      <c r="J569" s="302" t="s">
        <v>21</v>
      </c>
      <c r="K569" s="303" t="s">
        <v>82</v>
      </c>
      <c r="L569" s="303" t="s">
        <v>99</v>
      </c>
      <c r="M569" s="304" t="s">
        <v>147</v>
      </c>
      <c r="N569" s="325"/>
      <c r="P569" s="309"/>
      <c r="Q569" s="348" t="s">
        <v>147</v>
      </c>
    </row>
    <row r="570" spans="1:17" s="308" customFormat="1" ht="14" outlineLevel="3">
      <c r="A570" s="292" t="s">
        <v>8</v>
      </c>
      <c r="B570" s="349" t="s">
        <v>231</v>
      </c>
      <c r="C570" s="289" t="s">
        <v>24</v>
      </c>
      <c r="D570" s="290"/>
      <c r="E570" s="290"/>
      <c r="F570" s="231"/>
      <c r="G570" s="8">
        <f t="shared" si="99"/>
        <v>0</v>
      </c>
      <c r="H570" s="290">
        <f t="shared" si="100"/>
        <v>0</v>
      </c>
      <c r="I570" s="291"/>
      <c r="J570" s="302" t="s">
        <v>21</v>
      </c>
      <c r="K570" s="303" t="s">
        <v>82</v>
      </c>
      <c r="L570" s="303" t="s">
        <v>99</v>
      </c>
      <c r="M570" s="304" t="s">
        <v>147</v>
      </c>
      <c r="N570" s="325"/>
      <c r="P570" s="309"/>
      <c r="Q570" s="348" t="s">
        <v>147</v>
      </c>
    </row>
    <row r="571" spans="1:17" s="308" customFormat="1" ht="14" outlineLevel="3">
      <c r="A571" s="292" t="s">
        <v>8</v>
      </c>
      <c r="B571" s="349" t="s">
        <v>232</v>
      </c>
      <c r="C571" s="289" t="s">
        <v>24</v>
      </c>
      <c r="D571" s="290"/>
      <c r="E571" s="290"/>
      <c r="F571" s="290"/>
      <c r="G571" s="8">
        <f t="shared" si="99"/>
        <v>0</v>
      </c>
      <c r="H571" s="290">
        <f t="shared" si="100"/>
        <v>0</v>
      </c>
      <c r="I571" s="291"/>
      <c r="J571" s="302" t="s">
        <v>21</v>
      </c>
      <c r="K571" s="303" t="s">
        <v>82</v>
      </c>
      <c r="L571" s="303" t="s">
        <v>99</v>
      </c>
      <c r="M571" s="304" t="s">
        <v>147</v>
      </c>
      <c r="N571" s="325"/>
      <c r="P571" s="309"/>
      <c r="Q571" s="348" t="s">
        <v>147</v>
      </c>
    </row>
    <row r="572" spans="1:17" s="308" customFormat="1" ht="14" outlineLevel="3">
      <c r="A572" s="292" t="s">
        <v>8</v>
      </c>
      <c r="B572" s="349" t="s">
        <v>233</v>
      </c>
      <c r="C572" s="289" t="s">
        <v>24</v>
      </c>
      <c r="D572" s="290"/>
      <c r="E572" s="290"/>
      <c r="F572" s="290"/>
      <c r="G572" s="8">
        <f t="shared" si="99"/>
        <v>0</v>
      </c>
      <c r="H572" s="290">
        <f t="shared" si="100"/>
        <v>0</v>
      </c>
      <c r="I572" s="291"/>
      <c r="J572" s="302" t="s">
        <v>21</v>
      </c>
      <c r="K572" s="303" t="s">
        <v>82</v>
      </c>
      <c r="L572" s="303" t="s">
        <v>99</v>
      </c>
      <c r="M572" s="304" t="s">
        <v>147</v>
      </c>
      <c r="N572" s="325"/>
      <c r="P572" s="309"/>
      <c r="Q572" s="348" t="s">
        <v>147</v>
      </c>
    </row>
    <row r="573" spans="1:17" s="308" customFormat="1" ht="14" outlineLevel="3">
      <c r="A573" s="292" t="s">
        <v>8</v>
      </c>
      <c r="B573" s="349" t="s">
        <v>234</v>
      </c>
      <c r="C573" s="289" t="s">
        <v>24</v>
      </c>
      <c r="D573" s="290"/>
      <c r="E573" s="290"/>
      <c r="F573" s="290"/>
      <c r="G573" s="8">
        <f t="shared" si="99"/>
        <v>0</v>
      </c>
      <c r="H573" s="290">
        <f t="shared" si="100"/>
        <v>0</v>
      </c>
      <c r="I573" s="291"/>
      <c r="J573" s="302" t="s">
        <v>21</v>
      </c>
      <c r="K573" s="303" t="s">
        <v>82</v>
      </c>
      <c r="L573" s="303" t="s">
        <v>99</v>
      </c>
      <c r="M573" s="304" t="s">
        <v>147</v>
      </c>
      <c r="N573" s="325"/>
      <c r="P573" s="309"/>
      <c r="Q573" s="348" t="s">
        <v>147</v>
      </c>
    </row>
    <row r="574" spans="1:17" s="308" customFormat="1" ht="14" outlineLevel="3">
      <c r="A574" s="292" t="s">
        <v>8</v>
      </c>
      <c r="B574" s="349" t="s">
        <v>746</v>
      </c>
      <c r="C574" s="289" t="s">
        <v>24</v>
      </c>
      <c r="D574" s="290"/>
      <c r="E574" s="290"/>
      <c r="F574" s="231"/>
      <c r="G574" s="8">
        <f t="shared" si="99"/>
        <v>0</v>
      </c>
      <c r="H574" s="290">
        <f t="shared" si="100"/>
        <v>0</v>
      </c>
      <c r="I574" s="291"/>
      <c r="J574" s="302" t="s">
        <v>21</v>
      </c>
      <c r="K574" s="303" t="s">
        <v>82</v>
      </c>
      <c r="L574" s="303" t="s">
        <v>99</v>
      </c>
      <c r="M574" s="304" t="s">
        <v>147</v>
      </c>
      <c r="N574" s="325"/>
      <c r="P574" s="309"/>
      <c r="Q574" s="348" t="s">
        <v>147</v>
      </c>
    </row>
    <row r="575" spans="1:17" s="308" customFormat="1" ht="14" outlineLevel="3">
      <c r="A575" s="292" t="s">
        <v>8</v>
      </c>
      <c r="B575" s="349" t="s">
        <v>747</v>
      </c>
      <c r="C575" s="289" t="s">
        <v>24</v>
      </c>
      <c r="D575" s="290"/>
      <c r="E575" s="290"/>
      <c r="F575" s="231"/>
      <c r="G575" s="8">
        <f t="shared" si="99"/>
        <v>0</v>
      </c>
      <c r="H575" s="290">
        <f t="shared" si="100"/>
        <v>0</v>
      </c>
      <c r="I575" s="291"/>
      <c r="J575" s="302" t="s">
        <v>21</v>
      </c>
      <c r="K575" s="303" t="s">
        <v>82</v>
      </c>
      <c r="L575" s="303" t="s">
        <v>99</v>
      </c>
      <c r="M575" s="304" t="s">
        <v>147</v>
      </c>
      <c r="N575" s="325"/>
      <c r="P575" s="309"/>
      <c r="Q575" s="348" t="s">
        <v>147</v>
      </c>
    </row>
    <row r="576" spans="1:17" s="308" customFormat="1" ht="14" outlineLevel="3">
      <c r="A576" s="292" t="s">
        <v>8</v>
      </c>
      <c r="B576" s="349" t="s">
        <v>235</v>
      </c>
      <c r="C576" s="289" t="s">
        <v>24</v>
      </c>
      <c r="D576" s="290"/>
      <c r="E576" s="290"/>
      <c r="F576" s="290"/>
      <c r="G576" s="8">
        <f t="shared" si="99"/>
        <v>0</v>
      </c>
      <c r="H576" s="290">
        <f t="shared" si="100"/>
        <v>0</v>
      </c>
      <c r="I576" s="291"/>
      <c r="J576" s="302" t="s">
        <v>21</v>
      </c>
      <c r="K576" s="303" t="s">
        <v>82</v>
      </c>
      <c r="L576" s="303" t="s">
        <v>99</v>
      </c>
      <c r="M576" s="304" t="s">
        <v>147</v>
      </c>
      <c r="N576" s="325"/>
      <c r="P576" s="309"/>
      <c r="Q576" s="348" t="s">
        <v>147</v>
      </c>
    </row>
    <row r="577" spans="1:17" s="308" customFormat="1" ht="14" outlineLevel="3">
      <c r="A577" s="292" t="s">
        <v>8</v>
      </c>
      <c r="B577" s="241" t="s">
        <v>236</v>
      </c>
      <c r="C577" s="289" t="s">
        <v>24</v>
      </c>
      <c r="D577" s="290"/>
      <c r="E577" s="290"/>
      <c r="F577" s="231"/>
      <c r="G577" s="8">
        <f t="shared" si="99"/>
        <v>0</v>
      </c>
      <c r="H577" s="290">
        <f t="shared" si="100"/>
        <v>0</v>
      </c>
      <c r="I577" s="291"/>
      <c r="J577" s="302" t="s">
        <v>21</v>
      </c>
      <c r="K577" s="303" t="s">
        <v>82</v>
      </c>
      <c r="L577" s="303" t="s">
        <v>99</v>
      </c>
      <c r="M577" s="304" t="s">
        <v>147</v>
      </c>
      <c r="N577" s="325"/>
      <c r="P577" s="309"/>
      <c r="Q577" s="348" t="s">
        <v>147</v>
      </c>
    </row>
    <row r="578" spans="1:17" s="308" customFormat="1" ht="14" outlineLevel="3">
      <c r="A578" s="292" t="s">
        <v>8</v>
      </c>
      <c r="B578" s="349" t="s">
        <v>237</v>
      </c>
      <c r="C578" s="289" t="s">
        <v>24</v>
      </c>
      <c r="D578" s="290"/>
      <c r="E578" s="290"/>
      <c r="F578" s="290"/>
      <c r="G578" s="8">
        <f t="shared" si="99"/>
        <v>0</v>
      </c>
      <c r="H578" s="290">
        <f t="shared" si="100"/>
        <v>0</v>
      </c>
      <c r="I578" s="291"/>
      <c r="J578" s="302" t="s">
        <v>21</v>
      </c>
      <c r="K578" s="303" t="s">
        <v>82</v>
      </c>
      <c r="L578" s="303" t="s">
        <v>99</v>
      </c>
      <c r="M578" s="304" t="s">
        <v>147</v>
      </c>
      <c r="N578" s="325"/>
      <c r="P578" s="309"/>
      <c r="Q578" s="348" t="s">
        <v>147</v>
      </c>
    </row>
    <row r="579" spans="1:17" s="308" customFormat="1" ht="14" outlineLevel="3">
      <c r="A579" s="292" t="s">
        <v>8</v>
      </c>
      <c r="B579" s="349" t="s">
        <v>238</v>
      </c>
      <c r="C579" s="289" t="s">
        <v>24</v>
      </c>
      <c r="D579" s="290"/>
      <c r="E579" s="290"/>
      <c r="F579" s="290"/>
      <c r="G579" s="8">
        <f t="shared" si="99"/>
        <v>0</v>
      </c>
      <c r="H579" s="290">
        <f t="shared" si="100"/>
        <v>0</v>
      </c>
      <c r="I579" s="291"/>
      <c r="J579" s="302" t="s">
        <v>21</v>
      </c>
      <c r="K579" s="303" t="s">
        <v>82</v>
      </c>
      <c r="L579" s="303" t="s">
        <v>99</v>
      </c>
      <c r="M579" s="304" t="s">
        <v>147</v>
      </c>
      <c r="N579" s="325"/>
      <c r="P579" s="309"/>
      <c r="Q579" s="348" t="s">
        <v>147</v>
      </c>
    </row>
    <row r="580" spans="1:17" s="308" customFormat="1" ht="14" outlineLevel="3">
      <c r="A580" s="292" t="s">
        <v>8</v>
      </c>
      <c r="B580" s="349" t="s">
        <v>239</v>
      </c>
      <c r="C580" s="289" t="s">
        <v>24</v>
      </c>
      <c r="D580" s="290"/>
      <c r="E580" s="290"/>
      <c r="F580" s="290"/>
      <c r="G580" s="8">
        <f t="shared" si="99"/>
        <v>0</v>
      </c>
      <c r="H580" s="290">
        <f t="shared" si="100"/>
        <v>0</v>
      </c>
      <c r="I580" s="291"/>
      <c r="J580" s="302" t="s">
        <v>21</v>
      </c>
      <c r="K580" s="303" t="s">
        <v>82</v>
      </c>
      <c r="L580" s="303" t="s">
        <v>99</v>
      </c>
      <c r="M580" s="304" t="s">
        <v>147</v>
      </c>
      <c r="N580" s="325"/>
      <c r="P580" s="309"/>
      <c r="Q580" s="348" t="s">
        <v>147</v>
      </c>
    </row>
    <row r="581" spans="1:17" s="308" customFormat="1" ht="14" outlineLevel="3">
      <c r="A581" s="292" t="s">
        <v>8</v>
      </c>
      <c r="B581" s="349" t="s">
        <v>240</v>
      </c>
      <c r="C581" s="289" t="s">
        <v>24</v>
      </c>
      <c r="D581" s="290"/>
      <c r="E581" s="290"/>
      <c r="F581" s="290"/>
      <c r="G581" s="8">
        <f t="shared" si="99"/>
        <v>0</v>
      </c>
      <c r="H581" s="290">
        <f t="shared" si="100"/>
        <v>0</v>
      </c>
      <c r="I581" s="291"/>
      <c r="J581" s="302" t="s">
        <v>21</v>
      </c>
      <c r="K581" s="303" t="s">
        <v>82</v>
      </c>
      <c r="L581" s="303" t="s">
        <v>99</v>
      </c>
      <c r="M581" s="304" t="s">
        <v>147</v>
      </c>
      <c r="N581" s="325"/>
      <c r="P581" s="309"/>
      <c r="Q581" s="348" t="s">
        <v>147</v>
      </c>
    </row>
    <row r="582" spans="1:17" s="308" customFormat="1" ht="14" outlineLevel="3">
      <c r="A582" s="292" t="s">
        <v>8</v>
      </c>
      <c r="B582" s="349" t="s">
        <v>241</v>
      </c>
      <c r="C582" s="289" t="s">
        <v>11</v>
      </c>
      <c r="D582" s="290"/>
      <c r="E582" s="290"/>
      <c r="F582" s="232"/>
      <c r="G582" s="8">
        <f t="shared" si="99"/>
        <v>0</v>
      </c>
      <c r="H582" s="290">
        <f t="shared" si="100"/>
        <v>0</v>
      </c>
      <c r="I582" s="291"/>
      <c r="J582" s="302" t="s">
        <v>21</v>
      </c>
      <c r="K582" s="303" t="s">
        <v>82</v>
      </c>
      <c r="L582" s="303" t="s">
        <v>99</v>
      </c>
      <c r="M582" s="304" t="s">
        <v>147</v>
      </c>
      <c r="N582" s="325"/>
      <c r="P582" s="309"/>
      <c r="Q582" s="348" t="s">
        <v>147</v>
      </c>
    </row>
    <row r="583" spans="1:17" s="308" customFormat="1" ht="14" outlineLevel="3">
      <c r="A583" s="292" t="s">
        <v>8</v>
      </c>
      <c r="B583" s="349" t="s">
        <v>242</v>
      </c>
      <c r="C583" s="289" t="s">
        <v>24</v>
      </c>
      <c r="D583" s="290"/>
      <c r="E583" s="290"/>
      <c r="F583" s="232"/>
      <c r="G583" s="8">
        <f t="shared" si="99"/>
        <v>0</v>
      </c>
      <c r="H583" s="290">
        <f t="shared" si="100"/>
        <v>0</v>
      </c>
      <c r="I583" s="291"/>
      <c r="J583" s="302" t="s">
        <v>21</v>
      </c>
      <c r="K583" s="303" t="s">
        <v>82</v>
      </c>
      <c r="L583" s="303" t="s">
        <v>99</v>
      </c>
      <c r="M583" s="304" t="s">
        <v>147</v>
      </c>
      <c r="N583" s="325"/>
      <c r="P583" s="309"/>
      <c r="Q583" s="348" t="s">
        <v>147</v>
      </c>
    </row>
    <row r="584" spans="1:17" s="308" customFormat="1" ht="14" outlineLevel="3">
      <c r="A584" s="292" t="s">
        <v>8</v>
      </c>
      <c r="B584" s="349" t="s">
        <v>243</v>
      </c>
      <c r="C584" s="289" t="s">
        <v>24</v>
      </c>
      <c r="D584" s="290"/>
      <c r="E584" s="290"/>
      <c r="F584" s="290"/>
      <c r="G584" s="8">
        <f t="shared" si="99"/>
        <v>0</v>
      </c>
      <c r="H584" s="290">
        <f t="shared" si="100"/>
        <v>0</v>
      </c>
      <c r="I584" s="291"/>
      <c r="J584" s="302" t="s">
        <v>21</v>
      </c>
      <c r="K584" s="303" t="s">
        <v>82</v>
      </c>
      <c r="L584" s="303" t="s">
        <v>99</v>
      </c>
      <c r="M584" s="304" t="s">
        <v>147</v>
      </c>
      <c r="N584" s="325"/>
      <c r="P584" s="309"/>
      <c r="Q584" s="348" t="s">
        <v>147</v>
      </c>
    </row>
    <row r="585" spans="1:17" s="308" customFormat="1" ht="14" outlineLevel="3">
      <c r="A585" s="292" t="s">
        <v>8</v>
      </c>
      <c r="B585" s="349" t="s">
        <v>244</v>
      </c>
      <c r="C585" s="289" t="s">
        <v>24</v>
      </c>
      <c r="D585" s="290"/>
      <c r="E585" s="290"/>
      <c r="F585" s="290"/>
      <c r="G585" s="8">
        <f t="shared" si="99"/>
        <v>0</v>
      </c>
      <c r="H585" s="290">
        <f t="shared" si="100"/>
        <v>0</v>
      </c>
      <c r="I585" s="291"/>
      <c r="J585" s="302" t="s">
        <v>21</v>
      </c>
      <c r="K585" s="303" t="s">
        <v>82</v>
      </c>
      <c r="L585" s="303" t="s">
        <v>99</v>
      </c>
      <c r="M585" s="304" t="s">
        <v>147</v>
      </c>
      <c r="N585" s="325"/>
      <c r="P585" s="309"/>
      <c r="Q585" s="348" t="s">
        <v>147</v>
      </c>
    </row>
    <row r="586" spans="1:17" s="305" customFormat="1" ht="14" outlineLevel="3">
      <c r="A586" s="280"/>
      <c r="B586" s="242" t="s">
        <v>745</v>
      </c>
      <c r="C586" s="282"/>
      <c r="D586" s="283"/>
      <c r="E586" s="283"/>
      <c r="F586" s="283"/>
      <c r="G586" s="283"/>
      <c r="H586" s="283">
        <f>SUBTOTAL(9,H587:H588)</f>
        <v>0</v>
      </c>
      <c r="I586" s="284"/>
      <c r="J586" s="302" t="s">
        <v>21</v>
      </c>
      <c r="K586" s="303"/>
      <c r="L586" s="303"/>
      <c r="M586" s="304" t="s">
        <v>147</v>
      </c>
      <c r="N586" s="304"/>
      <c r="P586" s="306"/>
      <c r="Q586" s="348" t="s">
        <v>147</v>
      </c>
    </row>
    <row r="587" spans="1:17" s="308" customFormat="1" ht="14" outlineLevel="3">
      <c r="A587" s="292" t="s">
        <v>8</v>
      </c>
      <c r="B587" s="307" t="s">
        <v>732</v>
      </c>
      <c r="C587" s="289" t="s">
        <v>48</v>
      </c>
      <c r="D587" s="290"/>
      <c r="E587" s="290"/>
      <c r="F587" s="231"/>
      <c r="G587" s="8">
        <f t="shared" ref="G587:G588" si="101">F587*D587</f>
        <v>0</v>
      </c>
      <c r="H587" s="290">
        <f t="shared" ref="H587:H588" si="102">F587*E587</f>
        <v>0</v>
      </c>
      <c r="I587" s="291"/>
      <c r="J587" s="302" t="s">
        <v>21</v>
      </c>
      <c r="K587" s="303" t="s">
        <v>82</v>
      </c>
      <c r="L587" s="303" t="s">
        <v>99</v>
      </c>
      <c r="M587" s="304" t="s">
        <v>147</v>
      </c>
      <c r="N587" s="325"/>
      <c r="P587" s="309"/>
      <c r="Q587" s="348" t="s">
        <v>147</v>
      </c>
    </row>
    <row r="588" spans="1:17" s="308" customFormat="1" ht="14" outlineLevel="3">
      <c r="A588" s="292" t="s">
        <v>8</v>
      </c>
      <c r="B588" s="307" t="s">
        <v>50</v>
      </c>
      <c r="C588" s="289" t="s">
        <v>48</v>
      </c>
      <c r="D588" s="290"/>
      <c r="E588" s="290"/>
      <c r="F588" s="290"/>
      <c r="G588" s="8">
        <f t="shared" si="101"/>
        <v>0</v>
      </c>
      <c r="H588" s="290">
        <f t="shared" si="102"/>
        <v>0</v>
      </c>
      <c r="I588" s="291"/>
      <c r="J588" s="302" t="s">
        <v>21</v>
      </c>
      <c r="K588" s="303" t="s">
        <v>82</v>
      </c>
      <c r="L588" s="303" t="s">
        <v>99</v>
      </c>
      <c r="M588" s="304" t="s">
        <v>147</v>
      </c>
      <c r="N588" s="325"/>
      <c r="P588" s="309"/>
      <c r="Q588" s="348" t="s">
        <v>147</v>
      </c>
    </row>
    <row r="589" spans="1:17" s="305" customFormat="1" ht="15" customHeight="1" outlineLevel="2">
      <c r="A589" s="280">
        <v>4</v>
      </c>
      <c r="B589" s="281" t="s">
        <v>32</v>
      </c>
      <c r="C589" s="282"/>
      <c r="D589" s="283"/>
      <c r="E589" s="283"/>
      <c r="F589" s="283"/>
      <c r="G589" s="283"/>
      <c r="H589" s="283">
        <f>SUBTOTAL(9,H590:H603)</f>
        <v>0</v>
      </c>
      <c r="I589" s="283"/>
      <c r="J589" s="302" t="s">
        <v>21</v>
      </c>
      <c r="K589" s="303"/>
      <c r="L589" s="303"/>
      <c r="M589" s="303" t="s">
        <v>32</v>
      </c>
      <c r="N589" s="304"/>
      <c r="P589" s="306"/>
    </row>
    <row r="590" spans="1:17" s="305" customFormat="1" ht="14" outlineLevel="3">
      <c r="A590" s="280">
        <v>4.0999999999999996</v>
      </c>
      <c r="B590" s="339" t="s">
        <v>843</v>
      </c>
      <c r="C590" s="341"/>
      <c r="D590" s="331"/>
      <c r="E590" s="331"/>
      <c r="F590" s="331"/>
      <c r="G590" s="331"/>
      <c r="H590" s="331">
        <f>F590*E590</f>
        <v>0</v>
      </c>
      <c r="I590" s="353"/>
      <c r="J590" s="302" t="s">
        <v>21</v>
      </c>
      <c r="K590" s="303"/>
      <c r="L590" s="303"/>
      <c r="M590" s="303" t="s">
        <v>32</v>
      </c>
      <c r="N590" s="304"/>
      <c r="P590" s="306"/>
    </row>
    <row r="591" spans="1:17" s="308" customFormat="1" ht="14" outlineLevel="4">
      <c r="A591" s="292" t="s">
        <v>8</v>
      </c>
      <c r="B591" s="307" t="s">
        <v>919</v>
      </c>
      <c r="C591" s="289" t="s">
        <v>879</v>
      </c>
      <c r="D591" s="290"/>
      <c r="E591" s="290"/>
      <c r="F591" s="290"/>
      <c r="G591" s="8">
        <f t="shared" ref="G591:G595" si="103">F591*D591</f>
        <v>0</v>
      </c>
      <c r="H591" s="290">
        <f t="shared" ref="H591:H595" si="104">F591*E591</f>
        <v>0</v>
      </c>
      <c r="I591" s="291"/>
      <c r="J591" s="302" t="s">
        <v>21</v>
      </c>
      <c r="K591" s="303" t="s">
        <v>82</v>
      </c>
      <c r="L591" s="303" t="s">
        <v>99</v>
      </c>
      <c r="M591" s="303" t="s">
        <v>32</v>
      </c>
      <c r="N591" s="325"/>
      <c r="P591" s="309"/>
    </row>
    <row r="592" spans="1:17" s="308" customFormat="1" ht="14" outlineLevel="4">
      <c r="A592" s="292" t="s">
        <v>8</v>
      </c>
      <c r="B592" s="307" t="s">
        <v>911</v>
      </c>
      <c r="C592" s="289" t="s">
        <v>148</v>
      </c>
      <c r="D592" s="290"/>
      <c r="E592" s="290"/>
      <c r="F592" s="290"/>
      <c r="G592" s="8">
        <f t="shared" si="103"/>
        <v>0</v>
      </c>
      <c r="H592" s="290">
        <f t="shared" si="104"/>
        <v>0</v>
      </c>
      <c r="I592" s="291"/>
      <c r="J592" s="302" t="s">
        <v>21</v>
      </c>
      <c r="K592" s="303" t="s">
        <v>82</v>
      </c>
      <c r="L592" s="303" t="s">
        <v>99</v>
      </c>
      <c r="M592" s="303" t="s">
        <v>32</v>
      </c>
      <c r="N592" s="325"/>
      <c r="P592" s="309"/>
    </row>
    <row r="593" spans="1:16" s="308" customFormat="1" ht="14" outlineLevel="4">
      <c r="A593" s="292" t="s">
        <v>8</v>
      </c>
      <c r="B593" s="307" t="s">
        <v>912</v>
      </c>
      <c r="C593" s="289" t="s">
        <v>148</v>
      </c>
      <c r="D593" s="290"/>
      <c r="E593" s="290"/>
      <c r="F593" s="290"/>
      <c r="G593" s="8">
        <f t="shared" si="103"/>
        <v>0</v>
      </c>
      <c r="H593" s="290">
        <f t="shared" si="104"/>
        <v>0</v>
      </c>
      <c r="I593" s="291"/>
      <c r="J593" s="302" t="s">
        <v>21</v>
      </c>
      <c r="K593" s="303" t="s">
        <v>82</v>
      </c>
      <c r="L593" s="303" t="s">
        <v>99</v>
      </c>
      <c r="M593" s="303" t="s">
        <v>32</v>
      </c>
      <c r="N593" s="325"/>
      <c r="P593" s="309"/>
    </row>
    <row r="594" spans="1:16" s="308" customFormat="1" ht="14" outlineLevel="4">
      <c r="A594" s="292" t="s">
        <v>8</v>
      </c>
      <c r="B594" s="307" t="s">
        <v>913</v>
      </c>
      <c r="C594" s="289" t="s">
        <v>148</v>
      </c>
      <c r="D594" s="290"/>
      <c r="E594" s="290"/>
      <c r="F594" s="290"/>
      <c r="G594" s="8">
        <f t="shared" si="103"/>
        <v>0</v>
      </c>
      <c r="H594" s="290">
        <f t="shared" si="104"/>
        <v>0</v>
      </c>
      <c r="I594" s="291"/>
      <c r="J594" s="302" t="s">
        <v>21</v>
      </c>
      <c r="K594" s="303" t="s">
        <v>82</v>
      </c>
      <c r="L594" s="303" t="s">
        <v>99</v>
      </c>
      <c r="M594" s="303" t="s">
        <v>32</v>
      </c>
      <c r="N594" s="325"/>
      <c r="P594" s="309"/>
    </row>
    <row r="595" spans="1:16" s="308" customFormat="1" ht="14" outlineLevel="4">
      <c r="A595" s="292" t="s">
        <v>8</v>
      </c>
      <c r="B595" s="307" t="s">
        <v>914</v>
      </c>
      <c r="C595" s="289" t="s">
        <v>148</v>
      </c>
      <c r="D595" s="290"/>
      <c r="E595" s="290"/>
      <c r="F595" s="290"/>
      <c r="G595" s="8">
        <f t="shared" si="103"/>
        <v>0</v>
      </c>
      <c r="H595" s="290">
        <f t="shared" si="104"/>
        <v>0</v>
      </c>
      <c r="I595" s="291"/>
      <c r="J595" s="302" t="s">
        <v>21</v>
      </c>
      <c r="K595" s="303" t="s">
        <v>82</v>
      </c>
      <c r="L595" s="303" t="s">
        <v>99</v>
      </c>
      <c r="M595" s="303" t="s">
        <v>32</v>
      </c>
      <c r="N595" s="325"/>
      <c r="P595" s="309"/>
    </row>
    <row r="596" spans="1:16" s="305" customFormat="1" ht="14" outlineLevel="3">
      <c r="A596" s="280">
        <v>4.2</v>
      </c>
      <c r="B596" s="339" t="s">
        <v>854</v>
      </c>
      <c r="C596" s="341"/>
      <c r="D596" s="331"/>
      <c r="E596" s="331"/>
      <c r="F596" s="331"/>
      <c r="G596" s="331"/>
      <c r="H596" s="331">
        <f>F596*E596</f>
        <v>0</v>
      </c>
      <c r="I596" s="353"/>
      <c r="J596" s="302" t="s">
        <v>21</v>
      </c>
      <c r="K596" s="303"/>
      <c r="L596" s="303"/>
      <c r="M596" s="303" t="s">
        <v>32</v>
      </c>
      <c r="N596" s="304"/>
      <c r="P596" s="306"/>
    </row>
    <row r="597" spans="1:16" s="308" customFormat="1" ht="14" outlineLevel="4">
      <c r="A597" s="292" t="s">
        <v>8</v>
      </c>
      <c r="B597" s="307" t="s">
        <v>920</v>
      </c>
      <c r="C597" s="289" t="s">
        <v>879</v>
      </c>
      <c r="D597" s="290"/>
      <c r="E597" s="290"/>
      <c r="F597" s="290"/>
      <c r="G597" s="8">
        <f t="shared" ref="G597:G603" si="105">F597*D597</f>
        <v>0</v>
      </c>
      <c r="H597" s="290">
        <f t="shared" ref="H597:H598" si="106">F597*E597</f>
        <v>0</v>
      </c>
      <c r="I597" s="291"/>
      <c r="J597" s="302" t="s">
        <v>21</v>
      </c>
      <c r="K597" s="303" t="s">
        <v>82</v>
      </c>
      <c r="L597" s="303" t="s">
        <v>99</v>
      </c>
      <c r="M597" s="303" t="s">
        <v>32</v>
      </c>
      <c r="N597" s="325"/>
      <c r="P597" s="309"/>
    </row>
    <row r="598" spans="1:16" s="308" customFormat="1" ht="14" outlineLevel="4">
      <c r="A598" s="292" t="s">
        <v>8</v>
      </c>
      <c r="B598" s="307" t="s">
        <v>924</v>
      </c>
      <c r="C598" s="289" t="s">
        <v>148</v>
      </c>
      <c r="D598" s="354"/>
      <c r="E598" s="290"/>
      <c r="F598" s="290"/>
      <c r="G598" s="8">
        <f t="shared" si="105"/>
        <v>0</v>
      </c>
      <c r="H598" s="290">
        <f t="shared" si="106"/>
        <v>0</v>
      </c>
      <c r="I598" s="291"/>
      <c r="J598" s="302" t="s">
        <v>21</v>
      </c>
      <c r="K598" s="303" t="s">
        <v>82</v>
      </c>
      <c r="L598" s="303" t="s">
        <v>99</v>
      </c>
      <c r="M598" s="303" t="s">
        <v>32</v>
      </c>
      <c r="N598" s="325"/>
      <c r="P598" s="309"/>
    </row>
    <row r="599" spans="1:16" s="308" customFormat="1" ht="14" outlineLevel="4">
      <c r="A599" s="292" t="s">
        <v>8</v>
      </c>
      <c r="B599" s="307" t="s">
        <v>925</v>
      </c>
      <c r="C599" s="289" t="s">
        <v>148</v>
      </c>
      <c r="D599" s="354"/>
      <c r="E599" s="290"/>
      <c r="F599" s="354"/>
      <c r="G599" s="8">
        <f t="shared" si="105"/>
        <v>0</v>
      </c>
      <c r="H599" s="290">
        <f t="shared" ref="H599:H601" si="107">F599*E599</f>
        <v>0</v>
      </c>
      <c r="I599" s="291"/>
      <c r="J599" s="302" t="s">
        <v>21</v>
      </c>
      <c r="K599" s="303" t="s">
        <v>82</v>
      </c>
      <c r="L599" s="303" t="s">
        <v>99</v>
      </c>
      <c r="M599" s="303" t="s">
        <v>32</v>
      </c>
      <c r="N599" s="325"/>
      <c r="P599" s="309"/>
    </row>
    <row r="600" spans="1:16" s="308" customFormat="1" ht="14" outlineLevel="4">
      <c r="A600" s="292" t="s">
        <v>8</v>
      </c>
      <c r="B600" s="307" t="s">
        <v>856</v>
      </c>
      <c r="C600" s="289" t="s">
        <v>148</v>
      </c>
      <c r="D600" s="290"/>
      <c r="E600" s="290"/>
      <c r="F600" s="290"/>
      <c r="G600" s="8">
        <f t="shared" si="105"/>
        <v>0</v>
      </c>
      <c r="H600" s="290">
        <f t="shared" si="107"/>
        <v>0</v>
      </c>
      <c r="I600" s="291"/>
      <c r="J600" s="302" t="s">
        <v>21</v>
      </c>
      <c r="K600" s="303" t="s">
        <v>82</v>
      </c>
      <c r="L600" s="303" t="s">
        <v>99</v>
      </c>
      <c r="M600" s="303" t="s">
        <v>32</v>
      </c>
      <c r="N600" s="325"/>
      <c r="P600" s="309"/>
    </row>
    <row r="601" spans="1:16" s="308" customFormat="1" ht="14" outlineLevel="4">
      <c r="A601" s="292" t="s">
        <v>8</v>
      </c>
      <c r="B601" s="307" t="s">
        <v>857</v>
      </c>
      <c r="C601" s="289" t="s">
        <v>148</v>
      </c>
      <c r="D601" s="354"/>
      <c r="E601" s="290"/>
      <c r="F601" s="290"/>
      <c r="G601" s="8">
        <f t="shared" si="105"/>
        <v>0</v>
      </c>
      <c r="H601" s="290">
        <f t="shared" si="107"/>
        <v>0</v>
      </c>
      <c r="I601" s="291"/>
      <c r="J601" s="302" t="s">
        <v>21</v>
      </c>
      <c r="K601" s="303" t="s">
        <v>82</v>
      </c>
      <c r="L601" s="303" t="s">
        <v>99</v>
      </c>
      <c r="M601" s="303" t="s">
        <v>32</v>
      </c>
      <c r="N601" s="325"/>
      <c r="P601" s="309"/>
    </row>
    <row r="602" spans="1:16" s="308" customFormat="1" ht="14" outlineLevel="4">
      <c r="A602" s="292" t="s">
        <v>8</v>
      </c>
      <c r="B602" s="307" t="s">
        <v>858</v>
      </c>
      <c r="C602" s="289" t="s">
        <v>148</v>
      </c>
      <c r="D602" s="354"/>
      <c r="E602" s="290"/>
      <c r="F602" s="290"/>
      <c r="G602" s="8">
        <f t="shared" si="105"/>
        <v>0</v>
      </c>
      <c r="H602" s="290">
        <f t="shared" ref="H602" si="108">F602*E602</f>
        <v>0</v>
      </c>
      <c r="I602" s="291"/>
      <c r="J602" s="302" t="s">
        <v>21</v>
      </c>
      <c r="K602" s="303" t="s">
        <v>82</v>
      </c>
      <c r="L602" s="303" t="s">
        <v>99</v>
      </c>
      <c r="M602" s="303" t="s">
        <v>32</v>
      </c>
      <c r="N602" s="325"/>
      <c r="P602" s="309"/>
    </row>
    <row r="603" spans="1:16" s="308" customFormat="1" ht="14" outlineLevel="4">
      <c r="A603" s="292" t="s">
        <v>8</v>
      </c>
      <c r="B603" s="355" t="s">
        <v>926</v>
      </c>
      <c r="C603" s="235" t="s">
        <v>927</v>
      </c>
      <c r="D603" s="354"/>
      <c r="E603" s="290"/>
      <c r="F603" s="290"/>
      <c r="G603" s="8">
        <f t="shared" si="105"/>
        <v>0</v>
      </c>
      <c r="H603" s="290">
        <f t="shared" ref="H603" si="109">F603*E603</f>
        <v>0</v>
      </c>
      <c r="I603" s="291"/>
      <c r="J603" s="302" t="s">
        <v>21</v>
      </c>
      <c r="K603" s="303" t="s">
        <v>82</v>
      </c>
      <c r="L603" s="303" t="s">
        <v>99</v>
      </c>
      <c r="M603" s="303" t="s">
        <v>32</v>
      </c>
      <c r="N603" s="325"/>
      <c r="P603" s="309"/>
    </row>
    <row r="604" spans="1:16" s="305" customFormat="1" ht="14" outlineLevel="1">
      <c r="A604" s="485" t="s">
        <v>285</v>
      </c>
      <c r="B604" s="486" t="s">
        <v>22</v>
      </c>
      <c r="C604" s="341"/>
      <c r="D604" s="331"/>
      <c r="E604" s="331"/>
      <c r="F604" s="331"/>
      <c r="G604" s="331">
        <f>SUBTOTAL(9,G605:G887)</f>
        <v>10288604.380400002</v>
      </c>
      <c r="H604" s="331">
        <f>SUBTOTAL(9,H605:H887)</f>
        <v>5826420.8599999994</v>
      </c>
      <c r="I604" s="331"/>
      <c r="J604" s="302" t="s">
        <v>21</v>
      </c>
      <c r="K604" s="303"/>
      <c r="L604" s="303"/>
      <c r="M604" s="303" t="s">
        <v>32</v>
      </c>
      <c r="N604" s="304"/>
      <c r="P604" s="306"/>
    </row>
    <row r="605" spans="1:16" s="305" customFormat="1" ht="14" outlineLevel="2">
      <c r="A605" s="280" t="s">
        <v>4</v>
      </c>
      <c r="B605" s="281" t="s">
        <v>32</v>
      </c>
      <c r="C605" s="341"/>
      <c r="D605" s="331"/>
      <c r="E605" s="331"/>
      <c r="F605" s="331"/>
      <c r="G605" s="283">
        <f>SUBTOTAL(9,G606:G823)</f>
        <v>6271444.380400002</v>
      </c>
      <c r="H605" s="283">
        <f>SUBTOTAL(9,H606:H823)</f>
        <v>4304678.8599999985</v>
      </c>
      <c r="I605" s="331"/>
      <c r="J605" s="302" t="s">
        <v>21</v>
      </c>
      <c r="K605" s="303"/>
      <c r="L605" s="303"/>
      <c r="M605" s="303" t="s">
        <v>32</v>
      </c>
      <c r="N605" s="304"/>
      <c r="P605" s="306"/>
    </row>
    <row r="606" spans="1:16" s="459" customFormat="1" ht="14" outlineLevel="3">
      <c r="A606" s="452" t="s">
        <v>41</v>
      </c>
      <c r="B606" s="460" t="s">
        <v>246</v>
      </c>
      <c r="C606" s="454"/>
      <c r="D606" s="455"/>
      <c r="E606" s="455"/>
      <c r="F606" s="455"/>
      <c r="G606" s="455">
        <f>SUBTOTAL(9,G607:G667)</f>
        <v>483075.08</v>
      </c>
      <c r="H606" s="455">
        <f>SUBTOTAL(9,H607:H667)</f>
        <v>169470.19999999998</v>
      </c>
      <c r="I606" s="456"/>
      <c r="J606" s="302" t="s">
        <v>21</v>
      </c>
      <c r="K606" s="457"/>
      <c r="L606" s="457"/>
      <c r="M606" s="303" t="s">
        <v>32</v>
      </c>
      <c r="N606" s="458"/>
    </row>
    <row r="607" spans="1:16" s="459" customFormat="1" ht="14" outlineLevel="3">
      <c r="A607" s="452">
        <v>1</v>
      </c>
      <c r="B607" s="461" t="s">
        <v>1138</v>
      </c>
      <c r="C607" s="454"/>
      <c r="D607" s="455"/>
      <c r="E607" s="455"/>
      <c r="F607" s="455"/>
      <c r="G607" s="455"/>
      <c r="H607" s="455">
        <f>SUBTOTAL(9,H608:H618)</f>
        <v>134877.6</v>
      </c>
      <c r="I607" s="462"/>
      <c r="J607" s="302" t="s">
        <v>21</v>
      </c>
      <c r="K607" s="457"/>
      <c r="L607" s="457"/>
      <c r="M607" s="303" t="s">
        <v>32</v>
      </c>
      <c r="N607" s="458"/>
    </row>
    <row r="608" spans="1:16" s="469" customFormat="1" ht="14" outlineLevel="4">
      <c r="A608" s="470" t="s">
        <v>8</v>
      </c>
      <c r="B608" s="475" t="s">
        <v>844</v>
      </c>
      <c r="C608" s="338" t="s">
        <v>24</v>
      </c>
      <c r="D608" s="294"/>
      <c r="E608" s="294"/>
      <c r="F608" s="294">
        <v>3000</v>
      </c>
      <c r="G608" s="8">
        <f t="shared" ref="G608:G618" si="110">F608*D608</f>
        <v>0</v>
      </c>
      <c r="H608" s="294">
        <f t="shared" ref="H608:H611" si="111">F608*E608</f>
        <v>0</v>
      </c>
      <c r="I608" s="467"/>
      <c r="J608" s="302" t="s">
        <v>21</v>
      </c>
      <c r="K608" s="457" t="s">
        <v>134</v>
      </c>
      <c r="L608" s="457" t="s">
        <v>99</v>
      </c>
      <c r="M608" s="457" t="s">
        <v>32</v>
      </c>
      <c r="N608" s="468"/>
    </row>
    <row r="609" spans="1:14" s="469" customFormat="1" ht="14" outlineLevel="4">
      <c r="A609" s="470" t="s">
        <v>8</v>
      </c>
      <c r="B609" s="475" t="s">
        <v>1467</v>
      </c>
      <c r="C609" s="338" t="s">
        <v>15</v>
      </c>
      <c r="D609" s="294"/>
      <c r="E609" s="294"/>
      <c r="F609" s="294">
        <v>26</v>
      </c>
      <c r="G609" s="8">
        <f t="shared" si="110"/>
        <v>0</v>
      </c>
      <c r="H609" s="294">
        <f t="shared" si="111"/>
        <v>0</v>
      </c>
      <c r="I609" s="467"/>
      <c r="J609" s="302" t="s">
        <v>21</v>
      </c>
      <c r="K609" s="457" t="s">
        <v>134</v>
      </c>
      <c r="L609" s="457" t="s">
        <v>99</v>
      </c>
      <c r="M609" s="457" t="s">
        <v>32</v>
      </c>
      <c r="N609" s="468"/>
    </row>
    <row r="610" spans="1:14" s="469" customFormat="1" ht="14" outlineLevel="4">
      <c r="A610" s="470" t="s">
        <v>8</v>
      </c>
      <c r="B610" s="475" t="s">
        <v>1468</v>
      </c>
      <c r="C610" s="338" t="s">
        <v>15</v>
      </c>
      <c r="D610" s="294"/>
      <c r="E610" s="294"/>
      <c r="F610" s="294">
        <v>50</v>
      </c>
      <c r="G610" s="8">
        <f t="shared" si="110"/>
        <v>0</v>
      </c>
      <c r="H610" s="294">
        <f t="shared" si="111"/>
        <v>0</v>
      </c>
      <c r="I610" s="467"/>
      <c r="J610" s="302" t="s">
        <v>21</v>
      </c>
      <c r="K610" s="457" t="s">
        <v>134</v>
      </c>
      <c r="L610" s="457" t="s">
        <v>99</v>
      </c>
      <c r="M610" s="457" t="s">
        <v>32</v>
      </c>
      <c r="N610" s="468"/>
    </row>
    <row r="611" spans="1:14" s="469" customFormat="1" ht="14" outlineLevel="4">
      <c r="A611" s="470" t="s">
        <v>8</v>
      </c>
      <c r="B611" s="475" t="s">
        <v>1469</v>
      </c>
      <c r="C611" s="338" t="s">
        <v>15</v>
      </c>
      <c r="D611" s="294"/>
      <c r="E611" s="294"/>
      <c r="F611" s="294">
        <v>80</v>
      </c>
      <c r="G611" s="8">
        <f t="shared" si="110"/>
        <v>0</v>
      </c>
      <c r="H611" s="294">
        <f t="shared" si="111"/>
        <v>0</v>
      </c>
      <c r="I611" s="467"/>
      <c r="J611" s="302" t="s">
        <v>21</v>
      </c>
      <c r="K611" s="457" t="s">
        <v>134</v>
      </c>
      <c r="L611" s="457" t="s">
        <v>99</v>
      </c>
      <c r="M611" s="457" t="s">
        <v>32</v>
      </c>
      <c r="N611" s="468"/>
    </row>
    <row r="612" spans="1:14" s="469" customFormat="1" ht="14" outlineLevel="4">
      <c r="A612" s="470" t="s">
        <v>8</v>
      </c>
      <c r="B612" s="475" t="s">
        <v>1470</v>
      </c>
      <c r="C612" s="338" t="s">
        <v>24</v>
      </c>
      <c r="D612" s="294">
        <v>517</v>
      </c>
      <c r="E612" s="294">
        <v>187.20000000000002</v>
      </c>
      <c r="F612" s="294">
        <v>56</v>
      </c>
      <c r="G612" s="8">
        <f t="shared" si="110"/>
        <v>28952</v>
      </c>
      <c r="H612" s="294">
        <f t="shared" ref="H612:H618" si="112">F612*E612</f>
        <v>10483.200000000001</v>
      </c>
      <c r="I612" s="467"/>
      <c r="J612" s="302" t="s">
        <v>21</v>
      </c>
      <c r="K612" s="457" t="s">
        <v>134</v>
      </c>
      <c r="L612" s="457" t="s">
        <v>99</v>
      </c>
      <c r="M612" s="457" t="s">
        <v>32</v>
      </c>
      <c r="N612" s="468"/>
    </row>
    <row r="613" spans="1:14" s="469" customFormat="1" ht="14" outlineLevel="4">
      <c r="A613" s="470" t="s">
        <v>8</v>
      </c>
      <c r="B613" s="475" t="s">
        <v>1471</v>
      </c>
      <c r="C613" s="338" t="s">
        <v>15</v>
      </c>
      <c r="D613" s="294">
        <v>310.2</v>
      </c>
      <c r="E613" s="294">
        <v>187.20000000000002</v>
      </c>
      <c r="F613" s="294">
        <v>382</v>
      </c>
      <c r="G613" s="8">
        <f t="shared" si="110"/>
        <v>118496.4</v>
      </c>
      <c r="H613" s="294">
        <f t="shared" si="112"/>
        <v>71510.400000000009</v>
      </c>
      <c r="I613" s="467"/>
      <c r="J613" s="302" t="s">
        <v>21</v>
      </c>
      <c r="K613" s="457" t="s">
        <v>134</v>
      </c>
      <c r="L613" s="457" t="s">
        <v>99</v>
      </c>
      <c r="M613" s="457" t="s">
        <v>32</v>
      </c>
      <c r="N613" s="468"/>
    </row>
    <row r="614" spans="1:14" s="469" customFormat="1" ht="14" outlineLevel="4">
      <c r="A614" s="470" t="s">
        <v>8</v>
      </c>
      <c r="B614" s="475" t="s">
        <v>1472</v>
      </c>
      <c r="C614" s="338" t="s">
        <v>15</v>
      </c>
      <c r="D614" s="294">
        <v>206.8</v>
      </c>
      <c r="E614" s="294">
        <v>93.600000000000009</v>
      </c>
      <c r="F614" s="294">
        <v>515</v>
      </c>
      <c r="G614" s="8">
        <f t="shared" si="110"/>
        <v>106502</v>
      </c>
      <c r="H614" s="294">
        <f t="shared" si="112"/>
        <v>48204.000000000007</v>
      </c>
      <c r="I614" s="467"/>
      <c r="J614" s="302" t="s">
        <v>21</v>
      </c>
      <c r="K614" s="457" t="s">
        <v>134</v>
      </c>
      <c r="L614" s="457" t="s">
        <v>99</v>
      </c>
      <c r="M614" s="457" t="s">
        <v>32</v>
      </c>
      <c r="N614" s="468"/>
    </row>
    <row r="615" spans="1:14" s="469" customFormat="1" ht="14" outlineLevel="4">
      <c r="A615" s="470" t="s">
        <v>8</v>
      </c>
      <c r="B615" s="475" t="s">
        <v>850</v>
      </c>
      <c r="C615" s="338" t="s">
        <v>15</v>
      </c>
      <c r="D615" s="294"/>
      <c r="E615" s="294"/>
      <c r="F615" s="294">
        <v>135</v>
      </c>
      <c r="G615" s="8">
        <f t="shared" si="110"/>
        <v>0</v>
      </c>
      <c r="H615" s="294">
        <f t="shared" si="112"/>
        <v>0</v>
      </c>
      <c r="I615" s="467"/>
      <c r="J615" s="302" t="s">
        <v>21</v>
      </c>
      <c r="K615" s="457" t="s">
        <v>134</v>
      </c>
      <c r="L615" s="457" t="s">
        <v>99</v>
      </c>
      <c r="M615" s="457" t="s">
        <v>32</v>
      </c>
      <c r="N615" s="468"/>
    </row>
    <row r="616" spans="1:14" s="469" customFormat="1" ht="14" outlineLevel="4">
      <c r="A616" s="470" t="s">
        <v>8</v>
      </c>
      <c r="B616" s="475" t="s">
        <v>851</v>
      </c>
      <c r="C616" s="338" t="s">
        <v>15</v>
      </c>
      <c r="D616" s="294"/>
      <c r="E616" s="294"/>
      <c r="F616" s="294">
        <v>459</v>
      </c>
      <c r="G616" s="8">
        <f t="shared" ref="G616" si="113">F616*D616</f>
        <v>0</v>
      </c>
      <c r="H616" s="294">
        <f t="shared" ref="H616" si="114">F616*E616</f>
        <v>0</v>
      </c>
      <c r="I616" s="467"/>
      <c r="J616" s="302" t="s">
        <v>21</v>
      </c>
      <c r="K616" s="457" t="s">
        <v>134</v>
      </c>
      <c r="L616" s="457" t="s">
        <v>99</v>
      </c>
      <c r="M616" s="457" t="s">
        <v>32</v>
      </c>
      <c r="N616" s="468"/>
    </row>
    <row r="617" spans="1:14" s="469" customFormat="1" ht="14" outlineLevel="4">
      <c r="A617" s="470" t="s">
        <v>8</v>
      </c>
      <c r="B617" s="475" t="s">
        <v>852</v>
      </c>
      <c r="C617" s="338" t="s">
        <v>15</v>
      </c>
      <c r="D617" s="294"/>
      <c r="E617" s="294"/>
      <c r="F617" s="294">
        <v>895</v>
      </c>
      <c r="G617" s="8">
        <f t="shared" si="110"/>
        <v>0</v>
      </c>
      <c r="H617" s="294">
        <f t="shared" si="112"/>
        <v>0</v>
      </c>
      <c r="I617" s="467"/>
      <c r="J617" s="302" t="s">
        <v>21</v>
      </c>
      <c r="K617" s="457" t="s">
        <v>134</v>
      </c>
      <c r="L617" s="457" t="s">
        <v>99</v>
      </c>
      <c r="M617" s="457" t="s">
        <v>32</v>
      </c>
      <c r="N617" s="468"/>
    </row>
    <row r="618" spans="1:14" s="469" customFormat="1" ht="14" outlineLevel="4">
      <c r="A618" s="470" t="s">
        <v>8</v>
      </c>
      <c r="B618" s="475" t="s">
        <v>853</v>
      </c>
      <c r="C618" s="338" t="s">
        <v>15</v>
      </c>
      <c r="D618" s="294">
        <v>1034</v>
      </c>
      <c r="E618" s="294">
        <v>936.00000000000011</v>
      </c>
      <c r="F618" s="294">
        <v>5</v>
      </c>
      <c r="G618" s="8">
        <f t="shared" si="110"/>
        <v>5170</v>
      </c>
      <c r="H618" s="294">
        <f t="shared" si="112"/>
        <v>4680.0000000000009</v>
      </c>
      <c r="I618" s="467"/>
      <c r="J618" s="302" t="s">
        <v>21</v>
      </c>
      <c r="K618" s="457" t="s">
        <v>134</v>
      </c>
      <c r="L618" s="457" t="s">
        <v>99</v>
      </c>
      <c r="M618" s="457" t="s">
        <v>32</v>
      </c>
      <c r="N618" s="468"/>
    </row>
    <row r="619" spans="1:14" s="459" customFormat="1" ht="14" outlineLevel="3">
      <c r="A619" s="452">
        <v>2</v>
      </c>
      <c r="B619" s="461" t="s">
        <v>1139</v>
      </c>
      <c r="C619" s="454"/>
      <c r="D619" s="455"/>
      <c r="E619" s="455"/>
      <c r="F619" s="455"/>
      <c r="G619" s="455"/>
      <c r="H619" s="455">
        <f>SUBTOTAL(9,H620:H636)</f>
        <v>0</v>
      </c>
      <c r="I619" s="462"/>
      <c r="J619" s="302" t="s">
        <v>21</v>
      </c>
      <c r="K619" s="457"/>
      <c r="L619" s="457"/>
      <c r="M619" s="303" t="s">
        <v>32</v>
      </c>
      <c r="N619" s="458"/>
    </row>
    <row r="620" spans="1:14" s="469" customFormat="1" ht="14" outlineLevel="4">
      <c r="A620" s="470" t="s">
        <v>8</v>
      </c>
      <c r="B620" s="475" t="s">
        <v>1137</v>
      </c>
      <c r="C620" s="338" t="s">
        <v>879</v>
      </c>
      <c r="D620" s="294"/>
      <c r="E620" s="294"/>
      <c r="F620" s="294"/>
      <c r="G620" s="8">
        <f t="shared" ref="G620:G636" si="115">F620*D620</f>
        <v>0</v>
      </c>
      <c r="H620" s="294">
        <f t="shared" ref="H620:H636" si="116">F620*E620</f>
        <v>0</v>
      </c>
      <c r="I620" s="467"/>
      <c r="J620" s="302" t="s">
        <v>21</v>
      </c>
      <c r="K620" s="457" t="s">
        <v>113</v>
      </c>
      <c r="L620" s="457" t="s">
        <v>99</v>
      </c>
      <c r="M620" s="457" t="s">
        <v>32</v>
      </c>
      <c r="N620" s="468"/>
    </row>
    <row r="621" spans="1:14" s="469" customFormat="1" ht="14" outlineLevel="4">
      <c r="A621" s="470" t="s">
        <v>8</v>
      </c>
      <c r="B621" s="475" t="s">
        <v>907</v>
      </c>
      <c r="C621" s="338" t="s">
        <v>148</v>
      </c>
      <c r="D621" s="294"/>
      <c r="E621" s="294"/>
      <c r="F621" s="294"/>
      <c r="G621" s="8">
        <f t="shared" si="115"/>
        <v>0</v>
      </c>
      <c r="H621" s="294">
        <f t="shared" si="116"/>
        <v>0</v>
      </c>
      <c r="I621" s="467"/>
      <c r="J621" s="302" t="s">
        <v>21</v>
      </c>
      <c r="K621" s="457" t="s">
        <v>113</v>
      </c>
      <c r="L621" s="457" t="s">
        <v>99</v>
      </c>
      <c r="M621" s="457" t="s">
        <v>32</v>
      </c>
      <c r="N621" s="468"/>
    </row>
    <row r="622" spans="1:14" s="469" customFormat="1" ht="14" outlineLevel="4">
      <c r="A622" s="470" t="s">
        <v>8</v>
      </c>
      <c r="B622" s="475" t="s">
        <v>908</v>
      </c>
      <c r="C622" s="338" t="s">
        <v>148</v>
      </c>
      <c r="D622" s="294"/>
      <c r="E622" s="294"/>
      <c r="F622" s="294"/>
      <c r="G622" s="8">
        <f t="shared" si="115"/>
        <v>0</v>
      </c>
      <c r="H622" s="294">
        <f t="shared" si="116"/>
        <v>0</v>
      </c>
      <c r="I622" s="467"/>
      <c r="J622" s="302" t="s">
        <v>21</v>
      </c>
      <c r="K622" s="457" t="s">
        <v>113</v>
      </c>
      <c r="L622" s="457" t="s">
        <v>99</v>
      </c>
      <c r="M622" s="457" t="s">
        <v>32</v>
      </c>
      <c r="N622" s="468"/>
    </row>
    <row r="623" spans="1:14" s="469" customFormat="1" ht="14" outlineLevel="4">
      <c r="A623" s="470" t="s">
        <v>8</v>
      </c>
      <c r="B623" s="475" t="s">
        <v>909</v>
      </c>
      <c r="C623" s="338" t="s">
        <v>148</v>
      </c>
      <c r="D623" s="294"/>
      <c r="E623" s="294"/>
      <c r="F623" s="294"/>
      <c r="G623" s="8">
        <f t="shared" si="115"/>
        <v>0</v>
      </c>
      <c r="H623" s="294">
        <f t="shared" si="116"/>
        <v>0</v>
      </c>
      <c r="I623" s="467"/>
      <c r="J623" s="302" t="s">
        <v>21</v>
      </c>
      <c r="K623" s="457" t="s">
        <v>113</v>
      </c>
      <c r="L623" s="457" t="s">
        <v>99</v>
      </c>
      <c r="M623" s="457" t="s">
        <v>32</v>
      </c>
      <c r="N623" s="468"/>
    </row>
    <row r="624" spans="1:14" s="469" customFormat="1" ht="14" outlineLevel="4">
      <c r="A624" s="470" t="s">
        <v>8</v>
      </c>
      <c r="B624" s="475" t="s">
        <v>910</v>
      </c>
      <c r="C624" s="338" t="s">
        <v>148</v>
      </c>
      <c r="D624" s="294"/>
      <c r="E624" s="294"/>
      <c r="F624" s="294"/>
      <c r="G624" s="8">
        <f t="shared" si="115"/>
        <v>0</v>
      </c>
      <c r="H624" s="294">
        <f t="shared" si="116"/>
        <v>0</v>
      </c>
      <c r="I624" s="467"/>
      <c r="J624" s="302" t="s">
        <v>21</v>
      </c>
      <c r="K624" s="457" t="s">
        <v>113</v>
      </c>
      <c r="L624" s="457" t="s">
        <v>99</v>
      </c>
      <c r="M624" s="457" t="s">
        <v>32</v>
      </c>
      <c r="N624" s="468"/>
    </row>
    <row r="625" spans="1:14" s="469" customFormat="1" ht="14" outlineLevel="4">
      <c r="A625" s="470" t="s">
        <v>8</v>
      </c>
      <c r="B625" s="475" t="s">
        <v>911</v>
      </c>
      <c r="C625" s="338" t="s">
        <v>148</v>
      </c>
      <c r="D625" s="294"/>
      <c r="E625" s="294"/>
      <c r="F625" s="294"/>
      <c r="G625" s="8">
        <f t="shared" si="115"/>
        <v>0</v>
      </c>
      <c r="H625" s="294">
        <f t="shared" si="116"/>
        <v>0</v>
      </c>
      <c r="I625" s="467"/>
      <c r="J625" s="302" t="s">
        <v>21</v>
      </c>
      <c r="K625" s="457" t="s">
        <v>113</v>
      </c>
      <c r="L625" s="457" t="s">
        <v>99</v>
      </c>
      <c r="M625" s="457" t="s">
        <v>32</v>
      </c>
      <c r="N625" s="468"/>
    </row>
    <row r="626" spans="1:14" s="469" customFormat="1" ht="14" outlineLevel="4">
      <c r="A626" s="470" t="s">
        <v>8</v>
      </c>
      <c r="B626" s="475" t="s">
        <v>840</v>
      </c>
      <c r="C626" s="338" t="s">
        <v>148</v>
      </c>
      <c r="D626" s="294"/>
      <c r="E626" s="294"/>
      <c r="F626" s="294"/>
      <c r="G626" s="8">
        <f t="shared" si="115"/>
        <v>0</v>
      </c>
      <c r="H626" s="294">
        <f t="shared" si="116"/>
        <v>0</v>
      </c>
      <c r="I626" s="467"/>
      <c r="J626" s="302" t="s">
        <v>21</v>
      </c>
      <c r="K626" s="457" t="s">
        <v>113</v>
      </c>
      <c r="L626" s="457" t="s">
        <v>99</v>
      </c>
      <c r="M626" s="457" t="s">
        <v>32</v>
      </c>
      <c r="N626" s="468"/>
    </row>
    <row r="627" spans="1:14" s="469" customFormat="1" ht="14" outlineLevel="4">
      <c r="A627" s="470" t="s">
        <v>8</v>
      </c>
      <c r="B627" s="475" t="s">
        <v>841</v>
      </c>
      <c r="C627" s="338" t="s">
        <v>148</v>
      </c>
      <c r="D627" s="294"/>
      <c r="E627" s="294"/>
      <c r="F627" s="294"/>
      <c r="G627" s="8">
        <f t="shared" si="115"/>
        <v>0</v>
      </c>
      <c r="H627" s="294">
        <f t="shared" si="116"/>
        <v>0</v>
      </c>
      <c r="I627" s="467"/>
      <c r="J627" s="302" t="s">
        <v>21</v>
      </c>
      <c r="K627" s="457" t="s">
        <v>113</v>
      </c>
      <c r="L627" s="457" t="s">
        <v>99</v>
      </c>
      <c r="M627" s="457" t="s">
        <v>32</v>
      </c>
      <c r="N627" s="468"/>
    </row>
    <row r="628" spans="1:14" s="469" customFormat="1" ht="14" outlineLevel="4">
      <c r="A628" s="470" t="s">
        <v>8</v>
      </c>
      <c r="B628" s="475" t="s">
        <v>842</v>
      </c>
      <c r="C628" s="338" t="s">
        <v>148</v>
      </c>
      <c r="D628" s="294"/>
      <c r="E628" s="294"/>
      <c r="F628" s="294"/>
      <c r="G628" s="8">
        <f t="shared" si="115"/>
        <v>0</v>
      </c>
      <c r="H628" s="294">
        <f t="shared" si="116"/>
        <v>0</v>
      </c>
      <c r="I628" s="467"/>
      <c r="J628" s="302" t="s">
        <v>21</v>
      </c>
      <c r="K628" s="457" t="s">
        <v>113</v>
      </c>
      <c r="L628" s="457" t="s">
        <v>99</v>
      </c>
      <c r="M628" s="457" t="s">
        <v>32</v>
      </c>
      <c r="N628" s="468"/>
    </row>
    <row r="629" spans="1:14" s="469" customFormat="1" ht="14" outlineLevel="4">
      <c r="A629" s="470" t="s">
        <v>8</v>
      </c>
      <c r="B629" s="475" t="s">
        <v>912</v>
      </c>
      <c r="C629" s="338" t="s">
        <v>148</v>
      </c>
      <c r="D629" s="294"/>
      <c r="E629" s="294"/>
      <c r="F629" s="294"/>
      <c r="G629" s="8">
        <f t="shared" si="115"/>
        <v>0</v>
      </c>
      <c r="H629" s="294">
        <f t="shared" si="116"/>
        <v>0</v>
      </c>
      <c r="I629" s="467"/>
      <c r="J629" s="302" t="s">
        <v>21</v>
      </c>
      <c r="K629" s="457" t="s">
        <v>113</v>
      </c>
      <c r="L629" s="457" t="s">
        <v>99</v>
      </c>
      <c r="M629" s="457" t="s">
        <v>32</v>
      </c>
      <c r="N629" s="468"/>
    </row>
    <row r="630" spans="1:14" s="469" customFormat="1" ht="14" outlineLevel="4">
      <c r="A630" s="470" t="s">
        <v>8</v>
      </c>
      <c r="B630" s="478" t="s">
        <v>913</v>
      </c>
      <c r="C630" s="338" t="s">
        <v>148</v>
      </c>
      <c r="D630" s="479"/>
      <c r="E630" s="294"/>
      <c r="F630" s="294"/>
      <c r="G630" s="8">
        <f t="shared" si="115"/>
        <v>0</v>
      </c>
      <c r="H630" s="294">
        <f t="shared" si="116"/>
        <v>0</v>
      </c>
      <c r="I630" s="467"/>
      <c r="J630" s="302" t="s">
        <v>21</v>
      </c>
      <c r="K630" s="457" t="s">
        <v>113</v>
      </c>
      <c r="L630" s="457" t="s">
        <v>99</v>
      </c>
      <c r="M630" s="457" t="s">
        <v>32</v>
      </c>
      <c r="N630" s="468"/>
    </row>
    <row r="631" spans="1:14" s="469" customFormat="1" ht="14" outlineLevel="4">
      <c r="A631" s="470" t="s">
        <v>8</v>
      </c>
      <c r="B631" s="475" t="s">
        <v>914</v>
      </c>
      <c r="C631" s="338" t="s">
        <v>148</v>
      </c>
      <c r="D631" s="294"/>
      <c r="E631" s="294"/>
      <c r="F631" s="294"/>
      <c r="G631" s="8">
        <f t="shared" si="115"/>
        <v>0</v>
      </c>
      <c r="H631" s="294">
        <f t="shared" si="116"/>
        <v>0</v>
      </c>
      <c r="I631" s="467"/>
      <c r="J631" s="302" t="s">
        <v>21</v>
      </c>
      <c r="K631" s="457" t="s">
        <v>113</v>
      </c>
      <c r="L631" s="457" t="s">
        <v>99</v>
      </c>
      <c r="M631" s="457" t="s">
        <v>32</v>
      </c>
      <c r="N631" s="468"/>
    </row>
    <row r="632" spans="1:14" s="469" customFormat="1" ht="14" outlineLevel="4">
      <c r="A632" s="470" t="s">
        <v>8</v>
      </c>
      <c r="B632" s="475" t="s">
        <v>915</v>
      </c>
      <c r="C632" s="338" t="s">
        <v>148</v>
      </c>
      <c r="D632" s="294"/>
      <c r="E632" s="294"/>
      <c r="F632" s="294"/>
      <c r="G632" s="8">
        <f t="shared" si="115"/>
        <v>0</v>
      </c>
      <c r="H632" s="294">
        <f t="shared" si="116"/>
        <v>0</v>
      </c>
      <c r="I632" s="467"/>
      <c r="J632" s="302" t="s">
        <v>21</v>
      </c>
      <c r="K632" s="457" t="s">
        <v>113</v>
      </c>
      <c r="L632" s="457" t="s">
        <v>99</v>
      </c>
      <c r="M632" s="457" t="s">
        <v>32</v>
      </c>
      <c r="N632" s="468"/>
    </row>
    <row r="633" spans="1:14" s="469" customFormat="1" ht="14" outlineLevel="4">
      <c r="A633" s="470" t="s">
        <v>8</v>
      </c>
      <c r="B633" s="475" t="s">
        <v>916</v>
      </c>
      <c r="C633" s="338" t="s">
        <v>148</v>
      </c>
      <c r="D633" s="294"/>
      <c r="E633" s="294"/>
      <c r="F633" s="294"/>
      <c r="G633" s="8">
        <f t="shared" si="115"/>
        <v>0</v>
      </c>
      <c r="H633" s="294">
        <f t="shared" si="116"/>
        <v>0</v>
      </c>
      <c r="I633" s="467"/>
      <c r="J633" s="302" t="s">
        <v>21</v>
      </c>
      <c r="K633" s="457" t="s">
        <v>113</v>
      </c>
      <c r="L633" s="457" t="s">
        <v>99</v>
      </c>
      <c r="M633" s="457" t="s">
        <v>32</v>
      </c>
      <c r="N633" s="468"/>
    </row>
    <row r="634" spans="1:14" s="469" customFormat="1" ht="14" outlineLevel="4">
      <c r="A634" s="470" t="s">
        <v>8</v>
      </c>
      <c r="B634" s="475" t="s">
        <v>917</v>
      </c>
      <c r="C634" s="338" t="s">
        <v>148</v>
      </c>
      <c r="D634" s="294"/>
      <c r="E634" s="294"/>
      <c r="F634" s="294"/>
      <c r="G634" s="8">
        <f t="shared" si="115"/>
        <v>0</v>
      </c>
      <c r="H634" s="294">
        <f t="shared" si="116"/>
        <v>0</v>
      </c>
      <c r="I634" s="467"/>
      <c r="J634" s="302" t="s">
        <v>21</v>
      </c>
      <c r="K634" s="457" t="s">
        <v>113</v>
      </c>
      <c r="L634" s="457" t="s">
        <v>99</v>
      </c>
      <c r="M634" s="457" t="s">
        <v>32</v>
      </c>
      <c r="N634" s="468"/>
    </row>
    <row r="635" spans="1:14" s="469" customFormat="1" ht="14" outlineLevel="4">
      <c r="A635" s="470" t="s">
        <v>8</v>
      </c>
      <c r="B635" s="475" t="s">
        <v>918</v>
      </c>
      <c r="C635" s="338" t="s">
        <v>148</v>
      </c>
      <c r="D635" s="294"/>
      <c r="E635" s="294"/>
      <c r="F635" s="294"/>
      <c r="G635" s="8">
        <f t="shared" si="115"/>
        <v>0</v>
      </c>
      <c r="H635" s="294">
        <f t="shared" si="116"/>
        <v>0</v>
      </c>
      <c r="I635" s="467"/>
      <c r="J635" s="302" t="s">
        <v>21</v>
      </c>
      <c r="K635" s="457" t="s">
        <v>113</v>
      </c>
      <c r="L635" s="457" t="s">
        <v>99</v>
      </c>
      <c r="M635" s="457" t="s">
        <v>32</v>
      </c>
      <c r="N635" s="468"/>
    </row>
    <row r="636" spans="1:14" s="469" customFormat="1" ht="14" outlineLevel="4">
      <c r="A636" s="470" t="s">
        <v>8</v>
      </c>
      <c r="B636" s="475" t="s">
        <v>853</v>
      </c>
      <c r="C636" s="338" t="s">
        <v>880</v>
      </c>
      <c r="D636" s="294"/>
      <c r="E636" s="294"/>
      <c r="F636" s="294"/>
      <c r="G636" s="8">
        <f t="shared" si="115"/>
        <v>0</v>
      </c>
      <c r="H636" s="294">
        <f t="shared" si="116"/>
        <v>0</v>
      </c>
      <c r="I636" s="467"/>
      <c r="J636" s="302" t="s">
        <v>21</v>
      </c>
      <c r="K636" s="457" t="s">
        <v>113</v>
      </c>
      <c r="L636" s="457" t="s">
        <v>99</v>
      </c>
      <c r="M636" s="457" t="s">
        <v>32</v>
      </c>
      <c r="N636" s="468"/>
    </row>
    <row r="637" spans="1:14" s="459" customFormat="1" ht="14" outlineLevel="3">
      <c r="A637" s="452">
        <v>3</v>
      </c>
      <c r="B637" s="461" t="s">
        <v>1140</v>
      </c>
      <c r="C637" s="454"/>
      <c r="D637" s="455"/>
      <c r="E637" s="455"/>
      <c r="F637" s="455"/>
      <c r="G637" s="455"/>
      <c r="H637" s="455">
        <f>SUBTOTAL(9,H638:H647)</f>
        <v>0</v>
      </c>
      <c r="I637" s="462"/>
      <c r="J637" s="302" t="s">
        <v>21</v>
      </c>
      <c r="K637" s="457"/>
      <c r="L637" s="457"/>
      <c r="M637" s="303" t="s">
        <v>32</v>
      </c>
      <c r="N637" s="458"/>
    </row>
    <row r="638" spans="1:14" s="469" customFormat="1" ht="14" outlineLevel="4">
      <c r="A638" s="470" t="s">
        <v>8</v>
      </c>
      <c r="B638" s="475" t="s">
        <v>844</v>
      </c>
      <c r="C638" s="338" t="s">
        <v>24</v>
      </c>
      <c r="D638" s="294"/>
      <c r="E638" s="294"/>
      <c r="F638" s="294"/>
      <c r="G638" s="8">
        <f t="shared" ref="G638:G647" si="117">F638*D638</f>
        <v>0</v>
      </c>
      <c r="H638" s="294">
        <f t="shared" ref="H638:H647" si="118">F638*E638</f>
        <v>0</v>
      </c>
      <c r="I638" s="467"/>
      <c r="J638" s="302" t="s">
        <v>21</v>
      </c>
      <c r="K638" s="457" t="s">
        <v>134</v>
      </c>
      <c r="L638" s="457" t="s">
        <v>99</v>
      </c>
      <c r="M638" s="457" t="s">
        <v>32</v>
      </c>
      <c r="N638" s="468"/>
    </row>
    <row r="639" spans="1:14" s="469" customFormat="1" ht="14" outlineLevel="4">
      <c r="A639" s="470" t="s">
        <v>8</v>
      </c>
      <c r="B639" s="475" t="s">
        <v>845</v>
      </c>
      <c r="C639" s="338" t="s">
        <v>15</v>
      </c>
      <c r="D639" s="294"/>
      <c r="E639" s="294"/>
      <c r="F639" s="294"/>
      <c r="G639" s="8">
        <f t="shared" si="117"/>
        <v>0</v>
      </c>
      <c r="H639" s="294">
        <f t="shared" si="118"/>
        <v>0</v>
      </c>
      <c r="I639" s="467"/>
      <c r="J639" s="302" t="s">
        <v>21</v>
      </c>
      <c r="K639" s="457" t="s">
        <v>134</v>
      </c>
      <c r="L639" s="457" t="s">
        <v>99</v>
      </c>
      <c r="M639" s="457" t="s">
        <v>32</v>
      </c>
      <c r="N639" s="468"/>
    </row>
    <row r="640" spans="1:14" s="469" customFormat="1" ht="14" outlineLevel="4">
      <c r="A640" s="470" t="s">
        <v>8</v>
      </c>
      <c r="B640" s="475" t="s">
        <v>846</v>
      </c>
      <c r="C640" s="338" t="s">
        <v>15</v>
      </c>
      <c r="D640" s="294"/>
      <c r="E640" s="294"/>
      <c r="F640" s="294"/>
      <c r="G640" s="8">
        <f t="shared" si="117"/>
        <v>0</v>
      </c>
      <c r="H640" s="294">
        <f t="shared" si="118"/>
        <v>0</v>
      </c>
      <c r="I640" s="467"/>
      <c r="J640" s="302" t="s">
        <v>21</v>
      </c>
      <c r="K640" s="457" t="s">
        <v>134</v>
      </c>
      <c r="L640" s="457" t="s">
        <v>99</v>
      </c>
      <c r="M640" s="457" t="s">
        <v>32</v>
      </c>
      <c r="N640" s="468"/>
    </row>
    <row r="641" spans="1:14" s="469" customFormat="1" ht="14" outlineLevel="4">
      <c r="A641" s="470" t="s">
        <v>8</v>
      </c>
      <c r="B641" s="475" t="s">
        <v>847</v>
      </c>
      <c r="C641" s="338" t="s">
        <v>15</v>
      </c>
      <c r="D641" s="294"/>
      <c r="E641" s="294"/>
      <c r="F641" s="294"/>
      <c r="G641" s="8">
        <f t="shared" si="117"/>
        <v>0</v>
      </c>
      <c r="H641" s="294">
        <f t="shared" si="118"/>
        <v>0</v>
      </c>
      <c r="I641" s="467"/>
      <c r="J641" s="302" t="s">
        <v>21</v>
      </c>
      <c r="K641" s="457" t="s">
        <v>134</v>
      </c>
      <c r="L641" s="457" t="s">
        <v>99</v>
      </c>
      <c r="M641" s="457" t="s">
        <v>32</v>
      </c>
      <c r="N641" s="468"/>
    </row>
    <row r="642" spans="1:14" s="469" customFormat="1" ht="14" outlineLevel="4">
      <c r="A642" s="470" t="s">
        <v>8</v>
      </c>
      <c r="B642" s="475" t="s">
        <v>848</v>
      </c>
      <c r="C642" s="338" t="s">
        <v>24</v>
      </c>
      <c r="D642" s="294"/>
      <c r="E642" s="294"/>
      <c r="F642" s="294"/>
      <c r="G642" s="8">
        <f t="shared" si="117"/>
        <v>0</v>
      </c>
      <c r="H642" s="294">
        <f t="shared" si="118"/>
        <v>0</v>
      </c>
      <c r="I642" s="467"/>
      <c r="J642" s="302" t="s">
        <v>21</v>
      </c>
      <c r="K642" s="457" t="s">
        <v>134</v>
      </c>
      <c r="L642" s="457" t="s">
        <v>99</v>
      </c>
      <c r="M642" s="457" t="s">
        <v>32</v>
      </c>
      <c r="N642" s="468"/>
    </row>
    <row r="643" spans="1:14" s="469" customFormat="1" ht="14" outlineLevel="4">
      <c r="A643" s="470" t="s">
        <v>8</v>
      </c>
      <c r="B643" s="475" t="s">
        <v>849</v>
      </c>
      <c r="C643" s="338" t="s">
        <v>15</v>
      </c>
      <c r="D643" s="294"/>
      <c r="E643" s="294"/>
      <c r="F643" s="294"/>
      <c r="G643" s="8">
        <f t="shared" si="117"/>
        <v>0</v>
      </c>
      <c r="H643" s="294">
        <f t="shared" si="118"/>
        <v>0</v>
      </c>
      <c r="I643" s="467"/>
      <c r="J643" s="302" t="s">
        <v>21</v>
      </c>
      <c r="K643" s="457" t="s">
        <v>134</v>
      </c>
      <c r="L643" s="457" t="s">
        <v>99</v>
      </c>
      <c r="M643" s="457" t="s">
        <v>32</v>
      </c>
      <c r="N643" s="468"/>
    </row>
    <row r="644" spans="1:14" s="469" customFormat="1" ht="14" outlineLevel="4">
      <c r="A644" s="470" t="s">
        <v>8</v>
      </c>
      <c r="B644" s="475" t="s">
        <v>850</v>
      </c>
      <c r="C644" s="338" t="s">
        <v>15</v>
      </c>
      <c r="D644" s="294"/>
      <c r="E644" s="294"/>
      <c r="F644" s="294"/>
      <c r="G644" s="8">
        <f t="shared" si="117"/>
        <v>0</v>
      </c>
      <c r="H644" s="294">
        <f t="shared" si="118"/>
        <v>0</v>
      </c>
      <c r="I644" s="467"/>
      <c r="J644" s="302" t="s">
        <v>21</v>
      </c>
      <c r="K644" s="457" t="s">
        <v>134</v>
      </c>
      <c r="L644" s="457" t="s">
        <v>99</v>
      </c>
      <c r="M644" s="457" t="s">
        <v>32</v>
      </c>
      <c r="N644" s="468"/>
    </row>
    <row r="645" spans="1:14" s="469" customFormat="1" ht="14" outlineLevel="4">
      <c r="A645" s="470" t="s">
        <v>8</v>
      </c>
      <c r="B645" s="475" t="s">
        <v>851</v>
      </c>
      <c r="C645" s="338" t="s">
        <v>15</v>
      </c>
      <c r="D645" s="294"/>
      <c r="E645" s="294"/>
      <c r="F645" s="294"/>
      <c r="G645" s="8">
        <f t="shared" si="117"/>
        <v>0</v>
      </c>
      <c r="H645" s="294">
        <f t="shared" si="118"/>
        <v>0</v>
      </c>
      <c r="I645" s="467"/>
      <c r="J645" s="302" t="s">
        <v>21</v>
      </c>
      <c r="K645" s="457" t="s">
        <v>134</v>
      </c>
      <c r="L645" s="457" t="s">
        <v>99</v>
      </c>
      <c r="M645" s="457" t="s">
        <v>32</v>
      </c>
      <c r="N645" s="468"/>
    </row>
    <row r="646" spans="1:14" s="469" customFormat="1" ht="14" outlineLevel="4">
      <c r="A646" s="470" t="s">
        <v>8</v>
      </c>
      <c r="B646" s="475" t="s">
        <v>852</v>
      </c>
      <c r="C646" s="338" t="s">
        <v>15</v>
      </c>
      <c r="D646" s="294"/>
      <c r="E646" s="294"/>
      <c r="F646" s="294"/>
      <c r="G646" s="8">
        <f t="shared" si="117"/>
        <v>0</v>
      </c>
      <c r="H646" s="294">
        <f t="shared" si="118"/>
        <v>0</v>
      </c>
      <c r="I646" s="467"/>
      <c r="J646" s="302" t="s">
        <v>21</v>
      </c>
      <c r="K646" s="457" t="s">
        <v>134</v>
      </c>
      <c r="L646" s="457" t="s">
        <v>99</v>
      </c>
      <c r="M646" s="457" t="s">
        <v>32</v>
      </c>
      <c r="N646" s="468"/>
    </row>
    <row r="647" spans="1:14" s="469" customFormat="1" ht="14" outlineLevel="4">
      <c r="A647" s="470" t="s">
        <v>8</v>
      </c>
      <c r="B647" s="475" t="s">
        <v>853</v>
      </c>
      <c r="C647" s="338" t="s">
        <v>15</v>
      </c>
      <c r="D647" s="294"/>
      <c r="E647" s="294"/>
      <c r="F647" s="294"/>
      <c r="G647" s="8">
        <f t="shared" si="117"/>
        <v>0</v>
      </c>
      <c r="H647" s="294">
        <f t="shared" si="118"/>
        <v>0</v>
      </c>
      <c r="I647" s="467"/>
      <c r="J647" s="302" t="s">
        <v>21</v>
      </c>
      <c r="K647" s="457" t="s">
        <v>134</v>
      </c>
      <c r="L647" s="457" t="s">
        <v>99</v>
      </c>
      <c r="M647" s="457" t="s">
        <v>32</v>
      </c>
      <c r="N647" s="468"/>
    </row>
    <row r="648" spans="1:14" s="459" customFormat="1" ht="14" outlineLevel="3">
      <c r="A648" s="452">
        <v>4</v>
      </c>
      <c r="B648" s="461" t="s">
        <v>1141</v>
      </c>
      <c r="C648" s="454"/>
      <c r="D648" s="455"/>
      <c r="E648" s="455"/>
      <c r="F648" s="455"/>
      <c r="G648" s="455">
        <f>SUBTOTAL(9,G649:G664)</f>
        <v>204450.67999999996</v>
      </c>
      <c r="H648" s="455">
        <f>SUBTOTAL(9,H649:H664)</f>
        <v>34448.6</v>
      </c>
      <c r="I648" s="462"/>
      <c r="J648" s="302" t="s">
        <v>21</v>
      </c>
      <c r="K648" s="457"/>
      <c r="L648" s="457"/>
      <c r="M648" s="303" t="s">
        <v>32</v>
      </c>
      <c r="N648" s="458"/>
    </row>
    <row r="649" spans="1:14" s="469" customFormat="1" ht="14" outlineLevel="4">
      <c r="A649" s="470" t="s">
        <v>8</v>
      </c>
      <c r="B649" s="475" t="s">
        <v>920</v>
      </c>
      <c r="C649" s="338" t="s">
        <v>879</v>
      </c>
      <c r="D649" s="294">
        <v>73</v>
      </c>
      <c r="E649" s="294">
        <v>9</v>
      </c>
      <c r="F649" s="294">
        <v>1400</v>
      </c>
      <c r="G649" s="8">
        <f t="shared" ref="G649:G664" si="119">F649*D649</f>
        <v>102200</v>
      </c>
      <c r="H649" s="294">
        <f t="shared" ref="H649:H664" si="120">F649*E649</f>
        <v>12600</v>
      </c>
      <c r="I649" s="467"/>
      <c r="J649" s="302" t="s">
        <v>21</v>
      </c>
      <c r="K649" s="457" t="s">
        <v>113</v>
      </c>
      <c r="L649" s="457" t="s">
        <v>99</v>
      </c>
      <c r="M649" s="457" t="s">
        <v>32</v>
      </c>
      <c r="N649" s="468"/>
    </row>
    <row r="650" spans="1:14" s="469" customFormat="1" ht="14" outlineLevel="4">
      <c r="A650" s="470" t="s">
        <v>8</v>
      </c>
      <c r="B650" s="475" t="s">
        <v>921</v>
      </c>
      <c r="C650" s="338" t="s">
        <v>148</v>
      </c>
      <c r="D650" s="294"/>
      <c r="E650" s="294">
        <v>9</v>
      </c>
      <c r="F650" s="294">
        <v>13</v>
      </c>
      <c r="G650" s="8">
        <f t="shared" si="119"/>
        <v>0</v>
      </c>
      <c r="H650" s="294">
        <f t="shared" si="120"/>
        <v>117</v>
      </c>
      <c r="I650" s="467"/>
      <c r="J650" s="302" t="s">
        <v>21</v>
      </c>
      <c r="K650" s="457" t="s">
        <v>113</v>
      </c>
      <c r="L650" s="457" t="s">
        <v>99</v>
      </c>
      <c r="M650" s="457" t="s">
        <v>32</v>
      </c>
      <c r="N650" s="468"/>
    </row>
    <row r="651" spans="1:14" s="469" customFormat="1" ht="14" outlineLevel="4">
      <c r="A651" s="470" t="s">
        <v>8</v>
      </c>
      <c r="B651" s="475" t="s">
        <v>922</v>
      </c>
      <c r="C651" s="338" t="s">
        <v>148</v>
      </c>
      <c r="D651" s="294"/>
      <c r="E651" s="294">
        <v>9</v>
      </c>
      <c r="F651" s="294">
        <v>13</v>
      </c>
      <c r="G651" s="8">
        <f t="shared" si="119"/>
        <v>0</v>
      </c>
      <c r="H651" s="294">
        <f t="shared" si="120"/>
        <v>117</v>
      </c>
      <c r="I651" s="467"/>
      <c r="J651" s="302" t="s">
        <v>21</v>
      </c>
      <c r="K651" s="457" t="s">
        <v>113</v>
      </c>
      <c r="L651" s="457" t="s">
        <v>99</v>
      </c>
      <c r="M651" s="457" t="s">
        <v>32</v>
      </c>
      <c r="N651" s="468"/>
    </row>
    <row r="652" spans="1:14" s="469" customFormat="1" ht="14" outlineLevel="4">
      <c r="A652" s="470" t="s">
        <v>8</v>
      </c>
      <c r="B652" s="475" t="s">
        <v>923</v>
      </c>
      <c r="C652" s="338" t="s">
        <v>148</v>
      </c>
      <c r="D652" s="294"/>
      <c r="E652" s="294">
        <v>9</v>
      </c>
      <c r="F652" s="294">
        <v>13</v>
      </c>
      <c r="G652" s="8">
        <f t="shared" si="119"/>
        <v>0</v>
      </c>
      <c r="H652" s="294">
        <f t="shared" si="120"/>
        <v>117</v>
      </c>
      <c r="I652" s="467"/>
      <c r="J652" s="302" t="s">
        <v>21</v>
      </c>
      <c r="K652" s="457" t="s">
        <v>113</v>
      </c>
      <c r="L652" s="457" t="s">
        <v>99</v>
      </c>
      <c r="M652" s="457" t="s">
        <v>32</v>
      </c>
      <c r="N652" s="468"/>
    </row>
    <row r="653" spans="1:14" s="469" customFormat="1" ht="14" outlineLevel="4">
      <c r="A653" s="470" t="s">
        <v>8</v>
      </c>
      <c r="B653" s="475" t="s">
        <v>1458</v>
      </c>
      <c r="C653" s="338" t="s">
        <v>148</v>
      </c>
      <c r="D653" s="294">
        <v>73</v>
      </c>
      <c r="E653" s="294"/>
      <c r="F653" s="294">
        <v>13</v>
      </c>
      <c r="G653" s="8">
        <f t="shared" si="119"/>
        <v>949</v>
      </c>
      <c r="H653" s="294">
        <f t="shared" si="120"/>
        <v>0</v>
      </c>
      <c r="I653" s="467"/>
      <c r="J653" s="302" t="s">
        <v>21</v>
      </c>
      <c r="K653" s="457" t="s">
        <v>113</v>
      </c>
      <c r="L653" s="457" t="s">
        <v>99</v>
      </c>
      <c r="M653" s="457" t="s">
        <v>32</v>
      </c>
      <c r="N653" s="468"/>
    </row>
    <row r="654" spans="1:14" s="469" customFormat="1" ht="14" outlineLevel="4">
      <c r="A654" s="470" t="s">
        <v>8</v>
      </c>
      <c r="B654" s="475" t="s">
        <v>1459</v>
      </c>
      <c r="C654" s="338" t="s">
        <v>148</v>
      </c>
      <c r="D654" s="294">
        <v>1272</v>
      </c>
      <c r="E654" s="294">
        <v>200</v>
      </c>
      <c r="F654" s="294">
        <v>13</v>
      </c>
      <c r="G654" s="8">
        <f t="shared" si="119"/>
        <v>16536</v>
      </c>
      <c r="H654" s="294">
        <f t="shared" si="120"/>
        <v>2600</v>
      </c>
      <c r="I654" s="467"/>
      <c r="J654" s="302" t="s">
        <v>21</v>
      </c>
      <c r="K654" s="457" t="s">
        <v>113</v>
      </c>
      <c r="L654" s="457" t="s">
        <v>99</v>
      </c>
      <c r="M654" s="457" t="s">
        <v>32</v>
      </c>
      <c r="N654" s="468"/>
    </row>
    <row r="655" spans="1:14" s="469" customFormat="1" ht="14" outlineLevel="4">
      <c r="A655" s="470" t="s">
        <v>8</v>
      </c>
      <c r="B655" s="475" t="s">
        <v>1460</v>
      </c>
      <c r="C655" s="338" t="s">
        <v>148</v>
      </c>
      <c r="D655" s="294">
        <v>447</v>
      </c>
      <c r="E655" s="294">
        <v>9</v>
      </c>
      <c r="F655" s="294">
        <v>52</v>
      </c>
      <c r="G655" s="8">
        <f t="shared" si="119"/>
        <v>23244</v>
      </c>
      <c r="H655" s="294">
        <f t="shared" si="120"/>
        <v>468</v>
      </c>
      <c r="I655" s="467"/>
      <c r="J655" s="302" t="s">
        <v>21</v>
      </c>
      <c r="K655" s="457" t="s">
        <v>113</v>
      </c>
      <c r="L655" s="457" t="s">
        <v>99</v>
      </c>
      <c r="M655" s="457" t="s">
        <v>32</v>
      </c>
      <c r="N655" s="468"/>
    </row>
    <row r="656" spans="1:14" s="469" customFormat="1" ht="14" outlineLevel="4">
      <c r="A656" s="470" t="s">
        <v>8</v>
      </c>
      <c r="B656" s="475" t="s">
        <v>855</v>
      </c>
      <c r="C656" s="338" t="s">
        <v>148</v>
      </c>
      <c r="D656" s="294">
        <v>438</v>
      </c>
      <c r="E656" s="294">
        <v>54</v>
      </c>
      <c r="F656" s="294">
        <v>25</v>
      </c>
      <c r="G656" s="8">
        <f t="shared" si="119"/>
        <v>10950</v>
      </c>
      <c r="H656" s="294">
        <f t="shared" si="120"/>
        <v>1350</v>
      </c>
      <c r="I656" s="467"/>
      <c r="J656" s="302" t="s">
        <v>21</v>
      </c>
      <c r="K656" s="457" t="s">
        <v>113</v>
      </c>
      <c r="L656" s="457" t="s">
        <v>99</v>
      </c>
      <c r="M656" s="457" t="s">
        <v>32</v>
      </c>
      <c r="N656" s="468"/>
    </row>
    <row r="657" spans="1:14" s="469" customFormat="1" ht="14" outlineLevel="4">
      <c r="A657" s="470" t="s">
        <v>8</v>
      </c>
      <c r="B657" s="475" t="s">
        <v>1461</v>
      </c>
      <c r="C657" s="338" t="s">
        <v>148</v>
      </c>
      <c r="D657" s="294">
        <v>35.04</v>
      </c>
      <c r="E657" s="294">
        <v>14.4</v>
      </c>
      <c r="F657" s="294">
        <v>13</v>
      </c>
      <c r="G657" s="8">
        <f t="shared" si="119"/>
        <v>455.52</v>
      </c>
      <c r="H657" s="294">
        <f t="shared" si="120"/>
        <v>187.20000000000002</v>
      </c>
      <c r="I657" s="467"/>
      <c r="J657" s="302" t="s">
        <v>21</v>
      </c>
      <c r="K657" s="457" t="s">
        <v>113</v>
      </c>
      <c r="L657" s="457" t="s">
        <v>99</v>
      </c>
      <c r="M657" s="457" t="s">
        <v>32</v>
      </c>
      <c r="N657" s="468"/>
    </row>
    <row r="658" spans="1:14" s="469" customFormat="1" ht="14" outlineLevel="4">
      <c r="A658" s="470" t="s">
        <v>8</v>
      </c>
      <c r="B658" s="475" t="s">
        <v>1462</v>
      </c>
      <c r="C658" s="338" t="s">
        <v>148</v>
      </c>
      <c r="D658" s="294">
        <v>35.04</v>
      </c>
      <c r="E658" s="294">
        <v>14.4</v>
      </c>
      <c r="F658" s="294">
        <v>70</v>
      </c>
      <c r="G658" s="8">
        <f t="shared" si="119"/>
        <v>2452.7999999999997</v>
      </c>
      <c r="H658" s="294">
        <f t="shared" si="120"/>
        <v>1008</v>
      </c>
      <c r="I658" s="467"/>
      <c r="J658" s="302" t="s">
        <v>21</v>
      </c>
      <c r="K658" s="457" t="s">
        <v>113</v>
      </c>
      <c r="L658" s="457" t="s">
        <v>99</v>
      </c>
      <c r="M658" s="457" t="s">
        <v>32</v>
      </c>
      <c r="N658" s="468"/>
    </row>
    <row r="659" spans="1:14" s="469" customFormat="1" ht="14" outlineLevel="4">
      <c r="A659" s="470" t="s">
        <v>8</v>
      </c>
      <c r="B659" s="475" t="s">
        <v>1463</v>
      </c>
      <c r="C659" s="338" t="s">
        <v>148</v>
      </c>
      <c r="D659" s="294">
        <v>17.52</v>
      </c>
      <c r="E659" s="294">
        <v>7.2</v>
      </c>
      <c r="F659" s="294">
        <v>140</v>
      </c>
      <c r="G659" s="8">
        <f t="shared" si="119"/>
        <v>2452.7999999999997</v>
      </c>
      <c r="H659" s="294">
        <f t="shared" si="120"/>
        <v>1008</v>
      </c>
      <c r="I659" s="467"/>
      <c r="J659" s="302" t="s">
        <v>21</v>
      </c>
      <c r="K659" s="457" t="s">
        <v>113</v>
      </c>
      <c r="L659" s="457" t="s">
        <v>99</v>
      </c>
      <c r="M659" s="457" t="s">
        <v>32</v>
      </c>
      <c r="N659" s="468"/>
    </row>
    <row r="660" spans="1:14" s="469" customFormat="1" ht="14" outlineLevel="4">
      <c r="A660" s="470" t="s">
        <v>8</v>
      </c>
      <c r="B660" s="475" t="s">
        <v>1464</v>
      </c>
      <c r="C660" s="338" t="s">
        <v>148</v>
      </c>
      <c r="D660" s="294">
        <v>81.759999999999991</v>
      </c>
      <c r="E660" s="294">
        <v>14.4</v>
      </c>
      <c r="F660" s="294">
        <v>52</v>
      </c>
      <c r="G660" s="8">
        <f t="shared" si="119"/>
        <v>4251.5199999999995</v>
      </c>
      <c r="H660" s="294">
        <f t="shared" si="120"/>
        <v>748.80000000000007</v>
      </c>
      <c r="I660" s="467"/>
      <c r="J660" s="302" t="s">
        <v>21</v>
      </c>
      <c r="K660" s="457" t="s">
        <v>113</v>
      </c>
      <c r="L660" s="457" t="s">
        <v>99</v>
      </c>
      <c r="M660" s="457" t="s">
        <v>32</v>
      </c>
      <c r="N660" s="468"/>
    </row>
    <row r="661" spans="1:14" s="469" customFormat="1" ht="14" outlineLevel="4">
      <c r="A661" s="470" t="s">
        <v>8</v>
      </c>
      <c r="B661" s="475" t="s">
        <v>1465</v>
      </c>
      <c r="C661" s="338" t="s">
        <v>148</v>
      </c>
      <c r="D661" s="294">
        <v>81.759999999999991</v>
      </c>
      <c r="E661" s="294">
        <v>14.4</v>
      </c>
      <c r="F661" s="294">
        <v>132</v>
      </c>
      <c r="G661" s="8">
        <f t="shared" si="119"/>
        <v>10792.32</v>
      </c>
      <c r="H661" s="294">
        <f t="shared" si="120"/>
        <v>1900.8</v>
      </c>
      <c r="I661" s="467"/>
      <c r="J661" s="302" t="s">
        <v>21</v>
      </c>
      <c r="K661" s="457" t="s">
        <v>113</v>
      </c>
      <c r="L661" s="457" t="s">
        <v>99</v>
      </c>
      <c r="M661" s="457" t="s">
        <v>32</v>
      </c>
      <c r="N661" s="468"/>
    </row>
    <row r="662" spans="1:14" s="469" customFormat="1" ht="14" outlineLevel="4">
      <c r="A662" s="470" t="s">
        <v>8</v>
      </c>
      <c r="B662" s="475" t="s">
        <v>1466</v>
      </c>
      <c r="C662" s="338" t="s">
        <v>148</v>
      </c>
      <c r="D662" s="294">
        <v>40.879999999999995</v>
      </c>
      <c r="E662" s="294">
        <v>7.2</v>
      </c>
      <c r="F662" s="294">
        <v>269</v>
      </c>
      <c r="G662" s="8">
        <f t="shared" si="119"/>
        <v>10996.72</v>
      </c>
      <c r="H662" s="294">
        <f t="shared" si="120"/>
        <v>1936.8</v>
      </c>
      <c r="I662" s="467"/>
      <c r="J662" s="302" t="s">
        <v>21</v>
      </c>
      <c r="K662" s="457" t="s">
        <v>113</v>
      </c>
      <c r="L662" s="457" t="s">
        <v>99</v>
      </c>
      <c r="M662" s="457" t="s">
        <v>32</v>
      </c>
      <c r="N662" s="468"/>
    </row>
    <row r="663" spans="1:14" s="469" customFormat="1" ht="14" outlineLevel="4">
      <c r="A663" s="470" t="s">
        <v>8</v>
      </c>
      <c r="B663" s="475" t="s">
        <v>926</v>
      </c>
      <c r="C663" s="338" t="s">
        <v>927</v>
      </c>
      <c r="D663" s="294">
        <v>50</v>
      </c>
      <c r="E663" s="294">
        <v>50</v>
      </c>
      <c r="F663" s="294">
        <v>175</v>
      </c>
      <c r="G663" s="8">
        <f t="shared" si="119"/>
        <v>8750</v>
      </c>
      <c r="H663" s="294">
        <f t="shared" si="120"/>
        <v>8750</v>
      </c>
      <c r="I663" s="467"/>
      <c r="J663" s="302" t="s">
        <v>21</v>
      </c>
      <c r="K663" s="457" t="s">
        <v>113</v>
      </c>
      <c r="L663" s="457" t="s">
        <v>99</v>
      </c>
      <c r="M663" s="457" t="s">
        <v>32</v>
      </c>
      <c r="N663" s="468"/>
    </row>
    <row r="664" spans="1:14" s="469" customFormat="1" ht="14" outlineLevel="4">
      <c r="A664" s="470" t="s">
        <v>8</v>
      </c>
      <c r="B664" s="475" t="s">
        <v>853</v>
      </c>
      <c r="C664" s="338" t="s">
        <v>880</v>
      </c>
      <c r="D664" s="294">
        <v>2084</v>
      </c>
      <c r="E664" s="294">
        <v>308</v>
      </c>
      <c r="F664" s="294">
        <v>5</v>
      </c>
      <c r="G664" s="8">
        <f t="shared" si="119"/>
        <v>10420</v>
      </c>
      <c r="H664" s="294">
        <f t="shared" si="120"/>
        <v>1540</v>
      </c>
      <c r="I664" s="467"/>
      <c r="J664" s="302" t="s">
        <v>21</v>
      </c>
      <c r="K664" s="457" t="s">
        <v>113</v>
      </c>
      <c r="L664" s="457" t="s">
        <v>99</v>
      </c>
      <c r="M664" s="457" t="s">
        <v>32</v>
      </c>
      <c r="N664" s="468"/>
    </row>
    <row r="665" spans="1:14" s="459" customFormat="1" ht="14" outlineLevel="3">
      <c r="A665" s="452">
        <v>5</v>
      </c>
      <c r="B665" s="461" t="s">
        <v>1142</v>
      </c>
      <c r="C665" s="454"/>
      <c r="D665" s="455"/>
      <c r="E665" s="455"/>
      <c r="F665" s="455"/>
      <c r="G665" s="455"/>
      <c r="H665" s="455">
        <f>SUBTOTAL(9,H666:H667)</f>
        <v>144</v>
      </c>
      <c r="I665" s="462"/>
      <c r="J665" s="302" t="s">
        <v>21</v>
      </c>
      <c r="K665" s="457"/>
      <c r="L665" s="457"/>
      <c r="M665" s="457" t="s">
        <v>32</v>
      </c>
      <c r="N665" s="458"/>
    </row>
    <row r="666" spans="1:14" s="469" customFormat="1" ht="14" outlineLevel="4">
      <c r="A666" s="470" t="s">
        <v>8</v>
      </c>
      <c r="B666" s="475" t="s">
        <v>931</v>
      </c>
      <c r="C666" s="338" t="s">
        <v>33</v>
      </c>
      <c r="D666" s="294"/>
      <c r="E666" s="294"/>
      <c r="F666" s="294"/>
      <c r="G666" s="8">
        <f t="shared" ref="G666:G667" si="121">F666*D666</f>
        <v>0</v>
      </c>
      <c r="H666" s="294">
        <f t="shared" ref="H666:H667" si="122">F666*E666</f>
        <v>0</v>
      </c>
      <c r="I666" s="467"/>
      <c r="J666" s="302" t="s">
        <v>21</v>
      </c>
      <c r="K666" s="457" t="s">
        <v>134</v>
      </c>
      <c r="L666" s="457" t="s">
        <v>99</v>
      </c>
      <c r="M666" s="457" t="s">
        <v>32</v>
      </c>
      <c r="N666" s="468"/>
    </row>
    <row r="667" spans="1:14" s="469" customFormat="1" ht="14" outlineLevel="4">
      <c r="A667" s="470" t="s">
        <v>8</v>
      </c>
      <c r="B667" s="475" t="s">
        <v>932</v>
      </c>
      <c r="C667" s="338" t="s">
        <v>33</v>
      </c>
      <c r="D667" s="294">
        <v>1219</v>
      </c>
      <c r="E667" s="294">
        <v>9</v>
      </c>
      <c r="F667" s="294">
        <v>16</v>
      </c>
      <c r="G667" s="8">
        <f t="shared" si="121"/>
        <v>19504</v>
      </c>
      <c r="H667" s="294">
        <f t="shared" si="122"/>
        <v>144</v>
      </c>
      <c r="I667" s="467"/>
      <c r="J667" s="302" t="s">
        <v>21</v>
      </c>
      <c r="K667" s="457" t="s">
        <v>134</v>
      </c>
      <c r="L667" s="457" t="s">
        <v>99</v>
      </c>
      <c r="M667" s="457" t="s">
        <v>32</v>
      </c>
      <c r="N667" s="468"/>
    </row>
    <row r="668" spans="1:14" s="459" customFormat="1" ht="14" outlineLevel="3">
      <c r="A668" s="452">
        <v>6</v>
      </c>
      <c r="B668" s="461" t="s">
        <v>1343</v>
      </c>
      <c r="C668" s="454"/>
      <c r="D668" s="455"/>
      <c r="E668" s="455"/>
      <c r="F668" s="455"/>
      <c r="G668" s="455">
        <f>SUBTOTAL(9,G669:G678)</f>
        <v>3106262.38</v>
      </c>
      <c r="H668" s="455">
        <f>SUBTOTAL(9,H669:H678)</f>
        <v>0</v>
      </c>
      <c r="I668" s="462"/>
      <c r="J668" s="302" t="s">
        <v>21</v>
      </c>
      <c r="K668" s="457"/>
      <c r="L668" s="457"/>
      <c r="M668" s="303" t="s">
        <v>32</v>
      </c>
      <c r="N668" s="458"/>
    </row>
    <row r="669" spans="1:14" s="469" customFormat="1" ht="14" outlineLevel="4">
      <c r="A669" s="470" t="s">
        <v>8</v>
      </c>
      <c r="B669" s="475" t="s">
        <v>1337</v>
      </c>
      <c r="C669" s="338" t="s">
        <v>24</v>
      </c>
      <c r="D669" s="294">
        <v>1118</v>
      </c>
      <c r="E669" s="294">
        <v>0</v>
      </c>
      <c r="F669" s="294">
        <v>2200</v>
      </c>
      <c r="G669" s="8">
        <f t="shared" ref="G669:G678" si="123">F669*D669</f>
        <v>2459600</v>
      </c>
      <c r="H669" s="294">
        <f t="shared" ref="H669:H678" si="124">F669*E669</f>
        <v>0</v>
      </c>
      <c r="I669" s="467"/>
      <c r="J669" s="302" t="s">
        <v>21</v>
      </c>
      <c r="K669" s="457" t="s">
        <v>134</v>
      </c>
      <c r="L669" s="457" t="s">
        <v>99</v>
      </c>
      <c r="M669" s="457" t="s">
        <v>32</v>
      </c>
      <c r="N669" s="468"/>
    </row>
    <row r="670" spans="1:14" s="469" customFormat="1" ht="14" outlineLevel="4">
      <c r="A670" s="470" t="s">
        <v>8</v>
      </c>
      <c r="B670" s="475" t="s">
        <v>855</v>
      </c>
      <c r="C670" s="338" t="s">
        <v>15</v>
      </c>
      <c r="D670" s="294">
        <v>6708</v>
      </c>
      <c r="E670" s="294"/>
      <c r="F670" s="294">
        <v>37.549999999999997</v>
      </c>
      <c r="G670" s="8">
        <f t="shared" si="123"/>
        <v>251885.4</v>
      </c>
      <c r="H670" s="294">
        <f t="shared" si="124"/>
        <v>0</v>
      </c>
      <c r="I670" s="467"/>
      <c r="J670" s="302" t="s">
        <v>21</v>
      </c>
      <c r="K670" s="457" t="s">
        <v>134</v>
      </c>
      <c r="L670" s="457" t="s">
        <v>99</v>
      </c>
      <c r="M670" s="457" t="s">
        <v>32</v>
      </c>
      <c r="N670" s="468"/>
    </row>
    <row r="671" spans="1:14" s="469" customFormat="1" ht="14" outlineLevel="4">
      <c r="A671" s="470" t="s">
        <v>8</v>
      </c>
      <c r="B671" s="475" t="s">
        <v>1338</v>
      </c>
      <c r="C671" s="338" t="s">
        <v>15</v>
      </c>
      <c r="D671" s="294">
        <v>0</v>
      </c>
      <c r="E671" s="294"/>
      <c r="F671" s="294">
        <v>37.4</v>
      </c>
      <c r="G671" s="8">
        <f t="shared" si="123"/>
        <v>0</v>
      </c>
      <c r="H671" s="294">
        <f t="shared" si="124"/>
        <v>0</v>
      </c>
      <c r="I671" s="467"/>
      <c r="J671" s="302" t="s">
        <v>21</v>
      </c>
      <c r="K671" s="457" t="s">
        <v>134</v>
      </c>
      <c r="L671" s="457" t="s">
        <v>99</v>
      </c>
      <c r="M671" s="457" t="s">
        <v>32</v>
      </c>
      <c r="N671" s="468"/>
    </row>
    <row r="672" spans="1:14" s="469" customFormat="1" ht="14" outlineLevel="4">
      <c r="A672" s="470" t="s">
        <v>8</v>
      </c>
      <c r="B672" s="475" t="s">
        <v>1473</v>
      </c>
      <c r="C672" s="338" t="s">
        <v>15</v>
      </c>
      <c r="D672" s="294">
        <v>670.8</v>
      </c>
      <c r="E672" s="294">
        <v>0</v>
      </c>
      <c r="F672" s="294">
        <v>24.31</v>
      </c>
      <c r="G672" s="8">
        <f t="shared" si="123"/>
        <v>16307.147999999997</v>
      </c>
      <c r="H672" s="294">
        <f t="shared" si="124"/>
        <v>0</v>
      </c>
      <c r="I672" s="467"/>
      <c r="J672" s="302" t="s">
        <v>21</v>
      </c>
      <c r="K672" s="457" t="s">
        <v>134</v>
      </c>
      <c r="L672" s="457" t="s">
        <v>99</v>
      </c>
      <c r="M672" s="457" t="s">
        <v>32</v>
      </c>
      <c r="N672" s="468"/>
    </row>
    <row r="673" spans="1:14" s="469" customFormat="1" ht="14" outlineLevel="4">
      <c r="A673" s="470" t="s">
        <v>8</v>
      </c>
      <c r="B673" s="475" t="s">
        <v>1474</v>
      </c>
      <c r="C673" s="338" t="s">
        <v>15</v>
      </c>
      <c r="D673" s="294">
        <v>1118</v>
      </c>
      <c r="E673" s="294">
        <v>0</v>
      </c>
      <c r="F673" s="294">
        <v>66</v>
      </c>
      <c r="G673" s="8">
        <f t="shared" si="123"/>
        <v>73788</v>
      </c>
      <c r="H673" s="294">
        <f t="shared" si="124"/>
        <v>0</v>
      </c>
      <c r="I673" s="467"/>
      <c r="J673" s="302" t="s">
        <v>21</v>
      </c>
      <c r="K673" s="457" t="s">
        <v>134</v>
      </c>
      <c r="L673" s="457" t="s">
        <v>99</v>
      </c>
      <c r="M673" s="457" t="s">
        <v>32</v>
      </c>
      <c r="N673" s="468"/>
    </row>
    <row r="674" spans="1:14" s="469" customFormat="1" ht="14" outlineLevel="4">
      <c r="A674" s="470" t="s">
        <v>8</v>
      </c>
      <c r="B674" s="475" t="s">
        <v>1475</v>
      </c>
      <c r="C674" s="338" t="s">
        <v>15</v>
      </c>
      <c r="D674" s="294">
        <v>447.20000000000005</v>
      </c>
      <c r="E674" s="294">
        <v>0</v>
      </c>
      <c r="F674" s="294">
        <v>140</v>
      </c>
      <c r="G674" s="8">
        <f t="shared" si="123"/>
        <v>62608.000000000007</v>
      </c>
      <c r="H674" s="294">
        <f t="shared" si="124"/>
        <v>0</v>
      </c>
      <c r="I674" s="467"/>
      <c r="J674" s="302" t="s">
        <v>21</v>
      </c>
      <c r="K674" s="457" t="s">
        <v>134</v>
      </c>
      <c r="L674" s="457" t="s">
        <v>99</v>
      </c>
      <c r="M674" s="457" t="s">
        <v>32</v>
      </c>
      <c r="N674" s="468"/>
    </row>
    <row r="675" spans="1:14" s="469" customFormat="1" ht="14" outlineLevel="4">
      <c r="A675" s="470" t="s">
        <v>8</v>
      </c>
      <c r="B675" s="475" t="s">
        <v>1476</v>
      </c>
      <c r="C675" s="338" t="s">
        <v>15</v>
      </c>
      <c r="D675" s="294">
        <v>1408.6799999999998</v>
      </c>
      <c r="E675" s="294">
        <v>0</v>
      </c>
      <c r="F675" s="294">
        <v>37.4</v>
      </c>
      <c r="G675" s="8">
        <f t="shared" si="123"/>
        <v>52684.631999999991</v>
      </c>
      <c r="H675" s="294">
        <f t="shared" si="124"/>
        <v>0</v>
      </c>
      <c r="I675" s="467"/>
      <c r="J675" s="302" t="s">
        <v>21</v>
      </c>
      <c r="K675" s="457" t="s">
        <v>134</v>
      </c>
      <c r="L675" s="457" t="s">
        <v>99</v>
      </c>
      <c r="M675" s="457" t="s">
        <v>32</v>
      </c>
      <c r="N675" s="468"/>
    </row>
    <row r="676" spans="1:14" s="469" customFormat="1" ht="14" outlineLevel="4">
      <c r="A676" s="470" t="s">
        <v>8</v>
      </c>
      <c r="B676" s="475" t="s">
        <v>1477</v>
      </c>
      <c r="C676" s="338" t="s">
        <v>15</v>
      </c>
      <c r="D676" s="294">
        <v>1565.1999999999998</v>
      </c>
      <c r="E676" s="294">
        <v>0</v>
      </c>
      <c r="F676" s="294">
        <v>99</v>
      </c>
      <c r="G676" s="8">
        <f t="shared" si="123"/>
        <v>154954.79999999999</v>
      </c>
      <c r="H676" s="294">
        <f t="shared" si="124"/>
        <v>0</v>
      </c>
      <c r="I676" s="467"/>
      <c r="J676" s="302" t="s">
        <v>21</v>
      </c>
      <c r="K676" s="457" t="s">
        <v>134</v>
      </c>
      <c r="L676" s="457" t="s">
        <v>99</v>
      </c>
      <c r="M676" s="457" t="s">
        <v>32</v>
      </c>
      <c r="N676" s="468"/>
    </row>
    <row r="677" spans="1:14" s="469" customFormat="1" ht="14" outlineLevel="4">
      <c r="A677" s="470" t="s">
        <v>8</v>
      </c>
      <c r="B677" s="475" t="s">
        <v>1478</v>
      </c>
      <c r="C677" s="338" t="s">
        <v>15</v>
      </c>
      <c r="D677" s="294">
        <v>156.51999999999998</v>
      </c>
      <c r="E677" s="294">
        <v>0</v>
      </c>
      <c r="F677" s="294">
        <v>220</v>
      </c>
      <c r="G677" s="8">
        <f t="shared" si="123"/>
        <v>34434.399999999994</v>
      </c>
      <c r="H677" s="294">
        <f t="shared" si="124"/>
        <v>0</v>
      </c>
      <c r="I677" s="467"/>
      <c r="J677" s="302" t="s">
        <v>21</v>
      </c>
      <c r="K677" s="457" t="s">
        <v>134</v>
      </c>
      <c r="L677" s="457" t="s">
        <v>99</v>
      </c>
      <c r="M677" s="457" t="s">
        <v>32</v>
      </c>
      <c r="N677" s="468"/>
    </row>
    <row r="678" spans="1:14" s="469" customFormat="1" ht="14" outlineLevel="4">
      <c r="A678" s="470" t="s">
        <v>8</v>
      </c>
      <c r="B678" s="475" t="s">
        <v>853</v>
      </c>
      <c r="C678" s="338" t="s">
        <v>15</v>
      </c>
      <c r="D678" s="294">
        <v>0</v>
      </c>
      <c r="E678" s="294">
        <v>0</v>
      </c>
      <c r="F678" s="294"/>
      <c r="G678" s="8">
        <f t="shared" si="123"/>
        <v>0</v>
      </c>
      <c r="H678" s="294">
        <f t="shared" si="124"/>
        <v>0</v>
      </c>
      <c r="I678" s="467"/>
      <c r="J678" s="302" t="s">
        <v>21</v>
      </c>
      <c r="K678" s="457" t="s">
        <v>134</v>
      </c>
      <c r="L678" s="457" t="s">
        <v>99</v>
      </c>
      <c r="M678" s="457" t="s">
        <v>32</v>
      </c>
      <c r="N678" s="468"/>
    </row>
    <row r="679" spans="1:14" s="459" customFormat="1" ht="14" outlineLevel="3">
      <c r="A679" s="452">
        <v>7</v>
      </c>
      <c r="B679" s="461" t="s">
        <v>1344</v>
      </c>
      <c r="C679" s="454"/>
      <c r="D679" s="455"/>
      <c r="E679" s="455"/>
      <c r="F679" s="455"/>
      <c r="G679" s="455"/>
      <c r="H679" s="455">
        <f>SUBTOTAL(9,H680:H696)</f>
        <v>25631.728000000003</v>
      </c>
      <c r="I679" s="462"/>
      <c r="J679" s="302" t="s">
        <v>21</v>
      </c>
      <c r="K679" s="457"/>
      <c r="L679" s="457"/>
      <c r="M679" s="303" t="s">
        <v>32</v>
      </c>
      <c r="N679" s="458"/>
    </row>
    <row r="680" spans="1:14" s="469" customFormat="1" ht="14" outlineLevel="4">
      <c r="A680" s="470" t="s">
        <v>8</v>
      </c>
      <c r="B680" s="475" t="s">
        <v>1340</v>
      </c>
      <c r="C680" s="338" t="s">
        <v>879</v>
      </c>
      <c r="D680" s="294">
        <v>28</v>
      </c>
      <c r="E680" s="294">
        <v>8</v>
      </c>
      <c r="F680" s="294">
        <v>2200</v>
      </c>
      <c r="G680" s="8">
        <f t="shared" ref="G680:G696" si="125">F680*D680</f>
        <v>61600</v>
      </c>
      <c r="H680" s="294">
        <f t="shared" ref="H680:H696" si="126">F680*E680</f>
        <v>17600</v>
      </c>
      <c r="I680" s="467"/>
      <c r="J680" s="302" t="s">
        <v>21</v>
      </c>
      <c r="K680" s="457" t="s">
        <v>113</v>
      </c>
      <c r="L680" s="457" t="s">
        <v>99</v>
      </c>
      <c r="M680" s="457" t="s">
        <v>32</v>
      </c>
      <c r="N680" s="468"/>
    </row>
    <row r="681" spans="1:14" s="469" customFormat="1" ht="14" outlineLevel="4">
      <c r="A681" s="470" t="s">
        <v>8</v>
      </c>
      <c r="B681" s="475" t="s">
        <v>907</v>
      </c>
      <c r="C681" s="338" t="s">
        <v>148</v>
      </c>
      <c r="D681" s="294"/>
      <c r="E681" s="294"/>
      <c r="F681" s="294">
        <v>24.31</v>
      </c>
      <c r="G681" s="8">
        <f t="shared" si="125"/>
        <v>0</v>
      </c>
      <c r="H681" s="294">
        <f t="shared" si="126"/>
        <v>0</v>
      </c>
      <c r="I681" s="467"/>
      <c r="J681" s="302" t="s">
        <v>21</v>
      </c>
      <c r="K681" s="457" t="s">
        <v>113</v>
      </c>
      <c r="L681" s="457" t="s">
        <v>99</v>
      </c>
      <c r="M681" s="457" t="s">
        <v>32</v>
      </c>
      <c r="N681" s="468"/>
    </row>
    <row r="682" spans="1:14" s="469" customFormat="1" ht="14" outlineLevel="4">
      <c r="A682" s="470" t="s">
        <v>8</v>
      </c>
      <c r="B682" s="475" t="s">
        <v>908</v>
      </c>
      <c r="C682" s="338" t="s">
        <v>148</v>
      </c>
      <c r="D682" s="294"/>
      <c r="E682" s="294"/>
      <c r="F682" s="294">
        <v>24.31</v>
      </c>
      <c r="G682" s="8">
        <f t="shared" si="125"/>
        <v>0</v>
      </c>
      <c r="H682" s="294">
        <f t="shared" si="126"/>
        <v>0</v>
      </c>
      <c r="I682" s="467"/>
      <c r="J682" s="302" t="s">
        <v>21</v>
      </c>
      <c r="K682" s="457" t="s">
        <v>113</v>
      </c>
      <c r="L682" s="457" t="s">
        <v>99</v>
      </c>
      <c r="M682" s="457" t="s">
        <v>32</v>
      </c>
      <c r="N682" s="468"/>
    </row>
    <row r="683" spans="1:14" s="469" customFormat="1" ht="14" outlineLevel="4">
      <c r="A683" s="470" t="s">
        <v>8</v>
      </c>
      <c r="B683" s="475" t="s">
        <v>909</v>
      </c>
      <c r="C683" s="338" t="s">
        <v>148</v>
      </c>
      <c r="D683" s="294"/>
      <c r="E683" s="294"/>
      <c r="F683" s="294">
        <v>24.31</v>
      </c>
      <c r="G683" s="8">
        <f t="shared" si="125"/>
        <v>0</v>
      </c>
      <c r="H683" s="294">
        <f t="shared" si="126"/>
        <v>0</v>
      </c>
      <c r="I683" s="467"/>
      <c r="J683" s="302" t="s">
        <v>21</v>
      </c>
      <c r="K683" s="457" t="s">
        <v>113</v>
      </c>
      <c r="L683" s="457" t="s">
        <v>99</v>
      </c>
      <c r="M683" s="457" t="s">
        <v>32</v>
      </c>
      <c r="N683" s="468"/>
    </row>
    <row r="684" spans="1:14" s="469" customFormat="1" ht="14" outlineLevel="4">
      <c r="A684" s="470" t="s">
        <v>8</v>
      </c>
      <c r="B684" s="475" t="s">
        <v>910</v>
      </c>
      <c r="C684" s="338" t="s">
        <v>148</v>
      </c>
      <c r="D684" s="294"/>
      <c r="E684" s="294"/>
      <c r="F684" s="294">
        <v>24.31</v>
      </c>
      <c r="G684" s="8">
        <f t="shared" si="125"/>
        <v>0</v>
      </c>
      <c r="H684" s="294">
        <f t="shared" si="126"/>
        <v>0</v>
      </c>
      <c r="I684" s="467"/>
      <c r="J684" s="302" t="s">
        <v>21</v>
      </c>
      <c r="K684" s="457" t="s">
        <v>113</v>
      </c>
      <c r="L684" s="457" t="s">
        <v>99</v>
      </c>
      <c r="M684" s="457" t="s">
        <v>32</v>
      </c>
      <c r="N684" s="468"/>
    </row>
    <row r="685" spans="1:14" s="469" customFormat="1" ht="14" outlineLevel="4">
      <c r="A685" s="470" t="s">
        <v>8</v>
      </c>
      <c r="B685" s="475" t="s">
        <v>1451</v>
      </c>
      <c r="C685" s="338" t="s">
        <v>148</v>
      </c>
      <c r="D685" s="294">
        <v>28</v>
      </c>
      <c r="E685" s="294">
        <v>8</v>
      </c>
      <c r="F685" s="294">
        <v>24.31</v>
      </c>
      <c r="G685" s="8">
        <f t="shared" si="125"/>
        <v>680.68</v>
      </c>
      <c r="H685" s="294">
        <f t="shared" si="126"/>
        <v>194.48</v>
      </c>
      <c r="I685" s="467"/>
      <c r="J685" s="302" t="s">
        <v>21</v>
      </c>
      <c r="K685" s="457" t="s">
        <v>113</v>
      </c>
      <c r="L685" s="457" t="s">
        <v>99</v>
      </c>
      <c r="M685" s="457" t="s">
        <v>32</v>
      </c>
      <c r="N685" s="468"/>
    </row>
    <row r="686" spans="1:14" s="469" customFormat="1" ht="14" outlineLevel="4">
      <c r="A686" s="470" t="s">
        <v>8</v>
      </c>
      <c r="B686" s="475" t="s">
        <v>840</v>
      </c>
      <c r="C686" s="338" t="s">
        <v>148</v>
      </c>
      <c r="D686" s="294"/>
      <c r="E686" s="294">
        <v>8</v>
      </c>
      <c r="F686" s="294">
        <v>24.31</v>
      </c>
      <c r="G686" s="8">
        <f t="shared" si="125"/>
        <v>0</v>
      </c>
      <c r="H686" s="294">
        <f t="shared" si="126"/>
        <v>194.48</v>
      </c>
      <c r="I686" s="467"/>
      <c r="J686" s="302" t="s">
        <v>21</v>
      </c>
      <c r="K686" s="457" t="s">
        <v>113</v>
      </c>
      <c r="L686" s="457" t="s">
        <v>99</v>
      </c>
      <c r="M686" s="457" t="s">
        <v>32</v>
      </c>
      <c r="N686" s="468"/>
    </row>
    <row r="687" spans="1:14" s="469" customFormat="1" ht="14" outlineLevel="4">
      <c r="A687" s="470" t="s">
        <v>8</v>
      </c>
      <c r="B687" s="475" t="s">
        <v>841</v>
      </c>
      <c r="C687" s="338" t="s">
        <v>148</v>
      </c>
      <c r="D687" s="294"/>
      <c r="E687" s="294"/>
      <c r="F687" s="294">
        <v>24.31</v>
      </c>
      <c r="G687" s="8">
        <f t="shared" si="125"/>
        <v>0</v>
      </c>
      <c r="H687" s="294">
        <f t="shared" si="126"/>
        <v>0</v>
      </c>
      <c r="I687" s="467"/>
      <c r="J687" s="302" t="s">
        <v>21</v>
      </c>
      <c r="K687" s="457" t="s">
        <v>113</v>
      </c>
      <c r="L687" s="457" t="s">
        <v>99</v>
      </c>
      <c r="M687" s="457" t="s">
        <v>32</v>
      </c>
      <c r="N687" s="468"/>
    </row>
    <row r="688" spans="1:14" s="469" customFormat="1" ht="14" outlineLevel="4">
      <c r="A688" s="470" t="s">
        <v>8</v>
      </c>
      <c r="B688" s="475" t="s">
        <v>842</v>
      </c>
      <c r="C688" s="338" t="s">
        <v>148</v>
      </c>
      <c r="D688" s="294"/>
      <c r="E688" s="294">
        <v>8</v>
      </c>
      <c r="F688" s="294">
        <v>24.31</v>
      </c>
      <c r="G688" s="8">
        <f t="shared" si="125"/>
        <v>0</v>
      </c>
      <c r="H688" s="294">
        <f t="shared" si="126"/>
        <v>194.48</v>
      </c>
      <c r="I688" s="467"/>
      <c r="J688" s="302" t="s">
        <v>21</v>
      </c>
      <c r="K688" s="457" t="s">
        <v>113</v>
      </c>
      <c r="L688" s="457" t="s">
        <v>99</v>
      </c>
      <c r="M688" s="457" t="s">
        <v>32</v>
      </c>
      <c r="N688" s="468"/>
    </row>
    <row r="689" spans="1:14" s="469" customFormat="1" ht="28" outlineLevel="4">
      <c r="A689" s="470" t="s">
        <v>8</v>
      </c>
      <c r="B689" s="475" t="s">
        <v>1452</v>
      </c>
      <c r="C689" s="338" t="s">
        <v>148</v>
      </c>
      <c r="D689" s="294">
        <v>31.36</v>
      </c>
      <c r="E689" s="294">
        <v>12.8</v>
      </c>
      <c r="F689" s="294">
        <v>37.4</v>
      </c>
      <c r="G689" s="8">
        <f t="shared" si="125"/>
        <v>1172.864</v>
      </c>
      <c r="H689" s="294">
        <f t="shared" si="126"/>
        <v>478.72</v>
      </c>
      <c r="I689" s="467"/>
      <c r="J689" s="302" t="s">
        <v>21</v>
      </c>
      <c r="K689" s="457" t="s">
        <v>113</v>
      </c>
      <c r="L689" s="457" t="s">
        <v>99</v>
      </c>
      <c r="M689" s="457" t="s">
        <v>32</v>
      </c>
      <c r="N689" s="468"/>
    </row>
    <row r="690" spans="1:14" s="469" customFormat="1" ht="26" outlineLevel="4">
      <c r="A690" s="470" t="s">
        <v>8</v>
      </c>
      <c r="B690" s="478" t="s">
        <v>1453</v>
      </c>
      <c r="C690" s="338" t="s">
        <v>148</v>
      </c>
      <c r="D690" s="479">
        <v>31.36</v>
      </c>
      <c r="E690" s="294">
        <v>12.8</v>
      </c>
      <c r="F690" s="294">
        <v>99</v>
      </c>
      <c r="G690" s="8">
        <f t="shared" si="125"/>
        <v>3104.64</v>
      </c>
      <c r="H690" s="294">
        <f t="shared" si="126"/>
        <v>1267.2</v>
      </c>
      <c r="I690" s="467"/>
      <c r="J690" s="302" t="s">
        <v>21</v>
      </c>
      <c r="K690" s="457" t="s">
        <v>113</v>
      </c>
      <c r="L690" s="457" t="s">
        <v>99</v>
      </c>
      <c r="M690" s="457" t="s">
        <v>32</v>
      </c>
      <c r="N690" s="468"/>
    </row>
    <row r="691" spans="1:14" s="469" customFormat="1" ht="28" outlineLevel="4">
      <c r="A691" s="470" t="s">
        <v>8</v>
      </c>
      <c r="B691" s="475" t="s">
        <v>1454</v>
      </c>
      <c r="C691" s="338" t="s">
        <v>148</v>
      </c>
      <c r="D691" s="294">
        <v>15.68</v>
      </c>
      <c r="E691" s="294">
        <v>6.4</v>
      </c>
      <c r="F691" s="294">
        <v>220</v>
      </c>
      <c r="G691" s="8">
        <f t="shared" si="125"/>
        <v>3449.6</v>
      </c>
      <c r="H691" s="294">
        <f t="shared" si="126"/>
        <v>1408</v>
      </c>
      <c r="I691" s="467"/>
      <c r="J691" s="302" t="s">
        <v>21</v>
      </c>
      <c r="K691" s="457" t="s">
        <v>113</v>
      </c>
      <c r="L691" s="457" t="s">
        <v>99</v>
      </c>
      <c r="M691" s="457" t="s">
        <v>32</v>
      </c>
      <c r="N691" s="468"/>
    </row>
    <row r="692" spans="1:14" s="469" customFormat="1" ht="28" outlineLevel="4">
      <c r="A692" s="470" t="s">
        <v>8</v>
      </c>
      <c r="B692" s="475" t="s">
        <v>1455</v>
      </c>
      <c r="C692" s="338" t="s">
        <v>148</v>
      </c>
      <c r="D692" s="294">
        <v>13.440000000000001</v>
      </c>
      <c r="E692" s="294">
        <v>12.8</v>
      </c>
      <c r="F692" s="294">
        <v>24.31</v>
      </c>
      <c r="G692" s="8">
        <f t="shared" si="125"/>
        <v>326.72640000000001</v>
      </c>
      <c r="H692" s="294">
        <f t="shared" si="126"/>
        <v>311.16800000000001</v>
      </c>
      <c r="I692" s="467"/>
      <c r="J692" s="302" t="s">
        <v>21</v>
      </c>
      <c r="K692" s="457" t="s">
        <v>113</v>
      </c>
      <c r="L692" s="457" t="s">
        <v>99</v>
      </c>
      <c r="M692" s="457" t="s">
        <v>32</v>
      </c>
      <c r="N692" s="468"/>
    </row>
    <row r="693" spans="1:14" s="469" customFormat="1" ht="28" outlineLevel="4">
      <c r="A693" s="470" t="s">
        <v>8</v>
      </c>
      <c r="B693" s="475" t="s">
        <v>1456</v>
      </c>
      <c r="C693" s="338" t="s">
        <v>148</v>
      </c>
      <c r="D693" s="294">
        <v>13.440000000000001</v>
      </c>
      <c r="E693" s="294">
        <v>12.8</v>
      </c>
      <c r="F693" s="294">
        <v>66</v>
      </c>
      <c r="G693" s="8">
        <f t="shared" si="125"/>
        <v>887.04000000000008</v>
      </c>
      <c r="H693" s="294">
        <f t="shared" si="126"/>
        <v>844.80000000000007</v>
      </c>
      <c r="I693" s="467"/>
      <c r="J693" s="302" t="s">
        <v>21</v>
      </c>
      <c r="K693" s="457" t="s">
        <v>113</v>
      </c>
      <c r="L693" s="457" t="s">
        <v>99</v>
      </c>
      <c r="M693" s="457" t="s">
        <v>32</v>
      </c>
      <c r="N693" s="468"/>
    </row>
    <row r="694" spans="1:14" s="469" customFormat="1" ht="28" outlineLevel="4">
      <c r="A694" s="470" t="s">
        <v>8</v>
      </c>
      <c r="B694" s="475" t="s">
        <v>1457</v>
      </c>
      <c r="C694" s="338" t="s">
        <v>148</v>
      </c>
      <c r="D694" s="294">
        <v>6.7200000000000006</v>
      </c>
      <c r="E694" s="294">
        <v>6.4</v>
      </c>
      <c r="F694" s="294">
        <v>140</v>
      </c>
      <c r="G694" s="8">
        <f t="shared" si="125"/>
        <v>940.80000000000007</v>
      </c>
      <c r="H694" s="294">
        <f t="shared" si="126"/>
        <v>896</v>
      </c>
      <c r="I694" s="467"/>
      <c r="J694" s="302" t="s">
        <v>21</v>
      </c>
      <c r="K694" s="457" t="s">
        <v>113</v>
      </c>
      <c r="L694" s="457" t="s">
        <v>99</v>
      </c>
      <c r="M694" s="457" t="s">
        <v>32</v>
      </c>
      <c r="N694" s="468"/>
    </row>
    <row r="695" spans="1:14" s="469" customFormat="1" ht="14" outlineLevel="4">
      <c r="A695" s="470" t="s">
        <v>8</v>
      </c>
      <c r="B695" s="475" t="s">
        <v>918</v>
      </c>
      <c r="C695" s="338" t="s">
        <v>148</v>
      </c>
      <c r="D695" s="294">
        <v>56</v>
      </c>
      <c r="E695" s="294">
        <v>48</v>
      </c>
      <c r="F695" s="294">
        <v>37.549999999999997</v>
      </c>
      <c r="G695" s="8">
        <f t="shared" si="125"/>
        <v>2102.7999999999997</v>
      </c>
      <c r="H695" s="294">
        <f t="shared" si="126"/>
        <v>1802.3999999999999</v>
      </c>
      <c r="I695" s="467"/>
      <c r="J695" s="302" t="s">
        <v>21</v>
      </c>
      <c r="K695" s="457" t="s">
        <v>113</v>
      </c>
      <c r="L695" s="457" t="s">
        <v>99</v>
      </c>
      <c r="M695" s="457" t="s">
        <v>32</v>
      </c>
      <c r="N695" s="468"/>
    </row>
    <row r="696" spans="1:14" s="469" customFormat="1" ht="14" outlineLevel="4">
      <c r="A696" s="470" t="s">
        <v>8</v>
      </c>
      <c r="B696" s="475" t="s">
        <v>853</v>
      </c>
      <c r="C696" s="338" t="s">
        <v>880</v>
      </c>
      <c r="D696" s="294"/>
      <c r="E696" s="294">
        <v>88</v>
      </c>
      <c r="F696" s="294">
        <v>5</v>
      </c>
      <c r="G696" s="8">
        <f t="shared" si="125"/>
        <v>0</v>
      </c>
      <c r="H696" s="294">
        <f t="shared" si="126"/>
        <v>440</v>
      </c>
      <c r="I696" s="467"/>
      <c r="J696" s="302" t="s">
        <v>21</v>
      </c>
      <c r="K696" s="457" t="s">
        <v>113</v>
      </c>
      <c r="L696" s="457" t="s">
        <v>99</v>
      </c>
      <c r="M696" s="457" t="s">
        <v>32</v>
      </c>
      <c r="N696" s="468"/>
    </row>
    <row r="697" spans="1:14" s="459" customFormat="1" ht="14" outlineLevel="3">
      <c r="A697" s="452">
        <v>8</v>
      </c>
      <c r="B697" s="677" t="s">
        <v>1353</v>
      </c>
      <c r="C697" s="454"/>
      <c r="D697" s="455"/>
      <c r="E697" s="455"/>
      <c r="F697" s="455"/>
      <c r="G697" s="455">
        <f>SUBTOTAL(9,G698)</f>
        <v>150000</v>
      </c>
      <c r="H697" s="455">
        <f>SUBTOTAL(9,H698)</f>
        <v>0</v>
      </c>
      <c r="I697" s="462"/>
      <c r="J697" s="302" t="s">
        <v>21</v>
      </c>
      <c r="K697" s="457"/>
      <c r="L697" s="457"/>
      <c r="M697" s="303" t="s">
        <v>32</v>
      </c>
      <c r="N697" s="458"/>
    </row>
    <row r="698" spans="1:14" s="469" customFormat="1" ht="14" outlineLevel="4">
      <c r="A698" s="470" t="s">
        <v>8</v>
      </c>
      <c r="B698" s="676" t="s">
        <v>1352</v>
      </c>
      <c r="C698" s="235" t="s">
        <v>424</v>
      </c>
      <c r="D698" s="233">
        <v>1</v>
      </c>
      <c r="E698" s="294"/>
      <c r="F698" s="294">
        <v>150000</v>
      </c>
      <c r="G698" s="8">
        <f t="shared" ref="G698" si="127">F698*D698</f>
        <v>150000</v>
      </c>
      <c r="H698" s="294">
        <f t="shared" ref="H698" si="128">F698*E698</f>
        <v>0</v>
      </c>
      <c r="I698" s="467"/>
      <c r="J698" s="302" t="s">
        <v>21</v>
      </c>
      <c r="K698" s="457" t="s">
        <v>113</v>
      </c>
      <c r="L698" s="457" t="s">
        <v>99</v>
      </c>
      <c r="M698" s="457" t="s">
        <v>32</v>
      </c>
      <c r="N698" s="468"/>
    </row>
    <row r="699" spans="1:14" s="459" customFormat="1" ht="15" customHeight="1" outlineLevel="2">
      <c r="A699" s="452" t="s">
        <v>43</v>
      </c>
      <c r="B699" s="460" t="s">
        <v>247</v>
      </c>
      <c r="C699" s="464"/>
      <c r="D699" s="385"/>
      <c r="E699" s="385"/>
      <c r="F699" s="385"/>
      <c r="G699" s="385">
        <f>SUBTOTAL(9,G700:G727)</f>
        <v>1730994.6999999997</v>
      </c>
      <c r="H699" s="385">
        <f>SUBTOTAL(9,H700:H727)</f>
        <v>1650644.3</v>
      </c>
      <c r="I699" s="385"/>
      <c r="J699" s="302" t="s">
        <v>21</v>
      </c>
      <c r="K699" s="457"/>
      <c r="L699" s="457"/>
      <c r="M699" s="457" t="s">
        <v>32</v>
      </c>
      <c r="N699" s="458"/>
    </row>
    <row r="700" spans="1:14" s="459" customFormat="1" ht="14" outlineLevel="5">
      <c r="A700" s="452">
        <v>1</v>
      </c>
      <c r="B700" s="476" t="s">
        <v>248</v>
      </c>
      <c r="C700" s="464"/>
      <c r="D700" s="385"/>
      <c r="E700" s="385"/>
      <c r="F700" s="385"/>
      <c r="G700" s="385">
        <f>SUBTOTAL(9,G701:G716)</f>
        <v>1381736.4999999998</v>
      </c>
      <c r="H700" s="385">
        <f>SUBTOTAL(9,H701:H716)</f>
        <v>1530554.3</v>
      </c>
      <c r="I700" s="385"/>
      <c r="J700" s="302" t="s">
        <v>21</v>
      </c>
      <c r="K700" s="457"/>
      <c r="L700" s="457"/>
      <c r="M700" s="457" t="s">
        <v>32</v>
      </c>
      <c r="N700" s="458"/>
    </row>
    <row r="701" spans="1:14" s="469" customFormat="1" ht="14" outlineLevel="5">
      <c r="A701" s="470" t="s">
        <v>8</v>
      </c>
      <c r="B701" s="471" t="s">
        <v>859</v>
      </c>
      <c r="C701" s="338" t="s">
        <v>24</v>
      </c>
      <c r="D701" s="294">
        <v>0</v>
      </c>
      <c r="E701" s="294"/>
      <c r="F701" s="294">
        <v>15435</v>
      </c>
      <c r="G701" s="8">
        <f t="shared" ref="G701:G716" si="129">F701*D701</f>
        <v>0</v>
      </c>
      <c r="H701" s="294">
        <f t="shared" ref="H701:H708" si="130">F701*E701</f>
        <v>0</v>
      </c>
      <c r="I701" s="467"/>
      <c r="J701" s="302" t="s">
        <v>21</v>
      </c>
      <c r="K701" s="457" t="s">
        <v>134</v>
      </c>
      <c r="L701" s="457" t="s">
        <v>99</v>
      </c>
      <c r="M701" s="457" t="s">
        <v>32</v>
      </c>
      <c r="N701" s="468"/>
    </row>
    <row r="702" spans="1:14" s="469" customFormat="1" ht="14" outlineLevel="5">
      <c r="A702" s="470" t="s">
        <v>8</v>
      </c>
      <c r="B702" s="471" t="s">
        <v>860</v>
      </c>
      <c r="C702" s="338" t="s">
        <v>15</v>
      </c>
      <c r="D702" s="294">
        <v>0</v>
      </c>
      <c r="E702" s="294"/>
      <c r="F702" s="294">
        <v>2800</v>
      </c>
      <c r="G702" s="8">
        <f t="shared" si="129"/>
        <v>0</v>
      </c>
      <c r="H702" s="294">
        <f t="shared" si="130"/>
        <v>0</v>
      </c>
      <c r="I702" s="467"/>
      <c r="J702" s="302" t="s">
        <v>21</v>
      </c>
      <c r="K702" s="457" t="s">
        <v>134</v>
      </c>
      <c r="L702" s="457" t="s">
        <v>99</v>
      </c>
      <c r="M702" s="457" t="s">
        <v>32</v>
      </c>
      <c r="N702" s="468"/>
    </row>
    <row r="703" spans="1:14" s="469" customFormat="1" ht="14" outlineLevel="5">
      <c r="A703" s="470" t="s">
        <v>8</v>
      </c>
      <c r="B703" s="471" t="s">
        <v>861</v>
      </c>
      <c r="C703" s="338" t="s">
        <v>15</v>
      </c>
      <c r="D703" s="294">
        <v>0</v>
      </c>
      <c r="E703" s="294"/>
      <c r="F703" s="294">
        <v>9744</v>
      </c>
      <c r="G703" s="8">
        <f t="shared" si="129"/>
        <v>0</v>
      </c>
      <c r="H703" s="294">
        <f t="shared" si="130"/>
        <v>0</v>
      </c>
      <c r="I703" s="467"/>
      <c r="J703" s="302" t="s">
        <v>21</v>
      </c>
      <c r="K703" s="457" t="s">
        <v>134</v>
      </c>
      <c r="L703" s="457" t="s">
        <v>99</v>
      </c>
      <c r="M703" s="457" t="s">
        <v>32</v>
      </c>
      <c r="N703" s="468"/>
    </row>
    <row r="704" spans="1:14" s="469" customFormat="1" ht="14" outlineLevel="5">
      <c r="A704" s="470" t="s">
        <v>8</v>
      </c>
      <c r="B704" s="471" t="s">
        <v>848</v>
      </c>
      <c r="C704" s="338" t="s">
        <v>15</v>
      </c>
      <c r="D704" s="294">
        <v>21</v>
      </c>
      <c r="E704" s="294">
        <v>15</v>
      </c>
      <c r="F704" s="294">
        <v>27636</v>
      </c>
      <c r="G704" s="8">
        <f t="shared" si="129"/>
        <v>580356</v>
      </c>
      <c r="H704" s="294">
        <f t="shared" si="130"/>
        <v>414540</v>
      </c>
      <c r="I704" s="467"/>
      <c r="J704" s="302" t="s">
        <v>21</v>
      </c>
      <c r="K704" s="457" t="s">
        <v>134</v>
      </c>
      <c r="L704" s="457" t="s">
        <v>99</v>
      </c>
      <c r="M704" s="457" t="s">
        <v>32</v>
      </c>
      <c r="N704" s="468"/>
    </row>
    <row r="705" spans="1:14" s="469" customFormat="1" ht="14" outlineLevel="5">
      <c r="A705" s="470" t="s">
        <v>8</v>
      </c>
      <c r="B705" s="471" t="s">
        <v>849</v>
      </c>
      <c r="C705" s="338" t="s">
        <v>24</v>
      </c>
      <c r="D705" s="294">
        <v>38</v>
      </c>
      <c r="E705" s="294">
        <v>30</v>
      </c>
      <c r="F705" s="294">
        <v>5370.75</v>
      </c>
      <c r="G705" s="8">
        <f t="shared" si="129"/>
        <v>204088.5</v>
      </c>
      <c r="H705" s="294">
        <f t="shared" si="130"/>
        <v>161122.5</v>
      </c>
      <c r="I705" s="467"/>
      <c r="J705" s="302" t="s">
        <v>21</v>
      </c>
      <c r="K705" s="457" t="s">
        <v>134</v>
      </c>
      <c r="L705" s="457" t="s">
        <v>99</v>
      </c>
      <c r="M705" s="457" t="s">
        <v>32</v>
      </c>
      <c r="N705" s="468"/>
    </row>
    <row r="706" spans="1:14" s="469" customFormat="1" ht="14" outlineLevel="5">
      <c r="A706" s="470" t="s">
        <v>8</v>
      </c>
      <c r="B706" s="471" t="s">
        <v>862</v>
      </c>
      <c r="C706" s="338" t="s">
        <v>15</v>
      </c>
      <c r="D706" s="294">
        <v>8</v>
      </c>
      <c r="E706" s="294">
        <v>14</v>
      </c>
      <c r="F706" s="294">
        <v>59910.9</v>
      </c>
      <c r="G706" s="8">
        <f t="shared" si="129"/>
        <v>479287.2</v>
      </c>
      <c r="H706" s="294">
        <f t="shared" si="130"/>
        <v>838752.6</v>
      </c>
      <c r="I706" s="467"/>
      <c r="J706" s="302" t="s">
        <v>21</v>
      </c>
      <c r="K706" s="457" t="s">
        <v>134</v>
      </c>
      <c r="L706" s="457" t="s">
        <v>99</v>
      </c>
      <c r="M706" s="457" t="s">
        <v>32</v>
      </c>
      <c r="N706" s="468"/>
    </row>
    <row r="707" spans="1:14" s="469" customFormat="1" ht="14" outlineLevel="5">
      <c r="A707" s="470" t="s">
        <v>8</v>
      </c>
      <c r="B707" s="471" t="s">
        <v>845</v>
      </c>
      <c r="C707" s="338" t="s">
        <v>15</v>
      </c>
      <c r="D707" s="294">
        <v>0</v>
      </c>
      <c r="E707" s="294"/>
      <c r="F707" s="294">
        <v>56</v>
      </c>
      <c r="G707" s="8">
        <f t="shared" si="129"/>
        <v>0</v>
      </c>
      <c r="H707" s="294">
        <f t="shared" si="130"/>
        <v>0</v>
      </c>
      <c r="I707" s="467"/>
      <c r="J707" s="302" t="s">
        <v>21</v>
      </c>
      <c r="K707" s="457" t="s">
        <v>134</v>
      </c>
      <c r="L707" s="457" t="s">
        <v>99</v>
      </c>
      <c r="M707" s="457" t="s">
        <v>32</v>
      </c>
      <c r="N707" s="468"/>
    </row>
    <row r="708" spans="1:14" s="469" customFormat="1" ht="14" outlineLevel="5">
      <c r="A708" s="470" t="s">
        <v>8</v>
      </c>
      <c r="B708" s="471" t="s">
        <v>846</v>
      </c>
      <c r="C708" s="338" t="s">
        <v>15</v>
      </c>
      <c r="D708" s="294">
        <v>0</v>
      </c>
      <c r="E708" s="294"/>
      <c r="F708" s="294">
        <v>382</v>
      </c>
      <c r="G708" s="8">
        <f t="shared" si="129"/>
        <v>0</v>
      </c>
      <c r="H708" s="294">
        <f t="shared" si="130"/>
        <v>0</v>
      </c>
      <c r="I708" s="467"/>
      <c r="J708" s="302" t="s">
        <v>21</v>
      </c>
      <c r="K708" s="457" t="s">
        <v>134</v>
      </c>
      <c r="L708" s="457" t="s">
        <v>99</v>
      </c>
      <c r="M708" s="457" t="s">
        <v>32</v>
      </c>
      <c r="N708" s="468"/>
    </row>
    <row r="709" spans="1:14" s="469" customFormat="1" ht="14" outlineLevel="5">
      <c r="A709" s="470" t="s">
        <v>8</v>
      </c>
      <c r="B709" s="471" t="s">
        <v>847</v>
      </c>
      <c r="C709" s="338" t="s">
        <v>24</v>
      </c>
      <c r="D709" s="294">
        <v>0</v>
      </c>
      <c r="E709" s="294"/>
      <c r="F709" s="294">
        <v>515</v>
      </c>
      <c r="G709" s="8">
        <f t="shared" si="129"/>
        <v>0</v>
      </c>
      <c r="H709" s="294">
        <f t="shared" ref="H709:H712" si="131">F709*E709</f>
        <v>0</v>
      </c>
      <c r="I709" s="467"/>
      <c r="J709" s="302" t="s">
        <v>21</v>
      </c>
      <c r="K709" s="457" t="s">
        <v>134</v>
      </c>
      <c r="L709" s="457" t="s">
        <v>99</v>
      </c>
      <c r="M709" s="457" t="s">
        <v>32</v>
      </c>
      <c r="N709" s="468"/>
    </row>
    <row r="710" spans="1:14" s="469" customFormat="1" ht="14" outlineLevel="5">
      <c r="A710" s="470" t="s">
        <v>8</v>
      </c>
      <c r="B710" s="471" t="s">
        <v>850</v>
      </c>
      <c r="C710" s="338" t="s">
        <v>15</v>
      </c>
      <c r="D710" s="294">
        <v>76</v>
      </c>
      <c r="E710" s="294">
        <v>60</v>
      </c>
      <c r="F710" s="294">
        <v>135</v>
      </c>
      <c r="G710" s="8">
        <f t="shared" si="129"/>
        <v>10260</v>
      </c>
      <c r="H710" s="294">
        <f t="shared" si="131"/>
        <v>8100</v>
      </c>
      <c r="I710" s="467"/>
      <c r="J710" s="302" t="s">
        <v>21</v>
      </c>
      <c r="K710" s="457" t="s">
        <v>134</v>
      </c>
      <c r="L710" s="457" t="s">
        <v>99</v>
      </c>
      <c r="M710" s="457" t="s">
        <v>32</v>
      </c>
      <c r="N710" s="468"/>
    </row>
    <row r="711" spans="1:14" s="469" customFormat="1" ht="14" outlineLevel="5">
      <c r="A711" s="470" t="s">
        <v>8</v>
      </c>
      <c r="B711" s="471" t="s">
        <v>851</v>
      </c>
      <c r="C711" s="338" t="s">
        <v>15</v>
      </c>
      <c r="D711" s="294">
        <v>45.599999999999994</v>
      </c>
      <c r="E711" s="294">
        <v>36</v>
      </c>
      <c r="F711" s="294">
        <v>459</v>
      </c>
      <c r="G711" s="8">
        <f t="shared" si="129"/>
        <v>20930.399999999998</v>
      </c>
      <c r="H711" s="294">
        <f t="shared" si="131"/>
        <v>16524</v>
      </c>
      <c r="I711" s="467"/>
      <c r="J711" s="302" t="s">
        <v>21</v>
      </c>
      <c r="K711" s="457" t="s">
        <v>134</v>
      </c>
      <c r="L711" s="457" t="s">
        <v>99</v>
      </c>
      <c r="M711" s="457" t="s">
        <v>32</v>
      </c>
      <c r="N711" s="468"/>
    </row>
    <row r="712" spans="1:14" s="469" customFormat="1" ht="14" outlineLevel="5">
      <c r="A712" s="470" t="s">
        <v>8</v>
      </c>
      <c r="B712" s="471" t="s">
        <v>852</v>
      </c>
      <c r="C712" s="338" t="s">
        <v>15</v>
      </c>
      <c r="D712" s="294">
        <v>30.400000000000002</v>
      </c>
      <c r="E712" s="294">
        <v>24</v>
      </c>
      <c r="F712" s="294">
        <v>895</v>
      </c>
      <c r="G712" s="8">
        <f t="shared" si="129"/>
        <v>27208.000000000004</v>
      </c>
      <c r="H712" s="294">
        <f t="shared" si="131"/>
        <v>21480</v>
      </c>
      <c r="I712" s="467"/>
      <c r="J712" s="302" t="s">
        <v>21</v>
      </c>
      <c r="K712" s="457" t="s">
        <v>134</v>
      </c>
      <c r="L712" s="457" t="s">
        <v>99</v>
      </c>
      <c r="M712" s="457" t="s">
        <v>32</v>
      </c>
      <c r="N712" s="468"/>
    </row>
    <row r="713" spans="1:14" s="469" customFormat="1" ht="14" outlineLevel="5">
      <c r="A713" s="470" t="s">
        <v>8</v>
      </c>
      <c r="B713" s="471" t="s">
        <v>863</v>
      </c>
      <c r="C713" s="338" t="s">
        <v>24</v>
      </c>
      <c r="D713" s="294">
        <v>27.2</v>
      </c>
      <c r="E713" s="294">
        <v>47.6</v>
      </c>
      <c r="F713" s="294">
        <v>582</v>
      </c>
      <c r="G713" s="8">
        <f t="shared" si="129"/>
        <v>15830.4</v>
      </c>
      <c r="H713" s="294">
        <f t="shared" ref="H713:H716" si="132">F713*E713</f>
        <v>27703.200000000001</v>
      </c>
      <c r="I713" s="467"/>
      <c r="J713" s="302" t="s">
        <v>21</v>
      </c>
      <c r="K713" s="457" t="s">
        <v>134</v>
      </c>
      <c r="L713" s="457" t="s">
        <v>99</v>
      </c>
      <c r="M713" s="457" t="s">
        <v>32</v>
      </c>
      <c r="N713" s="468"/>
    </row>
    <row r="714" spans="1:14" s="469" customFormat="1" ht="14" outlineLevel="5">
      <c r="A714" s="470" t="s">
        <v>8</v>
      </c>
      <c r="B714" s="471" t="s">
        <v>864</v>
      </c>
      <c r="C714" s="338" t="s">
        <v>15</v>
      </c>
      <c r="D714" s="294">
        <v>4</v>
      </c>
      <c r="E714" s="294">
        <v>5.6000000000000005</v>
      </c>
      <c r="F714" s="294">
        <v>3780</v>
      </c>
      <c r="G714" s="8">
        <f t="shared" si="129"/>
        <v>15120</v>
      </c>
      <c r="H714" s="294">
        <f t="shared" si="132"/>
        <v>21168.000000000004</v>
      </c>
      <c r="I714" s="467"/>
      <c r="J714" s="302" t="s">
        <v>21</v>
      </c>
      <c r="K714" s="457" t="s">
        <v>134</v>
      </c>
      <c r="L714" s="457" t="s">
        <v>99</v>
      </c>
      <c r="M714" s="457" t="s">
        <v>32</v>
      </c>
      <c r="N714" s="468"/>
    </row>
    <row r="715" spans="1:14" s="469" customFormat="1" ht="14" outlineLevel="5">
      <c r="A715" s="470" t="s">
        <v>8</v>
      </c>
      <c r="B715" s="471" t="s">
        <v>865</v>
      </c>
      <c r="C715" s="338" t="s">
        <v>15</v>
      </c>
      <c r="D715" s="294">
        <v>4</v>
      </c>
      <c r="E715" s="294">
        <v>2.8000000000000003</v>
      </c>
      <c r="F715" s="294">
        <v>6930</v>
      </c>
      <c r="G715" s="8">
        <f t="shared" si="129"/>
        <v>27720</v>
      </c>
      <c r="H715" s="294">
        <f t="shared" si="132"/>
        <v>19404.000000000004</v>
      </c>
      <c r="I715" s="467"/>
      <c r="J715" s="302" t="s">
        <v>21</v>
      </c>
      <c r="K715" s="457" t="s">
        <v>134</v>
      </c>
      <c r="L715" s="457" t="s">
        <v>99</v>
      </c>
      <c r="M715" s="457" t="s">
        <v>32</v>
      </c>
      <c r="N715" s="468"/>
    </row>
    <row r="716" spans="1:14" s="469" customFormat="1" ht="14" outlineLevel="5">
      <c r="A716" s="470" t="s">
        <v>8</v>
      </c>
      <c r="B716" s="471" t="s">
        <v>853</v>
      </c>
      <c r="C716" s="338" t="s">
        <v>15</v>
      </c>
      <c r="D716" s="294">
        <v>187.2</v>
      </c>
      <c r="E716" s="294">
        <v>352</v>
      </c>
      <c r="F716" s="294">
        <v>5</v>
      </c>
      <c r="G716" s="8">
        <f t="shared" si="129"/>
        <v>936</v>
      </c>
      <c r="H716" s="294">
        <f t="shared" si="132"/>
        <v>1760</v>
      </c>
      <c r="I716" s="467"/>
      <c r="J716" s="302" t="s">
        <v>21</v>
      </c>
      <c r="K716" s="457" t="s">
        <v>134</v>
      </c>
      <c r="L716" s="457" t="s">
        <v>99</v>
      </c>
      <c r="M716" s="457" t="s">
        <v>32</v>
      </c>
      <c r="N716" s="468"/>
    </row>
    <row r="717" spans="1:14" s="459" customFormat="1" ht="14" outlineLevel="5">
      <c r="A717" s="452">
        <v>2</v>
      </c>
      <c r="B717" s="476" t="s">
        <v>249</v>
      </c>
      <c r="C717" s="464"/>
      <c r="D717" s="385"/>
      <c r="E717" s="385"/>
      <c r="F717" s="385"/>
      <c r="G717" s="385">
        <f>SUBTOTAL(9,G718:G727)</f>
        <v>349258.2</v>
      </c>
      <c r="H717" s="385">
        <f>SUBTOTAL(9,H718:H727)</f>
        <v>120090</v>
      </c>
      <c r="I717" s="385"/>
      <c r="J717" s="302" t="s">
        <v>21</v>
      </c>
      <c r="K717" s="457"/>
      <c r="L717" s="457"/>
      <c r="M717" s="457" t="s">
        <v>32</v>
      </c>
      <c r="N717" s="458"/>
    </row>
    <row r="718" spans="1:14" s="469" customFormat="1" ht="14" outlineLevel="5">
      <c r="A718" s="470" t="s">
        <v>8</v>
      </c>
      <c r="B718" s="471" t="s">
        <v>866</v>
      </c>
      <c r="C718" s="338" t="s">
        <v>24</v>
      </c>
      <c r="D718" s="294">
        <v>0</v>
      </c>
      <c r="E718" s="294"/>
      <c r="F718" s="294">
        <v>14197</v>
      </c>
      <c r="G718" s="8">
        <f t="shared" ref="G718:G727" si="133">F718*D718</f>
        <v>0</v>
      </c>
      <c r="H718" s="294">
        <f t="shared" ref="H718:H727" si="134">F718*E718</f>
        <v>0</v>
      </c>
      <c r="I718" s="467"/>
      <c r="J718" s="302" t="s">
        <v>21</v>
      </c>
      <c r="K718" s="457" t="s">
        <v>134</v>
      </c>
      <c r="L718" s="457" t="s">
        <v>99</v>
      </c>
      <c r="M718" s="457" t="s">
        <v>32</v>
      </c>
      <c r="N718" s="468"/>
    </row>
    <row r="719" spans="1:14" s="469" customFormat="1" ht="14" outlineLevel="5">
      <c r="A719" s="470" t="s">
        <v>8</v>
      </c>
      <c r="B719" s="471" t="s">
        <v>867</v>
      </c>
      <c r="C719" s="338" t="s">
        <v>15</v>
      </c>
      <c r="D719" s="294">
        <v>17</v>
      </c>
      <c r="E719" s="294">
        <v>6</v>
      </c>
      <c r="F719" s="294">
        <v>18244</v>
      </c>
      <c r="G719" s="8">
        <f t="shared" si="133"/>
        <v>310148</v>
      </c>
      <c r="H719" s="294">
        <f t="shared" si="134"/>
        <v>109464</v>
      </c>
      <c r="I719" s="467"/>
      <c r="J719" s="302" t="s">
        <v>21</v>
      </c>
      <c r="K719" s="457" t="s">
        <v>134</v>
      </c>
      <c r="L719" s="457" t="s">
        <v>99</v>
      </c>
      <c r="M719" s="457" t="s">
        <v>32</v>
      </c>
      <c r="N719" s="468"/>
    </row>
    <row r="720" spans="1:14" s="469" customFormat="1" ht="14" outlineLevel="5">
      <c r="A720" s="470" t="s">
        <v>8</v>
      </c>
      <c r="B720" s="471" t="s">
        <v>868</v>
      </c>
      <c r="C720" s="338" t="s">
        <v>15</v>
      </c>
      <c r="D720" s="294">
        <v>0</v>
      </c>
      <c r="E720" s="294"/>
      <c r="F720" s="294">
        <v>8212.99</v>
      </c>
      <c r="G720" s="8">
        <f t="shared" si="133"/>
        <v>0</v>
      </c>
      <c r="H720" s="294">
        <f t="shared" si="134"/>
        <v>0</v>
      </c>
      <c r="I720" s="467"/>
      <c r="J720" s="302" t="s">
        <v>21</v>
      </c>
      <c r="K720" s="457" t="s">
        <v>134</v>
      </c>
      <c r="L720" s="457" t="s">
        <v>99</v>
      </c>
      <c r="M720" s="457" t="s">
        <v>32</v>
      </c>
      <c r="N720" s="468"/>
    </row>
    <row r="721" spans="1:14" s="469" customFormat="1" ht="14" outlineLevel="5">
      <c r="A721" s="470" t="s">
        <v>8</v>
      </c>
      <c r="B721" s="471" t="s">
        <v>856</v>
      </c>
      <c r="C721" s="338" t="s">
        <v>15</v>
      </c>
      <c r="D721" s="294">
        <v>0</v>
      </c>
      <c r="E721" s="294">
        <v>0</v>
      </c>
      <c r="F721" s="294">
        <v>52</v>
      </c>
      <c r="G721" s="8">
        <f t="shared" si="133"/>
        <v>0</v>
      </c>
      <c r="H721" s="294">
        <f t="shared" si="134"/>
        <v>0</v>
      </c>
      <c r="I721" s="467"/>
      <c r="J721" s="302" t="s">
        <v>21</v>
      </c>
      <c r="K721" s="457" t="s">
        <v>134</v>
      </c>
      <c r="L721" s="457" t="s">
        <v>99</v>
      </c>
      <c r="M721" s="457" t="s">
        <v>32</v>
      </c>
      <c r="N721" s="468"/>
    </row>
    <row r="722" spans="1:14" s="469" customFormat="1" ht="14" outlineLevel="5">
      <c r="A722" s="470" t="s">
        <v>8</v>
      </c>
      <c r="B722" s="471" t="s">
        <v>857</v>
      </c>
      <c r="C722" s="338" t="s">
        <v>24</v>
      </c>
      <c r="D722" s="294">
        <v>0</v>
      </c>
      <c r="E722" s="294">
        <v>0</v>
      </c>
      <c r="F722" s="294">
        <v>132</v>
      </c>
      <c r="G722" s="8">
        <f t="shared" si="133"/>
        <v>0</v>
      </c>
      <c r="H722" s="294">
        <f t="shared" si="134"/>
        <v>0</v>
      </c>
      <c r="I722" s="467"/>
      <c r="J722" s="302" t="s">
        <v>21</v>
      </c>
      <c r="K722" s="457" t="s">
        <v>134</v>
      </c>
      <c r="L722" s="457" t="s">
        <v>99</v>
      </c>
      <c r="M722" s="457" t="s">
        <v>32</v>
      </c>
      <c r="N722" s="468"/>
    </row>
    <row r="723" spans="1:14" s="469" customFormat="1" ht="14" outlineLevel="5">
      <c r="A723" s="470" t="s">
        <v>8</v>
      </c>
      <c r="B723" s="471" t="s">
        <v>858</v>
      </c>
      <c r="C723" s="338" t="s">
        <v>15</v>
      </c>
      <c r="D723" s="294">
        <v>0</v>
      </c>
      <c r="E723" s="294">
        <v>0</v>
      </c>
      <c r="F723" s="294">
        <v>269</v>
      </c>
      <c r="G723" s="8">
        <f t="shared" si="133"/>
        <v>0</v>
      </c>
      <c r="H723" s="294">
        <f t="shared" si="134"/>
        <v>0</v>
      </c>
      <c r="I723" s="467"/>
      <c r="J723" s="302" t="s">
        <v>21</v>
      </c>
      <c r="K723" s="457" t="s">
        <v>134</v>
      </c>
      <c r="L723" s="457" t="s">
        <v>99</v>
      </c>
      <c r="M723" s="457" t="s">
        <v>32</v>
      </c>
      <c r="N723" s="468"/>
    </row>
    <row r="724" spans="1:14" s="469" customFormat="1" ht="14" outlineLevel="5">
      <c r="A724" s="470" t="s">
        <v>8</v>
      </c>
      <c r="B724" s="471" t="s">
        <v>869</v>
      </c>
      <c r="C724" s="338" t="s">
        <v>15</v>
      </c>
      <c r="D724" s="294">
        <v>10.199999999999999</v>
      </c>
      <c r="E724" s="294">
        <v>6</v>
      </c>
      <c r="F724" s="294">
        <v>151</v>
      </c>
      <c r="G724" s="8">
        <f t="shared" si="133"/>
        <v>1540.1999999999998</v>
      </c>
      <c r="H724" s="294">
        <f t="shared" si="134"/>
        <v>906</v>
      </c>
      <c r="I724" s="467"/>
      <c r="J724" s="302" t="s">
        <v>21</v>
      </c>
      <c r="K724" s="457" t="s">
        <v>134</v>
      </c>
      <c r="L724" s="457" t="s">
        <v>99</v>
      </c>
      <c r="M724" s="457" t="s">
        <v>32</v>
      </c>
      <c r="N724" s="468"/>
    </row>
    <row r="725" spans="1:14" s="469" customFormat="1" ht="14" outlineLevel="5">
      <c r="A725" s="470" t="s">
        <v>8</v>
      </c>
      <c r="B725" s="471" t="s">
        <v>870</v>
      </c>
      <c r="C725" s="338" t="s">
        <v>15</v>
      </c>
      <c r="D725" s="294">
        <v>17</v>
      </c>
      <c r="E725" s="294">
        <v>4</v>
      </c>
      <c r="F725" s="294">
        <v>1400</v>
      </c>
      <c r="G725" s="8">
        <f t="shared" si="133"/>
        <v>23800</v>
      </c>
      <c r="H725" s="294">
        <f t="shared" si="134"/>
        <v>5600</v>
      </c>
      <c r="I725" s="467"/>
      <c r="J725" s="302" t="s">
        <v>21</v>
      </c>
      <c r="K725" s="457" t="s">
        <v>134</v>
      </c>
      <c r="L725" s="457" t="s">
        <v>99</v>
      </c>
      <c r="M725" s="457" t="s">
        <v>32</v>
      </c>
      <c r="N725" s="468"/>
    </row>
    <row r="726" spans="1:14" s="469" customFormat="1" ht="14" outlineLevel="5">
      <c r="A726" s="470" t="s">
        <v>8</v>
      </c>
      <c r="B726" s="471" t="s">
        <v>871</v>
      </c>
      <c r="C726" s="338" t="s">
        <v>24</v>
      </c>
      <c r="D726" s="294">
        <v>6.8000000000000007</v>
      </c>
      <c r="E726" s="294">
        <v>2</v>
      </c>
      <c r="F726" s="294">
        <v>2000</v>
      </c>
      <c r="G726" s="8">
        <f t="shared" si="133"/>
        <v>13600.000000000002</v>
      </c>
      <c r="H726" s="294">
        <f t="shared" si="134"/>
        <v>4000</v>
      </c>
      <c r="I726" s="467"/>
      <c r="J726" s="302" t="s">
        <v>21</v>
      </c>
      <c r="K726" s="457" t="s">
        <v>134</v>
      </c>
      <c r="L726" s="457" t="s">
        <v>99</v>
      </c>
      <c r="M726" s="457" t="s">
        <v>32</v>
      </c>
      <c r="N726" s="468"/>
    </row>
    <row r="727" spans="1:14" s="469" customFormat="1" ht="14" outlineLevel="5">
      <c r="A727" s="470" t="s">
        <v>8</v>
      </c>
      <c r="B727" s="471" t="s">
        <v>853</v>
      </c>
      <c r="C727" s="338" t="s">
        <v>15</v>
      </c>
      <c r="D727" s="294">
        <v>34</v>
      </c>
      <c r="E727" s="294">
        <v>24</v>
      </c>
      <c r="F727" s="294">
        <v>5</v>
      </c>
      <c r="G727" s="8">
        <f t="shared" si="133"/>
        <v>170</v>
      </c>
      <c r="H727" s="294">
        <f t="shared" si="134"/>
        <v>120</v>
      </c>
      <c r="I727" s="467"/>
      <c r="J727" s="302" t="s">
        <v>21</v>
      </c>
      <c r="K727" s="457" t="s">
        <v>134</v>
      </c>
      <c r="L727" s="457" t="s">
        <v>99</v>
      </c>
      <c r="M727" s="457" t="s">
        <v>32</v>
      </c>
      <c r="N727" s="468"/>
    </row>
    <row r="728" spans="1:14" s="459" customFormat="1" ht="15" customHeight="1" outlineLevel="3">
      <c r="A728" s="452" t="s">
        <v>124</v>
      </c>
      <c r="B728" s="460" t="s">
        <v>250</v>
      </c>
      <c r="C728" s="464"/>
      <c r="D728" s="385"/>
      <c r="E728" s="385"/>
      <c r="F728" s="385"/>
      <c r="G728" s="385">
        <f>SUBTOTAL(9,G729:G743)</f>
        <v>220785.35</v>
      </c>
      <c r="H728" s="385">
        <f>SUBTOTAL(9,H729:H743)</f>
        <v>192615.1</v>
      </c>
      <c r="I728" s="385"/>
      <c r="J728" s="302" t="s">
        <v>21</v>
      </c>
      <c r="K728" s="457"/>
      <c r="L728" s="457"/>
      <c r="M728" s="457" t="s">
        <v>32</v>
      </c>
      <c r="N728" s="458"/>
    </row>
    <row r="729" spans="1:14" s="459" customFormat="1" ht="14" outlineLevel="5">
      <c r="A729" s="452">
        <v>1</v>
      </c>
      <c r="B729" s="476" t="s">
        <v>93</v>
      </c>
      <c r="C729" s="464"/>
      <c r="D729" s="385"/>
      <c r="E729" s="385"/>
      <c r="F729" s="385"/>
      <c r="G729" s="385">
        <f>SUBTOTAL(9,G730:G743)</f>
        <v>220785.35</v>
      </c>
      <c r="H729" s="385">
        <f>SUBTOTAL(9,H730:H743)</f>
        <v>192615.1</v>
      </c>
      <c r="I729" s="385"/>
      <c r="J729" s="302" t="s">
        <v>21</v>
      </c>
      <c r="K729" s="457"/>
      <c r="L729" s="457"/>
      <c r="M729" s="457" t="s">
        <v>32</v>
      </c>
      <c r="N729" s="458"/>
    </row>
    <row r="730" spans="1:14" s="469" customFormat="1" ht="14" outlineLevel="5">
      <c r="A730" s="470" t="s">
        <v>8</v>
      </c>
      <c r="B730" s="471" t="s">
        <v>872</v>
      </c>
      <c r="C730" s="338" t="s">
        <v>24</v>
      </c>
      <c r="D730" s="294">
        <v>0</v>
      </c>
      <c r="E730" s="294">
        <v>0</v>
      </c>
      <c r="F730" s="294">
        <v>15435</v>
      </c>
      <c r="G730" s="8">
        <f t="shared" ref="G730:G743" si="135">F730*D730</f>
        <v>0</v>
      </c>
      <c r="H730" s="294">
        <f t="shared" ref="H730:H731" si="136">F730*E730</f>
        <v>0</v>
      </c>
      <c r="I730" s="467"/>
      <c r="J730" s="302" t="s">
        <v>21</v>
      </c>
      <c r="K730" s="457" t="s">
        <v>135</v>
      </c>
      <c r="L730" s="457" t="s">
        <v>99</v>
      </c>
      <c r="M730" s="457" t="s">
        <v>32</v>
      </c>
      <c r="N730" s="468"/>
    </row>
    <row r="731" spans="1:14" s="469" customFormat="1" ht="14" outlineLevel="5">
      <c r="A731" s="470" t="s">
        <v>8</v>
      </c>
      <c r="B731" s="471" t="s">
        <v>860</v>
      </c>
      <c r="C731" s="338" t="s">
        <v>15</v>
      </c>
      <c r="D731" s="294"/>
      <c r="E731" s="294"/>
      <c r="F731" s="294">
        <v>2800</v>
      </c>
      <c r="G731" s="8">
        <f t="shared" si="135"/>
        <v>0</v>
      </c>
      <c r="H731" s="294">
        <f t="shared" si="136"/>
        <v>0</v>
      </c>
      <c r="I731" s="467"/>
      <c r="J731" s="302" t="s">
        <v>21</v>
      </c>
      <c r="K731" s="457" t="s">
        <v>135</v>
      </c>
      <c r="L731" s="457" t="s">
        <v>99</v>
      </c>
      <c r="M731" s="457" t="s">
        <v>32</v>
      </c>
      <c r="N731" s="468"/>
    </row>
    <row r="732" spans="1:14" s="469" customFormat="1" ht="14" outlineLevel="5">
      <c r="A732" s="470" t="s">
        <v>8</v>
      </c>
      <c r="B732" s="471" t="s">
        <v>861</v>
      </c>
      <c r="C732" s="338" t="s">
        <v>15</v>
      </c>
      <c r="D732" s="294"/>
      <c r="E732" s="294"/>
      <c r="F732" s="294">
        <v>9744</v>
      </c>
      <c r="G732" s="8">
        <f t="shared" si="135"/>
        <v>0</v>
      </c>
      <c r="H732" s="294">
        <f t="shared" ref="H732:H737" si="137">F732*E732</f>
        <v>0</v>
      </c>
      <c r="I732" s="467"/>
      <c r="J732" s="302" t="s">
        <v>21</v>
      </c>
      <c r="K732" s="457" t="s">
        <v>135</v>
      </c>
      <c r="L732" s="457" t="s">
        <v>99</v>
      </c>
      <c r="M732" s="457" t="s">
        <v>32</v>
      </c>
      <c r="N732" s="468"/>
    </row>
    <row r="733" spans="1:14" s="469" customFormat="1" ht="14" outlineLevel="5">
      <c r="A733" s="470" t="s">
        <v>8</v>
      </c>
      <c r="B733" s="471" t="s">
        <v>848</v>
      </c>
      <c r="C733" s="338" t="s">
        <v>15</v>
      </c>
      <c r="D733" s="294"/>
      <c r="E733" s="294"/>
      <c r="F733" s="294">
        <v>27636</v>
      </c>
      <c r="G733" s="8">
        <f t="shared" si="135"/>
        <v>0</v>
      </c>
      <c r="H733" s="294">
        <f t="shared" si="137"/>
        <v>0</v>
      </c>
      <c r="I733" s="467"/>
      <c r="J733" s="302" t="s">
        <v>21</v>
      </c>
      <c r="K733" s="457" t="s">
        <v>135</v>
      </c>
      <c r="L733" s="457" t="s">
        <v>99</v>
      </c>
      <c r="M733" s="457" t="s">
        <v>32</v>
      </c>
      <c r="N733" s="468"/>
    </row>
    <row r="734" spans="1:14" s="469" customFormat="1" ht="14" outlineLevel="5">
      <c r="A734" s="470" t="s">
        <v>8</v>
      </c>
      <c r="B734" s="471" t="s">
        <v>849</v>
      </c>
      <c r="C734" s="338" t="s">
        <v>15</v>
      </c>
      <c r="D734" s="294"/>
      <c r="E734" s="294"/>
      <c r="F734" s="294">
        <v>5370.75</v>
      </c>
      <c r="G734" s="8">
        <f t="shared" si="135"/>
        <v>0</v>
      </c>
      <c r="H734" s="294">
        <f t="shared" si="137"/>
        <v>0</v>
      </c>
      <c r="I734" s="467"/>
      <c r="J734" s="302" t="s">
        <v>21</v>
      </c>
      <c r="K734" s="457" t="s">
        <v>135</v>
      </c>
      <c r="L734" s="457" t="s">
        <v>99</v>
      </c>
      <c r="M734" s="457" t="s">
        <v>32</v>
      </c>
      <c r="N734" s="468"/>
    </row>
    <row r="735" spans="1:14" s="469" customFormat="1" ht="14" outlineLevel="5">
      <c r="A735" s="470" t="s">
        <v>8</v>
      </c>
      <c r="B735" s="471" t="s">
        <v>873</v>
      </c>
      <c r="C735" s="338" t="s">
        <v>15</v>
      </c>
      <c r="D735" s="294"/>
      <c r="E735" s="294"/>
      <c r="F735" s="294">
        <v>43200</v>
      </c>
      <c r="G735" s="8">
        <f t="shared" si="135"/>
        <v>0</v>
      </c>
      <c r="H735" s="294">
        <f t="shared" si="137"/>
        <v>0</v>
      </c>
      <c r="I735" s="467"/>
      <c r="J735" s="302" t="s">
        <v>21</v>
      </c>
      <c r="K735" s="457" t="s">
        <v>135</v>
      </c>
      <c r="L735" s="457" t="s">
        <v>99</v>
      </c>
      <c r="M735" s="457" t="s">
        <v>32</v>
      </c>
      <c r="N735" s="468"/>
    </row>
    <row r="736" spans="1:14" s="469" customFormat="1" ht="14" outlineLevel="5">
      <c r="A736" s="470" t="s">
        <v>8</v>
      </c>
      <c r="B736" s="471" t="s">
        <v>862</v>
      </c>
      <c r="C736" s="338" t="s">
        <v>15</v>
      </c>
      <c r="D736" s="294">
        <v>2</v>
      </c>
      <c r="E736" s="294"/>
      <c r="F736" s="294">
        <v>59910.9</v>
      </c>
      <c r="G736" s="8">
        <f t="shared" si="135"/>
        <v>119821.8</v>
      </c>
      <c r="H736" s="294">
        <f t="shared" si="137"/>
        <v>0</v>
      </c>
      <c r="I736" s="467"/>
      <c r="J736" s="302" t="s">
        <v>21</v>
      </c>
      <c r="K736" s="457" t="s">
        <v>135</v>
      </c>
      <c r="L736" s="457" t="s">
        <v>99</v>
      </c>
      <c r="M736" s="457" t="s">
        <v>32</v>
      </c>
      <c r="N736" s="468"/>
    </row>
    <row r="737" spans="1:14" s="469" customFormat="1" ht="14" outlineLevel="5">
      <c r="A737" s="470" t="s">
        <v>8</v>
      </c>
      <c r="B737" s="471" t="s">
        <v>874</v>
      </c>
      <c r="C737" s="338" t="s">
        <v>15</v>
      </c>
      <c r="D737" s="294">
        <v>1</v>
      </c>
      <c r="E737" s="294">
        <v>2</v>
      </c>
      <c r="F737" s="294">
        <v>91571.55</v>
      </c>
      <c r="G737" s="8">
        <f t="shared" si="135"/>
        <v>91571.55</v>
      </c>
      <c r="H737" s="294">
        <f t="shared" si="137"/>
        <v>183143.1</v>
      </c>
      <c r="I737" s="467"/>
      <c r="J737" s="302" t="s">
        <v>21</v>
      </c>
      <c r="K737" s="457" t="s">
        <v>135</v>
      </c>
      <c r="L737" s="457" t="s">
        <v>99</v>
      </c>
      <c r="M737" s="457" t="s">
        <v>32</v>
      </c>
      <c r="N737" s="468"/>
    </row>
    <row r="738" spans="1:14" s="469" customFormat="1" ht="14" outlineLevel="5">
      <c r="A738" s="470" t="s">
        <v>8</v>
      </c>
      <c r="B738" s="471" t="s">
        <v>850</v>
      </c>
      <c r="C738" s="338" t="s">
        <v>15</v>
      </c>
      <c r="D738" s="294">
        <v>0</v>
      </c>
      <c r="E738" s="294">
        <v>0</v>
      </c>
      <c r="F738" s="294">
        <v>135</v>
      </c>
      <c r="G738" s="8">
        <f t="shared" si="135"/>
        <v>0</v>
      </c>
      <c r="H738" s="294">
        <f t="shared" ref="H738:H740" si="138">F738*E738</f>
        <v>0</v>
      </c>
      <c r="I738" s="467"/>
      <c r="J738" s="302" t="s">
        <v>21</v>
      </c>
      <c r="K738" s="457" t="s">
        <v>135</v>
      </c>
      <c r="L738" s="457" t="s">
        <v>99</v>
      </c>
      <c r="M738" s="457" t="s">
        <v>32</v>
      </c>
      <c r="N738" s="468"/>
    </row>
    <row r="739" spans="1:14" s="469" customFormat="1" ht="14" outlineLevel="5">
      <c r="A739" s="470" t="s">
        <v>8</v>
      </c>
      <c r="B739" s="471" t="s">
        <v>851</v>
      </c>
      <c r="C739" s="338" t="s">
        <v>15</v>
      </c>
      <c r="D739" s="294">
        <v>0</v>
      </c>
      <c r="E739" s="294">
        <v>0</v>
      </c>
      <c r="F739" s="294">
        <v>459</v>
      </c>
      <c r="G739" s="8">
        <f t="shared" si="135"/>
        <v>0</v>
      </c>
      <c r="H739" s="294">
        <f t="shared" si="138"/>
        <v>0</v>
      </c>
      <c r="I739" s="467"/>
      <c r="J739" s="302" t="s">
        <v>21</v>
      </c>
      <c r="K739" s="457" t="s">
        <v>135</v>
      </c>
      <c r="L739" s="457" t="s">
        <v>99</v>
      </c>
      <c r="M739" s="457" t="s">
        <v>32</v>
      </c>
      <c r="N739" s="468"/>
    </row>
    <row r="740" spans="1:14" s="469" customFormat="1" ht="14" outlineLevel="5">
      <c r="A740" s="470" t="s">
        <v>8</v>
      </c>
      <c r="B740" s="471" t="s">
        <v>852</v>
      </c>
      <c r="C740" s="338" t="s">
        <v>15</v>
      </c>
      <c r="D740" s="294">
        <v>0</v>
      </c>
      <c r="E740" s="294">
        <v>0</v>
      </c>
      <c r="F740" s="294">
        <v>895</v>
      </c>
      <c r="G740" s="8">
        <f t="shared" si="135"/>
        <v>0</v>
      </c>
      <c r="H740" s="294">
        <f t="shared" si="138"/>
        <v>0</v>
      </c>
      <c r="I740" s="467"/>
      <c r="J740" s="302" t="s">
        <v>21</v>
      </c>
      <c r="K740" s="457" t="s">
        <v>135</v>
      </c>
      <c r="L740" s="457" t="s">
        <v>99</v>
      </c>
      <c r="M740" s="457" t="s">
        <v>32</v>
      </c>
      <c r="N740" s="468"/>
    </row>
    <row r="741" spans="1:14" s="469" customFormat="1" ht="14" outlineLevel="5">
      <c r="A741" s="470" t="s">
        <v>8</v>
      </c>
      <c r="B741" s="471" t="s">
        <v>1347</v>
      </c>
      <c r="C741" s="338" t="s">
        <v>15</v>
      </c>
      <c r="D741" s="294">
        <v>16</v>
      </c>
      <c r="E741" s="294">
        <v>16</v>
      </c>
      <c r="F741" s="294">
        <v>582</v>
      </c>
      <c r="G741" s="8">
        <f t="shared" si="135"/>
        <v>9312</v>
      </c>
      <c r="H741" s="294">
        <f t="shared" ref="H741:H743" si="139">F741*E741</f>
        <v>9312</v>
      </c>
      <c r="I741" s="467"/>
      <c r="J741" s="302" t="s">
        <v>21</v>
      </c>
      <c r="K741" s="457" t="s">
        <v>135</v>
      </c>
      <c r="L741" s="457" t="s">
        <v>99</v>
      </c>
      <c r="M741" s="457" t="s">
        <v>32</v>
      </c>
      <c r="N741" s="468"/>
    </row>
    <row r="742" spans="1:14" s="469" customFormat="1" ht="14" outlineLevel="5">
      <c r="A742" s="470" t="s">
        <v>8</v>
      </c>
      <c r="B742" s="471" t="s">
        <v>1484</v>
      </c>
      <c r="C742" s="338" t="s">
        <v>15</v>
      </c>
      <c r="D742" s="294"/>
      <c r="E742" s="294"/>
      <c r="F742" s="294">
        <v>3200</v>
      </c>
      <c r="G742" s="8">
        <f t="shared" si="135"/>
        <v>0</v>
      </c>
      <c r="H742" s="294">
        <f t="shared" si="139"/>
        <v>0</v>
      </c>
      <c r="I742" s="467"/>
      <c r="J742" s="302" t="s">
        <v>21</v>
      </c>
      <c r="K742" s="457" t="s">
        <v>135</v>
      </c>
      <c r="L742" s="457" t="s">
        <v>99</v>
      </c>
      <c r="M742" s="457" t="s">
        <v>32</v>
      </c>
      <c r="N742" s="468"/>
    </row>
    <row r="743" spans="1:14" s="469" customFormat="1" ht="14" outlineLevel="5">
      <c r="A743" s="470" t="s">
        <v>8</v>
      </c>
      <c r="B743" s="471" t="s">
        <v>853</v>
      </c>
      <c r="C743" s="338" t="s">
        <v>15</v>
      </c>
      <c r="D743" s="294">
        <v>16</v>
      </c>
      <c r="E743" s="294">
        <v>32</v>
      </c>
      <c r="F743" s="294">
        <v>5</v>
      </c>
      <c r="G743" s="8">
        <f t="shared" si="135"/>
        <v>80</v>
      </c>
      <c r="H743" s="294">
        <f t="shared" si="139"/>
        <v>160</v>
      </c>
      <c r="I743" s="467"/>
      <c r="J743" s="302" t="s">
        <v>21</v>
      </c>
      <c r="K743" s="457" t="s">
        <v>135</v>
      </c>
      <c r="L743" s="457" t="s">
        <v>99</v>
      </c>
      <c r="M743" s="457" t="s">
        <v>32</v>
      </c>
      <c r="N743" s="468"/>
    </row>
    <row r="744" spans="1:14" s="459" customFormat="1" ht="15" customHeight="1" outlineLevel="3">
      <c r="A744" s="452" t="s">
        <v>251</v>
      </c>
      <c r="B744" s="460" t="s">
        <v>252</v>
      </c>
      <c r="C744" s="464"/>
      <c r="D744" s="385"/>
      <c r="E744" s="385"/>
      <c r="F744" s="385"/>
      <c r="G744" s="385">
        <f>SUBTOTAL(9,G745:G823)</f>
        <v>506061.72</v>
      </c>
      <c r="H744" s="385">
        <f>SUBTOTAL(9,H745:H823)</f>
        <v>2266317.5319999992</v>
      </c>
      <c r="I744" s="385"/>
      <c r="J744" s="302" t="s">
        <v>21</v>
      </c>
      <c r="K744" s="457"/>
      <c r="L744" s="457"/>
      <c r="M744" s="457" t="s">
        <v>32</v>
      </c>
      <c r="N744" s="458"/>
    </row>
    <row r="745" spans="1:14" s="459" customFormat="1" ht="13" customHeight="1" outlineLevel="4">
      <c r="A745" s="452">
        <v>1</v>
      </c>
      <c r="B745" s="460" t="s">
        <v>876</v>
      </c>
      <c r="C745" s="464"/>
      <c r="D745" s="385"/>
      <c r="E745" s="385"/>
      <c r="F745" s="385"/>
      <c r="G745" s="385">
        <f>SUBTOTAL(9,G746:G756)</f>
        <v>90060</v>
      </c>
      <c r="H745" s="385">
        <f>SUBTOTAL(9,H746:H756)</f>
        <v>1151487.5</v>
      </c>
      <c r="I745" s="385"/>
      <c r="J745" s="302" t="s">
        <v>21</v>
      </c>
      <c r="K745" s="457"/>
      <c r="L745" s="457"/>
      <c r="M745" s="457" t="s">
        <v>32</v>
      </c>
      <c r="N745" s="458"/>
    </row>
    <row r="746" spans="1:14" s="469" customFormat="1" ht="14" outlineLevel="5">
      <c r="A746" s="465" t="s">
        <v>8</v>
      </c>
      <c r="B746" s="466" t="s">
        <v>872</v>
      </c>
      <c r="C746" s="338" t="s">
        <v>879</v>
      </c>
      <c r="D746" s="294"/>
      <c r="E746" s="294">
        <v>0</v>
      </c>
      <c r="F746" s="294">
        <v>15435</v>
      </c>
      <c r="G746" s="8">
        <f t="shared" ref="G746:G756" si="140">F746*D746</f>
        <v>0</v>
      </c>
      <c r="H746" s="294">
        <f t="shared" ref="H746:H748" si="141">F746*E746</f>
        <v>0</v>
      </c>
      <c r="I746" s="467"/>
      <c r="J746" s="302" t="s">
        <v>21</v>
      </c>
      <c r="K746" s="457" t="s">
        <v>135</v>
      </c>
      <c r="L746" s="457" t="s">
        <v>99</v>
      </c>
      <c r="M746" s="457" t="s">
        <v>32</v>
      </c>
      <c r="N746" s="468"/>
    </row>
    <row r="747" spans="1:14" s="469" customFormat="1" ht="14" outlineLevel="5">
      <c r="A747" s="470" t="s">
        <v>8</v>
      </c>
      <c r="B747" s="471" t="s">
        <v>860</v>
      </c>
      <c r="C747" s="338" t="s">
        <v>23</v>
      </c>
      <c r="D747" s="294"/>
      <c r="E747" s="294">
        <v>0</v>
      </c>
      <c r="F747" s="294">
        <v>2940</v>
      </c>
      <c r="G747" s="8">
        <f t="shared" si="140"/>
        <v>0</v>
      </c>
      <c r="H747" s="294">
        <f t="shared" si="141"/>
        <v>0</v>
      </c>
      <c r="I747" s="467"/>
      <c r="J747" s="302" t="s">
        <v>21</v>
      </c>
      <c r="K747" s="457" t="s">
        <v>135</v>
      </c>
      <c r="L747" s="457" t="s">
        <v>99</v>
      </c>
      <c r="M747" s="457" t="s">
        <v>32</v>
      </c>
      <c r="N747" s="468"/>
    </row>
    <row r="748" spans="1:14" s="469" customFormat="1" ht="14" outlineLevel="5">
      <c r="A748" s="470" t="s">
        <v>8</v>
      </c>
      <c r="B748" s="471" t="s">
        <v>861</v>
      </c>
      <c r="C748" s="338" t="s">
        <v>23</v>
      </c>
      <c r="D748" s="294"/>
      <c r="E748" s="294">
        <v>0</v>
      </c>
      <c r="F748" s="294">
        <v>10231.200000000001</v>
      </c>
      <c r="G748" s="8">
        <f t="shared" si="140"/>
        <v>0</v>
      </c>
      <c r="H748" s="294">
        <f t="shared" si="141"/>
        <v>0</v>
      </c>
      <c r="I748" s="467"/>
      <c r="J748" s="302" t="s">
        <v>21</v>
      </c>
      <c r="K748" s="457" t="s">
        <v>135</v>
      </c>
      <c r="L748" s="457" t="s">
        <v>99</v>
      </c>
      <c r="M748" s="457" t="s">
        <v>32</v>
      </c>
      <c r="N748" s="468"/>
    </row>
    <row r="749" spans="1:14" s="469" customFormat="1" ht="14" outlineLevel="5">
      <c r="A749" s="465" t="s">
        <v>8</v>
      </c>
      <c r="B749" s="466" t="s">
        <v>848</v>
      </c>
      <c r="C749" s="338" t="s">
        <v>23</v>
      </c>
      <c r="D749" s="294"/>
      <c r="E749" s="294">
        <v>0</v>
      </c>
      <c r="F749" s="294">
        <v>27636</v>
      </c>
      <c r="G749" s="8">
        <f t="shared" si="140"/>
        <v>0</v>
      </c>
      <c r="H749" s="294">
        <f t="shared" ref="H749:H752" si="142">F749*E749</f>
        <v>0</v>
      </c>
      <c r="I749" s="467"/>
      <c r="J749" s="302" t="s">
        <v>21</v>
      </c>
      <c r="K749" s="457" t="s">
        <v>135</v>
      </c>
      <c r="L749" s="457" t="s">
        <v>99</v>
      </c>
      <c r="M749" s="457" t="s">
        <v>32</v>
      </c>
      <c r="N749" s="468"/>
    </row>
    <row r="750" spans="1:14" s="469" customFormat="1" ht="14" outlineLevel="5">
      <c r="A750" s="470" t="s">
        <v>8</v>
      </c>
      <c r="B750" s="471" t="s">
        <v>877</v>
      </c>
      <c r="C750" s="338" t="s">
        <v>23</v>
      </c>
      <c r="D750" s="294">
        <v>2</v>
      </c>
      <c r="E750" s="294">
        <v>4</v>
      </c>
      <c r="F750" s="294">
        <v>43200</v>
      </c>
      <c r="G750" s="8">
        <f t="shared" si="140"/>
        <v>86400</v>
      </c>
      <c r="H750" s="294">
        <f t="shared" si="142"/>
        <v>172800</v>
      </c>
      <c r="I750" s="467"/>
      <c r="J750" s="302" t="s">
        <v>21</v>
      </c>
      <c r="K750" s="457" t="s">
        <v>135</v>
      </c>
      <c r="L750" s="457" t="s">
        <v>99</v>
      </c>
      <c r="M750" s="457" t="s">
        <v>32</v>
      </c>
      <c r="N750" s="468"/>
    </row>
    <row r="751" spans="1:14" s="469" customFormat="1" ht="14" outlineLevel="5">
      <c r="A751" s="470" t="s">
        <v>8</v>
      </c>
      <c r="B751" s="471" t="s">
        <v>862</v>
      </c>
      <c r="C751" s="338" t="s">
        <v>23</v>
      </c>
      <c r="D751" s="294">
        <v>0</v>
      </c>
      <c r="E751" s="294">
        <v>0</v>
      </c>
      <c r="F751" s="294">
        <v>59910.9</v>
      </c>
      <c r="G751" s="8">
        <f t="shared" si="140"/>
        <v>0</v>
      </c>
      <c r="H751" s="294">
        <f t="shared" si="142"/>
        <v>0</v>
      </c>
      <c r="I751" s="467"/>
      <c r="J751" s="302" t="s">
        <v>21</v>
      </c>
      <c r="K751" s="457" t="s">
        <v>135</v>
      </c>
      <c r="L751" s="457" t="s">
        <v>99</v>
      </c>
      <c r="M751" s="457" t="s">
        <v>32</v>
      </c>
      <c r="N751" s="468"/>
    </row>
    <row r="752" spans="1:14" s="469" customFormat="1" ht="14" outlineLevel="5">
      <c r="A752" s="470" t="s">
        <v>8</v>
      </c>
      <c r="B752" s="471" t="s">
        <v>874</v>
      </c>
      <c r="C752" s="338" t="s">
        <v>23</v>
      </c>
      <c r="D752" s="294"/>
      <c r="E752" s="294">
        <v>10</v>
      </c>
      <c r="F752" s="294">
        <v>91571.55</v>
      </c>
      <c r="G752" s="8">
        <f t="shared" si="140"/>
        <v>0</v>
      </c>
      <c r="H752" s="294">
        <f t="shared" si="142"/>
        <v>915715.5</v>
      </c>
      <c r="I752" s="467"/>
      <c r="J752" s="302" t="s">
        <v>21</v>
      </c>
      <c r="K752" s="457" t="s">
        <v>135</v>
      </c>
      <c r="L752" s="457" t="s">
        <v>99</v>
      </c>
      <c r="M752" s="457" t="s">
        <v>32</v>
      </c>
      <c r="N752" s="468"/>
    </row>
    <row r="753" spans="1:14" s="469" customFormat="1" ht="14" outlineLevel="5">
      <c r="A753" s="465" t="s">
        <v>8</v>
      </c>
      <c r="B753" s="466" t="s">
        <v>1346</v>
      </c>
      <c r="C753" s="338" t="s">
        <v>148</v>
      </c>
      <c r="D753" s="294">
        <v>60</v>
      </c>
      <c r="E753" s="294">
        <v>160</v>
      </c>
      <c r="F753" s="294">
        <v>56</v>
      </c>
      <c r="G753" s="8">
        <f t="shared" si="140"/>
        <v>3360</v>
      </c>
      <c r="H753" s="294">
        <f t="shared" ref="H753:H756" si="143">F753*E753</f>
        <v>8960</v>
      </c>
      <c r="I753" s="467"/>
      <c r="J753" s="302" t="s">
        <v>21</v>
      </c>
      <c r="K753" s="457" t="s">
        <v>135</v>
      </c>
      <c r="L753" s="457" t="s">
        <v>99</v>
      </c>
      <c r="M753" s="457" t="s">
        <v>32</v>
      </c>
      <c r="N753" s="468"/>
    </row>
    <row r="754" spans="1:14" s="469" customFormat="1" ht="14" outlineLevel="5">
      <c r="A754" s="470" t="s">
        <v>8</v>
      </c>
      <c r="B754" s="471" t="s">
        <v>1347</v>
      </c>
      <c r="C754" s="338" t="s">
        <v>148</v>
      </c>
      <c r="D754" s="294">
        <v>0</v>
      </c>
      <c r="E754" s="294">
        <v>56</v>
      </c>
      <c r="F754" s="294">
        <v>582</v>
      </c>
      <c r="G754" s="8">
        <f t="shared" si="140"/>
        <v>0</v>
      </c>
      <c r="H754" s="294">
        <f t="shared" si="143"/>
        <v>32592</v>
      </c>
      <c r="I754" s="467"/>
      <c r="J754" s="302" t="s">
        <v>21</v>
      </c>
      <c r="K754" s="457" t="s">
        <v>135</v>
      </c>
      <c r="L754" s="457" t="s">
        <v>99</v>
      </c>
      <c r="M754" s="457" t="s">
        <v>32</v>
      </c>
      <c r="N754" s="468"/>
    </row>
    <row r="755" spans="1:14" s="469" customFormat="1" ht="14" outlineLevel="5">
      <c r="A755" s="470" t="s">
        <v>8</v>
      </c>
      <c r="B755" s="471" t="s">
        <v>1484</v>
      </c>
      <c r="C755" s="338" t="s">
        <v>148</v>
      </c>
      <c r="D755" s="294"/>
      <c r="E755" s="294">
        <v>6</v>
      </c>
      <c r="F755" s="294">
        <v>3200</v>
      </c>
      <c r="G755" s="8">
        <f t="shared" si="140"/>
        <v>0</v>
      </c>
      <c r="H755" s="294">
        <f t="shared" si="143"/>
        <v>19200</v>
      </c>
      <c r="I755" s="467"/>
      <c r="J755" s="302" t="s">
        <v>21</v>
      </c>
      <c r="K755" s="457" t="s">
        <v>135</v>
      </c>
      <c r="L755" s="457" t="s">
        <v>99</v>
      </c>
      <c r="M755" s="457" t="s">
        <v>32</v>
      </c>
      <c r="N755" s="468"/>
    </row>
    <row r="756" spans="1:14" s="469" customFormat="1" ht="14" outlineLevel="5">
      <c r="A756" s="470" t="s">
        <v>8</v>
      </c>
      <c r="B756" s="471" t="s">
        <v>853</v>
      </c>
      <c r="C756" s="338" t="s">
        <v>880</v>
      </c>
      <c r="D756" s="294">
        <v>60</v>
      </c>
      <c r="E756" s="294">
        <v>444</v>
      </c>
      <c r="F756" s="294">
        <v>5</v>
      </c>
      <c r="G756" s="8">
        <f t="shared" si="140"/>
        <v>300</v>
      </c>
      <c r="H756" s="294">
        <f t="shared" si="143"/>
        <v>2220</v>
      </c>
      <c r="I756" s="467"/>
      <c r="J756" s="302" t="s">
        <v>21</v>
      </c>
      <c r="K756" s="457" t="s">
        <v>135</v>
      </c>
      <c r="L756" s="457" t="s">
        <v>99</v>
      </c>
      <c r="M756" s="457" t="s">
        <v>32</v>
      </c>
      <c r="N756" s="468"/>
    </row>
    <row r="757" spans="1:14" s="459" customFormat="1" ht="13" customHeight="1" outlineLevel="4">
      <c r="A757" s="452">
        <v>2</v>
      </c>
      <c r="B757" s="461" t="s">
        <v>881</v>
      </c>
      <c r="C757" s="464"/>
      <c r="D757" s="385"/>
      <c r="E757" s="385"/>
      <c r="F757" s="385"/>
      <c r="G757" s="385">
        <f>SUBTOTAL(9,G758:G765)</f>
        <v>90860.527999999991</v>
      </c>
      <c r="H757" s="385">
        <f>SUBTOTAL(9,H758:H765)</f>
        <v>130548.52799999999</v>
      </c>
      <c r="I757" s="385"/>
      <c r="J757" s="302" t="s">
        <v>21</v>
      </c>
      <c r="K757" s="457"/>
      <c r="L757" s="457"/>
      <c r="M757" s="458"/>
      <c r="N757" s="458"/>
    </row>
    <row r="758" spans="1:14" s="469" customFormat="1" ht="14" outlineLevel="5">
      <c r="A758" s="465" t="s">
        <v>8</v>
      </c>
      <c r="B758" s="466" t="s">
        <v>882</v>
      </c>
      <c r="C758" s="338" t="s">
        <v>879</v>
      </c>
      <c r="D758" s="294"/>
      <c r="E758" s="294">
        <v>0</v>
      </c>
      <c r="F758" s="294">
        <v>14007.7</v>
      </c>
      <c r="G758" s="8">
        <f t="shared" ref="G758:G765" si="144">F758*D758</f>
        <v>0</v>
      </c>
      <c r="H758" s="294">
        <f t="shared" ref="H758:H765" si="145">F758*E758</f>
        <v>0</v>
      </c>
      <c r="I758" s="467"/>
      <c r="J758" s="302" t="s">
        <v>21</v>
      </c>
      <c r="K758" s="457" t="s">
        <v>135</v>
      </c>
      <c r="L758" s="457" t="s">
        <v>99</v>
      </c>
      <c r="M758" s="457" t="s">
        <v>32</v>
      </c>
      <c r="N758" s="468"/>
    </row>
    <row r="759" spans="1:14" s="469" customFormat="1" ht="14" outlineLevel="5">
      <c r="A759" s="470" t="s">
        <v>8</v>
      </c>
      <c r="B759" s="471" t="s">
        <v>883</v>
      </c>
      <c r="C759" s="338" t="s">
        <v>23</v>
      </c>
      <c r="D759" s="294">
        <v>0</v>
      </c>
      <c r="E759" s="294">
        <v>0</v>
      </c>
      <c r="F759" s="294">
        <v>29899.999999999996</v>
      </c>
      <c r="G759" s="8">
        <f t="shared" si="144"/>
        <v>0</v>
      </c>
      <c r="H759" s="294">
        <f t="shared" si="145"/>
        <v>0</v>
      </c>
      <c r="I759" s="467"/>
      <c r="J759" s="302" t="s">
        <v>21</v>
      </c>
      <c r="K759" s="457" t="s">
        <v>135</v>
      </c>
      <c r="L759" s="457" t="s">
        <v>99</v>
      </c>
      <c r="M759" s="457" t="s">
        <v>32</v>
      </c>
      <c r="N759" s="468"/>
    </row>
    <row r="760" spans="1:14" s="469" customFormat="1" ht="14" outlineLevel="5">
      <c r="A760" s="470" t="s">
        <v>8</v>
      </c>
      <c r="B760" s="471" t="s">
        <v>884</v>
      </c>
      <c r="C760" s="338" t="s">
        <v>23</v>
      </c>
      <c r="D760" s="294">
        <v>4</v>
      </c>
      <c r="E760" s="294"/>
      <c r="F760" s="294">
        <v>22091.131999999998</v>
      </c>
      <c r="G760" s="8">
        <f t="shared" si="144"/>
        <v>88364.527999999991</v>
      </c>
      <c r="H760" s="294">
        <f t="shared" si="145"/>
        <v>0</v>
      </c>
      <c r="I760" s="467"/>
      <c r="J760" s="302" t="s">
        <v>21</v>
      </c>
      <c r="K760" s="457" t="s">
        <v>135</v>
      </c>
      <c r="L760" s="457" t="s">
        <v>99</v>
      </c>
      <c r="M760" s="457" t="s">
        <v>32</v>
      </c>
      <c r="N760" s="468"/>
    </row>
    <row r="761" spans="1:14" s="469" customFormat="1" ht="14" outlineLevel="5">
      <c r="A761" s="465" t="s">
        <v>8</v>
      </c>
      <c r="B761" s="466" t="s">
        <v>885</v>
      </c>
      <c r="C761" s="338" t="s">
        <v>23</v>
      </c>
      <c r="D761" s="294"/>
      <c r="E761" s="294">
        <v>2</v>
      </c>
      <c r="F761" s="294">
        <v>17250</v>
      </c>
      <c r="G761" s="8">
        <f t="shared" si="144"/>
        <v>0</v>
      </c>
      <c r="H761" s="294">
        <f t="shared" si="145"/>
        <v>34500</v>
      </c>
      <c r="I761" s="467"/>
      <c r="J761" s="302" t="s">
        <v>21</v>
      </c>
      <c r="K761" s="457" t="s">
        <v>135</v>
      </c>
      <c r="L761" s="457" t="s">
        <v>99</v>
      </c>
      <c r="M761" s="457" t="s">
        <v>32</v>
      </c>
      <c r="N761" s="468"/>
    </row>
    <row r="762" spans="1:14" s="469" customFormat="1" ht="14" outlineLevel="5">
      <c r="A762" s="470" t="s">
        <v>8</v>
      </c>
      <c r="B762" s="471" t="s">
        <v>886</v>
      </c>
      <c r="C762" s="338" t="s">
        <v>23</v>
      </c>
      <c r="D762" s="294"/>
      <c r="E762" s="294">
        <v>4</v>
      </c>
      <c r="F762" s="294">
        <v>22091.131999999998</v>
      </c>
      <c r="G762" s="8">
        <f t="shared" si="144"/>
        <v>0</v>
      </c>
      <c r="H762" s="294">
        <f t="shared" si="145"/>
        <v>88364.527999999991</v>
      </c>
      <c r="I762" s="467"/>
      <c r="J762" s="302" t="s">
        <v>21</v>
      </c>
      <c r="K762" s="457" t="s">
        <v>135</v>
      </c>
      <c r="L762" s="457" t="s">
        <v>99</v>
      </c>
      <c r="M762" s="457" t="s">
        <v>32</v>
      </c>
      <c r="N762" s="468"/>
    </row>
    <row r="763" spans="1:14" s="469" customFormat="1" ht="14" outlineLevel="5">
      <c r="A763" s="470" t="s">
        <v>8</v>
      </c>
      <c r="B763" s="471" t="s">
        <v>856</v>
      </c>
      <c r="C763" s="338" t="s">
        <v>148</v>
      </c>
      <c r="D763" s="294">
        <v>0</v>
      </c>
      <c r="E763" s="294">
        <v>72</v>
      </c>
      <c r="F763" s="294">
        <v>52</v>
      </c>
      <c r="G763" s="8">
        <f t="shared" si="144"/>
        <v>0</v>
      </c>
      <c r="H763" s="294">
        <f t="shared" si="145"/>
        <v>3744</v>
      </c>
      <c r="I763" s="467"/>
      <c r="J763" s="302" t="s">
        <v>21</v>
      </c>
      <c r="K763" s="457" t="s">
        <v>135</v>
      </c>
      <c r="L763" s="457" t="s">
        <v>99</v>
      </c>
      <c r="M763" s="457" t="s">
        <v>32</v>
      </c>
      <c r="N763" s="468"/>
    </row>
    <row r="764" spans="1:14" s="469" customFormat="1" ht="14" outlineLevel="5">
      <c r="A764" s="470" t="s">
        <v>8</v>
      </c>
      <c r="B764" s="471" t="s">
        <v>863</v>
      </c>
      <c r="C764" s="338" t="s">
        <v>148</v>
      </c>
      <c r="D764" s="294">
        <v>16</v>
      </c>
      <c r="E764" s="294">
        <v>20</v>
      </c>
      <c r="F764" s="294">
        <v>151</v>
      </c>
      <c r="G764" s="8">
        <f t="shared" si="144"/>
        <v>2416</v>
      </c>
      <c r="H764" s="294">
        <f t="shared" si="145"/>
        <v>3020</v>
      </c>
      <c r="I764" s="467"/>
      <c r="J764" s="302" t="s">
        <v>21</v>
      </c>
      <c r="K764" s="457" t="s">
        <v>135</v>
      </c>
      <c r="L764" s="457" t="s">
        <v>99</v>
      </c>
      <c r="M764" s="457" t="s">
        <v>32</v>
      </c>
      <c r="N764" s="468"/>
    </row>
    <row r="765" spans="1:14" s="469" customFormat="1" ht="14" outlineLevel="5">
      <c r="A765" s="465" t="s">
        <v>8</v>
      </c>
      <c r="B765" s="466" t="s">
        <v>853</v>
      </c>
      <c r="C765" s="338" t="s">
        <v>880</v>
      </c>
      <c r="D765" s="294">
        <v>16</v>
      </c>
      <c r="E765" s="294">
        <v>184</v>
      </c>
      <c r="F765" s="294">
        <v>5</v>
      </c>
      <c r="G765" s="8">
        <f t="shared" si="144"/>
        <v>80</v>
      </c>
      <c r="H765" s="294">
        <f t="shared" si="145"/>
        <v>920</v>
      </c>
      <c r="I765" s="467"/>
      <c r="J765" s="302" t="s">
        <v>21</v>
      </c>
      <c r="K765" s="457" t="s">
        <v>135</v>
      </c>
      <c r="L765" s="457" t="s">
        <v>99</v>
      </c>
      <c r="M765" s="457" t="s">
        <v>32</v>
      </c>
      <c r="N765" s="468"/>
    </row>
    <row r="766" spans="1:14" s="459" customFormat="1" ht="13" customHeight="1" outlineLevel="4">
      <c r="A766" s="452">
        <v>3</v>
      </c>
      <c r="B766" s="461" t="s">
        <v>887</v>
      </c>
      <c r="C766" s="464"/>
      <c r="D766" s="385"/>
      <c r="E766" s="385"/>
      <c r="F766" s="385"/>
      <c r="G766" s="385">
        <f>SUBTOTAL(9,G767:G774)</f>
        <v>0</v>
      </c>
      <c r="H766" s="385">
        <f>SUBTOTAL(9,H767:H774)</f>
        <v>360109.05599999998</v>
      </c>
      <c r="I766" s="385"/>
      <c r="J766" s="302" t="s">
        <v>21</v>
      </c>
      <c r="K766" s="457"/>
      <c r="L766" s="457"/>
      <c r="M766" s="458"/>
      <c r="N766" s="458"/>
    </row>
    <row r="767" spans="1:14" s="469" customFormat="1" ht="14" outlineLevel="5">
      <c r="A767" s="465" t="s">
        <v>8</v>
      </c>
      <c r="B767" s="466" t="s">
        <v>888</v>
      </c>
      <c r="C767" s="338" t="s">
        <v>879</v>
      </c>
      <c r="D767" s="294"/>
      <c r="E767" s="294">
        <v>4</v>
      </c>
      <c r="F767" s="294">
        <v>25020</v>
      </c>
      <c r="G767" s="8">
        <f t="shared" ref="G767:G774" si="146">F767*D767</f>
        <v>0</v>
      </c>
      <c r="H767" s="294">
        <f t="shared" ref="H767:H774" si="147">F767*E767</f>
        <v>100080</v>
      </c>
      <c r="I767" s="467"/>
      <c r="J767" s="302" t="s">
        <v>21</v>
      </c>
      <c r="K767" s="457" t="s">
        <v>135</v>
      </c>
      <c r="L767" s="457" t="s">
        <v>99</v>
      </c>
      <c r="M767" s="457" t="s">
        <v>32</v>
      </c>
      <c r="N767" s="468"/>
    </row>
    <row r="768" spans="1:14" s="469" customFormat="1" ht="14" outlineLevel="5">
      <c r="A768" s="470" t="s">
        <v>8</v>
      </c>
      <c r="B768" s="471" t="s">
        <v>885</v>
      </c>
      <c r="C768" s="338" t="s">
        <v>23</v>
      </c>
      <c r="D768" s="294"/>
      <c r="E768" s="294">
        <v>4</v>
      </c>
      <c r="F768" s="294">
        <v>17250</v>
      </c>
      <c r="G768" s="8">
        <f t="shared" si="146"/>
        <v>0</v>
      </c>
      <c r="H768" s="294">
        <f t="shared" si="147"/>
        <v>69000</v>
      </c>
      <c r="I768" s="467"/>
      <c r="J768" s="302" t="s">
        <v>21</v>
      </c>
      <c r="K768" s="457" t="s">
        <v>135</v>
      </c>
      <c r="L768" s="457" t="s">
        <v>99</v>
      </c>
      <c r="M768" s="457" t="s">
        <v>32</v>
      </c>
      <c r="N768" s="468"/>
    </row>
    <row r="769" spans="1:14" s="469" customFormat="1" ht="14" outlineLevel="5">
      <c r="A769" s="470" t="s">
        <v>8</v>
      </c>
      <c r="B769" s="471" t="s">
        <v>886</v>
      </c>
      <c r="C769" s="338" t="s">
        <v>23</v>
      </c>
      <c r="D769" s="294"/>
      <c r="E769" s="294">
        <v>4</v>
      </c>
      <c r="F769" s="294">
        <v>22091.131999999998</v>
      </c>
      <c r="G769" s="8">
        <f t="shared" si="146"/>
        <v>0</v>
      </c>
      <c r="H769" s="294">
        <f t="shared" si="147"/>
        <v>88364.527999999991</v>
      </c>
      <c r="I769" s="467"/>
      <c r="J769" s="302" t="s">
        <v>21</v>
      </c>
      <c r="K769" s="457" t="s">
        <v>135</v>
      </c>
      <c r="L769" s="457" t="s">
        <v>99</v>
      </c>
      <c r="M769" s="457" t="s">
        <v>32</v>
      </c>
      <c r="N769" s="468"/>
    </row>
    <row r="770" spans="1:14" s="469" customFormat="1" ht="14" outlineLevel="5">
      <c r="A770" s="465" t="s">
        <v>8</v>
      </c>
      <c r="B770" s="466" t="s">
        <v>889</v>
      </c>
      <c r="C770" s="338" t="s">
        <v>23</v>
      </c>
      <c r="D770" s="294"/>
      <c r="E770" s="294">
        <v>2</v>
      </c>
      <c r="F770" s="294">
        <v>44182.263999999996</v>
      </c>
      <c r="G770" s="8">
        <f t="shared" si="146"/>
        <v>0</v>
      </c>
      <c r="H770" s="294">
        <f t="shared" si="147"/>
        <v>88364.527999999991</v>
      </c>
      <c r="I770" s="467"/>
      <c r="J770" s="302" t="s">
        <v>21</v>
      </c>
      <c r="K770" s="457" t="s">
        <v>135</v>
      </c>
      <c r="L770" s="457" t="s">
        <v>99</v>
      </c>
      <c r="M770" s="457" t="s">
        <v>32</v>
      </c>
      <c r="N770" s="468"/>
    </row>
    <row r="771" spans="1:14" s="469" customFormat="1" ht="14" outlineLevel="5">
      <c r="A771" s="470" t="s">
        <v>8</v>
      </c>
      <c r="B771" s="471" t="s">
        <v>856</v>
      </c>
      <c r="C771" s="338" t="s">
        <v>148</v>
      </c>
      <c r="D771" s="294"/>
      <c r="E771" s="294">
        <v>144</v>
      </c>
      <c r="F771" s="294">
        <v>52</v>
      </c>
      <c r="G771" s="8">
        <f t="shared" si="146"/>
        <v>0</v>
      </c>
      <c r="H771" s="294">
        <f t="shared" si="147"/>
        <v>7488</v>
      </c>
      <c r="I771" s="467"/>
      <c r="J771" s="302" t="s">
        <v>21</v>
      </c>
      <c r="K771" s="457" t="s">
        <v>135</v>
      </c>
      <c r="L771" s="457" t="s">
        <v>99</v>
      </c>
      <c r="M771" s="457" t="s">
        <v>32</v>
      </c>
      <c r="N771" s="468"/>
    </row>
    <row r="772" spans="1:14" s="469" customFormat="1" ht="14" outlineLevel="5">
      <c r="A772" s="470" t="s">
        <v>8</v>
      </c>
      <c r="B772" s="471" t="s">
        <v>863</v>
      </c>
      <c r="C772" s="338" t="s">
        <v>148</v>
      </c>
      <c r="D772" s="294"/>
      <c r="E772" s="294">
        <v>20</v>
      </c>
      <c r="F772" s="294">
        <v>151</v>
      </c>
      <c r="G772" s="8">
        <f t="shared" si="146"/>
        <v>0</v>
      </c>
      <c r="H772" s="294">
        <f t="shared" si="147"/>
        <v>3020</v>
      </c>
      <c r="I772" s="467"/>
      <c r="J772" s="302" t="s">
        <v>21</v>
      </c>
      <c r="K772" s="457" t="s">
        <v>135</v>
      </c>
      <c r="L772" s="457" t="s">
        <v>99</v>
      </c>
      <c r="M772" s="457" t="s">
        <v>32</v>
      </c>
      <c r="N772" s="468"/>
    </row>
    <row r="773" spans="1:14" s="469" customFormat="1" ht="14" outlineLevel="5">
      <c r="A773" s="470" t="s">
        <v>8</v>
      </c>
      <c r="B773" s="471" t="s">
        <v>875</v>
      </c>
      <c r="C773" s="338" t="s">
        <v>148</v>
      </c>
      <c r="D773" s="294"/>
      <c r="E773" s="294">
        <v>4</v>
      </c>
      <c r="F773" s="294">
        <v>528</v>
      </c>
      <c r="G773" s="8">
        <f t="shared" si="146"/>
        <v>0</v>
      </c>
      <c r="H773" s="294">
        <f t="shared" si="147"/>
        <v>2112</v>
      </c>
      <c r="I773" s="467"/>
      <c r="J773" s="302" t="s">
        <v>21</v>
      </c>
      <c r="K773" s="457" t="s">
        <v>135</v>
      </c>
      <c r="L773" s="457" t="s">
        <v>99</v>
      </c>
      <c r="M773" s="457" t="s">
        <v>32</v>
      </c>
      <c r="N773" s="468"/>
    </row>
    <row r="774" spans="1:14" s="469" customFormat="1" ht="14" outlineLevel="5">
      <c r="A774" s="465" t="s">
        <v>8</v>
      </c>
      <c r="B774" s="466" t="s">
        <v>853</v>
      </c>
      <c r="C774" s="338" t="s">
        <v>880</v>
      </c>
      <c r="D774" s="294"/>
      <c r="E774" s="294">
        <v>336</v>
      </c>
      <c r="F774" s="294">
        <v>5</v>
      </c>
      <c r="G774" s="8">
        <f t="shared" si="146"/>
        <v>0</v>
      </c>
      <c r="H774" s="294">
        <f t="shared" si="147"/>
        <v>1680</v>
      </c>
      <c r="I774" s="467"/>
      <c r="J774" s="302" t="s">
        <v>21</v>
      </c>
      <c r="K774" s="457" t="s">
        <v>135</v>
      </c>
      <c r="L774" s="457" t="s">
        <v>99</v>
      </c>
      <c r="M774" s="457" t="s">
        <v>32</v>
      </c>
      <c r="N774" s="468"/>
    </row>
    <row r="775" spans="1:14" s="459" customFormat="1" ht="13" customHeight="1" outlineLevel="4">
      <c r="A775" s="452">
        <v>4</v>
      </c>
      <c r="B775" s="461" t="s">
        <v>890</v>
      </c>
      <c r="C775" s="464"/>
      <c r="D775" s="385"/>
      <c r="E775" s="385"/>
      <c r="F775" s="385"/>
      <c r="G775" s="385">
        <f>SUBTOTAL(9,G776:G787)</f>
        <v>325141.19199999998</v>
      </c>
      <c r="H775" s="385">
        <f>SUBTOTAL(9,H776:H787)</f>
        <v>441128.12</v>
      </c>
      <c r="I775" s="385"/>
      <c r="J775" s="302" t="s">
        <v>21</v>
      </c>
      <c r="K775" s="457"/>
      <c r="L775" s="457"/>
      <c r="M775" s="457" t="s">
        <v>32</v>
      </c>
      <c r="N775" s="458"/>
    </row>
    <row r="776" spans="1:14" s="469" customFormat="1" ht="14" outlineLevel="5">
      <c r="A776" s="465" t="s">
        <v>8</v>
      </c>
      <c r="B776" s="466" t="s">
        <v>891</v>
      </c>
      <c r="C776" s="338" t="s">
        <v>879</v>
      </c>
      <c r="D776" s="296">
        <v>2</v>
      </c>
      <c r="E776" s="294">
        <v>4</v>
      </c>
      <c r="F776" s="294">
        <v>14007.7</v>
      </c>
      <c r="G776" s="8">
        <f t="shared" ref="G776:G787" si="148">F776*D776</f>
        <v>28015.4</v>
      </c>
      <c r="H776" s="294">
        <f t="shared" ref="H776:H779" si="149">F776*E776</f>
        <v>56030.8</v>
      </c>
      <c r="I776" s="467"/>
      <c r="J776" s="302" t="s">
        <v>21</v>
      </c>
      <c r="K776" s="457" t="s">
        <v>135</v>
      </c>
      <c r="L776" s="457" t="s">
        <v>99</v>
      </c>
      <c r="M776" s="457" t="s">
        <v>32</v>
      </c>
      <c r="N776" s="468"/>
    </row>
    <row r="777" spans="1:14" s="469" customFormat="1" ht="14" outlineLevel="5">
      <c r="A777" s="470" t="s">
        <v>8</v>
      </c>
      <c r="B777" s="471" t="s">
        <v>892</v>
      </c>
      <c r="C777" s="338" t="s">
        <v>23</v>
      </c>
      <c r="D777" s="296">
        <v>0</v>
      </c>
      <c r="E777" s="294"/>
      <c r="F777" s="294">
        <v>22091.131999999998</v>
      </c>
      <c r="G777" s="8">
        <f t="shared" si="148"/>
        <v>0</v>
      </c>
      <c r="H777" s="294">
        <f t="shared" si="149"/>
        <v>0</v>
      </c>
      <c r="I777" s="467"/>
      <c r="J777" s="302" t="s">
        <v>21</v>
      </c>
      <c r="K777" s="457" t="s">
        <v>135</v>
      </c>
      <c r="L777" s="457" t="s">
        <v>99</v>
      </c>
      <c r="M777" s="457" t="s">
        <v>32</v>
      </c>
      <c r="N777" s="468"/>
    </row>
    <row r="778" spans="1:14" s="469" customFormat="1" ht="14" outlineLevel="5">
      <c r="A778" s="470" t="s">
        <v>8</v>
      </c>
      <c r="B778" s="471" t="s">
        <v>883</v>
      </c>
      <c r="C778" s="338" t="s">
        <v>23</v>
      </c>
      <c r="D778" s="296"/>
      <c r="E778" s="294"/>
      <c r="F778" s="294">
        <v>29899.999999999996</v>
      </c>
      <c r="G778" s="8">
        <f t="shared" si="148"/>
        <v>0</v>
      </c>
      <c r="H778" s="294">
        <f t="shared" si="149"/>
        <v>0</v>
      </c>
      <c r="I778" s="467"/>
      <c r="J778" s="302" t="s">
        <v>21</v>
      </c>
      <c r="K778" s="457" t="s">
        <v>135</v>
      </c>
      <c r="L778" s="457" t="s">
        <v>99</v>
      </c>
      <c r="M778" s="457" t="s">
        <v>32</v>
      </c>
      <c r="N778" s="468"/>
    </row>
    <row r="779" spans="1:14" s="469" customFormat="1" ht="14" outlineLevel="5">
      <c r="A779" s="465" t="s">
        <v>8</v>
      </c>
      <c r="B779" s="466" t="s">
        <v>885</v>
      </c>
      <c r="C779" s="338" t="s">
        <v>23</v>
      </c>
      <c r="D779" s="296">
        <v>8</v>
      </c>
      <c r="E779" s="294">
        <v>8</v>
      </c>
      <c r="F779" s="294">
        <v>17250</v>
      </c>
      <c r="G779" s="8">
        <f t="shared" si="148"/>
        <v>138000</v>
      </c>
      <c r="H779" s="294">
        <f t="shared" si="149"/>
        <v>138000</v>
      </c>
      <c r="I779" s="467"/>
      <c r="J779" s="302" t="s">
        <v>21</v>
      </c>
      <c r="K779" s="457" t="s">
        <v>135</v>
      </c>
      <c r="L779" s="457" t="s">
        <v>99</v>
      </c>
      <c r="M779" s="457" t="s">
        <v>32</v>
      </c>
      <c r="N779" s="468"/>
    </row>
    <row r="780" spans="1:14" s="469" customFormat="1" ht="14" outlineLevel="5">
      <c r="A780" s="465" t="s">
        <v>8</v>
      </c>
      <c r="B780" s="466" t="s">
        <v>886</v>
      </c>
      <c r="C780" s="338" t="s">
        <v>23</v>
      </c>
      <c r="D780" s="296">
        <v>6</v>
      </c>
      <c r="E780" s="294">
        <v>10</v>
      </c>
      <c r="F780" s="294">
        <v>22091.131999999998</v>
      </c>
      <c r="G780" s="8">
        <f t="shared" si="148"/>
        <v>132546.79199999999</v>
      </c>
      <c r="H780" s="294">
        <f t="shared" ref="H780:H787" si="150">F780*E780</f>
        <v>220911.31999999998</v>
      </c>
      <c r="I780" s="467"/>
      <c r="J780" s="302" t="s">
        <v>21</v>
      </c>
      <c r="K780" s="457" t="s">
        <v>135</v>
      </c>
      <c r="L780" s="457" t="s">
        <v>99</v>
      </c>
      <c r="M780" s="457" t="s">
        <v>32</v>
      </c>
      <c r="N780" s="468"/>
    </row>
    <row r="781" spans="1:14" s="469" customFormat="1" ht="14" outlineLevel="5">
      <c r="A781" s="470" t="s">
        <v>8</v>
      </c>
      <c r="B781" s="471" t="s">
        <v>893</v>
      </c>
      <c r="C781" s="338" t="s">
        <v>148</v>
      </c>
      <c r="D781" s="296">
        <v>60</v>
      </c>
      <c r="E781" s="294"/>
      <c r="F781" s="294">
        <v>13</v>
      </c>
      <c r="G781" s="8">
        <f t="shared" si="148"/>
        <v>780</v>
      </c>
      <c r="H781" s="294">
        <f t="shared" si="150"/>
        <v>0</v>
      </c>
      <c r="I781" s="467"/>
      <c r="J781" s="302" t="s">
        <v>21</v>
      </c>
      <c r="K781" s="457" t="s">
        <v>135</v>
      </c>
      <c r="L781" s="457" t="s">
        <v>99</v>
      </c>
      <c r="M781" s="457" t="s">
        <v>32</v>
      </c>
      <c r="N781" s="468"/>
    </row>
    <row r="782" spans="1:14" s="469" customFormat="1" ht="14" outlineLevel="5">
      <c r="A782" s="470" t="s">
        <v>8</v>
      </c>
      <c r="B782" s="471" t="s">
        <v>894</v>
      </c>
      <c r="C782" s="338" t="s">
        <v>148</v>
      </c>
      <c r="D782" s="296">
        <v>166</v>
      </c>
      <c r="E782" s="294"/>
      <c r="F782" s="294">
        <v>13</v>
      </c>
      <c r="G782" s="8">
        <f t="shared" si="148"/>
        <v>2158</v>
      </c>
      <c r="H782" s="294">
        <f t="shared" si="150"/>
        <v>0</v>
      </c>
      <c r="I782" s="467"/>
      <c r="J782" s="302" t="s">
        <v>21</v>
      </c>
      <c r="K782" s="457" t="s">
        <v>135</v>
      </c>
      <c r="L782" s="457" t="s">
        <v>99</v>
      </c>
      <c r="M782" s="457" t="s">
        <v>32</v>
      </c>
      <c r="N782" s="468"/>
    </row>
    <row r="783" spans="1:14" s="469" customFormat="1" ht="14" outlineLevel="5">
      <c r="A783" s="465" t="s">
        <v>8</v>
      </c>
      <c r="B783" s="466" t="s">
        <v>856</v>
      </c>
      <c r="C783" s="338" t="s">
        <v>148</v>
      </c>
      <c r="D783" s="296">
        <v>288</v>
      </c>
      <c r="E783" s="294">
        <v>288</v>
      </c>
      <c r="F783" s="294">
        <v>52</v>
      </c>
      <c r="G783" s="8">
        <f t="shared" si="148"/>
        <v>14976</v>
      </c>
      <c r="H783" s="294">
        <f t="shared" si="150"/>
        <v>14976</v>
      </c>
      <c r="I783" s="467"/>
      <c r="J783" s="302" t="s">
        <v>21</v>
      </c>
      <c r="K783" s="457" t="s">
        <v>135</v>
      </c>
      <c r="L783" s="457" t="s">
        <v>99</v>
      </c>
      <c r="M783" s="457" t="s">
        <v>32</v>
      </c>
      <c r="N783" s="468"/>
    </row>
    <row r="784" spans="1:14" s="469" customFormat="1" ht="14" outlineLevel="5">
      <c r="A784" s="470" t="s">
        <v>8</v>
      </c>
      <c r="B784" s="471" t="s">
        <v>863</v>
      </c>
      <c r="C784" s="338" t="s">
        <v>148</v>
      </c>
      <c r="D784" s="296">
        <v>30</v>
      </c>
      <c r="E784" s="294">
        <v>50</v>
      </c>
      <c r="F784" s="294">
        <v>151</v>
      </c>
      <c r="G784" s="8">
        <f t="shared" si="148"/>
        <v>4530</v>
      </c>
      <c r="H784" s="294">
        <f t="shared" si="150"/>
        <v>7550</v>
      </c>
      <c r="I784" s="467"/>
      <c r="J784" s="302" t="s">
        <v>21</v>
      </c>
      <c r="K784" s="457" t="s">
        <v>135</v>
      </c>
      <c r="L784" s="457" t="s">
        <v>99</v>
      </c>
      <c r="M784" s="457" t="s">
        <v>32</v>
      </c>
      <c r="N784" s="468"/>
    </row>
    <row r="785" spans="1:14" s="469" customFormat="1" ht="14" outlineLevel="5">
      <c r="A785" s="470" t="s">
        <v>8</v>
      </c>
      <c r="B785" s="471" t="s">
        <v>382</v>
      </c>
      <c r="C785" s="338" t="s">
        <v>880</v>
      </c>
      <c r="D785" s="296">
        <v>8</v>
      </c>
      <c r="E785" s="294">
        <v>2</v>
      </c>
      <c r="F785" s="294">
        <v>130</v>
      </c>
      <c r="G785" s="8">
        <f t="shared" si="148"/>
        <v>1040</v>
      </c>
      <c r="H785" s="294">
        <f t="shared" si="150"/>
        <v>260</v>
      </c>
      <c r="I785" s="467"/>
      <c r="J785" s="302" t="s">
        <v>21</v>
      </c>
      <c r="K785" s="457" t="s">
        <v>135</v>
      </c>
      <c r="L785" s="457" t="s">
        <v>99</v>
      </c>
      <c r="M785" s="457" t="s">
        <v>32</v>
      </c>
      <c r="N785" s="468"/>
    </row>
    <row r="786" spans="1:14" s="469" customFormat="1" ht="14" outlineLevel="5">
      <c r="A786" s="470" t="s">
        <v>8</v>
      </c>
      <c r="B786" s="471" t="s">
        <v>384</v>
      </c>
      <c r="C786" s="338" t="s">
        <v>880</v>
      </c>
      <c r="D786" s="296">
        <v>3</v>
      </c>
      <c r="E786" s="294"/>
      <c r="F786" s="294">
        <v>125</v>
      </c>
      <c r="G786" s="8">
        <f t="shared" si="148"/>
        <v>375</v>
      </c>
      <c r="H786" s="294">
        <f t="shared" si="150"/>
        <v>0</v>
      </c>
      <c r="I786" s="467"/>
      <c r="J786" s="302" t="s">
        <v>21</v>
      </c>
      <c r="K786" s="457" t="s">
        <v>135</v>
      </c>
      <c r="L786" s="457" t="s">
        <v>99</v>
      </c>
      <c r="M786" s="457" t="s">
        <v>32</v>
      </c>
      <c r="N786" s="468"/>
    </row>
    <row r="787" spans="1:14" s="469" customFormat="1" ht="14" outlineLevel="5">
      <c r="A787" s="465" t="s">
        <v>8</v>
      </c>
      <c r="B787" s="466" t="s">
        <v>853</v>
      </c>
      <c r="C787" s="338" t="s">
        <v>880</v>
      </c>
      <c r="D787" s="296">
        <v>544</v>
      </c>
      <c r="E787" s="294">
        <v>680</v>
      </c>
      <c r="F787" s="294">
        <v>5</v>
      </c>
      <c r="G787" s="8">
        <f t="shared" si="148"/>
        <v>2720</v>
      </c>
      <c r="H787" s="294">
        <f t="shared" si="150"/>
        <v>3400</v>
      </c>
      <c r="I787" s="467"/>
      <c r="J787" s="302" t="s">
        <v>21</v>
      </c>
      <c r="K787" s="457" t="s">
        <v>135</v>
      </c>
      <c r="L787" s="457" t="s">
        <v>99</v>
      </c>
      <c r="M787" s="457" t="s">
        <v>32</v>
      </c>
      <c r="N787" s="468"/>
    </row>
    <row r="788" spans="1:14" s="459" customFormat="1" ht="13" customHeight="1" outlineLevel="4">
      <c r="A788" s="452">
        <v>5</v>
      </c>
      <c r="B788" s="461" t="s">
        <v>895</v>
      </c>
      <c r="C788" s="464"/>
      <c r="D788" s="385"/>
      <c r="E788" s="385"/>
      <c r="F788" s="385"/>
      <c r="G788" s="385">
        <f>SUBTOTAL(9,G789:G801)</f>
        <v>0</v>
      </c>
      <c r="H788" s="385">
        <f>SUBTOTAL(9,H789:H801)</f>
        <v>129706.128</v>
      </c>
      <c r="I788" s="385"/>
      <c r="J788" s="302" t="s">
        <v>21</v>
      </c>
      <c r="K788" s="457"/>
      <c r="L788" s="457"/>
      <c r="M788" s="457" t="s">
        <v>32</v>
      </c>
      <c r="N788" s="458"/>
    </row>
    <row r="789" spans="1:14" s="469" customFormat="1" ht="14" outlineLevel="5">
      <c r="A789" s="465" t="s">
        <v>8</v>
      </c>
      <c r="B789" s="466" t="s">
        <v>891</v>
      </c>
      <c r="C789" s="338" t="s">
        <v>879</v>
      </c>
      <c r="D789" s="294"/>
      <c r="E789" s="294">
        <v>0</v>
      </c>
      <c r="F789" s="294">
        <v>14007.7</v>
      </c>
      <c r="G789" s="8">
        <f t="shared" ref="G789:G801" si="151">F789*D789</f>
        <v>0</v>
      </c>
      <c r="H789" s="294">
        <f t="shared" ref="H789" si="152">F789*E789</f>
        <v>0</v>
      </c>
      <c r="I789" s="467"/>
      <c r="J789" s="302" t="s">
        <v>21</v>
      </c>
      <c r="K789" s="457" t="s">
        <v>135</v>
      </c>
      <c r="L789" s="457" t="s">
        <v>99</v>
      </c>
      <c r="M789" s="457" t="s">
        <v>32</v>
      </c>
      <c r="N789" s="468"/>
    </row>
    <row r="790" spans="1:14" s="469" customFormat="1" ht="14" outlineLevel="5">
      <c r="A790" s="465" t="s">
        <v>8</v>
      </c>
      <c r="B790" s="466" t="s">
        <v>896</v>
      </c>
      <c r="C790" s="338" t="s">
        <v>23</v>
      </c>
      <c r="D790" s="294"/>
      <c r="E790" s="294">
        <v>2</v>
      </c>
      <c r="F790" s="294">
        <v>17250</v>
      </c>
      <c r="G790" s="8">
        <f t="shared" si="151"/>
        <v>0</v>
      </c>
      <c r="H790" s="294">
        <f t="shared" ref="H790:H801" si="153">F790*E790</f>
        <v>34500</v>
      </c>
      <c r="I790" s="467"/>
      <c r="J790" s="302" t="s">
        <v>21</v>
      </c>
      <c r="K790" s="457" t="s">
        <v>135</v>
      </c>
      <c r="L790" s="457" t="s">
        <v>99</v>
      </c>
      <c r="M790" s="457" t="s">
        <v>32</v>
      </c>
      <c r="N790" s="468"/>
    </row>
    <row r="791" spans="1:14" s="469" customFormat="1" ht="14" outlineLevel="5">
      <c r="A791" s="470" t="s">
        <v>8</v>
      </c>
      <c r="B791" s="471" t="s">
        <v>897</v>
      </c>
      <c r="C791" s="338" t="s">
        <v>23</v>
      </c>
      <c r="D791" s="294"/>
      <c r="E791" s="294">
        <v>4</v>
      </c>
      <c r="F791" s="294">
        <v>22091.131999999998</v>
      </c>
      <c r="G791" s="8">
        <f t="shared" si="151"/>
        <v>0</v>
      </c>
      <c r="H791" s="294">
        <f t="shared" si="153"/>
        <v>88364.527999999991</v>
      </c>
      <c r="I791" s="467"/>
      <c r="J791" s="302" t="s">
        <v>21</v>
      </c>
      <c r="K791" s="457" t="s">
        <v>135</v>
      </c>
      <c r="L791" s="457" t="s">
        <v>99</v>
      </c>
      <c r="M791" s="457" t="s">
        <v>32</v>
      </c>
      <c r="N791" s="468"/>
    </row>
    <row r="792" spans="1:14" s="469" customFormat="1" ht="14" outlineLevel="5">
      <c r="A792" s="470" t="s">
        <v>8</v>
      </c>
      <c r="B792" s="471" t="s">
        <v>898</v>
      </c>
      <c r="C792" s="338" t="s">
        <v>23</v>
      </c>
      <c r="D792" s="294"/>
      <c r="E792" s="294"/>
      <c r="F792" s="294">
        <v>58598</v>
      </c>
      <c r="G792" s="8">
        <f t="shared" si="151"/>
        <v>0</v>
      </c>
      <c r="H792" s="294">
        <f t="shared" si="153"/>
        <v>0</v>
      </c>
      <c r="I792" s="467"/>
      <c r="J792" s="302" t="s">
        <v>21</v>
      </c>
      <c r="K792" s="457" t="s">
        <v>135</v>
      </c>
      <c r="L792" s="457" t="s">
        <v>99</v>
      </c>
      <c r="M792" s="457" t="s">
        <v>32</v>
      </c>
      <c r="N792" s="468"/>
    </row>
    <row r="793" spans="1:14" s="469" customFormat="1" ht="14" outlineLevel="5">
      <c r="A793" s="465" t="s">
        <v>8</v>
      </c>
      <c r="B793" s="466" t="s">
        <v>899</v>
      </c>
      <c r="C793" s="338" t="s">
        <v>23</v>
      </c>
      <c r="D793" s="294"/>
      <c r="E793" s="294"/>
      <c r="F793" s="294">
        <v>18425</v>
      </c>
      <c r="G793" s="8">
        <f t="shared" si="151"/>
        <v>0</v>
      </c>
      <c r="H793" s="294">
        <f t="shared" si="153"/>
        <v>0</v>
      </c>
      <c r="I793" s="467"/>
      <c r="J793" s="302" t="s">
        <v>21</v>
      </c>
      <c r="K793" s="457" t="s">
        <v>135</v>
      </c>
      <c r="L793" s="457" t="s">
        <v>99</v>
      </c>
      <c r="M793" s="457" t="s">
        <v>32</v>
      </c>
      <c r="N793" s="468"/>
    </row>
    <row r="794" spans="1:14" s="469" customFormat="1" ht="14" outlineLevel="5">
      <c r="A794" s="465" t="s">
        <v>8</v>
      </c>
      <c r="B794" s="466" t="s">
        <v>892</v>
      </c>
      <c r="C794" s="338" t="s">
        <v>23</v>
      </c>
      <c r="D794" s="294"/>
      <c r="E794" s="294"/>
      <c r="F794" s="294">
        <v>29899.999999999996</v>
      </c>
      <c r="G794" s="8">
        <f t="shared" si="151"/>
        <v>0</v>
      </c>
      <c r="H794" s="294">
        <f t="shared" si="153"/>
        <v>0</v>
      </c>
      <c r="I794" s="467"/>
      <c r="J794" s="302" t="s">
        <v>21</v>
      </c>
      <c r="K794" s="457" t="s">
        <v>135</v>
      </c>
      <c r="L794" s="457" t="s">
        <v>99</v>
      </c>
      <c r="M794" s="457" t="s">
        <v>32</v>
      </c>
      <c r="N794" s="468"/>
    </row>
    <row r="795" spans="1:14" s="469" customFormat="1" ht="14" outlineLevel="5">
      <c r="A795" s="470" t="s">
        <v>8</v>
      </c>
      <c r="B795" s="471" t="s">
        <v>893</v>
      </c>
      <c r="C795" s="338" t="s">
        <v>148</v>
      </c>
      <c r="D795" s="294"/>
      <c r="E795" s="294"/>
      <c r="F795" s="294">
        <v>13</v>
      </c>
      <c r="G795" s="8">
        <f t="shared" si="151"/>
        <v>0</v>
      </c>
      <c r="H795" s="294">
        <f t="shared" si="153"/>
        <v>0</v>
      </c>
      <c r="I795" s="467"/>
      <c r="J795" s="302" t="s">
        <v>21</v>
      </c>
      <c r="K795" s="457" t="s">
        <v>135</v>
      </c>
      <c r="L795" s="457" t="s">
        <v>99</v>
      </c>
      <c r="M795" s="457" t="s">
        <v>32</v>
      </c>
      <c r="N795" s="468"/>
    </row>
    <row r="796" spans="1:14" s="469" customFormat="1" ht="14" outlineLevel="5">
      <c r="A796" s="470" t="s">
        <v>8</v>
      </c>
      <c r="B796" s="471" t="s">
        <v>894</v>
      </c>
      <c r="C796" s="338" t="s">
        <v>148</v>
      </c>
      <c r="D796" s="294"/>
      <c r="E796" s="294">
        <v>21.599999999999998</v>
      </c>
      <c r="F796" s="294">
        <v>13</v>
      </c>
      <c r="G796" s="8">
        <f t="shared" si="151"/>
        <v>0</v>
      </c>
      <c r="H796" s="294">
        <f t="shared" si="153"/>
        <v>280.79999999999995</v>
      </c>
      <c r="I796" s="467"/>
      <c r="J796" s="302" t="s">
        <v>21</v>
      </c>
      <c r="K796" s="457" t="s">
        <v>135</v>
      </c>
      <c r="L796" s="457" t="s">
        <v>99</v>
      </c>
      <c r="M796" s="457" t="s">
        <v>32</v>
      </c>
      <c r="N796" s="468"/>
    </row>
    <row r="797" spans="1:14" s="469" customFormat="1" ht="14" outlineLevel="5">
      <c r="A797" s="465" t="s">
        <v>8</v>
      </c>
      <c r="B797" s="466" t="s">
        <v>856</v>
      </c>
      <c r="C797" s="338" t="s">
        <v>148</v>
      </c>
      <c r="D797" s="294"/>
      <c r="E797" s="294">
        <v>50.4</v>
      </c>
      <c r="F797" s="294">
        <v>52</v>
      </c>
      <c r="G797" s="8">
        <f t="shared" si="151"/>
        <v>0</v>
      </c>
      <c r="H797" s="294">
        <f t="shared" si="153"/>
        <v>2620.7999999999997</v>
      </c>
      <c r="I797" s="467"/>
      <c r="J797" s="302" t="s">
        <v>21</v>
      </c>
      <c r="K797" s="457" t="s">
        <v>135</v>
      </c>
      <c r="L797" s="457" t="s">
        <v>99</v>
      </c>
      <c r="M797" s="457" t="s">
        <v>32</v>
      </c>
      <c r="N797" s="468"/>
    </row>
    <row r="798" spans="1:14" s="469" customFormat="1" ht="14" outlineLevel="5">
      <c r="A798" s="470" t="s">
        <v>8</v>
      </c>
      <c r="B798" s="471" t="s">
        <v>863</v>
      </c>
      <c r="C798" s="338" t="s">
        <v>148</v>
      </c>
      <c r="D798" s="294"/>
      <c r="E798" s="294">
        <v>20</v>
      </c>
      <c r="F798" s="294">
        <v>151</v>
      </c>
      <c r="G798" s="8">
        <f t="shared" si="151"/>
        <v>0</v>
      </c>
      <c r="H798" s="294">
        <f t="shared" si="153"/>
        <v>3020</v>
      </c>
      <c r="I798" s="467"/>
      <c r="J798" s="302" t="s">
        <v>21</v>
      </c>
      <c r="K798" s="457" t="s">
        <v>135</v>
      </c>
      <c r="L798" s="457" t="s">
        <v>99</v>
      </c>
      <c r="M798" s="457" t="s">
        <v>32</v>
      </c>
      <c r="N798" s="468"/>
    </row>
    <row r="799" spans="1:14" s="469" customFormat="1" ht="14" outlineLevel="5">
      <c r="A799" s="470" t="s">
        <v>8</v>
      </c>
      <c r="B799" s="471" t="s">
        <v>382</v>
      </c>
      <c r="C799" s="338" t="s">
        <v>880</v>
      </c>
      <c r="D799" s="294"/>
      <c r="E799" s="294"/>
      <c r="F799" s="294">
        <v>130</v>
      </c>
      <c r="G799" s="8">
        <f t="shared" si="151"/>
        <v>0</v>
      </c>
      <c r="H799" s="294">
        <f t="shared" si="153"/>
        <v>0</v>
      </c>
      <c r="I799" s="467"/>
      <c r="J799" s="302" t="s">
        <v>21</v>
      </c>
      <c r="K799" s="457" t="s">
        <v>135</v>
      </c>
      <c r="L799" s="457" t="s">
        <v>99</v>
      </c>
      <c r="M799" s="457" t="s">
        <v>32</v>
      </c>
      <c r="N799" s="468"/>
    </row>
    <row r="800" spans="1:14" s="469" customFormat="1" ht="14" outlineLevel="5">
      <c r="A800" s="470" t="s">
        <v>8</v>
      </c>
      <c r="B800" s="471" t="s">
        <v>384</v>
      </c>
      <c r="C800" s="338" t="s">
        <v>880</v>
      </c>
      <c r="D800" s="294"/>
      <c r="E800" s="294"/>
      <c r="F800" s="294">
        <v>125</v>
      </c>
      <c r="G800" s="8">
        <f t="shared" si="151"/>
        <v>0</v>
      </c>
      <c r="H800" s="294">
        <f t="shared" si="153"/>
        <v>0</v>
      </c>
      <c r="I800" s="467"/>
      <c r="J800" s="302" t="s">
        <v>21</v>
      </c>
      <c r="K800" s="457" t="s">
        <v>135</v>
      </c>
      <c r="L800" s="457" t="s">
        <v>99</v>
      </c>
      <c r="M800" s="457" t="s">
        <v>32</v>
      </c>
      <c r="N800" s="468"/>
    </row>
    <row r="801" spans="1:14" s="469" customFormat="1" ht="14" outlineLevel="5">
      <c r="A801" s="465" t="s">
        <v>8</v>
      </c>
      <c r="B801" s="466" t="s">
        <v>853</v>
      </c>
      <c r="C801" s="338" t="s">
        <v>880</v>
      </c>
      <c r="D801" s="294"/>
      <c r="E801" s="294">
        <v>184</v>
      </c>
      <c r="F801" s="294">
        <v>5</v>
      </c>
      <c r="G801" s="8">
        <f t="shared" si="151"/>
        <v>0</v>
      </c>
      <c r="H801" s="294">
        <f t="shared" si="153"/>
        <v>920</v>
      </c>
      <c r="I801" s="467"/>
      <c r="J801" s="302" t="s">
        <v>21</v>
      </c>
      <c r="K801" s="457" t="s">
        <v>135</v>
      </c>
      <c r="L801" s="457" t="s">
        <v>99</v>
      </c>
      <c r="M801" s="457" t="s">
        <v>32</v>
      </c>
      <c r="N801" s="468"/>
    </row>
    <row r="802" spans="1:14" s="459" customFormat="1" ht="13" customHeight="1" outlineLevel="4">
      <c r="A802" s="452">
        <v>6</v>
      </c>
      <c r="B802" s="463" t="s">
        <v>900</v>
      </c>
      <c r="C802" s="464"/>
      <c r="D802" s="385"/>
      <c r="E802" s="385"/>
      <c r="F802" s="385"/>
      <c r="G802" s="385">
        <f>SUBTOTAL(9,G803:G809)</f>
        <v>0</v>
      </c>
      <c r="H802" s="385">
        <f>SUBTOTAL(9,H803:H809)</f>
        <v>53338.2</v>
      </c>
      <c r="I802" s="385"/>
      <c r="J802" s="302" t="s">
        <v>21</v>
      </c>
      <c r="K802" s="457"/>
      <c r="L802" s="457"/>
      <c r="M802" s="457" t="s">
        <v>32</v>
      </c>
      <c r="N802" s="458"/>
    </row>
    <row r="803" spans="1:14" s="469" customFormat="1" ht="14" outlineLevel="5">
      <c r="A803" s="465" t="s">
        <v>8</v>
      </c>
      <c r="B803" s="466" t="s">
        <v>901</v>
      </c>
      <c r="C803" s="338" t="s">
        <v>879</v>
      </c>
      <c r="D803" s="294"/>
      <c r="E803" s="294">
        <v>14</v>
      </c>
      <c r="F803" s="294">
        <v>2000</v>
      </c>
      <c r="G803" s="8">
        <f t="shared" ref="G803:G809" si="154">F803*D803</f>
        <v>0</v>
      </c>
      <c r="H803" s="294">
        <f t="shared" ref="H803:H809" si="155">F803*E803</f>
        <v>28000</v>
      </c>
      <c r="I803" s="467"/>
      <c r="J803" s="302" t="s">
        <v>21</v>
      </c>
      <c r="K803" s="457" t="s">
        <v>135</v>
      </c>
      <c r="L803" s="457" t="s">
        <v>99</v>
      </c>
      <c r="M803" s="457" t="s">
        <v>32</v>
      </c>
      <c r="N803" s="468"/>
    </row>
    <row r="804" spans="1:14" s="469" customFormat="1" ht="14" outlineLevel="5">
      <c r="A804" s="465" t="s">
        <v>8</v>
      </c>
      <c r="B804" s="466" t="s">
        <v>893</v>
      </c>
      <c r="C804" s="338" t="s">
        <v>148</v>
      </c>
      <c r="D804" s="294"/>
      <c r="E804" s="294">
        <v>201.6</v>
      </c>
      <c r="F804" s="294">
        <v>13</v>
      </c>
      <c r="G804" s="8">
        <f t="shared" si="154"/>
        <v>0</v>
      </c>
      <c r="H804" s="294">
        <f t="shared" si="155"/>
        <v>2620.7999999999997</v>
      </c>
      <c r="I804" s="467"/>
      <c r="J804" s="302" t="s">
        <v>21</v>
      </c>
      <c r="K804" s="457" t="s">
        <v>135</v>
      </c>
      <c r="L804" s="457" t="s">
        <v>99</v>
      </c>
      <c r="M804" s="457" t="s">
        <v>32</v>
      </c>
      <c r="N804" s="468"/>
    </row>
    <row r="805" spans="1:14" s="469" customFormat="1" ht="14" outlineLevel="5">
      <c r="A805" s="470" t="s">
        <v>8</v>
      </c>
      <c r="B805" s="471" t="s">
        <v>894</v>
      </c>
      <c r="C805" s="338" t="s">
        <v>148</v>
      </c>
      <c r="D805" s="294"/>
      <c r="E805" s="294">
        <v>201.6</v>
      </c>
      <c r="F805" s="294">
        <v>13</v>
      </c>
      <c r="G805" s="8">
        <f t="shared" si="154"/>
        <v>0</v>
      </c>
      <c r="H805" s="294">
        <f t="shared" si="155"/>
        <v>2620.7999999999997</v>
      </c>
      <c r="I805" s="467"/>
      <c r="J805" s="302" t="s">
        <v>21</v>
      </c>
      <c r="K805" s="457" t="s">
        <v>135</v>
      </c>
      <c r="L805" s="457" t="s">
        <v>99</v>
      </c>
      <c r="M805" s="457" t="s">
        <v>32</v>
      </c>
      <c r="N805" s="468"/>
    </row>
    <row r="806" spans="1:14" s="469" customFormat="1" ht="14" outlineLevel="5">
      <c r="A806" s="470" t="s">
        <v>8</v>
      </c>
      <c r="B806" s="471" t="s">
        <v>856</v>
      </c>
      <c r="C806" s="338" t="s">
        <v>148</v>
      </c>
      <c r="D806" s="294"/>
      <c r="E806" s="294">
        <v>268.8</v>
      </c>
      <c r="F806" s="294">
        <v>52</v>
      </c>
      <c r="G806" s="8">
        <f t="shared" si="154"/>
        <v>0</v>
      </c>
      <c r="H806" s="294">
        <f t="shared" si="155"/>
        <v>13977.6</v>
      </c>
      <c r="I806" s="467"/>
      <c r="J806" s="302" t="s">
        <v>21</v>
      </c>
      <c r="K806" s="457" t="s">
        <v>135</v>
      </c>
      <c r="L806" s="457" t="s">
        <v>99</v>
      </c>
      <c r="M806" s="457" t="s">
        <v>32</v>
      </c>
      <c r="N806" s="468"/>
    </row>
    <row r="807" spans="1:14" s="469" customFormat="1" ht="14" outlineLevel="5">
      <c r="A807" s="465" t="s">
        <v>8</v>
      </c>
      <c r="B807" s="466" t="s">
        <v>382</v>
      </c>
      <c r="C807" s="338" t="s">
        <v>148</v>
      </c>
      <c r="D807" s="294"/>
      <c r="E807" s="294">
        <v>8</v>
      </c>
      <c r="F807" s="294">
        <v>130</v>
      </c>
      <c r="G807" s="8">
        <f t="shared" si="154"/>
        <v>0</v>
      </c>
      <c r="H807" s="294">
        <f t="shared" si="155"/>
        <v>1040</v>
      </c>
      <c r="I807" s="467"/>
      <c r="J807" s="302" t="s">
        <v>21</v>
      </c>
      <c r="K807" s="457" t="s">
        <v>135</v>
      </c>
      <c r="L807" s="457" t="s">
        <v>99</v>
      </c>
      <c r="M807" s="457" t="s">
        <v>32</v>
      </c>
      <c r="N807" s="468"/>
    </row>
    <row r="808" spans="1:14" s="469" customFormat="1" ht="14" outlineLevel="5">
      <c r="A808" s="465" t="s">
        <v>8</v>
      </c>
      <c r="B808" s="466" t="s">
        <v>384</v>
      </c>
      <c r="C808" s="338" t="s">
        <v>148</v>
      </c>
      <c r="D808" s="294"/>
      <c r="E808" s="294">
        <v>3</v>
      </c>
      <c r="F808" s="294">
        <v>125</v>
      </c>
      <c r="G808" s="8">
        <f t="shared" si="154"/>
        <v>0</v>
      </c>
      <c r="H808" s="294">
        <f t="shared" si="155"/>
        <v>375</v>
      </c>
      <c r="I808" s="467"/>
      <c r="J808" s="302" t="s">
        <v>21</v>
      </c>
      <c r="K808" s="457" t="s">
        <v>135</v>
      </c>
      <c r="L808" s="457" t="s">
        <v>99</v>
      </c>
      <c r="M808" s="457" t="s">
        <v>32</v>
      </c>
      <c r="N808" s="468"/>
    </row>
    <row r="809" spans="1:14" s="469" customFormat="1" ht="14" outlineLevel="5">
      <c r="A809" s="470" t="s">
        <v>8</v>
      </c>
      <c r="B809" s="471" t="s">
        <v>902</v>
      </c>
      <c r="C809" s="338" t="s">
        <v>880</v>
      </c>
      <c r="D809" s="294"/>
      <c r="E809" s="294">
        <v>940.8</v>
      </c>
      <c r="F809" s="294">
        <v>5</v>
      </c>
      <c r="G809" s="8">
        <f t="shared" si="154"/>
        <v>0</v>
      </c>
      <c r="H809" s="294">
        <f t="shared" si="155"/>
        <v>4704</v>
      </c>
      <c r="I809" s="467"/>
      <c r="J809" s="302" t="s">
        <v>21</v>
      </c>
      <c r="K809" s="457" t="s">
        <v>135</v>
      </c>
      <c r="L809" s="457" t="s">
        <v>99</v>
      </c>
      <c r="M809" s="457" t="s">
        <v>32</v>
      </c>
      <c r="N809" s="468"/>
    </row>
    <row r="810" spans="1:14" s="459" customFormat="1" ht="13" customHeight="1" outlineLevel="4">
      <c r="A810" s="452">
        <v>7</v>
      </c>
      <c r="B810" s="463" t="s">
        <v>903</v>
      </c>
      <c r="C810" s="464"/>
      <c r="D810" s="385"/>
      <c r="E810" s="385"/>
      <c r="F810" s="385"/>
      <c r="G810" s="385"/>
      <c r="H810" s="385">
        <f>SUBTOTAL(9,H811:H817)</f>
        <v>0</v>
      </c>
      <c r="I810" s="385"/>
      <c r="J810" s="302" t="s">
        <v>21</v>
      </c>
      <c r="K810" s="457"/>
      <c r="L810" s="457"/>
      <c r="M810" s="457" t="s">
        <v>32</v>
      </c>
      <c r="N810" s="458"/>
    </row>
    <row r="811" spans="1:14" s="469" customFormat="1" ht="14" outlineLevel="5">
      <c r="A811" s="465" t="s">
        <v>8</v>
      </c>
      <c r="B811" s="466" t="s">
        <v>904</v>
      </c>
      <c r="C811" s="338" t="s">
        <v>23</v>
      </c>
      <c r="D811" s="294"/>
      <c r="E811" s="294"/>
      <c r="F811" s="294"/>
      <c r="G811" s="8">
        <f t="shared" ref="G811:G817" si="156">F811*D811</f>
        <v>0</v>
      </c>
      <c r="H811" s="294">
        <f t="shared" ref="H811:H817" si="157">F811*E811</f>
        <v>0</v>
      </c>
      <c r="I811" s="467"/>
      <c r="J811" s="302" t="s">
        <v>21</v>
      </c>
      <c r="K811" s="457" t="s">
        <v>135</v>
      </c>
      <c r="L811" s="457" t="s">
        <v>99</v>
      </c>
      <c r="M811" s="457" t="s">
        <v>32</v>
      </c>
      <c r="N811" s="468"/>
    </row>
    <row r="812" spans="1:14" s="469" customFormat="1" ht="14" outlineLevel="5">
      <c r="A812" s="465" t="s">
        <v>8</v>
      </c>
      <c r="B812" s="466" t="s">
        <v>885</v>
      </c>
      <c r="C812" s="338" t="s">
        <v>23</v>
      </c>
      <c r="D812" s="294"/>
      <c r="E812" s="294"/>
      <c r="F812" s="294"/>
      <c r="G812" s="8">
        <f t="shared" si="156"/>
        <v>0</v>
      </c>
      <c r="H812" s="294">
        <f t="shared" si="157"/>
        <v>0</v>
      </c>
      <c r="I812" s="467"/>
      <c r="J812" s="302" t="s">
        <v>21</v>
      </c>
      <c r="K812" s="457" t="s">
        <v>135</v>
      </c>
      <c r="L812" s="457" t="s">
        <v>99</v>
      </c>
      <c r="M812" s="457" t="s">
        <v>32</v>
      </c>
      <c r="N812" s="468"/>
    </row>
    <row r="813" spans="1:14" s="469" customFormat="1" ht="14" outlineLevel="5">
      <c r="A813" s="470" t="s">
        <v>8</v>
      </c>
      <c r="B813" s="471" t="s">
        <v>905</v>
      </c>
      <c r="C813" s="338" t="s">
        <v>23</v>
      </c>
      <c r="D813" s="294"/>
      <c r="E813" s="294"/>
      <c r="F813" s="294"/>
      <c r="G813" s="8">
        <f t="shared" si="156"/>
        <v>0</v>
      </c>
      <c r="H813" s="294">
        <f t="shared" si="157"/>
        <v>0</v>
      </c>
      <c r="I813" s="467"/>
      <c r="J813" s="302" t="s">
        <v>21</v>
      </c>
      <c r="K813" s="457" t="s">
        <v>135</v>
      </c>
      <c r="L813" s="457" t="s">
        <v>99</v>
      </c>
      <c r="M813" s="457" t="s">
        <v>32</v>
      </c>
      <c r="N813" s="468"/>
    </row>
    <row r="814" spans="1:14" s="469" customFormat="1" ht="14" outlineLevel="5">
      <c r="A814" s="470" t="s">
        <v>8</v>
      </c>
      <c r="B814" s="471" t="s">
        <v>855</v>
      </c>
      <c r="C814" s="338" t="s">
        <v>148</v>
      </c>
      <c r="D814" s="294"/>
      <c r="E814" s="294"/>
      <c r="F814" s="294"/>
      <c r="G814" s="8">
        <f t="shared" si="156"/>
        <v>0</v>
      </c>
      <c r="H814" s="294">
        <f t="shared" si="157"/>
        <v>0</v>
      </c>
      <c r="I814" s="467"/>
      <c r="J814" s="302" t="s">
        <v>21</v>
      </c>
      <c r="K814" s="457" t="s">
        <v>135</v>
      </c>
      <c r="L814" s="457" t="s">
        <v>99</v>
      </c>
      <c r="M814" s="457" t="s">
        <v>32</v>
      </c>
      <c r="N814" s="468"/>
    </row>
    <row r="815" spans="1:14" s="469" customFormat="1" ht="14" outlineLevel="5">
      <c r="A815" s="465" t="s">
        <v>8</v>
      </c>
      <c r="B815" s="466" t="s">
        <v>894</v>
      </c>
      <c r="C815" s="338" t="s">
        <v>148</v>
      </c>
      <c r="D815" s="294"/>
      <c r="E815" s="294"/>
      <c r="F815" s="294"/>
      <c r="G815" s="8">
        <f t="shared" si="156"/>
        <v>0</v>
      </c>
      <c r="H815" s="294">
        <f t="shared" si="157"/>
        <v>0</v>
      </c>
      <c r="I815" s="467"/>
      <c r="J815" s="302" t="s">
        <v>21</v>
      </c>
      <c r="K815" s="457" t="s">
        <v>135</v>
      </c>
      <c r="L815" s="457" t="s">
        <v>99</v>
      </c>
      <c r="M815" s="457" t="s">
        <v>32</v>
      </c>
      <c r="N815" s="468"/>
    </row>
    <row r="816" spans="1:14" s="469" customFormat="1" ht="14" outlineLevel="5">
      <c r="A816" s="465" t="s">
        <v>8</v>
      </c>
      <c r="B816" s="466" t="s">
        <v>856</v>
      </c>
      <c r="C816" s="338" t="s">
        <v>148</v>
      </c>
      <c r="D816" s="294"/>
      <c r="E816" s="294"/>
      <c r="F816" s="294"/>
      <c r="G816" s="8">
        <f t="shared" si="156"/>
        <v>0</v>
      </c>
      <c r="H816" s="294">
        <f t="shared" si="157"/>
        <v>0</v>
      </c>
      <c r="I816" s="467"/>
      <c r="J816" s="302" t="s">
        <v>21</v>
      </c>
      <c r="K816" s="457" t="s">
        <v>135</v>
      </c>
      <c r="L816" s="457" t="s">
        <v>99</v>
      </c>
      <c r="M816" s="457" t="s">
        <v>32</v>
      </c>
      <c r="N816" s="468"/>
    </row>
    <row r="817" spans="1:17" s="469" customFormat="1" ht="14" outlineLevel="5">
      <c r="A817" s="470" t="s">
        <v>8</v>
      </c>
      <c r="B817" s="471" t="s">
        <v>853</v>
      </c>
      <c r="C817" s="338" t="s">
        <v>880</v>
      </c>
      <c r="D817" s="294"/>
      <c r="E817" s="294"/>
      <c r="F817" s="294"/>
      <c r="G817" s="8">
        <f t="shared" si="156"/>
        <v>0</v>
      </c>
      <c r="H817" s="294">
        <f t="shared" si="157"/>
        <v>0</v>
      </c>
      <c r="I817" s="467"/>
      <c r="J817" s="302" t="s">
        <v>21</v>
      </c>
      <c r="K817" s="457" t="s">
        <v>135</v>
      </c>
      <c r="L817" s="457" t="s">
        <v>99</v>
      </c>
      <c r="M817" s="457" t="s">
        <v>32</v>
      </c>
      <c r="N817" s="468"/>
    </row>
    <row r="818" spans="1:17" s="459" customFormat="1" ht="13" customHeight="1" outlineLevel="4">
      <c r="A818" s="452">
        <v>8</v>
      </c>
      <c r="B818" s="463" t="s">
        <v>906</v>
      </c>
      <c r="C818" s="464"/>
      <c r="D818" s="385"/>
      <c r="E818" s="385"/>
      <c r="F818" s="385"/>
      <c r="G818" s="385"/>
      <c r="H818" s="385">
        <f>SUBTOTAL(9,H819:H823)</f>
        <v>0</v>
      </c>
      <c r="I818" s="385"/>
      <c r="J818" s="302" t="s">
        <v>21</v>
      </c>
      <c r="K818" s="457"/>
      <c r="L818" s="457"/>
      <c r="M818" s="457" t="s">
        <v>32</v>
      </c>
      <c r="N818" s="458"/>
    </row>
    <row r="819" spans="1:17" s="469" customFormat="1" ht="14" outlineLevel="5">
      <c r="A819" s="465" t="s">
        <v>8</v>
      </c>
      <c r="B819" s="466" t="s">
        <v>378</v>
      </c>
      <c r="C819" s="338" t="s">
        <v>31</v>
      </c>
      <c r="D819" s="294"/>
      <c r="E819" s="294"/>
      <c r="F819" s="294"/>
      <c r="G819" s="8">
        <f t="shared" ref="G819:G823" si="158">F819*D819</f>
        <v>0</v>
      </c>
      <c r="H819" s="294">
        <f t="shared" ref="H819:H823" si="159">F819*E819</f>
        <v>0</v>
      </c>
      <c r="I819" s="467"/>
      <c r="J819" s="302" t="s">
        <v>21</v>
      </c>
      <c r="K819" s="457" t="s">
        <v>135</v>
      </c>
      <c r="L819" s="457" t="s">
        <v>99</v>
      </c>
      <c r="M819" s="457" t="s">
        <v>32</v>
      </c>
      <c r="N819" s="468"/>
    </row>
    <row r="820" spans="1:17" s="469" customFormat="1" ht="14" outlineLevel="5">
      <c r="A820" s="465" t="s">
        <v>8</v>
      </c>
      <c r="B820" s="466" t="s">
        <v>379</v>
      </c>
      <c r="C820" s="338" t="s">
        <v>380</v>
      </c>
      <c r="D820" s="294"/>
      <c r="E820" s="294"/>
      <c r="F820" s="294"/>
      <c r="G820" s="8">
        <f t="shared" si="158"/>
        <v>0</v>
      </c>
      <c r="H820" s="294">
        <f t="shared" si="159"/>
        <v>0</v>
      </c>
      <c r="I820" s="467"/>
      <c r="J820" s="302" t="s">
        <v>21</v>
      </c>
      <c r="K820" s="457" t="s">
        <v>135</v>
      </c>
      <c r="L820" s="457" t="s">
        <v>99</v>
      </c>
      <c r="M820" s="457" t="s">
        <v>32</v>
      </c>
      <c r="N820" s="468"/>
    </row>
    <row r="821" spans="1:17" s="469" customFormat="1" ht="14" outlineLevel="5">
      <c r="A821" s="470" t="s">
        <v>8</v>
      </c>
      <c r="B821" s="471" t="s">
        <v>381</v>
      </c>
      <c r="C821" s="338" t="s">
        <v>380</v>
      </c>
      <c r="D821" s="294"/>
      <c r="E821" s="294"/>
      <c r="F821" s="294"/>
      <c r="G821" s="8">
        <f t="shared" si="158"/>
        <v>0</v>
      </c>
      <c r="H821" s="294">
        <f t="shared" si="159"/>
        <v>0</v>
      </c>
      <c r="I821" s="467"/>
      <c r="J821" s="302" t="s">
        <v>21</v>
      </c>
      <c r="K821" s="457" t="s">
        <v>135</v>
      </c>
      <c r="L821" s="457" t="s">
        <v>99</v>
      </c>
      <c r="M821" s="457" t="s">
        <v>32</v>
      </c>
      <c r="N821" s="468"/>
    </row>
    <row r="822" spans="1:17" s="469" customFormat="1" ht="14" outlineLevel="5">
      <c r="A822" s="470" t="s">
        <v>8</v>
      </c>
      <c r="B822" s="471" t="s">
        <v>382</v>
      </c>
      <c r="C822" s="338" t="s">
        <v>880</v>
      </c>
      <c r="D822" s="294"/>
      <c r="E822" s="294"/>
      <c r="F822" s="294"/>
      <c r="G822" s="8">
        <f t="shared" si="158"/>
        <v>0</v>
      </c>
      <c r="H822" s="294">
        <f t="shared" si="159"/>
        <v>0</v>
      </c>
      <c r="I822" s="467"/>
      <c r="J822" s="302" t="s">
        <v>21</v>
      </c>
      <c r="K822" s="457" t="s">
        <v>135</v>
      </c>
      <c r="L822" s="457" t="s">
        <v>99</v>
      </c>
      <c r="M822" s="457" t="s">
        <v>32</v>
      </c>
      <c r="N822" s="468"/>
    </row>
    <row r="823" spans="1:17" s="469" customFormat="1" ht="14" outlineLevel="5">
      <c r="A823" s="465" t="s">
        <v>8</v>
      </c>
      <c r="B823" s="466" t="s">
        <v>384</v>
      </c>
      <c r="C823" s="338" t="s">
        <v>880</v>
      </c>
      <c r="D823" s="294"/>
      <c r="E823" s="294"/>
      <c r="F823" s="294"/>
      <c r="G823" s="8">
        <f t="shared" si="158"/>
        <v>0</v>
      </c>
      <c r="H823" s="294">
        <f t="shared" si="159"/>
        <v>0</v>
      </c>
      <c r="I823" s="467"/>
      <c r="J823" s="302" t="s">
        <v>21</v>
      </c>
      <c r="K823" s="457" t="s">
        <v>135</v>
      </c>
      <c r="L823" s="457" t="s">
        <v>99</v>
      </c>
      <c r="M823" s="457" t="s">
        <v>32</v>
      </c>
      <c r="N823" s="468"/>
    </row>
    <row r="824" spans="1:17" s="305" customFormat="1" ht="14" outlineLevel="2">
      <c r="A824" s="280" t="s">
        <v>12</v>
      </c>
      <c r="B824" s="242" t="s">
        <v>1211</v>
      </c>
      <c r="C824" s="289"/>
      <c r="D824" s="290"/>
      <c r="E824" s="290"/>
      <c r="F824" s="290"/>
      <c r="G824" s="283">
        <f>SUBTOTAL(9,G825:G835)</f>
        <v>115500</v>
      </c>
      <c r="H824" s="283">
        <f>SUBTOTAL(9,H825:H860)</f>
        <v>159742</v>
      </c>
      <c r="I824" s="284"/>
      <c r="J824" s="302" t="s">
        <v>21</v>
      </c>
      <c r="K824" s="303"/>
      <c r="L824" s="303"/>
      <c r="M824" s="304" t="s">
        <v>147</v>
      </c>
      <c r="N824" s="304"/>
      <c r="P824" s="306"/>
      <c r="Q824" s="348" t="s">
        <v>147</v>
      </c>
    </row>
    <row r="825" spans="1:17" s="308" customFormat="1" ht="14" outlineLevel="3">
      <c r="A825" s="292" t="s">
        <v>8</v>
      </c>
      <c r="B825" s="307" t="s">
        <v>51</v>
      </c>
      <c r="C825" s="289"/>
      <c r="D825" s="290"/>
      <c r="E825" s="290"/>
      <c r="F825" s="290"/>
      <c r="G825" s="290"/>
      <c r="H825" s="290">
        <f t="shared" ref="H825:H835" si="160">F825*E825</f>
        <v>0</v>
      </c>
      <c r="I825" s="291"/>
      <c r="J825" s="302" t="s">
        <v>21</v>
      </c>
      <c r="K825" s="303" t="s">
        <v>113</v>
      </c>
      <c r="L825" s="303" t="s">
        <v>99</v>
      </c>
      <c r="M825" s="304" t="s">
        <v>147</v>
      </c>
      <c r="N825" s="303"/>
      <c r="P825" s="309"/>
      <c r="Q825" s="348" t="s">
        <v>147</v>
      </c>
    </row>
    <row r="826" spans="1:17" s="308" customFormat="1" ht="14" outlineLevel="3">
      <c r="A826" s="292" t="s">
        <v>8</v>
      </c>
      <c r="B826" s="349" t="s">
        <v>221</v>
      </c>
      <c r="C826" s="289" t="s">
        <v>25</v>
      </c>
      <c r="D826" s="290"/>
      <c r="E826" s="290"/>
      <c r="F826" s="290"/>
      <c r="G826" s="8">
        <f t="shared" ref="G826:G827" si="161">F826*D826</f>
        <v>0</v>
      </c>
      <c r="H826" s="290">
        <f t="shared" si="160"/>
        <v>0</v>
      </c>
      <c r="I826" s="291"/>
      <c r="J826" s="302" t="s">
        <v>21</v>
      </c>
      <c r="K826" s="303" t="s">
        <v>113</v>
      </c>
      <c r="L826" s="303" t="s">
        <v>99</v>
      </c>
      <c r="M826" s="304" t="s">
        <v>147</v>
      </c>
      <c r="N826" s="325"/>
      <c r="P826" s="309"/>
      <c r="Q826" s="348" t="s">
        <v>147</v>
      </c>
    </row>
    <row r="827" spans="1:17" s="308" customFormat="1" ht="14" outlineLevel="3">
      <c r="A827" s="292" t="s">
        <v>8</v>
      </c>
      <c r="B827" s="349" t="s">
        <v>222</v>
      </c>
      <c r="C827" s="289" t="s">
        <v>25</v>
      </c>
      <c r="D827" s="290"/>
      <c r="E827" s="290"/>
      <c r="F827" s="290"/>
      <c r="G827" s="8">
        <f t="shared" si="161"/>
        <v>0</v>
      </c>
      <c r="H827" s="290">
        <f t="shared" si="160"/>
        <v>0</v>
      </c>
      <c r="I827" s="291"/>
      <c r="J827" s="302" t="s">
        <v>21</v>
      </c>
      <c r="K827" s="303" t="s">
        <v>113</v>
      </c>
      <c r="L827" s="303" t="s">
        <v>99</v>
      </c>
      <c r="M827" s="304" t="s">
        <v>147</v>
      </c>
      <c r="N827" s="325"/>
      <c r="P827" s="309"/>
      <c r="Q827" s="348" t="s">
        <v>147</v>
      </c>
    </row>
    <row r="828" spans="1:17" s="308" customFormat="1" ht="14" outlineLevel="3">
      <c r="A828" s="292" t="s">
        <v>8</v>
      </c>
      <c r="B828" s="349" t="s">
        <v>46</v>
      </c>
      <c r="C828" s="289"/>
      <c r="D828" s="290"/>
      <c r="E828" s="290"/>
      <c r="F828" s="290"/>
      <c r="G828" s="290"/>
      <c r="H828" s="290">
        <f t="shared" si="160"/>
        <v>0</v>
      </c>
      <c r="I828" s="291"/>
      <c r="J828" s="302" t="s">
        <v>21</v>
      </c>
      <c r="K828" s="303" t="s">
        <v>113</v>
      </c>
      <c r="L828" s="303" t="s">
        <v>99</v>
      </c>
      <c r="M828" s="304" t="s">
        <v>147</v>
      </c>
      <c r="N828" s="325"/>
      <c r="P828" s="309"/>
      <c r="Q828" s="348" t="s">
        <v>147</v>
      </c>
    </row>
    <row r="829" spans="1:17" s="308" customFormat="1" ht="14" outlineLevel="3">
      <c r="A829" s="292" t="s">
        <v>8</v>
      </c>
      <c r="B829" s="349" t="s">
        <v>123</v>
      </c>
      <c r="C829" s="289" t="s">
        <v>25</v>
      </c>
      <c r="D829" s="290"/>
      <c r="E829" s="290"/>
      <c r="F829" s="290"/>
      <c r="G829" s="8">
        <f t="shared" ref="G829:G835" si="162">F829*D829</f>
        <v>0</v>
      </c>
      <c r="H829" s="290">
        <f t="shared" si="160"/>
        <v>0</v>
      </c>
      <c r="I829" s="291"/>
      <c r="J829" s="302" t="s">
        <v>21</v>
      </c>
      <c r="K829" s="303" t="s">
        <v>113</v>
      </c>
      <c r="L829" s="303" t="s">
        <v>99</v>
      </c>
      <c r="M829" s="304" t="s">
        <v>147</v>
      </c>
      <c r="N829" s="325"/>
      <c r="P829" s="309"/>
      <c r="Q829" s="348" t="s">
        <v>147</v>
      </c>
    </row>
    <row r="830" spans="1:17" s="308" customFormat="1" ht="14" outlineLevel="3">
      <c r="A830" s="292" t="s">
        <v>8</v>
      </c>
      <c r="B830" s="349" t="s">
        <v>223</v>
      </c>
      <c r="C830" s="289" t="s">
        <v>25</v>
      </c>
      <c r="D830" s="290"/>
      <c r="E830" s="290"/>
      <c r="F830" s="290"/>
      <c r="G830" s="8">
        <f t="shared" si="162"/>
        <v>0</v>
      </c>
      <c r="H830" s="290">
        <f t="shared" si="160"/>
        <v>0</v>
      </c>
      <c r="I830" s="291"/>
      <c r="J830" s="302" t="s">
        <v>21</v>
      </c>
      <c r="K830" s="303" t="s">
        <v>113</v>
      </c>
      <c r="L830" s="303" t="s">
        <v>99</v>
      </c>
      <c r="M830" s="304" t="s">
        <v>147</v>
      </c>
      <c r="N830" s="325"/>
      <c r="P830" s="309"/>
      <c r="Q830" s="348" t="s">
        <v>147</v>
      </c>
    </row>
    <row r="831" spans="1:17" s="308" customFormat="1" ht="14" outlineLevel="3">
      <c r="A831" s="292" t="s">
        <v>8</v>
      </c>
      <c r="B831" s="350" t="s">
        <v>741</v>
      </c>
      <c r="C831" s="289" t="s">
        <v>25</v>
      </c>
      <c r="D831" s="290">
        <v>210</v>
      </c>
      <c r="E831" s="290">
        <v>27</v>
      </c>
      <c r="F831" s="231">
        <v>550</v>
      </c>
      <c r="G831" s="8">
        <f t="shared" si="162"/>
        <v>115500</v>
      </c>
      <c r="H831" s="290">
        <f t="shared" si="160"/>
        <v>14850</v>
      </c>
      <c r="I831" s="291"/>
      <c r="J831" s="302" t="s">
        <v>21</v>
      </c>
      <c r="K831" s="303" t="s">
        <v>113</v>
      </c>
      <c r="L831" s="303" t="s">
        <v>99</v>
      </c>
      <c r="M831" s="304" t="s">
        <v>147</v>
      </c>
      <c r="N831" s="325"/>
      <c r="P831" s="309"/>
      <c r="Q831" s="348" t="s">
        <v>147</v>
      </c>
    </row>
    <row r="832" spans="1:17" s="308" customFormat="1" ht="14" outlineLevel="3">
      <c r="A832" s="292" t="s">
        <v>8</v>
      </c>
      <c r="B832" s="349" t="s">
        <v>225</v>
      </c>
      <c r="C832" s="289" t="s">
        <v>25</v>
      </c>
      <c r="D832" s="290"/>
      <c r="E832" s="290"/>
      <c r="F832" s="290"/>
      <c r="G832" s="8">
        <f t="shared" si="162"/>
        <v>0</v>
      </c>
      <c r="H832" s="290">
        <f t="shared" si="160"/>
        <v>0</v>
      </c>
      <c r="I832" s="291"/>
      <c r="J832" s="302" t="s">
        <v>21</v>
      </c>
      <c r="K832" s="303" t="s">
        <v>113</v>
      </c>
      <c r="L832" s="303" t="s">
        <v>99</v>
      </c>
      <c r="M832" s="304" t="s">
        <v>147</v>
      </c>
      <c r="N832" s="325"/>
      <c r="P832" s="309"/>
      <c r="Q832" s="348" t="s">
        <v>147</v>
      </c>
    </row>
    <row r="833" spans="1:17" s="308" customFormat="1" ht="14" outlineLevel="3">
      <c r="A833" s="292" t="s">
        <v>8</v>
      </c>
      <c r="B833" s="349" t="s">
        <v>226</v>
      </c>
      <c r="C833" s="289" t="s">
        <v>25</v>
      </c>
      <c r="D833" s="290"/>
      <c r="E833" s="290"/>
      <c r="F833" s="290"/>
      <c r="G833" s="8">
        <f t="shared" si="162"/>
        <v>0</v>
      </c>
      <c r="H833" s="290">
        <f t="shared" si="160"/>
        <v>0</v>
      </c>
      <c r="I833" s="291"/>
      <c r="J833" s="302" t="s">
        <v>21</v>
      </c>
      <c r="K833" s="303" t="s">
        <v>113</v>
      </c>
      <c r="L833" s="303" t="s">
        <v>99</v>
      </c>
      <c r="M833" s="304" t="s">
        <v>147</v>
      </c>
      <c r="N833" s="325"/>
      <c r="P833" s="309"/>
      <c r="Q833" s="348" t="s">
        <v>147</v>
      </c>
    </row>
    <row r="834" spans="1:17" s="308" customFormat="1" ht="14" outlineLevel="3">
      <c r="A834" s="292" t="s">
        <v>8</v>
      </c>
      <c r="B834" s="349" t="s">
        <v>227</v>
      </c>
      <c r="C834" s="289" t="s">
        <v>25</v>
      </c>
      <c r="D834" s="290"/>
      <c r="E834" s="290"/>
      <c r="F834" s="290"/>
      <c r="G834" s="8">
        <f t="shared" si="162"/>
        <v>0</v>
      </c>
      <c r="H834" s="290">
        <f t="shared" si="160"/>
        <v>0</v>
      </c>
      <c r="I834" s="291"/>
      <c r="J834" s="302" t="s">
        <v>21</v>
      </c>
      <c r="K834" s="303" t="s">
        <v>113</v>
      </c>
      <c r="L834" s="303" t="s">
        <v>99</v>
      </c>
      <c r="M834" s="304" t="s">
        <v>147</v>
      </c>
      <c r="N834" s="325"/>
      <c r="P834" s="309"/>
      <c r="Q834" s="348" t="s">
        <v>147</v>
      </c>
    </row>
    <row r="835" spans="1:17" s="308" customFormat="1" ht="14" outlineLevel="3">
      <c r="A835" s="292" t="s">
        <v>8</v>
      </c>
      <c r="B835" s="349" t="s">
        <v>228</v>
      </c>
      <c r="C835" s="289" t="s">
        <v>25</v>
      </c>
      <c r="D835" s="290"/>
      <c r="E835" s="290"/>
      <c r="F835" s="290"/>
      <c r="G835" s="8">
        <f t="shared" si="162"/>
        <v>0</v>
      </c>
      <c r="H835" s="290">
        <f t="shared" si="160"/>
        <v>0</v>
      </c>
      <c r="I835" s="291"/>
      <c r="J835" s="302" t="s">
        <v>21</v>
      </c>
      <c r="K835" s="303" t="s">
        <v>113</v>
      </c>
      <c r="L835" s="303" t="s">
        <v>99</v>
      </c>
      <c r="M835" s="304" t="s">
        <v>147</v>
      </c>
      <c r="N835" s="325"/>
      <c r="P835" s="309"/>
      <c r="Q835" s="348" t="s">
        <v>147</v>
      </c>
    </row>
    <row r="836" spans="1:17" s="305" customFormat="1" ht="14" outlineLevel="2">
      <c r="A836" s="280" t="s">
        <v>19</v>
      </c>
      <c r="B836" s="242" t="s">
        <v>743</v>
      </c>
      <c r="C836" s="289"/>
      <c r="D836" s="290"/>
      <c r="E836" s="290"/>
      <c r="F836" s="290"/>
      <c r="G836" s="283">
        <f>SUBTOTAL(9,G837:G837)</f>
        <v>213500</v>
      </c>
      <c r="H836" s="283">
        <f>SUBTOTAL(9,H837:H837)</f>
        <v>122500</v>
      </c>
      <c r="I836" s="284"/>
      <c r="J836" s="302" t="s">
        <v>21</v>
      </c>
      <c r="K836" s="303"/>
      <c r="L836" s="303"/>
      <c r="M836" s="304" t="s">
        <v>147</v>
      </c>
      <c r="N836" s="304"/>
      <c r="P836" s="306"/>
      <c r="Q836" s="348" t="s">
        <v>147</v>
      </c>
    </row>
    <row r="837" spans="1:17" s="308" customFormat="1" ht="14" outlineLevel="3">
      <c r="A837" s="292" t="s">
        <v>8</v>
      </c>
      <c r="B837" s="351" t="s">
        <v>743</v>
      </c>
      <c r="C837" s="289" t="s">
        <v>744</v>
      </c>
      <c r="D837" s="290">
        <v>61</v>
      </c>
      <c r="E837" s="290">
        <v>35</v>
      </c>
      <c r="F837" s="290">
        <v>3500</v>
      </c>
      <c r="G837" s="8">
        <f t="shared" ref="G837" si="163">F837*D837</f>
        <v>213500</v>
      </c>
      <c r="H837" s="290">
        <f t="shared" ref="H837" si="164">F837*E837</f>
        <v>122500</v>
      </c>
      <c r="I837" s="291"/>
      <c r="J837" s="302" t="s">
        <v>21</v>
      </c>
      <c r="K837" s="303" t="s">
        <v>113</v>
      </c>
      <c r="L837" s="303" t="s">
        <v>99</v>
      </c>
      <c r="M837" s="304" t="s">
        <v>147</v>
      </c>
      <c r="N837" s="325"/>
      <c r="P837" s="309"/>
      <c r="Q837" s="348" t="s">
        <v>147</v>
      </c>
    </row>
    <row r="838" spans="1:17" s="305" customFormat="1" ht="14" outlineLevel="2">
      <c r="A838" s="280" t="s">
        <v>26</v>
      </c>
      <c r="B838" s="242" t="s">
        <v>47</v>
      </c>
      <c r="C838" s="282"/>
      <c r="D838" s="283"/>
      <c r="E838" s="283"/>
      <c r="F838" s="283"/>
      <c r="G838" s="283">
        <f>SUBTOTAL(9,G839:G860)</f>
        <v>174160</v>
      </c>
      <c r="H838" s="283">
        <f>SUBTOTAL(9,H839:H860)</f>
        <v>22392</v>
      </c>
      <c r="I838" s="352"/>
      <c r="J838" s="302" t="s">
        <v>21</v>
      </c>
      <c r="K838" s="303"/>
      <c r="L838" s="303"/>
      <c r="M838" s="304" t="s">
        <v>147</v>
      </c>
      <c r="N838" s="304"/>
      <c r="P838" s="306"/>
      <c r="Q838" s="348" t="s">
        <v>147</v>
      </c>
    </row>
    <row r="839" spans="1:17" s="305" customFormat="1" ht="14" outlineLevel="3">
      <c r="A839" s="280">
        <v>1</v>
      </c>
      <c r="B839" s="242" t="s">
        <v>89</v>
      </c>
      <c r="C839" s="282"/>
      <c r="D839" s="283"/>
      <c r="E839" s="283"/>
      <c r="F839" s="283"/>
      <c r="G839" s="283"/>
      <c r="H839" s="283"/>
      <c r="I839" s="284"/>
      <c r="J839" s="302" t="s">
        <v>21</v>
      </c>
      <c r="K839" s="303"/>
      <c r="L839" s="303"/>
      <c r="M839" s="304" t="s">
        <v>147</v>
      </c>
      <c r="N839" s="304"/>
      <c r="P839" s="306"/>
      <c r="Q839" s="348" t="s">
        <v>147</v>
      </c>
    </row>
    <row r="840" spans="1:17" s="308" customFormat="1" ht="14" outlineLevel="3">
      <c r="A840" s="292" t="s">
        <v>8</v>
      </c>
      <c r="B840" s="349" t="s">
        <v>229</v>
      </c>
      <c r="C840" s="289" t="s">
        <v>24</v>
      </c>
      <c r="D840" s="290">
        <v>2205</v>
      </c>
      <c r="E840" s="290">
        <v>283.5</v>
      </c>
      <c r="F840" s="231">
        <v>4.2</v>
      </c>
      <c r="G840" s="8">
        <f t="shared" ref="G840:G857" si="165">F840*D840</f>
        <v>9261</v>
      </c>
      <c r="H840" s="290">
        <f>E840*F840</f>
        <v>1190.7</v>
      </c>
      <c r="I840" s="291"/>
      <c r="J840" s="302" t="s">
        <v>21</v>
      </c>
      <c r="K840" s="303" t="s">
        <v>113</v>
      </c>
      <c r="L840" s="303" t="s">
        <v>99</v>
      </c>
      <c r="M840" s="304" t="s">
        <v>147</v>
      </c>
      <c r="N840" s="325"/>
      <c r="P840" s="309"/>
      <c r="Q840" s="348" t="s">
        <v>147</v>
      </c>
    </row>
    <row r="841" spans="1:17" s="308" customFormat="1" ht="14" outlineLevel="3">
      <c r="A841" s="292" t="s">
        <v>8</v>
      </c>
      <c r="B841" s="349" t="s">
        <v>230</v>
      </c>
      <c r="C841" s="289" t="s">
        <v>24</v>
      </c>
      <c r="D841" s="290"/>
      <c r="E841" s="290"/>
      <c r="F841" s="290"/>
      <c r="G841" s="8">
        <f t="shared" si="165"/>
        <v>0</v>
      </c>
      <c r="H841" s="290">
        <f t="shared" ref="H841:H857" si="166">F841*E841</f>
        <v>0</v>
      </c>
      <c r="I841" s="291"/>
      <c r="J841" s="302" t="s">
        <v>21</v>
      </c>
      <c r="K841" s="303" t="s">
        <v>113</v>
      </c>
      <c r="L841" s="303" t="s">
        <v>99</v>
      </c>
      <c r="M841" s="304" t="s">
        <v>147</v>
      </c>
      <c r="N841" s="325"/>
      <c r="P841" s="309"/>
      <c r="Q841" s="348" t="s">
        <v>147</v>
      </c>
    </row>
    <row r="842" spans="1:17" s="308" customFormat="1" ht="14" outlineLevel="3">
      <c r="A842" s="292" t="s">
        <v>8</v>
      </c>
      <c r="B842" s="349" t="s">
        <v>231</v>
      </c>
      <c r="C842" s="289" t="s">
        <v>24</v>
      </c>
      <c r="D842" s="290">
        <v>735</v>
      </c>
      <c r="E842" s="290">
        <v>94.5</v>
      </c>
      <c r="F842" s="231">
        <v>5</v>
      </c>
      <c r="G842" s="8">
        <f t="shared" si="165"/>
        <v>3675</v>
      </c>
      <c r="H842" s="290">
        <f t="shared" si="166"/>
        <v>472.5</v>
      </c>
      <c r="I842" s="291"/>
      <c r="J842" s="302" t="s">
        <v>21</v>
      </c>
      <c r="K842" s="303" t="s">
        <v>113</v>
      </c>
      <c r="L842" s="303" t="s">
        <v>99</v>
      </c>
      <c r="M842" s="304" t="s">
        <v>147</v>
      </c>
      <c r="N842" s="325"/>
      <c r="P842" s="309"/>
      <c r="Q842" s="348" t="s">
        <v>147</v>
      </c>
    </row>
    <row r="843" spans="1:17" s="308" customFormat="1" ht="14" outlineLevel="3">
      <c r="A843" s="292" t="s">
        <v>8</v>
      </c>
      <c r="B843" s="349" t="s">
        <v>232</v>
      </c>
      <c r="C843" s="289" t="s">
        <v>24</v>
      </c>
      <c r="D843" s="290"/>
      <c r="E843" s="290"/>
      <c r="F843" s="290"/>
      <c r="G843" s="8">
        <f t="shared" si="165"/>
        <v>0</v>
      </c>
      <c r="H843" s="290">
        <f t="shared" si="166"/>
        <v>0</v>
      </c>
      <c r="I843" s="291"/>
      <c r="J843" s="302" t="s">
        <v>21</v>
      </c>
      <c r="K843" s="303" t="s">
        <v>113</v>
      </c>
      <c r="L843" s="303" t="s">
        <v>99</v>
      </c>
      <c r="M843" s="304" t="s">
        <v>147</v>
      </c>
      <c r="N843" s="325"/>
      <c r="P843" s="309"/>
      <c r="Q843" s="348" t="s">
        <v>147</v>
      </c>
    </row>
    <row r="844" spans="1:17" s="308" customFormat="1" ht="14" outlineLevel="3">
      <c r="A844" s="292" t="s">
        <v>8</v>
      </c>
      <c r="B844" s="349" t="s">
        <v>233</v>
      </c>
      <c r="C844" s="289" t="s">
        <v>24</v>
      </c>
      <c r="D844" s="290"/>
      <c r="E844" s="290"/>
      <c r="F844" s="290"/>
      <c r="G844" s="8">
        <f t="shared" si="165"/>
        <v>0</v>
      </c>
      <c r="H844" s="290">
        <f t="shared" si="166"/>
        <v>0</v>
      </c>
      <c r="I844" s="291"/>
      <c r="J844" s="302" t="s">
        <v>21</v>
      </c>
      <c r="K844" s="303" t="s">
        <v>113</v>
      </c>
      <c r="L844" s="303" t="s">
        <v>99</v>
      </c>
      <c r="M844" s="304" t="s">
        <v>147</v>
      </c>
      <c r="N844" s="325"/>
      <c r="P844" s="309"/>
      <c r="Q844" s="348" t="s">
        <v>147</v>
      </c>
    </row>
    <row r="845" spans="1:17" s="308" customFormat="1" ht="14" outlineLevel="3">
      <c r="A845" s="292" t="s">
        <v>8</v>
      </c>
      <c r="B845" s="349" t="s">
        <v>234</v>
      </c>
      <c r="C845" s="289" t="s">
        <v>24</v>
      </c>
      <c r="D845" s="290"/>
      <c r="E845" s="290"/>
      <c r="F845" s="290"/>
      <c r="G845" s="8">
        <f t="shared" si="165"/>
        <v>0</v>
      </c>
      <c r="H845" s="290">
        <f t="shared" si="166"/>
        <v>0</v>
      </c>
      <c r="I845" s="291"/>
      <c r="J845" s="302" t="s">
        <v>21</v>
      </c>
      <c r="K845" s="303" t="s">
        <v>113</v>
      </c>
      <c r="L845" s="303" t="s">
        <v>99</v>
      </c>
      <c r="M845" s="304" t="s">
        <v>147</v>
      </c>
      <c r="N845" s="325"/>
      <c r="P845" s="309"/>
      <c r="Q845" s="348" t="s">
        <v>147</v>
      </c>
    </row>
    <row r="846" spans="1:17" s="308" customFormat="1" ht="14" outlineLevel="3">
      <c r="A846" s="292" t="s">
        <v>8</v>
      </c>
      <c r="B846" s="349" t="s">
        <v>746</v>
      </c>
      <c r="C846" s="289" t="s">
        <v>24</v>
      </c>
      <c r="D846" s="290">
        <v>70</v>
      </c>
      <c r="E846" s="290">
        <v>9</v>
      </c>
      <c r="F846" s="231">
        <v>12</v>
      </c>
      <c r="G846" s="8">
        <f t="shared" si="165"/>
        <v>840</v>
      </c>
      <c r="H846" s="290">
        <f t="shared" si="166"/>
        <v>108</v>
      </c>
      <c r="I846" s="291"/>
      <c r="J846" s="302" t="s">
        <v>21</v>
      </c>
      <c r="K846" s="303" t="s">
        <v>113</v>
      </c>
      <c r="L846" s="303" t="s">
        <v>99</v>
      </c>
      <c r="M846" s="304" t="s">
        <v>147</v>
      </c>
      <c r="N846" s="325"/>
      <c r="P846" s="309"/>
      <c r="Q846" s="348" t="s">
        <v>147</v>
      </c>
    </row>
    <row r="847" spans="1:17" s="308" customFormat="1" ht="14" outlineLevel="3">
      <c r="A847" s="292" t="s">
        <v>8</v>
      </c>
      <c r="B847" s="349" t="s">
        <v>747</v>
      </c>
      <c r="C847" s="289" t="s">
        <v>24</v>
      </c>
      <c r="D847" s="290">
        <v>70</v>
      </c>
      <c r="E847" s="290">
        <v>9</v>
      </c>
      <c r="F847" s="231">
        <v>10</v>
      </c>
      <c r="G847" s="8">
        <f t="shared" si="165"/>
        <v>700</v>
      </c>
      <c r="H847" s="290">
        <f t="shared" si="166"/>
        <v>90</v>
      </c>
      <c r="I847" s="291"/>
      <c r="J847" s="302" t="s">
        <v>21</v>
      </c>
      <c r="K847" s="303" t="s">
        <v>113</v>
      </c>
      <c r="L847" s="303" t="s">
        <v>99</v>
      </c>
      <c r="M847" s="304" t="s">
        <v>147</v>
      </c>
      <c r="N847" s="325"/>
      <c r="P847" s="309"/>
      <c r="Q847" s="348" t="s">
        <v>147</v>
      </c>
    </row>
    <row r="848" spans="1:17" s="308" customFormat="1" ht="14" outlineLevel="3">
      <c r="A848" s="292" t="s">
        <v>8</v>
      </c>
      <c r="B848" s="349" t="s">
        <v>235</v>
      </c>
      <c r="C848" s="289" t="s">
        <v>24</v>
      </c>
      <c r="D848" s="290">
        <v>140</v>
      </c>
      <c r="E848" s="290">
        <v>18</v>
      </c>
      <c r="F848" s="290">
        <v>15</v>
      </c>
      <c r="G848" s="8">
        <f t="shared" si="165"/>
        <v>2100</v>
      </c>
      <c r="H848" s="290">
        <f t="shared" si="166"/>
        <v>270</v>
      </c>
      <c r="I848" s="291"/>
      <c r="J848" s="302" t="s">
        <v>21</v>
      </c>
      <c r="K848" s="303" t="s">
        <v>113</v>
      </c>
      <c r="L848" s="303" t="s">
        <v>99</v>
      </c>
      <c r="M848" s="304" t="s">
        <v>147</v>
      </c>
      <c r="N848" s="325"/>
      <c r="P848" s="309"/>
      <c r="Q848" s="348" t="s">
        <v>147</v>
      </c>
    </row>
    <row r="849" spans="1:17" s="308" customFormat="1" ht="14" outlineLevel="3">
      <c r="A849" s="292" t="s">
        <v>8</v>
      </c>
      <c r="B849" s="241" t="s">
        <v>236</v>
      </c>
      <c r="C849" s="289" t="s">
        <v>24</v>
      </c>
      <c r="D849" s="290"/>
      <c r="E849" s="290"/>
      <c r="F849" s="231"/>
      <c r="G849" s="8">
        <f t="shared" si="165"/>
        <v>0</v>
      </c>
      <c r="H849" s="290">
        <f t="shared" si="166"/>
        <v>0</v>
      </c>
      <c r="I849" s="291"/>
      <c r="J849" s="302" t="s">
        <v>21</v>
      </c>
      <c r="K849" s="303" t="s">
        <v>113</v>
      </c>
      <c r="L849" s="303" t="s">
        <v>99</v>
      </c>
      <c r="M849" s="304" t="s">
        <v>147</v>
      </c>
      <c r="N849" s="325"/>
      <c r="P849" s="309"/>
      <c r="Q849" s="348" t="s">
        <v>147</v>
      </c>
    </row>
    <row r="850" spans="1:17" s="308" customFormat="1" ht="14" outlineLevel="3">
      <c r="A850" s="292" t="s">
        <v>8</v>
      </c>
      <c r="B850" s="349" t="s">
        <v>237</v>
      </c>
      <c r="C850" s="289" t="s">
        <v>24</v>
      </c>
      <c r="D850" s="290"/>
      <c r="E850" s="290"/>
      <c r="F850" s="290"/>
      <c r="G850" s="8">
        <f t="shared" si="165"/>
        <v>0</v>
      </c>
      <c r="H850" s="290">
        <f t="shared" si="166"/>
        <v>0</v>
      </c>
      <c r="I850" s="291"/>
      <c r="J850" s="302" t="s">
        <v>21</v>
      </c>
      <c r="K850" s="303" t="s">
        <v>113</v>
      </c>
      <c r="L850" s="303" t="s">
        <v>99</v>
      </c>
      <c r="M850" s="304" t="s">
        <v>147</v>
      </c>
      <c r="N850" s="325"/>
      <c r="P850" s="309"/>
      <c r="Q850" s="348" t="s">
        <v>147</v>
      </c>
    </row>
    <row r="851" spans="1:17" s="308" customFormat="1" ht="14" outlineLevel="3">
      <c r="A851" s="292" t="s">
        <v>8</v>
      </c>
      <c r="B851" s="349" t="s">
        <v>238</v>
      </c>
      <c r="C851" s="289" t="s">
        <v>24</v>
      </c>
      <c r="D851" s="290"/>
      <c r="E851" s="290"/>
      <c r="F851" s="290"/>
      <c r="G851" s="8">
        <f t="shared" si="165"/>
        <v>0</v>
      </c>
      <c r="H851" s="290">
        <f t="shared" si="166"/>
        <v>0</v>
      </c>
      <c r="I851" s="291"/>
      <c r="J851" s="302" t="s">
        <v>21</v>
      </c>
      <c r="K851" s="303" t="s">
        <v>113</v>
      </c>
      <c r="L851" s="303" t="s">
        <v>99</v>
      </c>
      <c r="M851" s="304" t="s">
        <v>147</v>
      </c>
      <c r="N851" s="325"/>
      <c r="P851" s="309"/>
      <c r="Q851" s="348" t="s">
        <v>147</v>
      </c>
    </row>
    <row r="852" spans="1:17" s="308" customFormat="1" ht="14" outlineLevel="3">
      <c r="A852" s="292" t="s">
        <v>8</v>
      </c>
      <c r="B852" s="349" t="s">
        <v>239</v>
      </c>
      <c r="C852" s="289" t="s">
        <v>24</v>
      </c>
      <c r="D852" s="290"/>
      <c r="E852" s="290"/>
      <c r="F852" s="290"/>
      <c r="G852" s="8">
        <f t="shared" si="165"/>
        <v>0</v>
      </c>
      <c r="H852" s="290">
        <f t="shared" si="166"/>
        <v>0</v>
      </c>
      <c r="I852" s="291"/>
      <c r="J852" s="302" t="s">
        <v>21</v>
      </c>
      <c r="K852" s="303" t="s">
        <v>113</v>
      </c>
      <c r="L852" s="303" t="s">
        <v>99</v>
      </c>
      <c r="M852" s="304" t="s">
        <v>147</v>
      </c>
      <c r="N852" s="325"/>
      <c r="P852" s="309"/>
      <c r="Q852" s="348" t="s">
        <v>147</v>
      </c>
    </row>
    <row r="853" spans="1:17" s="308" customFormat="1" ht="14" outlineLevel="3">
      <c r="A853" s="292" t="s">
        <v>8</v>
      </c>
      <c r="B853" s="349" t="s">
        <v>240</v>
      </c>
      <c r="C853" s="289" t="s">
        <v>24</v>
      </c>
      <c r="D853" s="290"/>
      <c r="E853" s="290"/>
      <c r="F853" s="290"/>
      <c r="G853" s="8">
        <f t="shared" si="165"/>
        <v>0</v>
      </c>
      <c r="H853" s="290">
        <f t="shared" si="166"/>
        <v>0</v>
      </c>
      <c r="I853" s="291"/>
      <c r="J853" s="302" t="s">
        <v>21</v>
      </c>
      <c r="K853" s="303" t="s">
        <v>113</v>
      </c>
      <c r="L853" s="303" t="s">
        <v>99</v>
      </c>
      <c r="M853" s="304" t="s">
        <v>147</v>
      </c>
      <c r="N853" s="325"/>
      <c r="P853" s="309"/>
      <c r="Q853" s="348" t="s">
        <v>147</v>
      </c>
    </row>
    <row r="854" spans="1:17" s="308" customFormat="1" ht="14" outlineLevel="3">
      <c r="A854" s="292" t="s">
        <v>8</v>
      </c>
      <c r="B854" s="349" t="s">
        <v>241</v>
      </c>
      <c r="C854" s="289" t="s">
        <v>11</v>
      </c>
      <c r="D854" s="290">
        <v>5880</v>
      </c>
      <c r="E854" s="290">
        <v>756</v>
      </c>
      <c r="F854" s="232">
        <v>0.4</v>
      </c>
      <c r="G854" s="8">
        <f t="shared" si="165"/>
        <v>2352</v>
      </c>
      <c r="H854" s="290">
        <f t="shared" si="166"/>
        <v>302.40000000000003</v>
      </c>
      <c r="I854" s="291"/>
      <c r="J854" s="302" t="s">
        <v>21</v>
      </c>
      <c r="K854" s="303" t="s">
        <v>113</v>
      </c>
      <c r="L854" s="303" t="s">
        <v>99</v>
      </c>
      <c r="M854" s="304" t="s">
        <v>147</v>
      </c>
      <c r="N854" s="325"/>
      <c r="P854" s="309"/>
      <c r="Q854" s="348" t="s">
        <v>147</v>
      </c>
    </row>
    <row r="855" spans="1:17" s="308" customFormat="1" ht="14" outlineLevel="3">
      <c r="A855" s="292" t="s">
        <v>8</v>
      </c>
      <c r="B855" s="349" t="s">
        <v>242</v>
      </c>
      <c r="C855" s="289" t="s">
        <v>24</v>
      </c>
      <c r="D855" s="290">
        <v>11760</v>
      </c>
      <c r="E855" s="290">
        <v>1512</v>
      </c>
      <c r="F855" s="232">
        <v>0.2</v>
      </c>
      <c r="G855" s="8">
        <f t="shared" si="165"/>
        <v>2352</v>
      </c>
      <c r="H855" s="290">
        <f t="shared" si="166"/>
        <v>302.40000000000003</v>
      </c>
      <c r="I855" s="291"/>
      <c r="J855" s="302" t="s">
        <v>21</v>
      </c>
      <c r="K855" s="303" t="s">
        <v>113</v>
      </c>
      <c r="L855" s="303" t="s">
        <v>99</v>
      </c>
      <c r="M855" s="304" t="s">
        <v>147</v>
      </c>
      <c r="N855" s="325"/>
      <c r="P855" s="309"/>
      <c r="Q855" s="348" t="s">
        <v>147</v>
      </c>
    </row>
    <row r="856" spans="1:17" s="308" customFormat="1" ht="14" outlineLevel="3">
      <c r="A856" s="292" t="s">
        <v>8</v>
      </c>
      <c r="B856" s="349" t="s">
        <v>243</v>
      </c>
      <c r="C856" s="289" t="s">
        <v>24</v>
      </c>
      <c r="D856" s="290"/>
      <c r="E856" s="290"/>
      <c r="F856" s="290"/>
      <c r="G856" s="8">
        <f t="shared" si="165"/>
        <v>0</v>
      </c>
      <c r="H856" s="290">
        <f t="shared" si="166"/>
        <v>0</v>
      </c>
      <c r="I856" s="291"/>
      <c r="J856" s="302" t="s">
        <v>21</v>
      </c>
      <c r="K856" s="303" t="s">
        <v>113</v>
      </c>
      <c r="L856" s="303" t="s">
        <v>99</v>
      </c>
      <c r="M856" s="304" t="s">
        <v>147</v>
      </c>
      <c r="N856" s="325"/>
      <c r="P856" s="309"/>
      <c r="Q856" s="348" t="s">
        <v>147</v>
      </c>
    </row>
    <row r="857" spans="1:17" s="308" customFormat="1" ht="14" outlineLevel="3">
      <c r="A857" s="292" t="s">
        <v>8</v>
      </c>
      <c r="B857" s="349" t="s">
        <v>244</v>
      </c>
      <c r="C857" s="289" t="s">
        <v>24</v>
      </c>
      <c r="D857" s="290"/>
      <c r="E857" s="290"/>
      <c r="F857" s="290"/>
      <c r="G857" s="8">
        <f t="shared" si="165"/>
        <v>0</v>
      </c>
      <c r="H857" s="290">
        <f t="shared" si="166"/>
        <v>0</v>
      </c>
      <c r="I857" s="291"/>
      <c r="J857" s="302" t="s">
        <v>21</v>
      </c>
      <c r="K857" s="303" t="s">
        <v>113</v>
      </c>
      <c r="L857" s="303" t="s">
        <v>99</v>
      </c>
      <c r="M857" s="304" t="s">
        <v>147</v>
      </c>
      <c r="N857" s="325"/>
      <c r="P857" s="309"/>
      <c r="Q857" s="348" t="s">
        <v>147</v>
      </c>
    </row>
    <row r="858" spans="1:17" s="305" customFormat="1" ht="14" outlineLevel="3">
      <c r="A858" s="280">
        <v>2</v>
      </c>
      <c r="B858" s="242" t="s">
        <v>745</v>
      </c>
      <c r="C858" s="282"/>
      <c r="D858" s="283"/>
      <c r="E858" s="283"/>
      <c r="F858" s="283"/>
      <c r="G858" s="283"/>
      <c r="H858" s="283"/>
      <c r="I858" s="284"/>
      <c r="J858" s="302" t="s">
        <v>21</v>
      </c>
      <c r="K858" s="303"/>
      <c r="L858" s="303"/>
      <c r="M858" s="304" t="s">
        <v>147</v>
      </c>
      <c r="N858" s="304"/>
      <c r="P858" s="306"/>
      <c r="Q858" s="348" t="s">
        <v>147</v>
      </c>
    </row>
    <row r="859" spans="1:17" s="308" customFormat="1" ht="14" outlineLevel="3">
      <c r="A859" s="292" t="s">
        <v>8</v>
      </c>
      <c r="B859" s="307" t="s">
        <v>732</v>
      </c>
      <c r="C859" s="289" t="s">
        <v>48</v>
      </c>
      <c r="D859" s="290">
        <v>2940</v>
      </c>
      <c r="E859" s="290">
        <v>378</v>
      </c>
      <c r="F859" s="231">
        <v>52</v>
      </c>
      <c r="G859" s="8">
        <f t="shared" ref="G859:G860" si="167">F859*D859</f>
        <v>152880</v>
      </c>
      <c r="H859" s="290">
        <f t="shared" ref="H859:H860" si="168">F859*E859</f>
        <v>19656</v>
      </c>
      <c r="I859" s="291"/>
      <c r="J859" s="302" t="s">
        <v>21</v>
      </c>
      <c r="K859" s="303" t="s">
        <v>113</v>
      </c>
      <c r="L859" s="303" t="s">
        <v>99</v>
      </c>
      <c r="M859" s="304" t="s">
        <v>147</v>
      </c>
      <c r="N859" s="325"/>
      <c r="P859" s="309"/>
      <c r="Q859" s="348" t="s">
        <v>147</v>
      </c>
    </row>
    <row r="860" spans="1:17" s="308" customFormat="1" ht="14" outlineLevel="3">
      <c r="A860" s="292" t="s">
        <v>8</v>
      </c>
      <c r="B860" s="307" t="s">
        <v>50</v>
      </c>
      <c r="C860" s="289" t="s">
        <v>48</v>
      </c>
      <c r="D860" s="290"/>
      <c r="E860" s="290"/>
      <c r="F860" s="290"/>
      <c r="G860" s="8">
        <f t="shared" si="167"/>
        <v>0</v>
      </c>
      <c r="H860" s="290">
        <f t="shared" si="168"/>
        <v>0</v>
      </c>
      <c r="I860" s="291"/>
      <c r="J860" s="302" t="s">
        <v>21</v>
      </c>
      <c r="K860" s="303" t="s">
        <v>113</v>
      </c>
      <c r="L860" s="303" t="s">
        <v>99</v>
      </c>
      <c r="M860" s="304" t="s">
        <v>147</v>
      </c>
      <c r="N860" s="325"/>
      <c r="P860" s="309"/>
      <c r="Q860" s="348" t="s">
        <v>147</v>
      </c>
    </row>
    <row r="861" spans="1:17" s="308" customFormat="1" ht="14" outlineLevel="2">
      <c r="A861" s="280" t="s">
        <v>37</v>
      </c>
      <c r="B861" s="281" t="s">
        <v>245</v>
      </c>
      <c r="C861" s="341"/>
      <c r="D861" s="331"/>
      <c r="E861" s="331"/>
      <c r="F861" s="331"/>
      <c r="G861" s="331">
        <f>SUBTOTAL(9,G862:G887)</f>
        <v>3514000</v>
      </c>
      <c r="H861" s="331">
        <f>SUBTOTAL(9,H862:H887)</f>
        <v>1362000</v>
      </c>
      <c r="I861" s="284"/>
      <c r="J861" s="302" t="s">
        <v>21</v>
      </c>
      <c r="K861" s="303"/>
      <c r="L861" s="303"/>
      <c r="M861" s="303"/>
      <c r="N861" s="303"/>
      <c r="P861" s="309"/>
    </row>
    <row r="862" spans="1:17" s="308" customFormat="1" ht="14" outlineLevel="3">
      <c r="A862" s="280">
        <v>1</v>
      </c>
      <c r="B862" s="281" t="s">
        <v>1148</v>
      </c>
      <c r="C862" s="359"/>
      <c r="D862" s="360"/>
      <c r="E862" s="360"/>
      <c r="F862" s="361"/>
      <c r="G862" s="331"/>
      <c r="H862" s="331"/>
      <c r="I862" s="291"/>
      <c r="J862" s="302" t="s">
        <v>21</v>
      </c>
      <c r="K862" s="303"/>
      <c r="L862" s="303"/>
      <c r="M862" s="304" t="s">
        <v>147</v>
      </c>
      <c r="N862" s="303"/>
      <c r="O862" s="326"/>
      <c r="P862" s="309"/>
    </row>
    <row r="863" spans="1:17" s="308" customFormat="1" ht="14" outlineLevel="4">
      <c r="A863" s="297" t="s">
        <v>132</v>
      </c>
      <c r="B863" s="362" t="s">
        <v>750</v>
      </c>
      <c r="C863" s="289" t="s">
        <v>214</v>
      </c>
      <c r="D863" s="290">
        <v>7</v>
      </c>
      <c r="E863" s="290"/>
      <c r="F863" s="290">
        <v>25000</v>
      </c>
      <c r="G863" s="8">
        <f t="shared" ref="G863:G869" si="169">F863*D863</f>
        <v>175000</v>
      </c>
      <c r="H863" s="290">
        <f t="shared" ref="H863" si="170">F863*E863</f>
        <v>0</v>
      </c>
      <c r="I863" s="291"/>
      <c r="J863" s="302" t="s">
        <v>21</v>
      </c>
      <c r="K863" s="316" t="s">
        <v>134</v>
      </c>
      <c r="L863" s="303" t="s">
        <v>99</v>
      </c>
      <c r="M863" s="304" t="s">
        <v>147</v>
      </c>
      <c r="N863" s="325"/>
      <c r="O863" s="326" t="e">
        <f>#REF!-#REF!</f>
        <v>#REF!</v>
      </c>
      <c r="P863" s="309"/>
    </row>
    <row r="864" spans="1:17" s="308" customFormat="1" ht="14" outlineLevel="4">
      <c r="A864" s="297" t="s">
        <v>132</v>
      </c>
      <c r="B864" s="362" t="s">
        <v>751</v>
      </c>
      <c r="C864" s="289" t="s">
        <v>756</v>
      </c>
      <c r="D864" s="290"/>
      <c r="E864" s="290"/>
      <c r="F864" s="290"/>
      <c r="G864" s="8">
        <f t="shared" si="169"/>
        <v>0</v>
      </c>
      <c r="H864" s="290">
        <f t="shared" ref="H864:H866" si="171">F864*E864</f>
        <v>0</v>
      </c>
      <c r="I864" s="291"/>
      <c r="J864" s="302" t="s">
        <v>21</v>
      </c>
      <c r="K864" s="316" t="s">
        <v>134</v>
      </c>
      <c r="L864" s="303" t="s">
        <v>99</v>
      </c>
      <c r="M864" s="304" t="s">
        <v>147</v>
      </c>
      <c r="N864" s="325"/>
      <c r="O864" s="326" t="e">
        <f>#REF!-#REF!</f>
        <v>#REF!</v>
      </c>
      <c r="P864" s="309"/>
    </row>
    <row r="865" spans="1:16" s="308" customFormat="1" ht="14" outlineLevel="4">
      <c r="A865" s="297" t="s">
        <v>132</v>
      </c>
      <c r="B865" s="362" t="s">
        <v>752</v>
      </c>
      <c r="C865" s="289" t="s">
        <v>214</v>
      </c>
      <c r="D865" s="290"/>
      <c r="E865" s="290"/>
      <c r="F865" s="290"/>
      <c r="G865" s="8">
        <f t="shared" si="169"/>
        <v>0</v>
      </c>
      <c r="H865" s="290">
        <f t="shared" si="171"/>
        <v>0</v>
      </c>
      <c r="I865" s="291"/>
      <c r="J865" s="302" t="s">
        <v>21</v>
      </c>
      <c r="K865" s="316" t="s">
        <v>134</v>
      </c>
      <c r="L865" s="303" t="s">
        <v>99</v>
      </c>
      <c r="M865" s="304" t="s">
        <v>147</v>
      </c>
      <c r="N865" s="325"/>
      <c r="O865" s="326" t="e">
        <f>#REF!-#REF!</f>
        <v>#REF!</v>
      </c>
      <c r="P865" s="309"/>
    </row>
    <row r="866" spans="1:16" s="308" customFormat="1" ht="14" outlineLevel="4">
      <c r="A866" s="280" t="s">
        <v>132</v>
      </c>
      <c r="B866" s="362" t="s">
        <v>753</v>
      </c>
      <c r="C866" s="289" t="s">
        <v>757</v>
      </c>
      <c r="D866" s="290">
        <v>5</v>
      </c>
      <c r="E866" s="290"/>
      <c r="F866" s="361">
        <v>42000</v>
      </c>
      <c r="G866" s="8">
        <f t="shared" si="169"/>
        <v>210000</v>
      </c>
      <c r="H866" s="290">
        <f t="shared" si="171"/>
        <v>0</v>
      </c>
      <c r="I866" s="291"/>
      <c r="J866" s="302" t="s">
        <v>21</v>
      </c>
      <c r="K866" s="316" t="s">
        <v>134</v>
      </c>
      <c r="L866" s="303" t="s">
        <v>99</v>
      </c>
      <c r="M866" s="304" t="s">
        <v>147</v>
      </c>
      <c r="N866" s="325"/>
      <c r="O866" s="326"/>
      <c r="P866" s="309"/>
    </row>
    <row r="867" spans="1:16" s="308" customFormat="1" ht="14" outlineLevel="4">
      <c r="A867" s="297" t="s">
        <v>132</v>
      </c>
      <c r="B867" s="362" t="s">
        <v>754</v>
      </c>
      <c r="C867" s="289" t="s">
        <v>757</v>
      </c>
      <c r="D867" s="290"/>
      <c r="E867" s="290"/>
      <c r="F867" s="290">
        <v>42000</v>
      </c>
      <c r="G867" s="8">
        <f t="shared" si="169"/>
        <v>0</v>
      </c>
      <c r="H867" s="290">
        <f t="shared" ref="H867" si="172">F867*E867</f>
        <v>0</v>
      </c>
      <c r="I867" s="291"/>
      <c r="J867" s="302" t="s">
        <v>21</v>
      </c>
      <c r="K867" s="316" t="s">
        <v>134</v>
      </c>
      <c r="L867" s="303" t="s">
        <v>99</v>
      </c>
      <c r="M867" s="304" t="s">
        <v>147</v>
      </c>
      <c r="N867" s="325"/>
      <c r="O867" s="326" t="e">
        <f>#REF!-#REF!</f>
        <v>#REF!</v>
      </c>
      <c r="P867" s="309"/>
    </row>
    <row r="868" spans="1:16" s="308" customFormat="1" ht="14" outlineLevel="4">
      <c r="A868" s="297" t="s">
        <v>132</v>
      </c>
      <c r="B868" s="362" t="s">
        <v>755</v>
      </c>
      <c r="C868" s="289" t="s">
        <v>757</v>
      </c>
      <c r="D868" s="290">
        <v>10</v>
      </c>
      <c r="E868" s="290"/>
      <c r="F868" s="290">
        <v>78000</v>
      </c>
      <c r="G868" s="8">
        <f t="shared" si="169"/>
        <v>780000</v>
      </c>
      <c r="H868" s="290">
        <f t="shared" ref="H868:H869" si="173">F868*E868</f>
        <v>0</v>
      </c>
      <c r="I868" s="291"/>
      <c r="J868" s="302" t="s">
        <v>21</v>
      </c>
      <c r="K868" s="316" t="s">
        <v>134</v>
      </c>
      <c r="L868" s="303" t="s">
        <v>99</v>
      </c>
      <c r="M868" s="304" t="s">
        <v>147</v>
      </c>
      <c r="N868" s="325"/>
      <c r="O868" s="326" t="e">
        <f>#REF!-#REF!</f>
        <v>#REF!</v>
      </c>
      <c r="P868" s="309"/>
    </row>
    <row r="869" spans="1:16" s="308" customFormat="1" ht="14" outlineLevel="4">
      <c r="A869" s="280" t="s">
        <v>132</v>
      </c>
      <c r="B869" s="362" t="s">
        <v>1149</v>
      </c>
      <c r="C869" s="289" t="s">
        <v>757</v>
      </c>
      <c r="D869" s="290">
        <v>4</v>
      </c>
      <c r="E869" s="233">
        <v>3</v>
      </c>
      <c r="F869" s="361">
        <v>120000</v>
      </c>
      <c r="G869" s="8">
        <f t="shared" si="169"/>
        <v>480000</v>
      </c>
      <c r="H869" s="290">
        <f t="shared" si="173"/>
        <v>360000</v>
      </c>
      <c r="I869" s="291"/>
      <c r="J869" s="302" t="s">
        <v>21</v>
      </c>
      <c r="K869" s="316" t="s">
        <v>134</v>
      </c>
      <c r="L869" s="303" t="s">
        <v>99</v>
      </c>
      <c r="M869" s="304" t="s">
        <v>147</v>
      </c>
      <c r="N869" s="325"/>
      <c r="O869" s="326"/>
      <c r="P869" s="309"/>
    </row>
    <row r="870" spans="1:16" s="305" customFormat="1" ht="15" outlineLevel="3">
      <c r="A870" s="673" t="s">
        <v>490</v>
      </c>
      <c r="B870" s="674" t="s">
        <v>1333</v>
      </c>
      <c r="C870" s="282"/>
      <c r="D870" s="283"/>
      <c r="E870" s="283"/>
      <c r="F870" s="283"/>
      <c r="G870" s="283"/>
      <c r="H870" s="283"/>
      <c r="I870" s="284"/>
      <c r="J870" s="302" t="s">
        <v>21</v>
      </c>
      <c r="K870" s="304"/>
      <c r="L870" s="304"/>
      <c r="M870" s="304" t="s">
        <v>147</v>
      </c>
      <c r="N870" s="304"/>
      <c r="O870" s="329" t="e">
        <f>#REF!-#REF!</f>
        <v>#REF!</v>
      </c>
      <c r="P870" s="306"/>
    </row>
    <row r="871" spans="1:16" s="308" customFormat="1" ht="14" outlineLevel="4">
      <c r="A871" s="297" t="s">
        <v>8</v>
      </c>
      <c r="B871" s="364" t="s">
        <v>750</v>
      </c>
      <c r="C871" s="289" t="s">
        <v>214</v>
      </c>
      <c r="D871" s="290">
        <v>9</v>
      </c>
      <c r="E871" s="290"/>
      <c r="F871" s="290">
        <v>35000</v>
      </c>
      <c r="G871" s="8">
        <f t="shared" ref="G871:G874" si="174">F871*D871</f>
        <v>315000</v>
      </c>
      <c r="H871" s="290">
        <f t="shared" ref="H871:H872" si="175">F871*E871</f>
        <v>0</v>
      </c>
      <c r="I871" s="291"/>
      <c r="J871" s="302" t="s">
        <v>21</v>
      </c>
      <c r="K871" s="316" t="s">
        <v>134</v>
      </c>
      <c r="L871" s="303" t="s">
        <v>99</v>
      </c>
      <c r="M871" s="304" t="s">
        <v>147</v>
      </c>
      <c r="N871" s="325"/>
      <c r="O871" s="326" t="e">
        <f>#REF!-#REF!</f>
        <v>#REF!</v>
      </c>
      <c r="P871" s="309"/>
    </row>
    <row r="872" spans="1:16" s="308" customFormat="1" ht="14" outlineLevel="4">
      <c r="A872" s="297" t="s">
        <v>8</v>
      </c>
      <c r="B872" s="364" t="s">
        <v>758</v>
      </c>
      <c r="C872" s="289" t="s">
        <v>757</v>
      </c>
      <c r="D872" s="290"/>
      <c r="E872" s="290"/>
      <c r="F872" s="361">
        <v>120000</v>
      </c>
      <c r="G872" s="8">
        <f t="shared" si="174"/>
        <v>0</v>
      </c>
      <c r="H872" s="290">
        <f t="shared" si="175"/>
        <v>0</v>
      </c>
      <c r="I872" s="291"/>
      <c r="J872" s="302" t="s">
        <v>21</v>
      </c>
      <c r="K872" s="316" t="s">
        <v>134</v>
      </c>
      <c r="L872" s="303" t="s">
        <v>99</v>
      </c>
      <c r="M872" s="304" t="s">
        <v>147</v>
      </c>
      <c r="N872" s="325"/>
      <c r="P872" s="309"/>
    </row>
    <row r="873" spans="1:16" s="308" customFormat="1" ht="14" outlineLevel="4">
      <c r="A873" s="297" t="s">
        <v>8</v>
      </c>
      <c r="B873" s="364" t="s">
        <v>759</v>
      </c>
      <c r="C873" s="289" t="s">
        <v>757</v>
      </c>
      <c r="D873" s="290">
        <v>16</v>
      </c>
      <c r="E873" s="290"/>
      <c r="F873" s="290">
        <v>42000</v>
      </c>
      <c r="G873" s="8">
        <f t="shared" si="174"/>
        <v>672000</v>
      </c>
      <c r="H873" s="290">
        <f t="shared" ref="H873:H874" si="176">F873*E873</f>
        <v>0</v>
      </c>
      <c r="I873" s="291"/>
      <c r="J873" s="302" t="s">
        <v>21</v>
      </c>
      <c r="K873" s="316" t="s">
        <v>134</v>
      </c>
      <c r="L873" s="303" t="s">
        <v>99</v>
      </c>
      <c r="M873" s="304" t="s">
        <v>147</v>
      </c>
      <c r="N873" s="325"/>
      <c r="O873" s="326" t="e">
        <f>#REF!-#REF!</f>
        <v>#REF!</v>
      </c>
      <c r="P873" s="309"/>
    </row>
    <row r="874" spans="1:16" s="308" customFormat="1" ht="14" outlineLevel="4">
      <c r="A874" s="297" t="s">
        <v>8</v>
      </c>
      <c r="B874" s="364" t="s">
        <v>760</v>
      </c>
      <c r="C874" s="289" t="s">
        <v>757</v>
      </c>
      <c r="D874" s="290"/>
      <c r="E874" s="290"/>
      <c r="F874" s="361"/>
      <c r="G874" s="8">
        <f t="shared" si="174"/>
        <v>0</v>
      </c>
      <c r="H874" s="290">
        <f t="shared" si="176"/>
        <v>0</v>
      </c>
      <c r="I874" s="291"/>
      <c r="J874" s="302" t="s">
        <v>21</v>
      </c>
      <c r="K874" s="316" t="s">
        <v>134</v>
      </c>
      <c r="L874" s="303" t="s">
        <v>99</v>
      </c>
      <c r="M874" s="304" t="s">
        <v>147</v>
      </c>
      <c r="N874" s="325"/>
      <c r="P874" s="309"/>
    </row>
    <row r="875" spans="1:16" s="305" customFormat="1" ht="14" outlineLevel="3">
      <c r="A875" s="280">
        <v>3</v>
      </c>
      <c r="B875" s="363" t="s">
        <v>1150</v>
      </c>
      <c r="C875" s="282"/>
      <c r="D875" s="283"/>
      <c r="E875" s="283"/>
      <c r="F875" s="283"/>
      <c r="G875" s="283"/>
      <c r="H875" s="283"/>
      <c r="I875" s="284"/>
      <c r="J875" s="302" t="s">
        <v>21</v>
      </c>
      <c r="K875" s="304"/>
      <c r="L875" s="304"/>
      <c r="M875" s="304" t="s">
        <v>147</v>
      </c>
      <c r="N875" s="304"/>
      <c r="O875" s="329" t="e">
        <f>#REF!-#REF!</f>
        <v>#REF!</v>
      </c>
      <c r="P875" s="306"/>
    </row>
    <row r="876" spans="1:16" s="308" customFormat="1" ht="14" outlineLevel="4">
      <c r="A876" s="297" t="s">
        <v>8</v>
      </c>
      <c r="B876" s="364" t="s">
        <v>750</v>
      </c>
      <c r="C876" s="289" t="s">
        <v>214</v>
      </c>
      <c r="D876" s="290"/>
      <c r="E876" s="290"/>
      <c r="F876" s="290"/>
      <c r="G876" s="8">
        <f t="shared" ref="G876:G881" si="177">F876*D876</f>
        <v>0</v>
      </c>
      <c r="H876" s="290">
        <f t="shared" ref="H876:H878" si="178">F876*E876</f>
        <v>0</v>
      </c>
      <c r="I876" s="291"/>
      <c r="J876" s="302" t="s">
        <v>21</v>
      </c>
      <c r="K876" s="316" t="s">
        <v>134</v>
      </c>
      <c r="L876" s="303" t="s">
        <v>99</v>
      </c>
      <c r="M876" s="304" t="s">
        <v>147</v>
      </c>
      <c r="N876" s="325"/>
      <c r="O876" s="326"/>
      <c r="P876" s="309"/>
    </row>
    <row r="877" spans="1:16" s="308" customFormat="1" ht="14" outlineLevel="4">
      <c r="A877" s="297" t="s">
        <v>8</v>
      </c>
      <c r="B877" s="364" t="s">
        <v>761</v>
      </c>
      <c r="C877" s="289" t="s">
        <v>214</v>
      </c>
      <c r="D877" s="290"/>
      <c r="E877" s="290"/>
      <c r="F877" s="290"/>
      <c r="G877" s="8">
        <f t="shared" si="177"/>
        <v>0</v>
      </c>
      <c r="H877" s="290">
        <f t="shared" si="178"/>
        <v>0</v>
      </c>
      <c r="I877" s="291"/>
      <c r="J877" s="302" t="s">
        <v>21</v>
      </c>
      <c r="K877" s="316" t="s">
        <v>134</v>
      </c>
      <c r="L877" s="303" t="s">
        <v>99</v>
      </c>
      <c r="M877" s="304" t="s">
        <v>147</v>
      </c>
      <c r="N877" s="325"/>
      <c r="O877" s="326" t="e">
        <f>#REF!-#REF!</f>
        <v>#REF!</v>
      </c>
      <c r="P877" s="309"/>
    </row>
    <row r="878" spans="1:16" s="308" customFormat="1" ht="14" outlineLevel="4">
      <c r="A878" s="297" t="s">
        <v>8</v>
      </c>
      <c r="B878" s="364" t="s">
        <v>751</v>
      </c>
      <c r="C878" s="289" t="s">
        <v>756</v>
      </c>
      <c r="D878" s="290"/>
      <c r="E878" s="233">
        <v>6</v>
      </c>
      <c r="F878" s="290">
        <v>20000</v>
      </c>
      <c r="G878" s="8">
        <f t="shared" si="177"/>
        <v>0</v>
      </c>
      <c r="H878" s="290">
        <f t="shared" si="178"/>
        <v>120000</v>
      </c>
      <c r="I878" s="291"/>
      <c r="J878" s="302" t="s">
        <v>21</v>
      </c>
      <c r="K878" s="316" t="s">
        <v>134</v>
      </c>
      <c r="L878" s="303" t="s">
        <v>99</v>
      </c>
      <c r="M878" s="304" t="s">
        <v>147</v>
      </c>
      <c r="N878" s="325"/>
      <c r="O878" s="326"/>
      <c r="P878" s="309"/>
    </row>
    <row r="879" spans="1:16" s="308" customFormat="1" ht="14" outlineLevel="4">
      <c r="A879" s="297" t="s">
        <v>8</v>
      </c>
      <c r="B879" s="364" t="s">
        <v>762</v>
      </c>
      <c r="C879" s="289" t="s">
        <v>757</v>
      </c>
      <c r="D879" s="290"/>
      <c r="E879" s="233"/>
      <c r="F879" s="290"/>
      <c r="G879" s="8">
        <f t="shared" si="177"/>
        <v>0</v>
      </c>
      <c r="H879" s="290">
        <f t="shared" ref="H879:H880" si="179">F879*E879</f>
        <v>0</v>
      </c>
      <c r="I879" s="291"/>
      <c r="J879" s="302" t="s">
        <v>21</v>
      </c>
      <c r="K879" s="316" t="s">
        <v>134</v>
      </c>
      <c r="L879" s="303" t="s">
        <v>99</v>
      </c>
      <c r="M879" s="304" t="s">
        <v>147</v>
      </c>
      <c r="N879" s="325"/>
      <c r="O879" s="326"/>
      <c r="P879" s="309"/>
    </row>
    <row r="880" spans="1:16" s="308" customFormat="1" ht="14" outlineLevel="4">
      <c r="A880" s="297" t="s">
        <v>8</v>
      </c>
      <c r="B880" s="364" t="s">
        <v>754</v>
      </c>
      <c r="C880" s="289" t="s">
        <v>757</v>
      </c>
      <c r="D880" s="233">
        <v>21</v>
      </c>
      <c r="E880" s="233">
        <v>21</v>
      </c>
      <c r="F880" s="290">
        <v>42000</v>
      </c>
      <c r="G880" s="8">
        <f t="shared" si="177"/>
        <v>882000</v>
      </c>
      <c r="H880" s="290">
        <f t="shared" si="179"/>
        <v>882000</v>
      </c>
      <c r="I880" s="291"/>
      <c r="J880" s="302" t="s">
        <v>21</v>
      </c>
      <c r="K880" s="316" t="s">
        <v>134</v>
      </c>
      <c r="L880" s="303" t="s">
        <v>99</v>
      </c>
      <c r="M880" s="304" t="s">
        <v>147</v>
      </c>
      <c r="N880" s="325"/>
      <c r="O880" s="326" t="e">
        <f>#REF!-#REF!</f>
        <v>#REF!</v>
      </c>
      <c r="P880" s="309"/>
    </row>
    <row r="881" spans="1:16" s="308" customFormat="1" ht="14" outlineLevel="4">
      <c r="A881" s="297" t="s">
        <v>8</v>
      </c>
      <c r="B881" s="364" t="s">
        <v>1151</v>
      </c>
      <c r="C881" s="289" t="s">
        <v>757</v>
      </c>
      <c r="D881" s="233"/>
      <c r="E881" s="233"/>
      <c r="F881" s="290"/>
      <c r="G881" s="8">
        <f t="shared" si="177"/>
        <v>0</v>
      </c>
      <c r="H881" s="290">
        <f t="shared" ref="H881" si="180">F881*E881</f>
        <v>0</v>
      </c>
      <c r="I881" s="291"/>
      <c r="J881" s="302" t="s">
        <v>21</v>
      </c>
      <c r="K881" s="316" t="s">
        <v>134</v>
      </c>
      <c r="L881" s="303" t="s">
        <v>99</v>
      </c>
      <c r="M881" s="304" t="s">
        <v>147</v>
      </c>
      <c r="N881" s="325"/>
      <c r="O881" s="326"/>
      <c r="P881" s="309"/>
    </row>
    <row r="882" spans="1:16" s="308" customFormat="1" ht="14" outlineLevel="3">
      <c r="A882" s="280">
        <v>6</v>
      </c>
      <c r="B882" s="281" t="s">
        <v>149</v>
      </c>
      <c r="C882" s="341"/>
      <c r="D882" s="290"/>
      <c r="E882" s="290"/>
      <c r="F882" s="331"/>
      <c r="G882" s="331"/>
      <c r="H882" s="331">
        <f t="shared" ref="H882" si="181">SUBTOTAL(9,H883:H884)</f>
        <v>0</v>
      </c>
      <c r="I882" s="284"/>
      <c r="J882" s="302" t="s">
        <v>21</v>
      </c>
      <c r="K882" s="303"/>
      <c r="L882" s="303"/>
      <c r="M882" s="304" t="s">
        <v>147</v>
      </c>
      <c r="N882" s="303"/>
      <c r="P882" s="309"/>
    </row>
    <row r="883" spans="1:16" s="308" customFormat="1" ht="26.25" customHeight="1" outlineLevel="4">
      <c r="A883" s="297" t="s">
        <v>8</v>
      </c>
      <c r="B883" s="365" t="s">
        <v>150</v>
      </c>
      <c r="C883" s="289" t="s">
        <v>9</v>
      </c>
      <c r="D883" s="290"/>
      <c r="E883" s="290"/>
      <c r="F883" s="290"/>
      <c r="G883" s="8">
        <f t="shared" ref="G883:G884" si="182">F883*D883</f>
        <v>0</v>
      </c>
      <c r="H883" s="290">
        <f t="shared" ref="H883:H884" si="183">F883*E883</f>
        <v>0</v>
      </c>
      <c r="I883" s="291"/>
      <c r="J883" s="302" t="s">
        <v>21</v>
      </c>
      <c r="K883" s="303" t="s">
        <v>82</v>
      </c>
      <c r="L883" s="303" t="s">
        <v>99</v>
      </c>
      <c r="M883" s="304" t="s">
        <v>147</v>
      </c>
      <c r="N883" s="325"/>
      <c r="P883" s="309"/>
    </row>
    <row r="884" spans="1:16" s="308" customFormat="1" ht="14" outlineLevel="4">
      <c r="A884" s="297" t="s">
        <v>8</v>
      </c>
      <c r="B884" s="365" t="s">
        <v>151</v>
      </c>
      <c r="C884" s="289" t="s">
        <v>9</v>
      </c>
      <c r="D884" s="290"/>
      <c r="E884" s="290"/>
      <c r="F884" s="361"/>
      <c r="G884" s="8">
        <f t="shared" si="182"/>
        <v>0</v>
      </c>
      <c r="H884" s="290">
        <f t="shared" si="183"/>
        <v>0</v>
      </c>
      <c r="I884" s="291"/>
      <c r="J884" s="302" t="s">
        <v>21</v>
      </c>
      <c r="K884" s="303" t="s">
        <v>82</v>
      </c>
      <c r="L884" s="303" t="s">
        <v>99</v>
      </c>
      <c r="M884" s="304" t="s">
        <v>147</v>
      </c>
      <c r="N884" s="325"/>
      <c r="O884" s="326" t="e">
        <f>#REF!-#REF!</f>
        <v>#REF!</v>
      </c>
      <c r="P884" s="309"/>
    </row>
    <row r="885" spans="1:16" s="308" customFormat="1" ht="14" outlineLevel="3">
      <c r="A885" s="280">
        <v>7</v>
      </c>
      <c r="B885" s="281" t="s">
        <v>167</v>
      </c>
      <c r="C885" s="341"/>
      <c r="D885" s="290"/>
      <c r="E885" s="290"/>
      <c r="F885" s="331"/>
      <c r="G885" s="331"/>
      <c r="H885" s="331">
        <f t="shared" ref="H885" si="184">SUBTOTAL(9,H886:H887)</f>
        <v>0</v>
      </c>
      <c r="I885" s="284"/>
      <c r="J885" s="302" t="s">
        <v>21</v>
      </c>
      <c r="K885" s="303"/>
      <c r="L885" s="303"/>
      <c r="M885" s="304" t="s">
        <v>147</v>
      </c>
      <c r="N885" s="303"/>
      <c r="P885" s="309"/>
    </row>
    <row r="886" spans="1:16" s="308" customFormat="1" ht="14" outlineLevel="4">
      <c r="A886" s="297" t="s">
        <v>8</v>
      </c>
      <c r="B886" s="365" t="s">
        <v>168</v>
      </c>
      <c r="C886" s="289" t="s">
        <v>9</v>
      </c>
      <c r="D886" s="290"/>
      <c r="E886" s="290"/>
      <c r="F886" s="290"/>
      <c r="G886" s="8">
        <f t="shared" ref="G886:G887" si="185">F886*D886</f>
        <v>0</v>
      </c>
      <c r="H886" s="290">
        <f t="shared" ref="H886:H887" si="186">F886*E886</f>
        <v>0</v>
      </c>
      <c r="I886" s="291"/>
      <c r="J886" s="302" t="s">
        <v>21</v>
      </c>
      <c r="K886" s="303" t="s">
        <v>82</v>
      </c>
      <c r="L886" s="303" t="s">
        <v>99</v>
      </c>
      <c r="M886" s="304" t="s">
        <v>147</v>
      </c>
      <c r="N886" s="325"/>
      <c r="P886" s="309"/>
    </row>
    <row r="887" spans="1:16" s="469" customFormat="1" ht="14" outlineLevel="4">
      <c r="A887" s="465" t="s">
        <v>8</v>
      </c>
      <c r="B887" s="481" t="s">
        <v>169</v>
      </c>
      <c r="C887" s="338" t="s">
        <v>9</v>
      </c>
      <c r="D887" s="294"/>
      <c r="E887" s="294"/>
      <c r="F887" s="294"/>
      <c r="G887" s="8">
        <f t="shared" si="185"/>
        <v>0</v>
      </c>
      <c r="H887" s="294">
        <f t="shared" si="186"/>
        <v>0</v>
      </c>
      <c r="I887" s="467"/>
      <c r="J887" s="302" t="s">
        <v>21</v>
      </c>
      <c r="K887" s="457" t="s">
        <v>82</v>
      </c>
      <c r="L887" s="457" t="s">
        <v>99</v>
      </c>
      <c r="M887" s="304" t="s">
        <v>147</v>
      </c>
      <c r="N887" s="468"/>
      <c r="O887" s="482" t="e">
        <f>#REF!-#REF!</f>
        <v>#REF!</v>
      </c>
    </row>
    <row r="888" spans="1:16" s="459" customFormat="1" ht="14" outlineLevel="1">
      <c r="A888" s="452" t="s">
        <v>253</v>
      </c>
      <c r="B888" s="453" t="s">
        <v>170</v>
      </c>
      <c r="C888" s="454"/>
      <c r="D888" s="455"/>
      <c r="E888" s="455"/>
      <c r="F888" s="455"/>
      <c r="G888" s="455">
        <f>SUBTOTAL(9,G889:G957)</f>
        <v>2387120</v>
      </c>
      <c r="H888" s="455">
        <f>SUBTOTAL(9,H889:H957)</f>
        <v>1415</v>
      </c>
      <c r="I888" s="455"/>
      <c r="J888" s="302" t="s">
        <v>21</v>
      </c>
      <c r="K888" s="457"/>
      <c r="L888" s="457"/>
      <c r="M888" s="303" t="s">
        <v>32</v>
      </c>
      <c r="N888" s="458"/>
    </row>
    <row r="889" spans="1:16" s="459" customFormat="1" ht="14" outlineLevel="2">
      <c r="A889" s="452" t="s">
        <v>4</v>
      </c>
      <c r="B889" s="460" t="s">
        <v>32</v>
      </c>
      <c r="C889" s="454"/>
      <c r="D889" s="455"/>
      <c r="E889" s="455"/>
      <c r="F889" s="455"/>
      <c r="G889" s="385">
        <f>SUBTOTAL(9,G891:G951)</f>
        <v>1757120.0000000002</v>
      </c>
      <c r="H889" s="385">
        <f>SUBTOTAL(9,H891:H951)</f>
        <v>1415</v>
      </c>
      <c r="I889" s="455"/>
      <c r="J889" s="302" t="s">
        <v>21</v>
      </c>
      <c r="K889" s="457"/>
      <c r="L889" s="457"/>
      <c r="M889" s="303" t="s">
        <v>32</v>
      </c>
      <c r="N889" s="458"/>
    </row>
    <row r="890" spans="1:16" s="469" customFormat="1" ht="14" outlineLevel="4">
      <c r="A890" s="483" t="s">
        <v>41</v>
      </c>
      <c r="B890" s="461" t="s">
        <v>1143</v>
      </c>
      <c r="C890" s="338"/>
      <c r="D890" s="294"/>
      <c r="E890" s="294"/>
      <c r="F890" s="294"/>
      <c r="G890" s="294"/>
      <c r="H890" s="294"/>
      <c r="I890" s="467"/>
      <c r="J890" s="302" t="s">
        <v>21</v>
      </c>
      <c r="K890" s="457"/>
      <c r="L890" s="457"/>
      <c r="M890" s="303" t="s">
        <v>32</v>
      </c>
      <c r="N890" s="457"/>
    </row>
    <row r="891" spans="1:16" s="469" customFormat="1" ht="14" outlineLevel="4">
      <c r="A891" s="483">
        <v>1</v>
      </c>
      <c r="B891" s="484" t="s">
        <v>1144</v>
      </c>
      <c r="C891" s="338"/>
      <c r="D891" s="294"/>
      <c r="E891" s="294"/>
      <c r="F891" s="294"/>
      <c r="G891" s="385">
        <f>SUBTOTAL(9,G892:G895)</f>
        <v>87475.199999999997</v>
      </c>
      <c r="H891" s="385">
        <f>SUBTOTAL(9,H892:H895)</f>
        <v>0</v>
      </c>
      <c r="I891" s="467"/>
      <c r="J891" s="302" t="s">
        <v>21</v>
      </c>
      <c r="K891" s="457"/>
      <c r="L891" s="457"/>
      <c r="M891" s="303" t="s">
        <v>32</v>
      </c>
      <c r="N891" s="457"/>
    </row>
    <row r="892" spans="1:16" s="469" customFormat="1" ht="28" outlineLevel="4">
      <c r="A892" s="470" t="s">
        <v>8</v>
      </c>
      <c r="B892" s="475" t="s">
        <v>1485</v>
      </c>
      <c r="C892" s="338" t="s">
        <v>23</v>
      </c>
      <c r="D892" s="294">
        <v>2</v>
      </c>
      <c r="E892" s="294"/>
      <c r="F892" s="294"/>
      <c r="G892" s="8">
        <f t="shared" ref="G892:G895" si="187">F892*D892</f>
        <v>0</v>
      </c>
      <c r="H892" s="294">
        <f t="shared" ref="H892:H895" si="188">F892*E892</f>
        <v>0</v>
      </c>
      <c r="I892" s="467"/>
      <c r="J892" s="302" t="s">
        <v>21</v>
      </c>
      <c r="K892" s="410" t="s">
        <v>109</v>
      </c>
      <c r="L892" s="457" t="s">
        <v>99</v>
      </c>
      <c r="M892" s="303" t="s">
        <v>32</v>
      </c>
      <c r="N892" s="468"/>
    </row>
    <row r="893" spans="1:16" s="469" customFormat="1" ht="14" outlineLevel="4">
      <c r="A893" s="470" t="s">
        <v>8</v>
      </c>
      <c r="B893" s="475" t="s">
        <v>1486</v>
      </c>
      <c r="C893" s="338" t="s">
        <v>23</v>
      </c>
      <c r="D893" s="294">
        <v>2</v>
      </c>
      <c r="E893" s="294"/>
      <c r="F893" s="294">
        <v>12000</v>
      </c>
      <c r="G893" s="8">
        <f t="shared" si="187"/>
        <v>24000</v>
      </c>
      <c r="H893" s="294">
        <f t="shared" si="188"/>
        <v>0</v>
      </c>
      <c r="I893" s="467"/>
      <c r="J893" s="302" t="s">
        <v>21</v>
      </c>
      <c r="K893" s="410" t="s">
        <v>109</v>
      </c>
      <c r="L893" s="457" t="s">
        <v>99</v>
      </c>
      <c r="M893" s="303" t="s">
        <v>32</v>
      </c>
      <c r="N893" s="468"/>
    </row>
    <row r="894" spans="1:16" s="469" customFormat="1" ht="14" outlineLevel="4">
      <c r="A894" s="470" t="s">
        <v>8</v>
      </c>
      <c r="B894" s="475" t="s">
        <v>1487</v>
      </c>
      <c r="C894" s="338" t="s">
        <v>23</v>
      </c>
      <c r="D894" s="294">
        <v>4</v>
      </c>
      <c r="E894" s="294"/>
      <c r="F894" s="294">
        <v>14400</v>
      </c>
      <c r="G894" s="8">
        <f t="shared" si="187"/>
        <v>57600</v>
      </c>
      <c r="H894" s="294">
        <f t="shared" si="188"/>
        <v>0</v>
      </c>
      <c r="I894" s="467"/>
      <c r="J894" s="302" t="s">
        <v>21</v>
      </c>
      <c r="K894" s="410" t="s">
        <v>109</v>
      </c>
      <c r="L894" s="457" t="s">
        <v>99</v>
      </c>
      <c r="M894" s="457" t="s">
        <v>32</v>
      </c>
      <c r="N894" s="468"/>
    </row>
    <row r="895" spans="1:16" s="469" customFormat="1" ht="14" outlineLevel="4">
      <c r="A895" s="470" t="s">
        <v>8</v>
      </c>
      <c r="B895" s="475" t="s">
        <v>1488</v>
      </c>
      <c r="C895" s="338" t="s">
        <v>148</v>
      </c>
      <c r="D895" s="294">
        <v>144</v>
      </c>
      <c r="E895" s="294"/>
      <c r="F895" s="294">
        <v>40.799999999999997</v>
      </c>
      <c r="G895" s="8">
        <f t="shared" si="187"/>
        <v>5875.2</v>
      </c>
      <c r="H895" s="294">
        <f t="shared" si="188"/>
        <v>0</v>
      </c>
      <c r="I895" s="467"/>
      <c r="J895" s="302" t="s">
        <v>21</v>
      </c>
      <c r="K895" s="410" t="s">
        <v>109</v>
      </c>
      <c r="L895" s="457" t="s">
        <v>99</v>
      </c>
      <c r="M895" s="457" t="s">
        <v>32</v>
      </c>
      <c r="N895" s="468"/>
    </row>
    <row r="896" spans="1:16" s="469" customFormat="1" ht="14" outlineLevel="4">
      <c r="A896" s="483">
        <v>2</v>
      </c>
      <c r="B896" s="460" t="s">
        <v>881</v>
      </c>
      <c r="C896" s="338"/>
      <c r="D896" s="294"/>
      <c r="E896" s="294"/>
      <c r="F896" s="294"/>
      <c r="G896" s="385">
        <f>SUBTOTAL(9,G897:G903)</f>
        <v>221395.20000000001</v>
      </c>
      <c r="H896" s="385">
        <f>SUBTOTAL(9,H897:H903)</f>
        <v>0</v>
      </c>
      <c r="I896" s="467"/>
      <c r="J896" s="302" t="s">
        <v>21</v>
      </c>
      <c r="K896" s="410"/>
      <c r="L896" s="457"/>
      <c r="M896" s="303" t="s">
        <v>32</v>
      </c>
      <c r="N896" s="457"/>
    </row>
    <row r="897" spans="1:14" s="469" customFormat="1" ht="28" outlineLevel="4">
      <c r="A897" s="470" t="s">
        <v>8</v>
      </c>
      <c r="B897" s="475" t="s">
        <v>1489</v>
      </c>
      <c r="C897" s="338" t="s">
        <v>879</v>
      </c>
      <c r="D897" s="294">
        <v>2</v>
      </c>
      <c r="E897" s="294"/>
      <c r="F897" s="294"/>
      <c r="G897" s="8">
        <f t="shared" ref="G897:G903" si="189">F897*D897</f>
        <v>0</v>
      </c>
      <c r="H897" s="294">
        <f t="shared" ref="H897:H903" si="190">F897*E897</f>
        <v>0</v>
      </c>
      <c r="I897" s="467"/>
      <c r="J897" s="302" t="s">
        <v>21</v>
      </c>
      <c r="K897" s="410" t="s">
        <v>109</v>
      </c>
      <c r="L897" s="457" t="s">
        <v>99</v>
      </c>
      <c r="M897" s="303" t="s">
        <v>32</v>
      </c>
      <c r="N897" s="468"/>
    </row>
    <row r="898" spans="1:14" s="469" customFormat="1" ht="14" outlineLevel="4">
      <c r="A898" s="470" t="s">
        <v>8</v>
      </c>
      <c r="B898" s="475" t="s">
        <v>1486</v>
      </c>
      <c r="C898" s="338" t="s">
        <v>23</v>
      </c>
      <c r="D898" s="294">
        <v>2</v>
      </c>
      <c r="E898" s="294"/>
      <c r="F898" s="294">
        <v>12000</v>
      </c>
      <c r="G898" s="8">
        <f t="shared" si="189"/>
        <v>24000</v>
      </c>
      <c r="H898" s="294">
        <f t="shared" si="190"/>
        <v>0</v>
      </c>
      <c r="I898" s="467"/>
      <c r="J898" s="302" t="s">
        <v>21</v>
      </c>
      <c r="K898" s="410" t="s">
        <v>109</v>
      </c>
      <c r="L898" s="457" t="s">
        <v>99</v>
      </c>
      <c r="M898" s="457" t="s">
        <v>32</v>
      </c>
      <c r="N898" s="468"/>
    </row>
    <row r="899" spans="1:14" s="469" customFormat="1" ht="14" outlineLevel="4">
      <c r="A899" s="470" t="s">
        <v>8</v>
      </c>
      <c r="B899" s="475" t="s">
        <v>1487</v>
      </c>
      <c r="C899" s="338" t="s">
        <v>23</v>
      </c>
      <c r="D899" s="294">
        <v>4</v>
      </c>
      <c r="E899" s="294"/>
      <c r="F899" s="294">
        <v>14400</v>
      </c>
      <c r="G899" s="8">
        <f t="shared" si="189"/>
        <v>57600</v>
      </c>
      <c r="H899" s="294">
        <f t="shared" si="190"/>
        <v>0</v>
      </c>
      <c r="I899" s="467"/>
      <c r="J899" s="302" t="s">
        <v>21</v>
      </c>
      <c r="K899" s="410" t="s">
        <v>109</v>
      </c>
      <c r="L899" s="457" t="s">
        <v>99</v>
      </c>
      <c r="M899" s="457" t="s">
        <v>32</v>
      </c>
      <c r="N899" s="468"/>
    </row>
    <row r="900" spans="1:14" s="469" customFormat="1" ht="14" outlineLevel="4">
      <c r="A900" s="470" t="s">
        <v>8</v>
      </c>
      <c r="B900" s="475" t="s">
        <v>886</v>
      </c>
      <c r="C900" s="338" t="s">
        <v>23</v>
      </c>
      <c r="D900" s="294">
        <v>4</v>
      </c>
      <c r="E900" s="294"/>
      <c r="F900" s="294">
        <v>32400</v>
      </c>
      <c r="G900" s="8">
        <f t="shared" si="189"/>
        <v>129600</v>
      </c>
      <c r="H900" s="294">
        <f t="shared" si="190"/>
        <v>0</v>
      </c>
      <c r="I900" s="467"/>
      <c r="J900" s="302" t="s">
        <v>21</v>
      </c>
      <c r="K900" s="410" t="s">
        <v>109</v>
      </c>
      <c r="L900" s="457" t="s">
        <v>99</v>
      </c>
      <c r="M900" s="303" t="s">
        <v>32</v>
      </c>
      <c r="N900" s="468"/>
    </row>
    <row r="901" spans="1:14" s="469" customFormat="1" ht="14" outlineLevel="4">
      <c r="A901" s="470" t="s">
        <v>8</v>
      </c>
      <c r="B901" s="475" t="s">
        <v>1490</v>
      </c>
      <c r="C901" s="338" t="s">
        <v>23</v>
      </c>
      <c r="D901" s="294"/>
      <c r="E901" s="294"/>
      <c r="F901" s="294">
        <v>26.52</v>
      </c>
      <c r="G901" s="8">
        <f t="shared" si="189"/>
        <v>0</v>
      </c>
      <c r="H901" s="294">
        <f t="shared" si="190"/>
        <v>0</v>
      </c>
      <c r="I901" s="467"/>
      <c r="J901" s="302" t="s">
        <v>21</v>
      </c>
      <c r="K901" s="410" t="s">
        <v>109</v>
      </c>
      <c r="L901" s="457" t="s">
        <v>99</v>
      </c>
      <c r="M901" s="303" t="s">
        <v>32</v>
      </c>
      <c r="N901" s="468"/>
    </row>
    <row r="902" spans="1:14" s="469" customFormat="1" ht="14" outlineLevel="4">
      <c r="A902" s="470" t="s">
        <v>8</v>
      </c>
      <c r="B902" s="475" t="s">
        <v>1488</v>
      </c>
      <c r="C902" s="338" t="s">
        <v>148</v>
      </c>
      <c r="D902" s="294">
        <v>144</v>
      </c>
      <c r="E902" s="294"/>
      <c r="F902" s="294">
        <v>40.799999999999997</v>
      </c>
      <c r="G902" s="8">
        <f t="shared" si="189"/>
        <v>5875.2</v>
      </c>
      <c r="H902" s="294">
        <f t="shared" si="190"/>
        <v>0</v>
      </c>
      <c r="I902" s="467"/>
      <c r="J902" s="302" t="s">
        <v>21</v>
      </c>
      <c r="K902" s="410" t="s">
        <v>109</v>
      </c>
      <c r="L902" s="457" t="s">
        <v>99</v>
      </c>
      <c r="M902" s="303" t="s">
        <v>32</v>
      </c>
      <c r="N902" s="468"/>
    </row>
    <row r="903" spans="1:14" s="469" customFormat="1" ht="14" outlineLevel="4">
      <c r="A903" s="470" t="s">
        <v>8</v>
      </c>
      <c r="B903" s="475" t="s">
        <v>1491</v>
      </c>
      <c r="C903" s="338" t="s">
        <v>148</v>
      </c>
      <c r="D903" s="294">
        <v>20</v>
      </c>
      <c r="E903" s="294"/>
      <c r="F903" s="294">
        <v>216</v>
      </c>
      <c r="G903" s="8">
        <f t="shared" si="189"/>
        <v>4320</v>
      </c>
      <c r="H903" s="294">
        <f t="shared" si="190"/>
        <v>0</v>
      </c>
      <c r="I903" s="467"/>
      <c r="J903" s="302" t="s">
        <v>21</v>
      </c>
      <c r="K903" s="410" t="s">
        <v>109</v>
      </c>
      <c r="L903" s="457" t="s">
        <v>99</v>
      </c>
      <c r="M903" s="303" t="s">
        <v>32</v>
      </c>
      <c r="N903" s="468"/>
    </row>
    <row r="904" spans="1:14" s="459" customFormat="1" ht="13" customHeight="1" outlineLevel="4">
      <c r="A904" s="452">
        <v>3</v>
      </c>
      <c r="B904" s="461" t="s">
        <v>887</v>
      </c>
      <c r="C904" s="464"/>
      <c r="D904" s="385"/>
      <c r="E904" s="385"/>
      <c r="F904" s="385"/>
      <c r="G904" s="385">
        <f>SUBTOTAL(9,G905:G908)</f>
        <v>291840</v>
      </c>
      <c r="H904" s="385">
        <f>SUBTOTAL(9,H905:H908)</f>
        <v>0</v>
      </c>
      <c r="I904" s="385"/>
      <c r="J904" s="302" t="s">
        <v>21</v>
      </c>
      <c r="K904" s="457"/>
      <c r="L904" s="457"/>
      <c r="M904" s="303" t="s">
        <v>32</v>
      </c>
      <c r="N904" s="458"/>
    </row>
    <row r="905" spans="1:14" s="469" customFormat="1" ht="28" outlineLevel="5">
      <c r="A905" s="470" t="s">
        <v>8</v>
      </c>
      <c r="B905" s="471" t="s">
        <v>1492</v>
      </c>
      <c r="C905" s="338" t="s">
        <v>24</v>
      </c>
      <c r="D905" s="294">
        <v>2</v>
      </c>
      <c r="E905" s="294"/>
      <c r="F905" s="294"/>
      <c r="G905" s="8">
        <f t="shared" ref="G905:G908" si="191">F905*D905</f>
        <v>0</v>
      </c>
      <c r="H905" s="294">
        <f t="shared" ref="H905:H908" si="192">F905*E905</f>
        <v>0</v>
      </c>
      <c r="I905" s="467"/>
      <c r="J905" s="302" t="s">
        <v>21</v>
      </c>
      <c r="K905" s="410" t="s">
        <v>109</v>
      </c>
      <c r="L905" s="457" t="s">
        <v>99</v>
      </c>
      <c r="M905" s="457" t="s">
        <v>32</v>
      </c>
      <c r="N905" s="468"/>
    </row>
    <row r="906" spans="1:14" s="469" customFormat="1" ht="14" outlineLevel="5">
      <c r="A906" s="470" t="s">
        <v>8</v>
      </c>
      <c r="B906" s="471" t="s">
        <v>1486</v>
      </c>
      <c r="C906" s="338" t="s">
        <v>879</v>
      </c>
      <c r="D906" s="294">
        <v>2</v>
      </c>
      <c r="E906" s="294"/>
      <c r="F906" s="294">
        <v>12000</v>
      </c>
      <c r="G906" s="8">
        <f t="shared" si="191"/>
        <v>24000</v>
      </c>
      <c r="H906" s="294">
        <f t="shared" si="192"/>
        <v>0</v>
      </c>
      <c r="I906" s="467"/>
      <c r="J906" s="302" t="s">
        <v>21</v>
      </c>
      <c r="K906" s="410" t="s">
        <v>109</v>
      </c>
      <c r="L906" s="457" t="s">
        <v>99</v>
      </c>
      <c r="M906" s="457" t="s">
        <v>32</v>
      </c>
      <c r="N906" s="468"/>
    </row>
    <row r="907" spans="1:14" s="469" customFormat="1" ht="14" outlineLevel="5">
      <c r="A907" s="465" t="s">
        <v>8</v>
      </c>
      <c r="B907" s="466" t="s">
        <v>1493</v>
      </c>
      <c r="C907" s="338" t="s">
        <v>23</v>
      </c>
      <c r="D907" s="294">
        <v>4</v>
      </c>
      <c r="E907" s="294"/>
      <c r="F907" s="294">
        <v>64800</v>
      </c>
      <c r="G907" s="8">
        <f t="shared" si="191"/>
        <v>259200</v>
      </c>
      <c r="H907" s="294">
        <f t="shared" si="192"/>
        <v>0</v>
      </c>
      <c r="I907" s="467"/>
      <c r="J907" s="302" t="s">
        <v>21</v>
      </c>
      <c r="K907" s="410" t="s">
        <v>109</v>
      </c>
      <c r="L907" s="457" t="s">
        <v>99</v>
      </c>
      <c r="M907" s="457" t="s">
        <v>32</v>
      </c>
      <c r="N907" s="468"/>
    </row>
    <row r="908" spans="1:14" s="469" customFormat="1" ht="14" outlineLevel="5">
      <c r="A908" s="470" t="s">
        <v>8</v>
      </c>
      <c r="B908" s="471" t="s">
        <v>1491</v>
      </c>
      <c r="C908" s="338" t="s">
        <v>148</v>
      </c>
      <c r="D908" s="294">
        <v>40</v>
      </c>
      <c r="E908" s="294"/>
      <c r="F908" s="294">
        <v>216</v>
      </c>
      <c r="G908" s="8">
        <f t="shared" si="191"/>
        <v>8640</v>
      </c>
      <c r="H908" s="294">
        <f t="shared" si="192"/>
        <v>0</v>
      </c>
      <c r="I908" s="467"/>
      <c r="J908" s="302" t="s">
        <v>21</v>
      </c>
      <c r="K908" s="410" t="s">
        <v>109</v>
      </c>
      <c r="L908" s="457" t="s">
        <v>99</v>
      </c>
      <c r="M908" s="457" t="s">
        <v>32</v>
      </c>
      <c r="N908" s="468"/>
    </row>
    <row r="909" spans="1:14" s="459" customFormat="1" ht="13" customHeight="1" outlineLevel="4">
      <c r="A909" s="452">
        <v>4</v>
      </c>
      <c r="B909" s="461" t="s">
        <v>890</v>
      </c>
      <c r="C909" s="464"/>
      <c r="D909" s="385"/>
      <c r="E909" s="385"/>
      <c r="F909" s="385"/>
      <c r="G909" s="385">
        <f>SUBTOTAL(9,G910:G915)</f>
        <v>355315.20000000001</v>
      </c>
      <c r="H909" s="385">
        <f>SUBTOTAL(9,H910:H915)</f>
        <v>0</v>
      </c>
      <c r="I909" s="385"/>
      <c r="J909" s="302" t="s">
        <v>21</v>
      </c>
      <c r="K909" s="457"/>
      <c r="L909" s="457"/>
      <c r="M909" s="303" t="s">
        <v>32</v>
      </c>
      <c r="N909" s="458"/>
    </row>
    <row r="910" spans="1:14" s="469" customFormat="1" ht="14" outlineLevel="5">
      <c r="A910" s="465" t="s">
        <v>8</v>
      </c>
      <c r="B910" s="466" t="s">
        <v>1494</v>
      </c>
      <c r="C910" s="338" t="s">
        <v>24</v>
      </c>
      <c r="D910" s="296">
        <v>2</v>
      </c>
      <c r="E910" s="294"/>
      <c r="F910" s="294"/>
      <c r="G910" s="8">
        <f t="shared" ref="G910:G915" si="193">F910*D910</f>
        <v>0</v>
      </c>
      <c r="H910" s="294">
        <f t="shared" ref="H910:H915" si="194">F910*E910</f>
        <v>0</v>
      </c>
      <c r="I910" s="467"/>
      <c r="J910" s="302" t="s">
        <v>21</v>
      </c>
      <c r="K910" s="480" t="s">
        <v>109</v>
      </c>
      <c r="L910" s="457" t="s">
        <v>99</v>
      </c>
      <c r="M910" s="303" t="s">
        <v>32</v>
      </c>
      <c r="N910" s="468"/>
    </row>
    <row r="911" spans="1:14" s="469" customFormat="1" ht="14" outlineLevel="5">
      <c r="A911" s="470" t="s">
        <v>8</v>
      </c>
      <c r="B911" s="471" t="s">
        <v>1486</v>
      </c>
      <c r="C911" s="338" t="s">
        <v>879</v>
      </c>
      <c r="D911" s="296">
        <v>2</v>
      </c>
      <c r="E911" s="294"/>
      <c r="F911" s="294">
        <v>12000</v>
      </c>
      <c r="G911" s="8">
        <f t="shared" si="193"/>
        <v>24000</v>
      </c>
      <c r="H911" s="294">
        <f t="shared" si="194"/>
        <v>0</v>
      </c>
      <c r="I911" s="467"/>
      <c r="J911" s="302" t="s">
        <v>21</v>
      </c>
      <c r="K911" s="480" t="s">
        <v>109</v>
      </c>
      <c r="L911" s="457" t="s">
        <v>99</v>
      </c>
      <c r="M911" s="303" t="s">
        <v>32</v>
      </c>
      <c r="N911" s="468"/>
    </row>
    <row r="912" spans="1:14" s="469" customFormat="1" ht="14" outlineLevel="5">
      <c r="A912" s="470" t="s">
        <v>8</v>
      </c>
      <c r="B912" s="471" t="s">
        <v>1487</v>
      </c>
      <c r="C912" s="338" t="s">
        <v>23</v>
      </c>
      <c r="D912" s="296">
        <v>4</v>
      </c>
      <c r="E912" s="294"/>
      <c r="F912" s="294">
        <v>14400</v>
      </c>
      <c r="G912" s="8">
        <f t="shared" si="193"/>
        <v>57600</v>
      </c>
      <c r="H912" s="294">
        <f t="shared" si="194"/>
        <v>0</v>
      </c>
      <c r="I912" s="467"/>
      <c r="J912" s="302" t="s">
        <v>21</v>
      </c>
      <c r="K912" s="480" t="s">
        <v>109</v>
      </c>
      <c r="L912" s="457" t="s">
        <v>99</v>
      </c>
      <c r="M912" s="457" t="s">
        <v>32</v>
      </c>
      <c r="N912" s="468"/>
    </row>
    <row r="913" spans="1:14" s="469" customFormat="1" ht="14" outlineLevel="5">
      <c r="A913" s="465" t="s">
        <v>8</v>
      </c>
      <c r="B913" s="466" t="s">
        <v>1493</v>
      </c>
      <c r="C913" s="338" t="s">
        <v>23</v>
      </c>
      <c r="D913" s="296">
        <v>4</v>
      </c>
      <c r="E913" s="294"/>
      <c r="F913" s="294">
        <v>64800</v>
      </c>
      <c r="G913" s="8">
        <f t="shared" si="193"/>
        <v>259200</v>
      </c>
      <c r="H913" s="294">
        <f t="shared" si="194"/>
        <v>0</v>
      </c>
      <c r="I913" s="467"/>
      <c r="J913" s="302" t="s">
        <v>21</v>
      </c>
      <c r="K913" s="480" t="s">
        <v>109</v>
      </c>
      <c r="L913" s="457" t="s">
        <v>99</v>
      </c>
      <c r="M913" s="457" t="s">
        <v>32</v>
      </c>
      <c r="N913" s="468"/>
    </row>
    <row r="914" spans="1:14" s="469" customFormat="1" ht="14" outlineLevel="5">
      <c r="A914" s="465" t="s">
        <v>8</v>
      </c>
      <c r="B914" s="466" t="s">
        <v>1488</v>
      </c>
      <c r="C914" s="338" t="s">
        <v>148</v>
      </c>
      <c r="D914" s="296">
        <v>144</v>
      </c>
      <c r="E914" s="294"/>
      <c r="F914" s="294">
        <v>40.799999999999997</v>
      </c>
      <c r="G914" s="8">
        <f t="shared" si="193"/>
        <v>5875.2</v>
      </c>
      <c r="H914" s="294">
        <f t="shared" si="194"/>
        <v>0</v>
      </c>
      <c r="I914" s="467"/>
      <c r="J914" s="302" t="s">
        <v>21</v>
      </c>
      <c r="K914" s="480" t="s">
        <v>109</v>
      </c>
      <c r="L914" s="457" t="s">
        <v>99</v>
      </c>
      <c r="M914" s="457" t="s">
        <v>32</v>
      </c>
      <c r="N914" s="468"/>
    </row>
    <row r="915" spans="1:14" s="469" customFormat="1" ht="14" outlineLevel="5">
      <c r="A915" s="470" t="s">
        <v>8</v>
      </c>
      <c r="B915" s="471" t="s">
        <v>1491</v>
      </c>
      <c r="C915" s="338" t="s">
        <v>148</v>
      </c>
      <c r="D915" s="296">
        <v>40</v>
      </c>
      <c r="E915" s="294"/>
      <c r="F915" s="294">
        <v>216</v>
      </c>
      <c r="G915" s="8">
        <f t="shared" si="193"/>
        <v>8640</v>
      </c>
      <c r="H915" s="294">
        <f t="shared" si="194"/>
        <v>0</v>
      </c>
      <c r="I915" s="467"/>
      <c r="J915" s="302" t="s">
        <v>21</v>
      </c>
      <c r="K915" s="480" t="s">
        <v>109</v>
      </c>
      <c r="L915" s="457" t="s">
        <v>99</v>
      </c>
      <c r="M915" s="457" t="s">
        <v>32</v>
      </c>
      <c r="N915" s="468"/>
    </row>
    <row r="916" spans="1:14" s="459" customFormat="1" ht="13" customHeight="1" outlineLevel="4">
      <c r="A916" s="452">
        <v>5</v>
      </c>
      <c r="B916" s="461" t="s">
        <v>895</v>
      </c>
      <c r="C916" s="464"/>
      <c r="D916" s="385"/>
      <c r="E916" s="385"/>
      <c r="F916" s="385"/>
      <c r="G916" s="385">
        <f>SUBTOTAL(9,G917:G923)</f>
        <v>221395.20000000001</v>
      </c>
      <c r="H916" s="385">
        <f>SUBTOTAL(9,H917:H923)</f>
        <v>0</v>
      </c>
      <c r="I916" s="385"/>
      <c r="J916" s="302" t="s">
        <v>21</v>
      </c>
      <c r="K916" s="457"/>
      <c r="L916" s="457"/>
      <c r="M916" s="303" t="s">
        <v>32</v>
      </c>
      <c r="N916" s="458"/>
    </row>
    <row r="917" spans="1:14" s="469" customFormat="1" ht="14" outlineLevel="5">
      <c r="A917" s="465" t="s">
        <v>8</v>
      </c>
      <c r="B917" s="466" t="s">
        <v>1495</v>
      </c>
      <c r="C917" s="338" t="s">
        <v>879</v>
      </c>
      <c r="D917" s="294">
        <v>2</v>
      </c>
      <c r="E917" s="294"/>
      <c r="F917" s="294">
        <v>0</v>
      </c>
      <c r="G917" s="8">
        <f t="shared" ref="G917:G923" si="195">F917*D917</f>
        <v>0</v>
      </c>
      <c r="H917" s="294">
        <f t="shared" ref="H917:H923" si="196">F917*E917</f>
        <v>0</v>
      </c>
      <c r="I917" s="467"/>
      <c r="J917" s="302" t="s">
        <v>21</v>
      </c>
      <c r="K917" s="480" t="s">
        <v>109</v>
      </c>
      <c r="L917" s="457" t="s">
        <v>99</v>
      </c>
      <c r="M917" s="303" t="s">
        <v>32</v>
      </c>
      <c r="N917" s="468"/>
    </row>
    <row r="918" spans="1:14" s="469" customFormat="1" ht="14" outlineLevel="5">
      <c r="A918" s="465" t="s">
        <v>8</v>
      </c>
      <c r="B918" s="466" t="s">
        <v>1486</v>
      </c>
      <c r="C918" s="338" t="s">
        <v>23</v>
      </c>
      <c r="D918" s="294">
        <v>2</v>
      </c>
      <c r="E918" s="294"/>
      <c r="F918" s="294">
        <v>12000</v>
      </c>
      <c r="G918" s="8">
        <f t="shared" si="195"/>
        <v>24000</v>
      </c>
      <c r="H918" s="294">
        <f t="shared" si="196"/>
        <v>0</v>
      </c>
      <c r="I918" s="467"/>
      <c r="J918" s="302" t="s">
        <v>21</v>
      </c>
      <c r="K918" s="480" t="s">
        <v>109</v>
      </c>
      <c r="L918" s="457" t="s">
        <v>99</v>
      </c>
      <c r="M918" s="303" t="s">
        <v>32</v>
      </c>
      <c r="N918" s="468"/>
    </row>
    <row r="919" spans="1:14" s="469" customFormat="1" ht="14" outlineLevel="5">
      <c r="A919" s="470" t="s">
        <v>8</v>
      </c>
      <c r="B919" s="471" t="s">
        <v>1487</v>
      </c>
      <c r="C919" s="338" t="s">
        <v>23</v>
      </c>
      <c r="D919" s="294">
        <v>4</v>
      </c>
      <c r="E919" s="294"/>
      <c r="F919" s="294">
        <v>14400</v>
      </c>
      <c r="G919" s="8">
        <f t="shared" si="195"/>
        <v>57600</v>
      </c>
      <c r="H919" s="294">
        <f t="shared" si="196"/>
        <v>0</v>
      </c>
      <c r="I919" s="467"/>
      <c r="J919" s="302" t="s">
        <v>21</v>
      </c>
      <c r="K919" s="480" t="s">
        <v>109</v>
      </c>
      <c r="L919" s="457" t="s">
        <v>99</v>
      </c>
      <c r="M919" s="457" t="s">
        <v>32</v>
      </c>
      <c r="N919" s="468"/>
    </row>
    <row r="920" spans="1:14" s="469" customFormat="1" ht="14" outlineLevel="5">
      <c r="A920" s="470" t="s">
        <v>8</v>
      </c>
      <c r="B920" s="471" t="s">
        <v>886</v>
      </c>
      <c r="C920" s="338" t="s">
        <v>23</v>
      </c>
      <c r="D920" s="294">
        <v>4</v>
      </c>
      <c r="E920" s="294"/>
      <c r="F920" s="294">
        <v>32400</v>
      </c>
      <c r="G920" s="8">
        <f t="shared" si="195"/>
        <v>129600</v>
      </c>
      <c r="H920" s="294">
        <f t="shared" si="196"/>
        <v>0</v>
      </c>
      <c r="I920" s="467"/>
      <c r="J920" s="302" t="s">
        <v>21</v>
      </c>
      <c r="K920" s="480" t="s">
        <v>109</v>
      </c>
      <c r="L920" s="457" t="s">
        <v>99</v>
      </c>
      <c r="M920" s="457" t="s">
        <v>32</v>
      </c>
      <c r="N920" s="468"/>
    </row>
    <row r="921" spans="1:14" s="469" customFormat="1" ht="14" outlineLevel="5">
      <c r="A921" s="465" t="s">
        <v>8</v>
      </c>
      <c r="B921" s="466" t="s">
        <v>1490</v>
      </c>
      <c r="C921" s="338" t="s">
        <v>23</v>
      </c>
      <c r="D921" s="294"/>
      <c r="E921" s="294"/>
      <c r="F921" s="294">
        <v>26.52</v>
      </c>
      <c r="G921" s="8">
        <f t="shared" si="195"/>
        <v>0</v>
      </c>
      <c r="H921" s="294">
        <f t="shared" si="196"/>
        <v>0</v>
      </c>
      <c r="I921" s="467"/>
      <c r="J921" s="302" t="s">
        <v>21</v>
      </c>
      <c r="K921" s="480" t="s">
        <v>109</v>
      </c>
      <c r="L921" s="457" t="s">
        <v>99</v>
      </c>
      <c r="M921" s="457" t="s">
        <v>32</v>
      </c>
      <c r="N921" s="468"/>
    </row>
    <row r="922" spans="1:14" s="469" customFormat="1" ht="14" outlineLevel="5">
      <c r="A922" s="465" t="s">
        <v>8</v>
      </c>
      <c r="B922" s="466" t="s">
        <v>1488</v>
      </c>
      <c r="C922" s="338" t="s">
        <v>23</v>
      </c>
      <c r="D922" s="294">
        <v>144</v>
      </c>
      <c r="E922" s="294"/>
      <c r="F922" s="294">
        <v>40.799999999999997</v>
      </c>
      <c r="G922" s="8">
        <f t="shared" si="195"/>
        <v>5875.2</v>
      </c>
      <c r="H922" s="294">
        <f t="shared" si="196"/>
        <v>0</v>
      </c>
      <c r="I922" s="467"/>
      <c r="J922" s="302" t="s">
        <v>21</v>
      </c>
      <c r="K922" s="480" t="s">
        <v>109</v>
      </c>
      <c r="L922" s="457" t="s">
        <v>99</v>
      </c>
      <c r="M922" s="303" t="s">
        <v>32</v>
      </c>
      <c r="N922" s="468"/>
    </row>
    <row r="923" spans="1:14" s="469" customFormat="1" ht="14" outlineLevel="5">
      <c r="A923" s="470" t="s">
        <v>8</v>
      </c>
      <c r="B923" s="471" t="s">
        <v>1491</v>
      </c>
      <c r="C923" s="338" t="s">
        <v>148</v>
      </c>
      <c r="D923" s="294">
        <v>20</v>
      </c>
      <c r="E923" s="294"/>
      <c r="F923" s="294">
        <v>216</v>
      </c>
      <c r="G923" s="8">
        <f t="shared" si="195"/>
        <v>4320</v>
      </c>
      <c r="H923" s="294">
        <f t="shared" si="196"/>
        <v>0</v>
      </c>
      <c r="I923" s="467"/>
      <c r="J923" s="302" t="s">
        <v>21</v>
      </c>
      <c r="K923" s="480" t="s">
        <v>109</v>
      </c>
      <c r="L923" s="457" t="s">
        <v>99</v>
      </c>
      <c r="M923" s="303" t="s">
        <v>32</v>
      </c>
      <c r="N923" s="468"/>
    </row>
    <row r="924" spans="1:14" s="459" customFormat="1" ht="13" customHeight="1" outlineLevel="4">
      <c r="A924" s="452">
        <v>6</v>
      </c>
      <c r="B924" s="463" t="s">
        <v>900</v>
      </c>
      <c r="C924" s="464"/>
      <c r="D924" s="385"/>
      <c r="E924" s="385"/>
      <c r="F924" s="385"/>
      <c r="G924" s="385">
        <f>SUBTOTAL(9,G925:G931)</f>
        <v>40409.599999999999</v>
      </c>
      <c r="H924" s="385">
        <f>SUBTOTAL(9,H925:H931)</f>
        <v>1415</v>
      </c>
      <c r="I924" s="385"/>
      <c r="J924" s="302" t="s">
        <v>21</v>
      </c>
      <c r="K924" s="457"/>
      <c r="L924" s="457"/>
      <c r="M924" s="303" t="s">
        <v>32</v>
      </c>
      <c r="N924" s="458"/>
    </row>
    <row r="925" spans="1:14" s="469" customFormat="1" ht="14" outlineLevel="5">
      <c r="A925" s="465" t="s">
        <v>8</v>
      </c>
      <c r="B925" s="466" t="s">
        <v>901</v>
      </c>
      <c r="C925" s="338" t="s">
        <v>879</v>
      </c>
      <c r="D925" s="294">
        <v>10</v>
      </c>
      <c r="E925" s="294">
        <v>0</v>
      </c>
      <c r="F925" s="294">
        <v>2000</v>
      </c>
      <c r="G925" s="8">
        <f t="shared" ref="G925:G931" si="197">F925*D925</f>
        <v>20000</v>
      </c>
      <c r="H925" s="294">
        <f t="shared" ref="H925:H931" si="198">F925*E925</f>
        <v>0</v>
      </c>
      <c r="I925" s="467"/>
      <c r="J925" s="302" t="s">
        <v>21</v>
      </c>
      <c r="K925" s="480" t="s">
        <v>109</v>
      </c>
      <c r="L925" s="457" t="s">
        <v>99</v>
      </c>
      <c r="M925" s="303" t="s">
        <v>32</v>
      </c>
      <c r="N925" s="468"/>
    </row>
    <row r="926" spans="1:14" s="469" customFormat="1" ht="14" outlineLevel="5">
      <c r="A926" s="465" t="s">
        <v>8</v>
      </c>
      <c r="B926" s="466" t="s">
        <v>893</v>
      </c>
      <c r="C926" s="338" t="s">
        <v>148</v>
      </c>
      <c r="D926" s="294">
        <v>144</v>
      </c>
      <c r="E926" s="294">
        <v>0</v>
      </c>
      <c r="F926" s="294">
        <v>37</v>
      </c>
      <c r="G926" s="8">
        <f t="shared" si="197"/>
        <v>5328</v>
      </c>
      <c r="H926" s="294">
        <f t="shared" si="198"/>
        <v>0</v>
      </c>
      <c r="I926" s="467"/>
      <c r="J926" s="302" t="s">
        <v>21</v>
      </c>
      <c r="K926" s="480" t="s">
        <v>109</v>
      </c>
      <c r="L926" s="457" t="s">
        <v>99</v>
      </c>
      <c r="M926" s="303" t="s">
        <v>32</v>
      </c>
      <c r="N926" s="468"/>
    </row>
    <row r="927" spans="1:14" s="469" customFormat="1" ht="14" outlineLevel="5">
      <c r="A927" s="470" t="s">
        <v>8</v>
      </c>
      <c r="B927" s="471" t="s">
        <v>1348</v>
      </c>
      <c r="C927" s="338" t="s">
        <v>148</v>
      </c>
      <c r="D927" s="294">
        <v>144</v>
      </c>
      <c r="E927" s="294">
        <v>0</v>
      </c>
      <c r="F927" s="294">
        <v>27</v>
      </c>
      <c r="G927" s="8">
        <f t="shared" si="197"/>
        <v>3888</v>
      </c>
      <c r="H927" s="294">
        <f t="shared" si="198"/>
        <v>0</v>
      </c>
      <c r="I927" s="467"/>
      <c r="J927" s="302" t="s">
        <v>21</v>
      </c>
      <c r="K927" s="480" t="s">
        <v>109</v>
      </c>
      <c r="L927" s="457" t="s">
        <v>99</v>
      </c>
      <c r="M927" s="457" t="s">
        <v>32</v>
      </c>
      <c r="N927" s="468"/>
    </row>
    <row r="928" spans="1:14" s="469" customFormat="1" ht="14" outlineLevel="5">
      <c r="A928" s="470" t="s">
        <v>8</v>
      </c>
      <c r="B928" s="471" t="s">
        <v>1346</v>
      </c>
      <c r="C928" s="338" t="s">
        <v>148</v>
      </c>
      <c r="D928" s="294">
        <v>192</v>
      </c>
      <c r="E928" s="294">
        <v>0</v>
      </c>
      <c r="F928" s="294">
        <v>40.799999999999997</v>
      </c>
      <c r="G928" s="8">
        <f t="shared" si="197"/>
        <v>7833.5999999999995</v>
      </c>
      <c r="H928" s="294">
        <f t="shared" si="198"/>
        <v>0</v>
      </c>
      <c r="I928" s="467"/>
      <c r="J928" s="302" t="s">
        <v>21</v>
      </c>
      <c r="K928" s="480" t="s">
        <v>109</v>
      </c>
      <c r="L928" s="457" t="s">
        <v>99</v>
      </c>
      <c r="M928" s="457" t="s">
        <v>32</v>
      </c>
      <c r="N928" s="468"/>
    </row>
    <row r="929" spans="1:16" s="469" customFormat="1" ht="14" outlineLevel="5">
      <c r="A929" s="465" t="s">
        <v>8</v>
      </c>
      <c r="B929" s="466" t="s">
        <v>382</v>
      </c>
      <c r="C929" s="338" t="s">
        <v>148</v>
      </c>
      <c r="D929" s="294"/>
      <c r="E929" s="294">
        <v>8</v>
      </c>
      <c r="F929" s="294">
        <v>130</v>
      </c>
      <c r="G929" s="8">
        <f t="shared" si="197"/>
        <v>0</v>
      </c>
      <c r="H929" s="294">
        <f t="shared" si="198"/>
        <v>1040</v>
      </c>
      <c r="I929" s="467"/>
      <c r="J929" s="302" t="s">
        <v>21</v>
      </c>
      <c r="K929" s="480" t="s">
        <v>109</v>
      </c>
      <c r="L929" s="457" t="s">
        <v>99</v>
      </c>
      <c r="M929" s="457" t="s">
        <v>32</v>
      </c>
      <c r="N929" s="468"/>
    </row>
    <row r="930" spans="1:16" s="469" customFormat="1" ht="14" outlineLevel="5">
      <c r="A930" s="465" t="s">
        <v>8</v>
      </c>
      <c r="B930" s="466" t="s">
        <v>384</v>
      </c>
      <c r="C930" s="338" t="s">
        <v>148</v>
      </c>
      <c r="D930" s="294"/>
      <c r="E930" s="294">
        <v>3</v>
      </c>
      <c r="F930" s="294">
        <v>125</v>
      </c>
      <c r="G930" s="8">
        <f t="shared" si="197"/>
        <v>0</v>
      </c>
      <c r="H930" s="294">
        <f t="shared" si="198"/>
        <v>375</v>
      </c>
      <c r="I930" s="467"/>
      <c r="J930" s="302" t="s">
        <v>21</v>
      </c>
      <c r="K930" s="480" t="s">
        <v>109</v>
      </c>
      <c r="L930" s="457" t="s">
        <v>99</v>
      </c>
      <c r="M930" s="303" t="s">
        <v>32</v>
      </c>
      <c r="N930" s="468"/>
    </row>
    <row r="931" spans="1:16" s="469" customFormat="1" ht="14" outlineLevel="5">
      <c r="A931" s="470" t="s">
        <v>8</v>
      </c>
      <c r="B931" s="471" t="s">
        <v>902</v>
      </c>
      <c r="C931" s="338" t="s">
        <v>880</v>
      </c>
      <c r="D931" s="294">
        <v>672</v>
      </c>
      <c r="E931" s="294">
        <v>0</v>
      </c>
      <c r="F931" s="294">
        <v>5</v>
      </c>
      <c r="G931" s="8">
        <f t="shared" si="197"/>
        <v>3360</v>
      </c>
      <c r="H931" s="294">
        <f t="shared" si="198"/>
        <v>0</v>
      </c>
      <c r="I931" s="467"/>
      <c r="J931" s="302" t="s">
        <v>21</v>
      </c>
      <c r="K931" s="480" t="s">
        <v>109</v>
      </c>
      <c r="L931" s="457" t="s">
        <v>99</v>
      </c>
      <c r="M931" s="303" t="s">
        <v>32</v>
      </c>
      <c r="N931" s="468"/>
    </row>
    <row r="932" spans="1:16" s="459" customFormat="1" ht="13" customHeight="1" outlineLevel="4">
      <c r="A932" s="452">
        <v>7</v>
      </c>
      <c r="B932" s="463" t="s">
        <v>1145</v>
      </c>
      <c r="C932" s="464"/>
      <c r="D932" s="385"/>
      <c r="E932" s="385"/>
      <c r="F932" s="385"/>
      <c r="G932" s="385">
        <f>SUBTOTAL(9,G933:G947)</f>
        <v>539289.59999999998</v>
      </c>
      <c r="H932" s="385">
        <f>SUBTOTAL(9,H933:H947)</f>
        <v>0</v>
      </c>
      <c r="I932" s="385"/>
      <c r="J932" s="302" t="s">
        <v>21</v>
      </c>
      <c r="K932" s="457"/>
      <c r="L932" s="457"/>
      <c r="M932" s="303" t="s">
        <v>32</v>
      </c>
      <c r="N932" s="458"/>
    </row>
    <row r="933" spans="1:16" s="469" customFormat="1" ht="14" outlineLevel="5">
      <c r="A933" s="465" t="s">
        <v>8</v>
      </c>
      <c r="B933" s="466" t="s">
        <v>1146</v>
      </c>
      <c r="C933" s="338" t="s">
        <v>424</v>
      </c>
      <c r="D933" s="294">
        <v>2</v>
      </c>
      <c r="E933" s="294"/>
      <c r="F933" s="294">
        <v>42000</v>
      </c>
      <c r="G933" s="8">
        <f t="shared" ref="G933:G934" si="199">F933*D933</f>
        <v>84000</v>
      </c>
      <c r="H933" s="294">
        <f t="shared" ref="H933:H934" si="200">F933*E933</f>
        <v>0</v>
      </c>
      <c r="I933" s="467"/>
      <c r="J933" s="302" t="s">
        <v>21</v>
      </c>
      <c r="K933" s="480" t="s">
        <v>109</v>
      </c>
      <c r="L933" s="457" t="s">
        <v>99</v>
      </c>
      <c r="M933" s="303" t="s">
        <v>32</v>
      </c>
      <c r="N933" s="468"/>
    </row>
    <row r="934" spans="1:16" s="469" customFormat="1" ht="14" outlineLevel="5">
      <c r="A934" s="465" t="s">
        <v>8</v>
      </c>
      <c r="B934" s="466" t="s">
        <v>738</v>
      </c>
      <c r="C934" s="338" t="s">
        <v>424</v>
      </c>
      <c r="D934" s="294"/>
      <c r="E934" s="294"/>
      <c r="F934" s="294">
        <v>60000</v>
      </c>
      <c r="G934" s="8">
        <f t="shared" si="199"/>
        <v>0</v>
      </c>
      <c r="H934" s="294">
        <f t="shared" si="200"/>
        <v>0</v>
      </c>
      <c r="I934" s="467"/>
      <c r="J934" s="302" t="s">
        <v>21</v>
      </c>
      <c r="K934" s="480" t="s">
        <v>109</v>
      </c>
      <c r="L934" s="457" t="s">
        <v>99</v>
      </c>
      <c r="M934" s="303" t="s">
        <v>32</v>
      </c>
      <c r="N934" s="468"/>
    </row>
    <row r="935" spans="1:16" s="459" customFormat="1" ht="13" customHeight="1" outlineLevel="4">
      <c r="A935" s="452">
        <v>8</v>
      </c>
      <c r="B935" s="460" t="s">
        <v>1349</v>
      </c>
      <c r="C935" s="464"/>
      <c r="D935" s="385"/>
      <c r="E935" s="385"/>
      <c r="F935" s="385"/>
      <c r="G935" s="385">
        <f>SUBTOTAL(9,G936:G942)</f>
        <v>455289.59999999998</v>
      </c>
      <c r="H935" s="385">
        <f>SUBTOTAL(9,H936:H942)</f>
        <v>0</v>
      </c>
      <c r="I935" s="385"/>
      <c r="J935" s="302" t="s">
        <v>21</v>
      </c>
      <c r="K935" s="457"/>
      <c r="L935" s="457"/>
      <c r="M935" s="303" t="s">
        <v>32</v>
      </c>
      <c r="N935" s="458"/>
    </row>
    <row r="936" spans="1:16" s="469" customFormat="1" ht="14" outlineLevel="5">
      <c r="A936" s="465" t="s">
        <v>8</v>
      </c>
      <c r="B936" s="466" t="s">
        <v>1496</v>
      </c>
      <c r="C936" s="338" t="s">
        <v>24</v>
      </c>
      <c r="D936" s="294">
        <v>2</v>
      </c>
      <c r="E936" s="294"/>
      <c r="F936" s="294"/>
      <c r="G936" s="8">
        <f t="shared" ref="G936:G942" si="201">F936*D936</f>
        <v>0</v>
      </c>
      <c r="H936" s="294">
        <f t="shared" ref="H936:H942" si="202">F936*E936</f>
        <v>0</v>
      </c>
      <c r="I936" s="467"/>
      <c r="J936" s="302" t="s">
        <v>21</v>
      </c>
      <c r="K936" s="480" t="s">
        <v>109</v>
      </c>
      <c r="L936" s="457" t="s">
        <v>99</v>
      </c>
      <c r="M936" s="303" t="s">
        <v>32</v>
      </c>
      <c r="N936" s="468"/>
    </row>
    <row r="937" spans="1:16" s="469" customFormat="1" ht="14" outlineLevel="5">
      <c r="A937" s="470" t="s">
        <v>8</v>
      </c>
      <c r="B937" s="471" t="s">
        <v>1497</v>
      </c>
      <c r="C937" s="338" t="s">
        <v>487</v>
      </c>
      <c r="D937" s="294">
        <v>2</v>
      </c>
      <c r="E937" s="294"/>
      <c r="F937" s="294">
        <v>12000</v>
      </c>
      <c r="G937" s="8">
        <f t="shared" si="201"/>
        <v>24000</v>
      </c>
      <c r="H937" s="294">
        <f t="shared" si="202"/>
        <v>0</v>
      </c>
      <c r="I937" s="467"/>
      <c r="J937" s="302" t="s">
        <v>21</v>
      </c>
      <c r="K937" s="480" t="s">
        <v>109</v>
      </c>
      <c r="L937" s="457" t="s">
        <v>99</v>
      </c>
      <c r="M937" s="457" t="s">
        <v>32</v>
      </c>
      <c r="N937" s="468"/>
    </row>
    <row r="938" spans="1:16" s="469" customFormat="1" ht="14" outlineLevel="5">
      <c r="A938" s="470" t="s">
        <v>8</v>
      </c>
      <c r="B938" s="471" t="s">
        <v>1487</v>
      </c>
      <c r="C938" s="338" t="s">
        <v>23</v>
      </c>
      <c r="D938" s="294">
        <v>2</v>
      </c>
      <c r="E938" s="294"/>
      <c r="F938" s="294">
        <v>14400</v>
      </c>
      <c r="G938" s="8">
        <f t="shared" si="201"/>
        <v>28800</v>
      </c>
      <c r="H938" s="294">
        <f t="shared" si="202"/>
        <v>0</v>
      </c>
      <c r="I938" s="467"/>
      <c r="J938" s="302" t="s">
        <v>21</v>
      </c>
      <c r="K938" s="480" t="s">
        <v>109</v>
      </c>
      <c r="L938" s="457" t="s">
        <v>99</v>
      </c>
      <c r="M938" s="457" t="s">
        <v>32</v>
      </c>
      <c r="N938" s="468"/>
    </row>
    <row r="939" spans="1:16" s="469" customFormat="1" ht="14" outlineLevel="5">
      <c r="A939" s="465" t="s">
        <v>8</v>
      </c>
      <c r="B939" s="466" t="s">
        <v>1498</v>
      </c>
      <c r="C939" s="338" t="s">
        <v>23</v>
      </c>
      <c r="D939" s="294">
        <v>6</v>
      </c>
      <c r="E939" s="294"/>
      <c r="F939" s="294">
        <v>64800</v>
      </c>
      <c r="G939" s="8">
        <f t="shared" si="201"/>
        <v>388800</v>
      </c>
      <c r="H939" s="294">
        <f t="shared" si="202"/>
        <v>0</v>
      </c>
      <c r="I939" s="467"/>
      <c r="J939" s="302" t="s">
        <v>21</v>
      </c>
      <c r="K939" s="480" t="s">
        <v>109</v>
      </c>
      <c r="L939" s="457" t="s">
        <v>99</v>
      </c>
      <c r="M939" s="457" t="s">
        <v>32</v>
      </c>
      <c r="N939" s="468"/>
    </row>
    <row r="940" spans="1:16" s="469" customFormat="1" ht="14" outlineLevel="5">
      <c r="A940" s="470" t="s">
        <v>8</v>
      </c>
      <c r="B940" s="471" t="s">
        <v>1499</v>
      </c>
      <c r="C940" s="338" t="s">
        <v>148</v>
      </c>
      <c r="D940" s="294">
        <v>72</v>
      </c>
      <c r="E940" s="294"/>
      <c r="F940" s="294">
        <v>40.799999999999997</v>
      </c>
      <c r="G940" s="8">
        <f t="shared" si="201"/>
        <v>2937.6</v>
      </c>
      <c r="H940" s="294">
        <f t="shared" si="202"/>
        <v>0</v>
      </c>
      <c r="I940" s="467"/>
      <c r="J940" s="302" t="s">
        <v>21</v>
      </c>
      <c r="K940" s="480" t="s">
        <v>109</v>
      </c>
      <c r="L940" s="457" t="s">
        <v>99</v>
      </c>
      <c r="M940" s="457" t="s">
        <v>32</v>
      </c>
      <c r="N940" s="468"/>
    </row>
    <row r="941" spans="1:16" s="469" customFormat="1" ht="14" outlineLevel="5">
      <c r="A941" s="470" t="s">
        <v>8</v>
      </c>
      <c r="B941" s="471" t="s">
        <v>1500</v>
      </c>
      <c r="C941" s="338" t="s">
        <v>148</v>
      </c>
      <c r="D941" s="294">
        <v>40</v>
      </c>
      <c r="E941" s="294"/>
      <c r="F941" s="294">
        <v>216</v>
      </c>
      <c r="G941" s="8">
        <f t="shared" si="201"/>
        <v>8640</v>
      </c>
      <c r="H941" s="294">
        <f t="shared" si="202"/>
        <v>0</v>
      </c>
      <c r="I941" s="467"/>
      <c r="J941" s="302" t="s">
        <v>21</v>
      </c>
      <c r="K941" s="480" t="s">
        <v>109</v>
      </c>
      <c r="L941" s="457" t="s">
        <v>99</v>
      </c>
      <c r="M941" s="457" t="s">
        <v>32</v>
      </c>
      <c r="N941" s="468"/>
    </row>
    <row r="942" spans="1:16" s="469" customFormat="1" ht="14" outlineLevel="5">
      <c r="A942" s="470" t="s">
        <v>8</v>
      </c>
      <c r="B942" s="471" t="s">
        <v>1501</v>
      </c>
      <c r="C942" s="338" t="s">
        <v>148</v>
      </c>
      <c r="D942" s="294">
        <v>4</v>
      </c>
      <c r="E942" s="294"/>
      <c r="F942" s="294">
        <v>528</v>
      </c>
      <c r="G942" s="8">
        <f t="shared" si="201"/>
        <v>2112</v>
      </c>
      <c r="H942" s="294">
        <f t="shared" si="202"/>
        <v>0</v>
      </c>
      <c r="I942" s="467"/>
      <c r="J942" s="302" t="s">
        <v>21</v>
      </c>
      <c r="K942" s="480" t="s">
        <v>109</v>
      </c>
      <c r="L942" s="457" t="s">
        <v>99</v>
      </c>
      <c r="M942" s="457" t="s">
        <v>32</v>
      </c>
      <c r="N942" s="468"/>
    </row>
    <row r="943" spans="1:16" s="308" customFormat="1" ht="14" outlineLevel="4">
      <c r="A943" s="328" t="s">
        <v>43</v>
      </c>
      <c r="B943" s="339" t="s">
        <v>254</v>
      </c>
      <c r="C943" s="289"/>
      <c r="D943" s="290"/>
      <c r="E943" s="290"/>
      <c r="F943" s="290"/>
      <c r="G943" s="290"/>
      <c r="H943" s="290"/>
      <c r="I943" s="291"/>
      <c r="J943" s="302" t="s">
        <v>21</v>
      </c>
      <c r="K943" s="303"/>
      <c r="L943" s="303"/>
      <c r="M943" s="303" t="s">
        <v>32</v>
      </c>
      <c r="N943" s="303"/>
      <c r="P943" s="309"/>
    </row>
    <row r="944" spans="1:16" s="308" customFormat="1" ht="14" outlineLevel="4">
      <c r="A944" s="328">
        <v>1</v>
      </c>
      <c r="B944" s="281" t="s">
        <v>255</v>
      </c>
      <c r="C944" s="289"/>
      <c r="D944" s="290"/>
      <c r="E944" s="290"/>
      <c r="F944" s="290"/>
      <c r="G944" s="290"/>
      <c r="H944" s="290"/>
      <c r="I944" s="291"/>
      <c r="J944" s="302" t="s">
        <v>21</v>
      </c>
      <c r="K944" s="303"/>
      <c r="L944" s="303"/>
      <c r="M944" s="303" t="s">
        <v>32</v>
      </c>
      <c r="N944" s="303"/>
      <c r="P944" s="309"/>
    </row>
    <row r="945" spans="1:16" s="308" customFormat="1" ht="28" outlineLevel="4">
      <c r="A945" s="292" t="s">
        <v>8</v>
      </c>
      <c r="B945" s="307" t="s">
        <v>256</v>
      </c>
      <c r="C945" s="289"/>
      <c r="D945" s="290"/>
      <c r="E945" s="290"/>
      <c r="F945" s="290"/>
      <c r="G945" s="290"/>
      <c r="H945" s="290">
        <f t="shared" ref="H945:H951" si="203">F945*E945</f>
        <v>0</v>
      </c>
      <c r="I945" s="291"/>
      <c r="J945" s="302" t="s">
        <v>21</v>
      </c>
      <c r="K945" s="367" t="s">
        <v>109</v>
      </c>
      <c r="L945" s="303" t="s">
        <v>99</v>
      </c>
      <c r="M945" s="303" t="s">
        <v>32</v>
      </c>
      <c r="N945" s="325"/>
      <c r="P945" s="309"/>
    </row>
    <row r="946" spans="1:16" s="308" customFormat="1" ht="14" outlineLevel="4">
      <c r="A946" s="292" t="s">
        <v>8</v>
      </c>
      <c r="B946" s="307" t="s">
        <v>257</v>
      </c>
      <c r="C946" s="289"/>
      <c r="D946" s="290"/>
      <c r="E946" s="290"/>
      <c r="F946" s="290"/>
      <c r="G946" s="290"/>
      <c r="H946" s="290">
        <f t="shared" si="203"/>
        <v>0</v>
      </c>
      <c r="I946" s="291"/>
      <c r="J946" s="302" t="s">
        <v>21</v>
      </c>
      <c r="K946" s="367" t="s">
        <v>109</v>
      </c>
      <c r="L946" s="303" t="s">
        <v>99</v>
      </c>
      <c r="M946" s="303" t="s">
        <v>32</v>
      </c>
      <c r="N946" s="325"/>
      <c r="P946" s="309"/>
    </row>
    <row r="947" spans="1:16" s="308" customFormat="1" ht="14" outlineLevel="4">
      <c r="A947" s="292" t="s">
        <v>8</v>
      </c>
      <c r="B947" s="307" t="s">
        <v>258</v>
      </c>
      <c r="C947" s="289"/>
      <c r="D947" s="290"/>
      <c r="E947" s="290"/>
      <c r="F947" s="290"/>
      <c r="G947" s="290"/>
      <c r="H947" s="290">
        <f t="shared" si="203"/>
        <v>0</v>
      </c>
      <c r="I947" s="291"/>
      <c r="J947" s="302" t="s">
        <v>21</v>
      </c>
      <c r="K947" s="367" t="s">
        <v>109</v>
      </c>
      <c r="L947" s="303" t="s">
        <v>99</v>
      </c>
      <c r="M947" s="303" t="s">
        <v>32</v>
      </c>
      <c r="N947" s="325"/>
      <c r="P947" s="309"/>
    </row>
    <row r="948" spans="1:16" s="308" customFormat="1" ht="14" outlineLevel="4">
      <c r="A948" s="292" t="s">
        <v>8</v>
      </c>
      <c r="B948" s="307" t="s">
        <v>259</v>
      </c>
      <c r="C948" s="289"/>
      <c r="D948" s="290"/>
      <c r="E948" s="290"/>
      <c r="F948" s="290"/>
      <c r="G948" s="290"/>
      <c r="H948" s="290">
        <f t="shared" si="203"/>
        <v>0</v>
      </c>
      <c r="I948" s="291"/>
      <c r="J948" s="302" t="s">
        <v>21</v>
      </c>
      <c r="K948" s="367" t="s">
        <v>109</v>
      </c>
      <c r="L948" s="303" t="s">
        <v>99</v>
      </c>
      <c r="M948" s="303" t="s">
        <v>32</v>
      </c>
      <c r="N948" s="325"/>
      <c r="P948" s="309"/>
    </row>
    <row r="949" spans="1:16" s="308" customFormat="1" ht="28" outlineLevel="4">
      <c r="A949" s="292" t="s">
        <v>8</v>
      </c>
      <c r="B949" s="307" t="s">
        <v>260</v>
      </c>
      <c r="C949" s="289"/>
      <c r="D949" s="290"/>
      <c r="E949" s="290"/>
      <c r="F949" s="290"/>
      <c r="G949" s="290"/>
      <c r="H949" s="290">
        <f t="shared" si="203"/>
        <v>0</v>
      </c>
      <c r="I949" s="291"/>
      <c r="J949" s="302" t="s">
        <v>21</v>
      </c>
      <c r="K949" s="367" t="s">
        <v>109</v>
      </c>
      <c r="L949" s="303" t="s">
        <v>99</v>
      </c>
      <c r="M949" s="303" t="s">
        <v>32</v>
      </c>
      <c r="N949" s="325"/>
      <c r="P949" s="309"/>
    </row>
    <row r="950" spans="1:16" s="308" customFormat="1" ht="14" outlineLevel="4">
      <c r="A950" s="292" t="s">
        <v>8</v>
      </c>
      <c r="B950" s="307" t="s">
        <v>261</v>
      </c>
      <c r="C950" s="289"/>
      <c r="D950" s="290"/>
      <c r="E950" s="290"/>
      <c r="F950" s="290"/>
      <c r="G950" s="290"/>
      <c r="H950" s="290">
        <f t="shared" si="203"/>
        <v>0</v>
      </c>
      <c r="I950" s="291"/>
      <c r="J950" s="302" t="s">
        <v>21</v>
      </c>
      <c r="K950" s="367" t="s">
        <v>109</v>
      </c>
      <c r="L950" s="303" t="s">
        <v>99</v>
      </c>
      <c r="M950" s="303" t="s">
        <v>32</v>
      </c>
      <c r="N950" s="325"/>
      <c r="P950" s="309"/>
    </row>
    <row r="951" spans="1:16" s="308" customFormat="1" ht="14" outlineLevel="4">
      <c r="A951" s="292" t="s">
        <v>8</v>
      </c>
      <c r="B951" s="307" t="s">
        <v>166</v>
      </c>
      <c r="C951" s="289"/>
      <c r="D951" s="290"/>
      <c r="E951" s="290"/>
      <c r="F951" s="290"/>
      <c r="G951" s="290"/>
      <c r="H951" s="290">
        <f t="shared" si="203"/>
        <v>0</v>
      </c>
      <c r="I951" s="291"/>
      <c r="J951" s="302" t="s">
        <v>21</v>
      </c>
      <c r="K951" s="367" t="s">
        <v>109</v>
      </c>
      <c r="L951" s="303" t="s">
        <v>99</v>
      </c>
      <c r="M951" s="303" t="s">
        <v>32</v>
      </c>
      <c r="N951" s="325"/>
      <c r="P951" s="309"/>
    </row>
    <row r="952" spans="1:16" s="308" customFormat="1" ht="14" outlineLevel="4">
      <c r="A952" s="328" t="s">
        <v>12</v>
      </c>
      <c r="B952" s="339" t="s">
        <v>1332</v>
      </c>
      <c r="C952" s="289"/>
      <c r="D952" s="290"/>
      <c r="E952" s="290"/>
      <c r="F952" s="290"/>
      <c r="G952" s="283">
        <f>SUBTOTAL(9,G953:G957)</f>
        <v>630000</v>
      </c>
      <c r="H952" s="283">
        <f>SUBTOTAL(9,H953:H957)</f>
        <v>0</v>
      </c>
      <c r="I952" s="291"/>
      <c r="J952" s="302" t="s">
        <v>21</v>
      </c>
      <c r="K952" s="303"/>
      <c r="L952" s="303"/>
      <c r="M952" s="303" t="s">
        <v>32</v>
      </c>
      <c r="N952" s="303"/>
      <c r="P952" s="309"/>
    </row>
    <row r="953" spans="1:16" s="305" customFormat="1" ht="14" outlineLevel="3">
      <c r="A953" s="280">
        <v>2</v>
      </c>
      <c r="B953" s="363" t="s">
        <v>1449</v>
      </c>
      <c r="C953" s="282"/>
      <c r="D953" s="283"/>
      <c r="E953" s="283"/>
      <c r="F953" s="283"/>
      <c r="G953" s="283"/>
      <c r="H953" s="283"/>
      <c r="I953" s="284"/>
      <c r="J953" s="302" t="s">
        <v>21</v>
      </c>
      <c r="K953" s="304"/>
      <c r="L953" s="304"/>
      <c r="M953" s="304" t="s">
        <v>147</v>
      </c>
      <c r="N953" s="304"/>
      <c r="O953" s="329" t="e">
        <f>#REF!-#REF!</f>
        <v>#REF!</v>
      </c>
      <c r="P953" s="306"/>
    </row>
    <row r="954" spans="1:16" s="308" customFormat="1" ht="14" outlineLevel="4">
      <c r="A954" s="297" t="s">
        <v>8</v>
      </c>
      <c r="B954" s="364" t="s">
        <v>750</v>
      </c>
      <c r="C954" s="289" t="s">
        <v>214</v>
      </c>
      <c r="D954" s="290">
        <v>6</v>
      </c>
      <c r="E954" s="290"/>
      <c r="F954" s="290">
        <v>25000</v>
      </c>
      <c r="G954" s="8">
        <f t="shared" ref="G954:G957" si="204">F954*D954</f>
        <v>150000</v>
      </c>
      <c r="H954" s="290">
        <f t="shared" ref="H954:H957" si="205">F954*E954</f>
        <v>0</v>
      </c>
      <c r="I954" s="291"/>
      <c r="J954" s="302" t="s">
        <v>21</v>
      </c>
      <c r="K954" s="316" t="s">
        <v>109</v>
      </c>
      <c r="L954" s="303" t="s">
        <v>99</v>
      </c>
      <c r="M954" s="304" t="s">
        <v>147</v>
      </c>
      <c r="N954" s="325"/>
      <c r="O954" s="326" t="e">
        <f>#REF!-#REF!</f>
        <v>#REF!</v>
      </c>
      <c r="P954" s="309"/>
    </row>
    <row r="955" spans="1:16" s="308" customFormat="1" ht="14" outlineLevel="4">
      <c r="A955" s="297" t="s">
        <v>8</v>
      </c>
      <c r="B955" s="364" t="s">
        <v>758</v>
      </c>
      <c r="C955" s="289" t="s">
        <v>757</v>
      </c>
      <c r="D955" s="290">
        <v>4</v>
      </c>
      <c r="E955" s="290"/>
      <c r="F955" s="361">
        <v>120000</v>
      </c>
      <c r="G955" s="8">
        <f t="shared" si="204"/>
        <v>480000</v>
      </c>
      <c r="H955" s="290">
        <f t="shared" si="205"/>
        <v>0</v>
      </c>
      <c r="I955" s="291"/>
      <c r="J955" s="302" t="s">
        <v>21</v>
      </c>
      <c r="K955" s="316" t="s">
        <v>109</v>
      </c>
      <c r="L955" s="303" t="s">
        <v>99</v>
      </c>
      <c r="M955" s="304" t="s">
        <v>147</v>
      </c>
      <c r="N955" s="325"/>
      <c r="P955" s="309"/>
    </row>
    <row r="956" spans="1:16" s="308" customFormat="1" ht="14" outlineLevel="4">
      <c r="A956" s="297" t="s">
        <v>8</v>
      </c>
      <c r="B956" s="364" t="s">
        <v>759</v>
      </c>
      <c r="C956" s="289" t="s">
        <v>757</v>
      </c>
      <c r="D956" s="290"/>
      <c r="E956" s="290"/>
      <c r="F956" s="290"/>
      <c r="G956" s="8">
        <f t="shared" si="204"/>
        <v>0</v>
      </c>
      <c r="H956" s="290">
        <f t="shared" si="205"/>
        <v>0</v>
      </c>
      <c r="I956" s="291"/>
      <c r="J956" s="302" t="s">
        <v>21</v>
      </c>
      <c r="K956" s="316" t="s">
        <v>109</v>
      </c>
      <c r="L956" s="303" t="s">
        <v>99</v>
      </c>
      <c r="M956" s="304" t="s">
        <v>147</v>
      </c>
      <c r="N956" s="325"/>
      <c r="O956" s="326" t="e">
        <f>#REF!-#REF!</f>
        <v>#REF!</v>
      </c>
      <c r="P956" s="309"/>
    </row>
    <row r="957" spans="1:16" s="308" customFormat="1" ht="14" outlineLevel="4">
      <c r="A957" s="297" t="s">
        <v>8</v>
      </c>
      <c r="B957" s="364" t="s">
        <v>760</v>
      </c>
      <c r="C957" s="289" t="s">
        <v>757</v>
      </c>
      <c r="D957" s="290"/>
      <c r="E957" s="290"/>
      <c r="F957" s="361"/>
      <c r="G957" s="8">
        <f t="shared" si="204"/>
        <v>0</v>
      </c>
      <c r="H957" s="290">
        <f t="shared" si="205"/>
        <v>0</v>
      </c>
      <c r="I957" s="291"/>
      <c r="J957" s="302" t="s">
        <v>21</v>
      </c>
      <c r="K957" s="316" t="s">
        <v>109</v>
      </c>
      <c r="L957" s="303" t="s">
        <v>99</v>
      </c>
      <c r="M957" s="304" t="s">
        <v>147</v>
      </c>
      <c r="N957" s="325"/>
      <c r="P957" s="309"/>
    </row>
    <row r="958" spans="1:16" s="459" customFormat="1" ht="14" outlineLevel="1">
      <c r="A958" s="452" t="s">
        <v>262</v>
      </c>
      <c r="B958" s="453" t="s">
        <v>1351</v>
      </c>
      <c r="C958" s="454"/>
      <c r="D958" s="455"/>
      <c r="E958" s="455"/>
      <c r="F958" s="455"/>
      <c r="G958" s="455"/>
      <c r="H958" s="455">
        <f>SUBTOTAL(9,H959:H1086)</f>
        <v>0</v>
      </c>
      <c r="I958" s="456"/>
      <c r="J958" s="302" t="s">
        <v>21</v>
      </c>
      <c r="K958" s="457"/>
      <c r="L958" s="457"/>
      <c r="M958" s="303" t="s">
        <v>32</v>
      </c>
      <c r="N958" s="458"/>
    </row>
    <row r="959" spans="1:16" s="459" customFormat="1" ht="14" outlineLevel="2">
      <c r="A959" s="452" t="s">
        <v>4</v>
      </c>
      <c r="B959" s="460" t="s">
        <v>32</v>
      </c>
      <c r="C959" s="454"/>
      <c r="D959" s="455"/>
      <c r="E959" s="455"/>
      <c r="F959" s="455"/>
      <c r="G959" s="455"/>
      <c r="H959" s="455">
        <f>SUBTOTAL(9,H960:H1086)</f>
        <v>0</v>
      </c>
      <c r="I959" s="456"/>
      <c r="J959" s="302" t="s">
        <v>21</v>
      </c>
      <c r="K959" s="457"/>
      <c r="L959" s="457"/>
      <c r="M959" s="303" t="s">
        <v>32</v>
      </c>
      <c r="N959" s="458"/>
    </row>
    <row r="960" spans="1:16" s="459" customFormat="1" ht="14" outlineLevel="3">
      <c r="A960" s="452">
        <v>1.1000000000000001</v>
      </c>
      <c r="B960" s="461" t="s">
        <v>854</v>
      </c>
      <c r="C960" s="454"/>
      <c r="D960" s="455"/>
      <c r="E960" s="455"/>
      <c r="F960" s="455"/>
      <c r="G960" s="455"/>
      <c r="H960" s="455"/>
      <c r="I960" s="462"/>
      <c r="J960" s="302" t="s">
        <v>21</v>
      </c>
      <c r="K960" s="457"/>
      <c r="L960" s="457"/>
      <c r="M960" s="303" t="s">
        <v>32</v>
      </c>
      <c r="N960" s="458"/>
    </row>
    <row r="961" spans="1:14" s="469" customFormat="1" ht="14" outlineLevel="5">
      <c r="A961" s="470" t="s">
        <v>8</v>
      </c>
      <c r="B961" s="471" t="s">
        <v>924</v>
      </c>
      <c r="C961" s="338" t="s">
        <v>148</v>
      </c>
      <c r="D961" s="294"/>
      <c r="E961" s="294"/>
      <c r="F961" s="294"/>
      <c r="G961" s="8">
        <f t="shared" ref="G961:G962" si="206">F961*D961</f>
        <v>0</v>
      </c>
      <c r="H961" s="294">
        <f t="shared" ref="H961:H962" si="207">F961*E961</f>
        <v>0</v>
      </c>
      <c r="I961" s="467"/>
      <c r="J961" s="302" t="s">
        <v>21</v>
      </c>
      <c r="K961" s="480" t="s">
        <v>128</v>
      </c>
      <c r="L961" s="457" t="s">
        <v>99</v>
      </c>
      <c r="M961" s="457" t="s">
        <v>32</v>
      </c>
      <c r="N961" s="468"/>
    </row>
    <row r="962" spans="1:14" s="469" customFormat="1" ht="14" outlineLevel="5">
      <c r="A962" s="470" t="s">
        <v>8</v>
      </c>
      <c r="B962" s="471" t="s">
        <v>925</v>
      </c>
      <c r="C962" s="338" t="s">
        <v>148</v>
      </c>
      <c r="D962" s="294"/>
      <c r="E962" s="294"/>
      <c r="F962" s="294"/>
      <c r="G962" s="8">
        <f t="shared" si="206"/>
        <v>0</v>
      </c>
      <c r="H962" s="294">
        <f t="shared" si="207"/>
        <v>0</v>
      </c>
      <c r="I962" s="467"/>
      <c r="J962" s="302" t="s">
        <v>21</v>
      </c>
      <c r="K962" s="480" t="s">
        <v>128</v>
      </c>
      <c r="L962" s="457" t="s">
        <v>99</v>
      </c>
      <c r="M962" s="457" t="s">
        <v>32</v>
      </c>
      <c r="N962" s="468"/>
    </row>
    <row r="963" spans="1:14" s="459" customFormat="1" ht="14" outlineLevel="5">
      <c r="A963" s="452">
        <v>2.1</v>
      </c>
      <c r="B963" s="476" t="s">
        <v>248</v>
      </c>
      <c r="C963" s="464"/>
      <c r="D963" s="385"/>
      <c r="E963" s="385"/>
      <c r="F963" s="385"/>
      <c r="G963" s="385">
        <f>SUBTOTAL(9,G964:G979)</f>
        <v>0</v>
      </c>
      <c r="H963" s="385">
        <f>SUBTOTAL(9,H964:H979)</f>
        <v>0</v>
      </c>
      <c r="I963" s="385"/>
      <c r="J963" s="302" t="s">
        <v>21</v>
      </c>
      <c r="K963" s="457"/>
      <c r="L963" s="457"/>
      <c r="M963" s="457" t="s">
        <v>32</v>
      </c>
      <c r="N963" s="458"/>
    </row>
    <row r="964" spans="1:14" s="469" customFormat="1" ht="14" outlineLevel="5">
      <c r="A964" s="470" t="s">
        <v>8</v>
      </c>
      <c r="B964" s="471" t="s">
        <v>859</v>
      </c>
      <c r="C964" s="338" t="s">
        <v>24</v>
      </c>
      <c r="D964" s="294"/>
      <c r="E964" s="294"/>
      <c r="F964" s="294"/>
      <c r="G964" s="8">
        <f t="shared" ref="G964:G979" si="208">F964*D964</f>
        <v>0</v>
      </c>
      <c r="H964" s="294">
        <f t="shared" ref="H964:H979" si="209">F964*E964</f>
        <v>0</v>
      </c>
      <c r="I964" s="467"/>
      <c r="J964" s="302" t="s">
        <v>21</v>
      </c>
      <c r="K964" s="457" t="s">
        <v>134</v>
      </c>
      <c r="L964" s="457" t="s">
        <v>99</v>
      </c>
      <c r="M964" s="457" t="s">
        <v>32</v>
      </c>
      <c r="N964" s="468"/>
    </row>
    <row r="965" spans="1:14" s="469" customFormat="1" ht="14" outlineLevel="5">
      <c r="A965" s="470" t="s">
        <v>8</v>
      </c>
      <c r="B965" s="471" t="s">
        <v>860</v>
      </c>
      <c r="C965" s="338" t="s">
        <v>15</v>
      </c>
      <c r="D965" s="294"/>
      <c r="E965" s="294"/>
      <c r="F965" s="294"/>
      <c r="G965" s="8">
        <f t="shared" si="208"/>
        <v>0</v>
      </c>
      <c r="H965" s="294">
        <f t="shared" si="209"/>
        <v>0</v>
      </c>
      <c r="I965" s="467"/>
      <c r="J965" s="302" t="s">
        <v>21</v>
      </c>
      <c r="K965" s="457" t="s">
        <v>134</v>
      </c>
      <c r="L965" s="457" t="s">
        <v>99</v>
      </c>
      <c r="M965" s="457" t="s">
        <v>32</v>
      </c>
      <c r="N965" s="468"/>
    </row>
    <row r="966" spans="1:14" s="469" customFormat="1" ht="14" outlineLevel="5">
      <c r="A966" s="470" t="s">
        <v>8</v>
      </c>
      <c r="B966" s="471" t="s">
        <v>861</v>
      </c>
      <c r="C966" s="338" t="s">
        <v>15</v>
      </c>
      <c r="D966" s="294"/>
      <c r="E966" s="294"/>
      <c r="F966" s="294"/>
      <c r="G966" s="8">
        <f t="shared" si="208"/>
        <v>0</v>
      </c>
      <c r="H966" s="294">
        <f t="shared" si="209"/>
        <v>0</v>
      </c>
      <c r="I966" s="467"/>
      <c r="J966" s="302" t="s">
        <v>21</v>
      </c>
      <c r="K966" s="457" t="s">
        <v>134</v>
      </c>
      <c r="L966" s="457" t="s">
        <v>99</v>
      </c>
      <c r="M966" s="457" t="s">
        <v>32</v>
      </c>
      <c r="N966" s="468"/>
    </row>
    <row r="967" spans="1:14" s="469" customFormat="1" ht="14" outlineLevel="5">
      <c r="A967" s="470" t="s">
        <v>8</v>
      </c>
      <c r="B967" s="471" t="s">
        <v>848</v>
      </c>
      <c r="C967" s="338" t="s">
        <v>15</v>
      </c>
      <c r="D967" s="294"/>
      <c r="E967" s="294"/>
      <c r="F967" s="294"/>
      <c r="G967" s="8">
        <f t="shared" si="208"/>
        <v>0</v>
      </c>
      <c r="H967" s="294">
        <f t="shared" si="209"/>
        <v>0</v>
      </c>
      <c r="I967" s="467"/>
      <c r="J967" s="302" t="s">
        <v>21</v>
      </c>
      <c r="K967" s="457" t="s">
        <v>134</v>
      </c>
      <c r="L967" s="457" t="s">
        <v>99</v>
      </c>
      <c r="M967" s="457" t="s">
        <v>32</v>
      </c>
      <c r="N967" s="468"/>
    </row>
    <row r="968" spans="1:14" s="469" customFormat="1" ht="14" outlineLevel="5">
      <c r="A968" s="470" t="s">
        <v>8</v>
      </c>
      <c r="B968" s="471" t="s">
        <v>849</v>
      </c>
      <c r="C968" s="338" t="s">
        <v>24</v>
      </c>
      <c r="D968" s="294"/>
      <c r="E968" s="294"/>
      <c r="F968" s="294"/>
      <c r="G968" s="8">
        <f t="shared" si="208"/>
        <v>0</v>
      </c>
      <c r="H968" s="294">
        <f t="shared" si="209"/>
        <v>0</v>
      </c>
      <c r="I968" s="467"/>
      <c r="J968" s="302" t="s">
        <v>21</v>
      </c>
      <c r="K968" s="457" t="s">
        <v>134</v>
      </c>
      <c r="L968" s="457" t="s">
        <v>99</v>
      </c>
      <c r="M968" s="457" t="s">
        <v>32</v>
      </c>
      <c r="N968" s="468"/>
    </row>
    <row r="969" spans="1:14" s="469" customFormat="1" ht="14" outlineLevel="5">
      <c r="A969" s="470" t="s">
        <v>8</v>
      </c>
      <c r="B969" s="471" t="s">
        <v>862</v>
      </c>
      <c r="C969" s="338" t="s">
        <v>15</v>
      </c>
      <c r="D969" s="294"/>
      <c r="E969" s="294"/>
      <c r="F969" s="294"/>
      <c r="G969" s="8">
        <f t="shared" si="208"/>
        <v>0</v>
      </c>
      <c r="H969" s="294">
        <f t="shared" si="209"/>
        <v>0</v>
      </c>
      <c r="I969" s="467"/>
      <c r="J969" s="302" t="s">
        <v>21</v>
      </c>
      <c r="K969" s="457" t="s">
        <v>134</v>
      </c>
      <c r="L969" s="457" t="s">
        <v>99</v>
      </c>
      <c r="M969" s="457" t="s">
        <v>32</v>
      </c>
      <c r="N969" s="468"/>
    </row>
    <row r="970" spans="1:14" s="469" customFormat="1" ht="14" outlineLevel="5">
      <c r="A970" s="470" t="s">
        <v>8</v>
      </c>
      <c r="B970" s="471" t="s">
        <v>845</v>
      </c>
      <c r="C970" s="338" t="s">
        <v>15</v>
      </c>
      <c r="D970" s="294"/>
      <c r="E970" s="294"/>
      <c r="F970" s="294"/>
      <c r="G970" s="8">
        <f t="shared" si="208"/>
        <v>0</v>
      </c>
      <c r="H970" s="294">
        <f t="shared" si="209"/>
        <v>0</v>
      </c>
      <c r="I970" s="467"/>
      <c r="J970" s="302" t="s">
        <v>21</v>
      </c>
      <c r="K970" s="457" t="s">
        <v>134</v>
      </c>
      <c r="L970" s="457" t="s">
        <v>99</v>
      </c>
      <c r="M970" s="457" t="s">
        <v>32</v>
      </c>
      <c r="N970" s="468"/>
    </row>
    <row r="971" spans="1:14" s="469" customFormat="1" ht="14" outlineLevel="5">
      <c r="A971" s="470" t="s">
        <v>8</v>
      </c>
      <c r="B971" s="471" t="s">
        <v>846</v>
      </c>
      <c r="C971" s="338" t="s">
        <v>15</v>
      </c>
      <c r="D971" s="294"/>
      <c r="E971" s="294"/>
      <c r="F971" s="294"/>
      <c r="G971" s="8">
        <f t="shared" si="208"/>
        <v>0</v>
      </c>
      <c r="H971" s="294">
        <f t="shared" si="209"/>
        <v>0</v>
      </c>
      <c r="I971" s="467"/>
      <c r="J971" s="302" t="s">
        <v>21</v>
      </c>
      <c r="K971" s="457" t="s">
        <v>134</v>
      </c>
      <c r="L971" s="457" t="s">
        <v>99</v>
      </c>
      <c r="M971" s="457" t="s">
        <v>32</v>
      </c>
      <c r="N971" s="468"/>
    </row>
    <row r="972" spans="1:14" s="469" customFormat="1" ht="14" outlineLevel="5">
      <c r="A972" s="470" t="s">
        <v>8</v>
      </c>
      <c r="B972" s="471" t="s">
        <v>847</v>
      </c>
      <c r="C972" s="338" t="s">
        <v>24</v>
      </c>
      <c r="D972" s="294"/>
      <c r="E972" s="294"/>
      <c r="F972" s="294"/>
      <c r="G972" s="8">
        <f t="shared" si="208"/>
        <v>0</v>
      </c>
      <c r="H972" s="294">
        <f t="shared" si="209"/>
        <v>0</v>
      </c>
      <c r="I972" s="467"/>
      <c r="J972" s="302" t="s">
        <v>21</v>
      </c>
      <c r="K972" s="457" t="s">
        <v>134</v>
      </c>
      <c r="L972" s="457" t="s">
        <v>99</v>
      </c>
      <c r="M972" s="457" t="s">
        <v>32</v>
      </c>
      <c r="N972" s="468"/>
    </row>
    <row r="973" spans="1:14" s="469" customFormat="1" ht="14" outlineLevel="5">
      <c r="A973" s="470" t="s">
        <v>8</v>
      </c>
      <c r="B973" s="471" t="s">
        <v>850</v>
      </c>
      <c r="C973" s="338" t="s">
        <v>15</v>
      </c>
      <c r="D973" s="294"/>
      <c r="E973" s="294"/>
      <c r="F973" s="294"/>
      <c r="G973" s="8">
        <f t="shared" si="208"/>
        <v>0</v>
      </c>
      <c r="H973" s="294">
        <f t="shared" si="209"/>
        <v>0</v>
      </c>
      <c r="I973" s="467"/>
      <c r="J973" s="302" t="s">
        <v>21</v>
      </c>
      <c r="K973" s="457" t="s">
        <v>134</v>
      </c>
      <c r="L973" s="457" t="s">
        <v>99</v>
      </c>
      <c r="M973" s="457" t="s">
        <v>32</v>
      </c>
      <c r="N973" s="468"/>
    </row>
    <row r="974" spans="1:14" s="469" customFormat="1" ht="14" outlineLevel="5">
      <c r="A974" s="470" t="s">
        <v>8</v>
      </c>
      <c r="B974" s="471" t="s">
        <v>851</v>
      </c>
      <c r="C974" s="338" t="s">
        <v>15</v>
      </c>
      <c r="D974" s="294"/>
      <c r="E974" s="294"/>
      <c r="F974" s="294"/>
      <c r="G974" s="8">
        <f t="shared" si="208"/>
        <v>0</v>
      </c>
      <c r="H974" s="294">
        <f t="shared" si="209"/>
        <v>0</v>
      </c>
      <c r="I974" s="467"/>
      <c r="J974" s="302" t="s">
        <v>21</v>
      </c>
      <c r="K974" s="457" t="s">
        <v>134</v>
      </c>
      <c r="L974" s="457" t="s">
        <v>99</v>
      </c>
      <c r="M974" s="457" t="s">
        <v>32</v>
      </c>
      <c r="N974" s="468"/>
    </row>
    <row r="975" spans="1:14" s="469" customFormat="1" ht="14" outlineLevel="5">
      <c r="A975" s="470" t="s">
        <v>8</v>
      </c>
      <c r="B975" s="471" t="s">
        <v>852</v>
      </c>
      <c r="C975" s="338" t="s">
        <v>15</v>
      </c>
      <c r="D975" s="294"/>
      <c r="E975" s="294"/>
      <c r="F975" s="294"/>
      <c r="G975" s="8">
        <f t="shared" si="208"/>
        <v>0</v>
      </c>
      <c r="H975" s="294">
        <f t="shared" si="209"/>
        <v>0</v>
      </c>
      <c r="I975" s="467"/>
      <c r="J975" s="302" t="s">
        <v>21</v>
      </c>
      <c r="K975" s="457" t="s">
        <v>134</v>
      </c>
      <c r="L975" s="457" t="s">
        <v>99</v>
      </c>
      <c r="M975" s="457" t="s">
        <v>32</v>
      </c>
      <c r="N975" s="468"/>
    </row>
    <row r="976" spans="1:14" s="469" customFormat="1" ht="14" outlineLevel="5">
      <c r="A976" s="470" t="s">
        <v>8</v>
      </c>
      <c r="B976" s="471" t="s">
        <v>863</v>
      </c>
      <c r="C976" s="338" t="s">
        <v>24</v>
      </c>
      <c r="D976" s="294"/>
      <c r="E976" s="294"/>
      <c r="F976" s="294"/>
      <c r="G976" s="8">
        <f t="shared" si="208"/>
        <v>0</v>
      </c>
      <c r="H976" s="294">
        <f t="shared" si="209"/>
        <v>0</v>
      </c>
      <c r="I976" s="467"/>
      <c r="J976" s="302" t="s">
        <v>21</v>
      </c>
      <c r="K976" s="457" t="s">
        <v>134</v>
      </c>
      <c r="L976" s="457" t="s">
        <v>99</v>
      </c>
      <c r="M976" s="457" t="s">
        <v>32</v>
      </c>
      <c r="N976" s="468"/>
    </row>
    <row r="977" spans="1:16" s="469" customFormat="1" ht="14" outlineLevel="5">
      <c r="A977" s="470" t="s">
        <v>8</v>
      </c>
      <c r="B977" s="471" t="s">
        <v>864</v>
      </c>
      <c r="C977" s="338" t="s">
        <v>15</v>
      </c>
      <c r="D977" s="294"/>
      <c r="E977" s="294"/>
      <c r="F977" s="294"/>
      <c r="G977" s="8">
        <f t="shared" si="208"/>
        <v>0</v>
      </c>
      <c r="H977" s="294">
        <f t="shared" si="209"/>
        <v>0</v>
      </c>
      <c r="I977" s="467"/>
      <c r="J977" s="302" t="s">
        <v>21</v>
      </c>
      <c r="K977" s="457" t="s">
        <v>134</v>
      </c>
      <c r="L977" s="457" t="s">
        <v>99</v>
      </c>
      <c r="M977" s="457" t="s">
        <v>32</v>
      </c>
      <c r="N977" s="468"/>
    </row>
    <row r="978" spans="1:16" s="469" customFormat="1" ht="14" outlineLevel="5">
      <c r="A978" s="470" t="s">
        <v>8</v>
      </c>
      <c r="B978" s="471" t="s">
        <v>865</v>
      </c>
      <c r="C978" s="338" t="s">
        <v>15</v>
      </c>
      <c r="D978" s="294"/>
      <c r="E978" s="294"/>
      <c r="F978" s="294"/>
      <c r="G978" s="8">
        <f t="shared" si="208"/>
        <v>0</v>
      </c>
      <c r="H978" s="294">
        <f t="shared" si="209"/>
        <v>0</v>
      </c>
      <c r="I978" s="467"/>
      <c r="J978" s="302" t="s">
        <v>21</v>
      </c>
      <c r="K978" s="457" t="s">
        <v>134</v>
      </c>
      <c r="L978" s="457" t="s">
        <v>99</v>
      </c>
      <c r="M978" s="457" t="s">
        <v>32</v>
      </c>
      <c r="N978" s="468"/>
    </row>
    <row r="979" spans="1:16" s="469" customFormat="1" ht="14" outlineLevel="5">
      <c r="A979" s="470" t="s">
        <v>8</v>
      </c>
      <c r="B979" s="471" t="s">
        <v>853</v>
      </c>
      <c r="C979" s="338" t="s">
        <v>15</v>
      </c>
      <c r="D979" s="294"/>
      <c r="E979" s="294"/>
      <c r="F979" s="294"/>
      <c r="G979" s="8">
        <f t="shared" si="208"/>
        <v>0</v>
      </c>
      <c r="H979" s="294">
        <f t="shared" si="209"/>
        <v>0</v>
      </c>
      <c r="I979" s="467"/>
      <c r="J979" s="302" t="s">
        <v>21</v>
      </c>
      <c r="K979" s="457" t="s">
        <v>134</v>
      </c>
      <c r="L979" s="457" t="s">
        <v>99</v>
      </c>
      <c r="M979" s="457" t="s">
        <v>32</v>
      </c>
      <c r="N979" s="468"/>
    </row>
    <row r="980" spans="1:16" s="305" customFormat="1" ht="14" outlineLevel="5">
      <c r="A980" s="280">
        <v>2.2000000000000002</v>
      </c>
      <c r="B980" s="300" t="s">
        <v>249</v>
      </c>
      <c r="C980" s="282"/>
      <c r="D980" s="283"/>
      <c r="E980" s="283"/>
      <c r="F980" s="283"/>
      <c r="G980" s="283"/>
      <c r="H980" s="283">
        <f>SUBTOTAL(9,H981:H990)</f>
        <v>0</v>
      </c>
      <c r="I980" s="283"/>
      <c r="J980" s="302" t="s">
        <v>21</v>
      </c>
      <c r="K980" s="303"/>
      <c r="L980" s="303"/>
      <c r="M980" s="303" t="s">
        <v>32</v>
      </c>
      <c r="N980" s="304"/>
      <c r="P980" s="306"/>
    </row>
    <row r="981" spans="1:16" s="308" customFormat="1" ht="14" outlineLevel="5">
      <c r="A981" s="292" t="s">
        <v>8</v>
      </c>
      <c r="B981" s="356" t="s">
        <v>866</v>
      </c>
      <c r="C981" s="289" t="s">
        <v>24</v>
      </c>
      <c r="D981" s="290"/>
      <c r="E981" s="290"/>
      <c r="F981" s="290"/>
      <c r="G981" s="8">
        <f t="shared" ref="G981:G990" si="210">F981*D981</f>
        <v>0</v>
      </c>
      <c r="H981" s="290">
        <f t="shared" ref="H981:H990" si="211">F981*E981</f>
        <v>0</v>
      </c>
      <c r="I981" s="291"/>
      <c r="J981" s="302" t="s">
        <v>21</v>
      </c>
      <c r="K981" s="368" t="s">
        <v>128</v>
      </c>
      <c r="L981" s="303" t="s">
        <v>99</v>
      </c>
      <c r="M981" s="303" t="s">
        <v>32</v>
      </c>
      <c r="N981" s="325"/>
      <c r="P981" s="309"/>
    </row>
    <row r="982" spans="1:16" s="308" customFormat="1" ht="14" outlineLevel="5">
      <c r="A982" s="292" t="s">
        <v>8</v>
      </c>
      <c r="B982" s="356" t="s">
        <v>867</v>
      </c>
      <c r="C982" s="289" t="s">
        <v>15</v>
      </c>
      <c r="D982" s="290"/>
      <c r="E982" s="290"/>
      <c r="F982" s="290"/>
      <c r="G982" s="8">
        <f t="shared" si="210"/>
        <v>0</v>
      </c>
      <c r="H982" s="290">
        <f t="shared" si="211"/>
        <v>0</v>
      </c>
      <c r="I982" s="291"/>
      <c r="J982" s="302" t="s">
        <v>21</v>
      </c>
      <c r="K982" s="368" t="s">
        <v>128</v>
      </c>
      <c r="L982" s="303" t="s">
        <v>99</v>
      </c>
      <c r="M982" s="303" t="s">
        <v>32</v>
      </c>
      <c r="N982" s="325"/>
      <c r="P982" s="309"/>
    </row>
    <row r="983" spans="1:16" s="308" customFormat="1" ht="14" outlineLevel="5">
      <c r="A983" s="292" t="s">
        <v>8</v>
      </c>
      <c r="B983" s="356" t="s">
        <v>868</v>
      </c>
      <c r="C983" s="289" t="s">
        <v>15</v>
      </c>
      <c r="D983" s="290"/>
      <c r="E983" s="290"/>
      <c r="F983" s="290"/>
      <c r="G983" s="8">
        <f t="shared" si="210"/>
        <v>0</v>
      </c>
      <c r="H983" s="290">
        <f t="shared" si="211"/>
        <v>0</v>
      </c>
      <c r="I983" s="291"/>
      <c r="J983" s="302" t="s">
        <v>21</v>
      </c>
      <c r="K983" s="368" t="s">
        <v>128</v>
      </c>
      <c r="L983" s="303" t="s">
        <v>99</v>
      </c>
      <c r="M983" s="303" t="s">
        <v>32</v>
      </c>
      <c r="N983" s="325"/>
      <c r="P983" s="309"/>
    </row>
    <row r="984" spans="1:16" s="308" customFormat="1" ht="14" outlineLevel="5">
      <c r="A984" s="292" t="s">
        <v>8</v>
      </c>
      <c r="B984" s="356" t="s">
        <v>856</v>
      </c>
      <c r="C984" s="289" t="s">
        <v>15</v>
      </c>
      <c r="D984" s="290"/>
      <c r="E984" s="290"/>
      <c r="F984" s="290"/>
      <c r="G984" s="8">
        <f t="shared" si="210"/>
        <v>0</v>
      </c>
      <c r="H984" s="290">
        <f t="shared" si="211"/>
        <v>0</v>
      </c>
      <c r="I984" s="291"/>
      <c r="J984" s="302" t="s">
        <v>21</v>
      </c>
      <c r="K984" s="368" t="s">
        <v>128</v>
      </c>
      <c r="L984" s="303" t="s">
        <v>99</v>
      </c>
      <c r="M984" s="303" t="s">
        <v>32</v>
      </c>
      <c r="N984" s="325"/>
      <c r="P984" s="309"/>
    </row>
    <row r="985" spans="1:16" s="308" customFormat="1" ht="14" outlineLevel="5">
      <c r="A985" s="292" t="s">
        <v>8</v>
      </c>
      <c r="B985" s="356" t="s">
        <v>857</v>
      </c>
      <c r="C985" s="289" t="s">
        <v>24</v>
      </c>
      <c r="D985" s="290"/>
      <c r="E985" s="290"/>
      <c r="F985" s="290"/>
      <c r="G985" s="8">
        <f t="shared" si="210"/>
        <v>0</v>
      </c>
      <c r="H985" s="290">
        <f t="shared" si="211"/>
        <v>0</v>
      </c>
      <c r="I985" s="291"/>
      <c r="J985" s="302" t="s">
        <v>21</v>
      </c>
      <c r="K985" s="368" t="s">
        <v>128</v>
      </c>
      <c r="L985" s="303" t="s">
        <v>99</v>
      </c>
      <c r="M985" s="303" t="s">
        <v>32</v>
      </c>
      <c r="N985" s="325"/>
      <c r="P985" s="309"/>
    </row>
    <row r="986" spans="1:16" s="308" customFormat="1" ht="14" outlineLevel="5">
      <c r="A986" s="292" t="s">
        <v>8</v>
      </c>
      <c r="B986" s="356" t="s">
        <v>858</v>
      </c>
      <c r="C986" s="289" t="s">
        <v>15</v>
      </c>
      <c r="D986" s="290"/>
      <c r="E986" s="290"/>
      <c r="F986" s="290"/>
      <c r="G986" s="8">
        <f t="shared" si="210"/>
        <v>0</v>
      </c>
      <c r="H986" s="290">
        <f t="shared" si="211"/>
        <v>0</v>
      </c>
      <c r="I986" s="291"/>
      <c r="J986" s="302" t="s">
        <v>21</v>
      </c>
      <c r="K986" s="368" t="s">
        <v>128</v>
      </c>
      <c r="L986" s="303" t="s">
        <v>99</v>
      </c>
      <c r="M986" s="303" t="s">
        <v>32</v>
      </c>
      <c r="N986" s="325"/>
      <c r="P986" s="309"/>
    </row>
    <row r="987" spans="1:16" s="308" customFormat="1" ht="14" outlineLevel="5">
      <c r="A987" s="292" t="s">
        <v>8</v>
      </c>
      <c r="B987" s="356" t="s">
        <v>869</v>
      </c>
      <c r="C987" s="289" t="s">
        <v>15</v>
      </c>
      <c r="D987" s="290"/>
      <c r="E987" s="290"/>
      <c r="F987" s="290"/>
      <c r="G987" s="8">
        <f t="shared" si="210"/>
        <v>0</v>
      </c>
      <c r="H987" s="290">
        <f t="shared" si="211"/>
        <v>0</v>
      </c>
      <c r="I987" s="291"/>
      <c r="J987" s="302" t="s">
        <v>21</v>
      </c>
      <c r="K987" s="368" t="s">
        <v>128</v>
      </c>
      <c r="L987" s="303" t="s">
        <v>99</v>
      </c>
      <c r="M987" s="303" t="s">
        <v>32</v>
      </c>
      <c r="N987" s="325"/>
      <c r="P987" s="309"/>
    </row>
    <row r="988" spans="1:16" s="308" customFormat="1" ht="14" outlineLevel="5">
      <c r="A988" s="292" t="s">
        <v>8</v>
      </c>
      <c r="B988" s="356" t="s">
        <v>870</v>
      </c>
      <c r="C988" s="289" t="s">
        <v>15</v>
      </c>
      <c r="D988" s="290"/>
      <c r="E988" s="290"/>
      <c r="F988" s="290"/>
      <c r="G988" s="8">
        <f t="shared" si="210"/>
        <v>0</v>
      </c>
      <c r="H988" s="290">
        <f t="shared" si="211"/>
        <v>0</v>
      </c>
      <c r="I988" s="291"/>
      <c r="J988" s="302" t="s">
        <v>21</v>
      </c>
      <c r="K988" s="368" t="s">
        <v>128</v>
      </c>
      <c r="L988" s="303" t="s">
        <v>99</v>
      </c>
      <c r="M988" s="303" t="s">
        <v>32</v>
      </c>
      <c r="N988" s="325"/>
      <c r="P988" s="309"/>
    </row>
    <row r="989" spans="1:16" s="308" customFormat="1" ht="14" outlineLevel="5">
      <c r="A989" s="292" t="s">
        <v>8</v>
      </c>
      <c r="B989" s="356" t="s">
        <v>871</v>
      </c>
      <c r="C989" s="289" t="s">
        <v>24</v>
      </c>
      <c r="D989" s="290"/>
      <c r="E989" s="290"/>
      <c r="F989" s="290"/>
      <c r="G989" s="8">
        <f t="shared" si="210"/>
        <v>0</v>
      </c>
      <c r="H989" s="290">
        <f t="shared" si="211"/>
        <v>0</v>
      </c>
      <c r="I989" s="291"/>
      <c r="J989" s="302" t="s">
        <v>21</v>
      </c>
      <c r="K989" s="368" t="s">
        <v>128</v>
      </c>
      <c r="L989" s="303" t="s">
        <v>99</v>
      </c>
      <c r="M989" s="303" t="s">
        <v>32</v>
      </c>
      <c r="N989" s="325"/>
      <c r="P989" s="309"/>
    </row>
    <row r="990" spans="1:16" s="308" customFormat="1" ht="14" outlineLevel="5">
      <c r="A990" s="292" t="s">
        <v>8</v>
      </c>
      <c r="B990" s="356" t="s">
        <v>853</v>
      </c>
      <c r="C990" s="289" t="s">
        <v>15</v>
      </c>
      <c r="D990" s="290"/>
      <c r="E990" s="290"/>
      <c r="F990" s="290"/>
      <c r="G990" s="8">
        <f t="shared" si="210"/>
        <v>0</v>
      </c>
      <c r="H990" s="290">
        <f t="shared" si="211"/>
        <v>0</v>
      </c>
      <c r="I990" s="291"/>
      <c r="J990" s="302" t="s">
        <v>21</v>
      </c>
      <c r="K990" s="368" t="s">
        <v>128</v>
      </c>
      <c r="L990" s="303" t="s">
        <v>99</v>
      </c>
      <c r="M990" s="303" t="s">
        <v>32</v>
      </c>
      <c r="N990" s="325"/>
      <c r="P990" s="309"/>
    </row>
    <row r="991" spans="1:16" s="305" customFormat="1" ht="15" customHeight="1" outlineLevel="3">
      <c r="A991" s="280">
        <v>3</v>
      </c>
      <c r="B991" s="281" t="s">
        <v>250</v>
      </c>
      <c r="C991" s="282"/>
      <c r="D991" s="283"/>
      <c r="E991" s="283"/>
      <c r="F991" s="283"/>
      <c r="G991" s="283"/>
      <c r="H991" s="283">
        <f>SUBTOTAL(9,H992:H1006)</f>
        <v>0</v>
      </c>
      <c r="I991" s="283"/>
      <c r="J991" s="302" t="s">
        <v>21</v>
      </c>
      <c r="K991" s="303"/>
      <c r="L991" s="303"/>
      <c r="M991" s="303" t="s">
        <v>32</v>
      </c>
      <c r="N991" s="304"/>
      <c r="P991" s="306"/>
    </row>
    <row r="992" spans="1:16" s="305" customFormat="1" ht="14" outlineLevel="5">
      <c r="A992" s="369">
        <v>3.1</v>
      </c>
      <c r="B992" s="300" t="s">
        <v>93</v>
      </c>
      <c r="C992" s="282"/>
      <c r="D992" s="283"/>
      <c r="E992" s="283"/>
      <c r="F992" s="283"/>
      <c r="G992" s="283"/>
      <c r="H992" s="283">
        <f>SUBTOTAL(9,H993:H1006)</f>
        <v>0</v>
      </c>
      <c r="I992" s="283"/>
      <c r="J992" s="302" t="s">
        <v>21</v>
      </c>
      <c r="K992" s="303"/>
      <c r="L992" s="303"/>
      <c r="M992" s="303" t="s">
        <v>32</v>
      </c>
      <c r="N992" s="304"/>
      <c r="P992" s="306"/>
    </row>
    <row r="993" spans="1:16" s="308" customFormat="1" ht="14" outlineLevel="5">
      <c r="A993" s="292" t="s">
        <v>8</v>
      </c>
      <c r="B993" s="356" t="s">
        <v>872</v>
      </c>
      <c r="C993" s="289" t="s">
        <v>24</v>
      </c>
      <c r="D993" s="290"/>
      <c r="E993" s="290"/>
      <c r="F993" s="290"/>
      <c r="G993" s="8">
        <f t="shared" ref="G993:G1006" si="212">F993*D993</f>
        <v>0</v>
      </c>
      <c r="H993" s="290">
        <f t="shared" ref="H993:H1006" si="213">F993*E993</f>
        <v>0</v>
      </c>
      <c r="I993" s="291"/>
      <c r="J993" s="302" t="s">
        <v>21</v>
      </c>
      <c r="K993" s="368" t="s">
        <v>128</v>
      </c>
      <c r="L993" s="303" t="s">
        <v>99</v>
      </c>
      <c r="M993" s="303" t="s">
        <v>32</v>
      </c>
      <c r="N993" s="325"/>
      <c r="P993" s="309"/>
    </row>
    <row r="994" spans="1:16" s="308" customFormat="1" ht="14" outlineLevel="5">
      <c r="A994" s="292" t="s">
        <v>8</v>
      </c>
      <c r="B994" s="356" t="s">
        <v>860</v>
      </c>
      <c r="C994" s="289" t="s">
        <v>15</v>
      </c>
      <c r="D994" s="290"/>
      <c r="E994" s="290"/>
      <c r="F994" s="290"/>
      <c r="G994" s="8">
        <f t="shared" si="212"/>
        <v>0</v>
      </c>
      <c r="H994" s="290">
        <f t="shared" si="213"/>
        <v>0</v>
      </c>
      <c r="I994" s="291"/>
      <c r="J994" s="302" t="s">
        <v>21</v>
      </c>
      <c r="K994" s="368" t="s">
        <v>128</v>
      </c>
      <c r="L994" s="303" t="s">
        <v>99</v>
      </c>
      <c r="M994" s="303" t="s">
        <v>32</v>
      </c>
      <c r="N994" s="325"/>
      <c r="P994" s="309"/>
    </row>
    <row r="995" spans="1:16" s="308" customFormat="1" ht="14" outlineLevel="5">
      <c r="A995" s="292" t="s">
        <v>8</v>
      </c>
      <c r="B995" s="356" t="s">
        <v>861</v>
      </c>
      <c r="C995" s="289" t="s">
        <v>15</v>
      </c>
      <c r="D995" s="290"/>
      <c r="E995" s="290"/>
      <c r="F995" s="290"/>
      <c r="G995" s="8">
        <f t="shared" si="212"/>
        <v>0</v>
      </c>
      <c r="H995" s="290">
        <f t="shared" si="213"/>
        <v>0</v>
      </c>
      <c r="I995" s="291"/>
      <c r="J995" s="302" t="s">
        <v>21</v>
      </c>
      <c r="K995" s="368" t="s">
        <v>128</v>
      </c>
      <c r="L995" s="303" t="s">
        <v>99</v>
      </c>
      <c r="M995" s="303" t="s">
        <v>32</v>
      </c>
      <c r="N995" s="325"/>
      <c r="P995" s="309"/>
    </row>
    <row r="996" spans="1:16" s="308" customFormat="1" ht="14" outlineLevel="5">
      <c r="A996" s="292" t="s">
        <v>8</v>
      </c>
      <c r="B996" s="356" t="s">
        <v>848</v>
      </c>
      <c r="C996" s="289" t="s">
        <v>15</v>
      </c>
      <c r="D996" s="290"/>
      <c r="E996" s="290"/>
      <c r="F996" s="290"/>
      <c r="G996" s="8">
        <f t="shared" si="212"/>
        <v>0</v>
      </c>
      <c r="H996" s="290">
        <f t="shared" si="213"/>
        <v>0</v>
      </c>
      <c r="I996" s="291"/>
      <c r="J996" s="302" t="s">
        <v>21</v>
      </c>
      <c r="K996" s="368" t="s">
        <v>128</v>
      </c>
      <c r="L996" s="303" t="s">
        <v>99</v>
      </c>
      <c r="M996" s="303" t="s">
        <v>32</v>
      </c>
      <c r="N996" s="325"/>
      <c r="P996" s="309"/>
    </row>
    <row r="997" spans="1:16" s="308" customFormat="1" ht="14" outlineLevel="5">
      <c r="A997" s="292" t="s">
        <v>8</v>
      </c>
      <c r="B997" s="356" t="s">
        <v>849</v>
      </c>
      <c r="C997" s="289" t="s">
        <v>15</v>
      </c>
      <c r="D997" s="290"/>
      <c r="E997" s="290"/>
      <c r="F997" s="290"/>
      <c r="G997" s="8">
        <f t="shared" si="212"/>
        <v>0</v>
      </c>
      <c r="H997" s="290">
        <f t="shared" si="213"/>
        <v>0</v>
      </c>
      <c r="I997" s="291"/>
      <c r="J997" s="302" t="s">
        <v>21</v>
      </c>
      <c r="K997" s="368" t="s">
        <v>128</v>
      </c>
      <c r="L997" s="303" t="s">
        <v>99</v>
      </c>
      <c r="M997" s="303" t="s">
        <v>32</v>
      </c>
      <c r="N997" s="325"/>
      <c r="P997" s="309"/>
    </row>
    <row r="998" spans="1:16" s="308" customFormat="1" ht="14" outlineLevel="5">
      <c r="A998" s="292" t="s">
        <v>8</v>
      </c>
      <c r="B998" s="356" t="s">
        <v>873</v>
      </c>
      <c r="C998" s="289" t="s">
        <v>15</v>
      </c>
      <c r="D998" s="290"/>
      <c r="E998" s="290"/>
      <c r="F998" s="290"/>
      <c r="G998" s="8">
        <f t="shared" si="212"/>
        <v>0</v>
      </c>
      <c r="H998" s="290">
        <f t="shared" si="213"/>
        <v>0</v>
      </c>
      <c r="I998" s="291"/>
      <c r="J998" s="302" t="s">
        <v>21</v>
      </c>
      <c r="K998" s="368" t="s">
        <v>128</v>
      </c>
      <c r="L998" s="303" t="s">
        <v>99</v>
      </c>
      <c r="M998" s="303" t="s">
        <v>32</v>
      </c>
      <c r="N998" s="325"/>
      <c r="P998" s="309"/>
    </row>
    <row r="999" spans="1:16" s="308" customFormat="1" ht="14" outlineLevel="5">
      <c r="A999" s="292" t="s">
        <v>8</v>
      </c>
      <c r="B999" s="356" t="s">
        <v>862</v>
      </c>
      <c r="C999" s="289" t="s">
        <v>15</v>
      </c>
      <c r="D999" s="290"/>
      <c r="E999" s="290"/>
      <c r="F999" s="290"/>
      <c r="G999" s="8">
        <f t="shared" si="212"/>
        <v>0</v>
      </c>
      <c r="H999" s="290">
        <f t="shared" si="213"/>
        <v>0</v>
      </c>
      <c r="I999" s="291"/>
      <c r="J999" s="302" t="s">
        <v>21</v>
      </c>
      <c r="K999" s="368" t="s">
        <v>128</v>
      </c>
      <c r="L999" s="303" t="s">
        <v>99</v>
      </c>
      <c r="M999" s="303" t="s">
        <v>32</v>
      </c>
      <c r="N999" s="325"/>
      <c r="P999" s="309"/>
    </row>
    <row r="1000" spans="1:16" s="308" customFormat="1" ht="14" outlineLevel="5">
      <c r="A1000" s="292" t="s">
        <v>8</v>
      </c>
      <c r="B1000" s="356" t="s">
        <v>874</v>
      </c>
      <c r="C1000" s="289" t="s">
        <v>15</v>
      </c>
      <c r="D1000" s="290"/>
      <c r="E1000" s="290"/>
      <c r="F1000" s="290"/>
      <c r="G1000" s="8">
        <f t="shared" si="212"/>
        <v>0</v>
      </c>
      <c r="H1000" s="290">
        <f t="shared" si="213"/>
        <v>0</v>
      </c>
      <c r="I1000" s="291"/>
      <c r="J1000" s="302" t="s">
        <v>21</v>
      </c>
      <c r="K1000" s="368" t="s">
        <v>128</v>
      </c>
      <c r="L1000" s="303" t="s">
        <v>99</v>
      </c>
      <c r="M1000" s="303" t="s">
        <v>32</v>
      </c>
      <c r="N1000" s="325"/>
      <c r="P1000" s="309"/>
    </row>
    <row r="1001" spans="1:16" s="308" customFormat="1" ht="14" outlineLevel="5">
      <c r="A1001" s="292" t="s">
        <v>8</v>
      </c>
      <c r="B1001" s="356" t="s">
        <v>850</v>
      </c>
      <c r="C1001" s="289" t="s">
        <v>15</v>
      </c>
      <c r="D1001" s="290"/>
      <c r="E1001" s="290"/>
      <c r="F1001" s="290"/>
      <c r="G1001" s="8">
        <f t="shared" si="212"/>
        <v>0</v>
      </c>
      <c r="H1001" s="290">
        <f t="shared" si="213"/>
        <v>0</v>
      </c>
      <c r="I1001" s="291"/>
      <c r="J1001" s="302" t="s">
        <v>21</v>
      </c>
      <c r="K1001" s="368" t="s">
        <v>128</v>
      </c>
      <c r="L1001" s="303" t="s">
        <v>99</v>
      </c>
      <c r="M1001" s="303" t="s">
        <v>32</v>
      </c>
      <c r="N1001" s="325"/>
      <c r="P1001" s="309"/>
    </row>
    <row r="1002" spans="1:16" s="308" customFormat="1" ht="14" outlineLevel="5">
      <c r="A1002" s="292" t="s">
        <v>8</v>
      </c>
      <c r="B1002" s="356" t="s">
        <v>851</v>
      </c>
      <c r="C1002" s="289" t="s">
        <v>15</v>
      </c>
      <c r="D1002" s="290"/>
      <c r="E1002" s="290"/>
      <c r="F1002" s="290"/>
      <c r="G1002" s="8">
        <f t="shared" si="212"/>
        <v>0</v>
      </c>
      <c r="H1002" s="290">
        <f t="shared" si="213"/>
        <v>0</v>
      </c>
      <c r="I1002" s="291"/>
      <c r="J1002" s="302" t="s">
        <v>21</v>
      </c>
      <c r="K1002" s="368" t="s">
        <v>128</v>
      </c>
      <c r="L1002" s="303" t="s">
        <v>99</v>
      </c>
      <c r="M1002" s="303" t="s">
        <v>32</v>
      </c>
      <c r="N1002" s="325"/>
      <c r="P1002" s="309"/>
    </row>
    <row r="1003" spans="1:16" s="308" customFormat="1" ht="14" outlineLevel="5">
      <c r="A1003" s="292" t="s">
        <v>8</v>
      </c>
      <c r="B1003" s="356" t="s">
        <v>852</v>
      </c>
      <c r="C1003" s="289" t="s">
        <v>15</v>
      </c>
      <c r="D1003" s="290"/>
      <c r="E1003" s="290"/>
      <c r="F1003" s="290"/>
      <c r="G1003" s="8">
        <f t="shared" si="212"/>
        <v>0</v>
      </c>
      <c r="H1003" s="290">
        <f t="shared" si="213"/>
        <v>0</v>
      </c>
      <c r="I1003" s="291"/>
      <c r="J1003" s="302" t="s">
        <v>21</v>
      </c>
      <c r="K1003" s="368" t="s">
        <v>128</v>
      </c>
      <c r="L1003" s="303" t="s">
        <v>99</v>
      </c>
      <c r="M1003" s="303" t="s">
        <v>32</v>
      </c>
      <c r="N1003" s="325"/>
      <c r="P1003" s="309"/>
    </row>
    <row r="1004" spans="1:16" s="308" customFormat="1" ht="14" outlineLevel="5">
      <c r="A1004" s="292" t="s">
        <v>8</v>
      </c>
      <c r="B1004" s="356" t="s">
        <v>863</v>
      </c>
      <c r="C1004" s="289" t="s">
        <v>15</v>
      </c>
      <c r="D1004" s="290"/>
      <c r="E1004" s="290"/>
      <c r="F1004" s="290"/>
      <c r="G1004" s="8">
        <f t="shared" si="212"/>
        <v>0</v>
      </c>
      <c r="H1004" s="290">
        <f t="shared" si="213"/>
        <v>0</v>
      </c>
      <c r="I1004" s="291"/>
      <c r="J1004" s="302" t="s">
        <v>21</v>
      </c>
      <c r="K1004" s="368" t="s">
        <v>128</v>
      </c>
      <c r="L1004" s="303" t="s">
        <v>99</v>
      </c>
      <c r="M1004" s="303" t="s">
        <v>32</v>
      </c>
      <c r="N1004" s="325"/>
      <c r="P1004" s="309"/>
    </row>
    <row r="1005" spans="1:16" s="308" customFormat="1" ht="14" outlineLevel="5">
      <c r="A1005" s="292" t="s">
        <v>8</v>
      </c>
      <c r="B1005" s="356" t="s">
        <v>875</v>
      </c>
      <c r="C1005" s="289" t="s">
        <v>15</v>
      </c>
      <c r="D1005" s="290"/>
      <c r="E1005" s="290"/>
      <c r="F1005" s="290"/>
      <c r="G1005" s="8">
        <f t="shared" si="212"/>
        <v>0</v>
      </c>
      <c r="H1005" s="290">
        <f t="shared" si="213"/>
        <v>0</v>
      </c>
      <c r="I1005" s="291"/>
      <c r="J1005" s="302" t="s">
        <v>21</v>
      </c>
      <c r="K1005" s="368" t="s">
        <v>128</v>
      </c>
      <c r="L1005" s="303" t="s">
        <v>99</v>
      </c>
      <c r="M1005" s="303" t="s">
        <v>32</v>
      </c>
      <c r="N1005" s="325"/>
      <c r="P1005" s="309"/>
    </row>
    <row r="1006" spans="1:16" s="308" customFormat="1" ht="14" outlineLevel="5">
      <c r="A1006" s="292" t="s">
        <v>8</v>
      </c>
      <c r="B1006" s="356" t="s">
        <v>853</v>
      </c>
      <c r="C1006" s="289" t="s">
        <v>15</v>
      </c>
      <c r="D1006" s="290"/>
      <c r="E1006" s="290"/>
      <c r="F1006" s="290"/>
      <c r="G1006" s="8">
        <f t="shared" si="212"/>
        <v>0</v>
      </c>
      <c r="H1006" s="290">
        <f t="shared" si="213"/>
        <v>0</v>
      </c>
      <c r="I1006" s="291"/>
      <c r="J1006" s="302" t="s">
        <v>21</v>
      </c>
      <c r="K1006" s="368" t="s">
        <v>128</v>
      </c>
      <c r="L1006" s="303" t="s">
        <v>99</v>
      </c>
      <c r="M1006" s="303" t="s">
        <v>32</v>
      </c>
      <c r="N1006" s="325"/>
      <c r="P1006" s="309"/>
    </row>
    <row r="1007" spans="1:16" s="305" customFormat="1" ht="15" customHeight="1" outlineLevel="3">
      <c r="A1007" s="280">
        <v>4</v>
      </c>
      <c r="B1007" s="281" t="s">
        <v>252</v>
      </c>
      <c r="C1007" s="282"/>
      <c r="D1007" s="283"/>
      <c r="E1007" s="283"/>
      <c r="F1007" s="283"/>
      <c r="G1007" s="283"/>
      <c r="H1007" s="283">
        <f>SUBTOTAL(9,H1008:H1086)</f>
        <v>0</v>
      </c>
      <c r="I1007" s="283"/>
      <c r="J1007" s="302" t="s">
        <v>21</v>
      </c>
      <c r="K1007" s="303"/>
      <c r="L1007" s="303"/>
      <c r="M1007" s="303" t="s">
        <v>32</v>
      </c>
      <c r="N1007" s="304"/>
      <c r="P1007" s="306"/>
    </row>
    <row r="1008" spans="1:16" s="305" customFormat="1" ht="13" customHeight="1" outlineLevel="4">
      <c r="A1008" s="280">
        <v>4.0999999999999996</v>
      </c>
      <c r="B1008" s="281" t="s">
        <v>876</v>
      </c>
      <c r="C1008" s="282"/>
      <c r="D1008" s="283"/>
      <c r="E1008" s="283"/>
      <c r="F1008" s="283"/>
      <c r="G1008" s="283">
        <f>SUBTOTAL(9,G1009:G1019)</f>
        <v>0</v>
      </c>
      <c r="H1008" s="283">
        <f>SUBTOTAL(9,H1009:H1019)</f>
        <v>0</v>
      </c>
      <c r="I1008" s="283"/>
      <c r="J1008" s="302" t="s">
        <v>21</v>
      </c>
      <c r="K1008" s="303"/>
      <c r="L1008" s="303"/>
      <c r="M1008" s="303" t="s">
        <v>32</v>
      </c>
      <c r="N1008" s="304"/>
      <c r="P1008" s="306"/>
    </row>
    <row r="1009" spans="1:16" s="308" customFormat="1" ht="14" outlineLevel="5">
      <c r="A1009" s="297" t="s">
        <v>8</v>
      </c>
      <c r="B1009" s="357" t="s">
        <v>872</v>
      </c>
      <c r="C1009" s="289" t="s">
        <v>879</v>
      </c>
      <c r="D1009" s="290"/>
      <c r="E1009" s="290"/>
      <c r="F1009" s="290"/>
      <c r="G1009" s="8">
        <f t="shared" ref="G1009:G1019" si="214">F1009*D1009</f>
        <v>0</v>
      </c>
      <c r="H1009" s="290">
        <f t="shared" ref="H1009:H1019" si="215">F1009*E1009</f>
        <v>0</v>
      </c>
      <c r="I1009" s="291"/>
      <c r="J1009" s="302" t="s">
        <v>21</v>
      </c>
      <c r="K1009" s="368" t="s">
        <v>128</v>
      </c>
      <c r="L1009" s="303" t="s">
        <v>99</v>
      </c>
      <c r="M1009" s="303" t="s">
        <v>32</v>
      </c>
      <c r="N1009" s="325"/>
      <c r="P1009" s="309"/>
    </row>
    <row r="1010" spans="1:16" s="308" customFormat="1" ht="14" outlineLevel="5">
      <c r="A1010" s="292" t="s">
        <v>8</v>
      </c>
      <c r="B1010" s="356" t="s">
        <v>860</v>
      </c>
      <c r="C1010" s="289" t="s">
        <v>23</v>
      </c>
      <c r="D1010" s="290"/>
      <c r="E1010" s="290"/>
      <c r="F1010" s="290"/>
      <c r="G1010" s="8">
        <f t="shared" si="214"/>
        <v>0</v>
      </c>
      <c r="H1010" s="290">
        <f t="shared" si="215"/>
        <v>0</v>
      </c>
      <c r="I1010" s="291"/>
      <c r="J1010" s="302" t="s">
        <v>21</v>
      </c>
      <c r="K1010" s="368" t="s">
        <v>128</v>
      </c>
      <c r="L1010" s="303" t="s">
        <v>99</v>
      </c>
      <c r="M1010" s="303" t="s">
        <v>32</v>
      </c>
      <c r="N1010" s="325"/>
      <c r="P1010" s="309"/>
    </row>
    <row r="1011" spans="1:16" s="308" customFormat="1" ht="14" outlineLevel="5">
      <c r="A1011" s="292" t="s">
        <v>8</v>
      </c>
      <c r="B1011" s="356" t="s">
        <v>861</v>
      </c>
      <c r="C1011" s="289" t="s">
        <v>23</v>
      </c>
      <c r="D1011" s="290"/>
      <c r="E1011" s="290"/>
      <c r="F1011" s="290"/>
      <c r="G1011" s="8">
        <f t="shared" si="214"/>
        <v>0</v>
      </c>
      <c r="H1011" s="290">
        <f t="shared" si="215"/>
        <v>0</v>
      </c>
      <c r="I1011" s="291"/>
      <c r="J1011" s="302" t="s">
        <v>21</v>
      </c>
      <c r="K1011" s="368" t="s">
        <v>128</v>
      </c>
      <c r="L1011" s="303" t="s">
        <v>99</v>
      </c>
      <c r="M1011" s="303" t="s">
        <v>32</v>
      </c>
      <c r="N1011" s="325"/>
      <c r="P1011" s="309"/>
    </row>
    <row r="1012" spans="1:16" s="308" customFormat="1" ht="14" outlineLevel="5">
      <c r="A1012" s="297" t="s">
        <v>8</v>
      </c>
      <c r="B1012" s="357" t="s">
        <v>848</v>
      </c>
      <c r="C1012" s="289" t="s">
        <v>23</v>
      </c>
      <c r="D1012" s="290"/>
      <c r="E1012" s="290"/>
      <c r="F1012" s="290"/>
      <c r="G1012" s="8">
        <f t="shared" si="214"/>
        <v>0</v>
      </c>
      <c r="H1012" s="290">
        <f t="shared" si="215"/>
        <v>0</v>
      </c>
      <c r="I1012" s="291"/>
      <c r="J1012" s="302" t="s">
        <v>21</v>
      </c>
      <c r="K1012" s="368" t="s">
        <v>128</v>
      </c>
      <c r="L1012" s="303" t="s">
        <v>99</v>
      </c>
      <c r="M1012" s="303" t="s">
        <v>32</v>
      </c>
      <c r="N1012" s="325"/>
      <c r="P1012" s="309"/>
    </row>
    <row r="1013" spans="1:16" s="308" customFormat="1" ht="14" outlineLevel="5">
      <c r="A1013" s="292" t="s">
        <v>8</v>
      </c>
      <c r="B1013" s="356" t="s">
        <v>877</v>
      </c>
      <c r="C1013" s="289" t="s">
        <v>23</v>
      </c>
      <c r="D1013" s="290"/>
      <c r="E1013" s="290"/>
      <c r="F1013" s="290"/>
      <c r="G1013" s="8">
        <f t="shared" si="214"/>
        <v>0</v>
      </c>
      <c r="H1013" s="290">
        <f t="shared" si="215"/>
        <v>0</v>
      </c>
      <c r="I1013" s="291"/>
      <c r="J1013" s="302" t="s">
        <v>21</v>
      </c>
      <c r="K1013" s="368" t="s">
        <v>128</v>
      </c>
      <c r="L1013" s="303" t="s">
        <v>99</v>
      </c>
      <c r="M1013" s="303" t="s">
        <v>32</v>
      </c>
      <c r="N1013" s="325"/>
      <c r="P1013" s="309"/>
    </row>
    <row r="1014" spans="1:16" s="308" customFormat="1" ht="14" outlineLevel="5">
      <c r="A1014" s="292" t="s">
        <v>8</v>
      </c>
      <c r="B1014" s="356" t="s">
        <v>862</v>
      </c>
      <c r="C1014" s="289" t="s">
        <v>23</v>
      </c>
      <c r="D1014" s="290"/>
      <c r="E1014" s="290"/>
      <c r="F1014" s="290"/>
      <c r="G1014" s="8">
        <f t="shared" si="214"/>
        <v>0</v>
      </c>
      <c r="H1014" s="290">
        <f t="shared" si="215"/>
        <v>0</v>
      </c>
      <c r="I1014" s="291"/>
      <c r="J1014" s="302" t="s">
        <v>21</v>
      </c>
      <c r="K1014" s="368" t="s">
        <v>128</v>
      </c>
      <c r="L1014" s="303" t="s">
        <v>99</v>
      </c>
      <c r="M1014" s="303" t="s">
        <v>32</v>
      </c>
      <c r="N1014" s="325"/>
      <c r="P1014" s="309"/>
    </row>
    <row r="1015" spans="1:16" s="308" customFormat="1" ht="14" outlineLevel="5">
      <c r="A1015" s="292" t="s">
        <v>8</v>
      </c>
      <c r="B1015" s="356" t="s">
        <v>874</v>
      </c>
      <c r="C1015" s="289" t="s">
        <v>23</v>
      </c>
      <c r="D1015" s="290"/>
      <c r="E1015" s="290"/>
      <c r="F1015" s="290"/>
      <c r="G1015" s="8">
        <f t="shared" si="214"/>
        <v>0</v>
      </c>
      <c r="H1015" s="290">
        <f t="shared" si="215"/>
        <v>0</v>
      </c>
      <c r="I1015" s="291"/>
      <c r="J1015" s="302" t="s">
        <v>21</v>
      </c>
      <c r="K1015" s="368" t="s">
        <v>128</v>
      </c>
      <c r="L1015" s="303" t="s">
        <v>99</v>
      </c>
      <c r="M1015" s="303" t="s">
        <v>32</v>
      </c>
      <c r="N1015" s="325"/>
      <c r="P1015" s="309"/>
    </row>
    <row r="1016" spans="1:16" s="308" customFormat="1" ht="14" outlineLevel="5">
      <c r="A1016" s="297" t="s">
        <v>8</v>
      </c>
      <c r="B1016" s="357" t="s">
        <v>878</v>
      </c>
      <c r="C1016" s="289" t="s">
        <v>148</v>
      </c>
      <c r="D1016" s="290"/>
      <c r="E1016" s="290"/>
      <c r="F1016" s="290"/>
      <c r="G1016" s="8">
        <f t="shared" si="214"/>
        <v>0</v>
      </c>
      <c r="H1016" s="290">
        <f t="shared" si="215"/>
        <v>0</v>
      </c>
      <c r="I1016" s="291"/>
      <c r="J1016" s="302" t="s">
        <v>21</v>
      </c>
      <c r="K1016" s="368" t="s">
        <v>128</v>
      </c>
      <c r="L1016" s="303" t="s">
        <v>99</v>
      </c>
      <c r="M1016" s="303" t="s">
        <v>32</v>
      </c>
      <c r="N1016" s="325"/>
      <c r="P1016" s="309"/>
    </row>
    <row r="1017" spans="1:16" s="308" customFormat="1" ht="14" outlineLevel="5">
      <c r="A1017" s="292" t="s">
        <v>8</v>
      </c>
      <c r="B1017" s="356" t="s">
        <v>863</v>
      </c>
      <c r="C1017" s="289" t="s">
        <v>148</v>
      </c>
      <c r="D1017" s="290"/>
      <c r="E1017" s="290"/>
      <c r="F1017" s="290"/>
      <c r="G1017" s="8">
        <f t="shared" si="214"/>
        <v>0</v>
      </c>
      <c r="H1017" s="290">
        <f t="shared" si="215"/>
        <v>0</v>
      </c>
      <c r="I1017" s="291"/>
      <c r="J1017" s="302" t="s">
        <v>21</v>
      </c>
      <c r="K1017" s="368" t="s">
        <v>128</v>
      </c>
      <c r="L1017" s="303" t="s">
        <v>99</v>
      </c>
      <c r="M1017" s="303" t="s">
        <v>32</v>
      </c>
      <c r="N1017" s="325"/>
      <c r="P1017" s="309"/>
    </row>
    <row r="1018" spans="1:16" s="308" customFormat="1" ht="14" outlineLevel="5">
      <c r="A1018" s="292" t="s">
        <v>8</v>
      </c>
      <c r="B1018" s="356" t="s">
        <v>875</v>
      </c>
      <c r="C1018" s="289" t="s">
        <v>148</v>
      </c>
      <c r="D1018" s="290"/>
      <c r="E1018" s="290"/>
      <c r="F1018" s="290"/>
      <c r="G1018" s="8">
        <f t="shared" si="214"/>
        <v>0</v>
      </c>
      <c r="H1018" s="290">
        <f t="shared" si="215"/>
        <v>0</v>
      </c>
      <c r="I1018" s="291"/>
      <c r="J1018" s="302" t="s">
        <v>21</v>
      </c>
      <c r="K1018" s="368" t="s">
        <v>128</v>
      </c>
      <c r="L1018" s="303" t="s">
        <v>99</v>
      </c>
      <c r="M1018" s="303" t="s">
        <v>32</v>
      </c>
      <c r="N1018" s="325"/>
      <c r="P1018" s="309"/>
    </row>
    <row r="1019" spans="1:16" s="308" customFormat="1" ht="14" outlineLevel="5">
      <c r="A1019" s="292" t="s">
        <v>8</v>
      </c>
      <c r="B1019" s="356" t="s">
        <v>853</v>
      </c>
      <c r="C1019" s="289" t="s">
        <v>880</v>
      </c>
      <c r="D1019" s="290"/>
      <c r="E1019" s="290"/>
      <c r="F1019" s="290"/>
      <c r="G1019" s="8">
        <f t="shared" si="214"/>
        <v>0</v>
      </c>
      <c r="H1019" s="290">
        <f t="shared" si="215"/>
        <v>0</v>
      </c>
      <c r="I1019" s="291"/>
      <c r="J1019" s="302" t="s">
        <v>21</v>
      </c>
      <c r="K1019" s="368" t="s">
        <v>128</v>
      </c>
      <c r="L1019" s="303" t="s">
        <v>99</v>
      </c>
      <c r="M1019" s="303" t="s">
        <v>32</v>
      </c>
      <c r="N1019" s="325"/>
      <c r="P1019" s="309"/>
    </row>
    <row r="1020" spans="1:16" s="305" customFormat="1" ht="13" customHeight="1" outlineLevel="4">
      <c r="A1020" s="280">
        <v>4.2</v>
      </c>
      <c r="B1020" s="339" t="s">
        <v>881</v>
      </c>
      <c r="C1020" s="282"/>
      <c r="D1020" s="283"/>
      <c r="E1020" s="283"/>
      <c r="F1020" s="283"/>
      <c r="G1020" s="283">
        <f>SUBTOTAL(9,G1021:G1028)</f>
        <v>0</v>
      </c>
      <c r="H1020" s="283">
        <f>SUBTOTAL(9,H1021:H1028)</f>
        <v>0</v>
      </c>
      <c r="I1020" s="283"/>
      <c r="J1020" s="302" t="s">
        <v>21</v>
      </c>
      <c r="K1020" s="303"/>
      <c r="L1020" s="303"/>
      <c r="M1020" s="303" t="s">
        <v>32</v>
      </c>
      <c r="N1020" s="304"/>
      <c r="P1020" s="306"/>
    </row>
    <row r="1021" spans="1:16" s="308" customFormat="1" ht="14" outlineLevel="5">
      <c r="A1021" s="297" t="s">
        <v>8</v>
      </c>
      <c r="B1021" s="357" t="s">
        <v>882</v>
      </c>
      <c r="C1021" s="289" t="s">
        <v>879</v>
      </c>
      <c r="D1021" s="290"/>
      <c r="E1021" s="290"/>
      <c r="F1021" s="290"/>
      <c r="G1021" s="8">
        <f t="shared" ref="G1021:G1028" si="216">F1021*D1021</f>
        <v>0</v>
      </c>
      <c r="H1021" s="290">
        <f t="shared" ref="H1021:H1028" si="217">F1021*E1021</f>
        <v>0</v>
      </c>
      <c r="I1021" s="291"/>
      <c r="J1021" s="302" t="s">
        <v>21</v>
      </c>
      <c r="K1021" s="368" t="s">
        <v>128</v>
      </c>
      <c r="L1021" s="303" t="s">
        <v>99</v>
      </c>
      <c r="M1021" s="303" t="s">
        <v>32</v>
      </c>
      <c r="N1021" s="325"/>
      <c r="P1021" s="309"/>
    </row>
    <row r="1022" spans="1:16" s="308" customFormat="1" ht="14" outlineLevel="5">
      <c r="A1022" s="292" t="s">
        <v>8</v>
      </c>
      <c r="B1022" s="356" t="s">
        <v>883</v>
      </c>
      <c r="C1022" s="289" t="s">
        <v>23</v>
      </c>
      <c r="D1022" s="290"/>
      <c r="E1022" s="290"/>
      <c r="F1022" s="290"/>
      <c r="G1022" s="8">
        <f t="shared" si="216"/>
        <v>0</v>
      </c>
      <c r="H1022" s="290">
        <f t="shared" si="217"/>
        <v>0</v>
      </c>
      <c r="I1022" s="291"/>
      <c r="J1022" s="302" t="s">
        <v>21</v>
      </c>
      <c r="K1022" s="368" t="s">
        <v>128</v>
      </c>
      <c r="L1022" s="303" t="s">
        <v>99</v>
      </c>
      <c r="M1022" s="303" t="s">
        <v>32</v>
      </c>
      <c r="N1022" s="325"/>
      <c r="P1022" s="309"/>
    </row>
    <row r="1023" spans="1:16" s="308" customFormat="1" ht="14" outlineLevel="5">
      <c r="A1023" s="292" t="s">
        <v>8</v>
      </c>
      <c r="B1023" s="356" t="s">
        <v>884</v>
      </c>
      <c r="C1023" s="289" t="s">
        <v>23</v>
      </c>
      <c r="D1023" s="290"/>
      <c r="E1023" s="290"/>
      <c r="F1023" s="290"/>
      <c r="G1023" s="8">
        <f t="shared" si="216"/>
        <v>0</v>
      </c>
      <c r="H1023" s="290">
        <f t="shared" si="217"/>
        <v>0</v>
      </c>
      <c r="I1023" s="291"/>
      <c r="J1023" s="302" t="s">
        <v>21</v>
      </c>
      <c r="K1023" s="368" t="s">
        <v>128</v>
      </c>
      <c r="L1023" s="303" t="s">
        <v>99</v>
      </c>
      <c r="M1023" s="303" t="s">
        <v>32</v>
      </c>
      <c r="N1023" s="325"/>
      <c r="P1023" s="309"/>
    </row>
    <row r="1024" spans="1:16" s="308" customFormat="1" ht="14" outlineLevel="5">
      <c r="A1024" s="297" t="s">
        <v>8</v>
      </c>
      <c r="B1024" s="357" t="s">
        <v>885</v>
      </c>
      <c r="C1024" s="289" t="s">
        <v>23</v>
      </c>
      <c r="D1024" s="290"/>
      <c r="E1024" s="290"/>
      <c r="F1024" s="290"/>
      <c r="G1024" s="8">
        <f t="shared" si="216"/>
        <v>0</v>
      </c>
      <c r="H1024" s="290">
        <f t="shared" si="217"/>
        <v>0</v>
      </c>
      <c r="I1024" s="291"/>
      <c r="J1024" s="302" t="s">
        <v>21</v>
      </c>
      <c r="K1024" s="368" t="s">
        <v>128</v>
      </c>
      <c r="L1024" s="303" t="s">
        <v>99</v>
      </c>
      <c r="M1024" s="303" t="s">
        <v>32</v>
      </c>
      <c r="N1024" s="325"/>
      <c r="P1024" s="309"/>
    </row>
    <row r="1025" spans="1:16" s="308" customFormat="1" ht="14" outlineLevel="5">
      <c r="A1025" s="292" t="s">
        <v>8</v>
      </c>
      <c r="B1025" s="356" t="s">
        <v>886</v>
      </c>
      <c r="C1025" s="289" t="s">
        <v>23</v>
      </c>
      <c r="D1025" s="290"/>
      <c r="E1025" s="290"/>
      <c r="F1025" s="290"/>
      <c r="G1025" s="8">
        <f t="shared" si="216"/>
        <v>0</v>
      </c>
      <c r="H1025" s="290">
        <f t="shared" si="217"/>
        <v>0</v>
      </c>
      <c r="I1025" s="291"/>
      <c r="J1025" s="302" t="s">
        <v>21</v>
      </c>
      <c r="K1025" s="368" t="s">
        <v>128</v>
      </c>
      <c r="L1025" s="303" t="s">
        <v>99</v>
      </c>
      <c r="M1025" s="303" t="s">
        <v>32</v>
      </c>
      <c r="N1025" s="325"/>
      <c r="P1025" s="309"/>
    </row>
    <row r="1026" spans="1:16" s="308" customFormat="1" ht="14" outlineLevel="5">
      <c r="A1026" s="292" t="s">
        <v>8</v>
      </c>
      <c r="B1026" s="356" t="s">
        <v>856</v>
      </c>
      <c r="C1026" s="289" t="s">
        <v>148</v>
      </c>
      <c r="D1026" s="290"/>
      <c r="E1026" s="290"/>
      <c r="F1026" s="290"/>
      <c r="G1026" s="8">
        <f t="shared" si="216"/>
        <v>0</v>
      </c>
      <c r="H1026" s="290">
        <f t="shared" si="217"/>
        <v>0</v>
      </c>
      <c r="I1026" s="291"/>
      <c r="J1026" s="302" t="s">
        <v>21</v>
      </c>
      <c r="K1026" s="368" t="s">
        <v>128</v>
      </c>
      <c r="L1026" s="303" t="s">
        <v>99</v>
      </c>
      <c r="M1026" s="303" t="s">
        <v>32</v>
      </c>
      <c r="N1026" s="325"/>
      <c r="P1026" s="309"/>
    </row>
    <row r="1027" spans="1:16" s="308" customFormat="1" ht="14" outlineLevel="5">
      <c r="A1027" s="292" t="s">
        <v>8</v>
      </c>
      <c r="B1027" s="356" t="s">
        <v>863</v>
      </c>
      <c r="C1027" s="289" t="s">
        <v>148</v>
      </c>
      <c r="D1027" s="290"/>
      <c r="E1027" s="290"/>
      <c r="F1027" s="290"/>
      <c r="G1027" s="8">
        <f t="shared" si="216"/>
        <v>0</v>
      </c>
      <c r="H1027" s="290">
        <f t="shared" si="217"/>
        <v>0</v>
      </c>
      <c r="I1027" s="291"/>
      <c r="J1027" s="302" t="s">
        <v>21</v>
      </c>
      <c r="K1027" s="368" t="s">
        <v>128</v>
      </c>
      <c r="L1027" s="303" t="s">
        <v>99</v>
      </c>
      <c r="M1027" s="303" t="s">
        <v>32</v>
      </c>
      <c r="N1027" s="325"/>
      <c r="P1027" s="309"/>
    </row>
    <row r="1028" spans="1:16" s="308" customFormat="1" ht="14" outlineLevel="5">
      <c r="A1028" s="297" t="s">
        <v>8</v>
      </c>
      <c r="B1028" s="357" t="s">
        <v>853</v>
      </c>
      <c r="C1028" s="289" t="s">
        <v>880</v>
      </c>
      <c r="D1028" s="290"/>
      <c r="E1028" s="290"/>
      <c r="F1028" s="290"/>
      <c r="G1028" s="8">
        <f t="shared" si="216"/>
        <v>0</v>
      </c>
      <c r="H1028" s="290">
        <f t="shared" si="217"/>
        <v>0</v>
      </c>
      <c r="I1028" s="291"/>
      <c r="J1028" s="302" t="s">
        <v>21</v>
      </c>
      <c r="K1028" s="368" t="s">
        <v>128</v>
      </c>
      <c r="L1028" s="303" t="s">
        <v>99</v>
      </c>
      <c r="M1028" s="303" t="s">
        <v>32</v>
      </c>
      <c r="N1028" s="325"/>
      <c r="P1028" s="309"/>
    </row>
    <row r="1029" spans="1:16" s="305" customFormat="1" ht="13" customHeight="1" outlineLevel="4">
      <c r="A1029" s="280">
        <v>4.3</v>
      </c>
      <c r="B1029" s="339" t="s">
        <v>887</v>
      </c>
      <c r="C1029" s="282"/>
      <c r="D1029" s="283"/>
      <c r="E1029" s="283"/>
      <c r="F1029" s="283"/>
      <c r="G1029" s="283"/>
      <c r="H1029" s="283">
        <f>SUBTOTAL(9,H1030:H1037)</f>
        <v>0</v>
      </c>
      <c r="I1029" s="283"/>
      <c r="J1029" s="302" t="s">
        <v>21</v>
      </c>
      <c r="K1029" s="303"/>
      <c r="L1029" s="303"/>
      <c r="M1029" s="303" t="s">
        <v>32</v>
      </c>
      <c r="N1029" s="304"/>
      <c r="P1029" s="306"/>
    </row>
    <row r="1030" spans="1:16" s="308" customFormat="1" ht="14" outlineLevel="5">
      <c r="A1030" s="297" t="s">
        <v>8</v>
      </c>
      <c r="B1030" s="357" t="s">
        <v>888</v>
      </c>
      <c r="C1030" s="289" t="s">
        <v>879</v>
      </c>
      <c r="D1030" s="290"/>
      <c r="E1030" s="290"/>
      <c r="F1030" s="290"/>
      <c r="G1030" s="8">
        <f t="shared" ref="G1030:G1037" si="218">F1030*D1030</f>
        <v>0</v>
      </c>
      <c r="H1030" s="290">
        <f t="shared" ref="H1030:H1037" si="219">F1030*E1030</f>
        <v>0</v>
      </c>
      <c r="I1030" s="291"/>
      <c r="J1030" s="302" t="s">
        <v>21</v>
      </c>
      <c r="K1030" s="368" t="s">
        <v>128</v>
      </c>
      <c r="L1030" s="303" t="s">
        <v>99</v>
      </c>
      <c r="M1030" s="303" t="s">
        <v>32</v>
      </c>
      <c r="N1030" s="325"/>
      <c r="P1030" s="309"/>
    </row>
    <row r="1031" spans="1:16" s="308" customFormat="1" ht="14" outlineLevel="5">
      <c r="A1031" s="292" t="s">
        <v>8</v>
      </c>
      <c r="B1031" s="356" t="s">
        <v>885</v>
      </c>
      <c r="C1031" s="289" t="s">
        <v>23</v>
      </c>
      <c r="D1031" s="290"/>
      <c r="E1031" s="290"/>
      <c r="F1031" s="290"/>
      <c r="G1031" s="8">
        <f t="shared" si="218"/>
        <v>0</v>
      </c>
      <c r="H1031" s="290">
        <f t="shared" si="219"/>
        <v>0</v>
      </c>
      <c r="I1031" s="291"/>
      <c r="J1031" s="302" t="s">
        <v>21</v>
      </c>
      <c r="K1031" s="368" t="s">
        <v>128</v>
      </c>
      <c r="L1031" s="303" t="s">
        <v>99</v>
      </c>
      <c r="M1031" s="303" t="s">
        <v>32</v>
      </c>
      <c r="N1031" s="325"/>
      <c r="P1031" s="309"/>
    </row>
    <row r="1032" spans="1:16" s="308" customFormat="1" ht="14" outlineLevel="5">
      <c r="A1032" s="292" t="s">
        <v>8</v>
      </c>
      <c r="B1032" s="356" t="s">
        <v>886</v>
      </c>
      <c r="C1032" s="289" t="s">
        <v>23</v>
      </c>
      <c r="D1032" s="290"/>
      <c r="E1032" s="290"/>
      <c r="F1032" s="290"/>
      <c r="G1032" s="8">
        <f t="shared" si="218"/>
        <v>0</v>
      </c>
      <c r="H1032" s="290">
        <f t="shared" si="219"/>
        <v>0</v>
      </c>
      <c r="I1032" s="291"/>
      <c r="J1032" s="302" t="s">
        <v>21</v>
      </c>
      <c r="K1032" s="368" t="s">
        <v>128</v>
      </c>
      <c r="L1032" s="303" t="s">
        <v>99</v>
      </c>
      <c r="M1032" s="303" t="s">
        <v>32</v>
      </c>
      <c r="N1032" s="325"/>
      <c r="P1032" s="309"/>
    </row>
    <row r="1033" spans="1:16" s="308" customFormat="1" ht="14" outlineLevel="5">
      <c r="A1033" s="297" t="s">
        <v>8</v>
      </c>
      <c r="B1033" s="357" t="s">
        <v>889</v>
      </c>
      <c r="C1033" s="289" t="s">
        <v>23</v>
      </c>
      <c r="D1033" s="290"/>
      <c r="E1033" s="290"/>
      <c r="F1033" s="290"/>
      <c r="G1033" s="8">
        <f t="shared" si="218"/>
        <v>0</v>
      </c>
      <c r="H1033" s="290">
        <f t="shared" si="219"/>
        <v>0</v>
      </c>
      <c r="I1033" s="291"/>
      <c r="J1033" s="302" t="s">
        <v>21</v>
      </c>
      <c r="K1033" s="368" t="s">
        <v>128</v>
      </c>
      <c r="L1033" s="303" t="s">
        <v>99</v>
      </c>
      <c r="M1033" s="303" t="s">
        <v>32</v>
      </c>
      <c r="N1033" s="325"/>
      <c r="P1033" s="309"/>
    </row>
    <row r="1034" spans="1:16" s="308" customFormat="1" ht="14" outlineLevel="5">
      <c r="A1034" s="292" t="s">
        <v>8</v>
      </c>
      <c r="B1034" s="356" t="s">
        <v>856</v>
      </c>
      <c r="C1034" s="289" t="s">
        <v>148</v>
      </c>
      <c r="D1034" s="290"/>
      <c r="E1034" s="290"/>
      <c r="F1034" s="290"/>
      <c r="G1034" s="8">
        <f t="shared" si="218"/>
        <v>0</v>
      </c>
      <c r="H1034" s="290">
        <f t="shared" si="219"/>
        <v>0</v>
      </c>
      <c r="I1034" s="291"/>
      <c r="J1034" s="302" t="s">
        <v>21</v>
      </c>
      <c r="K1034" s="368" t="s">
        <v>128</v>
      </c>
      <c r="L1034" s="303" t="s">
        <v>99</v>
      </c>
      <c r="M1034" s="303" t="s">
        <v>32</v>
      </c>
      <c r="N1034" s="325"/>
      <c r="P1034" s="309"/>
    </row>
    <row r="1035" spans="1:16" s="308" customFormat="1" ht="14" outlineLevel="5">
      <c r="A1035" s="292" t="s">
        <v>8</v>
      </c>
      <c r="B1035" s="356" t="s">
        <v>863</v>
      </c>
      <c r="C1035" s="289" t="s">
        <v>148</v>
      </c>
      <c r="D1035" s="290"/>
      <c r="E1035" s="290"/>
      <c r="F1035" s="290"/>
      <c r="G1035" s="8">
        <f t="shared" si="218"/>
        <v>0</v>
      </c>
      <c r="H1035" s="290">
        <f t="shared" si="219"/>
        <v>0</v>
      </c>
      <c r="I1035" s="291"/>
      <c r="J1035" s="302" t="s">
        <v>21</v>
      </c>
      <c r="K1035" s="368" t="s">
        <v>128</v>
      </c>
      <c r="L1035" s="303" t="s">
        <v>99</v>
      </c>
      <c r="M1035" s="303" t="s">
        <v>32</v>
      </c>
      <c r="N1035" s="325"/>
      <c r="P1035" s="309"/>
    </row>
    <row r="1036" spans="1:16" s="308" customFormat="1" ht="14" outlineLevel="5">
      <c r="A1036" s="292" t="s">
        <v>8</v>
      </c>
      <c r="B1036" s="356" t="s">
        <v>875</v>
      </c>
      <c r="C1036" s="289" t="s">
        <v>148</v>
      </c>
      <c r="D1036" s="290"/>
      <c r="E1036" s="290"/>
      <c r="F1036" s="290"/>
      <c r="G1036" s="8">
        <f t="shared" si="218"/>
        <v>0</v>
      </c>
      <c r="H1036" s="290">
        <f t="shared" si="219"/>
        <v>0</v>
      </c>
      <c r="I1036" s="291"/>
      <c r="J1036" s="302" t="s">
        <v>21</v>
      </c>
      <c r="K1036" s="368" t="s">
        <v>128</v>
      </c>
      <c r="L1036" s="303" t="s">
        <v>99</v>
      </c>
      <c r="M1036" s="303" t="s">
        <v>32</v>
      </c>
      <c r="N1036" s="325"/>
      <c r="P1036" s="309"/>
    </row>
    <row r="1037" spans="1:16" s="308" customFormat="1" ht="14" outlineLevel="5">
      <c r="A1037" s="297" t="s">
        <v>8</v>
      </c>
      <c r="B1037" s="357" t="s">
        <v>853</v>
      </c>
      <c r="C1037" s="289" t="s">
        <v>880</v>
      </c>
      <c r="D1037" s="290"/>
      <c r="E1037" s="290"/>
      <c r="F1037" s="290"/>
      <c r="G1037" s="8">
        <f t="shared" si="218"/>
        <v>0</v>
      </c>
      <c r="H1037" s="290">
        <f t="shared" si="219"/>
        <v>0</v>
      </c>
      <c r="I1037" s="291"/>
      <c r="J1037" s="302" t="s">
        <v>21</v>
      </c>
      <c r="K1037" s="368" t="s">
        <v>128</v>
      </c>
      <c r="L1037" s="303" t="s">
        <v>99</v>
      </c>
      <c r="M1037" s="303" t="s">
        <v>32</v>
      </c>
      <c r="N1037" s="325"/>
      <c r="P1037" s="309"/>
    </row>
    <row r="1038" spans="1:16" s="305" customFormat="1" ht="13" customHeight="1" outlineLevel="4">
      <c r="A1038" s="280">
        <v>4.4000000000000004</v>
      </c>
      <c r="B1038" s="339" t="s">
        <v>890</v>
      </c>
      <c r="C1038" s="282"/>
      <c r="D1038" s="283"/>
      <c r="E1038" s="283"/>
      <c r="F1038" s="283"/>
      <c r="G1038" s="283"/>
      <c r="H1038" s="283">
        <f>SUBTOTAL(9,H1039:H1050)</f>
        <v>0</v>
      </c>
      <c r="I1038" s="283"/>
      <c r="J1038" s="302" t="s">
        <v>21</v>
      </c>
      <c r="K1038" s="303"/>
      <c r="L1038" s="303"/>
      <c r="M1038" s="303" t="s">
        <v>32</v>
      </c>
      <c r="N1038" s="304"/>
      <c r="P1038" s="306"/>
    </row>
    <row r="1039" spans="1:16" s="308" customFormat="1" ht="14" outlineLevel="5">
      <c r="A1039" s="297" t="s">
        <v>8</v>
      </c>
      <c r="B1039" s="357" t="s">
        <v>891</v>
      </c>
      <c r="C1039" s="289" t="s">
        <v>879</v>
      </c>
      <c r="D1039" s="354"/>
      <c r="E1039" s="290"/>
      <c r="F1039" s="290"/>
      <c r="G1039" s="8">
        <f t="shared" ref="G1039:G1050" si="220">F1039*D1039</f>
        <v>0</v>
      </c>
      <c r="H1039" s="290">
        <f t="shared" ref="H1039:H1050" si="221">F1039*E1039</f>
        <v>0</v>
      </c>
      <c r="I1039" s="291"/>
      <c r="J1039" s="302" t="s">
        <v>21</v>
      </c>
      <c r="K1039" s="368" t="s">
        <v>128</v>
      </c>
      <c r="L1039" s="303" t="s">
        <v>99</v>
      </c>
      <c r="M1039" s="303" t="s">
        <v>32</v>
      </c>
      <c r="N1039" s="325"/>
      <c r="P1039" s="309"/>
    </row>
    <row r="1040" spans="1:16" s="308" customFormat="1" ht="14" outlineLevel="5">
      <c r="A1040" s="292" t="s">
        <v>8</v>
      </c>
      <c r="B1040" s="356" t="s">
        <v>892</v>
      </c>
      <c r="C1040" s="289" t="s">
        <v>23</v>
      </c>
      <c r="D1040" s="354"/>
      <c r="E1040" s="290"/>
      <c r="F1040" s="290"/>
      <c r="G1040" s="8">
        <f t="shared" si="220"/>
        <v>0</v>
      </c>
      <c r="H1040" s="290">
        <f t="shared" si="221"/>
        <v>0</v>
      </c>
      <c r="I1040" s="291"/>
      <c r="J1040" s="302" t="s">
        <v>21</v>
      </c>
      <c r="K1040" s="368" t="s">
        <v>128</v>
      </c>
      <c r="L1040" s="303" t="s">
        <v>99</v>
      </c>
      <c r="M1040" s="303" t="s">
        <v>32</v>
      </c>
      <c r="N1040" s="325"/>
      <c r="P1040" s="309"/>
    </row>
    <row r="1041" spans="1:16" s="308" customFormat="1" ht="14" outlineLevel="5">
      <c r="A1041" s="292" t="s">
        <v>8</v>
      </c>
      <c r="B1041" s="356" t="s">
        <v>883</v>
      </c>
      <c r="C1041" s="289" t="s">
        <v>23</v>
      </c>
      <c r="D1041" s="354"/>
      <c r="E1041" s="290"/>
      <c r="F1041" s="290"/>
      <c r="G1041" s="8">
        <f t="shared" si="220"/>
        <v>0</v>
      </c>
      <c r="H1041" s="290">
        <f t="shared" si="221"/>
        <v>0</v>
      </c>
      <c r="I1041" s="291"/>
      <c r="J1041" s="302" t="s">
        <v>21</v>
      </c>
      <c r="K1041" s="368" t="s">
        <v>128</v>
      </c>
      <c r="L1041" s="303" t="s">
        <v>99</v>
      </c>
      <c r="M1041" s="303" t="s">
        <v>32</v>
      </c>
      <c r="N1041" s="325"/>
      <c r="P1041" s="309"/>
    </row>
    <row r="1042" spans="1:16" s="308" customFormat="1" ht="14" outlineLevel="5">
      <c r="A1042" s="297" t="s">
        <v>8</v>
      </c>
      <c r="B1042" s="357" t="s">
        <v>885</v>
      </c>
      <c r="C1042" s="289" t="s">
        <v>23</v>
      </c>
      <c r="D1042" s="354"/>
      <c r="E1042" s="290"/>
      <c r="F1042" s="290"/>
      <c r="G1042" s="8">
        <f t="shared" si="220"/>
        <v>0</v>
      </c>
      <c r="H1042" s="290">
        <f t="shared" si="221"/>
        <v>0</v>
      </c>
      <c r="I1042" s="291"/>
      <c r="J1042" s="302" t="s">
        <v>21</v>
      </c>
      <c r="K1042" s="368" t="s">
        <v>128</v>
      </c>
      <c r="L1042" s="303" t="s">
        <v>99</v>
      </c>
      <c r="M1042" s="303" t="s">
        <v>32</v>
      </c>
      <c r="N1042" s="325"/>
      <c r="P1042" s="309"/>
    </row>
    <row r="1043" spans="1:16" s="308" customFormat="1" ht="14" outlineLevel="5">
      <c r="A1043" s="297" t="s">
        <v>8</v>
      </c>
      <c r="B1043" s="357" t="s">
        <v>886</v>
      </c>
      <c r="C1043" s="289" t="s">
        <v>23</v>
      </c>
      <c r="D1043" s="354"/>
      <c r="E1043" s="290"/>
      <c r="F1043" s="290"/>
      <c r="G1043" s="8">
        <f t="shared" si="220"/>
        <v>0</v>
      </c>
      <c r="H1043" s="290">
        <f t="shared" si="221"/>
        <v>0</v>
      </c>
      <c r="I1043" s="291"/>
      <c r="J1043" s="302" t="s">
        <v>21</v>
      </c>
      <c r="K1043" s="368" t="s">
        <v>128</v>
      </c>
      <c r="L1043" s="303" t="s">
        <v>99</v>
      </c>
      <c r="M1043" s="303" t="s">
        <v>32</v>
      </c>
      <c r="N1043" s="325"/>
      <c r="P1043" s="309"/>
    </row>
    <row r="1044" spans="1:16" s="308" customFormat="1" ht="14" outlineLevel="5">
      <c r="A1044" s="292" t="s">
        <v>8</v>
      </c>
      <c r="B1044" s="356" t="s">
        <v>893</v>
      </c>
      <c r="C1044" s="289" t="s">
        <v>148</v>
      </c>
      <c r="D1044" s="354"/>
      <c r="E1044" s="290"/>
      <c r="F1044" s="290"/>
      <c r="G1044" s="8">
        <f t="shared" si="220"/>
        <v>0</v>
      </c>
      <c r="H1044" s="290">
        <f t="shared" si="221"/>
        <v>0</v>
      </c>
      <c r="I1044" s="291"/>
      <c r="J1044" s="302" t="s">
        <v>21</v>
      </c>
      <c r="K1044" s="368" t="s">
        <v>128</v>
      </c>
      <c r="L1044" s="303" t="s">
        <v>99</v>
      </c>
      <c r="M1044" s="303" t="s">
        <v>32</v>
      </c>
      <c r="N1044" s="325"/>
      <c r="P1044" s="309"/>
    </row>
    <row r="1045" spans="1:16" s="308" customFormat="1" ht="14" outlineLevel="5">
      <c r="A1045" s="292" t="s">
        <v>8</v>
      </c>
      <c r="B1045" s="356" t="s">
        <v>894</v>
      </c>
      <c r="C1045" s="289" t="s">
        <v>148</v>
      </c>
      <c r="D1045" s="354"/>
      <c r="E1045" s="290"/>
      <c r="F1045" s="290"/>
      <c r="G1045" s="8">
        <f t="shared" si="220"/>
        <v>0</v>
      </c>
      <c r="H1045" s="290">
        <f t="shared" si="221"/>
        <v>0</v>
      </c>
      <c r="I1045" s="291"/>
      <c r="J1045" s="302" t="s">
        <v>21</v>
      </c>
      <c r="K1045" s="368" t="s">
        <v>128</v>
      </c>
      <c r="L1045" s="303" t="s">
        <v>99</v>
      </c>
      <c r="M1045" s="303" t="s">
        <v>32</v>
      </c>
      <c r="N1045" s="325"/>
      <c r="P1045" s="309"/>
    </row>
    <row r="1046" spans="1:16" s="308" customFormat="1" ht="14" outlineLevel="5">
      <c r="A1046" s="297" t="s">
        <v>8</v>
      </c>
      <c r="B1046" s="357" t="s">
        <v>856</v>
      </c>
      <c r="C1046" s="289" t="s">
        <v>148</v>
      </c>
      <c r="D1046" s="354"/>
      <c r="E1046" s="290"/>
      <c r="F1046" s="290"/>
      <c r="G1046" s="8">
        <f t="shared" si="220"/>
        <v>0</v>
      </c>
      <c r="H1046" s="290">
        <f t="shared" si="221"/>
        <v>0</v>
      </c>
      <c r="I1046" s="291"/>
      <c r="J1046" s="302" t="s">
        <v>21</v>
      </c>
      <c r="K1046" s="368" t="s">
        <v>128</v>
      </c>
      <c r="L1046" s="303" t="s">
        <v>99</v>
      </c>
      <c r="M1046" s="303" t="s">
        <v>32</v>
      </c>
      <c r="N1046" s="325"/>
      <c r="P1046" s="309"/>
    </row>
    <row r="1047" spans="1:16" s="308" customFormat="1" ht="14" outlineLevel="5">
      <c r="A1047" s="292" t="s">
        <v>8</v>
      </c>
      <c r="B1047" s="356" t="s">
        <v>863</v>
      </c>
      <c r="C1047" s="289" t="s">
        <v>148</v>
      </c>
      <c r="D1047" s="354"/>
      <c r="E1047" s="290"/>
      <c r="F1047" s="290"/>
      <c r="G1047" s="8">
        <f t="shared" si="220"/>
        <v>0</v>
      </c>
      <c r="H1047" s="290">
        <f t="shared" si="221"/>
        <v>0</v>
      </c>
      <c r="I1047" s="291"/>
      <c r="J1047" s="302" t="s">
        <v>21</v>
      </c>
      <c r="K1047" s="368" t="s">
        <v>128</v>
      </c>
      <c r="L1047" s="303" t="s">
        <v>99</v>
      </c>
      <c r="M1047" s="457" t="s">
        <v>32</v>
      </c>
      <c r="N1047" s="325"/>
      <c r="P1047" s="309"/>
    </row>
    <row r="1048" spans="1:16" s="308" customFormat="1" ht="14" outlineLevel="5">
      <c r="A1048" s="292" t="s">
        <v>8</v>
      </c>
      <c r="B1048" s="356" t="s">
        <v>382</v>
      </c>
      <c r="C1048" s="289" t="s">
        <v>880</v>
      </c>
      <c r="D1048" s="354"/>
      <c r="E1048" s="290"/>
      <c r="F1048" s="290"/>
      <c r="G1048" s="8">
        <f t="shared" si="220"/>
        <v>0</v>
      </c>
      <c r="H1048" s="290">
        <f t="shared" si="221"/>
        <v>0</v>
      </c>
      <c r="I1048" s="291"/>
      <c r="J1048" s="302" t="s">
        <v>21</v>
      </c>
      <c r="K1048" s="368" t="s">
        <v>128</v>
      </c>
      <c r="L1048" s="303" t="s">
        <v>99</v>
      </c>
      <c r="M1048" s="457" t="s">
        <v>32</v>
      </c>
      <c r="N1048" s="325"/>
      <c r="P1048" s="309"/>
    </row>
    <row r="1049" spans="1:16" s="308" customFormat="1" ht="14" outlineLevel="5">
      <c r="A1049" s="292" t="s">
        <v>8</v>
      </c>
      <c r="B1049" s="356" t="s">
        <v>384</v>
      </c>
      <c r="C1049" s="289" t="s">
        <v>880</v>
      </c>
      <c r="D1049" s="354"/>
      <c r="E1049" s="290"/>
      <c r="F1049" s="290"/>
      <c r="G1049" s="8">
        <f t="shared" si="220"/>
        <v>0</v>
      </c>
      <c r="H1049" s="290">
        <f t="shared" si="221"/>
        <v>0</v>
      </c>
      <c r="I1049" s="291"/>
      <c r="J1049" s="302" t="s">
        <v>21</v>
      </c>
      <c r="K1049" s="368" t="s">
        <v>128</v>
      </c>
      <c r="L1049" s="303" t="s">
        <v>99</v>
      </c>
      <c r="M1049" s="457" t="s">
        <v>32</v>
      </c>
      <c r="N1049" s="325"/>
      <c r="P1049" s="309"/>
    </row>
    <row r="1050" spans="1:16" s="308" customFormat="1" ht="14" outlineLevel="5">
      <c r="A1050" s="297" t="s">
        <v>8</v>
      </c>
      <c r="B1050" s="357" t="s">
        <v>853</v>
      </c>
      <c r="C1050" s="289" t="s">
        <v>880</v>
      </c>
      <c r="D1050" s="354"/>
      <c r="E1050" s="290"/>
      <c r="F1050" s="290"/>
      <c r="G1050" s="8">
        <f t="shared" si="220"/>
        <v>0</v>
      </c>
      <c r="H1050" s="290">
        <f t="shared" si="221"/>
        <v>0</v>
      </c>
      <c r="I1050" s="291"/>
      <c r="J1050" s="302" t="s">
        <v>21</v>
      </c>
      <c r="K1050" s="368" t="s">
        <v>128</v>
      </c>
      <c r="L1050" s="303" t="s">
        <v>99</v>
      </c>
      <c r="M1050" s="457" t="s">
        <v>32</v>
      </c>
      <c r="N1050" s="325"/>
      <c r="P1050" s="309"/>
    </row>
    <row r="1051" spans="1:16" s="305" customFormat="1" ht="13" customHeight="1" outlineLevel="4">
      <c r="A1051" s="280">
        <v>4.5</v>
      </c>
      <c r="B1051" s="339" t="s">
        <v>895</v>
      </c>
      <c r="C1051" s="282"/>
      <c r="D1051" s="283"/>
      <c r="E1051" s="283"/>
      <c r="F1051" s="283"/>
      <c r="G1051" s="283"/>
      <c r="H1051" s="283">
        <f>SUBTOTAL(9,H1052:H1064)</f>
        <v>0</v>
      </c>
      <c r="I1051" s="283"/>
      <c r="J1051" s="302" t="s">
        <v>21</v>
      </c>
      <c r="K1051" s="303"/>
      <c r="L1051" s="303"/>
      <c r="M1051" s="457" t="s">
        <v>32</v>
      </c>
      <c r="N1051" s="304"/>
      <c r="P1051" s="306"/>
    </row>
    <row r="1052" spans="1:16" s="308" customFormat="1" ht="14" outlineLevel="5">
      <c r="A1052" s="297" t="s">
        <v>8</v>
      </c>
      <c r="B1052" s="357" t="s">
        <v>891</v>
      </c>
      <c r="C1052" s="289" t="s">
        <v>879</v>
      </c>
      <c r="D1052" s="290"/>
      <c r="E1052" s="290"/>
      <c r="F1052" s="290"/>
      <c r="G1052" s="8">
        <f t="shared" ref="G1052:G1064" si="222">F1052*D1052</f>
        <v>0</v>
      </c>
      <c r="H1052" s="290">
        <f t="shared" ref="H1052:H1064" si="223">F1052*E1052</f>
        <v>0</v>
      </c>
      <c r="I1052" s="291"/>
      <c r="J1052" s="302" t="s">
        <v>21</v>
      </c>
      <c r="K1052" s="368" t="s">
        <v>128</v>
      </c>
      <c r="L1052" s="303" t="s">
        <v>99</v>
      </c>
      <c r="M1052" s="457" t="s">
        <v>32</v>
      </c>
      <c r="N1052" s="325"/>
      <c r="P1052" s="309"/>
    </row>
    <row r="1053" spans="1:16" s="308" customFormat="1" ht="14" outlineLevel="5">
      <c r="A1053" s="297" t="s">
        <v>8</v>
      </c>
      <c r="B1053" s="357" t="s">
        <v>896</v>
      </c>
      <c r="C1053" s="289" t="s">
        <v>23</v>
      </c>
      <c r="D1053" s="290"/>
      <c r="E1053" s="290"/>
      <c r="F1053" s="290"/>
      <c r="G1053" s="8">
        <f t="shared" si="222"/>
        <v>0</v>
      </c>
      <c r="H1053" s="290">
        <f t="shared" si="223"/>
        <v>0</v>
      </c>
      <c r="I1053" s="291"/>
      <c r="J1053" s="302" t="s">
        <v>21</v>
      </c>
      <c r="K1053" s="368" t="s">
        <v>128</v>
      </c>
      <c r="L1053" s="303" t="s">
        <v>99</v>
      </c>
      <c r="M1053" s="457" t="s">
        <v>32</v>
      </c>
      <c r="N1053" s="325"/>
      <c r="P1053" s="309"/>
    </row>
    <row r="1054" spans="1:16" s="308" customFormat="1" ht="14" outlineLevel="5">
      <c r="A1054" s="292" t="s">
        <v>8</v>
      </c>
      <c r="B1054" s="356" t="s">
        <v>897</v>
      </c>
      <c r="C1054" s="289" t="s">
        <v>23</v>
      </c>
      <c r="D1054" s="290"/>
      <c r="E1054" s="290"/>
      <c r="F1054" s="290"/>
      <c r="G1054" s="8">
        <f t="shared" si="222"/>
        <v>0</v>
      </c>
      <c r="H1054" s="290">
        <f t="shared" si="223"/>
        <v>0</v>
      </c>
      <c r="I1054" s="291"/>
      <c r="J1054" s="302" t="s">
        <v>21</v>
      </c>
      <c r="K1054" s="368" t="s">
        <v>128</v>
      </c>
      <c r="L1054" s="303" t="s">
        <v>99</v>
      </c>
      <c r="M1054" s="457" t="s">
        <v>32</v>
      </c>
      <c r="N1054" s="325"/>
      <c r="P1054" s="309"/>
    </row>
    <row r="1055" spans="1:16" s="308" customFormat="1" ht="14" outlineLevel="5">
      <c r="A1055" s="292" t="s">
        <v>8</v>
      </c>
      <c r="B1055" s="356" t="s">
        <v>898</v>
      </c>
      <c r="C1055" s="289" t="s">
        <v>23</v>
      </c>
      <c r="D1055" s="290"/>
      <c r="E1055" s="290"/>
      <c r="F1055" s="290"/>
      <c r="G1055" s="8">
        <f t="shared" si="222"/>
        <v>0</v>
      </c>
      <c r="H1055" s="290">
        <f t="shared" si="223"/>
        <v>0</v>
      </c>
      <c r="I1055" s="291"/>
      <c r="J1055" s="302" t="s">
        <v>21</v>
      </c>
      <c r="K1055" s="368" t="s">
        <v>128</v>
      </c>
      <c r="L1055" s="303" t="s">
        <v>99</v>
      </c>
      <c r="M1055" s="303" t="s">
        <v>32</v>
      </c>
      <c r="N1055" s="325"/>
      <c r="P1055" s="309"/>
    </row>
    <row r="1056" spans="1:16" s="308" customFormat="1" ht="14" outlineLevel="5">
      <c r="A1056" s="297" t="s">
        <v>8</v>
      </c>
      <c r="B1056" s="357" t="s">
        <v>899</v>
      </c>
      <c r="C1056" s="289" t="s">
        <v>23</v>
      </c>
      <c r="D1056" s="290"/>
      <c r="E1056" s="290"/>
      <c r="F1056" s="290"/>
      <c r="G1056" s="8">
        <f t="shared" si="222"/>
        <v>0</v>
      </c>
      <c r="H1056" s="290">
        <f t="shared" si="223"/>
        <v>0</v>
      </c>
      <c r="I1056" s="291"/>
      <c r="J1056" s="302" t="s">
        <v>21</v>
      </c>
      <c r="K1056" s="368" t="s">
        <v>128</v>
      </c>
      <c r="L1056" s="303" t="s">
        <v>99</v>
      </c>
      <c r="M1056" s="303" t="s">
        <v>32</v>
      </c>
      <c r="N1056" s="325"/>
      <c r="P1056" s="309"/>
    </row>
    <row r="1057" spans="1:16" s="308" customFormat="1" ht="14" outlineLevel="5">
      <c r="A1057" s="297" t="s">
        <v>8</v>
      </c>
      <c r="B1057" s="357" t="s">
        <v>892</v>
      </c>
      <c r="C1057" s="289" t="s">
        <v>23</v>
      </c>
      <c r="D1057" s="290"/>
      <c r="E1057" s="290"/>
      <c r="F1057" s="290"/>
      <c r="G1057" s="8">
        <f t="shared" si="222"/>
        <v>0</v>
      </c>
      <c r="H1057" s="290">
        <f t="shared" si="223"/>
        <v>0</v>
      </c>
      <c r="I1057" s="291"/>
      <c r="J1057" s="302" t="s">
        <v>21</v>
      </c>
      <c r="K1057" s="368" t="s">
        <v>128</v>
      </c>
      <c r="L1057" s="303" t="s">
        <v>99</v>
      </c>
      <c r="M1057" s="303" t="s">
        <v>32</v>
      </c>
      <c r="N1057" s="325"/>
      <c r="P1057" s="309"/>
    </row>
    <row r="1058" spans="1:16" s="308" customFormat="1" ht="14" outlineLevel="5">
      <c r="A1058" s="292" t="s">
        <v>8</v>
      </c>
      <c r="B1058" s="356" t="s">
        <v>893</v>
      </c>
      <c r="C1058" s="289" t="s">
        <v>148</v>
      </c>
      <c r="D1058" s="290"/>
      <c r="E1058" s="290"/>
      <c r="F1058" s="290"/>
      <c r="G1058" s="8">
        <f t="shared" si="222"/>
        <v>0</v>
      </c>
      <c r="H1058" s="290">
        <f t="shared" si="223"/>
        <v>0</v>
      </c>
      <c r="I1058" s="291"/>
      <c r="J1058" s="302" t="s">
        <v>21</v>
      </c>
      <c r="K1058" s="368" t="s">
        <v>128</v>
      </c>
      <c r="L1058" s="303" t="s">
        <v>99</v>
      </c>
      <c r="M1058" s="303" t="s">
        <v>32</v>
      </c>
      <c r="N1058" s="325"/>
      <c r="P1058" s="309"/>
    </row>
    <row r="1059" spans="1:16" s="308" customFormat="1" ht="14" outlineLevel="5">
      <c r="A1059" s="292" t="s">
        <v>8</v>
      </c>
      <c r="B1059" s="356" t="s">
        <v>894</v>
      </c>
      <c r="C1059" s="289" t="s">
        <v>148</v>
      </c>
      <c r="D1059" s="290"/>
      <c r="E1059" s="290"/>
      <c r="F1059" s="290"/>
      <c r="G1059" s="8">
        <f t="shared" si="222"/>
        <v>0</v>
      </c>
      <c r="H1059" s="290">
        <f t="shared" si="223"/>
        <v>0</v>
      </c>
      <c r="I1059" s="291"/>
      <c r="J1059" s="302" t="s">
        <v>21</v>
      </c>
      <c r="K1059" s="368" t="s">
        <v>128</v>
      </c>
      <c r="L1059" s="303" t="s">
        <v>99</v>
      </c>
      <c r="M1059" s="303" t="s">
        <v>32</v>
      </c>
      <c r="N1059" s="325"/>
      <c r="P1059" s="309"/>
    </row>
    <row r="1060" spans="1:16" s="308" customFormat="1" ht="14" outlineLevel="5">
      <c r="A1060" s="297" t="s">
        <v>8</v>
      </c>
      <c r="B1060" s="357" t="s">
        <v>856</v>
      </c>
      <c r="C1060" s="289" t="s">
        <v>148</v>
      </c>
      <c r="D1060" s="290"/>
      <c r="E1060" s="290"/>
      <c r="F1060" s="290"/>
      <c r="G1060" s="8">
        <f t="shared" si="222"/>
        <v>0</v>
      </c>
      <c r="H1060" s="290">
        <f t="shared" si="223"/>
        <v>0</v>
      </c>
      <c r="I1060" s="291"/>
      <c r="J1060" s="302" t="s">
        <v>21</v>
      </c>
      <c r="K1060" s="368" t="s">
        <v>128</v>
      </c>
      <c r="L1060" s="303" t="s">
        <v>99</v>
      </c>
      <c r="M1060" s="303" t="s">
        <v>32</v>
      </c>
      <c r="N1060" s="325"/>
      <c r="P1060" s="309"/>
    </row>
    <row r="1061" spans="1:16" s="308" customFormat="1" ht="14" outlineLevel="5">
      <c r="A1061" s="292" t="s">
        <v>8</v>
      </c>
      <c r="B1061" s="356" t="s">
        <v>863</v>
      </c>
      <c r="C1061" s="289" t="s">
        <v>148</v>
      </c>
      <c r="D1061" s="290"/>
      <c r="E1061" s="290"/>
      <c r="F1061" s="290"/>
      <c r="G1061" s="8">
        <f t="shared" si="222"/>
        <v>0</v>
      </c>
      <c r="H1061" s="290">
        <f t="shared" si="223"/>
        <v>0</v>
      </c>
      <c r="I1061" s="291"/>
      <c r="J1061" s="302" t="s">
        <v>21</v>
      </c>
      <c r="K1061" s="368" t="s">
        <v>128</v>
      </c>
      <c r="L1061" s="303" t="s">
        <v>99</v>
      </c>
      <c r="M1061" s="303" t="s">
        <v>32</v>
      </c>
      <c r="N1061" s="325"/>
      <c r="P1061" s="309"/>
    </row>
    <row r="1062" spans="1:16" s="308" customFormat="1" ht="14" outlineLevel="5">
      <c r="A1062" s="292" t="s">
        <v>8</v>
      </c>
      <c r="B1062" s="356" t="s">
        <v>382</v>
      </c>
      <c r="C1062" s="289" t="s">
        <v>880</v>
      </c>
      <c r="D1062" s="290"/>
      <c r="E1062" s="290"/>
      <c r="F1062" s="290"/>
      <c r="G1062" s="8">
        <f t="shared" si="222"/>
        <v>0</v>
      </c>
      <c r="H1062" s="290">
        <f t="shared" si="223"/>
        <v>0</v>
      </c>
      <c r="I1062" s="291"/>
      <c r="J1062" s="302" t="s">
        <v>21</v>
      </c>
      <c r="K1062" s="368" t="s">
        <v>128</v>
      </c>
      <c r="L1062" s="303" t="s">
        <v>99</v>
      </c>
      <c r="M1062" s="303" t="s">
        <v>32</v>
      </c>
      <c r="N1062" s="325"/>
      <c r="P1062" s="309"/>
    </row>
    <row r="1063" spans="1:16" s="308" customFormat="1" ht="14" outlineLevel="5">
      <c r="A1063" s="292" t="s">
        <v>8</v>
      </c>
      <c r="B1063" s="356" t="s">
        <v>384</v>
      </c>
      <c r="C1063" s="289" t="s">
        <v>880</v>
      </c>
      <c r="D1063" s="290"/>
      <c r="E1063" s="290"/>
      <c r="F1063" s="290"/>
      <c r="G1063" s="8">
        <f t="shared" si="222"/>
        <v>0</v>
      </c>
      <c r="H1063" s="290">
        <f t="shared" si="223"/>
        <v>0</v>
      </c>
      <c r="I1063" s="291"/>
      <c r="J1063" s="302" t="s">
        <v>21</v>
      </c>
      <c r="K1063" s="368" t="s">
        <v>128</v>
      </c>
      <c r="L1063" s="303" t="s">
        <v>99</v>
      </c>
      <c r="M1063" s="303" t="s">
        <v>32</v>
      </c>
      <c r="N1063" s="325"/>
      <c r="P1063" s="309"/>
    </row>
    <row r="1064" spans="1:16" s="308" customFormat="1" ht="14" outlineLevel="5">
      <c r="A1064" s="297" t="s">
        <v>8</v>
      </c>
      <c r="B1064" s="357" t="s">
        <v>853</v>
      </c>
      <c r="C1064" s="289" t="s">
        <v>880</v>
      </c>
      <c r="D1064" s="290"/>
      <c r="E1064" s="290"/>
      <c r="F1064" s="290"/>
      <c r="G1064" s="8">
        <f t="shared" si="222"/>
        <v>0</v>
      </c>
      <c r="H1064" s="290">
        <f t="shared" si="223"/>
        <v>0</v>
      </c>
      <c r="I1064" s="291"/>
      <c r="J1064" s="302" t="s">
        <v>21</v>
      </c>
      <c r="K1064" s="368" t="s">
        <v>128</v>
      </c>
      <c r="L1064" s="303" t="s">
        <v>99</v>
      </c>
      <c r="M1064" s="303" t="s">
        <v>32</v>
      </c>
      <c r="N1064" s="325"/>
      <c r="P1064" s="309"/>
    </row>
    <row r="1065" spans="1:16" s="305" customFormat="1" ht="13" customHeight="1" outlineLevel="4">
      <c r="A1065" s="280">
        <v>4.5999999999999996</v>
      </c>
      <c r="B1065" s="358" t="s">
        <v>900</v>
      </c>
      <c r="C1065" s="282"/>
      <c r="D1065" s="283"/>
      <c r="E1065" s="283"/>
      <c r="F1065" s="283"/>
      <c r="G1065" s="283"/>
      <c r="H1065" s="283">
        <f>SUBTOTAL(9,H1066:H1072)</f>
        <v>0</v>
      </c>
      <c r="I1065" s="283"/>
      <c r="J1065" s="302" t="s">
        <v>21</v>
      </c>
      <c r="K1065" s="303"/>
      <c r="L1065" s="303"/>
      <c r="M1065" s="303" t="s">
        <v>32</v>
      </c>
      <c r="N1065" s="304"/>
      <c r="P1065" s="306"/>
    </row>
    <row r="1066" spans="1:16" s="308" customFormat="1" ht="14" outlineLevel="5">
      <c r="A1066" s="297" t="s">
        <v>8</v>
      </c>
      <c r="B1066" s="357" t="s">
        <v>901</v>
      </c>
      <c r="C1066" s="289" t="s">
        <v>879</v>
      </c>
      <c r="D1066" s="290"/>
      <c r="E1066" s="290"/>
      <c r="F1066" s="290"/>
      <c r="G1066" s="8">
        <f t="shared" ref="G1066:G1072" si="224">F1066*D1066</f>
        <v>0</v>
      </c>
      <c r="H1066" s="290">
        <f t="shared" ref="H1066:H1072" si="225">F1066*E1066</f>
        <v>0</v>
      </c>
      <c r="I1066" s="291"/>
      <c r="J1066" s="302" t="s">
        <v>21</v>
      </c>
      <c r="K1066" s="368" t="s">
        <v>128</v>
      </c>
      <c r="L1066" s="303" t="s">
        <v>99</v>
      </c>
      <c r="M1066" s="303" t="s">
        <v>32</v>
      </c>
      <c r="N1066" s="325"/>
      <c r="P1066" s="309"/>
    </row>
    <row r="1067" spans="1:16" s="308" customFormat="1" ht="14" outlineLevel="5">
      <c r="A1067" s="297" t="s">
        <v>8</v>
      </c>
      <c r="B1067" s="357" t="s">
        <v>893</v>
      </c>
      <c r="C1067" s="289" t="s">
        <v>148</v>
      </c>
      <c r="D1067" s="290"/>
      <c r="E1067" s="290"/>
      <c r="F1067" s="290"/>
      <c r="G1067" s="8">
        <f t="shared" si="224"/>
        <v>0</v>
      </c>
      <c r="H1067" s="290">
        <f t="shared" si="225"/>
        <v>0</v>
      </c>
      <c r="I1067" s="291"/>
      <c r="J1067" s="302" t="s">
        <v>21</v>
      </c>
      <c r="K1067" s="368" t="s">
        <v>128</v>
      </c>
      <c r="L1067" s="303" t="s">
        <v>99</v>
      </c>
      <c r="M1067" s="303" t="s">
        <v>32</v>
      </c>
      <c r="N1067" s="325"/>
      <c r="P1067" s="309"/>
    </row>
    <row r="1068" spans="1:16" s="308" customFormat="1" ht="14" outlineLevel="5">
      <c r="A1068" s="292" t="s">
        <v>8</v>
      </c>
      <c r="B1068" s="356" t="s">
        <v>894</v>
      </c>
      <c r="C1068" s="289" t="s">
        <v>148</v>
      </c>
      <c r="D1068" s="290"/>
      <c r="E1068" s="290"/>
      <c r="F1068" s="290"/>
      <c r="G1068" s="8">
        <f t="shared" si="224"/>
        <v>0</v>
      </c>
      <c r="H1068" s="290">
        <f t="shared" si="225"/>
        <v>0</v>
      </c>
      <c r="I1068" s="291"/>
      <c r="J1068" s="302" t="s">
        <v>21</v>
      </c>
      <c r="K1068" s="368" t="s">
        <v>128</v>
      </c>
      <c r="L1068" s="303" t="s">
        <v>99</v>
      </c>
      <c r="M1068" s="303" t="s">
        <v>32</v>
      </c>
      <c r="N1068" s="325"/>
      <c r="P1068" s="309"/>
    </row>
    <row r="1069" spans="1:16" s="308" customFormat="1" ht="14" outlineLevel="5">
      <c r="A1069" s="292" t="s">
        <v>8</v>
      </c>
      <c r="B1069" s="356" t="s">
        <v>856</v>
      </c>
      <c r="C1069" s="289" t="s">
        <v>148</v>
      </c>
      <c r="D1069" s="290"/>
      <c r="E1069" s="290"/>
      <c r="F1069" s="290"/>
      <c r="G1069" s="8">
        <f t="shared" si="224"/>
        <v>0</v>
      </c>
      <c r="H1069" s="290">
        <f t="shared" si="225"/>
        <v>0</v>
      </c>
      <c r="I1069" s="291"/>
      <c r="J1069" s="302" t="s">
        <v>21</v>
      </c>
      <c r="K1069" s="368" t="s">
        <v>128</v>
      </c>
      <c r="L1069" s="303" t="s">
        <v>99</v>
      </c>
      <c r="M1069" s="303" t="s">
        <v>32</v>
      </c>
      <c r="N1069" s="325"/>
      <c r="P1069" s="309"/>
    </row>
    <row r="1070" spans="1:16" s="308" customFormat="1" ht="14" outlineLevel="5">
      <c r="A1070" s="297" t="s">
        <v>8</v>
      </c>
      <c r="B1070" s="357" t="s">
        <v>382</v>
      </c>
      <c r="C1070" s="289" t="s">
        <v>148</v>
      </c>
      <c r="D1070" s="290"/>
      <c r="E1070" s="290"/>
      <c r="F1070" s="290"/>
      <c r="G1070" s="8">
        <f t="shared" si="224"/>
        <v>0</v>
      </c>
      <c r="H1070" s="290">
        <f t="shared" si="225"/>
        <v>0</v>
      </c>
      <c r="I1070" s="291"/>
      <c r="J1070" s="302" t="s">
        <v>21</v>
      </c>
      <c r="K1070" s="368" t="s">
        <v>128</v>
      </c>
      <c r="L1070" s="303" t="s">
        <v>99</v>
      </c>
      <c r="M1070" s="303" t="s">
        <v>32</v>
      </c>
      <c r="N1070" s="325"/>
      <c r="P1070" s="309"/>
    </row>
    <row r="1071" spans="1:16" s="308" customFormat="1" ht="14" outlineLevel="5">
      <c r="A1071" s="297" t="s">
        <v>8</v>
      </c>
      <c r="B1071" s="357" t="s">
        <v>384</v>
      </c>
      <c r="C1071" s="289" t="s">
        <v>148</v>
      </c>
      <c r="D1071" s="290"/>
      <c r="E1071" s="290"/>
      <c r="F1071" s="290"/>
      <c r="G1071" s="8">
        <f t="shared" si="224"/>
        <v>0</v>
      </c>
      <c r="H1071" s="290">
        <f t="shared" si="225"/>
        <v>0</v>
      </c>
      <c r="I1071" s="291"/>
      <c r="J1071" s="302" t="s">
        <v>21</v>
      </c>
      <c r="K1071" s="368" t="s">
        <v>128</v>
      </c>
      <c r="L1071" s="303" t="s">
        <v>99</v>
      </c>
      <c r="M1071" s="303" t="s">
        <v>32</v>
      </c>
      <c r="N1071" s="325"/>
      <c r="P1071" s="309"/>
    </row>
    <row r="1072" spans="1:16" s="308" customFormat="1" ht="14" outlineLevel="5">
      <c r="A1072" s="292" t="s">
        <v>8</v>
      </c>
      <c r="B1072" s="356" t="s">
        <v>902</v>
      </c>
      <c r="C1072" s="289" t="s">
        <v>880</v>
      </c>
      <c r="D1072" s="290"/>
      <c r="E1072" s="290"/>
      <c r="F1072" s="290"/>
      <c r="G1072" s="8">
        <f t="shared" si="224"/>
        <v>0</v>
      </c>
      <c r="H1072" s="290">
        <f t="shared" si="225"/>
        <v>0</v>
      </c>
      <c r="I1072" s="291"/>
      <c r="J1072" s="302" t="s">
        <v>21</v>
      </c>
      <c r="K1072" s="368" t="s">
        <v>128</v>
      </c>
      <c r="L1072" s="303" t="s">
        <v>99</v>
      </c>
      <c r="M1072" s="303" t="s">
        <v>32</v>
      </c>
      <c r="N1072" s="325"/>
      <c r="P1072" s="309"/>
    </row>
    <row r="1073" spans="1:16" s="305" customFormat="1" ht="13" customHeight="1" outlineLevel="4">
      <c r="A1073" s="280">
        <v>4.7</v>
      </c>
      <c r="B1073" s="358" t="s">
        <v>903</v>
      </c>
      <c r="C1073" s="282"/>
      <c r="D1073" s="283"/>
      <c r="E1073" s="283"/>
      <c r="F1073" s="283"/>
      <c r="G1073" s="283"/>
      <c r="H1073" s="283">
        <f>SUBTOTAL(9,H1074:H1080)</f>
        <v>0</v>
      </c>
      <c r="I1073" s="283"/>
      <c r="J1073" s="302" t="s">
        <v>21</v>
      </c>
      <c r="K1073" s="303"/>
      <c r="L1073" s="303"/>
      <c r="M1073" s="303" t="s">
        <v>32</v>
      </c>
      <c r="N1073" s="304"/>
      <c r="P1073" s="306"/>
    </row>
    <row r="1074" spans="1:16" s="308" customFormat="1" ht="14" outlineLevel="5">
      <c r="A1074" s="297" t="s">
        <v>8</v>
      </c>
      <c r="B1074" s="357" t="s">
        <v>904</v>
      </c>
      <c r="C1074" s="289" t="s">
        <v>23</v>
      </c>
      <c r="D1074" s="290"/>
      <c r="E1074" s="290"/>
      <c r="F1074" s="290"/>
      <c r="G1074" s="8">
        <f t="shared" ref="G1074:G1080" si="226">F1074*D1074</f>
        <v>0</v>
      </c>
      <c r="H1074" s="290">
        <f t="shared" ref="H1074:H1080" si="227">F1074*E1074</f>
        <v>0</v>
      </c>
      <c r="I1074" s="291"/>
      <c r="J1074" s="302" t="s">
        <v>21</v>
      </c>
      <c r="K1074" s="368" t="s">
        <v>128</v>
      </c>
      <c r="L1074" s="303" t="s">
        <v>99</v>
      </c>
      <c r="M1074" s="303" t="s">
        <v>32</v>
      </c>
      <c r="N1074" s="325"/>
      <c r="P1074" s="309"/>
    </row>
    <row r="1075" spans="1:16" s="308" customFormat="1" ht="14" outlineLevel="5">
      <c r="A1075" s="297" t="s">
        <v>8</v>
      </c>
      <c r="B1075" s="357" t="s">
        <v>885</v>
      </c>
      <c r="C1075" s="289" t="s">
        <v>23</v>
      </c>
      <c r="D1075" s="290"/>
      <c r="E1075" s="290"/>
      <c r="F1075" s="290"/>
      <c r="G1075" s="8">
        <f t="shared" si="226"/>
        <v>0</v>
      </c>
      <c r="H1075" s="290">
        <f t="shared" si="227"/>
        <v>0</v>
      </c>
      <c r="I1075" s="291"/>
      <c r="J1075" s="302" t="s">
        <v>21</v>
      </c>
      <c r="K1075" s="368" t="s">
        <v>128</v>
      </c>
      <c r="L1075" s="303" t="s">
        <v>99</v>
      </c>
      <c r="M1075" s="303" t="s">
        <v>32</v>
      </c>
      <c r="N1075" s="325"/>
      <c r="P1075" s="309"/>
    </row>
    <row r="1076" spans="1:16" s="308" customFormat="1" ht="14" outlineLevel="5">
      <c r="A1076" s="292" t="s">
        <v>8</v>
      </c>
      <c r="B1076" s="356" t="s">
        <v>905</v>
      </c>
      <c r="C1076" s="289" t="s">
        <v>23</v>
      </c>
      <c r="D1076" s="290"/>
      <c r="E1076" s="290"/>
      <c r="F1076" s="290"/>
      <c r="G1076" s="8">
        <f t="shared" si="226"/>
        <v>0</v>
      </c>
      <c r="H1076" s="290">
        <f t="shared" si="227"/>
        <v>0</v>
      </c>
      <c r="I1076" s="291"/>
      <c r="J1076" s="302" t="s">
        <v>21</v>
      </c>
      <c r="K1076" s="368" t="s">
        <v>128</v>
      </c>
      <c r="L1076" s="303" t="s">
        <v>99</v>
      </c>
      <c r="M1076" s="303" t="s">
        <v>32</v>
      </c>
      <c r="N1076" s="325"/>
      <c r="P1076" s="309"/>
    </row>
    <row r="1077" spans="1:16" s="308" customFormat="1" ht="14" outlineLevel="5">
      <c r="A1077" s="292" t="s">
        <v>8</v>
      </c>
      <c r="B1077" s="356" t="s">
        <v>855</v>
      </c>
      <c r="C1077" s="289" t="s">
        <v>148</v>
      </c>
      <c r="D1077" s="290"/>
      <c r="E1077" s="290"/>
      <c r="F1077" s="290"/>
      <c r="G1077" s="8">
        <f t="shared" si="226"/>
        <v>0</v>
      </c>
      <c r="H1077" s="290">
        <f t="shared" si="227"/>
        <v>0</v>
      </c>
      <c r="I1077" s="291"/>
      <c r="J1077" s="302" t="s">
        <v>21</v>
      </c>
      <c r="K1077" s="368" t="s">
        <v>128</v>
      </c>
      <c r="L1077" s="303" t="s">
        <v>99</v>
      </c>
      <c r="M1077" s="303" t="s">
        <v>32</v>
      </c>
      <c r="N1077" s="325"/>
      <c r="P1077" s="309"/>
    </row>
    <row r="1078" spans="1:16" s="308" customFormat="1" ht="14" outlineLevel="5">
      <c r="A1078" s="297" t="s">
        <v>8</v>
      </c>
      <c r="B1078" s="357" t="s">
        <v>894</v>
      </c>
      <c r="C1078" s="289" t="s">
        <v>148</v>
      </c>
      <c r="D1078" s="290"/>
      <c r="E1078" s="290"/>
      <c r="F1078" s="290"/>
      <c r="G1078" s="8">
        <f t="shared" si="226"/>
        <v>0</v>
      </c>
      <c r="H1078" s="290">
        <f t="shared" si="227"/>
        <v>0</v>
      </c>
      <c r="I1078" s="291"/>
      <c r="J1078" s="302" t="s">
        <v>21</v>
      </c>
      <c r="K1078" s="368" t="s">
        <v>128</v>
      </c>
      <c r="L1078" s="303" t="s">
        <v>99</v>
      </c>
      <c r="M1078" s="303" t="s">
        <v>32</v>
      </c>
      <c r="N1078" s="325"/>
      <c r="P1078" s="309"/>
    </row>
    <row r="1079" spans="1:16" s="308" customFormat="1" ht="14" outlineLevel="5">
      <c r="A1079" s="297" t="s">
        <v>8</v>
      </c>
      <c r="B1079" s="357" t="s">
        <v>856</v>
      </c>
      <c r="C1079" s="289" t="s">
        <v>148</v>
      </c>
      <c r="D1079" s="290"/>
      <c r="E1079" s="290"/>
      <c r="F1079" s="290"/>
      <c r="G1079" s="8">
        <f t="shared" si="226"/>
        <v>0</v>
      </c>
      <c r="H1079" s="290">
        <f t="shared" si="227"/>
        <v>0</v>
      </c>
      <c r="I1079" s="291"/>
      <c r="J1079" s="302" t="s">
        <v>21</v>
      </c>
      <c r="K1079" s="368" t="s">
        <v>128</v>
      </c>
      <c r="L1079" s="303" t="s">
        <v>99</v>
      </c>
      <c r="M1079" s="303" t="s">
        <v>32</v>
      </c>
      <c r="N1079" s="325"/>
      <c r="P1079" s="309"/>
    </row>
    <row r="1080" spans="1:16" s="308" customFormat="1" ht="14" outlineLevel="5">
      <c r="A1080" s="292" t="s">
        <v>8</v>
      </c>
      <c r="B1080" s="356" t="s">
        <v>853</v>
      </c>
      <c r="C1080" s="289" t="s">
        <v>880</v>
      </c>
      <c r="D1080" s="290"/>
      <c r="E1080" s="290"/>
      <c r="F1080" s="290"/>
      <c r="G1080" s="8">
        <f t="shared" si="226"/>
        <v>0</v>
      </c>
      <c r="H1080" s="290">
        <f t="shared" si="227"/>
        <v>0</v>
      </c>
      <c r="I1080" s="291"/>
      <c r="J1080" s="302" t="s">
        <v>21</v>
      </c>
      <c r="K1080" s="368" t="s">
        <v>128</v>
      </c>
      <c r="L1080" s="303" t="s">
        <v>99</v>
      </c>
      <c r="M1080" s="303" t="s">
        <v>32</v>
      </c>
      <c r="N1080" s="325"/>
      <c r="P1080" s="309"/>
    </row>
    <row r="1081" spans="1:16" s="305" customFormat="1" ht="13" customHeight="1" outlineLevel="4">
      <c r="A1081" s="280">
        <v>4.8</v>
      </c>
      <c r="B1081" s="358" t="s">
        <v>906</v>
      </c>
      <c r="C1081" s="282"/>
      <c r="D1081" s="283"/>
      <c r="E1081" s="283"/>
      <c r="F1081" s="283"/>
      <c r="G1081" s="283"/>
      <c r="H1081" s="283"/>
      <c r="I1081" s="283"/>
      <c r="J1081" s="302" t="s">
        <v>21</v>
      </c>
      <c r="K1081" s="303"/>
      <c r="L1081" s="303"/>
      <c r="M1081" s="303" t="s">
        <v>32</v>
      </c>
      <c r="N1081" s="304"/>
      <c r="P1081" s="306"/>
    </row>
    <row r="1082" spans="1:16" s="308" customFormat="1" ht="14" outlineLevel="5">
      <c r="A1082" s="297" t="s">
        <v>8</v>
      </c>
      <c r="B1082" s="357" t="s">
        <v>378</v>
      </c>
      <c r="C1082" s="289" t="s">
        <v>31</v>
      </c>
      <c r="D1082" s="354"/>
      <c r="E1082" s="290"/>
      <c r="F1082" s="290"/>
      <c r="G1082" s="8">
        <f t="shared" ref="G1082:G1086" si="228">F1082*D1082</f>
        <v>0</v>
      </c>
      <c r="H1082" s="290">
        <f t="shared" ref="H1082:H1086" si="229">F1082*E1082</f>
        <v>0</v>
      </c>
      <c r="I1082" s="291"/>
      <c r="J1082" s="302" t="s">
        <v>21</v>
      </c>
      <c r="K1082" s="368" t="s">
        <v>128</v>
      </c>
      <c r="L1082" s="303" t="s">
        <v>99</v>
      </c>
      <c r="M1082" s="303" t="s">
        <v>32</v>
      </c>
      <c r="N1082" s="325"/>
      <c r="P1082" s="309"/>
    </row>
    <row r="1083" spans="1:16" s="308" customFormat="1" ht="14" outlineLevel="5">
      <c r="A1083" s="297" t="s">
        <v>8</v>
      </c>
      <c r="B1083" s="357" t="s">
        <v>379</v>
      </c>
      <c r="C1083" s="289" t="s">
        <v>380</v>
      </c>
      <c r="D1083" s="354"/>
      <c r="E1083" s="290"/>
      <c r="F1083" s="290"/>
      <c r="G1083" s="8">
        <f t="shared" si="228"/>
        <v>0</v>
      </c>
      <c r="H1083" s="290">
        <f t="shared" si="229"/>
        <v>0</v>
      </c>
      <c r="I1083" s="291"/>
      <c r="J1083" s="302" t="s">
        <v>21</v>
      </c>
      <c r="K1083" s="368" t="s">
        <v>128</v>
      </c>
      <c r="L1083" s="303" t="s">
        <v>99</v>
      </c>
      <c r="M1083" s="303" t="s">
        <v>32</v>
      </c>
      <c r="N1083" s="325"/>
      <c r="P1083" s="309"/>
    </row>
    <row r="1084" spans="1:16" s="308" customFormat="1" ht="14" outlineLevel="5">
      <c r="A1084" s="292" t="s">
        <v>8</v>
      </c>
      <c r="B1084" s="356" t="s">
        <v>381</v>
      </c>
      <c r="C1084" s="289" t="s">
        <v>380</v>
      </c>
      <c r="D1084" s="354"/>
      <c r="E1084" s="290"/>
      <c r="F1084" s="290"/>
      <c r="G1084" s="8">
        <f t="shared" si="228"/>
        <v>0</v>
      </c>
      <c r="H1084" s="290">
        <f t="shared" si="229"/>
        <v>0</v>
      </c>
      <c r="I1084" s="291"/>
      <c r="J1084" s="302" t="s">
        <v>21</v>
      </c>
      <c r="K1084" s="368" t="s">
        <v>128</v>
      </c>
      <c r="L1084" s="303" t="s">
        <v>99</v>
      </c>
      <c r="M1084" s="303" t="s">
        <v>32</v>
      </c>
      <c r="N1084" s="325"/>
      <c r="P1084" s="309"/>
    </row>
    <row r="1085" spans="1:16" s="308" customFormat="1" ht="14" outlineLevel="5">
      <c r="A1085" s="292" t="s">
        <v>8</v>
      </c>
      <c r="B1085" s="356" t="s">
        <v>382</v>
      </c>
      <c r="C1085" s="289" t="s">
        <v>880</v>
      </c>
      <c r="D1085" s="354"/>
      <c r="E1085" s="290"/>
      <c r="F1085" s="290"/>
      <c r="G1085" s="8">
        <f t="shared" si="228"/>
        <v>0</v>
      </c>
      <c r="H1085" s="290">
        <f t="shared" si="229"/>
        <v>0</v>
      </c>
      <c r="I1085" s="291"/>
      <c r="J1085" s="302" t="s">
        <v>21</v>
      </c>
      <c r="K1085" s="368" t="s">
        <v>128</v>
      </c>
      <c r="L1085" s="303" t="s">
        <v>99</v>
      </c>
      <c r="M1085" s="303" t="s">
        <v>32</v>
      </c>
      <c r="N1085" s="325"/>
      <c r="P1085" s="309"/>
    </row>
    <row r="1086" spans="1:16" s="308" customFormat="1" ht="14" outlineLevel="5">
      <c r="A1086" s="297" t="s">
        <v>8</v>
      </c>
      <c r="B1086" s="357" t="s">
        <v>384</v>
      </c>
      <c r="C1086" s="289" t="s">
        <v>880</v>
      </c>
      <c r="D1086" s="354"/>
      <c r="E1086" s="290"/>
      <c r="F1086" s="290"/>
      <c r="G1086" s="8">
        <f t="shared" si="228"/>
        <v>0</v>
      </c>
      <c r="H1086" s="290">
        <f t="shared" si="229"/>
        <v>0</v>
      </c>
      <c r="I1086" s="291"/>
      <c r="J1086" s="302" t="s">
        <v>21</v>
      </c>
      <c r="K1086" s="368" t="s">
        <v>128</v>
      </c>
      <c r="L1086" s="303" t="s">
        <v>99</v>
      </c>
      <c r="M1086" s="303" t="s">
        <v>32</v>
      </c>
      <c r="N1086" s="325"/>
      <c r="P1086" s="309"/>
    </row>
    <row r="1087" spans="1:16" s="305" customFormat="1" ht="14" outlineLevel="1">
      <c r="A1087" s="280" t="s">
        <v>268</v>
      </c>
      <c r="B1087" s="242" t="s">
        <v>324</v>
      </c>
      <c r="C1087" s="282"/>
      <c r="D1087" s="283"/>
      <c r="E1087" s="283"/>
      <c r="F1087" s="283"/>
      <c r="G1087" s="283">
        <f>SUBTOTAL(9,G1088:G1351)</f>
        <v>2078364.4620000001</v>
      </c>
      <c r="H1087" s="283">
        <f>SUBTOTAL(9,H1088:H1351)</f>
        <v>3033572.0162000009</v>
      </c>
      <c r="I1087" s="283"/>
      <c r="J1087" s="302" t="s">
        <v>21</v>
      </c>
      <c r="K1087" s="303"/>
      <c r="L1087" s="303"/>
      <c r="M1087" s="304"/>
      <c r="N1087" s="304"/>
      <c r="P1087" s="306"/>
    </row>
    <row r="1088" spans="1:16" s="305" customFormat="1" ht="14" outlineLevel="1">
      <c r="A1088" s="280" t="s">
        <v>41</v>
      </c>
      <c r="B1088" s="242" t="s">
        <v>69</v>
      </c>
      <c r="C1088" s="282"/>
      <c r="D1088" s="283"/>
      <c r="E1088" s="283"/>
      <c r="F1088" s="283"/>
      <c r="G1088" s="283">
        <f>SUBTOTAL(9,G1089:G1126)</f>
        <v>1310769</v>
      </c>
      <c r="H1088" s="283">
        <f>SUBTOTAL(9,H1089:H1126)</f>
        <v>1457269</v>
      </c>
      <c r="I1088" s="283"/>
      <c r="J1088" s="302" t="s">
        <v>21</v>
      </c>
      <c r="K1088" s="303"/>
      <c r="L1088" s="303"/>
      <c r="M1088" s="303" t="s">
        <v>147</v>
      </c>
      <c r="N1088" s="304"/>
      <c r="P1088" s="306"/>
    </row>
    <row r="1089" spans="1:16" s="305" customFormat="1" ht="14" outlineLevel="1">
      <c r="A1089" s="280">
        <v>1</v>
      </c>
      <c r="B1089" s="242" t="s">
        <v>766</v>
      </c>
      <c r="C1089" s="282"/>
      <c r="D1089" s="283"/>
      <c r="E1089" s="283"/>
      <c r="F1089" s="283"/>
      <c r="G1089" s="283"/>
      <c r="H1089" s="283"/>
      <c r="I1089" s="283"/>
      <c r="J1089" s="302" t="s">
        <v>21</v>
      </c>
      <c r="K1089" s="303"/>
      <c r="L1089" s="303"/>
      <c r="M1089" s="303" t="s">
        <v>147</v>
      </c>
      <c r="N1089" s="304"/>
      <c r="P1089" s="306"/>
    </row>
    <row r="1090" spans="1:16" s="308" customFormat="1" ht="14" outlineLevel="2">
      <c r="A1090" s="297" t="s">
        <v>8</v>
      </c>
      <c r="B1090" s="370" t="s">
        <v>767</v>
      </c>
      <c r="C1090" s="289" t="s">
        <v>15</v>
      </c>
      <c r="D1090" s="290">
        <v>30</v>
      </c>
      <c r="E1090" s="290">
        <v>30</v>
      </c>
      <c r="F1090" s="290">
        <v>600</v>
      </c>
      <c r="G1090" s="8">
        <f t="shared" ref="G1090:G1102" si="230">F1090*D1090</f>
        <v>18000</v>
      </c>
      <c r="H1090" s="290">
        <f t="shared" ref="H1090:H1096" si="231">F1090*E1090</f>
        <v>18000</v>
      </c>
      <c r="I1090" s="291"/>
      <c r="J1090" s="302" t="s">
        <v>21</v>
      </c>
      <c r="K1090" s="303" t="s">
        <v>325</v>
      </c>
      <c r="L1090" s="303" t="s">
        <v>99</v>
      </c>
      <c r="M1090" s="303" t="s">
        <v>147</v>
      </c>
      <c r="N1090" s="303"/>
      <c r="P1090" s="309"/>
    </row>
    <row r="1091" spans="1:16" s="308" customFormat="1" ht="14" outlineLevel="2">
      <c r="A1091" s="297" t="s">
        <v>8</v>
      </c>
      <c r="B1091" s="307" t="s">
        <v>768</v>
      </c>
      <c r="C1091" s="289" t="s">
        <v>15</v>
      </c>
      <c r="D1091" s="290">
        <v>30</v>
      </c>
      <c r="E1091" s="290">
        <v>30</v>
      </c>
      <c r="F1091" s="290">
        <v>80</v>
      </c>
      <c r="G1091" s="8">
        <f t="shared" si="230"/>
        <v>2400</v>
      </c>
      <c r="H1091" s="290">
        <f t="shared" si="231"/>
        <v>2400</v>
      </c>
      <c r="I1091" s="291"/>
      <c r="J1091" s="302" t="s">
        <v>21</v>
      </c>
      <c r="K1091" s="303" t="s">
        <v>325</v>
      </c>
      <c r="L1091" s="303" t="s">
        <v>99</v>
      </c>
      <c r="M1091" s="303" t="s">
        <v>147</v>
      </c>
      <c r="N1091" s="303"/>
      <c r="P1091" s="309"/>
    </row>
    <row r="1092" spans="1:16" s="308" customFormat="1" ht="14" outlineLevel="2">
      <c r="A1092" s="297" t="s">
        <v>8</v>
      </c>
      <c r="B1092" s="307" t="s">
        <v>769</v>
      </c>
      <c r="C1092" s="289" t="s">
        <v>15</v>
      </c>
      <c r="D1092" s="290">
        <v>30</v>
      </c>
      <c r="E1092" s="290">
        <v>30</v>
      </c>
      <c r="F1092" s="290">
        <v>100</v>
      </c>
      <c r="G1092" s="8">
        <f t="shared" si="230"/>
        <v>3000</v>
      </c>
      <c r="H1092" s="290">
        <f t="shared" si="231"/>
        <v>3000</v>
      </c>
      <c r="I1092" s="291"/>
      <c r="J1092" s="302" t="s">
        <v>21</v>
      </c>
      <c r="K1092" s="303" t="s">
        <v>325</v>
      </c>
      <c r="L1092" s="303" t="s">
        <v>99</v>
      </c>
      <c r="M1092" s="303" t="s">
        <v>147</v>
      </c>
      <c r="N1092" s="303"/>
      <c r="P1092" s="309"/>
    </row>
    <row r="1093" spans="1:16" s="308" customFormat="1" ht="14" outlineLevel="2">
      <c r="A1093" s="297" t="s">
        <v>8</v>
      </c>
      <c r="B1093" s="307" t="s">
        <v>770</v>
      </c>
      <c r="C1093" s="289" t="s">
        <v>15</v>
      </c>
      <c r="D1093" s="290">
        <v>15</v>
      </c>
      <c r="E1093" s="290">
        <v>15</v>
      </c>
      <c r="F1093" s="290">
        <v>150</v>
      </c>
      <c r="G1093" s="8">
        <f t="shared" si="230"/>
        <v>2250</v>
      </c>
      <c r="H1093" s="290">
        <f t="shared" si="231"/>
        <v>2250</v>
      </c>
      <c r="I1093" s="291"/>
      <c r="J1093" s="302" t="s">
        <v>21</v>
      </c>
      <c r="K1093" s="303" t="s">
        <v>325</v>
      </c>
      <c r="L1093" s="303" t="s">
        <v>99</v>
      </c>
      <c r="M1093" s="303" t="s">
        <v>147</v>
      </c>
      <c r="N1093" s="303"/>
      <c r="P1093" s="309"/>
    </row>
    <row r="1094" spans="1:16" s="308" customFormat="1" ht="14" outlineLevel="2">
      <c r="A1094" s="297" t="s">
        <v>8</v>
      </c>
      <c r="B1094" s="370" t="s">
        <v>771</v>
      </c>
      <c r="C1094" s="289" t="s">
        <v>15</v>
      </c>
      <c r="D1094" s="290">
        <v>20</v>
      </c>
      <c r="E1094" s="290">
        <v>20</v>
      </c>
      <c r="F1094" s="290">
        <v>150</v>
      </c>
      <c r="G1094" s="8">
        <f t="shared" si="230"/>
        <v>3000</v>
      </c>
      <c r="H1094" s="290">
        <f t="shared" si="231"/>
        <v>3000</v>
      </c>
      <c r="I1094" s="291"/>
      <c r="J1094" s="302" t="s">
        <v>21</v>
      </c>
      <c r="K1094" s="303" t="s">
        <v>325</v>
      </c>
      <c r="L1094" s="303" t="s">
        <v>99</v>
      </c>
      <c r="M1094" s="303" t="s">
        <v>147</v>
      </c>
      <c r="N1094" s="303"/>
      <c r="P1094" s="309"/>
    </row>
    <row r="1095" spans="1:16" s="308" customFormat="1" ht="14" outlineLevel="2">
      <c r="A1095" s="297" t="s">
        <v>8</v>
      </c>
      <c r="B1095" s="307" t="s">
        <v>772</v>
      </c>
      <c r="C1095" s="289" t="s">
        <v>15</v>
      </c>
      <c r="D1095" s="290">
        <v>15</v>
      </c>
      <c r="E1095" s="290">
        <v>15</v>
      </c>
      <c r="F1095" s="290">
        <v>300</v>
      </c>
      <c r="G1095" s="8">
        <f t="shared" si="230"/>
        <v>4500</v>
      </c>
      <c r="H1095" s="290">
        <f t="shared" si="231"/>
        <v>4500</v>
      </c>
      <c r="I1095" s="291"/>
      <c r="J1095" s="302" t="s">
        <v>21</v>
      </c>
      <c r="K1095" s="303" t="s">
        <v>325</v>
      </c>
      <c r="L1095" s="303" t="s">
        <v>99</v>
      </c>
      <c r="M1095" s="303" t="s">
        <v>147</v>
      </c>
      <c r="N1095" s="303"/>
      <c r="P1095" s="309"/>
    </row>
    <row r="1096" spans="1:16" s="308" customFormat="1" ht="14" outlineLevel="2">
      <c r="A1096" s="297" t="s">
        <v>8</v>
      </c>
      <c r="B1096" s="307" t="s">
        <v>773</v>
      </c>
      <c r="C1096" s="289" t="s">
        <v>15</v>
      </c>
      <c r="D1096" s="290">
        <v>15</v>
      </c>
      <c r="E1096" s="290">
        <v>15</v>
      </c>
      <c r="F1096" s="290">
        <v>300</v>
      </c>
      <c r="G1096" s="8">
        <f t="shared" si="230"/>
        <v>4500</v>
      </c>
      <c r="H1096" s="290">
        <f t="shared" si="231"/>
        <v>4500</v>
      </c>
      <c r="I1096" s="291"/>
      <c r="J1096" s="302" t="s">
        <v>21</v>
      </c>
      <c r="K1096" s="303" t="s">
        <v>325</v>
      </c>
      <c r="L1096" s="303" t="s">
        <v>99</v>
      </c>
      <c r="M1096" s="303" t="s">
        <v>147</v>
      </c>
      <c r="N1096" s="303"/>
      <c r="P1096" s="309"/>
    </row>
    <row r="1097" spans="1:16" s="308" customFormat="1" ht="14" outlineLevel="2">
      <c r="A1097" s="297" t="s">
        <v>8</v>
      </c>
      <c r="B1097" s="370" t="s">
        <v>774</v>
      </c>
      <c r="C1097" s="289" t="s">
        <v>15</v>
      </c>
      <c r="D1097" s="290">
        <v>15</v>
      </c>
      <c r="E1097" s="290">
        <v>15</v>
      </c>
      <c r="F1097" s="290">
        <v>100</v>
      </c>
      <c r="G1097" s="8">
        <f t="shared" si="230"/>
        <v>1500</v>
      </c>
      <c r="H1097" s="290">
        <f t="shared" ref="H1097:H1100" si="232">F1097*E1097</f>
        <v>1500</v>
      </c>
      <c r="I1097" s="291"/>
      <c r="J1097" s="302" t="s">
        <v>21</v>
      </c>
      <c r="K1097" s="303" t="s">
        <v>325</v>
      </c>
      <c r="L1097" s="303" t="s">
        <v>99</v>
      </c>
      <c r="M1097" s="303" t="s">
        <v>147</v>
      </c>
      <c r="N1097" s="303"/>
      <c r="P1097" s="309"/>
    </row>
    <row r="1098" spans="1:16" s="308" customFormat="1" ht="14" outlineLevel="2">
      <c r="A1098" s="297" t="s">
        <v>8</v>
      </c>
      <c r="B1098" s="307" t="s">
        <v>775</v>
      </c>
      <c r="C1098" s="289" t="s">
        <v>15</v>
      </c>
      <c r="D1098" s="290">
        <v>15</v>
      </c>
      <c r="E1098" s="290">
        <v>15</v>
      </c>
      <c r="F1098" s="290">
        <v>100</v>
      </c>
      <c r="G1098" s="8">
        <f t="shared" si="230"/>
        <v>1500</v>
      </c>
      <c r="H1098" s="290">
        <f t="shared" si="232"/>
        <v>1500</v>
      </c>
      <c r="I1098" s="291"/>
      <c r="J1098" s="302" t="s">
        <v>21</v>
      </c>
      <c r="K1098" s="303" t="s">
        <v>325</v>
      </c>
      <c r="L1098" s="303" t="s">
        <v>99</v>
      </c>
      <c r="M1098" s="303" t="s">
        <v>147</v>
      </c>
      <c r="N1098" s="303"/>
      <c r="P1098" s="309"/>
    </row>
    <row r="1099" spans="1:16" s="308" customFormat="1" ht="14" outlineLevel="2">
      <c r="A1099" s="297" t="s">
        <v>8</v>
      </c>
      <c r="B1099" s="307" t="s">
        <v>776</v>
      </c>
      <c r="C1099" s="289" t="s">
        <v>15</v>
      </c>
      <c r="D1099" s="290">
        <v>30</v>
      </c>
      <c r="E1099" s="290">
        <v>30</v>
      </c>
      <c r="F1099" s="290">
        <v>500</v>
      </c>
      <c r="G1099" s="8">
        <f t="shared" si="230"/>
        <v>15000</v>
      </c>
      <c r="H1099" s="290">
        <f t="shared" si="232"/>
        <v>15000</v>
      </c>
      <c r="I1099" s="291"/>
      <c r="J1099" s="302" t="s">
        <v>21</v>
      </c>
      <c r="K1099" s="303" t="s">
        <v>325</v>
      </c>
      <c r="L1099" s="303" t="s">
        <v>99</v>
      </c>
      <c r="M1099" s="303" t="s">
        <v>147</v>
      </c>
      <c r="N1099" s="303"/>
      <c r="P1099" s="309"/>
    </row>
    <row r="1100" spans="1:16" s="308" customFormat="1" ht="14" outlineLevel="2">
      <c r="A1100" s="297" t="s">
        <v>8</v>
      </c>
      <c r="B1100" s="307" t="s">
        <v>777</v>
      </c>
      <c r="C1100" s="289" t="s">
        <v>15</v>
      </c>
      <c r="D1100" s="290">
        <v>30</v>
      </c>
      <c r="E1100" s="290">
        <v>30</v>
      </c>
      <c r="F1100" s="290">
        <v>500</v>
      </c>
      <c r="G1100" s="8">
        <f t="shared" si="230"/>
        <v>15000</v>
      </c>
      <c r="H1100" s="290">
        <f t="shared" si="232"/>
        <v>15000</v>
      </c>
      <c r="I1100" s="291"/>
      <c r="J1100" s="302" t="s">
        <v>21</v>
      </c>
      <c r="K1100" s="303" t="s">
        <v>325</v>
      </c>
      <c r="L1100" s="303" t="s">
        <v>99</v>
      </c>
      <c r="M1100" s="303" t="s">
        <v>147</v>
      </c>
      <c r="N1100" s="303"/>
      <c r="P1100" s="309"/>
    </row>
    <row r="1101" spans="1:16" s="308" customFormat="1" ht="14" outlineLevel="2">
      <c r="A1101" s="297" t="s">
        <v>8</v>
      </c>
      <c r="B1101" s="370" t="s">
        <v>778</v>
      </c>
      <c r="C1101" s="289" t="s">
        <v>15</v>
      </c>
      <c r="D1101" s="290">
        <v>30</v>
      </c>
      <c r="E1101" s="290">
        <v>30</v>
      </c>
      <c r="F1101" s="290">
        <v>100</v>
      </c>
      <c r="G1101" s="8">
        <f t="shared" si="230"/>
        <v>3000</v>
      </c>
      <c r="H1101" s="290">
        <f t="shared" ref="H1101:H1102" si="233">F1101*E1101</f>
        <v>3000</v>
      </c>
      <c r="I1101" s="291"/>
      <c r="J1101" s="302" t="s">
        <v>21</v>
      </c>
      <c r="K1101" s="303" t="s">
        <v>325</v>
      </c>
      <c r="L1101" s="303" t="s">
        <v>99</v>
      </c>
      <c r="M1101" s="303" t="s">
        <v>147</v>
      </c>
      <c r="N1101" s="303"/>
      <c r="P1101" s="309"/>
    </row>
    <row r="1102" spans="1:16" s="308" customFormat="1" ht="14" outlineLevel="2">
      <c r="A1102" s="297" t="s">
        <v>8</v>
      </c>
      <c r="B1102" s="307" t="s">
        <v>779</v>
      </c>
      <c r="C1102" s="289" t="s">
        <v>15</v>
      </c>
      <c r="D1102" s="290">
        <v>30</v>
      </c>
      <c r="E1102" s="290">
        <v>30</v>
      </c>
      <c r="F1102" s="290">
        <v>100</v>
      </c>
      <c r="G1102" s="8">
        <f t="shared" si="230"/>
        <v>3000</v>
      </c>
      <c r="H1102" s="290">
        <f t="shared" si="233"/>
        <v>3000</v>
      </c>
      <c r="I1102" s="291"/>
      <c r="J1102" s="302" t="s">
        <v>21</v>
      </c>
      <c r="K1102" s="303" t="s">
        <v>325</v>
      </c>
      <c r="L1102" s="303" t="s">
        <v>99</v>
      </c>
      <c r="M1102" s="303" t="s">
        <v>147</v>
      </c>
      <c r="N1102" s="303"/>
      <c r="P1102" s="309"/>
    </row>
    <row r="1103" spans="1:16" s="305" customFormat="1" ht="14" outlineLevel="1">
      <c r="A1103" s="280">
        <v>2</v>
      </c>
      <c r="B1103" s="242" t="s">
        <v>780</v>
      </c>
      <c r="C1103" s="282"/>
      <c r="D1103" s="283"/>
      <c r="E1103" s="283"/>
      <c r="F1103" s="283"/>
      <c r="G1103" s="283"/>
      <c r="H1103" s="283"/>
      <c r="I1103" s="283"/>
      <c r="J1103" s="302" t="s">
        <v>21</v>
      </c>
      <c r="K1103" s="303"/>
      <c r="L1103" s="303"/>
      <c r="M1103" s="303" t="s">
        <v>147</v>
      </c>
      <c r="N1103" s="304"/>
      <c r="P1103" s="306"/>
    </row>
    <row r="1104" spans="1:16" s="308" customFormat="1" ht="14" outlineLevel="2">
      <c r="A1104" s="297" t="s">
        <v>8</v>
      </c>
      <c r="B1104" s="370" t="s">
        <v>781</v>
      </c>
      <c r="C1104" s="289" t="s">
        <v>30</v>
      </c>
      <c r="D1104" s="290">
        <v>510</v>
      </c>
      <c r="E1104" s="290">
        <v>510</v>
      </c>
      <c r="F1104" s="290">
        <v>550</v>
      </c>
      <c r="G1104" s="8">
        <f t="shared" ref="G1104:G1108" si="234">F1104*D1104</f>
        <v>280500</v>
      </c>
      <c r="H1104" s="290">
        <f t="shared" ref="H1104:H1108" si="235">F1104*E1104</f>
        <v>280500</v>
      </c>
      <c r="I1104" s="291"/>
      <c r="J1104" s="302" t="s">
        <v>21</v>
      </c>
      <c r="K1104" s="303" t="s">
        <v>325</v>
      </c>
      <c r="L1104" s="303" t="s">
        <v>99</v>
      </c>
      <c r="M1104" s="303" t="s">
        <v>147</v>
      </c>
      <c r="N1104" s="303"/>
      <c r="P1104" s="309"/>
    </row>
    <row r="1105" spans="1:16" s="308" customFormat="1" ht="14" outlineLevel="2">
      <c r="A1105" s="297" t="s">
        <v>8</v>
      </c>
      <c r="B1105" s="307" t="s">
        <v>782</v>
      </c>
      <c r="C1105" s="289" t="s">
        <v>30</v>
      </c>
      <c r="D1105" s="290">
        <v>450</v>
      </c>
      <c r="E1105" s="290">
        <v>450</v>
      </c>
      <c r="F1105" s="290">
        <v>918.1</v>
      </c>
      <c r="G1105" s="8">
        <f t="shared" si="234"/>
        <v>413145</v>
      </c>
      <c r="H1105" s="290">
        <f t="shared" si="235"/>
        <v>413145</v>
      </c>
      <c r="I1105" s="291"/>
      <c r="J1105" s="302" t="s">
        <v>21</v>
      </c>
      <c r="K1105" s="303" t="s">
        <v>325</v>
      </c>
      <c r="L1105" s="303" t="s">
        <v>99</v>
      </c>
      <c r="M1105" s="303" t="s">
        <v>147</v>
      </c>
      <c r="N1105" s="303"/>
      <c r="P1105" s="309"/>
    </row>
    <row r="1106" spans="1:16" s="308" customFormat="1" ht="14" outlineLevel="2">
      <c r="A1106" s="297" t="s">
        <v>8</v>
      </c>
      <c r="B1106" s="307" t="s">
        <v>783</v>
      </c>
      <c r="C1106" s="289" t="s">
        <v>30</v>
      </c>
      <c r="D1106" s="290">
        <v>60</v>
      </c>
      <c r="E1106" s="290">
        <v>60</v>
      </c>
      <c r="F1106" s="290">
        <v>1032.9000000000001</v>
      </c>
      <c r="G1106" s="8">
        <f t="shared" si="234"/>
        <v>61974.000000000007</v>
      </c>
      <c r="H1106" s="290">
        <f t="shared" si="235"/>
        <v>61974.000000000007</v>
      </c>
      <c r="I1106" s="291"/>
      <c r="J1106" s="302" t="s">
        <v>21</v>
      </c>
      <c r="K1106" s="303" t="s">
        <v>325</v>
      </c>
      <c r="L1106" s="303" t="s">
        <v>99</v>
      </c>
      <c r="M1106" s="303" t="s">
        <v>147</v>
      </c>
      <c r="N1106" s="303"/>
      <c r="P1106" s="309"/>
    </row>
    <row r="1107" spans="1:16" s="308" customFormat="1" ht="14" outlineLevel="2">
      <c r="A1107" s="297" t="s">
        <v>8</v>
      </c>
      <c r="B1107" s="307" t="s">
        <v>784</v>
      </c>
      <c r="C1107" s="289" t="s">
        <v>36</v>
      </c>
      <c r="D1107" s="290">
        <v>3000</v>
      </c>
      <c r="E1107" s="290">
        <v>3000</v>
      </c>
      <c r="F1107" s="290">
        <v>9.5</v>
      </c>
      <c r="G1107" s="8">
        <f t="shared" si="234"/>
        <v>28500</v>
      </c>
      <c r="H1107" s="290">
        <f t="shared" si="235"/>
        <v>28500</v>
      </c>
      <c r="I1107" s="291"/>
      <c r="J1107" s="302" t="s">
        <v>21</v>
      </c>
      <c r="K1107" s="303" t="s">
        <v>325</v>
      </c>
      <c r="L1107" s="303" t="s">
        <v>99</v>
      </c>
      <c r="M1107" s="303" t="s">
        <v>147</v>
      </c>
      <c r="N1107" s="303"/>
      <c r="P1107" s="309"/>
    </row>
    <row r="1108" spans="1:16" s="308" customFormat="1" ht="14" outlineLevel="2">
      <c r="A1108" s="297" t="s">
        <v>8</v>
      </c>
      <c r="B1108" s="370" t="s">
        <v>785</v>
      </c>
      <c r="C1108" s="289" t="s">
        <v>36</v>
      </c>
      <c r="D1108" s="290">
        <v>3000</v>
      </c>
      <c r="E1108" s="290">
        <v>3000</v>
      </c>
      <c r="F1108" s="290">
        <v>10</v>
      </c>
      <c r="G1108" s="8">
        <f t="shared" si="234"/>
        <v>30000</v>
      </c>
      <c r="H1108" s="290">
        <f t="shared" si="235"/>
        <v>30000</v>
      </c>
      <c r="I1108" s="291"/>
      <c r="J1108" s="302" t="s">
        <v>21</v>
      </c>
      <c r="K1108" s="303" t="s">
        <v>325</v>
      </c>
      <c r="L1108" s="303" t="s">
        <v>99</v>
      </c>
      <c r="M1108" s="303" t="s">
        <v>147</v>
      </c>
      <c r="N1108" s="303"/>
      <c r="P1108" s="309"/>
    </row>
    <row r="1109" spans="1:16" s="305" customFormat="1" ht="14" outlineLevel="1">
      <c r="A1109" s="280">
        <v>1</v>
      </c>
      <c r="B1109" s="242" t="s">
        <v>99</v>
      </c>
      <c r="C1109" s="282"/>
      <c r="D1109" s="283"/>
      <c r="E1109" s="283"/>
      <c r="F1109" s="283"/>
      <c r="G1109" s="283">
        <f>SUBTOTAL(9,G1110:G1126)</f>
        <v>420000</v>
      </c>
      <c r="H1109" s="283">
        <f>SUBTOTAL(9,H1110:H1126)</f>
        <v>566500</v>
      </c>
      <c r="I1109" s="283"/>
      <c r="J1109" s="302" t="s">
        <v>21</v>
      </c>
      <c r="K1109" s="303"/>
      <c r="L1109" s="303"/>
      <c r="M1109" s="303" t="s">
        <v>147</v>
      </c>
      <c r="N1109" s="304"/>
      <c r="P1109" s="306"/>
    </row>
    <row r="1110" spans="1:16" s="308" customFormat="1" ht="14" outlineLevel="2">
      <c r="A1110" s="297" t="s">
        <v>8</v>
      </c>
      <c r="B1110" s="370" t="s">
        <v>786</v>
      </c>
      <c r="C1110" s="289" t="s">
        <v>15</v>
      </c>
      <c r="D1110" s="290">
        <v>10</v>
      </c>
      <c r="E1110" s="290">
        <v>5</v>
      </c>
      <c r="F1110" s="290">
        <v>1500</v>
      </c>
      <c r="G1110" s="8">
        <f t="shared" ref="G1110:G1126" si="236">F1110*D1110</f>
        <v>15000</v>
      </c>
      <c r="H1110" s="290">
        <f t="shared" ref="H1110:H1122" si="237">F1110*E1110</f>
        <v>7500</v>
      </c>
      <c r="I1110" s="291"/>
      <c r="J1110" s="302" t="s">
        <v>21</v>
      </c>
      <c r="K1110" s="303" t="s">
        <v>325</v>
      </c>
      <c r="L1110" s="303" t="s">
        <v>99</v>
      </c>
      <c r="M1110" s="303" t="s">
        <v>147</v>
      </c>
      <c r="N1110" s="303"/>
      <c r="P1110" s="309"/>
    </row>
    <row r="1111" spans="1:16" s="308" customFormat="1" ht="14" outlineLevel="2">
      <c r="A1111" s="297" t="s">
        <v>8</v>
      </c>
      <c r="B1111" s="307" t="s">
        <v>787</v>
      </c>
      <c r="C1111" s="289" t="s">
        <v>15</v>
      </c>
      <c r="D1111" s="290">
        <v>6</v>
      </c>
      <c r="E1111" s="290">
        <v>5</v>
      </c>
      <c r="F1111" s="290">
        <v>700</v>
      </c>
      <c r="G1111" s="8">
        <f t="shared" si="236"/>
        <v>4200</v>
      </c>
      <c r="H1111" s="290">
        <f t="shared" si="237"/>
        <v>3500</v>
      </c>
      <c r="I1111" s="291"/>
      <c r="J1111" s="302" t="s">
        <v>21</v>
      </c>
      <c r="K1111" s="303" t="s">
        <v>325</v>
      </c>
      <c r="L1111" s="303" t="s">
        <v>99</v>
      </c>
      <c r="M1111" s="303" t="s">
        <v>147</v>
      </c>
      <c r="N1111" s="303"/>
      <c r="P1111" s="309"/>
    </row>
    <row r="1112" spans="1:16" s="308" customFormat="1" ht="14" outlineLevel="2">
      <c r="A1112" s="297" t="s">
        <v>8</v>
      </c>
      <c r="B1112" s="307" t="s">
        <v>788</v>
      </c>
      <c r="C1112" s="289" t="s">
        <v>15</v>
      </c>
      <c r="D1112" s="290">
        <v>5</v>
      </c>
      <c r="E1112" s="290">
        <v>5</v>
      </c>
      <c r="F1112" s="290">
        <v>500</v>
      </c>
      <c r="G1112" s="8">
        <f t="shared" si="236"/>
        <v>2500</v>
      </c>
      <c r="H1112" s="290">
        <f t="shared" si="237"/>
        <v>2500</v>
      </c>
      <c r="I1112" s="291"/>
      <c r="J1112" s="302" t="s">
        <v>21</v>
      </c>
      <c r="K1112" s="303" t="s">
        <v>325</v>
      </c>
      <c r="L1112" s="303" t="s">
        <v>99</v>
      </c>
      <c r="M1112" s="303" t="s">
        <v>147</v>
      </c>
      <c r="N1112" s="303"/>
      <c r="P1112" s="309"/>
    </row>
    <row r="1113" spans="1:16" s="308" customFormat="1" ht="14" outlineLevel="2">
      <c r="A1113" s="297" t="s">
        <v>8</v>
      </c>
      <c r="B1113" s="307" t="s">
        <v>789</v>
      </c>
      <c r="C1113" s="289" t="s">
        <v>15</v>
      </c>
      <c r="D1113" s="290">
        <v>5</v>
      </c>
      <c r="E1113" s="290">
        <v>5</v>
      </c>
      <c r="F1113" s="290">
        <v>3000</v>
      </c>
      <c r="G1113" s="8">
        <f t="shared" si="236"/>
        <v>15000</v>
      </c>
      <c r="H1113" s="290">
        <f t="shared" si="237"/>
        <v>15000</v>
      </c>
      <c r="I1113" s="291"/>
      <c r="J1113" s="302" t="s">
        <v>21</v>
      </c>
      <c r="K1113" s="303" t="s">
        <v>325</v>
      </c>
      <c r="L1113" s="303" t="s">
        <v>99</v>
      </c>
      <c r="M1113" s="303" t="s">
        <v>147</v>
      </c>
      <c r="N1113" s="303"/>
      <c r="P1113" s="309"/>
    </row>
    <row r="1114" spans="1:16" s="308" customFormat="1" ht="14" outlineLevel="2">
      <c r="A1114" s="297" t="s">
        <v>8</v>
      </c>
      <c r="B1114" s="370" t="s">
        <v>790</v>
      </c>
      <c r="C1114" s="289" t="s">
        <v>15</v>
      </c>
      <c r="D1114" s="290">
        <v>5</v>
      </c>
      <c r="E1114" s="290">
        <v>5</v>
      </c>
      <c r="F1114" s="290">
        <v>300</v>
      </c>
      <c r="G1114" s="8">
        <f t="shared" si="236"/>
        <v>1500</v>
      </c>
      <c r="H1114" s="290">
        <f t="shared" si="237"/>
        <v>1500</v>
      </c>
      <c r="I1114" s="291"/>
      <c r="J1114" s="302" t="s">
        <v>21</v>
      </c>
      <c r="K1114" s="303" t="s">
        <v>325</v>
      </c>
      <c r="L1114" s="303" t="s">
        <v>99</v>
      </c>
      <c r="M1114" s="303" t="s">
        <v>147</v>
      </c>
      <c r="N1114" s="303"/>
      <c r="P1114" s="309"/>
    </row>
    <row r="1115" spans="1:16" s="308" customFormat="1" ht="14" outlineLevel="2">
      <c r="A1115" s="297" t="s">
        <v>8</v>
      </c>
      <c r="B1115" s="307" t="s">
        <v>791</v>
      </c>
      <c r="C1115" s="289" t="s">
        <v>15</v>
      </c>
      <c r="D1115" s="290">
        <v>6</v>
      </c>
      <c r="E1115" s="290">
        <v>5</v>
      </c>
      <c r="F1115" s="290">
        <v>300</v>
      </c>
      <c r="G1115" s="8">
        <f t="shared" si="236"/>
        <v>1800</v>
      </c>
      <c r="H1115" s="290">
        <f t="shared" si="237"/>
        <v>1500</v>
      </c>
      <c r="I1115" s="291"/>
      <c r="J1115" s="302" t="s">
        <v>21</v>
      </c>
      <c r="K1115" s="303" t="s">
        <v>325</v>
      </c>
      <c r="L1115" s="303" t="s">
        <v>99</v>
      </c>
      <c r="M1115" s="303" t="s">
        <v>147</v>
      </c>
      <c r="N1115" s="303"/>
      <c r="P1115" s="309"/>
    </row>
    <row r="1116" spans="1:16" s="308" customFormat="1" ht="14" outlineLevel="2">
      <c r="A1116" s="297" t="s">
        <v>8</v>
      </c>
      <c r="B1116" s="307" t="s">
        <v>792</v>
      </c>
      <c r="C1116" s="289" t="s">
        <v>15</v>
      </c>
      <c r="D1116" s="290">
        <v>5</v>
      </c>
      <c r="E1116" s="290">
        <v>5</v>
      </c>
      <c r="F1116" s="290">
        <v>300</v>
      </c>
      <c r="G1116" s="8">
        <f t="shared" si="236"/>
        <v>1500</v>
      </c>
      <c r="H1116" s="290">
        <f t="shared" si="237"/>
        <v>1500</v>
      </c>
      <c r="I1116" s="291"/>
      <c r="J1116" s="302" t="s">
        <v>21</v>
      </c>
      <c r="K1116" s="303" t="s">
        <v>325</v>
      </c>
      <c r="L1116" s="303" t="s">
        <v>99</v>
      </c>
      <c r="M1116" s="303" t="s">
        <v>147</v>
      </c>
      <c r="N1116" s="303"/>
      <c r="P1116" s="309"/>
    </row>
    <row r="1117" spans="1:16" s="308" customFormat="1" ht="14" outlineLevel="2">
      <c r="A1117" s="297" t="s">
        <v>8</v>
      </c>
      <c r="B1117" s="370" t="s">
        <v>793</v>
      </c>
      <c r="C1117" s="289" t="s">
        <v>15</v>
      </c>
      <c r="D1117" s="290">
        <v>10</v>
      </c>
      <c r="E1117" s="290">
        <v>5</v>
      </c>
      <c r="F1117" s="290">
        <v>500</v>
      </c>
      <c r="G1117" s="8">
        <f t="shared" si="236"/>
        <v>5000</v>
      </c>
      <c r="H1117" s="290">
        <f t="shared" si="237"/>
        <v>2500</v>
      </c>
      <c r="I1117" s="291"/>
      <c r="J1117" s="302" t="s">
        <v>21</v>
      </c>
      <c r="K1117" s="303" t="s">
        <v>325</v>
      </c>
      <c r="L1117" s="303" t="s">
        <v>99</v>
      </c>
      <c r="M1117" s="303" t="s">
        <v>147</v>
      </c>
      <c r="N1117" s="303"/>
      <c r="P1117" s="309"/>
    </row>
    <row r="1118" spans="1:16" s="308" customFormat="1" ht="14" outlineLevel="2">
      <c r="A1118" s="297" t="s">
        <v>8</v>
      </c>
      <c r="B1118" s="307" t="s">
        <v>794</v>
      </c>
      <c r="C1118" s="289" t="s">
        <v>36</v>
      </c>
      <c r="D1118" s="290">
        <v>1</v>
      </c>
      <c r="E1118" s="290">
        <v>2</v>
      </c>
      <c r="F1118" s="290">
        <v>40000</v>
      </c>
      <c r="G1118" s="8">
        <f t="shared" si="236"/>
        <v>40000</v>
      </c>
      <c r="H1118" s="290">
        <f t="shared" si="237"/>
        <v>80000</v>
      </c>
      <c r="I1118" s="291"/>
      <c r="J1118" s="302" t="s">
        <v>21</v>
      </c>
      <c r="K1118" s="303" t="s">
        <v>325</v>
      </c>
      <c r="L1118" s="303" t="s">
        <v>99</v>
      </c>
      <c r="M1118" s="303" t="s">
        <v>147</v>
      </c>
      <c r="N1118" s="303"/>
      <c r="P1118" s="309"/>
    </row>
    <row r="1119" spans="1:16" s="308" customFormat="1" ht="14" outlineLevel="2">
      <c r="A1119" s="297" t="s">
        <v>8</v>
      </c>
      <c r="B1119" s="307" t="s">
        <v>795</v>
      </c>
      <c r="C1119" s="289" t="s">
        <v>15</v>
      </c>
      <c r="D1119" s="290">
        <v>1</v>
      </c>
      <c r="E1119" s="290">
        <v>2</v>
      </c>
      <c r="F1119" s="290">
        <v>40000</v>
      </c>
      <c r="G1119" s="8">
        <f t="shared" si="236"/>
        <v>40000</v>
      </c>
      <c r="H1119" s="290">
        <f t="shared" si="237"/>
        <v>80000</v>
      </c>
      <c r="I1119" s="291"/>
      <c r="J1119" s="302" t="s">
        <v>21</v>
      </c>
      <c r="K1119" s="303" t="s">
        <v>325</v>
      </c>
      <c r="L1119" s="303" t="s">
        <v>99</v>
      </c>
      <c r="M1119" s="303" t="s">
        <v>147</v>
      </c>
      <c r="N1119" s="303"/>
      <c r="P1119" s="309"/>
    </row>
    <row r="1120" spans="1:16" s="308" customFormat="1" ht="14" outlineLevel="2">
      <c r="A1120" s="297" t="s">
        <v>8</v>
      </c>
      <c r="B1120" s="307" t="s">
        <v>796</v>
      </c>
      <c r="C1120" s="289" t="s">
        <v>15</v>
      </c>
      <c r="D1120" s="290">
        <v>2</v>
      </c>
      <c r="E1120" s="290">
        <v>5</v>
      </c>
      <c r="F1120" s="290">
        <v>20000</v>
      </c>
      <c r="G1120" s="8">
        <f t="shared" si="236"/>
        <v>40000</v>
      </c>
      <c r="H1120" s="290">
        <f t="shared" si="237"/>
        <v>100000</v>
      </c>
      <c r="I1120" s="291"/>
      <c r="J1120" s="302" t="s">
        <v>21</v>
      </c>
      <c r="K1120" s="303" t="s">
        <v>325</v>
      </c>
      <c r="L1120" s="303" t="s">
        <v>99</v>
      </c>
      <c r="M1120" s="303" t="s">
        <v>147</v>
      </c>
      <c r="N1120" s="303"/>
      <c r="P1120" s="309"/>
    </row>
    <row r="1121" spans="1:16" s="308" customFormat="1" ht="14" outlineLevel="2">
      <c r="A1121" s="297" t="s">
        <v>8</v>
      </c>
      <c r="B1121" s="370" t="s">
        <v>797</v>
      </c>
      <c r="C1121" s="289" t="s">
        <v>15</v>
      </c>
      <c r="D1121" s="290">
        <v>4</v>
      </c>
      <c r="E1121" s="290">
        <v>4</v>
      </c>
      <c r="F1121" s="290">
        <v>10000</v>
      </c>
      <c r="G1121" s="8">
        <f t="shared" si="236"/>
        <v>40000</v>
      </c>
      <c r="H1121" s="290">
        <f t="shared" si="237"/>
        <v>40000</v>
      </c>
      <c r="I1121" s="291"/>
      <c r="J1121" s="302" t="s">
        <v>21</v>
      </c>
      <c r="K1121" s="303" t="s">
        <v>325</v>
      </c>
      <c r="L1121" s="303" t="s">
        <v>99</v>
      </c>
      <c r="M1121" s="303" t="s">
        <v>147</v>
      </c>
      <c r="N1121" s="303"/>
      <c r="P1121" s="309"/>
    </row>
    <row r="1122" spans="1:16" s="308" customFormat="1" ht="14" outlineLevel="2">
      <c r="A1122" s="297" t="s">
        <v>8</v>
      </c>
      <c r="B1122" s="307" t="s">
        <v>798</v>
      </c>
      <c r="C1122" s="289" t="s">
        <v>802</v>
      </c>
      <c r="D1122" s="290">
        <v>20</v>
      </c>
      <c r="E1122" s="290">
        <v>20</v>
      </c>
      <c r="F1122" s="290">
        <v>1500</v>
      </c>
      <c r="G1122" s="8">
        <f t="shared" si="236"/>
        <v>30000</v>
      </c>
      <c r="H1122" s="290">
        <f t="shared" si="237"/>
        <v>30000</v>
      </c>
      <c r="I1122" s="291"/>
      <c r="J1122" s="302" t="s">
        <v>21</v>
      </c>
      <c r="K1122" s="303" t="s">
        <v>325</v>
      </c>
      <c r="L1122" s="303" t="s">
        <v>99</v>
      </c>
      <c r="M1122" s="303" t="s">
        <v>147</v>
      </c>
      <c r="N1122" s="303"/>
      <c r="P1122" s="309"/>
    </row>
    <row r="1123" spans="1:16" s="305" customFormat="1" ht="14" outlineLevel="1">
      <c r="A1123" s="297" t="s">
        <v>8</v>
      </c>
      <c r="B1123" s="307" t="s">
        <v>799</v>
      </c>
      <c r="C1123" s="282" t="s">
        <v>802</v>
      </c>
      <c r="D1123" s="283">
        <v>20</v>
      </c>
      <c r="E1123" s="283">
        <v>20</v>
      </c>
      <c r="F1123" s="283">
        <v>1200</v>
      </c>
      <c r="G1123" s="8">
        <f t="shared" si="236"/>
        <v>24000</v>
      </c>
      <c r="H1123" s="290">
        <f t="shared" ref="H1123" si="238">F1123*E1123</f>
        <v>24000</v>
      </c>
      <c r="I1123" s="283"/>
      <c r="J1123" s="302" t="s">
        <v>21</v>
      </c>
      <c r="K1123" s="303" t="s">
        <v>325</v>
      </c>
      <c r="L1123" s="303" t="s">
        <v>99</v>
      </c>
      <c r="M1123" s="303" t="s">
        <v>147</v>
      </c>
      <c r="N1123" s="304"/>
      <c r="P1123" s="306"/>
    </row>
    <row r="1124" spans="1:16" s="308" customFormat="1" ht="14" outlineLevel="2">
      <c r="A1124" s="297" t="s">
        <v>8</v>
      </c>
      <c r="B1124" s="370" t="s">
        <v>800</v>
      </c>
      <c r="C1124" s="289" t="s">
        <v>36</v>
      </c>
      <c r="D1124" s="290">
        <v>10</v>
      </c>
      <c r="E1124" s="290">
        <v>10</v>
      </c>
      <c r="F1124" s="290">
        <v>700</v>
      </c>
      <c r="G1124" s="8">
        <f t="shared" si="236"/>
        <v>7000</v>
      </c>
      <c r="H1124" s="290">
        <f t="shared" ref="H1124:H1126" si="239">F1124*E1124</f>
        <v>7000</v>
      </c>
      <c r="I1124" s="291"/>
      <c r="J1124" s="302" t="s">
        <v>21</v>
      </c>
      <c r="K1124" s="303" t="s">
        <v>325</v>
      </c>
      <c r="L1124" s="303" t="s">
        <v>99</v>
      </c>
      <c r="M1124" s="303" t="s">
        <v>147</v>
      </c>
      <c r="N1124" s="303"/>
      <c r="P1124" s="309"/>
    </row>
    <row r="1125" spans="1:16" s="308" customFormat="1" ht="14" outlineLevel="2">
      <c r="A1125" s="297" t="s">
        <v>8</v>
      </c>
      <c r="B1125" s="307" t="s">
        <v>801</v>
      </c>
      <c r="C1125" s="289" t="s">
        <v>15</v>
      </c>
      <c r="D1125" s="290">
        <v>40</v>
      </c>
      <c r="E1125" s="290">
        <v>40</v>
      </c>
      <c r="F1125" s="290">
        <v>750</v>
      </c>
      <c r="G1125" s="8">
        <f t="shared" ref="G1125" si="240">F1125*D1125</f>
        <v>30000</v>
      </c>
      <c r="H1125" s="290">
        <f t="shared" ref="H1125" si="241">F1125*E1125</f>
        <v>30000</v>
      </c>
      <c r="I1125" s="291"/>
      <c r="J1125" s="302" t="s">
        <v>21</v>
      </c>
      <c r="K1125" s="303" t="s">
        <v>325</v>
      </c>
      <c r="L1125" s="303" t="s">
        <v>99</v>
      </c>
      <c r="M1125" s="303" t="s">
        <v>147</v>
      </c>
      <c r="N1125" s="303"/>
      <c r="P1125" s="309"/>
    </row>
    <row r="1126" spans="1:16" s="308" customFormat="1" ht="14" outlineLevel="2">
      <c r="A1126" s="297" t="s">
        <v>8</v>
      </c>
      <c r="B1126" s="307" t="s">
        <v>1450</v>
      </c>
      <c r="C1126" s="289" t="s">
        <v>15</v>
      </c>
      <c r="D1126" s="290">
        <v>35</v>
      </c>
      <c r="E1126" s="290">
        <v>40</v>
      </c>
      <c r="F1126" s="290">
        <v>3500</v>
      </c>
      <c r="G1126" s="8">
        <f t="shared" si="236"/>
        <v>122500</v>
      </c>
      <c r="H1126" s="290">
        <f t="shared" si="239"/>
        <v>140000</v>
      </c>
      <c r="I1126" s="291"/>
      <c r="J1126" s="302" t="s">
        <v>21</v>
      </c>
      <c r="K1126" s="303" t="s">
        <v>325</v>
      </c>
      <c r="L1126" s="303" t="s">
        <v>99</v>
      </c>
      <c r="M1126" s="303" t="s">
        <v>147</v>
      </c>
      <c r="N1126" s="303"/>
      <c r="P1126" s="309"/>
    </row>
    <row r="1127" spans="1:16" s="305" customFormat="1" ht="14" outlineLevel="1">
      <c r="A1127" s="280" t="s">
        <v>43</v>
      </c>
      <c r="B1127" s="242" t="s">
        <v>32</v>
      </c>
      <c r="C1127" s="282"/>
      <c r="D1127" s="283"/>
      <c r="E1127" s="283"/>
      <c r="F1127" s="283"/>
      <c r="G1127" s="283"/>
      <c r="H1127" s="283">
        <f>SUBTOTAL(9,H1128:H1351)</f>
        <v>1576303.0161999997</v>
      </c>
      <c r="I1127" s="283"/>
      <c r="J1127" s="302" t="s">
        <v>21</v>
      </c>
      <c r="K1127" s="303"/>
      <c r="L1127" s="303"/>
      <c r="M1127" s="304"/>
      <c r="N1127" s="304"/>
      <c r="P1127" s="306"/>
    </row>
    <row r="1128" spans="1:16" s="305" customFormat="1" ht="14" outlineLevel="3">
      <c r="A1128" s="280">
        <v>1</v>
      </c>
      <c r="B1128" s="281" t="s">
        <v>246</v>
      </c>
      <c r="C1128" s="341"/>
      <c r="D1128" s="331"/>
      <c r="E1128" s="331"/>
      <c r="F1128" s="331"/>
      <c r="G1128" s="331"/>
      <c r="H1128" s="331"/>
      <c r="I1128" s="284"/>
      <c r="J1128" s="302" t="s">
        <v>21</v>
      </c>
      <c r="K1128" s="303"/>
      <c r="L1128" s="303"/>
      <c r="M1128" s="457" t="s">
        <v>32</v>
      </c>
      <c r="N1128" s="304"/>
      <c r="P1128" s="306"/>
    </row>
    <row r="1129" spans="1:16" s="459" customFormat="1" ht="14" outlineLevel="3">
      <c r="A1129" s="452">
        <v>1.1000000000000001</v>
      </c>
      <c r="B1129" s="461" t="s">
        <v>1138</v>
      </c>
      <c r="C1129" s="454"/>
      <c r="D1129" s="455"/>
      <c r="E1129" s="455"/>
      <c r="F1129" s="455"/>
      <c r="G1129" s="455"/>
      <c r="H1129" s="455">
        <f>SUBTOTAL(9,H1130:H1140)</f>
        <v>7205</v>
      </c>
      <c r="I1129" s="462"/>
      <c r="J1129" s="302" t="s">
        <v>21</v>
      </c>
      <c r="K1129" s="457"/>
      <c r="L1129" s="457"/>
      <c r="M1129" s="457" t="s">
        <v>32</v>
      </c>
      <c r="N1129" s="458"/>
    </row>
    <row r="1130" spans="1:16" s="469" customFormat="1" ht="14" outlineLevel="4">
      <c r="A1130" s="470" t="s">
        <v>8</v>
      </c>
      <c r="B1130" s="475" t="s">
        <v>844</v>
      </c>
      <c r="C1130" s="338" t="s">
        <v>24</v>
      </c>
      <c r="D1130" s="294"/>
      <c r="E1130" s="294"/>
      <c r="F1130" s="294">
        <v>3000</v>
      </c>
      <c r="G1130" s="8">
        <f t="shared" ref="G1130:G1140" si="242">F1130*D1130</f>
        <v>0</v>
      </c>
      <c r="H1130" s="294">
        <f t="shared" ref="H1130:H1140" si="243">F1130*E1130</f>
        <v>0</v>
      </c>
      <c r="I1130" s="467"/>
      <c r="J1130" s="302" t="s">
        <v>21</v>
      </c>
      <c r="K1130" s="457" t="s">
        <v>325</v>
      </c>
      <c r="L1130" s="457" t="s">
        <v>99</v>
      </c>
      <c r="M1130" s="457" t="s">
        <v>32</v>
      </c>
      <c r="N1130" s="468"/>
    </row>
    <row r="1131" spans="1:16" s="469" customFormat="1" ht="14" outlineLevel="4">
      <c r="A1131" s="470" t="s">
        <v>8</v>
      </c>
      <c r="B1131" s="475" t="s">
        <v>1467</v>
      </c>
      <c r="C1131" s="338" t="s">
        <v>15</v>
      </c>
      <c r="D1131" s="294"/>
      <c r="E1131" s="294"/>
      <c r="F1131" s="294">
        <v>26</v>
      </c>
      <c r="G1131" s="8">
        <f t="shared" si="242"/>
        <v>0</v>
      </c>
      <c r="H1131" s="294">
        <f t="shared" si="243"/>
        <v>0</v>
      </c>
      <c r="I1131" s="467"/>
      <c r="J1131" s="302" t="s">
        <v>21</v>
      </c>
      <c r="K1131" s="457" t="s">
        <v>325</v>
      </c>
      <c r="L1131" s="457" t="s">
        <v>99</v>
      </c>
      <c r="M1131" s="457" t="s">
        <v>32</v>
      </c>
      <c r="N1131" s="468"/>
    </row>
    <row r="1132" spans="1:16" s="469" customFormat="1" ht="14" outlineLevel="4">
      <c r="A1132" s="470" t="s">
        <v>8</v>
      </c>
      <c r="B1132" s="475" t="s">
        <v>1468</v>
      </c>
      <c r="C1132" s="338" t="s">
        <v>15</v>
      </c>
      <c r="D1132" s="294"/>
      <c r="E1132" s="294"/>
      <c r="F1132" s="294">
        <v>50</v>
      </c>
      <c r="G1132" s="8">
        <f t="shared" si="242"/>
        <v>0</v>
      </c>
      <c r="H1132" s="294">
        <f t="shared" si="243"/>
        <v>0</v>
      </c>
      <c r="I1132" s="467"/>
      <c r="J1132" s="302" t="s">
        <v>21</v>
      </c>
      <c r="K1132" s="457" t="s">
        <v>325</v>
      </c>
      <c r="L1132" s="457" t="s">
        <v>99</v>
      </c>
      <c r="M1132" s="457" t="s">
        <v>32</v>
      </c>
      <c r="N1132" s="468"/>
    </row>
    <row r="1133" spans="1:16" s="469" customFormat="1" ht="14" outlineLevel="4">
      <c r="A1133" s="470" t="s">
        <v>8</v>
      </c>
      <c r="B1133" s="475" t="s">
        <v>1469</v>
      </c>
      <c r="C1133" s="338" t="s">
        <v>15</v>
      </c>
      <c r="D1133" s="294"/>
      <c r="E1133" s="294"/>
      <c r="F1133" s="294">
        <v>80</v>
      </c>
      <c r="G1133" s="8">
        <f t="shared" si="242"/>
        <v>0</v>
      </c>
      <c r="H1133" s="294">
        <f t="shared" si="243"/>
        <v>0</v>
      </c>
      <c r="I1133" s="467"/>
      <c r="J1133" s="302" t="s">
        <v>21</v>
      </c>
      <c r="K1133" s="457" t="s">
        <v>325</v>
      </c>
      <c r="L1133" s="457" t="s">
        <v>99</v>
      </c>
      <c r="M1133" s="457" t="s">
        <v>32</v>
      </c>
      <c r="N1133" s="468"/>
    </row>
    <row r="1134" spans="1:16" s="469" customFormat="1" ht="14" outlineLevel="4">
      <c r="A1134" s="470" t="s">
        <v>8</v>
      </c>
      <c r="B1134" s="475" t="s">
        <v>845</v>
      </c>
      <c r="C1134" s="338" t="s">
        <v>24</v>
      </c>
      <c r="D1134" s="294"/>
      <c r="E1134" s="294">
        <v>10</v>
      </c>
      <c r="F1134" s="294">
        <v>56</v>
      </c>
      <c r="G1134" s="8">
        <f t="shared" si="242"/>
        <v>0</v>
      </c>
      <c r="H1134" s="294">
        <f t="shared" si="243"/>
        <v>560</v>
      </c>
      <c r="I1134" s="467"/>
      <c r="J1134" s="302" t="s">
        <v>21</v>
      </c>
      <c r="K1134" s="457" t="s">
        <v>325</v>
      </c>
      <c r="L1134" s="457" t="s">
        <v>99</v>
      </c>
      <c r="M1134" s="457" t="s">
        <v>32</v>
      </c>
      <c r="N1134" s="468"/>
    </row>
    <row r="1135" spans="1:16" s="469" customFormat="1" ht="14" outlineLevel="4">
      <c r="A1135" s="470" t="s">
        <v>8</v>
      </c>
      <c r="B1135" s="475" t="s">
        <v>1508</v>
      </c>
      <c r="C1135" s="338" t="s">
        <v>15</v>
      </c>
      <c r="D1135" s="294"/>
      <c r="E1135" s="294">
        <v>10</v>
      </c>
      <c r="F1135" s="294">
        <v>382</v>
      </c>
      <c r="G1135" s="8">
        <f t="shared" si="242"/>
        <v>0</v>
      </c>
      <c r="H1135" s="294">
        <f t="shared" si="243"/>
        <v>3820</v>
      </c>
      <c r="I1135" s="467"/>
      <c r="J1135" s="302" t="s">
        <v>21</v>
      </c>
      <c r="K1135" s="457" t="s">
        <v>325</v>
      </c>
      <c r="L1135" s="457" t="s">
        <v>99</v>
      </c>
      <c r="M1135" s="457" t="s">
        <v>32</v>
      </c>
      <c r="N1135" s="468"/>
    </row>
    <row r="1136" spans="1:16" s="469" customFormat="1" ht="14" outlineLevel="4">
      <c r="A1136" s="470" t="s">
        <v>8</v>
      </c>
      <c r="B1136" s="475" t="s">
        <v>1509</v>
      </c>
      <c r="C1136" s="338" t="s">
        <v>15</v>
      </c>
      <c r="D1136" s="294"/>
      <c r="E1136" s="294">
        <v>5</v>
      </c>
      <c r="F1136" s="294">
        <v>515</v>
      </c>
      <c r="G1136" s="8">
        <f t="shared" si="242"/>
        <v>0</v>
      </c>
      <c r="H1136" s="294">
        <f t="shared" si="243"/>
        <v>2575</v>
      </c>
      <c r="I1136" s="467"/>
      <c r="J1136" s="302" t="s">
        <v>21</v>
      </c>
      <c r="K1136" s="457" t="s">
        <v>325</v>
      </c>
      <c r="L1136" s="457" t="s">
        <v>99</v>
      </c>
      <c r="M1136" s="457" t="s">
        <v>32</v>
      </c>
      <c r="N1136" s="468"/>
    </row>
    <row r="1137" spans="1:14" s="469" customFormat="1" ht="14" outlineLevel="4">
      <c r="A1137" s="470" t="s">
        <v>8</v>
      </c>
      <c r="B1137" s="475" t="s">
        <v>850</v>
      </c>
      <c r="C1137" s="338" t="s">
        <v>15</v>
      </c>
      <c r="D1137" s="294"/>
      <c r="E1137" s="294"/>
      <c r="F1137" s="294">
        <v>135</v>
      </c>
      <c r="G1137" s="8">
        <f t="shared" si="242"/>
        <v>0</v>
      </c>
      <c r="H1137" s="294">
        <f t="shared" si="243"/>
        <v>0</v>
      </c>
      <c r="I1137" s="467"/>
      <c r="J1137" s="302" t="s">
        <v>21</v>
      </c>
      <c r="K1137" s="457" t="s">
        <v>325</v>
      </c>
      <c r="L1137" s="457" t="s">
        <v>99</v>
      </c>
      <c r="M1137" s="457" t="s">
        <v>32</v>
      </c>
      <c r="N1137" s="468"/>
    </row>
    <row r="1138" spans="1:14" s="469" customFormat="1" ht="14" outlineLevel="4">
      <c r="A1138" s="470" t="s">
        <v>8</v>
      </c>
      <c r="B1138" s="475" t="s">
        <v>851</v>
      </c>
      <c r="C1138" s="338" t="s">
        <v>15</v>
      </c>
      <c r="D1138" s="294"/>
      <c r="E1138" s="294"/>
      <c r="F1138" s="294">
        <v>459</v>
      </c>
      <c r="G1138" s="8">
        <f t="shared" ref="G1138" si="244">F1138*D1138</f>
        <v>0</v>
      </c>
      <c r="H1138" s="294">
        <f t="shared" ref="H1138" si="245">F1138*E1138</f>
        <v>0</v>
      </c>
      <c r="I1138" s="467"/>
      <c r="J1138" s="302" t="s">
        <v>21</v>
      </c>
      <c r="K1138" s="457" t="s">
        <v>325</v>
      </c>
      <c r="L1138" s="457" t="s">
        <v>99</v>
      </c>
      <c r="M1138" s="457" t="s">
        <v>32</v>
      </c>
      <c r="N1138" s="468"/>
    </row>
    <row r="1139" spans="1:14" s="469" customFormat="1" ht="14" outlineLevel="4">
      <c r="A1139" s="470" t="s">
        <v>8</v>
      </c>
      <c r="B1139" s="475" t="s">
        <v>852</v>
      </c>
      <c r="C1139" s="338" t="s">
        <v>15</v>
      </c>
      <c r="D1139" s="294"/>
      <c r="E1139" s="294"/>
      <c r="F1139" s="294">
        <v>895</v>
      </c>
      <c r="G1139" s="8">
        <f t="shared" si="242"/>
        <v>0</v>
      </c>
      <c r="H1139" s="294">
        <f t="shared" si="243"/>
        <v>0</v>
      </c>
      <c r="I1139" s="467"/>
      <c r="J1139" s="302" t="s">
        <v>21</v>
      </c>
      <c r="K1139" s="457" t="s">
        <v>325</v>
      </c>
      <c r="L1139" s="457" t="s">
        <v>99</v>
      </c>
      <c r="M1139" s="457" t="s">
        <v>32</v>
      </c>
      <c r="N1139" s="468"/>
    </row>
    <row r="1140" spans="1:14" s="469" customFormat="1" ht="14" outlineLevel="4">
      <c r="A1140" s="470" t="s">
        <v>8</v>
      </c>
      <c r="B1140" s="475" t="s">
        <v>853</v>
      </c>
      <c r="C1140" s="338" t="s">
        <v>15</v>
      </c>
      <c r="D1140" s="294"/>
      <c r="E1140" s="294">
        <v>50</v>
      </c>
      <c r="F1140" s="294">
        <v>5</v>
      </c>
      <c r="G1140" s="8">
        <f t="shared" si="242"/>
        <v>0</v>
      </c>
      <c r="H1140" s="294">
        <f t="shared" si="243"/>
        <v>250</v>
      </c>
      <c r="I1140" s="467"/>
      <c r="J1140" s="302" t="s">
        <v>21</v>
      </c>
      <c r="K1140" s="457" t="s">
        <v>325</v>
      </c>
      <c r="L1140" s="457" t="s">
        <v>99</v>
      </c>
      <c r="M1140" s="457" t="s">
        <v>32</v>
      </c>
      <c r="N1140" s="468"/>
    </row>
    <row r="1141" spans="1:14" s="459" customFormat="1" ht="14" outlineLevel="3">
      <c r="A1141" s="452">
        <v>1.2</v>
      </c>
      <c r="B1141" s="461" t="s">
        <v>1139</v>
      </c>
      <c r="C1141" s="454"/>
      <c r="D1141" s="455"/>
      <c r="E1141" s="455"/>
      <c r="F1141" s="455"/>
      <c r="G1141" s="455"/>
      <c r="H1141" s="455">
        <f>SUBTOTAL(9,H1142:H1158)</f>
        <v>0</v>
      </c>
      <c r="I1141" s="462"/>
      <c r="J1141" s="302" t="s">
        <v>21</v>
      </c>
      <c r="K1141" s="457"/>
      <c r="L1141" s="457"/>
      <c r="M1141" s="457" t="s">
        <v>32</v>
      </c>
      <c r="N1141" s="458"/>
    </row>
    <row r="1142" spans="1:14" s="469" customFormat="1" ht="14" outlineLevel="4">
      <c r="A1142" s="470" t="s">
        <v>8</v>
      </c>
      <c r="B1142" s="475" t="s">
        <v>1137</v>
      </c>
      <c r="C1142" s="338" t="s">
        <v>879</v>
      </c>
      <c r="D1142" s="294"/>
      <c r="E1142" s="294"/>
      <c r="F1142" s="294"/>
      <c r="G1142" s="8">
        <f t="shared" ref="G1142:G1158" si="246">F1142*D1142</f>
        <v>0</v>
      </c>
      <c r="H1142" s="294">
        <f t="shared" ref="H1142:H1158" si="247">F1142*E1142</f>
        <v>0</v>
      </c>
      <c r="I1142" s="467"/>
      <c r="J1142" s="302" t="s">
        <v>21</v>
      </c>
      <c r="K1142" s="457" t="s">
        <v>325</v>
      </c>
      <c r="L1142" s="457" t="s">
        <v>99</v>
      </c>
      <c r="M1142" s="457" t="s">
        <v>32</v>
      </c>
      <c r="N1142" s="468"/>
    </row>
    <row r="1143" spans="1:14" s="469" customFormat="1" ht="14" outlineLevel="4">
      <c r="A1143" s="470" t="s">
        <v>8</v>
      </c>
      <c r="B1143" s="475" t="s">
        <v>907</v>
      </c>
      <c r="C1143" s="338" t="s">
        <v>148</v>
      </c>
      <c r="D1143" s="294"/>
      <c r="E1143" s="294"/>
      <c r="F1143" s="294"/>
      <c r="G1143" s="8">
        <f t="shared" si="246"/>
        <v>0</v>
      </c>
      <c r="H1143" s="294">
        <f t="shared" si="247"/>
        <v>0</v>
      </c>
      <c r="I1143" s="467"/>
      <c r="J1143" s="302" t="s">
        <v>21</v>
      </c>
      <c r="K1143" s="457" t="s">
        <v>325</v>
      </c>
      <c r="L1143" s="457" t="s">
        <v>99</v>
      </c>
      <c r="M1143" s="457" t="s">
        <v>32</v>
      </c>
      <c r="N1143" s="468"/>
    </row>
    <row r="1144" spans="1:14" s="469" customFormat="1" ht="14" outlineLevel="4">
      <c r="A1144" s="470" t="s">
        <v>8</v>
      </c>
      <c r="B1144" s="475" t="s">
        <v>908</v>
      </c>
      <c r="C1144" s="338" t="s">
        <v>148</v>
      </c>
      <c r="D1144" s="294"/>
      <c r="E1144" s="294"/>
      <c r="F1144" s="294"/>
      <c r="G1144" s="8">
        <f t="shared" si="246"/>
        <v>0</v>
      </c>
      <c r="H1144" s="294">
        <f t="shared" si="247"/>
        <v>0</v>
      </c>
      <c r="I1144" s="467"/>
      <c r="J1144" s="302" t="s">
        <v>21</v>
      </c>
      <c r="K1144" s="457" t="s">
        <v>325</v>
      </c>
      <c r="L1144" s="457" t="s">
        <v>99</v>
      </c>
      <c r="M1144" s="457" t="s">
        <v>32</v>
      </c>
      <c r="N1144" s="468"/>
    </row>
    <row r="1145" spans="1:14" s="469" customFormat="1" ht="14" outlineLevel="4">
      <c r="A1145" s="470" t="s">
        <v>8</v>
      </c>
      <c r="B1145" s="475" t="s">
        <v>909</v>
      </c>
      <c r="C1145" s="338" t="s">
        <v>148</v>
      </c>
      <c r="D1145" s="294"/>
      <c r="E1145" s="294"/>
      <c r="F1145" s="294"/>
      <c r="G1145" s="8">
        <f t="shared" si="246"/>
        <v>0</v>
      </c>
      <c r="H1145" s="294">
        <f t="shared" si="247"/>
        <v>0</v>
      </c>
      <c r="I1145" s="467"/>
      <c r="J1145" s="302" t="s">
        <v>21</v>
      </c>
      <c r="K1145" s="457" t="s">
        <v>325</v>
      </c>
      <c r="L1145" s="457" t="s">
        <v>99</v>
      </c>
      <c r="M1145" s="457" t="s">
        <v>32</v>
      </c>
      <c r="N1145" s="468"/>
    </row>
    <row r="1146" spans="1:14" s="469" customFormat="1" ht="14" outlineLevel="4">
      <c r="A1146" s="470" t="s">
        <v>8</v>
      </c>
      <c r="B1146" s="475" t="s">
        <v>910</v>
      </c>
      <c r="C1146" s="338" t="s">
        <v>148</v>
      </c>
      <c r="D1146" s="294"/>
      <c r="E1146" s="294"/>
      <c r="F1146" s="294"/>
      <c r="G1146" s="8">
        <f t="shared" si="246"/>
        <v>0</v>
      </c>
      <c r="H1146" s="294">
        <f t="shared" si="247"/>
        <v>0</v>
      </c>
      <c r="I1146" s="467"/>
      <c r="J1146" s="302" t="s">
        <v>21</v>
      </c>
      <c r="K1146" s="457" t="s">
        <v>325</v>
      </c>
      <c r="L1146" s="457" t="s">
        <v>99</v>
      </c>
      <c r="M1146" s="457" t="s">
        <v>32</v>
      </c>
      <c r="N1146" s="468"/>
    </row>
    <row r="1147" spans="1:14" s="469" customFormat="1" ht="14" outlineLevel="4">
      <c r="A1147" s="470" t="s">
        <v>8</v>
      </c>
      <c r="B1147" s="475" t="s">
        <v>911</v>
      </c>
      <c r="C1147" s="338" t="s">
        <v>148</v>
      </c>
      <c r="D1147" s="294"/>
      <c r="E1147" s="294"/>
      <c r="F1147" s="294"/>
      <c r="G1147" s="8">
        <f t="shared" si="246"/>
        <v>0</v>
      </c>
      <c r="H1147" s="294">
        <f t="shared" si="247"/>
        <v>0</v>
      </c>
      <c r="I1147" s="467"/>
      <c r="J1147" s="302" t="s">
        <v>21</v>
      </c>
      <c r="K1147" s="457" t="s">
        <v>325</v>
      </c>
      <c r="L1147" s="457" t="s">
        <v>99</v>
      </c>
      <c r="M1147" s="457" t="s">
        <v>32</v>
      </c>
      <c r="N1147" s="468"/>
    </row>
    <row r="1148" spans="1:14" s="469" customFormat="1" ht="14" outlineLevel="4">
      <c r="A1148" s="470" t="s">
        <v>8</v>
      </c>
      <c r="B1148" s="475" t="s">
        <v>840</v>
      </c>
      <c r="C1148" s="338" t="s">
        <v>148</v>
      </c>
      <c r="D1148" s="294"/>
      <c r="E1148" s="294"/>
      <c r="F1148" s="294"/>
      <c r="G1148" s="8">
        <f t="shared" si="246"/>
        <v>0</v>
      </c>
      <c r="H1148" s="294">
        <f t="shared" si="247"/>
        <v>0</v>
      </c>
      <c r="I1148" s="467"/>
      <c r="J1148" s="302" t="s">
        <v>21</v>
      </c>
      <c r="K1148" s="457" t="s">
        <v>325</v>
      </c>
      <c r="L1148" s="457" t="s">
        <v>99</v>
      </c>
      <c r="M1148" s="457" t="s">
        <v>32</v>
      </c>
      <c r="N1148" s="468"/>
    </row>
    <row r="1149" spans="1:14" s="469" customFormat="1" ht="14" outlineLevel="4">
      <c r="A1149" s="470" t="s">
        <v>8</v>
      </c>
      <c r="B1149" s="475" t="s">
        <v>841</v>
      </c>
      <c r="C1149" s="338" t="s">
        <v>148</v>
      </c>
      <c r="D1149" s="294"/>
      <c r="E1149" s="294"/>
      <c r="F1149" s="294"/>
      <c r="G1149" s="8">
        <f t="shared" si="246"/>
        <v>0</v>
      </c>
      <c r="H1149" s="294">
        <f t="shared" si="247"/>
        <v>0</v>
      </c>
      <c r="I1149" s="467"/>
      <c r="J1149" s="302" t="s">
        <v>21</v>
      </c>
      <c r="K1149" s="457" t="s">
        <v>325</v>
      </c>
      <c r="L1149" s="457" t="s">
        <v>99</v>
      </c>
      <c r="M1149" s="457" t="s">
        <v>32</v>
      </c>
      <c r="N1149" s="468"/>
    </row>
    <row r="1150" spans="1:14" s="469" customFormat="1" ht="14" outlineLevel="4">
      <c r="A1150" s="470" t="s">
        <v>8</v>
      </c>
      <c r="B1150" s="475" t="s">
        <v>842</v>
      </c>
      <c r="C1150" s="338" t="s">
        <v>148</v>
      </c>
      <c r="D1150" s="294"/>
      <c r="E1150" s="294"/>
      <c r="F1150" s="294"/>
      <c r="G1150" s="8">
        <f t="shared" si="246"/>
        <v>0</v>
      </c>
      <c r="H1150" s="294">
        <f t="shared" si="247"/>
        <v>0</v>
      </c>
      <c r="I1150" s="467"/>
      <c r="J1150" s="302" t="s">
        <v>21</v>
      </c>
      <c r="K1150" s="457" t="s">
        <v>325</v>
      </c>
      <c r="L1150" s="457" t="s">
        <v>99</v>
      </c>
      <c r="M1150" s="457" t="s">
        <v>32</v>
      </c>
      <c r="N1150" s="468"/>
    </row>
    <row r="1151" spans="1:14" s="469" customFormat="1" ht="14" outlineLevel="4">
      <c r="A1151" s="470" t="s">
        <v>8</v>
      </c>
      <c r="B1151" s="475" t="s">
        <v>912</v>
      </c>
      <c r="C1151" s="338" t="s">
        <v>148</v>
      </c>
      <c r="D1151" s="294"/>
      <c r="E1151" s="294"/>
      <c r="F1151" s="294"/>
      <c r="G1151" s="8">
        <f t="shared" si="246"/>
        <v>0</v>
      </c>
      <c r="H1151" s="294">
        <f t="shared" si="247"/>
        <v>0</v>
      </c>
      <c r="I1151" s="467"/>
      <c r="J1151" s="302" t="s">
        <v>21</v>
      </c>
      <c r="K1151" s="457" t="s">
        <v>325</v>
      </c>
      <c r="L1151" s="457" t="s">
        <v>99</v>
      </c>
      <c r="M1151" s="457" t="s">
        <v>32</v>
      </c>
      <c r="N1151" s="468"/>
    </row>
    <row r="1152" spans="1:14" s="469" customFormat="1" ht="14" outlineLevel="4">
      <c r="A1152" s="470" t="s">
        <v>8</v>
      </c>
      <c r="B1152" s="478" t="s">
        <v>913</v>
      </c>
      <c r="C1152" s="338" t="s">
        <v>148</v>
      </c>
      <c r="D1152" s="479"/>
      <c r="E1152" s="294"/>
      <c r="F1152" s="294"/>
      <c r="G1152" s="8">
        <f t="shared" si="246"/>
        <v>0</v>
      </c>
      <c r="H1152" s="294">
        <f t="shared" si="247"/>
        <v>0</v>
      </c>
      <c r="I1152" s="467"/>
      <c r="J1152" s="302" t="s">
        <v>21</v>
      </c>
      <c r="K1152" s="457" t="s">
        <v>325</v>
      </c>
      <c r="L1152" s="457" t="s">
        <v>99</v>
      </c>
      <c r="M1152" s="457" t="s">
        <v>32</v>
      </c>
      <c r="N1152" s="468"/>
    </row>
    <row r="1153" spans="1:14" s="469" customFormat="1" ht="14" outlineLevel="4">
      <c r="A1153" s="470" t="s">
        <v>8</v>
      </c>
      <c r="B1153" s="475" t="s">
        <v>914</v>
      </c>
      <c r="C1153" s="338" t="s">
        <v>148</v>
      </c>
      <c r="D1153" s="294"/>
      <c r="E1153" s="294"/>
      <c r="F1153" s="294"/>
      <c r="G1153" s="8">
        <f t="shared" si="246"/>
        <v>0</v>
      </c>
      <c r="H1153" s="294">
        <f t="shared" si="247"/>
        <v>0</v>
      </c>
      <c r="I1153" s="467"/>
      <c r="J1153" s="302" t="s">
        <v>21</v>
      </c>
      <c r="K1153" s="457" t="s">
        <v>325</v>
      </c>
      <c r="L1153" s="457" t="s">
        <v>99</v>
      </c>
      <c r="M1153" s="457" t="s">
        <v>32</v>
      </c>
      <c r="N1153" s="468"/>
    </row>
    <row r="1154" spans="1:14" s="469" customFormat="1" ht="14" outlineLevel="4">
      <c r="A1154" s="470" t="s">
        <v>8</v>
      </c>
      <c r="B1154" s="475" t="s">
        <v>915</v>
      </c>
      <c r="C1154" s="338" t="s">
        <v>148</v>
      </c>
      <c r="D1154" s="294"/>
      <c r="E1154" s="294"/>
      <c r="F1154" s="294"/>
      <c r="G1154" s="8">
        <f t="shared" si="246"/>
        <v>0</v>
      </c>
      <c r="H1154" s="294">
        <f t="shared" si="247"/>
        <v>0</v>
      </c>
      <c r="I1154" s="467"/>
      <c r="J1154" s="302" t="s">
        <v>21</v>
      </c>
      <c r="K1154" s="457" t="s">
        <v>325</v>
      </c>
      <c r="L1154" s="457" t="s">
        <v>99</v>
      </c>
      <c r="M1154" s="457" t="s">
        <v>32</v>
      </c>
      <c r="N1154" s="468"/>
    </row>
    <row r="1155" spans="1:14" s="469" customFormat="1" ht="14" outlineLevel="4">
      <c r="A1155" s="470" t="s">
        <v>8</v>
      </c>
      <c r="B1155" s="475" t="s">
        <v>916</v>
      </c>
      <c r="C1155" s="338" t="s">
        <v>148</v>
      </c>
      <c r="D1155" s="294"/>
      <c r="E1155" s="294"/>
      <c r="F1155" s="294"/>
      <c r="G1155" s="8">
        <f t="shared" si="246"/>
        <v>0</v>
      </c>
      <c r="H1155" s="294">
        <f t="shared" si="247"/>
        <v>0</v>
      </c>
      <c r="I1155" s="467"/>
      <c r="J1155" s="302" t="s">
        <v>21</v>
      </c>
      <c r="K1155" s="457" t="s">
        <v>325</v>
      </c>
      <c r="L1155" s="457" t="s">
        <v>99</v>
      </c>
      <c r="M1155" s="457" t="s">
        <v>32</v>
      </c>
      <c r="N1155" s="468"/>
    </row>
    <row r="1156" spans="1:14" s="469" customFormat="1" ht="14" outlineLevel="4">
      <c r="A1156" s="470" t="s">
        <v>8</v>
      </c>
      <c r="B1156" s="475" t="s">
        <v>917</v>
      </c>
      <c r="C1156" s="338" t="s">
        <v>148</v>
      </c>
      <c r="D1156" s="294"/>
      <c r="E1156" s="294"/>
      <c r="F1156" s="294"/>
      <c r="G1156" s="8">
        <f t="shared" si="246"/>
        <v>0</v>
      </c>
      <c r="H1156" s="294">
        <f t="shared" si="247"/>
        <v>0</v>
      </c>
      <c r="I1156" s="467"/>
      <c r="J1156" s="302" t="s">
        <v>21</v>
      </c>
      <c r="K1156" s="457" t="s">
        <v>325</v>
      </c>
      <c r="L1156" s="457" t="s">
        <v>99</v>
      </c>
      <c r="M1156" s="457" t="s">
        <v>32</v>
      </c>
      <c r="N1156" s="468"/>
    </row>
    <row r="1157" spans="1:14" s="469" customFormat="1" ht="14" outlineLevel="4">
      <c r="A1157" s="470" t="s">
        <v>8</v>
      </c>
      <c r="B1157" s="475" t="s">
        <v>918</v>
      </c>
      <c r="C1157" s="338" t="s">
        <v>148</v>
      </c>
      <c r="D1157" s="294"/>
      <c r="E1157" s="294"/>
      <c r="F1157" s="294"/>
      <c r="G1157" s="8">
        <f t="shared" si="246"/>
        <v>0</v>
      </c>
      <c r="H1157" s="294">
        <f t="shared" si="247"/>
        <v>0</v>
      </c>
      <c r="I1157" s="467"/>
      <c r="J1157" s="302" t="s">
        <v>21</v>
      </c>
      <c r="K1157" s="457" t="s">
        <v>325</v>
      </c>
      <c r="L1157" s="457" t="s">
        <v>99</v>
      </c>
      <c r="M1157" s="457" t="s">
        <v>32</v>
      </c>
      <c r="N1157" s="468"/>
    </row>
    <row r="1158" spans="1:14" s="469" customFormat="1" ht="14" outlineLevel="4">
      <c r="A1158" s="470" t="s">
        <v>8</v>
      </c>
      <c r="B1158" s="475" t="s">
        <v>853</v>
      </c>
      <c r="C1158" s="338" t="s">
        <v>880</v>
      </c>
      <c r="D1158" s="294"/>
      <c r="E1158" s="294"/>
      <c r="F1158" s="294"/>
      <c r="G1158" s="8">
        <f t="shared" si="246"/>
        <v>0</v>
      </c>
      <c r="H1158" s="294">
        <f t="shared" si="247"/>
        <v>0</v>
      </c>
      <c r="I1158" s="467"/>
      <c r="J1158" s="302" t="s">
        <v>21</v>
      </c>
      <c r="K1158" s="457" t="s">
        <v>325</v>
      </c>
      <c r="L1158" s="457" t="s">
        <v>99</v>
      </c>
      <c r="M1158" s="457" t="s">
        <v>32</v>
      </c>
      <c r="N1158" s="468"/>
    </row>
    <row r="1159" spans="1:14" s="459" customFormat="1" ht="14" outlineLevel="3">
      <c r="A1159" s="452">
        <v>1.3</v>
      </c>
      <c r="B1159" s="461" t="s">
        <v>1140</v>
      </c>
      <c r="C1159" s="454"/>
      <c r="D1159" s="455"/>
      <c r="E1159" s="455"/>
      <c r="F1159" s="455"/>
      <c r="G1159" s="455"/>
      <c r="H1159" s="455">
        <f>SUBTOTAL(9,H1160:H1169)</f>
        <v>0</v>
      </c>
      <c r="I1159" s="462"/>
      <c r="J1159" s="302" t="s">
        <v>21</v>
      </c>
      <c r="K1159" s="457"/>
      <c r="L1159" s="457"/>
      <c r="M1159" s="457" t="s">
        <v>32</v>
      </c>
      <c r="N1159" s="458"/>
    </row>
    <row r="1160" spans="1:14" s="469" customFormat="1" ht="14" outlineLevel="4">
      <c r="A1160" s="470" t="s">
        <v>8</v>
      </c>
      <c r="B1160" s="475" t="s">
        <v>844</v>
      </c>
      <c r="C1160" s="338" t="s">
        <v>24</v>
      </c>
      <c r="D1160" s="294"/>
      <c r="E1160" s="294"/>
      <c r="F1160" s="294"/>
      <c r="G1160" s="8">
        <f t="shared" ref="G1160:G1169" si="248">F1160*D1160</f>
        <v>0</v>
      </c>
      <c r="H1160" s="294">
        <f t="shared" ref="H1160:H1169" si="249">F1160*E1160</f>
        <v>0</v>
      </c>
      <c r="I1160" s="467"/>
      <c r="J1160" s="302" t="s">
        <v>21</v>
      </c>
      <c r="K1160" s="457" t="s">
        <v>325</v>
      </c>
      <c r="L1160" s="457" t="s">
        <v>99</v>
      </c>
      <c r="M1160" s="457" t="s">
        <v>32</v>
      </c>
      <c r="N1160" s="468"/>
    </row>
    <row r="1161" spans="1:14" s="469" customFormat="1" ht="14" outlineLevel="4">
      <c r="A1161" s="470" t="s">
        <v>8</v>
      </c>
      <c r="B1161" s="475" t="s">
        <v>845</v>
      </c>
      <c r="C1161" s="338" t="s">
        <v>15</v>
      </c>
      <c r="D1161" s="294"/>
      <c r="E1161" s="294"/>
      <c r="F1161" s="294"/>
      <c r="G1161" s="8">
        <f t="shared" si="248"/>
        <v>0</v>
      </c>
      <c r="H1161" s="294">
        <f t="shared" si="249"/>
        <v>0</v>
      </c>
      <c r="I1161" s="467"/>
      <c r="J1161" s="302" t="s">
        <v>21</v>
      </c>
      <c r="K1161" s="457" t="s">
        <v>325</v>
      </c>
      <c r="L1161" s="457" t="s">
        <v>99</v>
      </c>
      <c r="M1161" s="457" t="s">
        <v>32</v>
      </c>
      <c r="N1161" s="468"/>
    </row>
    <row r="1162" spans="1:14" s="469" customFormat="1" ht="14" outlineLevel="4">
      <c r="A1162" s="470" t="s">
        <v>8</v>
      </c>
      <c r="B1162" s="475" t="s">
        <v>846</v>
      </c>
      <c r="C1162" s="338" t="s">
        <v>15</v>
      </c>
      <c r="D1162" s="294"/>
      <c r="E1162" s="294"/>
      <c r="F1162" s="294"/>
      <c r="G1162" s="8">
        <f t="shared" si="248"/>
        <v>0</v>
      </c>
      <c r="H1162" s="294">
        <f t="shared" si="249"/>
        <v>0</v>
      </c>
      <c r="I1162" s="467"/>
      <c r="J1162" s="302" t="s">
        <v>21</v>
      </c>
      <c r="K1162" s="457" t="s">
        <v>325</v>
      </c>
      <c r="L1162" s="457" t="s">
        <v>99</v>
      </c>
      <c r="M1162" s="457" t="s">
        <v>32</v>
      </c>
      <c r="N1162" s="468"/>
    </row>
    <row r="1163" spans="1:14" s="469" customFormat="1" ht="14" outlineLevel="4">
      <c r="A1163" s="470" t="s">
        <v>8</v>
      </c>
      <c r="B1163" s="475" t="s">
        <v>847</v>
      </c>
      <c r="C1163" s="338" t="s">
        <v>15</v>
      </c>
      <c r="D1163" s="294"/>
      <c r="E1163" s="294"/>
      <c r="F1163" s="294"/>
      <c r="G1163" s="8">
        <f t="shared" si="248"/>
        <v>0</v>
      </c>
      <c r="H1163" s="294">
        <f t="shared" si="249"/>
        <v>0</v>
      </c>
      <c r="I1163" s="467"/>
      <c r="J1163" s="302" t="s">
        <v>21</v>
      </c>
      <c r="K1163" s="457" t="s">
        <v>325</v>
      </c>
      <c r="L1163" s="457" t="s">
        <v>99</v>
      </c>
      <c r="M1163" s="457" t="s">
        <v>32</v>
      </c>
      <c r="N1163" s="468"/>
    </row>
    <row r="1164" spans="1:14" s="469" customFormat="1" ht="14" outlineLevel="4">
      <c r="A1164" s="470" t="s">
        <v>8</v>
      </c>
      <c r="B1164" s="475" t="s">
        <v>848</v>
      </c>
      <c r="C1164" s="338" t="s">
        <v>24</v>
      </c>
      <c r="D1164" s="294"/>
      <c r="E1164" s="294"/>
      <c r="F1164" s="294"/>
      <c r="G1164" s="8">
        <f t="shared" si="248"/>
        <v>0</v>
      </c>
      <c r="H1164" s="294">
        <f t="shared" si="249"/>
        <v>0</v>
      </c>
      <c r="I1164" s="467"/>
      <c r="J1164" s="302" t="s">
        <v>21</v>
      </c>
      <c r="K1164" s="457" t="s">
        <v>325</v>
      </c>
      <c r="L1164" s="457" t="s">
        <v>99</v>
      </c>
      <c r="M1164" s="457" t="s">
        <v>32</v>
      </c>
      <c r="N1164" s="468"/>
    </row>
    <row r="1165" spans="1:14" s="469" customFormat="1" ht="14" outlineLevel="4">
      <c r="A1165" s="470" t="s">
        <v>8</v>
      </c>
      <c r="B1165" s="475" t="s">
        <v>849</v>
      </c>
      <c r="C1165" s="338" t="s">
        <v>15</v>
      </c>
      <c r="D1165" s="294"/>
      <c r="E1165" s="294"/>
      <c r="F1165" s="294"/>
      <c r="G1165" s="8">
        <f t="shared" si="248"/>
        <v>0</v>
      </c>
      <c r="H1165" s="294">
        <f t="shared" si="249"/>
        <v>0</v>
      </c>
      <c r="I1165" s="467"/>
      <c r="J1165" s="302" t="s">
        <v>21</v>
      </c>
      <c r="K1165" s="457" t="s">
        <v>325</v>
      </c>
      <c r="L1165" s="457" t="s">
        <v>99</v>
      </c>
      <c r="M1165" s="457" t="s">
        <v>32</v>
      </c>
      <c r="N1165" s="468"/>
    </row>
    <row r="1166" spans="1:14" s="469" customFormat="1" ht="14" outlineLevel="4">
      <c r="A1166" s="470" t="s">
        <v>8</v>
      </c>
      <c r="B1166" s="475" t="s">
        <v>850</v>
      </c>
      <c r="C1166" s="338" t="s">
        <v>15</v>
      </c>
      <c r="D1166" s="294"/>
      <c r="E1166" s="294"/>
      <c r="F1166" s="294"/>
      <c r="G1166" s="8">
        <f t="shared" si="248"/>
        <v>0</v>
      </c>
      <c r="H1166" s="294">
        <f t="shared" si="249"/>
        <v>0</v>
      </c>
      <c r="I1166" s="467"/>
      <c r="J1166" s="302" t="s">
        <v>21</v>
      </c>
      <c r="K1166" s="457" t="s">
        <v>325</v>
      </c>
      <c r="L1166" s="457" t="s">
        <v>99</v>
      </c>
      <c r="M1166" s="457" t="s">
        <v>32</v>
      </c>
      <c r="N1166" s="468"/>
    </row>
    <row r="1167" spans="1:14" s="469" customFormat="1" ht="14" outlineLevel="4">
      <c r="A1167" s="470" t="s">
        <v>8</v>
      </c>
      <c r="B1167" s="475" t="s">
        <v>851</v>
      </c>
      <c r="C1167" s="338" t="s">
        <v>15</v>
      </c>
      <c r="D1167" s="294"/>
      <c r="E1167" s="294"/>
      <c r="F1167" s="294"/>
      <c r="G1167" s="8">
        <f t="shared" si="248"/>
        <v>0</v>
      </c>
      <c r="H1167" s="294">
        <f t="shared" si="249"/>
        <v>0</v>
      </c>
      <c r="I1167" s="467"/>
      <c r="J1167" s="302" t="s">
        <v>21</v>
      </c>
      <c r="K1167" s="457" t="s">
        <v>325</v>
      </c>
      <c r="L1167" s="457" t="s">
        <v>99</v>
      </c>
      <c r="M1167" s="457" t="s">
        <v>32</v>
      </c>
      <c r="N1167" s="468"/>
    </row>
    <row r="1168" spans="1:14" s="469" customFormat="1" ht="14" outlineLevel="4">
      <c r="A1168" s="470" t="s">
        <v>8</v>
      </c>
      <c r="B1168" s="475" t="s">
        <v>852</v>
      </c>
      <c r="C1168" s="338" t="s">
        <v>15</v>
      </c>
      <c r="D1168" s="294"/>
      <c r="E1168" s="294"/>
      <c r="F1168" s="294"/>
      <c r="G1168" s="8">
        <f t="shared" si="248"/>
        <v>0</v>
      </c>
      <c r="H1168" s="294">
        <f t="shared" si="249"/>
        <v>0</v>
      </c>
      <c r="I1168" s="467"/>
      <c r="J1168" s="302" t="s">
        <v>21</v>
      </c>
      <c r="K1168" s="457" t="s">
        <v>325</v>
      </c>
      <c r="L1168" s="457" t="s">
        <v>99</v>
      </c>
      <c r="M1168" s="457" t="s">
        <v>32</v>
      </c>
      <c r="N1168" s="468"/>
    </row>
    <row r="1169" spans="1:14" s="469" customFormat="1" ht="14" outlineLevel="4">
      <c r="A1169" s="470" t="s">
        <v>8</v>
      </c>
      <c r="B1169" s="475" t="s">
        <v>853</v>
      </c>
      <c r="C1169" s="338" t="s">
        <v>15</v>
      </c>
      <c r="D1169" s="294"/>
      <c r="E1169" s="294"/>
      <c r="F1169" s="294"/>
      <c r="G1169" s="8">
        <f t="shared" si="248"/>
        <v>0</v>
      </c>
      <c r="H1169" s="294">
        <f t="shared" si="249"/>
        <v>0</v>
      </c>
      <c r="I1169" s="467"/>
      <c r="J1169" s="302" t="s">
        <v>21</v>
      </c>
      <c r="K1169" s="457" t="s">
        <v>325</v>
      </c>
      <c r="L1169" s="457" t="s">
        <v>99</v>
      </c>
      <c r="M1169" s="457" t="s">
        <v>32</v>
      </c>
      <c r="N1169" s="468"/>
    </row>
    <row r="1170" spans="1:14" s="459" customFormat="1" ht="14" outlineLevel="3">
      <c r="A1170" s="452">
        <v>1.4</v>
      </c>
      <c r="B1170" s="461" t="s">
        <v>1141</v>
      </c>
      <c r="C1170" s="454"/>
      <c r="D1170" s="455"/>
      <c r="E1170" s="455"/>
      <c r="F1170" s="455"/>
      <c r="G1170" s="455">
        <f>SUBTOTAL(9,G1171:G1186)</f>
        <v>12600</v>
      </c>
      <c r="H1170" s="455">
        <f>SUBTOTAL(9,H1171:H1186)</f>
        <v>245540</v>
      </c>
      <c r="I1170" s="462"/>
      <c r="J1170" s="302" t="s">
        <v>21</v>
      </c>
      <c r="K1170" s="457"/>
      <c r="L1170" s="457"/>
      <c r="M1170" s="457" t="s">
        <v>32</v>
      </c>
      <c r="N1170" s="458"/>
    </row>
    <row r="1171" spans="1:14" s="469" customFormat="1" ht="14" outlineLevel="4">
      <c r="A1171" s="470" t="s">
        <v>8</v>
      </c>
      <c r="B1171" s="475" t="s">
        <v>920</v>
      </c>
      <c r="C1171" s="338" t="s">
        <v>879</v>
      </c>
      <c r="D1171" s="294">
        <v>9</v>
      </c>
      <c r="E1171" s="294">
        <v>100</v>
      </c>
      <c r="F1171" s="294">
        <v>1400</v>
      </c>
      <c r="G1171" s="8">
        <f t="shared" ref="G1171:G1186" si="250">F1171*D1171</f>
        <v>12600</v>
      </c>
      <c r="H1171" s="294">
        <f t="shared" ref="H1171:H1186" si="251">F1171*E1171</f>
        <v>140000</v>
      </c>
      <c r="I1171" s="467"/>
      <c r="J1171" s="302" t="s">
        <v>21</v>
      </c>
      <c r="K1171" s="457" t="s">
        <v>325</v>
      </c>
      <c r="L1171" s="457" t="s">
        <v>99</v>
      </c>
      <c r="M1171" s="457" t="s">
        <v>32</v>
      </c>
      <c r="N1171" s="468"/>
    </row>
    <row r="1172" spans="1:14" s="469" customFormat="1" ht="14" outlineLevel="4">
      <c r="A1172" s="470" t="s">
        <v>8</v>
      </c>
      <c r="B1172" s="475" t="s">
        <v>921</v>
      </c>
      <c r="C1172" s="338" t="s">
        <v>148</v>
      </c>
      <c r="D1172" s="294"/>
      <c r="E1172" s="294">
        <v>100</v>
      </c>
      <c r="F1172" s="294">
        <v>13</v>
      </c>
      <c r="G1172" s="8">
        <f t="shared" si="250"/>
        <v>0</v>
      </c>
      <c r="H1172" s="294">
        <f t="shared" si="251"/>
        <v>1300</v>
      </c>
      <c r="I1172" s="467"/>
      <c r="J1172" s="302" t="s">
        <v>21</v>
      </c>
      <c r="K1172" s="457" t="s">
        <v>325</v>
      </c>
      <c r="L1172" s="457" t="s">
        <v>99</v>
      </c>
      <c r="M1172" s="457" t="s">
        <v>32</v>
      </c>
      <c r="N1172" s="468"/>
    </row>
    <row r="1173" spans="1:14" s="469" customFormat="1" ht="14" outlineLevel="4">
      <c r="A1173" s="470" t="s">
        <v>8</v>
      </c>
      <c r="B1173" s="475" t="s">
        <v>922</v>
      </c>
      <c r="C1173" s="338" t="s">
        <v>148</v>
      </c>
      <c r="D1173" s="294"/>
      <c r="E1173" s="294">
        <v>100</v>
      </c>
      <c r="F1173" s="294">
        <v>13</v>
      </c>
      <c r="G1173" s="8">
        <f t="shared" si="250"/>
        <v>0</v>
      </c>
      <c r="H1173" s="294">
        <f t="shared" si="251"/>
        <v>1300</v>
      </c>
      <c r="I1173" s="467"/>
      <c r="J1173" s="302" t="s">
        <v>21</v>
      </c>
      <c r="K1173" s="457" t="s">
        <v>325</v>
      </c>
      <c r="L1173" s="457" t="s">
        <v>99</v>
      </c>
      <c r="M1173" s="457" t="s">
        <v>32</v>
      </c>
      <c r="N1173" s="468"/>
    </row>
    <row r="1174" spans="1:14" s="469" customFormat="1" ht="14" outlineLevel="4">
      <c r="A1174" s="470" t="s">
        <v>8</v>
      </c>
      <c r="B1174" s="475" t="s">
        <v>923</v>
      </c>
      <c r="C1174" s="338" t="s">
        <v>148</v>
      </c>
      <c r="D1174" s="294"/>
      <c r="E1174" s="294">
        <v>100</v>
      </c>
      <c r="F1174" s="294">
        <v>13</v>
      </c>
      <c r="G1174" s="8">
        <f t="shared" si="250"/>
        <v>0</v>
      </c>
      <c r="H1174" s="294">
        <f t="shared" si="251"/>
        <v>1300</v>
      </c>
      <c r="I1174" s="467"/>
      <c r="J1174" s="302" t="s">
        <v>21</v>
      </c>
      <c r="K1174" s="457" t="s">
        <v>325</v>
      </c>
      <c r="L1174" s="457" t="s">
        <v>99</v>
      </c>
      <c r="M1174" s="457" t="s">
        <v>32</v>
      </c>
      <c r="N1174" s="468"/>
    </row>
    <row r="1175" spans="1:14" s="469" customFormat="1" ht="14" outlineLevel="4">
      <c r="A1175" s="470" t="s">
        <v>8</v>
      </c>
      <c r="B1175" s="475" t="s">
        <v>1458</v>
      </c>
      <c r="C1175" s="338" t="s">
        <v>148</v>
      </c>
      <c r="D1175" s="294"/>
      <c r="E1175" s="294"/>
      <c r="F1175" s="294">
        <v>13</v>
      </c>
      <c r="G1175" s="8">
        <f t="shared" si="250"/>
        <v>0</v>
      </c>
      <c r="H1175" s="294">
        <f t="shared" si="251"/>
        <v>0</v>
      </c>
      <c r="I1175" s="467"/>
      <c r="J1175" s="302" t="s">
        <v>21</v>
      </c>
      <c r="K1175" s="457" t="s">
        <v>325</v>
      </c>
      <c r="L1175" s="457" t="s">
        <v>99</v>
      </c>
      <c r="M1175" s="457" t="s">
        <v>32</v>
      </c>
      <c r="N1175" s="468"/>
    </row>
    <row r="1176" spans="1:14" s="469" customFormat="1" ht="14" outlineLevel="4">
      <c r="A1176" s="470" t="s">
        <v>8</v>
      </c>
      <c r="B1176" s="475" t="s">
        <v>1459</v>
      </c>
      <c r="C1176" s="338" t="s">
        <v>148</v>
      </c>
      <c r="D1176" s="294"/>
      <c r="E1176" s="294"/>
      <c r="F1176" s="294">
        <v>13</v>
      </c>
      <c r="G1176" s="8">
        <f t="shared" si="250"/>
        <v>0</v>
      </c>
      <c r="H1176" s="294">
        <f t="shared" si="251"/>
        <v>0</v>
      </c>
      <c r="I1176" s="467"/>
      <c r="J1176" s="302" t="s">
        <v>21</v>
      </c>
      <c r="K1176" s="457" t="s">
        <v>325</v>
      </c>
      <c r="L1176" s="457" t="s">
        <v>99</v>
      </c>
      <c r="M1176" s="457" t="s">
        <v>32</v>
      </c>
      <c r="N1176" s="468"/>
    </row>
    <row r="1177" spans="1:14" s="469" customFormat="1" ht="14" outlineLevel="4">
      <c r="A1177" s="470" t="s">
        <v>8</v>
      </c>
      <c r="B1177" s="475" t="s">
        <v>1460</v>
      </c>
      <c r="C1177" s="338" t="s">
        <v>148</v>
      </c>
      <c r="D1177" s="294"/>
      <c r="E1177" s="294">
        <v>100</v>
      </c>
      <c r="F1177" s="294">
        <v>52</v>
      </c>
      <c r="G1177" s="8">
        <f t="shared" si="250"/>
        <v>0</v>
      </c>
      <c r="H1177" s="294">
        <f t="shared" si="251"/>
        <v>5200</v>
      </c>
      <c r="I1177" s="467"/>
      <c r="J1177" s="302" t="s">
        <v>21</v>
      </c>
      <c r="K1177" s="457" t="s">
        <v>325</v>
      </c>
      <c r="L1177" s="457" t="s">
        <v>99</v>
      </c>
      <c r="M1177" s="457" t="s">
        <v>32</v>
      </c>
      <c r="N1177" s="468"/>
    </row>
    <row r="1178" spans="1:14" s="469" customFormat="1" ht="14" outlineLevel="4">
      <c r="A1178" s="470" t="s">
        <v>8</v>
      </c>
      <c r="B1178" s="475" t="s">
        <v>855</v>
      </c>
      <c r="C1178" s="338" t="s">
        <v>148</v>
      </c>
      <c r="D1178" s="294"/>
      <c r="E1178" s="294">
        <v>600</v>
      </c>
      <c r="F1178" s="294">
        <v>25</v>
      </c>
      <c r="G1178" s="8">
        <f t="shared" si="250"/>
        <v>0</v>
      </c>
      <c r="H1178" s="294">
        <f t="shared" si="251"/>
        <v>15000</v>
      </c>
      <c r="I1178" s="467"/>
      <c r="J1178" s="302" t="s">
        <v>21</v>
      </c>
      <c r="K1178" s="457" t="s">
        <v>325</v>
      </c>
      <c r="L1178" s="457" t="s">
        <v>99</v>
      </c>
      <c r="M1178" s="457" t="s">
        <v>32</v>
      </c>
      <c r="N1178" s="468"/>
    </row>
    <row r="1179" spans="1:14" s="469" customFormat="1" ht="14" outlineLevel="4">
      <c r="A1179" s="470" t="s">
        <v>8</v>
      </c>
      <c r="B1179" s="475" t="s">
        <v>1461</v>
      </c>
      <c r="C1179" s="338" t="s">
        <v>148</v>
      </c>
      <c r="D1179" s="294"/>
      <c r="E1179" s="294">
        <v>160</v>
      </c>
      <c r="F1179" s="294">
        <v>13</v>
      </c>
      <c r="G1179" s="8">
        <f t="shared" si="250"/>
        <v>0</v>
      </c>
      <c r="H1179" s="294">
        <f t="shared" si="251"/>
        <v>2080</v>
      </c>
      <c r="I1179" s="467"/>
      <c r="J1179" s="302" t="s">
        <v>21</v>
      </c>
      <c r="K1179" s="457" t="s">
        <v>325</v>
      </c>
      <c r="L1179" s="457" t="s">
        <v>99</v>
      </c>
      <c r="M1179" s="457" t="s">
        <v>32</v>
      </c>
      <c r="N1179" s="468"/>
    </row>
    <row r="1180" spans="1:14" s="469" customFormat="1" ht="14" outlineLevel="4">
      <c r="A1180" s="470" t="s">
        <v>8</v>
      </c>
      <c r="B1180" s="475" t="s">
        <v>1462</v>
      </c>
      <c r="C1180" s="338" t="s">
        <v>148</v>
      </c>
      <c r="D1180" s="294"/>
      <c r="E1180" s="294">
        <v>160</v>
      </c>
      <c r="F1180" s="294">
        <v>70</v>
      </c>
      <c r="G1180" s="8">
        <f t="shared" si="250"/>
        <v>0</v>
      </c>
      <c r="H1180" s="294">
        <f t="shared" si="251"/>
        <v>11200</v>
      </c>
      <c r="I1180" s="467"/>
      <c r="J1180" s="302" t="s">
        <v>21</v>
      </c>
      <c r="K1180" s="457" t="s">
        <v>325</v>
      </c>
      <c r="L1180" s="457" t="s">
        <v>99</v>
      </c>
      <c r="M1180" s="457" t="s">
        <v>32</v>
      </c>
      <c r="N1180" s="468"/>
    </row>
    <row r="1181" spans="1:14" s="469" customFormat="1" ht="14" outlineLevel="4">
      <c r="A1181" s="470" t="s">
        <v>8</v>
      </c>
      <c r="B1181" s="475" t="s">
        <v>1463</v>
      </c>
      <c r="C1181" s="338" t="s">
        <v>148</v>
      </c>
      <c r="D1181" s="294"/>
      <c r="E1181" s="294">
        <v>80</v>
      </c>
      <c r="F1181" s="294">
        <v>140</v>
      </c>
      <c r="G1181" s="8">
        <f t="shared" si="250"/>
        <v>0</v>
      </c>
      <c r="H1181" s="294">
        <f t="shared" si="251"/>
        <v>11200</v>
      </c>
      <c r="I1181" s="467"/>
      <c r="J1181" s="302" t="s">
        <v>21</v>
      </c>
      <c r="K1181" s="457" t="s">
        <v>325</v>
      </c>
      <c r="L1181" s="457" t="s">
        <v>99</v>
      </c>
      <c r="M1181" s="457" t="s">
        <v>32</v>
      </c>
      <c r="N1181" s="468"/>
    </row>
    <row r="1182" spans="1:14" s="469" customFormat="1" ht="14" outlineLevel="4">
      <c r="A1182" s="470" t="s">
        <v>8</v>
      </c>
      <c r="B1182" s="475" t="s">
        <v>1464</v>
      </c>
      <c r="C1182" s="338" t="s">
        <v>148</v>
      </c>
      <c r="D1182" s="294"/>
      <c r="E1182" s="294">
        <v>160</v>
      </c>
      <c r="F1182" s="294">
        <v>52</v>
      </c>
      <c r="G1182" s="8">
        <f t="shared" si="250"/>
        <v>0</v>
      </c>
      <c r="H1182" s="294">
        <f t="shared" si="251"/>
        <v>8320</v>
      </c>
      <c r="I1182" s="467"/>
      <c r="J1182" s="302" t="s">
        <v>21</v>
      </c>
      <c r="K1182" s="457" t="s">
        <v>325</v>
      </c>
      <c r="L1182" s="457" t="s">
        <v>99</v>
      </c>
      <c r="M1182" s="457" t="s">
        <v>32</v>
      </c>
      <c r="N1182" s="468"/>
    </row>
    <row r="1183" spans="1:14" s="469" customFormat="1" ht="14" outlineLevel="4">
      <c r="A1183" s="470" t="s">
        <v>8</v>
      </c>
      <c r="B1183" s="475" t="s">
        <v>1465</v>
      </c>
      <c r="C1183" s="338" t="s">
        <v>148</v>
      </c>
      <c r="D1183" s="294"/>
      <c r="E1183" s="294">
        <v>160</v>
      </c>
      <c r="F1183" s="294">
        <v>132</v>
      </c>
      <c r="G1183" s="8">
        <f t="shared" si="250"/>
        <v>0</v>
      </c>
      <c r="H1183" s="294">
        <f t="shared" si="251"/>
        <v>21120</v>
      </c>
      <c r="I1183" s="467"/>
      <c r="J1183" s="302" t="s">
        <v>21</v>
      </c>
      <c r="K1183" s="457" t="s">
        <v>325</v>
      </c>
      <c r="L1183" s="457" t="s">
        <v>99</v>
      </c>
      <c r="M1183" s="457" t="s">
        <v>32</v>
      </c>
      <c r="N1183" s="468"/>
    </row>
    <row r="1184" spans="1:14" s="469" customFormat="1" ht="14" outlineLevel="4">
      <c r="A1184" s="470" t="s">
        <v>8</v>
      </c>
      <c r="B1184" s="475" t="s">
        <v>1466</v>
      </c>
      <c r="C1184" s="338" t="s">
        <v>148</v>
      </c>
      <c r="D1184" s="294"/>
      <c r="E1184" s="294">
        <v>80</v>
      </c>
      <c r="F1184" s="294">
        <v>269</v>
      </c>
      <c r="G1184" s="8">
        <f t="shared" si="250"/>
        <v>0</v>
      </c>
      <c r="H1184" s="294">
        <f t="shared" si="251"/>
        <v>21520</v>
      </c>
      <c r="I1184" s="467"/>
      <c r="J1184" s="302" t="s">
        <v>21</v>
      </c>
      <c r="K1184" s="457" t="s">
        <v>325</v>
      </c>
      <c r="L1184" s="457" t="s">
        <v>99</v>
      </c>
      <c r="M1184" s="457" t="s">
        <v>32</v>
      </c>
      <c r="N1184" s="468"/>
    </row>
    <row r="1185" spans="1:14" s="469" customFormat="1" ht="14" outlineLevel="4">
      <c r="A1185" s="470" t="s">
        <v>8</v>
      </c>
      <c r="B1185" s="475" t="s">
        <v>926</v>
      </c>
      <c r="C1185" s="338" t="s">
        <v>927</v>
      </c>
      <c r="D1185" s="294">
        <v>0</v>
      </c>
      <c r="E1185" s="294">
        <v>0</v>
      </c>
      <c r="F1185" s="294">
        <v>175</v>
      </c>
      <c r="G1185" s="8">
        <f t="shared" si="250"/>
        <v>0</v>
      </c>
      <c r="H1185" s="294">
        <f t="shared" si="251"/>
        <v>0</v>
      </c>
      <c r="I1185" s="467"/>
      <c r="J1185" s="302" t="s">
        <v>21</v>
      </c>
      <c r="K1185" s="457" t="s">
        <v>325</v>
      </c>
      <c r="L1185" s="457" t="s">
        <v>99</v>
      </c>
      <c r="M1185" s="457" t="s">
        <v>32</v>
      </c>
      <c r="N1185" s="468"/>
    </row>
    <row r="1186" spans="1:14" s="469" customFormat="1" ht="14" outlineLevel="4">
      <c r="A1186" s="470" t="s">
        <v>8</v>
      </c>
      <c r="B1186" s="475" t="s">
        <v>853</v>
      </c>
      <c r="C1186" s="338" t="s">
        <v>880</v>
      </c>
      <c r="D1186" s="294">
        <v>0</v>
      </c>
      <c r="E1186" s="294">
        <v>1200</v>
      </c>
      <c r="F1186" s="294">
        <v>5</v>
      </c>
      <c r="G1186" s="8">
        <f t="shared" si="250"/>
        <v>0</v>
      </c>
      <c r="H1186" s="294">
        <f t="shared" si="251"/>
        <v>6000</v>
      </c>
      <c r="I1186" s="467"/>
      <c r="J1186" s="302" t="s">
        <v>21</v>
      </c>
      <c r="K1186" s="457" t="s">
        <v>325</v>
      </c>
      <c r="L1186" s="457" t="s">
        <v>99</v>
      </c>
      <c r="M1186" s="457" t="s">
        <v>32</v>
      </c>
      <c r="N1186" s="468"/>
    </row>
    <row r="1187" spans="1:14" s="459" customFormat="1" ht="14" outlineLevel="3">
      <c r="A1187" s="452">
        <v>1.5</v>
      </c>
      <c r="B1187" s="461" t="s">
        <v>1142</v>
      </c>
      <c r="C1187" s="454"/>
      <c r="D1187" s="455"/>
      <c r="E1187" s="455"/>
      <c r="F1187" s="455"/>
      <c r="G1187" s="455"/>
      <c r="H1187" s="455">
        <f>SUBTOTAL(9,H1188:H1189)</f>
        <v>3262</v>
      </c>
      <c r="I1187" s="462"/>
      <c r="J1187" s="302" t="s">
        <v>21</v>
      </c>
      <c r="K1187" s="457"/>
      <c r="L1187" s="457"/>
      <c r="M1187" s="457" t="s">
        <v>32</v>
      </c>
      <c r="N1187" s="458"/>
    </row>
    <row r="1188" spans="1:14" s="469" customFormat="1" ht="14" outlineLevel="4">
      <c r="A1188" s="470" t="s">
        <v>8</v>
      </c>
      <c r="B1188" s="475" t="s">
        <v>931</v>
      </c>
      <c r="C1188" s="338" t="s">
        <v>33</v>
      </c>
      <c r="D1188" s="294"/>
      <c r="E1188" s="294">
        <v>2</v>
      </c>
      <c r="F1188" s="294">
        <v>31</v>
      </c>
      <c r="G1188" s="8">
        <f t="shared" ref="G1188:G1189" si="252">F1188*D1188</f>
        <v>0</v>
      </c>
      <c r="H1188" s="294">
        <f t="shared" ref="H1188:H1189" si="253">F1188*E1188</f>
        <v>62</v>
      </c>
      <c r="I1188" s="467"/>
      <c r="J1188" s="302" t="s">
        <v>21</v>
      </c>
      <c r="K1188" s="457" t="s">
        <v>325</v>
      </c>
      <c r="L1188" s="457" t="s">
        <v>99</v>
      </c>
      <c r="M1188" s="457" t="s">
        <v>32</v>
      </c>
      <c r="N1188" s="468"/>
    </row>
    <row r="1189" spans="1:14" s="469" customFormat="1" ht="14" outlineLevel="4">
      <c r="A1189" s="470" t="s">
        <v>8</v>
      </c>
      <c r="B1189" s="475" t="s">
        <v>932</v>
      </c>
      <c r="C1189" s="338" t="s">
        <v>33</v>
      </c>
      <c r="D1189" s="294"/>
      <c r="E1189" s="294">
        <v>200</v>
      </c>
      <c r="F1189" s="294">
        <v>16</v>
      </c>
      <c r="G1189" s="8">
        <f t="shared" si="252"/>
        <v>0</v>
      </c>
      <c r="H1189" s="294">
        <f t="shared" si="253"/>
        <v>3200</v>
      </c>
      <c r="I1189" s="467"/>
      <c r="J1189" s="302" t="s">
        <v>21</v>
      </c>
      <c r="K1189" s="457" t="s">
        <v>325</v>
      </c>
      <c r="L1189" s="457" t="s">
        <v>99</v>
      </c>
      <c r="M1189" s="457" t="s">
        <v>32</v>
      </c>
      <c r="N1189" s="468"/>
    </row>
    <row r="1190" spans="1:14" s="459" customFormat="1" ht="14" outlineLevel="3">
      <c r="A1190" s="452">
        <v>1.6</v>
      </c>
      <c r="B1190" s="461" t="s">
        <v>1339</v>
      </c>
      <c r="C1190" s="454"/>
      <c r="D1190" s="455"/>
      <c r="E1190" s="455"/>
      <c r="F1190" s="455"/>
      <c r="G1190" s="455">
        <f>SUBTOTAL(9,G1191:G1200)</f>
        <v>246400</v>
      </c>
      <c r="H1190" s="455">
        <f>SUBTOTAL(9,H1191:H1200)</f>
        <v>275546.59999999998</v>
      </c>
      <c r="I1190" s="462"/>
      <c r="J1190" s="302" t="s">
        <v>21</v>
      </c>
      <c r="K1190" s="457"/>
      <c r="L1190" s="457"/>
      <c r="M1190" s="457" t="s">
        <v>32</v>
      </c>
      <c r="N1190" s="458"/>
    </row>
    <row r="1191" spans="1:14" s="469" customFormat="1" ht="14" outlineLevel="4">
      <c r="A1191" s="470" t="s">
        <v>8</v>
      </c>
      <c r="B1191" s="475" t="s">
        <v>1337</v>
      </c>
      <c r="C1191" s="338" t="s">
        <v>879</v>
      </c>
      <c r="D1191" s="294">
        <v>112</v>
      </c>
      <c r="E1191" s="294">
        <v>100</v>
      </c>
      <c r="F1191" s="294">
        <v>2200</v>
      </c>
      <c r="G1191" s="8">
        <f t="shared" ref="G1191:G1200" si="254">F1191*D1191</f>
        <v>246400</v>
      </c>
      <c r="H1191" s="294">
        <f t="shared" ref="H1191:H1200" si="255">F1191*E1191</f>
        <v>220000</v>
      </c>
      <c r="I1191" s="467"/>
      <c r="J1191" s="302" t="s">
        <v>21</v>
      </c>
      <c r="K1191" s="457" t="s">
        <v>325</v>
      </c>
      <c r="L1191" s="457" t="s">
        <v>99</v>
      </c>
      <c r="M1191" s="457" t="s">
        <v>32</v>
      </c>
      <c r="N1191" s="468"/>
    </row>
    <row r="1192" spans="1:14" s="469" customFormat="1" ht="14" outlineLevel="4">
      <c r="A1192" s="470" t="s">
        <v>8</v>
      </c>
      <c r="B1192" s="475" t="s">
        <v>855</v>
      </c>
      <c r="C1192" s="338" t="s">
        <v>148</v>
      </c>
      <c r="D1192" s="294">
        <v>0</v>
      </c>
      <c r="E1192" s="294">
        <v>0</v>
      </c>
      <c r="F1192" s="294">
        <v>37.549999999999997</v>
      </c>
      <c r="G1192" s="8">
        <f t="shared" si="254"/>
        <v>0</v>
      </c>
      <c r="H1192" s="294">
        <f t="shared" si="255"/>
        <v>0</v>
      </c>
      <c r="I1192" s="467"/>
      <c r="J1192" s="302" t="s">
        <v>21</v>
      </c>
      <c r="K1192" s="457" t="s">
        <v>325</v>
      </c>
      <c r="L1192" s="457" t="s">
        <v>99</v>
      </c>
      <c r="M1192" s="457" t="s">
        <v>32</v>
      </c>
      <c r="N1192" s="468"/>
    </row>
    <row r="1193" spans="1:14" s="469" customFormat="1" ht="14" outlineLevel="4">
      <c r="A1193" s="470" t="s">
        <v>8</v>
      </c>
      <c r="B1193" s="475" t="s">
        <v>1338</v>
      </c>
      <c r="C1193" s="338" t="s">
        <v>148</v>
      </c>
      <c r="D1193" s="294"/>
      <c r="E1193" s="294"/>
      <c r="F1193" s="294">
        <v>37.4</v>
      </c>
      <c r="G1193" s="8">
        <f t="shared" si="254"/>
        <v>0</v>
      </c>
      <c r="H1193" s="294">
        <f t="shared" si="255"/>
        <v>0</v>
      </c>
      <c r="I1193" s="467"/>
      <c r="J1193" s="302" t="s">
        <v>21</v>
      </c>
      <c r="K1193" s="457" t="s">
        <v>325</v>
      </c>
      <c r="L1193" s="457" t="s">
        <v>99</v>
      </c>
      <c r="M1193" s="457" t="s">
        <v>32</v>
      </c>
      <c r="N1193" s="468"/>
    </row>
    <row r="1194" spans="1:14" s="469" customFormat="1" ht="14" outlineLevel="4">
      <c r="A1194" s="470" t="s">
        <v>8</v>
      </c>
      <c r="B1194" s="475" t="s">
        <v>1473</v>
      </c>
      <c r="C1194" s="338" t="s">
        <v>148</v>
      </c>
      <c r="D1194" s="294"/>
      <c r="E1194" s="294">
        <v>60</v>
      </c>
      <c r="F1194" s="294">
        <v>24.31</v>
      </c>
      <c r="G1194" s="8">
        <f t="shared" si="254"/>
        <v>0</v>
      </c>
      <c r="H1194" s="294">
        <f t="shared" si="255"/>
        <v>1458.6</v>
      </c>
      <c r="I1194" s="467"/>
      <c r="J1194" s="302" t="s">
        <v>21</v>
      </c>
      <c r="K1194" s="457" t="s">
        <v>325</v>
      </c>
      <c r="L1194" s="457" t="s">
        <v>99</v>
      </c>
      <c r="M1194" s="457" t="s">
        <v>32</v>
      </c>
      <c r="N1194" s="468"/>
    </row>
    <row r="1195" spans="1:14" s="469" customFormat="1" ht="14" outlineLevel="4">
      <c r="A1195" s="470" t="s">
        <v>8</v>
      </c>
      <c r="B1195" s="475" t="s">
        <v>1474</v>
      </c>
      <c r="C1195" s="338" t="s">
        <v>148</v>
      </c>
      <c r="D1195" s="294"/>
      <c r="E1195" s="294">
        <v>100</v>
      </c>
      <c r="F1195" s="294">
        <v>66</v>
      </c>
      <c r="G1195" s="8">
        <f t="shared" si="254"/>
        <v>0</v>
      </c>
      <c r="H1195" s="294">
        <f t="shared" si="255"/>
        <v>6600</v>
      </c>
      <c r="I1195" s="467"/>
      <c r="J1195" s="302" t="s">
        <v>21</v>
      </c>
      <c r="K1195" s="457" t="s">
        <v>325</v>
      </c>
      <c r="L1195" s="457" t="s">
        <v>99</v>
      </c>
      <c r="M1195" s="457" t="s">
        <v>32</v>
      </c>
      <c r="N1195" s="468"/>
    </row>
    <row r="1196" spans="1:14" s="469" customFormat="1" ht="14" outlineLevel="4">
      <c r="A1196" s="470" t="s">
        <v>8</v>
      </c>
      <c r="B1196" s="475" t="s">
        <v>1475</v>
      </c>
      <c r="C1196" s="338" t="s">
        <v>148</v>
      </c>
      <c r="D1196" s="294"/>
      <c r="E1196" s="294">
        <v>40</v>
      </c>
      <c r="F1196" s="294">
        <v>140</v>
      </c>
      <c r="G1196" s="8">
        <f t="shared" si="254"/>
        <v>0</v>
      </c>
      <c r="H1196" s="294">
        <f t="shared" si="255"/>
        <v>5600</v>
      </c>
      <c r="I1196" s="467"/>
      <c r="J1196" s="302" t="s">
        <v>21</v>
      </c>
      <c r="K1196" s="457" t="s">
        <v>325</v>
      </c>
      <c r="L1196" s="457" t="s">
        <v>99</v>
      </c>
      <c r="M1196" s="457" t="s">
        <v>32</v>
      </c>
      <c r="N1196" s="468"/>
    </row>
    <row r="1197" spans="1:14" s="469" customFormat="1" ht="14" outlineLevel="4">
      <c r="A1197" s="470" t="s">
        <v>8</v>
      </c>
      <c r="B1197" s="475" t="s">
        <v>1476</v>
      </c>
      <c r="C1197" s="338" t="s">
        <v>148</v>
      </c>
      <c r="D1197" s="294"/>
      <c r="E1197" s="294">
        <v>120</v>
      </c>
      <c r="F1197" s="294">
        <v>37.4</v>
      </c>
      <c r="G1197" s="8">
        <f t="shared" si="254"/>
        <v>0</v>
      </c>
      <c r="H1197" s="294">
        <f t="shared" si="255"/>
        <v>4488</v>
      </c>
      <c r="I1197" s="467"/>
      <c r="J1197" s="302" t="s">
        <v>21</v>
      </c>
      <c r="K1197" s="457" t="s">
        <v>325</v>
      </c>
      <c r="L1197" s="457" t="s">
        <v>99</v>
      </c>
      <c r="M1197" s="457" t="s">
        <v>32</v>
      </c>
      <c r="N1197" s="468"/>
    </row>
    <row r="1198" spans="1:14" s="469" customFormat="1" ht="14" outlineLevel="4">
      <c r="A1198" s="470" t="s">
        <v>8</v>
      </c>
      <c r="B1198" s="475" t="s">
        <v>1477</v>
      </c>
      <c r="C1198" s="338" t="s">
        <v>148</v>
      </c>
      <c r="D1198" s="294"/>
      <c r="E1198" s="294">
        <v>200</v>
      </c>
      <c r="F1198" s="294">
        <v>99</v>
      </c>
      <c r="G1198" s="8">
        <f t="shared" si="254"/>
        <v>0</v>
      </c>
      <c r="H1198" s="294">
        <f t="shared" si="255"/>
        <v>19800</v>
      </c>
      <c r="I1198" s="467"/>
      <c r="J1198" s="302" t="s">
        <v>21</v>
      </c>
      <c r="K1198" s="457" t="s">
        <v>325</v>
      </c>
      <c r="L1198" s="457" t="s">
        <v>99</v>
      </c>
      <c r="M1198" s="457" t="s">
        <v>32</v>
      </c>
      <c r="N1198" s="468"/>
    </row>
    <row r="1199" spans="1:14" s="469" customFormat="1" ht="14" outlineLevel="4">
      <c r="A1199" s="470" t="s">
        <v>8</v>
      </c>
      <c r="B1199" s="475" t="s">
        <v>1478</v>
      </c>
      <c r="C1199" s="338" t="s">
        <v>148</v>
      </c>
      <c r="D1199" s="294"/>
      <c r="E1199" s="294">
        <v>80</v>
      </c>
      <c r="F1199" s="294">
        <v>220</v>
      </c>
      <c r="G1199" s="8">
        <f t="shared" si="254"/>
        <v>0</v>
      </c>
      <c r="H1199" s="294">
        <f t="shared" si="255"/>
        <v>17600</v>
      </c>
      <c r="I1199" s="467"/>
      <c r="J1199" s="302" t="s">
        <v>21</v>
      </c>
      <c r="K1199" s="457" t="s">
        <v>325</v>
      </c>
      <c r="L1199" s="457" t="s">
        <v>99</v>
      </c>
      <c r="M1199" s="457" t="s">
        <v>32</v>
      </c>
      <c r="N1199" s="468"/>
    </row>
    <row r="1200" spans="1:14" s="469" customFormat="1" ht="14" outlineLevel="4">
      <c r="A1200" s="470" t="s">
        <v>8</v>
      </c>
      <c r="B1200" s="475" t="s">
        <v>853</v>
      </c>
      <c r="C1200" s="338" t="s">
        <v>880</v>
      </c>
      <c r="D1200" s="294"/>
      <c r="E1200" s="294"/>
      <c r="F1200" s="294"/>
      <c r="G1200" s="89">
        <f t="shared" si="254"/>
        <v>0</v>
      </c>
      <c r="H1200" s="294">
        <f t="shared" si="255"/>
        <v>0</v>
      </c>
      <c r="I1200" s="467"/>
      <c r="J1200" s="457" t="s">
        <v>21</v>
      </c>
      <c r="K1200" s="457" t="s">
        <v>325</v>
      </c>
      <c r="L1200" s="457" t="s">
        <v>99</v>
      </c>
      <c r="M1200" s="457" t="s">
        <v>32</v>
      </c>
      <c r="N1200" s="468"/>
    </row>
    <row r="1201" spans="1:14" s="459" customFormat="1" ht="14" outlineLevel="3">
      <c r="A1201" s="452">
        <v>1.7</v>
      </c>
      <c r="B1201" s="461" t="s">
        <v>1341</v>
      </c>
      <c r="C1201" s="454"/>
      <c r="D1201" s="455"/>
      <c r="E1201" s="455"/>
      <c r="F1201" s="455"/>
      <c r="G1201" s="455"/>
      <c r="H1201" s="455">
        <f>SUBTOTAL(9,H1202:H1217)</f>
        <v>11651.174199999999</v>
      </c>
      <c r="I1201" s="462"/>
      <c r="J1201" s="302" t="s">
        <v>21</v>
      </c>
      <c r="K1201" s="457"/>
      <c r="L1201" s="457"/>
      <c r="M1201" s="457" t="s">
        <v>32</v>
      </c>
      <c r="N1201" s="458"/>
    </row>
    <row r="1202" spans="1:14" s="469" customFormat="1" ht="14" outlineLevel="4">
      <c r="A1202" s="470" t="s">
        <v>8</v>
      </c>
      <c r="B1202" s="475" t="s">
        <v>1340</v>
      </c>
      <c r="C1202" s="338" t="s">
        <v>879</v>
      </c>
      <c r="D1202" s="294"/>
      <c r="E1202" s="294">
        <v>3.7</v>
      </c>
      <c r="F1202" s="294">
        <v>2200</v>
      </c>
      <c r="G1202" s="8">
        <f t="shared" ref="G1202:G1217" si="256">F1202*D1202</f>
        <v>0</v>
      </c>
      <c r="H1202" s="294">
        <f t="shared" ref="H1202:H1217" si="257">F1202*E1202</f>
        <v>8140</v>
      </c>
      <c r="I1202" s="467"/>
      <c r="J1202" s="302" t="s">
        <v>21</v>
      </c>
      <c r="K1202" s="457" t="s">
        <v>325</v>
      </c>
      <c r="L1202" s="457" t="s">
        <v>99</v>
      </c>
      <c r="M1202" s="457" t="s">
        <v>32</v>
      </c>
      <c r="N1202" s="468"/>
    </row>
    <row r="1203" spans="1:14" s="469" customFormat="1" ht="14" outlineLevel="4">
      <c r="A1203" s="470" t="s">
        <v>8</v>
      </c>
      <c r="B1203" s="475" t="s">
        <v>907</v>
      </c>
      <c r="C1203" s="338" t="s">
        <v>148</v>
      </c>
      <c r="D1203" s="294"/>
      <c r="E1203" s="294"/>
      <c r="F1203" s="294">
        <v>24.31</v>
      </c>
      <c r="G1203" s="8">
        <f t="shared" si="256"/>
        <v>0</v>
      </c>
      <c r="H1203" s="294">
        <f t="shared" si="257"/>
        <v>0</v>
      </c>
      <c r="I1203" s="467"/>
      <c r="J1203" s="302" t="s">
        <v>21</v>
      </c>
      <c r="K1203" s="457" t="s">
        <v>325</v>
      </c>
      <c r="L1203" s="457" t="s">
        <v>99</v>
      </c>
      <c r="M1203" s="457" t="s">
        <v>32</v>
      </c>
      <c r="N1203" s="468"/>
    </row>
    <row r="1204" spans="1:14" s="469" customFormat="1" ht="14" outlineLevel="4">
      <c r="A1204" s="470" t="s">
        <v>8</v>
      </c>
      <c r="B1204" s="475" t="s">
        <v>908</v>
      </c>
      <c r="C1204" s="338" t="s">
        <v>148</v>
      </c>
      <c r="D1204" s="294"/>
      <c r="E1204" s="294"/>
      <c r="F1204" s="294">
        <v>24.31</v>
      </c>
      <c r="G1204" s="8">
        <f t="shared" si="256"/>
        <v>0</v>
      </c>
      <c r="H1204" s="294">
        <f t="shared" si="257"/>
        <v>0</v>
      </c>
      <c r="I1204" s="467"/>
      <c r="J1204" s="302" t="s">
        <v>21</v>
      </c>
      <c r="K1204" s="457" t="s">
        <v>325</v>
      </c>
      <c r="L1204" s="457" t="s">
        <v>99</v>
      </c>
      <c r="M1204" s="457" t="s">
        <v>32</v>
      </c>
      <c r="N1204" s="468"/>
    </row>
    <row r="1205" spans="1:14" s="469" customFormat="1" ht="14" outlineLevel="4">
      <c r="A1205" s="470" t="s">
        <v>8</v>
      </c>
      <c r="B1205" s="475" t="s">
        <v>909</v>
      </c>
      <c r="C1205" s="338" t="s">
        <v>148</v>
      </c>
      <c r="D1205" s="294"/>
      <c r="E1205" s="294"/>
      <c r="F1205" s="294">
        <v>24.31</v>
      </c>
      <c r="G1205" s="8">
        <f t="shared" si="256"/>
        <v>0</v>
      </c>
      <c r="H1205" s="294">
        <f t="shared" si="257"/>
        <v>0</v>
      </c>
      <c r="I1205" s="467"/>
      <c r="J1205" s="302" t="s">
        <v>21</v>
      </c>
      <c r="K1205" s="457" t="s">
        <v>325</v>
      </c>
      <c r="L1205" s="457" t="s">
        <v>99</v>
      </c>
      <c r="M1205" s="457" t="s">
        <v>32</v>
      </c>
      <c r="N1205" s="468"/>
    </row>
    <row r="1206" spans="1:14" s="469" customFormat="1" ht="14" outlineLevel="4">
      <c r="A1206" s="470" t="s">
        <v>8</v>
      </c>
      <c r="B1206" s="475" t="s">
        <v>910</v>
      </c>
      <c r="C1206" s="338" t="s">
        <v>148</v>
      </c>
      <c r="D1206" s="294"/>
      <c r="E1206" s="294"/>
      <c r="F1206" s="294">
        <v>24.31</v>
      </c>
      <c r="G1206" s="8">
        <f t="shared" si="256"/>
        <v>0</v>
      </c>
      <c r="H1206" s="294">
        <f t="shared" si="257"/>
        <v>0</v>
      </c>
      <c r="I1206" s="467"/>
      <c r="J1206" s="302" t="s">
        <v>21</v>
      </c>
      <c r="K1206" s="457" t="s">
        <v>325</v>
      </c>
      <c r="L1206" s="457" t="s">
        <v>99</v>
      </c>
      <c r="M1206" s="457" t="s">
        <v>32</v>
      </c>
      <c r="N1206" s="468"/>
    </row>
    <row r="1207" spans="1:14" s="469" customFormat="1" ht="14" outlineLevel="4">
      <c r="A1207" s="470" t="s">
        <v>8</v>
      </c>
      <c r="B1207" s="475" t="s">
        <v>1451</v>
      </c>
      <c r="C1207" s="338" t="s">
        <v>148</v>
      </c>
      <c r="D1207" s="294"/>
      <c r="E1207" s="294">
        <v>3.7</v>
      </c>
      <c r="F1207" s="294">
        <v>24.31</v>
      </c>
      <c r="G1207" s="8">
        <f t="shared" si="256"/>
        <v>0</v>
      </c>
      <c r="H1207" s="294">
        <f t="shared" si="257"/>
        <v>89.947000000000003</v>
      </c>
      <c r="I1207" s="467"/>
      <c r="J1207" s="302" t="s">
        <v>21</v>
      </c>
      <c r="K1207" s="457" t="s">
        <v>325</v>
      </c>
      <c r="L1207" s="457" t="s">
        <v>99</v>
      </c>
      <c r="M1207" s="457" t="s">
        <v>32</v>
      </c>
      <c r="N1207" s="468"/>
    </row>
    <row r="1208" spans="1:14" s="469" customFormat="1" ht="14" outlineLevel="4">
      <c r="A1208" s="470" t="s">
        <v>8</v>
      </c>
      <c r="B1208" s="475" t="s">
        <v>840</v>
      </c>
      <c r="C1208" s="338" t="s">
        <v>148</v>
      </c>
      <c r="D1208" s="294"/>
      <c r="E1208" s="294">
        <v>3.7</v>
      </c>
      <c r="F1208" s="294">
        <v>24.31</v>
      </c>
      <c r="G1208" s="8">
        <f t="shared" si="256"/>
        <v>0</v>
      </c>
      <c r="H1208" s="294">
        <f t="shared" si="257"/>
        <v>89.947000000000003</v>
      </c>
      <c r="I1208" s="467"/>
      <c r="J1208" s="302" t="s">
        <v>21</v>
      </c>
      <c r="K1208" s="457" t="s">
        <v>325</v>
      </c>
      <c r="L1208" s="457" t="s">
        <v>99</v>
      </c>
      <c r="M1208" s="457" t="s">
        <v>32</v>
      </c>
      <c r="N1208" s="468"/>
    </row>
    <row r="1209" spans="1:14" s="469" customFormat="1" ht="14" outlineLevel="4">
      <c r="A1209" s="470" t="s">
        <v>8</v>
      </c>
      <c r="B1209" s="475" t="s">
        <v>841</v>
      </c>
      <c r="C1209" s="338" t="s">
        <v>148</v>
      </c>
      <c r="D1209" s="294"/>
      <c r="E1209" s="294"/>
      <c r="F1209" s="294">
        <v>24.31</v>
      </c>
      <c r="G1209" s="8">
        <f t="shared" si="256"/>
        <v>0</v>
      </c>
      <c r="H1209" s="294">
        <f t="shared" si="257"/>
        <v>0</v>
      </c>
      <c r="I1209" s="467"/>
      <c r="J1209" s="302" t="s">
        <v>21</v>
      </c>
      <c r="K1209" s="457" t="s">
        <v>325</v>
      </c>
      <c r="L1209" s="457" t="s">
        <v>99</v>
      </c>
      <c r="M1209" s="457" t="s">
        <v>32</v>
      </c>
      <c r="N1209" s="468"/>
    </row>
    <row r="1210" spans="1:14" s="469" customFormat="1" ht="14" outlineLevel="4">
      <c r="A1210" s="470" t="s">
        <v>8</v>
      </c>
      <c r="B1210" s="475" t="s">
        <v>842</v>
      </c>
      <c r="C1210" s="338" t="s">
        <v>148</v>
      </c>
      <c r="D1210" s="294"/>
      <c r="E1210" s="294">
        <v>3.7</v>
      </c>
      <c r="F1210" s="294">
        <v>24.31</v>
      </c>
      <c r="G1210" s="8">
        <f t="shared" si="256"/>
        <v>0</v>
      </c>
      <c r="H1210" s="294">
        <f t="shared" si="257"/>
        <v>89.947000000000003</v>
      </c>
      <c r="I1210" s="467"/>
      <c r="J1210" s="302" t="s">
        <v>21</v>
      </c>
      <c r="K1210" s="457" t="s">
        <v>325</v>
      </c>
      <c r="L1210" s="457" t="s">
        <v>99</v>
      </c>
      <c r="M1210" s="457" t="s">
        <v>32</v>
      </c>
      <c r="N1210" s="468"/>
    </row>
    <row r="1211" spans="1:14" s="469" customFormat="1" ht="28" outlineLevel="4">
      <c r="A1211" s="470" t="s">
        <v>8</v>
      </c>
      <c r="B1211" s="475" t="s">
        <v>1452</v>
      </c>
      <c r="C1211" s="338" t="s">
        <v>148</v>
      </c>
      <c r="D1211" s="294"/>
      <c r="E1211" s="294">
        <v>5.9200000000000008</v>
      </c>
      <c r="F1211" s="294">
        <v>37.4</v>
      </c>
      <c r="G1211" s="8">
        <f t="shared" si="256"/>
        <v>0</v>
      </c>
      <c r="H1211" s="294">
        <f t="shared" si="257"/>
        <v>221.40800000000002</v>
      </c>
      <c r="I1211" s="467"/>
      <c r="J1211" s="302" t="s">
        <v>21</v>
      </c>
      <c r="K1211" s="457" t="s">
        <v>325</v>
      </c>
      <c r="L1211" s="457" t="s">
        <v>99</v>
      </c>
      <c r="M1211" s="457" t="s">
        <v>32</v>
      </c>
      <c r="N1211" s="468"/>
    </row>
    <row r="1212" spans="1:14" s="469" customFormat="1" ht="28" outlineLevel="4">
      <c r="A1212" s="470" t="s">
        <v>8</v>
      </c>
      <c r="B1212" s="475" t="s">
        <v>1453</v>
      </c>
      <c r="C1212" s="338" t="s">
        <v>148</v>
      </c>
      <c r="D1212" s="294"/>
      <c r="E1212" s="294">
        <v>5.9200000000000008</v>
      </c>
      <c r="F1212" s="294">
        <v>99</v>
      </c>
      <c r="G1212" s="8">
        <f t="shared" si="256"/>
        <v>0</v>
      </c>
      <c r="H1212" s="294">
        <f t="shared" si="257"/>
        <v>586.08000000000004</v>
      </c>
      <c r="I1212" s="467"/>
      <c r="J1212" s="302" t="s">
        <v>21</v>
      </c>
      <c r="K1212" s="457" t="s">
        <v>325</v>
      </c>
      <c r="L1212" s="457" t="s">
        <v>99</v>
      </c>
      <c r="M1212" s="457" t="s">
        <v>32</v>
      </c>
      <c r="N1212" s="468"/>
    </row>
    <row r="1213" spans="1:14" s="469" customFormat="1" ht="28" outlineLevel="4">
      <c r="A1213" s="470" t="s">
        <v>8</v>
      </c>
      <c r="B1213" s="475" t="s">
        <v>1454</v>
      </c>
      <c r="C1213" s="338" t="s">
        <v>148</v>
      </c>
      <c r="D1213" s="294"/>
      <c r="E1213" s="294">
        <v>2.9600000000000004</v>
      </c>
      <c r="F1213" s="294">
        <v>220</v>
      </c>
      <c r="G1213" s="8">
        <f t="shared" si="256"/>
        <v>0</v>
      </c>
      <c r="H1213" s="294">
        <f t="shared" si="257"/>
        <v>651.20000000000005</v>
      </c>
      <c r="I1213" s="467"/>
      <c r="J1213" s="302" t="s">
        <v>21</v>
      </c>
      <c r="K1213" s="457" t="s">
        <v>325</v>
      </c>
      <c r="L1213" s="457" t="s">
        <v>99</v>
      </c>
      <c r="M1213" s="457" t="s">
        <v>32</v>
      </c>
      <c r="N1213" s="468"/>
    </row>
    <row r="1214" spans="1:14" s="469" customFormat="1" ht="28" outlineLevel="4">
      <c r="A1214" s="470" t="s">
        <v>8</v>
      </c>
      <c r="B1214" s="475" t="s">
        <v>1455</v>
      </c>
      <c r="C1214" s="338" t="s">
        <v>148</v>
      </c>
      <c r="D1214" s="294"/>
      <c r="E1214" s="294">
        <v>5.9200000000000008</v>
      </c>
      <c r="F1214" s="294">
        <v>24.31</v>
      </c>
      <c r="G1214" s="8">
        <f t="shared" si="256"/>
        <v>0</v>
      </c>
      <c r="H1214" s="294">
        <f t="shared" si="257"/>
        <v>143.9152</v>
      </c>
      <c r="I1214" s="467"/>
      <c r="J1214" s="302" t="s">
        <v>21</v>
      </c>
      <c r="K1214" s="457" t="s">
        <v>325</v>
      </c>
      <c r="L1214" s="457" t="s">
        <v>99</v>
      </c>
      <c r="M1214" s="457" t="s">
        <v>32</v>
      </c>
      <c r="N1214" s="468"/>
    </row>
    <row r="1215" spans="1:14" s="469" customFormat="1" ht="28" outlineLevel="4">
      <c r="A1215" s="470" t="s">
        <v>8</v>
      </c>
      <c r="B1215" s="475" t="s">
        <v>1456</v>
      </c>
      <c r="C1215" s="338" t="s">
        <v>148</v>
      </c>
      <c r="D1215" s="294"/>
      <c r="E1215" s="294">
        <v>5.9200000000000008</v>
      </c>
      <c r="F1215" s="294">
        <v>66</v>
      </c>
      <c r="G1215" s="8">
        <f t="shared" si="256"/>
        <v>0</v>
      </c>
      <c r="H1215" s="294">
        <f t="shared" si="257"/>
        <v>390.72</v>
      </c>
      <c r="I1215" s="467"/>
      <c r="J1215" s="302" t="s">
        <v>21</v>
      </c>
      <c r="K1215" s="457" t="s">
        <v>325</v>
      </c>
      <c r="L1215" s="457" t="s">
        <v>99</v>
      </c>
      <c r="M1215" s="457" t="s">
        <v>32</v>
      </c>
      <c r="N1215" s="468"/>
    </row>
    <row r="1216" spans="1:14" s="469" customFormat="1" ht="28" outlineLevel="4">
      <c r="A1216" s="470" t="s">
        <v>8</v>
      </c>
      <c r="B1216" s="475" t="s">
        <v>1457</v>
      </c>
      <c r="C1216" s="338" t="s">
        <v>148</v>
      </c>
      <c r="D1216" s="294"/>
      <c r="E1216" s="294">
        <v>2.9600000000000004</v>
      </c>
      <c r="F1216" s="294">
        <v>140</v>
      </c>
      <c r="G1216" s="8">
        <f t="shared" si="256"/>
        <v>0</v>
      </c>
      <c r="H1216" s="294">
        <f t="shared" si="257"/>
        <v>414.40000000000003</v>
      </c>
      <c r="I1216" s="467"/>
      <c r="J1216" s="302" t="s">
        <v>21</v>
      </c>
      <c r="K1216" s="457" t="s">
        <v>325</v>
      </c>
      <c r="L1216" s="457" t="s">
        <v>99</v>
      </c>
      <c r="M1216" s="457" t="s">
        <v>32</v>
      </c>
      <c r="N1216" s="468"/>
    </row>
    <row r="1217" spans="1:14" s="469" customFormat="1" ht="14" outlineLevel="4">
      <c r="A1217" s="470" t="s">
        <v>8</v>
      </c>
      <c r="B1217" s="475" t="s">
        <v>918</v>
      </c>
      <c r="C1217" s="338" t="s">
        <v>148</v>
      </c>
      <c r="D1217" s="294"/>
      <c r="E1217" s="294">
        <v>22.200000000000003</v>
      </c>
      <c r="F1217" s="294">
        <v>37.549999999999997</v>
      </c>
      <c r="G1217" s="8">
        <f t="shared" si="256"/>
        <v>0</v>
      </c>
      <c r="H1217" s="294">
        <f t="shared" si="257"/>
        <v>833.61</v>
      </c>
      <c r="I1217" s="467"/>
      <c r="J1217" s="302" t="s">
        <v>21</v>
      </c>
      <c r="K1217" s="457" t="s">
        <v>325</v>
      </c>
      <c r="L1217" s="457" t="s">
        <v>99</v>
      </c>
      <c r="M1217" s="457" t="s">
        <v>32</v>
      </c>
      <c r="N1217" s="468"/>
    </row>
    <row r="1218" spans="1:14" s="469" customFormat="1" ht="14" outlineLevel="4">
      <c r="A1218" s="470" t="s">
        <v>8</v>
      </c>
      <c r="B1218" s="475" t="s">
        <v>853</v>
      </c>
      <c r="C1218" s="338" t="s">
        <v>880</v>
      </c>
      <c r="D1218" s="294"/>
      <c r="E1218" s="294">
        <v>40.70000000000001</v>
      </c>
      <c r="F1218" s="294">
        <v>5</v>
      </c>
      <c r="G1218" s="8">
        <f t="shared" ref="G1218" si="258">F1218*D1218</f>
        <v>0</v>
      </c>
      <c r="H1218" s="294">
        <f t="shared" ref="H1218" si="259">F1218*E1218</f>
        <v>203.50000000000006</v>
      </c>
      <c r="I1218" s="467"/>
      <c r="J1218" s="302" t="s">
        <v>21</v>
      </c>
      <c r="K1218" s="457" t="s">
        <v>325</v>
      </c>
      <c r="L1218" s="457" t="s">
        <v>99</v>
      </c>
      <c r="M1218" s="457" t="s">
        <v>32</v>
      </c>
      <c r="N1218" s="468"/>
    </row>
    <row r="1219" spans="1:14" s="459" customFormat="1" ht="15" customHeight="1" outlineLevel="2">
      <c r="A1219" s="452">
        <v>2</v>
      </c>
      <c r="B1219" s="460" t="s">
        <v>247</v>
      </c>
      <c r="C1219" s="464"/>
      <c r="D1219" s="385"/>
      <c r="E1219" s="385"/>
      <c r="F1219" s="385"/>
      <c r="G1219" s="385">
        <f>SUBTOTAL(9,G1220:G1258)</f>
        <v>204700.98</v>
      </c>
      <c r="H1219" s="385">
        <f>SUBTOTAL(9,H1220:H1258)</f>
        <v>315404.60000000003</v>
      </c>
      <c r="I1219" s="385"/>
      <c r="J1219" s="302" t="s">
        <v>21</v>
      </c>
      <c r="K1219" s="457"/>
      <c r="L1219" s="457"/>
      <c r="M1219" s="457" t="s">
        <v>32</v>
      </c>
      <c r="N1219" s="458"/>
    </row>
    <row r="1220" spans="1:14" s="459" customFormat="1" ht="14" outlineLevel="5">
      <c r="A1220" s="452">
        <v>2.1</v>
      </c>
      <c r="B1220" s="476" t="s">
        <v>248</v>
      </c>
      <c r="C1220" s="464"/>
      <c r="D1220" s="385"/>
      <c r="E1220" s="385"/>
      <c r="F1220" s="385"/>
      <c r="G1220" s="385">
        <f>SUBTOTAL(9,G1221:G1236)</f>
        <v>76755</v>
      </c>
      <c r="H1220" s="385">
        <f>SUBTOTAL(9,H1221:H1236)</f>
        <v>176398.2</v>
      </c>
      <c r="I1220" s="385"/>
      <c r="J1220" s="302" t="s">
        <v>21</v>
      </c>
      <c r="K1220" s="457"/>
      <c r="L1220" s="457"/>
      <c r="M1220" s="457" t="s">
        <v>32</v>
      </c>
      <c r="N1220" s="458"/>
    </row>
    <row r="1221" spans="1:14" s="469" customFormat="1" ht="14" outlineLevel="5">
      <c r="A1221" s="470" t="s">
        <v>8</v>
      </c>
      <c r="B1221" s="471" t="s">
        <v>859</v>
      </c>
      <c r="C1221" s="338" t="s">
        <v>24</v>
      </c>
      <c r="D1221" s="294">
        <v>0</v>
      </c>
      <c r="E1221" s="294"/>
      <c r="F1221" s="294">
        <v>15435</v>
      </c>
      <c r="G1221" s="8">
        <f t="shared" ref="G1221:G1236" si="260">F1221*D1221</f>
        <v>0</v>
      </c>
      <c r="H1221" s="294">
        <f t="shared" ref="H1221:H1236" si="261">F1221*E1221</f>
        <v>0</v>
      </c>
      <c r="I1221" s="467"/>
      <c r="J1221" s="302" t="s">
        <v>21</v>
      </c>
      <c r="K1221" s="457" t="s">
        <v>325</v>
      </c>
      <c r="L1221" s="457" t="s">
        <v>99</v>
      </c>
      <c r="M1221" s="457" t="s">
        <v>32</v>
      </c>
      <c r="N1221" s="468"/>
    </row>
    <row r="1222" spans="1:14" s="469" customFormat="1" ht="14" outlineLevel="5">
      <c r="A1222" s="470" t="s">
        <v>8</v>
      </c>
      <c r="B1222" s="471" t="s">
        <v>860</v>
      </c>
      <c r="C1222" s="338" t="s">
        <v>15</v>
      </c>
      <c r="D1222" s="294">
        <v>0</v>
      </c>
      <c r="E1222" s="294">
        <v>0</v>
      </c>
      <c r="F1222" s="294">
        <v>2800</v>
      </c>
      <c r="G1222" s="8">
        <f t="shared" si="260"/>
        <v>0</v>
      </c>
      <c r="H1222" s="294">
        <f t="shared" si="261"/>
        <v>0</v>
      </c>
      <c r="I1222" s="467"/>
      <c r="J1222" s="302" t="s">
        <v>21</v>
      </c>
      <c r="K1222" s="457" t="s">
        <v>325</v>
      </c>
      <c r="L1222" s="457" t="s">
        <v>99</v>
      </c>
      <c r="M1222" s="457" t="s">
        <v>32</v>
      </c>
      <c r="N1222" s="468"/>
    </row>
    <row r="1223" spans="1:14" s="469" customFormat="1" ht="14" outlineLevel="5">
      <c r="A1223" s="470" t="s">
        <v>8</v>
      </c>
      <c r="B1223" s="471" t="s">
        <v>861</v>
      </c>
      <c r="C1223" s="338" t="s">
        <v>15</v>
      </c>
      <c r="D1223" s="294">
        <v>0</v>
      </c>
      <c r="E1223" s="294">
        <v>0</v>
      </c>
      <c r="F1223" s="294">
        <v>9744</v>
      </c>
      <c r="G1223" s="8">
        <f t="shared" si="260"/>
        <v>0</v>
      </c>
      <c r="H1223" s="294">
        <f t="shared" si="261"/>
        <v>0</v>
      </c>
      <c r="I1223" s="467"/>
      <c r="J1223" s="302" t="s">
        <v>21</v>
      </c>
      <c r="K1223" s="457" t="s">
        <v>325</v>
      </c>
      <c r="L1223" s="457" t="s">
        <v>99</v>
      </c>
      <c r="M1223" s="457" t="s">
        <v>32</v>
      </c>
      <c r="N1223" s="468"/>
    </row>
    <row r="1224" spans="1:14" s="469" customFormat="1" ht="14" outlineLevel="5">
      <c r="A1224" s="470" t="s">
        <v>8</v>
      </c>
      <c r="B1224" s="471" t="s">
        <v>848</v>
      </c>
      <c r="C1224" s="338" t="s">
        <v>15</v>
      </c>
      <c r="D1224" s="294">
        <v>2</v>
      </c>
      <c r="E1224" s="294">
        <v>1</v>
      </c>
      <c r="F1224" s="294">
        <v>27636</v>
      </c>
      <c r="G1224" s="8">
        <f t="shared" si="260"/>
        <v>55272</v>
      </c>
      <c r="H1224" s="294">
        <f t="shared" si="261"/>
        <v>27636</v>
      </c>
      <c r="I1224" s="467"/>
      <c r="J1224" s="302" t="s">
        <v>21</v>
      </c>
      <c r="K1224" s="457" t="s">
        <v>325</v>
      </c>
      <c r="L1224" s="457" t="s">
        <v>99</v>
      </c>
      <c r="M1224" s="457" t="s">
        <v>32</v>
      </c>
      <c r="N1224" s="468"/>
    </row>
    <row r="1225" spans="1:14" s="469" customFormat="1" ht="14" outlineLevel="5">
      <c r="A1225" s="470" t="s">
        <v>8</v>
      </c>
      <c r="B1225" s="471" t="s">
        <v>849</v>
      </c>
      <c r="C1225" s="338" t="s">
        <v>24</v>
      </c>
      <c r="D1225" s="294">
        <v>4</v>
      </c>
      <c r="E1225" s="294">
        <v>2</v>
      </c>
      <c r="F1225" s="294">
        <v>5370.75</v>
      </c>
      <c r="G1225" s="8">
        <f t="shared" si="260"/>
        <v>21483</v>
      </c>
      <c r="H1225" s="294">
        <f t="shared" si="261"/>
        <v>10741.5</v>
      </c>
      <c r="I1225" s="467"/>
      <c r="J1225" s="302" t="s">
        <v>21</v>
      </c>
      <c r="K1225" s="457" t="s">
        <v>325</v>
      </c>
      <c r="L1225" s="457" t="s">
        <v>99</v>
      </c>
      <c r="M1225" s="457" t="s">
        <v>32</v>
      </c>
      <c r="N1225" s="468"/>
    </row>
    <row r="1226" spans="1:14" s="469" customFormat="1" ht="14" outlineLevel="5">
      <c r="A1226" s="470" t="s">
        <v>8</v>
      </c>
      <c r="B1226" s="471" t="s">
        <v>862</v>
      </c>
      <c r="C1226" s="338" t="s">
        <v>15</v>
      </c>
      <c r="D1226" s="294">
        <v>0</v>
      </c>
      <c r="E1226" s="294">
        <v>1</v>
      </c>
      <c r="F1226" s="294">
        <v>59910.9</v>
      </c>
      <c r="G1226" s="8">
        <f t="shared" si="260"/>
        <v>0</v>
      </c>
      <c r="H1226" s="294">
        <f t="shared" si="261"/>
        <v>59910.9</v>
      </c>
      <c r="I1226" s="467"/>
      <c r="J1226" s="302" t="s">
        <v>21</v>
      </c>
      <c r="K1226" s="457" t="s">
        <v>325</v>
      </c>
      <c r="L1226" s="457" t="s">
        <v>99</v>
      </c>
      <c r="M1226" s="457" t="s">
        <v>32</v>
      </c>
      <c r="N1226" s="468"/>
    </row>
    <row r="1227" spans="1:14" s="469" customFormat="1" ht="14" outlineLevel="5">
      <c r="A1227" s="470" t="s">
        <v>8</v>
      </c>
      <c r="B1227" s="471" t="s">
        <v>845</v>
      </c>
      <c r="C1227" s="338" t="s">
        <v>15</v>
      </c>
      <c r="D1227" s="294"/>
      <c r="E1227" s="294"/>
      <c r="F1227" s="294">
        <v>56</v>
      </c>
      <c r="G1227" s="8">
        <f t="shared" si="260"/>
        <v>0</v>
      </c>
      <c r="H1227" s="294">
        <f t="shared" si="261"/>
        <v>0</v>
      </c>
      <c r="I1227" s="467"/>
      <c r="J1227" s="302" t="s">
        <v>21</v>
      </c>
      <c r="K1227" s="457" t="s">
        <v>325</v>
      </c>
      <c r="L1227" s="457" t="s">
        <v>99</v>
      </c>
      <c r="M1227" s="457" t="s">
        <v>32</v>
      </c>
      <c r="N1227" s="468"/>
    </row>
    <row r="1228" spans="1:14" s="469" customFormat="1" ht="14" outlineLevel="5">
      <c r="A1228" s="470" t="s">
        <v>8</v>
      </c>
      <c r="B1228" s="471" t="s">
        <v>846</v>
      </c>
      <c r="C1228" s="338" t="s">
        <v>15</v>
      </c>
      <c r="D1228" s="294"/>
      <c r="E1228" s="294"/>
      <c r="F1228" s="294">
        <v>382</v>
      </c>
      <c r="G1228" s="8">
        <f t="shared" si="260"/>
        <v>0</v>
      </c>
      <c r="H1228" s="294">
        <f t="shared" si="261"/>
        <v>0</v>
      </c>
      <c r="I1228" s="467"/>
      <c r="J1228" s="302" t="s">
        <v>21</v>
      </c>
      <c r="K1228" s="457" t="s">
        <v>325</v>
      </c>
      <c r="L1228" s="457" t="s">
        <v>99</v>
      </c>
      <c r="M1228" s="457" t="s">
        <v>32</v>
      </c>
      <c r="N1228" s="468"/>
    </row>
    <row r="1229" spans="1:14" s="469" customFormat="1" ht="14" outlineLevel="5">
      <c r="A1229" s="470" t="s">
        <v>8</v>
      </c>
      <c r="B1229" s="471" t="s">
        <v>847</v>
      </c>
      <c r="C1229" s="338" t="s">
        <v>24</v>
      </c>
      <c r="D1229" s="294"/>
      <c r="E1229" s="294"/>
      <c r="F1229" s="294">
        <v>515</v>
      </c>
      <c r="G1229" s="8">
        <f t="shared" si="260"/>
        <v>0</v>
      </c>
      <c r="H1229" s="294">
        <f t="shared" si="261"/>
        <v>0</v>
      </c>
      <c r="I1229" s="467"/>
      <c r="J1229" s="302" t="s">
        <v>21</v>
      </c>
      <c r="K1229" s="457" t="s">
        <v>325</v>
      </c>
      <c r="L1229" s="457" t="s">
        <v>99</v>
      </c>
      <c r="M1229" s="457" t="s">
        <v>32</v>
      </c>
      <c r="N1229" s="468"/>
    </row>
    <row r="1230" spans="1:14" s="469" customFormat="1" ht="14" outlineLevel="5">
      <c r="A1230" s="470" t="s">
        <v>8</v>
      </c>
      <c r="B1230" s="471" t="s">
        <v>1479</v>
      </c>
      <c r="C1230" s="338" t="s">
        <v>15</v>
      </c>
      <c r="D1230" s="294"/>
      <c r="E1230" s="294">
        <v>5</v>
      </c>
      <c r="F1230" s="294">
        <v>135</v>
      </c>
      <c r="G1230" s="8">
        <f t="shared" si="260"/>
        <v>0</v>
      </c>
      <c r="H1230" s="294">
        <f t="shared" si="261"/>
        <v>675</v>
      </c>
      <c r="I1230" s="467"/>
      <c r="J1230" s="302" t="s">
        <v>21</v>
      </c>
      <c r="K1230" s="457" t="s">
        <v>325</v>
      </c>
      <c r="L1230" s="457" t="s">
        <v>99</v>
      </c>
      <c r="M1230" s="457" t="s">
        <v>32</v>
      </c>
      <c r="N1230" s="468"/>
    </row>
    <row r="1231" spans="1:14" s="469" customFormat="1" ht="14" outlineLevel="5">
      <c r="A1231" s="470" t="s">
        <v>8</v>
      </c>
      <c r="B1231" s="471" t="s">
        <v>1480</v>
      </c>
      <c r="C1231" s="338" t="s">
        <v>15</v>
      </c>
      <c r="D1231" s="294"/>
      <c r="E1231" s="294">
        <v>8</v>
      </c>
      <c r="F1231" s="294">
        <v>459</v>
      </c>
      <c r="G1231" s="8">
        <f t="shared" si="260"/>
        <v>0</v>
      </c>
      <c r="H1231" s="294">
        <f t="shared" si="261"/>
        <v>3672</v>
      </c>
      <c r="I1231" s="467"/>
      <c r="J1231" s="302" t="s">
        <v>21</v>
      </c>
      <c r="K1231" s="457" t="s">
        <v>325</v>
      </c>
      <c r="L1231" s="457" t="s">
        <v>99</v>
      </c>
      <c r="M1231" s="457" t="s">
        <v>32</v>
      </c>
      <c r="N1231" s="468"/>
    </row>
    <row r="1232" spans="1:14" s="469" customFormat="1" ht="14" outlineLevel="5">
      <c r="A1232" s="470" t="s">
        <v>8</v>
      </c>
      <c r="B1232" s="471" t="s">
        <v>1481</v>
      </c>
      <c r="C1232" s="338" t="s">
        <v>15</v>
      </c>
      <c r="D1232" s="294"/>
      <c r="E1232" s="294">
        <v>8</v>
      </c>
      <c r="F1232" s="294">
        <v>895</v>
      </c>
      <c r="G1232" s="8">
        <f t="shared" si="260"/>
        <v>0</v>
      </c>
      <c r="H1232" s="294">
        <f t="shared" si="261"/>
        <v>7160</v>
      </c>
      <c r="I1232" s="467"/>
      <c r="J1232" s="302" t="s">
        <v>21</v>
      </c>
      <c r="K1232" s="457" t="s">
        <v>325</v>
      </c>
      <c r="L1232" s="457" t="s">
        <v>99</v>
      </c>
      <c r="M1232" s="457" t="s">
        <v>32</v>
      </c>
      <c r="N1232" s="468"/>
    </row>
    <row r="1233" spans="1:14" s="469" customFormat="1" ht="14" outlineLevel="5">
      <c r="A1233" s="470" t="s">
        <v>8</v>
      </c>
      <c r="B1233" s="471" t="s">
        <v>1347</v>
      </c>
      <c r="C1233" s="338" t="s">
        <v>24</v>
      </c>
      <c r="D1233" s="294">
        <v>0</v>
      </c>
      <c r="E1233" s="294">
        <v>3.4</v>
      </c>
      <c r="F1233" s="294">
        <v>582</v>
      </c>
      <c r="G1233" s="8">
        <f t="shared" si="260"/>
        <v>0</v>
      </c>
      <c r="H1233" s="294">
        <f t="shared" si="261"/>
        <v>1978.8</v>
      </c>
      <c r="I1233" s="467"/>
      <c r="J1233" s="302" t="s">
        <v>21</v>
      </c>
      <c r="K1233" s="457" t="s">
        <v>325</v>
      </c>
      <c r="L1233" s="457" t="s">
        <v>99</v>
      </c>
      <c r="M1233" s="457" t="s">
        <v>32</v>
      </c>
      <c r="N1233" s="468"/>
    </row>
    <row r="1234" spans="1:14" s="469" customFormat="1" ht="14" outlineLevel="5">
      <c r="A1234" s="470" t="s">
        <v>8</v>
      </c>
      <c r="B1234" s="471" t="s">
        <v>1482</v>
      </c>
      <c r="C1234" s="338" t="s">
        <v>15</v>
      </c>
      <c r="D1234" s="294">
        <v>0</v>
      </c>
      <c r="E1234" s="294">
        <v>6</v>
      </c>
      <c r="F1234" s="294">
        <v>3780</v>
      </c>
      <c r="G1234" s="8">
        <f t="shared" si="260"/>
        <v>0</v>
      </c>
      <c r="H1234" s="294">
        <f t="shared" si="261"/>
        <v>22680</v>
      </c>
      <c r="I1234" s="467"/>
      <c r="J1234" s="302" t="s">
        <v>21</v>
      </c>
      <c r="K1234" s="457" t="s">
        <v>325</v>
      </c>
      <c r="L1234" s="457" t="s">
        <v>99</v>
      </c>
      <c r="M1234" s="457" t="s">
        <v>32</v>
      </c>
      <c r="N1234" s="468"/>
    </row>
    <row r="1235" spans="1:14" s="469" customFormat="1" ht="14" outlineLevel="5">
      <c r="A1235" s="470" t="s">
        <v>8</v>
      </c>
      <c r="B1235" s="471" t="s">
        <v>1483</v>
      </c>
      <c r="C1235" s="338" t="s">
        <v>15</v>
      </c>
      <c r="D1235" s="294">
        <v>0</v>
      </c>
      <c r="E1235" s="294">
        <v>6</v>
      </c>
      <c r="F1235" s="294">
        <v>6930</v>
      </c>
      <c r="G1235" s="8">
        <f t="shared" si="260"/>
        <v>0</v>
      </c>
      <c r="H1235" s="294">
        <f t="shared" si="261"/>
        <v>41580</v>
      </c>
      <c r="I1235" s="467"/>
      <c r="J1235" s="302" t="s">
        <v>21</v>
      </c>
      <c r="K1235" s="457" t="s">
        <v>325</v>
      </c>
      <c r="L1235" s="457" t="s">
        <v>99</v>
      </c>
      <c r="M1235" s="457" t="s">
        <v>32</v>
      </c>
      <c r="N1235" s="468"/>
    </row>
    <row r="1236" spans="1:14" s="469" customFormat="1" ht="14" outlineLevel="5">
      <c r="A1236" s="470" t="s">
        <v>8</v>
      </c>
      <c r="B1236" s="471" t="s">
        <v>853</v>
      </c>
      <c r="C1236" s="338" t="s">
        <v>15</v>
      </c>
      <c r="D1236" s="294">
        <v>0</v>
      </c>
      <c r="E1236" s="294">
        <v>72.8</v>
      </c>
      <c r="F1236" s="294">
        <v>5</v>
      </c>
      <c r="G1236" s="8">
        <f t="shared" si="260"/>
        <v>0</v>
      </c>
      <c r="H1236" s="294">
        <f t="shared" si="261"/>
        <v>364</v>
      </c>
      <c r="I1236" s="467"/>
      <c r="J1236" s="302" t="s">
        <v>21</v>
      </c>
      <c r="K1236" s="457" t="s">
        <v>325</v>
      </c>
      <c r="L1236" s="457" t="s">
        <v>99</v>
      </c>
      <c r="M1236" s="457" t="s">
        <v>32</v>
      </c>
      <c r="N1236" s="468"/>
    </row>
    <row r="1237" spans="1:14" s="459" customFormat="1" ht="14" outlineLevel="5">
      <c r="A1237" s="452">
        <v>2.2000000000000002</v>
      </c>
      <c r="B1237" s="476" t="s">
        <v>249</v>
      </c>
      <c r="C1237" s="464"/>
      <c r="D1237" s="385"/>
      <c r="E1237" s="385"/>
      <c r="F1237" s="385"/>
      <c r="G1237" s="385">
        <f>SUBTOTAL(9,G1238:G1247)</f>
        <v>83126</v>
      </c>
      <c r="H1237" s="385">
        <f>SUBTOTAL(9,H1238:H1247)</f>
        <v>69503.199999999997</v>
      </c>
      <c r="I1237" s="385"/>
      <c r="J1237" s="302" t="s">
        <v>21</v>
      </c>
      <c r="K1237" s="457"/>
      <c r="L1237" s="457"/>
      <c r="M1237" s="457" t="s">
        <v>32</v>
      </c>
      <c r="N1237" s="458"/>
    </row>
    <row r="1238" spans="1:14" s="469" customFormat="1" ht="14" outlineLevel="5">
      <c r="A1238" s="470" t="s">
        <v>8</v>
      </c>
      <c r="B1238" s="471" t="s">
        <v>866</v>
      </c>
      <c r="C1238" s="338" t="s">
        <v>24</v>
      </c>
      <c r="D1238" s="294">
        <v>2</v>
      </c>
      <c r="E1238" s="294">
        <v>2</v>
      </c>
      <c r="F1238" s="294">
        <v>14197</v>
      </c>
      <c r="G1238" s="8">
        <f t="shared" ref="G1238:G1247" si="262">F1238*D1238</f>
        <v>28394</v>
      </c>
      <c r="H1238" s="294">
        <f t="shared" ref="H1238:H1247" si="263">F1238*E1238</f>
        <v>28394</v>
      </c>
      <c r="I1238" s="467"/>
      <c r="J1238" s="302" t="s">
        <v>21</v>
      </c>
      <c r="K1238" s="457" t="s">
        <v>325</v>
      </c>
      <c r="L1238" s="457" t="s">
        <v>99</v>
      </c>
      <c r="M1238" s="457" t="s">
        <v>32</v>
      </c>
      <c r="N1238" s="468"/>
    </row>
    <row r="1239" spans="1:14" s="469" customFormat="1" ht="14" outlineLevel="5">
      <c r="A1239" s="470" t="s">
        <v>8</v>
      </c>
      <c r="B1239" s="471" t="s">
        <v>867</v>
      </c>
      <c r="C1239" s="338" t="s">
        <v>15</v>
      </c>
      <c r="D1239" s="294">
        <v>3</v>
      </c>
      <c r="E1239" s="294">
        <v>2</v>
      </c>
      <c r="F1239" s="294">
        <v>18244</v>
      </c>
      <c r="G1239" s="8">
        <f t="shared" si="262"/>
        <v>54732</v>
      </c>
      <c r="H1239" s="294">
        <f t="shared" si="263"/>
        <v>36488</v>
      </c>
      <c r="I1239" s="467"/>
      <c r="J1239" s="302" t="s">
        <v>21</v>
      </c>
      <c r="K1239" s="457" t="s">
        <v>325</v>
      </c>
      <c r="L1239" s="457" t="s">
        <v>99</v>
      </c>
      <c r="M1239" s="457" t="s">
        <v>32</v>
      </c>
      <c r="N1239" s="468"/>
    </row>
    <row r="1240" spans="1:14" s="469" customFormat="1" ht="14" outlineLevel="5">
      <c r="A1240" s="470" t="s">
        <v>8</v>
      </c>
      <c r="B1240" s="471" t="s">
        <v>868</v>
      </c>
      <c r="C1240" s="338" t="s">
        <v>15</v>
      </c>
      <c r="D1240" s="294"/>
      <c r="E1240" s="294">
        <v>0</v>
      </c>
      <c r="F1240" s="294">
        <v>8212.99</v>
      </c>
      <c r="G1240" s="8">
        <f t="shared" si="262"/>
        <v>0</v>
      </c>
      <c r="H1240" s="294">
        <f t="shared" si="263"/>
        <v>0</v>
      </c>
      <c r="I1240" s="467"/>
      <c r="J1240" s="302" t="s">
        <v>21</v>
      </c>
      <c r="K1240" s="457" t="s">
        <v>325</v>
      </c>
      <c r="L1240" s="457" t="s">
        <v>99</v>
      </c>
      <c r="M1240" s="457" t="s">
        <v>32</v>
      </c>
      <c r="N1240" s="468"/>
    </row>
    <row r="1241" spans="1:14" s="469" customFormat="1" ht="14" outlineLevel="5">
      <c r="A1241" s="470" t="s">
        <v>8</v>
      </c>
      <c r="B1241" s="471" t="s">
        <v>856</v>
      </c>
      <c r="C1241" s="338" t="s">
        <v>15</v>
      </c>
      <c r="D1241" s="294"/>
      <c r="E1241" s="294">
        <v>0</v>
      </c>
      <c r="F1241" s="294">
        <v>52</v>
      </c>
      <c r="G1241" s="8">
        <f t="shared" si="262"/>
        <v>0</v>
      </c>
      <c r="H1241" s="294">
        <f t="shared" si="263"/>
        <v>0</v>
      </c>
      <c r="I1241" s="467"/>
      <c r="J1241" s="302" t="s">
        <v>21</v>
      </c>
      <c r="K1241" s="457" t="s">
        <v>325</v>
      </c>
      <c r="L1241" s="457" t="s">
        <v>99</v>
      </c>
      <c r="M1241" s="457" t="s">
        <v>32</v>
      </c>
      <c r="N1241" s="468"/>
    </row>
    <row r="1242" spans="1:14" s="469" customFormat="1" ht="14" outlineLevel="5">
      <c r="A1242" s="470" t="s">
        <v>8</v>
      </c>
      <c r="B1242" s="471" t="s">
        <v>857</v>
      </c>
      <c r="C1242" s="338" t="s">
        <v>24</v>
      </c>
      <c r="D1242" s="294"/>
      <c r="E1242" s="294">
        <v>0</v>
      </c>
      <c r="F1242" s="294">
        <v>132</v>
      </c>
      <c r="G1242" s="8">
        <f t="shared" si="262"/>
        <v>0</v>
      </c>
      <c r="H1242" s="294">
        <f t="shared" si="263"/>
        <v>0</v>
      </c>
      <c r="I1242" s="467"/>
      <c r="J1242" s="302" t="s">
        <v>21</v>
      </c>
      <c r="K1242" s="457" t="s">
        <v>325</v>
      </c>
      <c r="L1242" s="457" t="s">
        <v>99</v>
      </c>
      <c r="M1242" s="457" t="s">
        <v>32</v>
      </c>
      <c r="N1242" s="468"/>
    </row>
    <row r="1243" spans="1:14" s="469" customFormat="1" ht="14" outlineLevel="5">
      <c r="A1243" s="470" t="s">
        <v>8</v>
      </c>
      <c r="B1243" s="471" t="s">
        <v>858</v>
      </c>
      <c r="C1243" s="338" t="s">
        <v>15</v>
      </c>
      <c r="D1243" s="294"/>
      <c r="E1243" s="294">
        <v>0</v>
      </c>
      <c r="F1243" s="294">
        <v>269</v>
      </c>
      <c r="G1243" s="8">
        <f t="shared" si="262"/>
        <v>0</v>
      </c>
      <c r="H1243" s="294">
        <f t="shared" si="263"/>
        <v>0</v>
      </c>
      <c r="I1243" s="467"/>
      <c r="J1243" s="302" t="s">
        <v>21</v>
      </c>
      <c r="K1243" s="457" t="s">
        <v>325</v>
      </c>
      <c r="L1243" s="457" t="s">
        <v>99</v>
      </c>
      <c r="M1243" s="457" t="s">
        <v>32</v>
      </c>
      <c r="N1243" s="468"/>
    </row>
    <row r="1244" spans="1:14" s="469" customFormat="1" ht="14" outlineLevel="5">
      <c r="A1244" s="470" t="s">
        <v>8</v>
      </c>
      <c r="B1244" s="471" t="s">
        <v>1505</v>
      </c>
      <c r="C1244" s="338" t="s">
        <v>15</v>
      </c>
      <c r="D1244" s="294"/>
      <c r="E1244" s="294">
        <v>1.2</v>
      </c>
      <c r="F1244" s="294">
        <v>151</v>
      </c>
      <c r="G1244" s="8">
        <f t="shared" si="262"/>
        <v>0</v>
      </c>
      <c r="H1244" s="294">
        <f t="shared" si="263"/>
        <v>181.2</v>
      </c>
      <c r="I1244" s="467"/>
      <c r="J1244" s="302" t="s">
        <v>21</v>
      </c>
      <c r="K1244" s="457" t="s">
        <v>325</v>
      </c>
      <c r="L1244" s="457" t="s">
        <v>99</v>
      </c>
      <c r="M1244" s="457" t="s">
        <v>32</v>
      </c>
      <c r="N1244" s="468"/>
    </row>
    <row r="1245" spans="1:14" s="469" customFormat="1" ht="14" outlineLevel="5">
      <c r="A1245" s="470" t="s">
        <v>8</v>
      </c>
      <c r="B1245" s="471" t="s">
        <v>1506</v>
      </c>
      <c r="C1245" s="338" t="s">
        <v>15</v>
      </c>
      <c r="D1245" s="294"/>
      <c r="E1245" s="294">
        <v>2</v>
      </c>
      <c r="F1245" s="294">
        <v>1400</v>
      </c>
      <c r="G1245" s="8">
        <f t="shared" si="262"/>
        <v>0</v>
      </c>
      <c r="H1245" s="294">
        <f t="shared" si="263"/>
        <v>2800</v>
      </c>
      <c r="I1245" s="467"/>
      <c r="J1245" s="302" t="s">
        <v>21</v>
      </c>
      <c r="K1245" s="457" t="s">
        <v>325</v>
      </c>
      <c r="L1245" s="457" t="s">
        <v>99</v>
      </c>
      <c r="M1245" s="457" t="s">
        <v>32</v>
      </c>
      <c r="N1245" s="468"/>
    </row>
    <row r="1246" spans="1:14" s="469" customFormat="1" ht="14" outlineLevel="5">
      <c r="A1246" s="470" t="s">
        <v>8</v>
      </c>
      <c r="B1246" s="471" t="s">
        <v>1507</v>
      </c>
      <c r="C1246" s="338" t="s">
        <v>24</v>
      </c>
      <c r="D1246" s="294"/>
      <c r="E1246" s="294">
        <v>0.8</v>
      </c>
      <c r="F1246" s="294">
        <v>2000</v>
      </c>
      <c r="G1246" s="8">
        <f t="shared" si="262"/>
        <v>0</v>
      </c>
      <c r="H1246" s="294">
        <f t="shared" si="263"/>
        <v>1600</v>
      </c>
      <c r="I1246" s="467"/>
      <c r="J1246" s="302" t="s">
        <v>21</v>
      </c>
      <c r="K1246" s="457" t="s">
        <v>325</v>
      </c>
      <c r="L1246" s="457" t="s">
        <v>99</v>
      </c>
      <c r="M1246" s="457" t="s">
        <v>32</v>
      </c>
      <c r="N1246" s="468"/>
    </row>
    <row r="1247" spans="1:14" s="469" customFormat="1" ht="14" outlineLevel="5">
      <c r="A1247" s="470" t="s">
        <v>8</v>
      </c>
      <c r="B1247" s="471" t="s">
        <v>853</v>
      </c>
      <c r="C1247" s="338" t="s">
        <v>15</v>
      </c>
      <c r="D1247" s="294">
        <v>0</v>
      </c>
      <c r="E1247" s="294">
        <v>8</v>
      </c>
      <c r="F1247" s="294">
        <v>5</v>
      </c>
      <c r="G1247" s="8">
        <f t="shared" si="262"/>
        <v>0</v>
      </c>
      <c r="H1247" s="294">
        <f t="shared" si="263"/>
        <v>40</v>
      </c>
      <c r="I1247" s="467"/>
      <c r="J1247" s="302" t="s">
        <v>21</v>
      </c>
      <c r="K1247" s="457" t="s">
        <v>325</v>
      </c>
      <c r="L1247" s="457" t="s">
        <v>99</v>
      </c>
      <c r="M1247" s="457" t="s">
        <v>32</v>
      </c>
      <c r="N1247" s="468"/>
    </row>
    <row r="1248" spans="1:14" s="459" customFormat="1" ht="14" outlineLevel="5">
      <c r="A1248" s="452">
        <v>2.2000000000000002</v>
      </c>
      <c r="B1248" s="476" t="s">
        <v>1502</v>
      </c>
      <c r="C1248" s="464"/>
      <c r="D1248" s="385"/>
      <c r="E1248" s="385"/>
      <c r="F1248" s="385"/>
      <c r="G1248" s="385">
        <f>SUBTOTAL(9,G1249:G1258)</f>
        <v>44819.979999999996</v>
      </c>
      <c r="H1248" s="385">
        <f>SUBTOTAL(9,H1249:H1258)</f>
        <v>69503.199999999997</v>
      </c>
      <c r="I1248" s="385"/>
      <c r="J1248" s="302" t="s">
        <v>21</v>
      </c>
      <c r="K1248" s="457"/>
      <c r="L1248" s="457"/>
      <c r="M1248" s="457" t="s">
        <v>32</v>
      </c>
      <c r="N1248" s="458"/>
    </row>
    <row r="1249" spans="1:14" s="469" customFormat="1" ht="14" outlineLevel="5">
      <c r="A1249" s="470" t="s">
        <v>8</v>
      </c>
      <c r="B1249" s="471" t="s">
        <v>1504</v>
      </c>
      <c r="C1249" s="338" t="s">
        <v>24</v>
      </c>
      <c r="D1249" s="294">
        <v>2</v>
      </c>
      <c r="E1249" s="294">
        <v>2</v>
      </c>
      <c r="F1249" s="294">
        <v>14197</v>
      </c>
      <c r="G1249" s="8">
        <f t="shared" ref="G1249:G1258" si="264">F1249*D1249</f>
        <v>28394</v>
      </c>
      <c r="H1249" s="294">
        <f t="shared" ref="H1249:H1258" si="265">F1249*E1249</f>
        <v>28394</v>
      </c>
      <c r="I1249" s="467"/>
      <c r="J1249" s="302" t="s">
        <v>21</v>
      </c>
      <c r="K1249" s="457" t="s">
        <v>325</v>
      </c>
      <c r="L1249" s="457" t="s">
        <v>99</v>
      </c>
      <c r="M1249" s="457" t="s">
        <v>32</v>
      </c>
      <c r="N1249" s="468"/>
    </row>
    <row r="1250" spans="1:14" s="469" customFormat="1" ht="14" outlineLevel="5">
      <c r="A1250" s="470" t="s">
        <v>8</v>
      </c>
      <c r="B1250" s="471" t="s">
        <v>867</v>
      </c>
      <c r="C1250" s="338" t="s">
        <v>15</v>
      </c>
      <c r="D1250" s="294"/>
      <c r="E1250" s="294">
        <v>2</v>
      </c>
      <c r="F1250" s="294">
        <v>18244</v>
      </c>
      <c r="G1250" s="8">
        <f t="shared" si="264"/>
        <v>0</v>
      </c>
      <c r="H1250" s="294">
        <f t="shared" si="265"/>
        <v>36488</v>
      </c>
      <c r="I1250" s="467"/>
      <c r="J1250" s="302" t="s">
        <v>21</v>
      </c>
      <c r="K1250" s="457" t="s">
        <v>325</v>
      </c>
      <c r="L1250" s="457" t="s">
        <v>99</v>
      </c>
      <c r="M1250" s="457" t="s">
        <v>32</v>
      </c>
      <c r="N1250" s="468"/>
    </row>
    <row r="1251" spans="1:14" s="469" customFormat="1" ht="14" outlineLevel="5">
      <c r="A1251" s="470" t="s">
        <v>8</v>
      </c>
      <c r="B1251" s="471" t="s">
        <v>868</v>
      </c>
      <c r="C1251" s="338" t="s">
        <v>15</v>
      </c>
      <c r="D1251" s="294">
        <v>2</v>
      </c>
      <c r="E1251" s="294">
        <v>0</v>
      </c>
      <c r="F1251" s="294">
        <v>8212.99</v>
      </c>
      <c r="G1251" s="8">
        <f t="shared" si="264"/>
        <v>16425.98</v>
      </c>
      <c r="H1251" s="294">
        <f t="shared" si="265"/>
        <v>0</v>
      </c>
      <c r="I1251" s="467"/>
      <c r="J1251" s="302" t="s">
        <v>21</v>
      </c>
      <c r="K1251" s="457" t="s">
        <v>325</v>
      </c>
      <c r="L1251" s="457" t="s">
        <v>99</v>
      </c>
      <c r="M1251" s="457" t="s">
        <v>32</v>
      </c>
      <c r="N1251" s="468"/>
    </row>
    <row r="1252" spans="1:14" s="469" customFormat="1" ht="14" outlineLevel="5">
      <c r="A1252" s="470" t="s">
        <v>8</v>
      </c>
      <c r="B1252" s="471" t="s">
        <v>1476</v>
      </c>
      <c r="C1252" s="338" t="s">
        <v>15</v>
      </c>
      <c r="D1252" s="294"/>
      <c r="E1252" s="294">
        <v>0</v>
      </c>
      <c r="F1252" s="294">
        <v>52</v>
      </c>
      <c r="G1252" s="8">
        <f t="shared" si="264"/>
        <v>0</v>
      </c>
      <c r="H1252" s="294">
        <f t="shared" si="265"/>
        <v>0</v>
      </c>
      <c r="I1252" s="467"/>
      <c r="J1252" s="302" t="s">
        <v>21</v>
      </c>
      <c r="K1252" s="457" t="s">
        <v>325</v>
      </c>
      <c r="L1252" s="457" t="s">
        <v>99</v>
      </c>
      <c r="M1252" s="457" t="s">
        <v>32</v>
      </c>
      <c r="N1252" s="468"/>
    </row>
    <row r="1253" spans="1:14" s="469" customFormat="1" ht="14" outlineLevel="5">
      <c r="A1253" s="470" t="s">
        <v>8</v>
      </c>
      <c r="B1253" s="471" t="s">
        <v>1477</v>
      </c>
      <c r="C1253" s="338" t="s">
        <v>24</v>
      </c>
      <c r="D1253" s="294"/>
      <c r="E1253" s="294">
        <v>0</v>
      </c>
      <c r="F1253" s="294">
        <v>132</v>
      </c>
      <c r="G1253" s="8">
        <f t="shared" si="264"/>
        <v>0</v>
      </c>
      <c r="H1253" s="294">
        <f t="shared" si="265"/>
        <v>0</v>
      </c>
      <c r="I1253" s="467"/>
      <c r="J1253" s="302" t="s">
        <v>21</v>
      </c>
      <c r="K1253" s="457" t="s">
        <v>325</v>
      </c>
      <c r="L1253" s="457" t="s">
        <v>99</v>
      </c>
      <c r="M1253" s="457" t="s">
        <v>32</v>
      </c>
      <c r="N1253" s="468"/>
    </row>
    <row r="1254" spans="1:14" s="469" customFormat="1" ht="14" outlineLevel="5">
      <c r="A1254" s="470" t="s">
        <v>8</v>
      </c>
      <c r="B1254" s="471" t="s">
        <v>1478</v>
      </c>
      <c r="C1254" s="338" t="s">
        <v>15</v>
      </c>
      <c r="D1254" s="294"/>
      <c r="E1254" s="294">
        <v>0</v>
      </c>
      <c r="F1254" s="294">
        <v>269</v>
      </c>
      <c r="G1254" s="8">
        <f t="shared" si="264"/>
        <v>0</v>
      </c>
      <c r="H1254" s="294">
        <f t="shared" si="265"/>
        <v>0</v>
      </c>
      <c r="I1254" s="467"/>
      <c r="J1254" s="302" t="s">
        <v>21</v>
      </c>
      <c r="K1254" s="457" t="s">
        <v>325</v>
      </c>
      <c r="L1254" s="457" t="s">
        <v>99</v>
      </c>
      <c r="M1254" s="457" t="s">
        <v>32</v>
      </c>
      <c r="N1254" s="468"/>
    </row>
    <row r="1255" spans="1:14" s="469" customFormat="1" ht="14" outlineLevel="5">
      <c r="A1255" s="470" t="s">
        <v>8</v>
      </c>
      <c r="B1255" s="471" t="s">
        <v>869</v>
      </c>
      <c r="C1255" s="338" t="s">
        <v>15</v>
      </c>
      <c r="D1255" s="294"/>
      <c r="E1255" s="294">
        <v>1.2</v>
      </c>
      <c r="F1255" s="294">
        <v>151</v>
      </c>
      <c r="G1255" s="8">
        <f t="shared" si="264"/>
        <v>0</v>
      </c>
      <c r="H1255" s="294">
        <f t="shared" si="265"/>
        <v>181.2</v>
      </c>
      <c r="I1255" s="467"/>
      <c r="J1255" s="302" t="s">
        <v>21</v>
      </c>
      <c r="K1255" s="457" t="s">
        <v>325</v>
      </c>
      <c r="L1255" s="457" t="s">
        <v>99</v>
      </c>
      <c r="M1255" s="457" t="s">
        <v>32</v>
      </c>
      <c r="N1255" s="468"/>
    </row>
    <row r="1256" spans="1:14" s="469" customFormat="1" ht="14" outlineLevel="5">
      <c r="A1256" s="470" t="s">
        <v>8</v>
      </c>
      <c r="B1256" s="471" t="s">
        <v>870</v>
      </c>
      <c r="C1256" s="338" t="s">
        <v>15</v>
      </c>
      <c r="D1256" s="294"/>
      <c r="E1256" s="294">
        <v>2</v>
      </c>
      <c r="F1256" s="294">
        <v>1400</v>
      </c>
      <c r="G1256" s="8">
        <f t="shared" si="264"/>
        <v>0</v>
      </c>
      <c r="H1256" s="294">
        <f t="shared" si="265"/>
        <v>2800</v>
      </c>
      <c r="I1256" s="467"/>
      <c r="J1256" s="302" t="s">
        <v>21</v>
      </c>
      <c r="K1256" s="457" t="s">
        <v>325</v>
      </c>
      <c r="L1256" s="457" t="s">
        <v>99</v>
      </c>
      <c r="M1256" s="457" t="s">
        <v>32</v>
      </c>
      <c r="N1256" s="468"/>
    </row>
    <row r="1257" spans="1:14" s="469" customFormat="1" ht="14" outlineLevel="5">
      <c r="A1257" s="470" t="s">
        <v>8</v>
      </c>
      <c r="B1257" s="471" t="s">
        <v>871</v>
      </c>
      <c r="C1257" s="338" t="s">
        <v>24</v>
      </c>
      <c r="D1257" s="294"/>
      <c r="E1257" s="294">
        <v>0.8</v>
      </c>
      <c r="F1257" s="294">
        <v>2000</v>
      </c>
      <c r="G1257" s="8">
        <f t="shared" si="264"/>
        <v>0</v>
      </c>
      <c r="H1257" s="294">
        <f t="shared" si="265"/>
        <v>1600</v>
      </c>
      <c r="I1257" s="467"/>
      <c r="J1257" s="302" t="s">
        <v>21</v>
      </c>
      <c r="K1257" s="457" t="s">
        <v>325</v>
      </c>
      <c r="L1257" s="457" t="s">
        <v>99</v>
      </c>
      <c r="M1257" s="457" t="s">
        <v>32</v>
      </c>
      <c r="N1257" s="468"/>
    </row>
    <row r="1258" spans="1:14" s="469" customFormat="1" ht="14" outlineLevel="5">
      <c r="A1258" s="470" t="s">
        <v>8</v>
      </c>
      <c r="B1258" s="471" t="s">
        <v>853</v>
      </c>
      <c r="C1258" s="338" t="s">
        <v>15</v>
      </c>
      <c r="D1258" s="294">
        <v>0</v>
      </c>
      <c r="E1258" s="294">
        <v>8</v>
      </c>
      <c r="F1258" s="294">
        <v>5</v>
      </c>
      <c r="G1258" s="8">
        <f t="shared" si="264"/>
        <v>0</v>
      </c>
      <c r="H1258" s="294">
        <f t="shared" si="265"/>
        <v>40</v>
      </c>
      <c r="I1258" s="467"/>
      <c r="J1258" s="302" t="s">
        <v>21</v>
      </c>
      <c r="K1258" s="457" t="s">
        <v>325</v>
      </c>
      <c r="L1258" s="457" t="s">
        <v>99</v>
      </c>
      <c r="M1258" s="457" t="s">
        <v>32</v>
      </c>
      <c r="N1258" s="468"/>
    </row>
    <row r="1259" spans="1:14" s="459" customFormat="1" ht="15" customHeight="1" outlineLevel="3">
      <c r="A1259" s="452">
        <v>3</v>
      </c>
      <c r="B1259" s="460" t="s">
        <v>250</v>
      </c>
      <c r="C1259" s="464"/>
      <c r="D1259" s="385"/>
      <c r="E1259" s="385"/>
      <c r="F1259" s="385"/>
      <c r="G1259" s="385">
        <f>SUBTOTAL(9,G1260:G1274)</f>
        <v>119821.8</v>
      </c>
      <c r="H1259" s="385">
        <f>SUBTOTAL(9,H1260:H1274)</f>
        <v>192615.1</v>
      </c>
      <c r="I1259" s="385"/>
      <c r="J1259" s="302" t="s">
        <v>21</v>
      </c>
      <c r="K1259" s="457"/>
      <c r="L1259" s="457"/>
      <c r="M1259" s="457" t="s">
        <v>32</v>
      </c>
      <c r="N1259" s="458"/>
    </row>
    <row r="1260" spans="1:14" s="459" customFormat="1" ht="14" outlineLevel="5">
      <c r="A1260" s="477">
        <v>3.1</v>
      </c>
      <c r="B1260" s="476" t="s">
        <v>93</v>
      </c>
      <c r="C1260" s="464"/>
      <c r="D1260" s="385"/>
      <c r="E1260" s="385"/>
      <c r="F1260" s="385"/>
      <c r="G1260" s="385">
        <f>SUBTOTAL(9,G1261:G1274)</f>
        <v>119821.8</v>
      </c>
      <c r="H1260" s="385">
        <f>SUBTOTAL(9,H1261:H1274)</f>
        <v>192615.1</v>
      </c>
      <c r="I1260" s="385"/>
      <c r="J1260" s="302" t="s">
        <v>21</v>
      </c>
      <c r="K1260" s="457"/>
      <c r="L1260" s="457"/>
      <c r="M1260" s="457" t="s">
        <v>32</v>
      </c>
      <c r="N1260" s="458"/>
    </row>
    <row r="1261" spans="1:14" s="469" customFormat="1" ht="14" outlineLevel="5">
      <c r="A1261" s="470" t="s">
        <v>8</v>
      </c>
      <c r="B1261" s="471" t="s">
        <v>872</v>
      </c>
      <c r="C1261" s="338" t="s">
        <v>24</v>
      </c>
      <c r="D1261" s="294">
        <v>0</v>
      </c>
      <c r="E1261" s="294"/>
      <c r="F1261" s="294">
        <v>15435</v>
      </c>
      <c r="G1261" s="8">
        <f t="shared" ref="G1261:G1274" si="266">F1261*D1261</f>
        <v>0</v>
      </c>
      <c r="H1261" s="294">
        <f t="shared" ref="H1261:H1274" si="267">F1261*E1261</f>
        <v>0</v>
      </c>
      <c r="I1261" s="467"/>
      <c r="J1261" s="302" t="s">
        <v>21</v>
      </c>
      <c r="K1261" s="457" t="s">
        <v>325</v>
      </c>
      <c r="L1261" s="457" t="s">
        <v>99</v>
      </c>
      <c r="M1261" s="457" t="s">
        <v>32</v>
      </c>
      <c r="N1261" s="468"/>
    </row>
    <row r="1262" spans="1:14" s="469" customFormat="1" ht="14" outlineLevel="5">
      <c r="A1262" s="470" t="s">
        <v>8</v>
      </c>
      <c r="B1262" s="471" t="s">
        <v>860</v>
      </c>
      <c r="C1262" s="338" t="s">
        <v>15</v>
      </c>
      <c r="D1262" s="294">
        <v>0</v>
      </c>
      <c r="E1262" s="294"/>
      <c r="F1262" s="294">
        <v>2800</v>
      </c>
      <c r="G1262" s="8">
        <f t="shared" si="266"/>
        <v>0</v>
      </c>
      <c r="H1262" s="294">
        <f t="shared" si="267"/>
        <v>0</v>
      </c>
      <c r="I1262" s="467"/>
      <c r="J1262" s="302" t="s">
        <v>21</v>
      </c>
      <c r="K1262" s="457" t="s">
        <v>325</v>
      </c>
      <c r="L1262" s="457" t="s">
        <v>99</v>
      </c>
      <c r="M1262" s="457" t="s">
        <v>32</v>
      </c>
      <c r="N1262" s="468"/>
    </row>
    <row r="1263" spans="1:14" s="469" customFormat="1" ht="14" outlineLevel="5">
      <c r="A1263" s="470" t="s">
        <v>8</v>
      </c>
      <c r="B1263" s="471" t="s">
        <v>861</v>
      </c>
      <c r="C1263" s="338" t="s">
        <v>15</v>
      </c>
      <c r="D1263" s="294">
        <v>0</v>
      </c>
      <c r="E1263" s="294"/>
      <c r="F1263" s="294">
        <v>9744</v>
      </c>
      <c r="G1263" s="8">
        <f t="shared" si="266"/>
        <v>0</v>
      </c>
      <c r="H1263" s="294">
        <f t="shared" si="267"/>
        <v>0</v>
      </c>
      <c r="I1263" s="467"/>
      <c r="J1263" s="302" t="s">
        <v>21</v>
      </c>
      <c r="K1263" s="457" t="s">
        <v>325</v>
      </c>
      <c r="L1263" s="457" t="s">
        <v>99</v>
      </c>
      <c r="M1263" s="457" t="s">
        <v>32</v>
      </c>
      <c r="N1263" s="468"/>
    </row>
    <row r="1264" spans="1:14" s="469" customFormat="1" ht="14" outlineLevel="5">
      <c r="A1264" s="470" t="s">
        <v>8</v>
      </c>
      <c r="B1264" s="471" t="s">
        <v>848</v>
      </c>
      <c r="C1264" s="338" t="s">
        <v>15</v>
      </c>
      <c r="D1264" s="294"/>
      <c r="E1264" s="294"/>
      <c r="F1264" s="294">
        <v>27636</v>
      </c>
      <c r="G1264" s="8">
        <f t="shared" si="266"/>
        <v>0</v>
      </c>
      <c r="H1264" s="294">
        <f t="shared" si="267"/>
        <v>0</v>
      </c>
      <c r="I1264" s="467"/>
      <c r="J1264" s="302" t="s">
        <v>21</v>
      </c>
      <c r="K1264" s="457" t="s">
        <v>325</v>
      </c>
      <c r="L1264" s="457" t="s">
        <v>99</v>
      </c>
      <c r="M1264" s="457" t="s">
        <v>32</v>
      </c>
      <c r="N1264" s="468"/>
    </row>
    <row r="1265" spans="1:14" s="469" customFormat="1" ht="14" outlineLevel="5">
      <c r="A1265" s="470" t="s">
        <v>8</v>
      </c>
      <c r="B1265" s="471" t="s">
        <v>849</v>
      </c>
      <c r="C1265" s="338" t="s">
        <v>15</v>
      </c>
      <c r="D1265" s="294"/>
      <c r="E1265" s="294"/>
      <c r="F1265" s="294">
        <v>5370.75</v>
      </c>
      <c r="G1265" s="8">
        <f t="shared" si="266"/>
        <v>0</v>
      </c>
      <c r="H1265" s="294">
        <f t="shared" si="267"/>
        <v>0</v>
      </c>
      <c r="I1265" s="467"/>
      <c r="J1265" s="302" t="s">
        <v>21</v>
      </c>
      <c r="K1265" s="457" t="s">
        <v>325</v>
      </c>
      <c r="L1265" s="457" t="s">
        <v>99</v>
      </c>
      <c r="M1265" s="457" t="s">
        <v>32</v>
      </c>
      <c r="N1265" s="468"/>
    </row>
    <row r="1266" spans="1:14" s="469" customFormat="1" ht="14" outlineLevel="5">
      <c r="A1266" s="470" t="s">
        <v>8</v>
      </c>
      <c r="B1266" s="471" t="s">
        <v>873</v>
      </c>
      <c r="C1266" s="338" t="s">
        <v>15</v>
      </c>
      <c r="D1266" s="294">
        <v>0</v>
      </c>
      <c r="E1266" s="294"/>
      <c r="F1266" s="294">
        <v>43200</v>
      </c>
      <c r="G1266" s="8">
        <f t="shared" si="266"/>
        <v>0</v>
      </c>
      <c r="H1266" s="294">
        <f t="shared" si="267"/>
        <v>0</v>
      </c>
      <c r="I1266" s="467"/>
      <c r="J1266" s="302" t="s">
        <v>21</v>
      </c>
      <c r="K1266" s="457" t="s">
        <v>325</v>
      </c>
      <c r="L1266" s="457" t="s">
        <v>99</v>
      </c>
      <c r="M1266" s="457" t="s">
        <v>32</v>
      </c>
      <c r="N1266" s="468"/>
    </row>
    <row r="1267" spans="1:14" s="469" customFormat="1" ht="14" outlineLevel="5">
      <c r="A1267" s="470" t="s">
        <v>8</v>
      </c>
      <c r="B1267" s="471" t="s">
        <v>862</v>
      </c>
      <c r="C1267" s="338" t="s">
        <v>15</v>
      </c>
      <c r="D1267" s="294">
        <v>2</v>
      </c>
      <c r="E1267" s="294"/>
      <c r="F1267" s="294">
        <v>59910.9</v>
      </c>
      <c r="G1267" s="8">
        <f t="shared" si="266"/>
        <v>119821.8</v>
      </c>
      <c r="H1267" s="294">
        <f t="shared" si="267"/>
        <v>0</v>
      </c>
      <c r="I1267" s="467"/>
      <c r="J1267" s="302" t="s">
        <v>21</v>
      </c>
      <c r="K1267" s="457" t="s">
        <v>325</v>
      </c>
      <c r="L1267" s="457" t="s">
        <v>99</v>
      </c>
      <c r="M1267" s="457" t="s">
        <v>32</v>
      </c>
      <c r="N1267" s="468"/>
    </row>
    <row r="1268" spans="1:14" s="469" customFormat="1" ht="14" outlineLevel="5">
      <c r="A1268" s="470" t="s">
        <v>8</v>
      </c>
      <c r="B1268" s="471" t="s">
        <v>874</v>
      </c>
      <c r="C1268" s="338" t="s">
        <v>15</v>
      </c>
      <c r="D1268" s="294"/>
      <c r="E1268" s="294">
        <v>2</v>
      </c>
      <c r="F1268" s="294">
        <v>91571.55</v>
      </c>
      <c r="G1268" s="8">
        <f t="shared" si="266"/>
        <v>0</v>
      </c>
      <c r="H1268" s="294">
        <f t="shared" si="267"/>
        <v>183143.1</v>
      </c>
      <c r="I1268" s="467"/>
      <c r="J1268" s="302" t="s">
        <v>21</v>
      </c>
      <c r="K1268" s="457" t="s">
        <v>325</v>
      </c>
      <c r="L1268" s="457" t="s">
        <v>99</v>
      </c>
      <c r="M1268" s="457" t="s">
        <v>32</v>
      </c>
      <c r="N1268" s="468"/>
    </row>
    <row r="1269" spans="1:14" s="469" customFormat="1" ht="14" outlineLevel="5">
      <c r="A1269" s="470" t="s">
        <v>8</v>
      </c>
      <c r="B1269" s="471" t="s">
        <v>850</v>
      </c>
      <c r="C1269" s="338" t="s">
        <v>15</v>
      </c>
      <c r="D1269" s="294">
        <v>0</v>
      </c>
      <c r="E1269" s="294">
        <v>0</v>
      </c>
      <c r="F1269" s="294">
        <v>135</v>
      </c>
      <c r="G1269" s="8">
        <f t="shared" si="266"/>
        <v>0</v>
      </c>
      <c r="H1269" s="294">
        <f t="shared" si="267"/>
        <v>0</v>
      </c>
      <c r="I1269" s="467"/>
      <c r="J1269" s="302" t="s">
        <v>21</v>
      </c>
      <c r="K1269" s="457" t="s">
        <v>325</v>
      </c>
      <c r="L1269" s="457" t="s">
        <v>99</v>
      </c>
      <c r="M1269" s="457" t="s">
        <v>32</v>
      </c>
      <c r="N1269" s="468"/>
    </row>
    <row r="1270" spans="1:14" s="469" customFormat="1" ht="14" outlineLevel="5">
      <c r="A1270" s="470" t="s">
        <v>8</v>
      </c>
      <c r="B1270" s="471" t="s">
        <v>851</v>
      </c>
      <c r="C1270" s="338" t="s">
        <v>15</v>
      </c>
      <c r="D1270" s="294">
        <v>0</v>
      </c>
      <c r="E1270" s="294">
        <v>0</v>
      </c>
      <c r="F1270" s="294">
        <v>459</v>
      </c>
      <c r="G1270" s="8">
        <f t="shared" si="266"/>
        <v>0</v>
      </c>
      <c r="H1270" s="294">
        <f t="shared" si="267"/>
        <v>0</v>
      </c>
      <c r="I1270" s="467"/>
      <c r="J1270" s="302" t="s">
        <v>21</v>
      </c>
      <c r="K1270" s="457" t="s">
        <v>325</v>
      </c>
      <c r="L1270" s="457" t="s">
        <v>99</v>
      </c>
      <c r="M1270" s="457" t="s">
        <v>32</v>
      </c>
      <c r="N1270" s="468"/>
    </row>
    <row r="1271" spans="1:14" s="469" customFormat="1" ht="14" outlineLevel="5">
      <c r="A1271" s="470" t="s">
        <v>8</v>
      </c>
      <c r="B1271" s="471" t="s">
        <v>852</v>
      </c>
      <c r="C1271" s="338" t="s">
        <v>15</v>
      </c>
      <c r="D1271" s="294">
        <v>0</v>
      </c>
      <c r="E1271" s="294">
        <v>0</v>
      </c>
      <c r="F1271" s="294">
        <v>895</v>
      </c>
      <c r="G1271" s="8">
        <f t="shared" si="266"/>
        <v>0</v>
      </c>
      <c r="H1271" s="294">
        <f t="shared" si="267"/>
        <v>0</v>
      </c>
      <c r="I1271" s="467"/>
      <c r="J1271" s="302" t="s">
        <v>21</v>
      </c>
      <c r="K1271" s="457" t="s">
        <v>325</v>
      </c>
      <c r="L1271" s="457" t="s">
        <v>99</v>
      </c>
      <c r="M1271" s="457" t="s">
        <v>32</v>
      </c>
      <c r="N1271" s="468"/>
    </row>
    <row r="1272" spans="1:14" s="469" customFormat="1" ht="14" outlineLevel="5">
      <c r="A1272" s="470" t="s">
        <v>8</v>
      </c>
      <c r="B1272" s="471" t="s">
        <v>1510</v>
      </c>
      <c r="C1272" s="338" t="s">
        <v>15</v>
      </c>
      <c r="D1272" s="294">
        <v>0</v>
      </c>
      <c r="E1272" s="294">
        <v>16</v>
      </c>
      <c r="F1272" s="294">
        <v>582</v>
      </c>
      <c r="G1272" s="8">
        <f t="shared" si="266"/>
        <v>0</v>
      </c>
      <c r="H1272" s="294">
        <f t="shared" si="267"/>
        <v>9312</v>
      </c>
      <c r="I1272" s="467"/>
      <c r="J1272" s="302" t="s">
        <v>21</v>
      </c>
      <c r="K1272" s="457" t="s">
        <v>325</v>
      </c>
      <c r="L1272" s="457" t="s">
        <v>99</v>
      </c>
      <c r="M1272" s="457" t="s">
        <v>32</v>
      </c>
      <c r="N1272" s="468"/>
    </row>
    <row r="1273" spans="1:14" s="469" customFormat="1" ht="14" outlineLevel="5">
      <c r="A1273" s="470" t="s">
        <v>8</v>
      </c>
      <c r="B1273" s="471" t="s">
        <v>1511</v>
      </c>
      <c r="C1273" s="338" t="s">
        <v>15</v>
      </c>
      <c r="D1273" s="294"/>
      <c r="E1273" s="294"/>
      <c r="F1273" s="294">
        <v>3200</v>
      </c>
      <c r="G1273" s="8">
        <f t="shared" si="266"/>
        <v>0</v>
      </c>
      <c r="H1273" s="294">
        <f t="shared" si="267"/>
        <v>0</v>
      </c>
      <c r="I1273" s="467"/>
      <c r="J1273" s="302" t="s">
        <v>21</v>
      </c>
      <c r="K1273" s="457" t="s">
        <v>325</v>
      </c>
      <c r="L1273" s="457" t="s">
        <v>99</v>
      </c>
      <c r="M1273" s="457" t="s">
        <v>32</v>
      </c>
      <c r="N1273" s="468"/>
    </row>
    <row r="1274" spans="1:14" s="469" customFormat="1" ht="14" outlineLevel="5">
      <c r="A1274" s="470" t="s">
        <v>8</v>
      </c>
      <c r="B1274" s="471" t="s">
        <v>853</v>
      </c>
      <c r="C1274" s="338" t="s">
        <v>15</v>
      </c>
      <c r="D1274" s="294">
        <v>0</v>
      </c>
      <c r="E1274" s="294">
        <v>32</v>
      </c>
      <c r="F1274" s="294">
        <v>5</v>
      </c>
      <c r="G1274" s="8">
        <f t="shared" si="266"/>
        <v>0</v>
      </c>
      <c r="H1274" s="294">
        <f t="shared" si="267"/>
        <v>160</v>
      </c>
      <c r="I1274" s="467"/>
      <c r="J1274" s="302" t="s">
        <v>21</v>
      </c>
      <c r="K1274" s="457" t="s">
        <v>325</v>
      </c>
      <c r="L1274" s="457" t="s">
        <v>99</v>
      </c>
      <c r="M1274" s="457" t="s">
        <v>32</v>
      </c>
      <c r="N1274" s="468"/>
    </row>
    <row r="1275" spans="1:14" s="459" customFormat="1" ht="15" customHeight="1" outlineLevel="3">
      <c r="A1275" s="452">
        <v>4</v>
      </c>
      <c r="B1275" s="460" t="s">
        <v>252</v>
      </c>
      <c r="C1275" s="464"/>
      <c r="D1275" s="385"/>
      <c r="E1275" s="385"/>
      <c r="F1275" s="385"/>
      <c r="G1275" s="385">
        <f>SUBTOTAL(9,G1276:G1351)</f>
        <v>184072.682</v>
      </c>
      <c r="H1275" s="385">
        <f>SUBTOTAL(9,H1276:H1351)</f>
        <v>524875.0419999999</v>
      </c>
      <c r="I1275" s="385"/>
      <c r="J1275" s="302" t="s">
        <v>21</v>
      </c>
      <c r="K1275" s="457"/>
      <c r="L1275" s="457"/>
      <c r="M1275" s="457" t="s">
        <v>32</v>
      </c>
      <c r="N1275" s="458"/>
    </row>
    <row r="1276" spans="1:14" s="459" customFormat="1" ht="13" customHeight="1" outlineLevel="4">
      <c r="A1276" s="452">
        <v>4.0999999999999996</v>
      </c>
      <c r="B1276" s="460" t="s">
        <v>876</v>
      </c>
      <c r="C1276" s="464"/>
      <c r="D1276" s="385"/>
      <c r="E1276" s="385"/>
      <c r="F1276" s="385"/>
      <c r="G1276" s="385">
        <f>SUBTOTAL(9,G1277:G1287)</f>
        <v>97981.55</v>
      </c>
      <c r="H1276" s="385">
        <f>SUBTOTAL(9,H1277:H1287)</f>
        <v>266227.34999999998</v>
      </c>
      <c r="I1276" s="385"/>
      <c r="J1276" s="302" t="s">
        <v>21</v>
      </c>
      <c r="K1276" s="457"/>
      <c r="L1276" s="457"/>
      <c r="M1276" s="457" t="s">
        <v>32</v>
      </c>
      <c r="N1276" s="458"/>
    </row>
    <row r="1277" spans="1:14" s="469" customFormat="1" ht="14" outlineLevel="5">
      <c r="A1277" s="465" t="s">
        <v>8</v>
      </c>
      <c r="B1277" s="466" t="s">
        <v>872</v>
      </c>
      <c r="C1277" s="338" t="s">
        <v>879</v>
      </c>
      <c r="D1277" s="294">
        <v>0</v>
      </c>
      <c r="E1277" s="294"/>
      <c r="F1277" s="294">
        <v>15435</v>
      </c>
      <c r="G1277" s="8">
        <f t="shared" ref="G1277:G1287" si="268">F1277*D1277</f>
        <v>0</v>
      </c>
      <c r="H1277" s="294">
        <f t="shared" ref="H1277:H1287" si="269">F1277*E1277</f>
        <v>0</v>
      </c>
      <c r="I1277" s="467"/>
      <c r="J1277" s="302" t="s">
        <v>21</v>
      </c>
      <c r="K1277" s="457" t="s">
        <v>325</v>
      </c>
      <c r="L1277" s="457" t="s">
        <v>99</v>
      </c>
      <c r="M1277" s="457" t="s">
        <v>32</v>
      </c>
      <c r="N1277" s="468"/>
    </row>
    <row r="1278" spans="1:14" s="469" customFormat="1" ht="14" outlineLevel="5">
      <c r="A1278" s="470" t="s">
        <v>8</v>
      </c>
      <c r="B1278" s="471" t="s">
        <v>860</v>
      </c>
      <c r="C1278" s="338" t="s">
        <v>23</v>
      </c>
      <c r="D1278" s="294">
        <v>0</v>
      </c>
      <c r="E1278" s="294"/>
      <c r="F1278" s="294">
        <v>2940</v>
      </c>
      <c r="G1278" s="8">
        <f t="shared" si="268"/>
        <v>0</v>
      </c>
      <c r="H1278" s="294">
        <f t="shared" si="269"/>
        <v>0</v>
      </c>
      <c r="I1278" s="467"/>
      <c r="J1278" s="302" t="s">
        <v>21</v>
      </c>
      <c r="K1278" s="457" t="s">
        <v>325</v>
      </c>
      <c r="L1278" s="457" t="s">
        <v>99</v>
      </c>
      <c r="M1278" s="457" t="s">
        <v>32</v>
      </c>
      <c r="N1278" s="468"/>
    </row>
    <row r="1279" spans="1:14" s="469" customFormat="1" ht="14" outlineLevel="5">
      <c r="A1279" s="470" t="s">
        <v>8</v>
      </c>
      <c r="B1279" s="471" t="s">
        <v>861</v>
      </c>
      <c r="C1279" s="338" t="s">
        <v>23</v>
      </c>
      <c r="D1279" s="294">
        <v>0</v>
      </c>
      <c r="E1279" s="294"/>
      <c r="F1279" s="294">
        <v>10231.200000000001</v>
      </c>
      <c r="G1279" s="8">
        <f t="shared" si="268"/>
        <v>0</v>
      </c>
      <c r="H1279" s="294">
        <f t="shared" si="269"/>
        <v>0</v>
      </c>
      <c r="I1279" s="467"/>
      <c r="J1279" s="302" t="s">
        <v>21</v>
      </c>
      <c r="K1279" s="457" t="s">
        <v>325</v>
      </c>
      <c r="L1279" s="457" t="s">
        <v>99</v>
      </c>
      <c r="M1279" s="457" t="s">
        <v>32</v>
      </c>
      <c r="N1279" s="468"/>
    </row>
    <row r="1280" spans="1:14" s="469" customFormat="1" ht="14" outlineLevel="5">
      <c r="A1280" s="465" t="s">
        <v>8</v>
      </c>
      <c r="B1280" s="466" t="s">
        <v>848</v>
      </c>
      <c r="C1280" s="338" t="s">
        <v>23</v>
      </c>
      <c r="D1280" s="294">
        <v>0</v>
      </c>
      <c r="E1280" s="294"/>
      <c r="F1280" s="294">
        <v>27636</v>
      </c>
      <c r="G1280" s="8">
        <f t="shared" si="268"/>
        <v>0</v>
      </c>
      <c r="H1280" s="294">
        <f t="shared" si="269"/>
        <v>0</v>
      </c>
      <c r="I1280" s="467"/>
      <c r="J1280" s="302" t="s">
        <v>21</v>
      </c>
      <c r="K1280" s="457" t="s">
        <v>325</v>
      </c>
      <c r="L1280" s="457" t="s">
        <v>99</v>
      </c>
      <c r="M1280" s="457" t="s">
        <v>32</v>
      </c>
      <c r="N1280" s="468"/>
    </row>
    <row r="1281" spans="1:14" s="469" customFormat="1" ht="14" outlineLevel="5">
      <c r="A1281" s="470" t="s">
        <v>8</v>
      </c>
      <c r="B1281" s="471" t="s">
        <v>877</v>
      </c>
      <c r="C1281" s="338" t="s">
        <v>23</v>
      </c>
      <c r="D1281" s="294">
        <v>0</v>
      </c>
      <c r="E1281" s="294">
        <v>1</v>
      </c>
      <c r="F1281" s="294">
        <v>43200</v>
      </c>
      <c r="G1281" s="8">
        <f t="shared" si="268"/>
        <v>0</v>
      </c>
      <c r="H1281" s="294">
        <f t="shared" si="269"/>
        <v>43200</v>
      </c>
      <c r="I1281" s="467"/>
      <c r="J1281" s="302" t="s">
        <v>21</v>
      </c>
      <c r="K1281" s="457" t="s">
        <v>325</v>
      </c>
      <c r="L1281" s="457" t="s">
        <v>99</v>
      </c>
      <c r="M1281" s="457" t="s">
        <v>32</v>
      </c>
      <c r="N1281" s="468"/>
    </row>
    <row r="1282" spans="1:14" s="469" customFormat="1" ht="14" outlineLevel="5">
      <c r="A1282" s="470" t="s">
        <v>8</v>
      </c>
      <c r="B1282" s="471" t="s">
        <v>862</v>
      </c>
      <c r="C1282" s="338" t="s">
        <v>23</v>
      </c>
      <c r="D1282" s="294">
        <v>0</v>
      </c>
      <c r="E1282" s="294">
        <v>2</v>
      </c>
      <c r="F1282" s="294">
        <v>59910.9</v>
      </c>
      <c r="G1282" s="8">
        <f t="shared" si="268"/>
        <v>0</v>
      </c>
      <c r="H1282" s="294">
        <f t="shared" si="269"/>
        <v>119821.8</v>
      </c>
      <c r="I1282" s="467"/>
      <c r="J1282" s="302" t="s">
        <v>21</v>
      </c>
      <c r="K1282" s="457" t="s">
        <v>325</v>
      </c>
      <c r="L1282" s="457" t="s">
        <v>99</v>
      </c>
      <c r="M1282" s="457" t="s">
        <v>32</v>
      </c>
      <c r="N1282" s="468"/>
    </row>
    <row r="1283" spans="1:14" s="469" customFormat="1" ht="14" outlineLevel="5">
      <c r="A1283" s="470" t="s">
        <v>8</v>
      </c>
      <c r="B1283" s="471" t="s">
        <v>874</v>
      </c>
      <c r="C1283" s="338" t="s">
        <v>23</v>
      </c>
      <c r="D1283" s="294">
        <v>1</v>
      </c>
      <c r="E1283" s="294">
        <v>1</v>
      </c>
      <c r="F1283" s="294">
        <v>91571.55</v>
      </c>
      <c r="G1283" s="8">
        <f t="shared" si="268"/>
        <v>91571.55</v>
      </c>
      <c r="H1283" s="294">
        <f t="shared" si="269"/>
        <v>91571.55</v>
      </c>
      <c r="I1283" s="467"/>
      <c r="J1283" s="302" t="s">
        <v>21</v>
      </c>
      <c r="K1283" s="457" t="s">
        <v>325</v>
      </c>
      <c r="L1283" s="457" t="s">
        <v>99</v>
      </c>
      <c r="M1283" s="457" t="s">
        <v>32</v>
      </c>
      <c r="N1283" s="468"/>
    </row>
    <row r="1284" spans="1:14" s="469" customFormat="1" ht="14" outlineLevel="5">
      <c r="A1284" s="465" t="s">
        <v>8</v>
      </c>
      <c r="B1284" s="466" t="s">
        <v>878</v>
      </c>
      <c r="C1284" s="338" t="s">
        <v>148</v>
      </c>
      <c r="D1284" s="294">
        <v>0</v>
      </c>
      <c r="E1284" s="294">
        <v>20</v>
      </c>
      <c r="F1284" s="294">
        <v>56</v>
      </c>
      <c r="G1284" s="8">
        <f t="shared" si="268"/>
        <v>0</v>
      </c>
      <c r="H1284" s="294">
        <f t="shared" si="269"/>
        <v>1120</v>
      </c>
      <c r="I1284" s="467"/>
      <c r="J1284" s="302" t="s">
        <v>21</v>
      </c>
      <c r="K1284" s="457" t="s">
        <v>325</v>
      </c>
      <c r="L1284" s="457" t="s">
        <v>99</v>
      </c>
      <c r="M1284" s="457" t="s">
        <v>32</v>
      </c>
      <c r="N1284" s="468"/>
    </row>
    <row r="1285" spans="1:14" s="469" customFormat="1" ht="14" outlineLevel="5">
      <c r="A1285" s="470" t="s">
        <v>8</v>
      </c>
      <c r="B1285" s="471" t="s">
        <v>863</v>
      </c>
      <c r="C1285" s="338" t="s">
        <v>148</v>
      </c>
      <c r="D1285" s="294">
        <v>0</v>
      </c>
      <c r="E1285" s="294">
        <v>12</v>
      </c>
      <c r="F1285" s="294">
        <v>582</v>
      </c>
      <c r="G1285" s="8">
        <f t="shared" si="268"/>
        <v>0</v>
      </c>
      <c r="H1285" s="294">
        <f t="shared" si="269"/>
        <v>6984</v>
      </c>
      <c r="I1285" s="467"/>
      <c r="J1285" s="302" t="s">
        <v>21</v>
      </c>
      <c r="K1285" s="457" t="s">
        <v>325</v>
      </c>
      <c r="L1285" s="457" t="s">
        <v>99</v>
      </c>
      <c r="M1285" s="457" t="s">
        <v>32</v>
      </c>
      <c r="N1285" s="468"/>
    </row>
    <row r="1286" spans="1:14" s="469" customFormat="1" ht="14" outlineLevel="5">
      <c r="A1286" s="470" t="s">
        <v>8</v>
      </c>
      <c r="B1286" s="471" t="s">
        <v>875</v>
      </c>
      <c r="C1286" s="338" t="s">
        <v>148</v>
      </c>
      <c r="D1286" s="294">
        <v>2</v>
      </c>
      <c r="E1286" s="294">
        <v>1</v>
      </c>
      <c r="F1286" s="294">
        <v>3200</v>
      </c>
      <c r="G1286" s="8">
        <f t="shared" si="268"/>
        <v>6400</v>
      </c>
      <c r="H1286" s="294">
        <f t="shared" si="269"/>
        <v>3200</v>
      </c>
      <c r="I1286" s="467"/>
      <c r="J1286" s="302" t="s">
        <v>21</v>
      </c>
      <c r="K1286" s="457" t="s">
        <v>325</v>
      </c>
      <c r="L1286" s="457" t="s">
        <v>99</v>
      </c>
      <c r="M1286" s="457" t="s">
        <v>32</v>
      </c>
      <c r="N1286" s="468"/>
    </row>
    <row r="1287" spans="1:14" s="469" customFormat="1" ht="14" outlineLevel="5">
      <c r="A1287" s="470" t="s">
        <v>8</v>
      </c>
      <c r="B1287" s="471" t="s">
        <v>853</v>
      </c>
      <c r="C1287" s="338" t="s">
        <v>880</v>
      </c>
      <c r="D1287" s="294">
        <v>2</v>
      </c>
      <c r="E1287" s="294">
        <v>66</v>
      </c>
      <c r="F1287" s="294">
        <v>5</v>
      </c>
      <c r="G1287" s="8">
        <f t="shared" si="268"/>
        <v>10</v>
      </c>
      <c r="H1287" s="294">
        <f t="shared" si="269"/>
        <v>330</v>
      </c>
      <c r="I1287" s="467"/>
      <c r="J1287" s="302" t="s">
        <v>21</v>
      </c>
      <c r="K1287" s="457" t="s">
        <v>325</v>
      </c>
      <c r="L1287" s="457" t="s">
        <v>99</v>
      </c>
      <c r="M1287" s="457" t="s">
        <v>32</v>
      </c>
      <c r="N1287" s="468"/>
    </row>
    <row r="1288" spans="1:14" s="459" customFormat="1" ht="13" customHeight="1" outlineLevel="4">
      <c r="A1288" s="452">
        <v>4.2</v>
      </c>
      <c r="B1288" s="461" t="s">
        <v>881</v>
      </c>
      <c r="C1288" s="464"/>
      <c r="D1288" s="385"/>
      <c r="E1288" s="385"/>
      <c r="F1288" s="385"/>
      <c r="G1288" s="385">
        <f>SUBTOTAL(9,G1289:G1296)</f>
        <v>22091.131999999998</v>
      </c>
      <c r="H1288" s="385">
        <f>SUBTOTAL(9,H1289:H1296)</f>
        <v>42378.131999999998</v>
      </c>
      <c r="I1288" s="385"/>
      <c r="J1288" s="302" t="s">
        <v>21</v>
      </c>
      <c r="K1288" s="457"/>
      <c r="L1288" s="457"/>
      <c r="M1288" s="457" t="s">
        <v>32</v>
      </c>
      <c r="N1288" s="458"/>
    </row>
    <row r="1289" spans="1:14" s="469" customFormat="1" ht="14" outlineLevel="5">
      <c r="A1289" s="465" t="s">
        <v>8</v>
      </c>
      <c r="B1289" s="466" t="s">
        <v>882</v>
      </c>
      <c r="C1289" s="338" t="s">
        <v>879</v>
      </c>
      <c r="D1289" s="294">
        <v>0</v>
      </c>
      <c r="E1289" s="294"/>
      <c r="F1289" s="294">
        <v>14007.7</v>
      </c>
      <c r="G1289" s="8">
        <f t="shared" ref="G1289:G1296" si="270">F1289*D1289</f>
        <v>0</v>
      </c>
      <c r="H1289" s="294">
        <f t="shared" ref="H1289:H1296" si="271">F1289*E1289</f>
        <v>0</v>
      </c>
      <c r="I1289" s="467"/>
      <c r="J1289" s="302" t="s">
        <v>21</v>
      </c>
      <c r="K1289" s="457" t="s">
        <v>325</v>
      </c>
      <c r="L1289" s="457" t="s">
        <v>99</v>
      </c>
      <c r="M1289" s="457" t="s">
        <v>32</v>
      </c>
      <c r="N1289" s="468"/>
    </row>
    <row r="1290" spans="1:14" s="469" customFormat="1" ht="14" outlineLevel="5">
      <c r="A1290" s="470" t="s">
        <v>8</v>
      </c>
      <c r="B1290" s="471" t="s">
        <v>883</v>
      </c>
      <c r="C1290" s="338" t="s">
        <v>23</v>
      </c>
      <c r="D1290" s="294">
        <v>0</v>
      </c>
      <c r="E1290" s="294"/>
      <c r="F1290" s="294">
        <v>29899.999999999996</v>
      </c>
      <c r="G1290" s="8">
        <f t="shared" si="270"/>
        <v>0</v>
      </c>
      <c r="H1290" s="294">
        <f t="shared" si="271"/>
        <v>0</v>
      </c>
      <c r="I1290" s="467"/>
      <c r="J1290" s="302" t="s">
        <v>21</v>
      </c>
      <c r="K1290" s="457" t="s">
        <v>325</v>
      </c>
      <c r="L1290" s="457" t="s">
        <v>99</v>
      </c>
      <c r="M1290" s="457" t="s">
        <v>32</v>
      </c>
      <c r="N1290" s="468"/>
    </row>
    <row r="1291" spans="1:14" s="469" customFormat="1" ht="14" outlineLevel="5">
      <c r="A1291" s="470" t="s">
        <v>8</v>
      </c>
      <c r="B1291" s="471" t="s">
        <v>884</v>
      </c>
      <c r="C1291" s="338" t="s">
        <v>23</v>
      </c>
      <c r="D1291" s="294">
        <v>1</v>
      </c>
      <c r="E1291" s="294"/>
      <c r="F1291" s="294">
        <v>22091.131999999998</v>
      </c>
      <c r="G1291" s="8">
        <f t="shared" si="270"/>
        <v>22091.131999999998</v>
      </c>
      <c r="H1291" s="294">
        <f t="shared" si="271"/>
        <v>0</v>
      </c>
      <c r="I1291" s="467"/>
      <c r="J1291" s="302" t="s">
        <v>21</v>
      </c>
      <c r="K1291" s="457" t="s">
        <v>325</v>
      </c>
      <c r="L1291" s="457" t="s">
        <v>99</v>
      </c>
      <c r="M1291" s="457" t="s">
        <v>32</v>
      </c>
      <c r="N1291" s="468"/>
    </row>
    <row r="1292" spans="1:14" s="469" customFormat="1" ht="14" outlineLevel="5">
      <c r="A1292" s="465" t="s">
        <v>8</v>
      </c>
      <c r="B1292" s="466" t="s">
        <v>885</v>
      </c>
      <c r="C1292" s="338" t="s">
        <v>23</v>
      </c>
      <c r="D1292" s="294">
        <v>0</v>
      </c>
      <c r="E1292" s="294">
        <v>1</v>
      </c>
      <c r="F1292" s="294">
        <v>17250</v>
      </c>
      <c r="G1292" s="8">
        <f t="shared" si="270"/>
        <v>0</v>
      </c>
      <c r="H1292" s="294">
        <f t="shared" si="271"/>
        <v>17250</v>
      </c>
      <c r="I1292" s="467"/>
      <c r="J1292" s="302" t="s">
        <v>21</v>
      </c>
      <c r="K1292" s="457" t="s">
        <v>325</v>
      </c>
      <c r="L1292" s="457" t="s">
        <v>99</v>
      </c>
      <c r="M1292" s="457" t="s">
        <v>32</v>
      </c>
      <c r="N1292" s="468"/>
    </row>
    <row r="1293" spans="1:14" s="469" customFormat="1" ht="14" outlineLevel="5">
      <c r="A1293" s="470" t="s">
        <v>8</v>
      </c>
      <c r="B1293" s="471" t="s">
        <v>886</v>
      </c>
      <c r="C1293" s="338" t="s">
        <v>23</v>
      </c>
      <c r="D1293" s="294">
        <v>0</v>
      </c>
      <c r="E1293" s="294">
        <v>1</v>
      </c>
      <c r="F1293" s="294">
        <v>22091.131999999998</v>
      </c>
      <c r="G1293" s="8">
        <f t="shared" si="270"/>
        <v>0</v>
      </c>
      <c r="H1293" s="294">
        <f t="shared" si="271"/>
        <v>22091.131999999998</v>
      </c>
      <c r="I1293" s="467"/>
      <c r="J1293" s="302" t="s">
        <v>21</v>
      </c>
      <c r="K1293" s="457" t="s">
        <v>325</v>
      </c>
      <c r="L1293" s="457" t="s">
        <v>99</v>
      </c>
      <c r="M1293" s="457" t="s">
        <v>32</v>
      </c>
      <c r="N1293" s="468"/>
    </row>
    <row r="1294" spans="1:14" s="469" customFormat="1" ht="14" outlineLevel="5">
      <c r="A1294" s="470" t="s">
        <v>8</v>
      </c>
      <c r="B1294" s="471" t="s">
        <v>1476</v>
      </c>
      <c r="C1294" s="338" t="s">
        <v>148</v>
      </c>
      <c r="D1294" s="294">
        <v>0</v>
      </c>
      <c r="E1294" s="294">
        <v>36</v>
      </c>
      <c r="F1294" s="294">
        <v>52</v>
      </c>
      <c r="G1294" s="8">
        <f t="shared" si="270"/>
        <v>0</v>
      </c>
      <c r="H1294" s="294">
        <f t="shared" si="271"/>
        <v>1872</v>
      </c>
      <c r="I1294" s="467"/>
      <c r="J1294" s="302" t="s">
        <v>21</v>
      </c>
      <c r="K1294" s="457" t="s">
        <v>325</v>
      </c>
      <c r="L1294" s="457" t="s">
        <v>99</v>
      </c>
      <c r="M1294" s="457" t="s">
        <v>32</v>
      </c>
      <c r="N1294" s="468"/>
    </row>
    <row r="1295" spans="1:14" s="469" customFormat="1" ht="14" outlineLevel="5">
      <c r="A1295" s="470" t="s">
        <v>8</v>
      </c>
      <c r="B1295" s="471" t="s">
        <v>1347</v>
      </c>
      <c r="C1295" s="338" t="s">
        <v>148</v>
      </c>
      <c r="D1295" s="294"/>
      <c r="E1295" s="294">
        <v>5</v>
      </c>
      <c r="F1295" s="294">
        <v>151</v>
      </c>
      <c r="G1295" s="8">
        <f t="shared" si="270"/>
        <v>0</v>
      </c>
      <c r="H1295" s="294">
        <f t="shared" si="271"/>
        <v>755</v>
      </c>
      <c r="I1295" s="467"/>
      <c r="J1295" s="302" t="s">
        <v>21</v>
      </c>
      <c r="K1295" s="457" t="s">
        <v>325</v>
      </c>
      <c r="L1295" s="457" t="s">
        <v>99</v>
      </c>
      <c r="M1295" s="457" t="s">
        <v>32</v>
      </c>
      <c r="N1295" s="468"/>
    </row>
    <row r="1296" spans="1:14" s="469" customFormat="1" ht="14" outlineLevel="5">
      <c r="A1296" s="465" t="s">
        <v>8</v>
      </c>
      <c r="B1296" s="466" t="s">
        <v>853</v>
      </c>
      <c r="C1296" s="338" t="s">
        <v>880</v>
      </c>
      <c r="D1296" s="294"/>
      <c r="E1296" s="294">
        <v>82</v>
      </c>
      <c r="F1296" s="294">
        <v>5</v>
      </c>
      <c r="G1296" s="8">
        <f t="shared" si="270"/>
        <v>0</v>
      </c>
      <c r="H1296" s="294">
        <f t="shared" si="271"/>
        <v>410</v>
      </c>
      <c r="I1296" s="467"/>
      <c r="J1296" s="302" t="s">
        <v>21</v>
      </c>
      <c r="K1296" s="457" t="s">
        <v>325</v>
      </c>
      <c r="L1296" s="457" t="s">
        <v>99</v>
      </c>
      <c r="M1296" s="457" t="s">
        <v>32</v>
      </c>
      <c r="N1296" s="468"/>
    </row>
    <row r="1297" spans="1:14" s="459" customFormat="1" ht="13" customHeight="1" outlineLevel="4">
      <c r="A1297" s="452">
        <v>4.3</v>
      </c>
      <c r="B1297" s="461" t="s">
        <v>887</v>
      </c>
      <c r="C1297" s="464"/>
      <c r="D1297" s="385"/>
      <c r="E1297" s="385"/>
      <c r="F1297" s="385"/>
      <c r="G1297" s="385">
        <f>SUBTOTAL(9,G1298:G1305)</f>
        <v>0</v>
      </c>
      <c r="H1297" s="385">
        <f>SUBTOTAL(9,H1298:H1305)</f>
        <v>112656.39599999999</v>
      </c>
      <c r="I1297" s="385"/>
      <c r="J1297" s="302" t="s">
        <v>21</v>
      </c>
      <c r="K1297" s="457"/>
      <c r="L1297" s="457"/>
      <c r="M1297" s="457" t="s">
        <v>32</v>
      </c>
      <c r="N1297" s="458"/>
    </row>
    <row r="1298" spans="1:14" s="469" customFormat="1" ht="14" outlineLevel="5">
      <c r="A1298" s="465" t="s">
        <v>8</v>
      </c>
      <c r="B1298" s="466" t="s">
        <v>888</v>
      </c>
      <c r="C1298" s="338" t="s">
        <v>879</v>
      </c>
      <c r="D1298" s="294"/>
      <c r="E1298" s="294">
        <v>1</v>
      </c>
      <c r="F1298" s="294">
        <v>25020</v>
      </c>
      <c r="G1298" s="8">
        <f t="shared" ref="G1298:G1305" si="272">F1298*D1298</f>
        <v>0</v>
      </c>
      <c r="H1298" s="294">
        <f t="shared" ref="H1298:H1305" si="273">F1298*E1298</f>
        <v>25020</v>
      </c>
      <c r="I1298" s="467"/>
      <c r="J1298" s="302" t="s">
        <v>21</v>
      </c>
      <c r="K1298" s="457" t="s">
        <v>325</v>
      </c>
      <c r="L1298" s="457" t="s">
        <v>99</v>
      </c>
      <c r="M1298" s="457" t="s">
        <v>32</v>
      </c>
      <c r="N1298" s="468"/>
    </row>
    <row r="1299" spans="1:14" s="469" customFormat="1" ht="14" outlineLevel="5">
      <c r="A1299" s="470" t="s">
        <v>8</v>
      </c>
      <c r="B1299" s="471" t="s">
        <v>885</v>
      </c>
      <c r="C1299" s="338" t="s">
        <v>23</v>
      </c>
      <c r="D1299" s="294"/>
      <c r="E1299" s="294">
        <v>1</v>
      </c>
      <c r="F1299" s="294">
        <v>17250</v>
      </c>
      <c r="G1299" s="8">
        <f t="shared" si="272"/>
        <v>0</v>
      </c>
      <c r="H1299" s="294">
        <f t="shared" si="273"/>
        <v>17250</v>
      </c>
      <c r="I1299" s="467"/>
      <c r="J1299" s="302" t="s">
        <v>21</v>
      </c>
      <c r="K1299" s="457" t="s">
        <v>325</v>
      </c>
      <c r="L1299" s="457" t="s">
        <v>99</v>
      </c>
      <c r="M1299" s="457" t="s">
        <v>32</v>
      </c>
      <c r="N1299" s="468"/>
    </row>
    <row r="1300" spans="1:14" s="469" customFormat="1" ht="14" outlineLevel="5">
      <c r="A1300" s="470" t="s">
        <v>8</v>
      </c>
      <c r="B1300" s="471" t="s">
        <v>886</v>
      </c>
      <c r="C1300" s="338" t="s">
        <v>23</v>
      </c>
      <c r="D1300" s="294"/>
      <c r="E1300" s="294">
        <v>1</v>
      </c>
      <c r="F1300" s="294">
        <v>22091.131999999998</v>
      </c>
      <c r="G1300" s="8">
        <f t="shared" si="272"/>
        <v>0</v>
      </c>
      <c r="H1300" s="294">
        <f t="shared" si="273"/>
        <v>22091.131999999998</v>
      </c>
      <c r="I1300" s="467"/>
      <c r="J1300" s="302" t="s">
        <v>21</v>
      </c>
      <c r="K1300" s="457" t="s">
        <v>325</v>
      </c>
      <c r="L1300" s="457" t="s">
        <v>99</v>
      </c>
      <c r="M1300" s="457" t="s">
        <v>32</v>
      </c>
      <c r="N1300" s="468"/>
    </row>
    <row r="1301" spans="1:14" s="469" customFormat="1" ht="14" outlineLevel="5">
      <c r="A1301" s="465" t="s">
        <v>8</v>
      </c>
      <c r="B1301" s="466" t="s">
        <v>889</v>
      </c>
      <c r="C1301" s="338" t="s">
        <v>23</v>
      </c>
      <c r="D1301" s="294"/>
      <c r="E1301" s="294">
        <v>1</v>
      </c>
      <c r="F1301" s="294">
        <v>44182.263999999996</v>
      </c>
      <c r="G1301" s="8">
        <f t="shared" si="272"/>
        <v>0</v>
      </c>
      <c r="H1301" s="294">
        <f t="shared" si="273"/>
        <v>44182.263999999996</v>
      </c>
      <c r="I1301" s="467"/>
      <c r="J1301" s="302" t="s">
        <v>21</v>
      </c>
      <c r="K1301" s="457" t="s">
        <v>325</v>
      </c>
      <c r="L1301" s="457" t="s">
        <v>99</v>
      </c>
      <c r="M1301" s="457" t="s">
        <v>32</v>
      </c>
      <c r="N1301" s="468"/>
    </row>
    <row r="1302" spans="1:14" s="469" customFormat="1" ht="14" outlineLevel="5">
      <c r="A1302" s="470" t="s">
        <v>8</v>
      </c>
      <c r="B1302" s="471" t="s">
        <v>856</v>
      </c>
      <c r="C1302" s="338" t="s">
        <v>148</v>
      </c>
      <c r="D1302" s="294"/>
      <c r="E1302" s="294">
        <v>36</v>
      </c>
      <c r="F1302" s="294">
        <v>52</v>
      </c>
      <c r="G1302" s="8">
        <f t="shared" si="272"/>
        <v>0</v>
      </c>
      <c r="H1302" s="294">
        <f t="shared" si="273"/>
        <v>1872</v>
      </c>
      <c r="I1302" s="467"/>
      <c r="J1302" s="302" t="s">
        <v>21</v>
      </c>
      <c r="K1302" s="457" t="s">
        <v>325</v>
      </c>
      <c r="L1302" s="457" t="s">
        <v>99</v>
      </c>
      <c r="M1302" s="457" t="s">
        <v>32</v>
      </c>
      <c r="N1302" s="468"/>
    </row>
    <row r="1303" spans="1:14" s="469" customFormat="1" ht="14" outlineLevel="5">
      <c r="A1303" s="470" t="s">
        <v>8</v>
      </c>
      <c r="B1303" s="471" t="s">
        <v>863</v>
      </c>
      <c r="C1303" s="338" t="s">
        <v>148</v>
      </c>
      <c r="D1303" s="294"/>
      <c r="E1303" s="294">
        <v>5</v>
      </c>
      <c r="F1303" s="294">
        <v>151</v>
      </c>
      <c r="G1303" s="8">
        <f t="shared" si="272"/>
        <v>0</v>
      </c>
      <c r="H1303" s="294">
        <f t="shared" si="273"/>
        <v>755</v>
      </c>
      <c r="I1303" s="467"/>
      <c r="J1303" s="302" t="s">
        <v>21</v>
      </c>
      <c r="K1303" s="457" t="s">
        <v>325</v>
      </c>
      <c r="L1303" s="457" t="s">
        <v>99</v>
      </c>
      <c r="M1303" s="457" t="s">
        <v>32</v>
      </c>
      <c r="N1303" s="468"/>
    </row>
    <row r="1304" spans="1:14" s="469" customFormat="1" ht="14" outlineLevel="5">
      <c r="A1304" s="470" t="s">
        <v>8</v>
      </c>
      <c r="B1304" s="471" t="s">
        <v>875</v>
      </c>
      <c r="C1304" s="338" t="s">
        <v>148</v>
      </c>
      <c r="D1304" s="294"/>
      <c r="E1304" s="294">
        <v>2</v>
      </c>
      <c r="F1304" s="294">
        <v>528</v>
      </c>
      <c r="G1304" s="8">
        <f t="shared" si="272"/>
        <v>0</v>
      </c>
      <c r="H1304" s="294">
        <f t="shared" si="273"/>
        <v>1056</v>
      </c>
      <c r="I1304" s="467"/>
      <c r="J1304" s="302" t="s">
        <v>21</v>
      </c>
      <c r="K1304" s="457" t="s">
        <v>325</v>
      </c>
      <c r="L1304" s="457" t="s">
        <v>99</v>
      </c>
      <c r="M1304" s="457" t="s">
        <v>32</v>
      </c>
      <c r="N1304" s="468"/>
    </row>
    <row r="1305" spans="1:14" s="469" customFormat="1" ht="14" outlineLevel="5">
      <c r="A1305" s="465" t="s">
        <v>8</v>
      </c>
      <c r="B1305" s="466" t="s">
        <v>853</v>
      </c>
      <c r="C1305" s="338" t="s">
        <v>880</v>
      </c>
      <c r="D1305" s="294"/>
      <c r="E1305" s="294">
        <v>86</v>
      </c>
      <c r="F1305" s="294">
        <v>5</v>
      </c>
      <c r="G1305" s="8">
        <f t="shared" si="272"/>
        <v>0</v>
      </c>
      <c r="H1305" s="294">
        <f t="shared" si="273"/>
        <v>430</v>
      </c>
      <c r="I1305" s="467"/>
      <c r="J1305" s="302" t="s">
        <v>21</v>
      </c>
      <c r="K1305" s="457" t="s">
        <v>325</v>
      </c>
      <c r="L1305" s="457" t="s">
        <v>99</v>
      </c>
      <c r="M1305" s="457" t="s">
        <v>32</v>
      </c>
      <c r="N1305" s="468"/>
    </row>
    <row r="1306" spans="1:14" s="459" customFormat="1" ht="13" customHeight="1" outlineLevel="4">
      <c r="A1306" s="452">
        <v>4.4000000000000004</v>
      </c>
      <c r="B1306" s="461" t="s">
        <v>890</v>
      </c>
      <c r="C1306" s="464"/>
      <c r="D1306" s="385"/>
      <c r="E1306" s="385"/>
      <c r="F1306" s="385"/>
      <c r="G1306" s="385"/>
      <c r="H1306" s="385">
        <f>SUBTOTAL(9,H1307:H1318)</f>
        <v>56665.831999999995</v>
      </c>
      <c r="I1306" s="385"/>
      <c r="J1306" s="302" t="s">
        <v>21</v>
      </c>
      <c r="K1306" s="457"/>
      <c r="L1306" s="457"/>
      <c r="M1306" s="457" t="s">
        <v>32</v>
      </c>
      <c r="N1306" s="458"/>
    </row>
    <row r="1307" spans="1:14" s="469" customFormat="1" ht="14" outlineLevel="5">
      <c r="A1307" s="465" t="s">
        <v>8</v>
      </c>
      <c r="B1307" s="466" t="s">
        <v>891</v>
      </c>
      <c r="C1307" s="338" t="s">
        <v>879</v>
      </c>
      <c r="D1307" s="296"/>
      <c r="E1307" s="294">
        <v>1</v>
      </c>
      <c r="F1307" s="294">
        <v>14007.7</v>
      </c>
      <c r="G1307" s="8">
        <f t="shared" ref="G1307:G1318" si="274">F1307*D1307</f>
        <v>0</v>
      </c>
      <c r="H1307" s="294">
        <f t="shared" ref="H1307:H1318" si="275">F1307*E1307</f>
        <v>14007.7</v>
      </c>
      <c r="I1307" s="467"/>
      <c r="J1307" s="302" t="s">
        <v>21</v>
      </c>
      <c r="K1307" s="457" t="s">
        <v>325</v>
      </c>
      <c r="L1307" s="457" t="s">
        <v>99</v>
      </c>
      <c r="M1307" s="457" t="s">
        <v>32</v>
      </c>
      <c r="N1307" s="468"/>
    </row>
    <row r="1308" spans="1:14" s="469" customFormat="1" ht="14" outlineLevel="5">
      <c r="A1308" s="470" t="s">
        <v>8</v>
      </c>
      <c r="B1308" s="471" t="s">
        <v>892</v>
      </c>
      <c r="C1308" s="338" t="s">
        <v>23</v>
      </c>
      <c r="D1308" s="296"/>
      <c r="E1308" s="294"/>
      <c r="F1308" s="294">
        <v>22091.131999999998</v>
      </c>
      <c r="G1308" s="8">
        <f t="shared" si="274"/>
        <v>0</v>
      </c>
      <c r="H1308" s="294">
        <f t="shared" si="275"/>
        <v>0</v>
      </c>
      <c r="I1308" s="467"/>
      <c r="J1308" s="302" t="s">
        <v>21</v>
      </c>
      <c r="K1308" s="457" t="s">
        <v>325</v>
      </c>
      <c r="L1308" s="457" t="s">
        <v>99</v>
      </c>
      <c r="M1308" s="457" t="s">
        <v>32</v>
      </c>
      <c r="N1308" s="468"/>
    </row>
    <row r="1309" spans="1:14" s="469" customFormat="1" ht="14" outlineLevel="5">
      <c r="A1309" s="470" t="s">
        <v>8</v>
      </c>
      <c r="B1309" s="471" t="s">
        <v>883</v>
      </c>
      <c r="C1309" s="338" t="s">
        <v>23</v>
      </c>
      <c r="D1309" s="296"/>
      <c r="E1309" s="294"/>
      <c r="F1309" s="294">
        <v>29899.999999999996</v>
      </c>
      <c r="G1309" s="8">
        <f t="shared" si="274"/>
        <v>0</v>
      </c>
      <c r="H1309" s="294">
        <f t="shared" si="275"/>
        <v>0</v>
      </c>
      <c r="I1309" s="467"/>
      <c r="J1309" s="302" t="s">
        <v>21</v>
      </c>
      <c r="K1309" s="457" t="s">
        <v>325</v>
      </c>
      <c r="L1309" s="457" t="s">
        <v>99</v>
      </c>
      <c r="M1309" s="457" t="s">
        <v>32</v>
      </c>
      <c r="N1309" s="468"/>
    </row>
    <row r="1310" spans="1:14" s="469" customFormat="1" ht="14" outlineLevel="5">
      <c r="A1310" s="465" t="s">
        <v>8</v>
      </c>
      <c r="B1310" s="466" t="s">
        <v>885</v>
      </c>
      <c r="C1310" s="338" t="s">
        <v>23</v>
      </c>
      <c r="D1310" s="296"/>
      <c r="E1310" s="294">
        <v>1</v>
      </c>
      <c r="F1310" s="294">
        <v>17250</v>
      </c>
      <c r="G1310" s="8">
        <f t="shared" si="274"/>
        <v>0</v>
      </c>
      <c r="H1310" s="294">
        <f t="shared" si="275"/>
        <v>17250</v>
      </c>
      <c r="I1310" s="467"/>
      <c r="J1310" s="302" t="s">
        <v>21</v>
      </c>
      <c r="K1310" s="457" t="s">
        <v>325</v>
      </c>
      <c r="L1310" s="457" t="s">
        <v>99</v>
      </c>
      <c r="M1310" s="457" t="s">
        <v>32</v>
      </c>
      <c r="N1310" s="468"/>
    </row>
    <row r="1311" spans="1:14" s="469" customFormat="1" ht="14" outlineLevel="5">
      <c r="A1311" s="465" t="s">
        <v>8</v>
      </c>
      <c r="B1311" s="466" t="s">
        <v>886</v>
      </c>
      <c r="C1311" s="338" t="s">
        <v>23</v>
      </c>
      <c r="D1311" s="296"/>
      <c r="E1311" s="294">
        <v>1</v>
      </c>
      <c r="F1311" s="294">
        <v>22091.131999999998</v>
      </c>
      <c r="G1311" s="8">
        <f t="shared" si="274"/>
        <v>0</v>
      </c>
      <c r="H1311" s="294">
        <f t="shared" si="275"/>
        <v>22091.131999999998</v>
      </c>
      <c r="I1311" s="467"/>
      <c r="J1311" s="302" t="s">
        <v>21</v>
      </c>
      <c r="K1311" s="457" t="s">
        <v>325</v>
      </c>
      <c r="L1311" s="457" t="s">
        <v>99</v>
      </c>
      <c r="M1311" s="457" t="s">
        <v>32</v>
      </c>
      <c r="N1311" s="468"/>
    </row>
    <row r="1312" spans="1:14" s="469" customFormat="1" ht="14" outlineLevel="5">
      <c r="A1312" s="470" t="s">
        <v>8</v>
      </c>
      <c r="B1312" s="471" t="s">
        <v>893</v>
      </c>
      <c r="C1312" s="338" t="s">
        <v>148</v>
      </c>
      <c r="D1312" s="296"/>
      <c r="E1312" s="294"/>
      <c r="F1312" s="294">
        <v>13</v>
      </c>
      <c r="G1312" s="8">
        <f t="shared" si="274"/>
        <v>0</v>
      </c>
      <c r="H1312" s="294">
        <f t="shared" si="275"/>
        <v>0</v>
      </c>
      <c r="I1312" s="467"/>
      <c r="J1312" s="302" t="s">
        <v>21</v>
      </c>
      <c r="K1312" s="457" t="s">
        <v>325</v>
      </c>
      <c r="L1312" s="457" t="s">
        <v>99</v>
      </c>
      <c r="M1312" s="457" t="s">
        <v>32</v>
      </c>
      <c r="N1312" s="468"/>
    </row>
    <row r="1313" spans="1:14" s="469" customFormat="1" ht="14" outlineLevel="5">
      <c r="A1313" s="470" t="s">
        <v>8</v>
      </c>
      <c r="B1313" s="471" t="s">
        <v>894</v>
      </c>
      <c r="C1313" s="338" t="s">
        <v>148</v>
      </c>
      <c r="D1313" s="296"/>
      <c r="E1313" s="294"/>
      <c r="F1313" s="294">
        <v>13</v>
      </c>
      <c r="G1313" s="8">
        <f t="shared" si="274"/>
        <v>0</v>
      </c>
      <c r="H1313" s="294">
        <f t="shared" si="275"/>
        <v>0</v>
      </c>
      <c r="I1313" s="467"/>
      <c r="J1313" s="302" t="s">
        <v>21</v>
      </c>
      <c r="K1313" s="457" t="s">
        <v>325</v>
      </c>
      <c r="L1313" s="457" t="s">
        <v>99</v>
      </c>
      <c r="M1313" s="457" t="s">
        <v>32</v>
      </c>
      <c r="N1313" s="468"/>
    </row>
    <row r="1314" spans="1:14" s="469" customFormat="1" ht="14" outlineLevel="5">
      <c r="A1314" s="465" t="s">
        <v>8</v>
      </c>
      <c r="B1314" s="466" t="s">
        <v>856</v>
      </c>
      <c r="C1314" s="338" t="s">
        <v>148</v>
      </c>
      <c r="D1314" s="296"/>
      <c r="E1314" s="294">
        <v>36</v>
      </c>
      <c r="F1314" s="294">
        <v>52</v>
      </c>
      <c r="G1314" s="8">
        <f t="shared" si="274"/>
        <v>0</v>
      </c>
      <c r="H1314" s="294">
        <f t="shared" si="275"/>
        <v>1872</v>
      </c>
      <c r="I1314" s="467"/>
      <c r="J1314" s="302" t="s">
        <v>21</v>
      </c>
      <c r="K1314" s="457" t="s">
        <v>325</v>
      </c>
      <c r="L1314" s="457" t="s">
        <v>99</v>
      </c>
      <c r="M1314" s="457" t="s">
        <v>32</v>
      </c>
      <c r="N1314" s="468"/>
    </row>
    <row r="1315" spans="1:14" s="469" customFormat="1" ht="14" outlineLevel="5">
      <c r="A1315" s="470" t="s">
        <v>8</v>
      </c>
      <c r="B1315" s="471" t="s">
        <v>863</v>
      </c>
      <c r="C1315" s="338" t="s">
        <v>148</v>
      </c>
      <c r="D1315" s="296"/>
      <c r="E1315" s="294">
        <v>5</v>
      </c>
      <c r="F1315" s="294">
        <v>151</v>
      </c>
      <c r="G1315" s="8">
        <f t="shared" si="274"/>
        <v>0</v>
      </c>
      <c r="H1315" s="294">
        <f t="shared" si="275"/>
        <v>755</v>
      </c>
      <c r="I1315" s="467"/>
      <c r="J1315" s="302" t="s">
        <v>21</v>
      </c>
      <c r="K1315" s="457" t="s">
        <v>325</v>
      </c>
      <c r="L1315" s="457" t="s">
        <v>99</v>
      </c>
      <c r="M1315" s="457" t="s">
        <v>32</v>
      </c>
      <c r="N1315" s="468"/>
    </row>
    <row r="1316" spans="1:14" s="469" customFormat="1" ht="14" outlineLevel="5">
      <c r="A1316" s="470" t="s">
        <v>8</v>
      </c>
      <c r="B1316" s="471" t="s">
        <v>382</v>
      </c>
      <c r="C1316" s="338" t="s">
        <v>880</v>
      </c>
      <c r="D1316" s="296"/>
      <c r="E1316" s="294">
        <v>2</v>
      </c>
      <c r="F1316" s="294">
        <v>130</v>
      </c>
      <c r="G1316" s="8">
        <f t="shared" si="274"/>
        <v>0</v>
      </c>
      <c r="H1316" s="294">
        <f t="shared" si="275"/>
        <v>260</v>
      </c>
      <c r="I1316" s="467"/>
      <c r="J1316" s="302" t="s">
        <v>21</v>
      </c>
      <c r="K1316" s="457" t="s">
        <v>325</v>
      </c>
      <c r="L1316" s="457" t="s">
        <v>99</v>
      </c>
      <c r="M1316" s="457" t="s">
        <v>32</v>
      </c>
      <c r="N1316" s="468"/>
    </row>
    <row r="1317" spans="1:14" s="469" customFormat="1" ht="14" outlineLevel="5">
      <c r="A1317" s="470" t="s">
        <v>8</v>
      </c>
      <c r="B1317" s="471" t="s">
        <v>384</v>
      </c>
      <c r="C1317" s="338" t="s">
        <v>880</v>
      </c>
      <c r="D1317" s="296"/>
      <c r="E1317" s="294"/>
      <c r="F1317" s="294">
        <v>125</v>
      </c>
      <c r="G1317" s="8">
        <f t="shared" si="274"/>
        <v>0</v>
      </c>
      <c r="H1317" s="294">
        <f t="shared" si="275"/>
        <v>0</v>
      </c>
      <c r="I1317" s="467"/>
      <c r="J1317" s="302" t="s">
        <v>21</v>
      </c>
      <c r="K1317" s="457" t="s">
        <v>325</v>
      </c>
      <c r="L1317" s="457" t="s">
        <v>99</v>
      </c>
      <c r="M1317" s="457" t="s">
        <v>32</v>
      </c>
      <c r="N1317" s="468"/>
    </row>
    <row r="1318" spans="1:14" s="469" customFormat="1" ht="14" outlineLevel="5">
      <c r="A1318" s="465" t="s">
        <v>8</v>
      </c>
      <c r="B1318" s="466" t="s">
        <v>853</v>
      </c>
      <c r="C1318" s="338" t="s">
        <v>880</v>
      </c>
      <c r="D1318" s="296"/>
      <c r="E1318" s="294">
        <v>86</v>
      </c>
      <c r="F1318" s="294">
        <v>5</v>
      </c>
      <c r="G1318" s="8">
        <f t="shared" si="274"/>
        <v>0</v>
      </c>
      <c r="H1318" s="294">
        <f t="shared" si="275"/>
        <v>430</v>
      </c>
      <c r="I1318" s="467"/>
      <c r="J1318" s="302" t="s">
        <v>21</v>
      </c>
      <c r="K1318" s="457" t="s">
        <v>325</v>
      </c>
      <c r="L1318" s="457" t="s">
        <v>99</v>
      </c>
      <c r="M1318" s="457" t="s">
        <v>32</v>
      </c>
      <c r="N1318" s="468"/>
    </row>
    <row r="1319" spans="1:14" s="459" customFormat="1" ht="13" customHeight="1" outlineLevel="4">
      <c r="A1319" s="452">
        <v>4.5</v>
      </c>
      <c r="B1319" s="461" t="s">
        <v>895</v>
      </c>
      <c r="C1319" s="464"/>
      <c r="D1319" s="385"/>
      <c r="E1319" s="385"/>
      <c r="F1319" s="385"/>
      <c r="G1319" s="385"/>
      <c r="H1319" s="385">
        <f>SUBTOTAL(9,H1320:H1332)</f>
        <v>41823.531999999999</v>
      </c>
      <c r="I1319" s="385"/>
      <c r="J1319" s="302" t="s">
        <v>21</v>
      </c>
      <c r="K1319" s="457"/>
      <c r="L1319" s="457"/>
      <c r="M1319" s="457" t="s">
        <v>32</v>
      </c>
      <c r="N1319" s="458"/>
    </row>
    <row r="1320" spans="1:14" s="469" customFormat="1" ht="14" outlineLevel="5">
      <c r="A1320" s="465" t="s">
        <v>8</v>
      </c>
      <c r="B1320" s="466" t="s">
        <v>891</v>
      </c>
      <c r="C1320" s="338" t="s">
        <v>879</v>
      </c>
      <c r="D1320" s="294"/>
      <c r="E1320" s="294"/>
      <c r="F1320" s="294">
        <v>14007.7</v>
      </c>
      <c r="G1320" s="8">
        <f t="shared" ref="G1320:G1332" si="276">F1320*D1320</f>
        <v>0</v>
      </c>
      <c r="H1320" s="294">
        <f t="shared" ref="H1320:H1332" si="277">F1320*E1320</f>
        <v>0</v>
      </c>
      <c r="I1320" s="467"/>
      <c r="J1320" s="302" t="s">
        <v>21</v>
      </c>
      <c r="K1320" s="457" t="s">
        <v>325</v>
      </c>
      <c r="L1320" s="457" t="s">
        <v>99</v>
      </c>
      <c r="M1320" s="457" t="s">
        <v>32</v>
      </c>
      <c r="N1320" s="468"/>
    </row>
    <row r="1321" spans="1:14" s="469" customFormat="1" ht="14" outlineLevel="5">
      <c r="A1321" s="465" t="s">
        <v>8</v>
      </c>
      <c r="B1321" s="466" t="s">
        <v>896</v>
      </c>
      <c r="C1321" s="338" t="s">
        <v>23</v>
      </c>
      <c r="D1321" s="294"/>
      <c r="E1321" s="294">
        <v>1</v>
      </c>
      <c r="F1321" s="294">
        <v>17250</v>
      </c>
      <c r="G1321" s="8">
        <f t="shared" si="276"/>
        <v>0</v>
      </c>
      <c r="H1321" s="294">
        <f t="shared" si="277"/>
        <v>17250</v>
      </c>
      <c r="I1321" s="467"/>
      <c r="J1321" s="302" t="s">
        <v>21</v>
      </c>
      <c r="K1321" s="457" t="s">
        <v>325</v>
      </c>
      <c r="L1321" s="457" t="s">
        <v>99</v>
      </c>
      <c r="M1321" s="457" t="s">
        <v>32</v>
      </c>
      <c r="N1321" s="468"/>
    </row>
    <row r="1322" spans="1:14" s="469" customFormat="1" ht="14" outlineLevel="5">
      <c r="A1322" s="470" t="s">
        <v>8</v>
      </c>
      <c r="B1322" s="471" t="s">
        <v>897</v>
      </c>
      <c r="C1322" s="338" t="s">
        <v>23</v>
      </c>
      <c r="D1322" s="294"/>
      <c r="E1322" s="294">
        <v>1</v>
      </c>
      <c r="F1322" s="294">
        <v>22091.131999999998</v>
      </c>
      <c r="G1322" s="8">
        <f t="shared" si="276"/>
        <v>0</v>
      </c>
      <c r="H1322" s="294">
        <f t="shared" si="277"/>
        <v>22091.131999999998</v>
      </c>
      <c r="I1322" s="467"/>
      <c r="J1322" s="302" t="s">
        <v>21</v>
      </c>
      <c r="K1322" s="457" t="s">
        <v>325</v>
      </c>
      <c r="L1322" s="457" t="s">
        <v>99</v>
      </c>
      <c r="M1322" s="457" t="s">
        <v>32</v>
      </c>
      <c r="N1322" s="468"/>
    </row>
    <row r="1323" spans="1:14" s="469" customFormat="1" ht="14" outlineLevel="5">
      <c r="A1323" s="470" t="s">
        <v>8</v>
      </c>
      <c r="B1323" s="471" t="s">
        <v>898</v>
      </c>
      <c r="C1323" s="338" t="s">
        <v>23</v>
      </c>
      <c r="D1323" s="294"/>
      <c r="E1323" s="294"/>
      <c r="F1323" s="294">
        <v>58598</v>
      </c>
      <c r="G1323" s="8">
        <f t="shared" si="276"/>
        <v>0</v>
      </c>
      <c r="H1323" s="294">
        <f t="shared" si="277"/>
        <v>0</v>
      </c>
      <c r="I1323" s="467"/>
      <c r="J1323" s="302" t="s">
        <v>21</v>
      </c>
      <c r="K1323" s="457" t="s">
        <v>325</v>
      </c>
      <c r="L1323" s="457" t="s">
        <v>99</v>
      </c>
      <c r="M1323" s="457" t="s">
        <v>32</v>
      </c>
      <c r="N1323" s="468"/>
    </row>
    <row r="1324" spans="1:14" s="469" customFormat="1" ht="14" outlineLevel="5">
      <c r="A1324" s="465" t="s">
        <v>8</v>
      </c>
      <c r="B1324" s="466" t="s">
        <v>899</v>
      </c>
      <c r="C1324" s="338" t="s">
        <v>23</v>
      </c>
      <c r="D1324" s="294"/>
      <c r="E1324" s="294"/>
      <c r="F1324" s="294">
        <v>18425</v>
      </c>
      <c r="G1324" s="8">
        <f t="shared" si="276"/>
        <v>0</v>
      </c>
      <c r="H1324" s="294">
        <f t="shared" si="277"/>
        <v>0</v>
      </c>
      <c r="I1324" s="467"/>
      <c r="J1324" s="302" t="s">
        <v>21</v>
      </c>
      <c r="K1324" s="457" t="s">
        <v>325</v>
      </c>
      <c r="L1324" s="457" t="s">
        <v>99</v>
      </c>
      <c r="M1324" s="457" t="s">
        <v>32</v>
      </c>
      <c r="N1324" s="468"/>
    </row>
    <row r="1325" spans="1:14" s="469" customFormat="1" ht="14" outlineLevel="5">
      <c r="A1325" s="465" t="s">
        <v>8</v>
      </c>
      <c r="B1325" s="466" t="s">
        <v>892</v>
      </c>
      <c r="C1325" s="338" t="s">
        <v>23</v>
      </c>
      <c r="D1325" s="294"/>
      <c r="E1325" s="294"/>
      <c r="F1325" s="294">
        <v>29899.999999999996</v>
      </c>
      <c r="G1325" s="8">
        <f t="shared" si="276"/>
        <v>0</v>
      </c>
      <c r="H1325" s="294">
        <f t="shared" si="277"/>
        <v>0</v>
      </c>
      <c r="I1325" s="467"/>
      <c r="J1325" s="302" t="s">
        <v>21</v>
      </c>
      <c r="K1325" s="457" t="s">
        <v>325</v>
      </c>
      <c r="L1325" s="457" t="s">
        <v>99</v>
      </c>
      <c r="M1325" s="457" t="s">
        <v>32</v>
      </c>
      <c r="N1325" s="468"/>
    </row>
    <row r="1326" spans="1:14" s="469" customFormat="1" ht="14" outlineLevel="5">
      <c r="A1326" s="470" t="s">
        <v>8</v>
      </c>
      <c r="B1326" s="471" t="s">
        <v>893</v>
      </c>
      <c r="C1326" s="338" t="s">
        <v>148</v>
      </c>
      <c r="D1326" s="294"/>
      <c r="E1326" s="294"/>
      <c r="F1326" s="294">
        <v>13</v>
      </c>
      <c r="G1326" s="8">
        <f t="shared" si="276"/>
        <v>0</v>
      </c>
      <c r="H1326" s="294">
        <f t="shared" si="277"/>
        <v>0</v>
      </c>
      <c r="I1326" s="467"/>
      <c r="J1326" s="302" t="s">
        <v>21</v>
      </c>
      <c r="K1326" s="457" t="s">
        <v>325</v>
      </c>
      <c r="L1326" s="457" t="s">
        <v>99</v>
      </c>
      <c r="M1326" s="457" t="s">
        <v>32</v>
      </c>
      <c r="N1326" s="468"/>
    </row>
    <row r="1327" spans="1:14" s="469" customFormat="1" ht="14" outlineLevel="5">
      <c r="A1327" s="470" t="s">
        <v>8</v>
      </c>
      <c r="B1327" s="471" t="s">
        <v>894</v>
      </c>
      <c r="C1327" s="338" t="s">
        <v>148</v>
      </c>
      <c r="D1327" s="294"/>
      <c r="E1327" s="294">
        <v>5</v>
      </c>
      <c r="F1327" s="294">
        <v>13</v>
      </c>
      <c r="G1327" s="8">
        <f t="shared" si="276"/>
        <v>0</v>
      </c>
      <c r="H1327" s="294">
        <f t="shared" si="277"/>
        <v>65</v>
      </c>
      <c r="I1327" s="467"/>
      <c r="J1327" s="302" t="s">
        <v>21</v>
      </c>
      <c r="K1327" s="457" t="s">
        <v>325</v>
      </c>
      <c r="L1327" s="457" t="s">
        <v>99</v>
      </c>
      <c r="M1327" s="457" t="s">
        <v>32</v>
      </c>
      <c r="N1327" s="468"/>
    </row>
    <row r="1328" spans="1:14" s="469" customFormat="1" ht="14" outlineLevel="5">
      <c r="A1328" s="465" t="s">
        <v>8</v>
      </c>
      <c r="B1328" s="466" t="s">
        <v>1513</v>
      </c>
      <c r="C1328" s="338" t="s">
        <v>148</v>
      </c>
      <c r="D1328" s="294"/>
      <c r="E1328" s="294">
        <v>25.2</v>
      </c>
      <c r="F1328" s="294">
        <v>52</v>
      </c>
      <c r="G1328" s="8">
        <f t="shared" si="276"/>
        <v>0</v>
      </c>
      <c r="H1328" s="294">
        <f t="shared" si="277"/>
        <v>1310.3999999999999</v>
      </c>
      <c r="I1328" s="467"/>
      <c r="J1328" s="302" t="s">
        <v>21</v>
      </c>
      <c r="K1328" s="457" t="s">
        <v>325</v>
      </c>
      <c r="L1328" s="457" t="s">
        <v>99</v>
      </c>
      <c r="M1328" s="457" t="s">
        <v>32</v>
      </c>
      <c r="N1328" s="468"/>
    </row>
    <row r="1329" spans="1:14" s="469" customFormat="1" ht="14" outlineLevel="5">
      <c r="A1329" s="470" t="s">
        <v>8</v>
      </c>
      <c r="B1329" s="471" t="s">
        <v>1510</v>
      </c>
      <c r="C1329" s="338" t="s">
        <v>148</v>
      </c>
      <c r="D1329" s="294"/>
      <c r="E1329" s="294">
        <v>5</v>
      </c>
      <c r="F1329" s="294">
        <v>151</v>
      </c>
      <c r="G1329" s="8">
        <f t="shared" si="276"/>
        <v>0</v>
      </c>
      <c r="H1329" s="294">
        <f t="shared" si="277"/>
        <v>755</v>
      </c>
      <c r="I1329" s="467"/>
      <c r="J1329" s="302" t="s">
        <v>21</v>
      </c>
      <c r="K1329" s="457" t="s">
        <v>325</v>
      </c>
      <c r="L1329" s="457" t="s">
        <v>99</v>
      </c>
      <c r="M1329" s="457" t="s">
        <v>32</v>
      </c>
      <c r="N1329" s="468"/>
    </row>
    <row r="1330" spans="1:14" s="469" customFormat="1" ht="14" outlineLevel="5">
      <c r="A1330" s="470" t="s">
        <v>8</v>
      </c>
      <c r="B1330" s="471" t="s">
        <v>382</v>
      </c>
      <c r="C1330" s="338" t="s">
        <v>880</v>
      </c>
      <c r="D1330" s="294"/>
      <c r="E1330" s="294"/>
      <c r="F1330" s="294">
        <v>130</v>
      </c>
      <c r="G1330" s="8">
        <f t="shared" si="276"/>
        <v>0</v>
      </c>
      <c r="H1330" s="294">
        <f t="shared" si="277"/>
        <v>0</v>
      </c>
      <c r="I1330" s="467"/>
      <c r="J1330" s="302" t="s">
        <v>21</v>
      </c>
      <c r="K1330" s="457" t="s">
        <v>325</v>
      </c>
      <c r="L1330" s="457" t="s">
        <v>99</v>
      </c>
      <c r="M1330" s="457" t="s">
        <v>32</v>
      </c>
      <c r="N1330" s="468"/>
    </row>
    <row r="1331" spans="1:14" s="469" customFormat="1" ht="14" outlineLevel="5">
      <c r="A1331" s="470" t="s">
        <v>8</v>
      </c>
      <c r="B1331" s="471" t="s">
        <v>384</v>
      </c>
      <c r="C1331" s="338" t="s">
        <v>880</v>
      </c>
      <c r="D1331" s="294"/>
      <c r="E1331" s="294"/>
      <c r="F1331" s="294">
        <v>125</v>
      </c>
      <c r="G1331" s="8">
        <f t="shared" si="276"/>
        <v>0</v>
      </c>
      <c r="H1331" s="294">
        <f t="shared" si="277"/>
        <v>0</v>
      </c>
      <c r="I1331" s="467"/>
      <c r="J1331" s="302" t="s">
        <v>21</v>
      </c>
      <c r="K1331" s="457" t="s">
        <v>325</v>
      </c>
      <c r="L1331" s="457" t="s">
        <v>99</v>
      </c>
      <c r="M1331" s="457" t="s">
        <v>32</v>
      </c>
      <c r="N1331" s="468"/>
    </row>
    <row r="1332" spans="1:14" s="469" customFormat="1" ht="14" outlineLevel="5">
      <c r="A1332" s="465" t="s">
        <v>8</v>
      </c>
      <c r="B1332" s="466" t="s">
        <v>853</v>
      </c>
      <c r="C1332" s="338" t="s">
        <v>880</v>
      </c>
      <c r="D1332" s="294"/>
      <c r="E1332" s="294">
        <v>70.400000000000006</v>
      </c>
      <c r="F1332" s="294">
        <v>5</v>
      </c>
      <c r="G1332" s="8">
        <f t="shared" si="276"/>
        <v>0</v>
      </c>
      <c r="H1332" s="294">
        <f t="shared" si="277"/>
        <v>352</v>
      </c>
      <c r="I1332" s="467"/>
      <c r="J1332" s="302" t="s">
        <v>21</v>
      </c>
      <c r="K1332" s="457" t="s">
        <v>325</v>
      </c>
      <c r="L1332" s="457" t="s">
        <v>99</v>
      </c>
      <c r="M1332" s="457" t="s">
        <v>32</v>
      </c>
      <c r="N1332" s="468"/>
    </row>
    <row r="1333" spans="1:14" s="459" customFormat="1" ht="13" customHeight="1" outlineLevel="4">
      <c r="A1333" s="452">
        <v>4.5999999999999996</v>
      </c>
      <c r="B1333" s="463" t="s">
        <v>900</v>
      </c>
      <c r="C1333" s="464"/>
      <c r="D1333" s="385"/>
      <c r="E1333" s="385"/>
      <c r="F1333" s="385"/>
      <c r="G1333" s="385">
        <f>SUBTOTAL(9,G1334:G1340)</f>
        <v>2000</v>
      </c>
      <c r="H1333" s="385">
        <f>SUBTOTAL(9,H1334:H1340)</f>
        <v>5123.7999999999993</v>
      </c>
      <c r="I1333" s="385"/>
      <c r="J1333" s="302" t="s">
        <v>21</v>
      </c>
      <c r="K1333" s="457"/>
      <c r="L1333" s="457"/>
      <c r="M1333" s="457" t="s">
        <v>32</v>
      </c>
      <c r="N1333" s="458"/>
    </row>
    <row r="1334" spans="1:14" s="469" customFormat="1" ht="14" outlineLevel="5">
      <c r="A1334" s="465" t="s">
        <v>8</v>
      </c>
      <c r="B1334" s="466" t="s">
        <v>901</v>
      </c>
      <c r="C1334" s="338" t="s">
        <v>879</v>
      </c>
      <c r="D1334" s="294">
        <v>1</v>
      </c>
      <c r="E1334" s="294">
        <v>1</v>
      </c>
      <c r="F1334" s="294">
        <v>2000</v>
      </c>
      <c r="G1334" s="8">
        <f t="shared" ref="G1334:G1340" si="278">F1334*D1334</f>
        <v>2000</v>
      </c>
      <c r="H1334" s="294">
        <f t="shared" ref="H1334:H1340" si="279">F1334*E1334</f>
        <v>2000</v>
      </c>
      <c r="I1334" s="467"/>
      <c r="J1334" s="302" t="s">
        <v>21</v>
      </c>
      <c r="K1334" s="457" t="s">
        <v>325</v>
      </c>
      <c r="L1334" s="457" t="s">
        <v>99</v>
      </c>
      <c r="M1334" s="457" t="s">
        <v>32</v>
      </c>
      <c r="N1334" s="468"/>
    </row>
    <row r="1335" spans="1:14" s="469" customFormat="1" ht="14" outlineLevel="5">
      <c r="A1335" s="465" t="s">
        <v>8</v>
      </c>
      <c r="B1335" s="466" t="s">
        <v>893</v>
      </c>
      <c r="C1335" s="338" t="s">
        <v>148</v>
      </c>
      <c r="D1335" s="294"/>
      <c r="E1335" s="294">
        <v>14.399999999999999</v>
      </c>
      <c r="F1335" s="294">
        <v>13</v>
      </c>
      <c r="G1335" s="8">
        <f t="shared" si="278"/>
        <v>0</v>
      </c>
      <c r="H1335" s="294">
        <f t="shared" si="279"/>
        <v>187.2</v>
      </c>
      <c r="I1335" s="467"/>
      <c r="J1335" s="302" t="s">
        <v>21</v>
      </c>
      <c r="K1335" s="457" t="s">
        <v>325</v>
      </c>
      <c r="L1335" s="457" t="s">
        <v>99</v>
      </c>
      <c r="M1335" s="457" t="s">
        <v>32</v>
      </c>
      <c r="N1335" s="468"/>
    </row>
    <row r="1336" spans="1:14" s="469" customFormat="1" ht="14" outlineLevel="5">
      <c r="A1336" s="470" t="s">
        <v>8</v>
      </c>
      <c r="B1336" s="471" t="s">
        <v>1512</v>
      </c>
      <c r="C1336" s="338" t="s">
        <v>148</v>
      </c>
      <c r="D1336" s="294"/>
      <c r="E1336" s="294">
        <v>14.399999999999999</v>
      </c>
      <c r="F1336" s="294">
        <v>13</v>
      </c>
      <c r="G1336" s="8">
        <f t="shared" si="278"/>
        <v>0</v>
      </c>
      <c r="H1336" s="294">
        <f t="shared" si="279"/>
        <v>187.2</v>
      </c>
      <c r="I1336" s="467"/>
      <c r="J1336" s="302" t="s">
        <v>21</v>
      </c>
      <c r="K1336" s="457" t="s">
        <v>325</v>
      </c>
      <c r="L1336" s="457" t="s">
        <v>99</v>
      </c>
      <c r="M1336" s="457" t="s">
        <v>32</v>
      </c>
      <c r="N1336" s="468"/>
    </row>
    <row r="1337" spans="1:14" s="469" customFormat="1" ht="14" outlineLevel="5">
      <c r="A1337" s="470" t="s">
        <v>8</v>
      </c>
      <c r="B1337" s="471" t="s">
        <v>856</v>
      </c>
      <c r="C1337" s="338" t="s">
        <v>148</v>
      </c>
      <c r="D1337" s="294"/>
      <c r="E1337" s="294">
        <v>19.200000000000003</v>
      </c>
      <c r="F1337" s="294">
        <v>52</v>
      </c>
      <c r="G1337" s="8">
        <f t="shared" si="278"/>
        <v>0</v>
      </c>
      <c r="H1337" s="294">
        <f t="shared" si="279"/>
        <v>998.40000000000009</v>
      </c>
      <c r="I1337" s="467"/>
      <c r="J1337" s="302" t="s">
        <v>21</v>
      </c>
      <c r="K1337" s="457" t="s">
        <v>325</v>
      </c>
      <c r="L1337" s="457" t="s">
        <v>99</v>
      </c>
      <c r="M1337" s="457" t="s">
        <v>32</v>
      </c>
      <c r="N1337" s="468"/>
    </row>
    <row r="1338" spans="1:14" s="469" customFormat="1" ht="14" outlineLevel="5">
      <c r="A1338" s="465" t="s">
        <v>8</v>
      </c>
      <c r="B1338" s="466" t="s">
        <v>382</v>
      </c>
      <c r="C1338" s="338" t="s">
        <v>148</v>
      </c>
      <c r="D1338" s="294"/>
      <c r="E1338" s="294">
        <v>8</v>
      </c>
      <c r="F1338" s="294">
        <v>130</v>
      </c>
      <c r="G1338" s="8">
        <f t="shared" si="278"/>
        <v>0</v>
      </c>
      <c r="H1338" s="294">
        <f t="shared" si="279"/>
        <v>1040</v>
      </c>
      <c r="I1338" s="467"/>
      <c r="J1338" s="302" t="s">
        <v>21</v>
      </c>
      <c r="K1338" s="457" t="s">
        <v>325</v>
      </c>
      <c r="L1338" s="457" t="s">
        <v>99</v>
      </c>
      <c r="M1338" s="457" t="s">
        <v>32</v>
      </c>
      <c r="N1338" s="468"/>
    </row>
    <row r="1339" spans="1:14" s="469" customFormat="1" ht="14" outlineLevel="5">
      <c r="A1339" s="465" t="s">
        <v>8</v>
      </c>
      <c r="B1339" s="466" t="s">
        <v>384</v>
      </c>
      <c r="C1339" s="338" t="s">
        <v>148</v>
      </c>
      <c r="D1339" s="294"/>
      <c r="E1339" s="294">
        <v>3</v>
      </c>
      <c r="F1339" s="294">
        <v>125</v>
      </c>
      <c r="G1339" s="8">
        <f t="shared" si="278"/>
        <v>0</v>
      </c>
      <c r="H1339" s="294">
        <f t="shared" si="279"/>
        <v>375</v>
      </c>
      <c r="I1339" s="467"/>
      <c r="J1339" s="302" t="s">
        <v>21</v>
      </c>
      <c r="K1339" s="457" t="s">
        <v>325</v>
      </c>
      <c r="L1339" s="457" t="s">
        <v>99</v>
      </c>
      <c r="M1339" s="457" t="s">
        <v>32</v>
      </c>
      <c r="N1339" s="468"/>
    </row>
    <row r="1340" spans="1:14" s="469" customFormat="1" ht="14" outlineLevel="5">
      <c r="A1340" s="470" t="s">
        <v>8</v>
      </c>
      <c r="B1340" s="471" t="s">
        <v>902</v>
      </c>
      <c r="C1340" s="338" t="s">
        <v>880</v>
      </c>
      <c r="D1340" s="294">
        <v>0</v>
      </c>
      <c r="E1340" s="294">
        <v>67.2</v>
      </c>
      <c r="F1340" s="294">
        <v>5</v>
      </c>
      <c r="G1340" s="8">
        <f t="shared" si="278"/>
        <v>0</v>
      </c>
      <c r="H1340" s="294">
        <f t="shared" si="279"/>
        <v>336</v>
      </c>
      <c r="I1340" s="467"/>
      <c r="J1340" s="302" t="s">
        <v>21</v>
      </c>
      <c r="K1340" s="457" t="s">
        <v>325</v>
      </c>
      <c r="L1340" s="457" t="s">
        <v>99</v>
      </c>
      <c r="M1340" s="457" t="s">
        <v>32</v>
      </c>
      <c r="N1340" s="468"/>
    </row>
    <row r="1341" spans="1:14" s="459" customFormat="1" ht="13" customHeight="1" outlineLevel="4">
      <c r="A1341" s="452">
        <v>4.7</v>
      </c>
      <c r="B1341" s="463" t="s">
        <v>903</v>
      </c>
      <c r="C1341" s="464"/>
      <c r="D1341" s="385"/>
      <c r="E1341" s="385"/>
      <c r="F1341" s="385"/>
      <c r="G1341" s="385"/>
      <c r="H1341" s="385">
        <f>SUBTOTAL(9,H1342:H1348)</f>
        <v>0</v>
      </c>
      <c r="I1341" s="385"/>
      <c r="J1341" s="302" t="s">
        <v>21</v>
      </c>
      <c r="K1341" s="457"/>
      <c r="L1341" s="457"/>
      <c r="M1341" s="457" t="s">
        <v>32</v>
      </c>
      <c r="N1341" s="458"/>
    </row>
    <row r="1342" spans="1:14" s="469" customFormat="1" ht="14" outlineLevel="5">
      <c r="A1342" s="465" t="s">
        <v>8</v>
      </c>
      <c r="B1342" s="466" t="s">
        <v>904</v>
      </c>
      <c r="C1342" s="338" t="s">
        <v>23</v>
      </c>
      <c r="D1342" s="294"/>
      <c r="E1342" s="294"/>
      <c r="F1342" s="294"/>
      <c r="G1342" s="8">
        <f t="shared" ref="G1342:G1348" si="280">F1342*D1342</f>
        <v>0</v>
      </c>
      <c r="H1342" s="294">
        <f t="shared" ref="H1342:H1348" si="281">F1342*E1342</f>
        <v>0</v>
      </c>
      <c r="I1342" s="467"/>
      <c r="J1342" s="302" t="s">
        <v>21</v>
      </c>
      <c r="K1342" s="457" t="s">
        <v>325</v>
      </c>
      <c r="L1342" s="457" t="s">
        <v>99</v>
      </c>
      <c r="M1342" s="457" t="s">
        <v>32</v>
      </c>
      <c r="N1342" s="468"/>
    </row>
    <row r="1343" spans="1:14" s="469" customFormat="1" ht="14" outlineLevel="5">
      <c r="A1343" s="465" t="s">
        <v>8</v>
      </c>
      <c r="B1343" s="466" t="s">
        <v>885</v>
      </c>
      <c r="C1343" s="338" t="s">
        <v>23</v>
      </c>
      <c r="D1343" s="294"/>
      <c r="E1343" s="294"/>
      <c r="F1343" s="294"/>
      <c r="G1343" s="8">
        <f t="shared" si="280"/>
        <v>0</v>
      </c>
      <c r="H1343" s="294">
        <f t="shared" si="281"/>
        <v>0</v>
      </c>
      <c r="I1343" s="467"/>
      <c r="J1343" s="302" t="s">
        <v>21</v>
      </c>
      <c r="K1343" s="457" t="s">
        <v>325</v>
      </c>
      <c r="L1343" s="457" t="s">
        <v>99</v>
      </c>
      <c r="M1343" s="457" t="s">
        <v>32</v>
      </c>
      <c r="N1343" s="468"/>
    </row>
    <row r="1344" spans="1:14" s="469" customFormat="1" ht="14" outlineLevel="5">
      <c r="A1344" s="470" t="s">
        <v>8</v>
      </c>
      <c r="B1344" s="471" t="s">
        <v>905</v>
      </c>
      <c r="C1344" s="338" t="s">
        <v>23</v>
      </c>
      <c r="D1344" s="294"/>
      <c r="E1344" s="294"/>
      <c r="F1344" s="294"/>
      <c r="G1344" s="8">
        <f t="shared" si="280"/>
        <v>0</v>
      </c>
      <c r="H1344" s="294">
        <f t="shared" si="281"/>
        <v>0</v>
      </c>
      <c r="I1344" s="467"/>
      <c r="J1344" s="302" t="s">
        <v>21</v>
      </c>
      <c r="K1344" s="457" t="s">
        <v>325</v>
      </c>
      <c r="L1344" s="457" t="s">
        <v>99</v>
      </c>
      <c r="M1344" s="457" t="s">
        <v>32</v>
      </c>
      <c r="N1344" s="468"/>
    </row>
    <row r="1345" spans="1:14" s="469" customFormat="1" ht="14" outlineLevel="5">
      <c r="A1345" s="470" t="s">
        <v>8</v>
      </c>
      <c r="B1345" s="471" t="s">
        <v>855</v>
      </c>
      <c r="C1345" s="338" t="s">
        <v>148</v>
      </c>
      <c r="D1345" s="294"/>
      <c r="E1345" s="294"/>
      <c r="F1345" s="294"/>
      <c r="G1345" s="8">
        <f t="shared" si="280"/>
        <v>0</v>
      </c>
      <c r="H1345" s="294">
        <f t="shared" si="281"/>
        <v>0</v>
      </c>
      <c r="I1345" s="467"/>
      <c r="J1345" s="302" t="s">
        <v>21</v>
      </c>
      <c r="K1345" s="457" t="s">
        <v>325</v>
      </c>
      <c r="L1345" s="457" t="s">
        <v>99</v>
      </c>
      <c r="M1345" s="457" t="s">
        <v>32</v>
      </c>
      <c r="N1345" s="468"/>
    </row>
    <row r="1346" spans="1:14" s="469" customFormat="1" ht="14" outlineLevel="5">
      <c r="A1346" s="465" t="s">
        <v>8</v>
      </c>
      <c r="B1346" s="466" t="s">
        <v>894</v>
      </c>
      <c r="C1346" s="338" t="s">
        <v>148</v>
      </c>
      <c r="D1346" s="294"/>
      <c r="E1346" s="294"/>
      <c r="F1346" s="294"/>
      <c r="G1346" s="8">
        <f t="shared" si="280"/>
        <v>0</v>
      </c>
      <c r="H1346" s="294">
        <f t="shared" si="281"/>
        <v>0</v>
      </c>
      <c r="I1346" s="467"/>
      <c r="J1346" s="302" t="s">
        <v>21</v>
      </c>
      <c r="K1346" s="457" t="s">
        <v>325</v>
      </c>
      <c r="L1346" s="457" t="s">
        <v>99</v>
      </c>
      <c r="M1346" s="457" t="s">
        <v>32</v>
      </c>
      <c r="N1346" s="468"/>
    </row>
    <row r="1347" spans="1:14" s="469" customFormat="1" ht="14" outlineLevel="5">
      <c r="A1347" s="465" t="s">
        <v>8</v>
      </c>
      <c r="B1347" s="466" t="s">
        <v>856</v>
      </c>
      <c r="C1347" s="338" t="s">
        <v>148</v>
      </c>
      <c r="D1347" s="294"/>
      <c r="E1347" s="294"/>
      <c r="F1347" s="294"/>
      <c r="G1347" s="8">
        <f t="shared" si="280"/>
        <v>0</v>
      </c>
      <c r="H1347" s="294">
        <f t="shared" si="281"/>
        <v>0</v>
      </c>
      <c r="I1347" s="467"/>
      <c r="J1347" s="302" t="s">
        <v>21</v>
      </c>
      <c r="K1347" s="457" t="s">
        <v>325</v>
      </c>
      <c r="L1347" s="457" t="s">
        <v>99</v>
      </c>
      <c r="M1347" s="457" t="s">
        <v>32</v>
      </c>
      <c r="N1347" s="468"/>
    </row>
    <row r="1348" spans="1:14" s="469" customFormat="1" ht="14" outlineLevel="5">
      <c r="A1348" s="470" t="s">
        <v>8</v>
      </c>
      <c r="B1348" s="471" t="s">
        <v>853</v>
      </c>
      <c r="C1348" s="338" t="s">
        <v>880</v>
      </c>
      <c r="D1348" s="294"/>
      <c r="E1348" s="294"/>
      <c r="F1348" s="294"/>
      <c r="G1348" s="8">
        <f t="shared" si="280"/>
        <v>0</v>
      </c>
      <c r="H1348" s="294">
        <f t="shared" si="281"/>
        <v>0</v>
      </c>
      <c r="I1348" s="467"/>
      <c r="J1348" s="302" t="s">
        <v>21</v>
      </c>
      <c r="K1348" s="457" t="s">
        <v>325</v>
      </c>
      <c r="L1348" s="457" t="s">
        <v>99</v>
      </c>
      <c r="M1348" s="457" t="s">
        <v>32</v>
      </c>
      <c r="N1348" s="468"/>
    </row>
    <row r="1349" spans="1:14" s="459" customFormat="1" ht="13" customHeight="1" outlineLevel="4">
      <c r="A1349" s="452">
        <v>4.8</v>
      </c>
      <c r="B1349" s="463" t="s">
        <v>1145</v>
      </c>
      <c r="C1349" s="464"/>
      <c r="D1349" s="385"/>
      <c r="E1349" s="385"/>
      <c r="F1349" s="385"/>
      <c r="G1349" s="385"/>
      <c r="H1349" s="385">
        <f>SUBTOTAL(9,H1350:H1351)</f>
        <v>0</v>
      </c>
      <c r="I1349" s="385"/>
      <c r="J1349" s="302" t="s">
        <v>21</v>
      </c>
      <c r="K1349" s="457"/>
      <c r="L1349" s="457"/>
      <c r="M1349" s="457" t="s">
        <v>32</v>
      </c>
      <c r="N1349" s="458"/>
    </row>
    <row r="1350" spans="1:14" s="469" customFormat="1" ht="14" outlineLevel="5">
      <c r="A1350" s="465" t="s">
        <v>8</v>
      </c>
      <c r="B1350" s="466" t="s">
        <v>1146</v>
      </c>
      <c r="C1350" s="338" t="s">
        <v>424</v>
      </c>
      <c r="D1350" s="294"/>
      <c r="E1350" s="294"/>
      <c r="F1350" s="294"/>
      <c r="G1350" s="8">
        <f t="shared" ref="G1350:G1351" si="282">F1350*D1350</f>
        <v>0</v>
      </c>
      <c r="H1350" s="294">
        <f t="shared" ref="H1350:H1351" si="283">F1350*E1350</f>
        <v>0</v>
      </c>
      <c r="I1350" s="467"/>
      <c r="J1350" s="302" t="s">
        <v>21</v>
      </c>
      <c r="K1350" s="457" t="s">
        <v>325</v>
      </c>
      <c r="L1350" s="457" t="s">
        <v>99</v>
      </c>
      <c r="M1350" s="457" t="s">
        <v>32</v>
      </c>
      <c r="N1350" s="468"/>
    </row>
    <row r="1351" spans="1:14" s="469" customFormat="1" ht="14" outlineLevel="5">
      <c r="A1351" s="465" t="s">
        <v>8</v>
      </c>
      <c r="B1351" s="466" t="s">
        <v>738</v>
      </c>
      <c r="C1351" s="338" t="s">
        <v>424</v>
      </c>
      <c r="D1351" s="294">
        <v>1</v>
      </c>
      <c r="E1351" s="294"/>
      <c r="F1351" s="294">
        <v>62000</v>
      </c>
      <c r="G1351" s="8">
        <f t="shared" si="282"/>
        <v>62000</v>
      </c>
      <c r="H1351" s="294">
        <f t="shared" si="283"/>
        <v>0</v>
      </c>
      <c r="I1351" s="467"/>
      <c r="J1351" s="302" t="s">
        <v>21</v>
      </c>
      <c r="K1351" s="457" t="s">
        <v>325</v>
      </c>
      <c r="L1351" s="457" t="s">
        <v>99</v>
      </c>
      <c r="M1351" s="457" t="s">
        <v>32</v>
      </c>
      <c r="N1351" s="468"/>
    </row>
    <row r="1352" spans="1:14" s="459" customFormat="1" ht="14" outlineLevel="2">
      <c r="A1352" s="452" t="s">
        <v>124</v>
      </c>
      <c r="B1352" s="460" t="s">
        <v>170</v>
      </c>
      <c r="C1352" s="454"/>
      <c r="D1352" s="455"/>
      <c r="E1352" s="455"/>
      <c r="F1352" s="455"/>
      <c r="G1352" s="385">
        <f>SUBTOTAL(9,G1353:G1464)</f>
        <v>1287189.51</v>
      </c>
      <c r="H1352" s="385">
        <f>SUBTOTAL(9,H1353:H1464)</f>
        <v>162977.72</v>
      </c>
      <c r="I1352" s="455"/>
      <c r="J1352" s="302" t="s">
        <v>21</v>
      </c>
      <c r="K1352" s="457"/>
      <c r="L1352" s="457"/>
      <c r="M1352" s="303" t="s">
        <v>32</v>
      </c>
      <c r="N1352" s="458"/>
    </row>
    <row r="1353" spans="1:14" s="469" customFormat="1" ht="14" outlineLevel="4">
      <c r="A1353" s="483">
        <v>1</v>
      </c>
      <c r="B1353" s="484" t="s">
        <v>1144</v>
      </c>
      <c r="C1353" s="338"/>
      <c r="D1353" s="294"/>
      <c r="E1353" s="294"/>
      <c r="F1353" s="294"/>
      <c r="G1353" s="385">
        <f>SUBTOTAL(9,G1354:G1360)</f>
        <v>0</v>
      </c>
      <c r="H1353" s="385">
        <f>SUBTOTAL(9,H1354:H1360)</f>
        <v>0</v>
      </c>
      <c r="I1353" s="467"/>
      <c r="J1353" s="302" t="s">
        <v>21</v>
      </c>
      <c r="K1353" s="457"/>
      <c r="L1353" s="457"/>
      <c r="M1353" s="303" t="s">
        <v>32</v>
      </c>
      <c r="N1353" s="457"/>
    </row>
    <row r="1354" spans="1:14" s="469" customFormat="1" ht="14" outlineLevel="4">
      <c r="A1354" s="470" t="s">
        <v>8</v>
      </c>
      <c r="B1354" s="475" t="s">
        <v>904</v>
      </c>
      <c r="C1354" s="338" t="s">
        <v>23</v>
      </c>
      <c r="D1354" s="294"/>
      <c r="E1354" s="294"/>
      <c r="F1354" s="294"/>
      <c r="G1354" s="8">
        <f t="shared" ref="G1354:G1360" si="284">F1354*D1354</f>
        <v>0</v>
      </c>
      <c r="H1354" s="294">
        <f t="shared" ref="H1354:H1360" si="285">F1354*E1354</f>
        <v>0</v>
      </c>
      <c r="I1354" s="467"/>
      <c r="J1354" s="302" t="s">
        <v>21</v>
      </c>
      <c r="K1354" s="410" t="s">
        <v>325</v>
      </c>
      <c r="L1354" s="457" t="s">
        <v>99</v>
      </c>
      <c r="M1354" s="303" t="s">
        <v>32</v>
      </c>
      <c r="N1354" s="468"/>
    </row>
    <row r="1355" spans="1:14" s="469" customFormat="1" ht="14" outlineLevel="4">
      <c r="A1355" s="470" t="s">
        <v>8</v>
      </c>
      <c r="B1355" s="475" t="s">
        <v>885</v>
      </c>
      <c r="C1355" s="338" t="s">
        <v>23</v>
      </c>
      <c r="D1355" s="294"/>
      <c r="E1355" s="294"/>
      <c r="F1355" s="294"/>
      <c r="G1355" s="8">
        <f t="shared" si="284"/>
        <v>0</v>
      </c>
      <c r="H1355" s="294">
        <f t="shared" si="285"/>
        <v>0</v>
      </c>
      <c r="I1355" s="467"/>
      <c r="J1355" s="302" t="s">
        <v>21</v>
      </c>
      <c r="K1355" s="410" t="s">
        <v>325</v>
      </c>
      <c r="L1355" s="457" t="s">
        <v>99</v>
      </c>
      <c r="M1355" s="303" t="s">
        <v>32</v>
      </c>
      <c r="N1355" s="468"/>
    </row>
    <row r="1356" spans="1:14" s="469" customFormat="1" ht="14" outlineLevel="4">
      <c r="A1356" s="470" t="s">
        <v>8</v>
      </c>
      <c r="B1356" s="475" t="s">
        <v>905</v>
      </c>
      <c r="C1356" s="338" t="s">
        <v>23</v>
      </c>
      <c r="D1356" s="294"/>
      <c r="E1356" s="294"/>
      <c r="F1356" s="294"/>
      <c r="G1356" s="8">
        <f t="shared" si="284"/>
        <v>0</v>
      </c>
      <c r="H1356" s="294">
        <f t="shared" si="285"/>
        <v>0</v>
      </c>
      <c r="I1356" s="467"/>
      <c r="J1356" s="302" t="s">
        <v>21</v>
      </c>
      <c r="K1356" s="410" t="s">
        <v>325</v>
      </c>
      <c r="L1356" s="457" t="s">
        <v>99</v>
      </c>
      <c r="M1356" s="457" t="s">
        <v>32</v>
      </c>
      <c r="N1356" s="468"/>
    </row>
    <row r="1357" spans="1:14" s="469" customFormat="1" ht="14" outlineLevel="4">
      <c r="A1357" s="470" t="s">
        <v>8</v>
      </c>
      <c r="B1357" s="475" t="s">
        <v>855</v>
      </c>
      <c r="C1357" s="338" t="s">
        <v>148</v>
      </c>
      <c r="D1357" s="294"/>
      <c r="E1357" s="294"/>
      <c r="F1357" s="294"/>
      <c r="G1357" s="8">
        <f t="shared" si="284"/>
        <v>0</v>
      </c>
      <c r="H1357" s="294">
        <f t="shared" si="285"/>
        <v>0</v>
      </c>
      <c r="I1357" s="467"/>
      <c r="J1357" s="302" t="s">
        <v>21</v>
      </c>
      <c r="K1357" s="410" t="s">
        <v>325</v>
      </c>
      <c r="L1357" s="457" t="s">
        <v>99</v>
      </c>
      <c r="M1357" s="457" t="s">
        <v>32</v>
      </c>
      <c r="N1357" s="468"/>
    </row>
    <row r="1358" spans="1:14" s="469" customFormat="1" ht="14" outlineLevel="4">
      <c r="A1358" s="470" t="s">
        <v>8</v>
      </c>
      <c r="B1358" s="475" t="s">
        <v>894</v>
      </c>
      <c r="C1358" s="338" t="s">
        <v>148</v>
      </c>
      <c r="D1358" s="294"/>
      <c r="E1358" s="294"/>
      <c r="F1358" s="294"/>
      <c r="G1358" s="8">
        <f t="shared" si="284"/>
        <v>0</v>
      </c>
      <c r="H1358" s="294">
        <f t="shared" si="285"/>
        <v>0</v>
      </c>
      <c r="I1358" s="467"/>
      <c r="J1358" s="302" t="s">
        <v>21</v>
      </c>
      <c r="K1358" s="410" t="s">
        <v>325</v>
      </c>
      <c r="L1358" s="457" t="s">
        <v>99</v>
      </c>
      <c r="M1358" s="457" t="s">
        <v>32</v>
      </c>
      <c r="N1358" s="468"/>
    </row>
    <row r="1359" spans="1:14" s="469" customFormat="1" ht="14" outlineLevel="4">
      <c r="A1359" s="470" t="s">
        <v>8</v>
      </c>
      <c r="B1359" s="475" t="s">
        <v>856</v>
      </c>
      <c r="C1359" s="338" t="s">
        <v>148</v>
      </c>
      <c r="D1359" s="294"/>
      <c r="E1359" s="294"/>
      <c r="F1359" s="294"/>
      <c r="G1359" s="8">
        <f t="shared" si="284"/>
        <v>0</v>
      </c>
      <c r="H1359" s="294">
        <f t="shared" si="285"/>
        <v>0</v>
      </c>
      <c r="I1359" s="467"/>
      <c r="J1359" s="302" t="s">
        <v>21</v>
      </c>
      <c r="K1359" s="410" t="s">
        <v>325</v>
      </c>
      <c r="L1359" s="457" t="s">
        <v>99</v>
      </c>
      <c r="M1359" s="303" t="s">
        <v>32</v>
      </c>
      <c r="N1359" s="468"/>
    </row>
    <row r="1360" spans="1:14" s="469" customFormat="1" ht="14" outlineLevel="4">
      <c r="A1360" s="470" t="s">
        <v>8</v>
      </c>
      <c r="B1360" s="475" t="s">
        <v>853</v>
      </c>
      <c r="C1360" s="338" t="s">
        <v>880</v>
      </c>
      <c r="D1360" s="294"/>
      <c r="E1360" s="294"/>
      <c r="F1360" s="294"/>
      <c r="G1360" s="8">
        <f t="shared" si="284"/>
        <v>0</v>
      </c>
      <c r="H1360" s="294">
        <f t="shared" si="285"/>
        <v>0</v>
      </c>
      <c r="I1360" s="467"/>
      <c r="J1360" s="302" t="s">
        <v>21</v>
      </c>
      <c r="K1360" s="410" t="s">
        <v>325</v>
      </c>
      <c r="L1360" s="457" t="s">
        <v>99</v>
      </c>
      <c r="M1360" s="303" t="s">
        <v>32</v>
      </c>
      <c r="N1360" s="468"/>
    </row>
    <row r="1361" spans="1:14" s="469" customFormat="1" ht="14" outlineLevel="4">
      <c r="A1361" s="483">
        <v>2</v>
      </c>
      <c r="B1361" s="460" t="s">
        <v>881</v>
      </c>
      <c r="C1361" s="338"/>
      <c r="D1361" s="294"/>
      <c r="E1361" s="294"/>
      <c r="F1361" s="294"/>
      <c r="G1361" s="385">
        <f>SUBTOTAL(9,G1362:G1368)</f>
        <v>32400</v>
      </c>
      <c r="H1361" s="385">
        <f>SUBTOTAL(9,H1362:H1368)</f>
        <v>30906.720000000001</v>
      </c>
      <c r="I1361" s="467"/>
      <c r="J1361" s="302" t="s">
        <v>21</v>
      </c>
      <c r="K1361" s="410"/>
      <c r="L1361" s="457"/>
      <c r="M1361" s="303" t="s">
        <v>32</v>
      </c>
      <c r="N1361" s="457"/>
    </row>
    <row r="1362" spans="1:14" s="469" customFormat="1" ht="14" outlineLevel="4">
      <c r="A1362" s="470" t="s">
        <v>8</v>
      </c>
      <c r="B1362" s="475" t="s">
        <v>882</v>
      </c>
      <c r="C1362" s="338" t="s">
        <v>879</v>
      </c>
      <c r="D1362" s="294"/>
      <c r="E1362" s="294"/>
      <c r="F1362" s="294"/>
      <c r="G1362" s="8">
        <f t="shared" ref="G1362:G1368" si="286">F1362*D1362</f>
        <v>0</v>
      </c>
      <c r="H1362" s="294">
        <f t="shared" ref="H1362:H1368" si="287">F1362*E1362</f>
        <v>0</v>
      </c>
      <c r="I1362" s="467"/>
      <c r="J1362" s="302" t="s">
        <v>21</v>
      </c>
      <c r="K1362" s="410" t="s">
        <v>325</v>
      </c>
      <c r="L1362" s="457" t="s">
        <v>99</v>
      </c>
      <c r="M1362" s="303" t="s">
        <v>32</v>
      </c>
      <c r="N1362" s="468"/>
    </row>
    <row r="1363" spans="1:14" s="469" customFormat="1" ht="14" outlineLevel="4">
      <c r="A1363" s="470" t="s">
        <v>8</v>
      </c>
      <c r="B1363" s="475" t="s">
        <v>1345</v>
      </c>
      <c r="C1363" s="338" t="s">
        <v>23</v>
      </c>
      <c r="D1363" s="294"/>
      <c r="E1363" s="294"/>
      <c r="F1363" s="294">
        <v>12000</v>
      </c>
      <c r="G1363" s="8">
        <f t="shared" si="286"/>
        <v>0</v>
      </c>
      <c r="H1363" s="294">
        <f t="shared" si="287"/>
        <v>0</v>
      </c>
      <c r="I1363" s="467"/>
      <c r="J1363" s="302" t="s">
        <v>21</v>
      </c>
      <c r="K1363" s="410" t="s">
        <v>325</v>
      </c>
      <c r="L1363" s="457" t="s">
        <v>99</v>
      </c>
      <c r="M1363" s="457" t="s">
        <v>32</v>
      </c>
      <c r="N1363" s="468"/>
    </row>
    <row r="1364" spans="1:14" s="469" customFormat="1" ht="14" outlineLevel="4">
      <c r="A1364" s="470" t="s">
        <v>8</v>
      </c>
      <c r="B1364" s="475" t="s">
        <v>885</v>
      </c>
      <c r="C1364" s="338" t="s">
        <v>23</v>
      </c>
      <c r="D1364" s="294"/>
      <c r="E1364" s="294">
        <v>1</v>
      </c>
      <c r="F1364" s="294">
        <v>14400</v>
      </c>
      <c r="G1364" s="8">
        <f t="shared" si="286"/>
        <v>0</v>
      </c>
      <c r="H1364" s="294">
        <f t="shared" si="287"/>
        <v>14400</v>
      </c>
      <c r="I1364" s="467"/>
      <c r="J1364" s="302" t="s">
        <v>21</v>
      </c>
      <c r="K1364" s="410" t="s">
        <v>325</v>
      </c>
      <c r="L1364" s="457" t="s">
        <v>99</v>
      </c>
      <c r="M1364" s="457" t="s">
        <v>32</v>
      </c>
      <c r="N1364" s="468"/>
    </row>
    <row r="1365" spans="1:14" s="469" customFormat="1" ht="14" outlineLevel="4">
      <c r="A1365" s="470" t="s">
        <v>8</v>
      </c>
      <c r="B1365" s="475" t="s">
        <v>886</v>
      </c>
      <c r="C1365" s="338" t="s">
        <v>23</v>
      </c>
      <c r="D1365" s="294">
        <v>1</v>
      </c>
      <c r="E1365" s="294">
        <v>0</v>
      </c>
      <c r="F1365" s="294">
        <v>32400</v>
      </c>
      <c r="G1365" s="8">
        <f t="shared" si="286"/>
        <v>32400</v>
      </c>
      <c r="H1365" s="294">
        <f t="shared" si="287"/>
        <v>0</v>
      </c>
      <c r="I1365" s="467"/>
      <c r="J1365" s="302" t="s">
        <v>21</v>
      </c>
      <c r="K1365" s="410" t="s">
        <v>325</v>
      </c>
      <c r="L1365" s="457" t="s">
        <v>99</v>
      </c>
      <c r="M1365" s="303" t="s">
        <v>32</v>
      </c>
      <c r="N1365" s="468"/>
    </row>
    <row r="1366" spans="1:14" s="469" customFormat="1" ht="14" outlineLevel="4">
      <c r="A1366" s="470" t="s">
        <v>8</v>
      </c>
      <c r="B1366" s="475" t="s">
        <v>1346</v>
      </c>
      <c r="C1366" s="338" t="s">
        <v>23</v>
      </c>
      <c r="D1366" s="294"/>
      <c r="E1366" s="294">
        <v>36</v>
      </c>
      <c r="F1366" s="294">
        <v>26.52</v>
      </c>
      <c r="G1366" s="8">
        <f t="shared" si="286"/>
        <v>0</v>
      </c>
      <c r="H1366" s="294">
        <f t="shared" si="287"/>
        <v>954.72</v>
      </c>
      <c r="I1366" s="467"/>
      <c r="J1366" s="302" t="s">
        <v>21</v>
      </c>
      <c r="K1366" s="410" t="s">
        <v>325</v>
      </c>
      <c r="L1366" s="457" t="s">
        <v>99</v>
      </c>
      <c r="M1366" s="303" t="s">
        <v>32</v>
      </c>
      <c r="N1366" s="468"/>
    </row>
    <row r="1367" spans="1:14" s="469" customFormat="1" ht="14" outlineLevel="4">
      <c r="A1367" s="470" t="s">
        <v>8</v>
      </c>
      <c r="B1367" s="475" t="s">
        <v>1347</v>
      </c>
      <c r="C1367" s="338" t="s">
        <v>148</v>
      </c>
      <c r="D1367" s="294"/>
      <c r="E1367" s="294">
        <v>0</v>
      </c>
      <c r="F1367" s="294">
        <v>40.799999999999997</v>
      </c>
      <c r="G1367" s="8">
        <f t="shared" si="286"/>
        <v>0</v>
      </c>
      <c r="H1367" s="294">
        <f t="shared" si="287"/>
        <v>0</v>
      </c>
      <c r="I1367" s="467"/>
      <c r="J1367" s="302" t="s">
        <v>21</v>
      </c>
      <c r="K1367" s="410" t="s">
        <v>325</v>
      </c>
      <c r="L1367" s="457" t="s">
        <v>99</v>
      </c>
      <c r="M1367" s="303" t="s">
        <v>32</v>
      </c>
      <c r="N1367" s="468"/>
    </row>
    <row r="1368" spans="1:14" s="469" customFormat="1" ht="14" outlineLevel="4">
      <c r="A1368" s="470" t="s">
        <v>8</v>
      </c>
      <c r="B1368" s="475" t="s">
        <v>853</v>
      </c>
      <c r="C1368" s="338" t="s">
        <v>148</v>
      </c>
      <c r="D1368" s="294"/>
      <c r="E1368" s="294">
        <v>72</v>
      </c>
      <c r="F1368" s="294">
        <v>216</v>
      </c>
      <c r="G1368" s="8">
        <f t="shared" si="286"/>
        <v>0</v>
      </c>
      <c r="H1368" s="294">
        <f t="shared" si="287"/>
        <v>15552</v>
      </c>
      <c r="I1368" s="467"/>
      <c r="J1368" s="302" t="s">
        <v>21</v>
      </c>
      <c r="K1368" s="410" t="s">
        <v>325</v>
      </c>
      <c r="L1368" s="457" t="s">
        <v>99</v>
      </c>
      <c r="M1368" s="303" t="s">
        <v>32</v>
      </c>
      <c r="N1368" s="468"/>
    </row>
    <row r="1369" spans="1:14" s="459" customFormat="1" ht="13" customHeight="1" outlineLevel="4">
      <c r="A1369" s="452">
        <v>3</v>
      </c>
      <c r="B1369" s="461" t="s">
        <v>887</v>
      </c>
      <c r="C1369" s="464"/>
      <c r="D1369" s="385"/>
      <c r="E1369" s="385"/>
      <c r="F1369" s="385"/>
      <c r="G1369" s="385">
        <f>SUBTOTAL(9,G1370:G1377)</f>
        <v>0</v>
      </c>
      <c r="H1369" s="385">
        <f>SUBTOTAL(9,H1370:H1377)</f>
        <v>0</v>
      </c>
      <c r="I1369" s="385"/>
      <c r="J1369" s="302" t="s">
        <v>21</v>
      </c>
      <c r="K1369" s="457"/>
      <c r="L1369" s="457"/>
      <c r="M1369" s="303" t="s">
        <v>32</v>
      </c>
      <c r="N1369" s="458"/>
    </row>
    <row r="1370" spans="1:14" s="469" customFormat="1" ht="14" outlineLevel="5">
      <c r="A1370" s="465" t="s">
        <v>8</v>
      </c>
      <c r="B1370" s="466" t="s">
        <v>888</v>
      </c>
      <c r="C1370" s="338" t="s">
        <v>879</v>
      </c>
      <c r="D1370" s="294"/>
      <c r="E1370" s="294"/>
      <c r="F1370" s="294"/>
      <c r="G1370" s="8">
        <f t="shared" ref="G1370:G1377" si="288">F1370*D1370</f>
        <v>0</v>
      </c>
      <c r="H1370" s="294">
        <f t="shared" ref="H1370:H1377" si="289">F1370*E1370</f>
        <v>0</v>
      </c>
      <c r="I1370" s="467"/>
      <c r="J1370" s="302" t="s">
        <v>21</v>
      </c>
      <c r="K1370" s="410" t="s">
        <v>325</v>
      </c>
      <c r="L1370" s="457" t="s">
        <v>99</v>
      </c>
      <c r="M1370" s="303" t="s">
        <v>32</v>
      </c>
      <c r="N1370" s="468"/>
    </row>
    <row r="1371" spans="1:14" s="469" customFormat="1" ht="14" outlineLevel="5">
      <c r="A1371" s="470" t="s">
        <v>8</v>
      </c>
      <c r="B1371" s="471" t="s">
        <v>885</v>
      </c>
      <c r="C1371" s="338" t="s">
        <v>23</v>
      </c>
      <c r="D1371" s="294"/>
      <c r="E1371" s="294"/>
      <c r="F1371" s="294"/>
      <c r="G1371" s="8">
        <f t="shared" si="288"/>
        <v>0</v>
      </c>
      <c r="H1371" s="294">
        <f t="shared" si="289"/>
        <v>0</v>
      </c>
      <c r="I1371" s="467"/>
      <c r="J1371" s="302" t="s">
        <v>21</v>
      </c>
      <c r="K1371" s="410" t="s">
        <v>325</v>
      </c>
      <c r="L1371" s="457" t="s">
        <v>99</v>
      </c>
      <c r="M1371" s="457" t="s">
        <v>32</v>
      </c>
      <c r="N1371" s="468"/>
    </row>
    <row r="1372" spans="1:14" s="469" customFormat="1" ht="14" outlineLevel="5">
      <c r="A1372" s="470" t="s">
        <v>8</v>
      </c>
      <c r="B1372" s="471" t="s">
        <v>886</v>
      </c>
      <c r="C1372" s="338" t="s">
        <v>23</v>
      </c>
      <c r="D1372" s="294"/>
      <c r="E1372" s="294"/>
      <c r="F1372" s="294"/>
      <c r="G1372" s="8">
        <f t="shared" si="288"/>
        <v>0</v>
      </c>
      <c r="H1372" s="294">
        <f t="shared" si="289"/>
        <v>0</v>
      </c>
      <c r="I1372" s="467"/>
      <c r="J1372" s="302" t="s">
        <v>21</v>
      </c>
      <c r="K1372" s="410" t="s">
        <v>325</v>
      </c>
      <c r="L1372" s="457" t="s">
        <v>99</v>
      </c>
      <c r="M1372" s="457" t="s">
        <v>32</v>
      </c>
      <c r="N1372" s="468"/>
    </row>
    <row r="1373" spans="1:14" s="469" customFormat="1" ht="14" outlineLevel="5">
      <c r="A1373" s="465" t="s">
        <v>8</v>
      </c>
      <c r="B1373" s="466" t="s">
        <v>889</v>
      </c>
      <c r="C1373" s="338" t="s">
        <v>23</v>
      </c>
      <c r="D1373" s="294"/>
      <c r="E1373" s="294"/>
      <c r="F1373" s="294"/>
      <c r="G1373" s="8">
        <f t="shared" si="288"/>
        <v>0</v>
      </c>
      <c r="H1373" s="294">
        <f t="shared" si="289"/>
        <v>0</v>
      </c>
      <c r="I1373" s="467"/>
      <c r="J1373" s="302" t="s">
        <v>21</v>
      </c>
      <c r="K1373" s="410" t="s">
        <v>325</v>
      </c>
      <c r="L1373" s="457" t="s">
        <v>99</v>
      </c>
      <c r="M1373" s="457" t="s">
        <v>32</v>
      </c>
      <c r="N1373" s="468"/>
    </row>
    <row r="1374" spans="1:14" s="469" customFormat="1" ht="14" outlineLevel="5">
      <c r="A1374" s="470" t="s">
        <v>8</v>
      </c>
      <c r="B1374" s="471" t="s">
        <v>856</v>
      </c>
      <c r="C1374" s="338" t="s">
        <v>148</v>
      </c>
      <c r="D1374" s="294"/>
      <c r="E1374" s="294"/>
      <c r="F1374" s="294"/>
      <c r="G1374" s="8">
        <f t="shared" si="288"/>
        <v>0</v>
      </c>
      <c r="H1374" s="294">
        <f t="shared" si="289"/>
        <v>0</v>
      </c>
      <c r="I1374" s="467"/>
      <c r="J1374" s="302" t="s">
        <v>21</v>
      </c>
      <c r="K1374" s="410" t="s">
        <v>325</v>
      </c>
      <c r="L1374" s="457" t="s">
        <v>99</v>
      </c>
      <c r="M1374" s="457" t="s">
        <v>32</v>
      </c>
      <c r="N1374" s="468"/>
    </row>
    <row r="1375" spans="1:14" s="469" customFormat="1" ht="14" outlineLevel="5">
      <c r="A1375" s="470" t="s">
        <v>8</v>
      </c>
      <c r="B1375" s="471" t="s">
        <v>863</v>
      </c>
      <c r="C1375" s="338" t="s">
        <v>148</v>
      </c>
      <c r="D1375" s="294"/>
      <c r="E1375" s="294"/>
      <c r="F1375" s="294"/>
      <c r="G1375" s="8">
        <f t="shared" si="288"/>
        <v>0</v>
      </c>
      <c r="H1375" s="294">
        <f t="shared" si="289"/>
        <v>0</v>
      </c>
      <c r="I1375" s="467"/>
      <c r="J1375" s="302" t="s">
        <v>21</v>
      </c>
      <c r="K1375" s="410" t="s">
        <v>325</v>
      </c>
      <c r="L1375" s="457" t="s">
        <v>99</v>
      </c>
      <c r="M1375" s="457" t="s">
        <v>32</v>
      </c>
      <c r="N1375" s="468"/>
    </row>
    <row r="1376" spans="1:14" s="469" customFormat="1" ht="14" outlineLevel="5">
      <c r="A1376" s="470" t="s">
        <v>8</v>
      </c>
      <c r="B1376" s="471" t="s">
        <v>875</v>
      </c>
      <c r="C1376" s="338" t="s">
        <v>148</v>
      </c>
      <c r="D1376" s="294"/>
      <c r="E1376" s="294"/>
      <c r="F1376" s="294"/>
      <c r="G1376" s="8">
        <f t="shared" si="288"/>
        <v>0</v>
      </c>
      <c r="H1376" s="294">
        <f t="shared" si="289"/>
        <v>0</v>
      </c>
      <c r="I1376" s="467"/>
      <c r="J1376" s="302" t="s">
        <v>21</v>
      </c>
      <c r="K1376" s="410" t="s">
        <v>325</v>
      </c>
      <c r="L1376" s="457" t="s">
        <v>99</v>
      </c>
      <c r="M1376" s="303" t="s">
        <v>32</v>
      </c>
      <c r="N1376" s="468"/>
    </row>
    <row r="1377" spans="1:14" s="469" customFormat="1" ht="14" outlineLevel="5">
      <c r="A1377" s="465" t="s">
        <v>8</v>
      </c>
      <c r="B1377" s="466" t="s">
        <v>853</v>
      </c>
      <c r="C1377" s="338" t="s">
        <v>880</v>
      </c>
      <c r="D1377" s="294"/>
      <c r="E1377" s="294"/>
      <c r="F1377" s="294"/>
      <c r="G1377" s="8">
        <f t="shared" si="288"/>
        <v>0</v>
      </c>
      <c r="H1377" s="294">
        <f t="shared" si="289"/>
        <v>0</v>
      </c>
      <c r="I1377" s="467"/>
      <c r="J1377" s="302" t="s">
        <v>21</v>
      </c>
      <c r="K1377" s="410" t="s">
        <v>325</v>
      </c>
      <c r="L1377" s="457" t="s">
        <v>99</v>
      </c>
      <c r="M1377" s="303" t="s">
        <v>32</v>
      </c>
      <c r="N1377" s="468"/>
    </row>
    <row r="1378" spans="1:14" s="459" customFormat="1" ht="13" customHeight="1" outlineLevel="4">
      <c r="A1378" s="452">
        <v>4</v>
      </c>
      <c r="B1378" s="461" t="s">
        <v>890</v>
      </c>
      <c r="C1378" s="464"/>
      <c r="D1378" s="385"/>
      <c r="E1378" s="385"/>
      <c r="F1378" s="385"/>
      <c r="G1378" s="385">
        <f>SUBTOTAL(9,G1379:G1384)</f>
        <v>64800</v>
      </c>
      <c r="H1378" s="385">
        <f>SUBTOTAL(9,H1379:H1384)</f>
        <v>64800</v>
      </c>
      <c r="I1378" s="385"/>
      <c r="J1378" s="302" t="s">
        <v>21</v>
      </c>
      <c r="K1378" s="457"/>
      <c r="L1378" s="457"/>
      <c r="M1378" s="303" t="s">
        <v>32</v>
      </c>
      <c r="N1378" s="458"/>
    </row>
    <row r="1379" spans="1:14" s="469" customFormat="1" ht="14" outlineLevel="5">
      <c r="A1379" s="465" t="s">
        <v>8</v>
      </c>
      <c r="B1379" s="466" t="s">
        <v>1514</v>
      </c>
      <c r="C1379" s="338" t="s">
        <v>24</v>
      </c>
      <c r="D1379" s="296">
        <v>0</v>
      </c>
      <c r="E1379" s="294">
        <v>0</v>
      </c>
      <c r="F1379" s="294"/>
      <c r="G1379" s="8">
        <f t="shared" ref="G1379:G1384" si="290">F1379*D1379</f>
        <v>0</v>
      </c>
      <c r="H1379" s="294">
        <f t="shared" ref="H1379:H1384" si="291">F1379*E1379</f>
        <v>0</v>
      </c>
      <c r="I1379" s="467"/>
      <c r="J1379" s="302" t="s">
        <v>21</v>
      </c>
      <c r="K1379" s="410" t="s">
        <v>325</v>
      </c>
      <c r="L1379" s="457" t="s">
        <v>99</v>
      </c>
      <c r="M1379" s="303" t="s">
        <v>32</v>
      </c>
      <c r="N1379" s="468"/>
    </row>
    <row r="1380" spans="1:14" s="469" customFormat="1" ht="14" outlineLevel="5">
      <c r="A1380" s="470" t="s">
        <v>8</v>
      </c>
      <c r="B1380" s="471" t="s">
        <v>1486</v>
      </c>
      <c r="C1380" s="338" t="s">
        <v>879</v>
      </c>
      <c r="D1380" s="296">
        <v>0</v>
      </c>
      <c r="E1380" s="294"/>
      <c r="F1380" s="294">
        <v>12000</v>
      </c>
      <c r="G1380" s="8">
        <f t="shared" si="290"/>
        <v>0</v>
      </c>
      <c r="H1380" s="294">
        <f t="shared" si="291"/>
        <v>0</v>
      </c>
      <c r="I1380" s="467"/>
      <c r="J1380" s="302" t="s">
        <v>21</v>
      </c>
      <c r="K1380" s="410" t="s">
        <v>325</v>
      </c>
      <c r="L1380" s="457" t="s">
        <v>99</v>
      </c>
      <c r="M1380" s="303" t="s">
        <v>32</v>
      </c>
      <c r="N1380" s="468"/>
    </row>
    <row r="1381" spans="1:14" s="469" customFormat="1" ht="14" outlineLevel="5">
      <c r="A1381" s="470" t="s">
        <v>8</v>
      </c>
      <c r="B1381" s="471" t="s">
        <v>1487</v>
      </c>
      <c r="C1381" s="338" t="s">
        <v>23</v>
      </c>
      <c r="D1381" s="296"/>
      <c r="E1381" s="294"/>
      <c r="F1381" s="294">
        <v>14400</v>
      </c>
      <c r="G1381" s="8">
        <f t="shared" si="290"/>
        <v>0</v>
      </c>
      <c r="H1381" s="294">
        <f t="shared" si="291"/>
        <v>0</v>
      </c>
      <c r="I1381" s="467"/>
      <c r="J1381" s="302" t="s">
        <v>21</v>
      </c>
      <c r="K1381" s="410" t="s">
        <v>325</v>
      </c>
      <c r="L1381" s="457" t="s">
        <v>99</v>
      </c>
      <c r="M1381" s="457" t="s">
        <v>32</v>
      </c>
      <c r="N1381" s="468"/>
    </row>
    <row r="1382" spans="1:14" s="469" customFormat="1" ht="14" outlineLevel="5">
      <c r="A1382" s="465" t="s">
        <v>8</v>
      </c>
      <c r="B1382" s="466" t="s">
        <v>1493</v>
      </c>
      <c r="C1382" s="338" t="s">
        <v>23</v>
      </c>
      <c r="D1382" s="296">
        <v>1</v>
      </c>
      <c r="E1382" s="294">
        <v>1</v>
      </c>
      <c r="F1382" s="294">
        <v>64800</v>
      </c>
      <c r="G1382" s="8">
        <f t="shared" ref="G1382" si="292">F1382*D1382</f>
        <v>64800</v>
      </c>
      <c r="H1382" s="294">
        <f t="shared" ref="H1382" si="293">F1382*E1382</f>
        <v>64800</v>
      </c>
      <c r="I1382" s="467"/>
      <c r="J1382" s="302" t="s">
        <v>21</v>
      </c>
      <c r="K1382" s="410" t="s">
        <v>325</v>
      </c>
      <c r="L1382" s="457" t="s">
        <v>99</v>
      </c>
      <c r="M1382" s="457" t="s">
        <v>32</v>
      </c>
      <c r="N1382" s="468"/>
    </row>
    <row r="1383" spans="1:14" s="469" customFormat="1" ht="14" outlineLevel="5">
      <c r="A1383" s="465" t="s">
        <v>8</v>
      </c>
      <c r="B1383" s="466" t="s">
        <v>1488</v>
      </c>
      <c r="C1383" s="338" t="s">
        <v>148</v>
      </c>
      <c r="D1383" s="296"/>
      <c r="E1383" s="294"/>
      <c r="F1383" s="294">
        <v>40.799999999999997</v>
      </c>
      <c r="G1383" s="8">
        <f t="shared" si="290"/>
        <v>0</v>
      </c>
      <c r="H1383" s="294">
        <f t="shared" si="291"/>
        <v>0</v>
      </c>
      <c r="I1383" s="467"/>
      <c r="J1383" s="302" t="s">
        <v>21</v>
      </c>
      <c r="K1383" s="410" t="s">
        <v>325</v>
      </c>
      <c r="L1383" s="457" t="s">
        <v>99</v>
      </c>
      <c r="M1383" s="457" t="s">
        <v>32</v>
      </c>
      <c r="N1383" s="468"/>
    </row>
    <row r="1384" spans="1:14" s="469" customFormat="1" ht="14" outlineLevel="5">
      <c r="A1384" s="465" t="s">
        <v>8</v>
      </c>
      <c r="B1384" s="466" t="s">
        <v>1491</v>
      </c>
      <c r="C1384" s="338" t="s">
        <v>148</v>
      </c>
      <c r="D1384" s="296"/>
      <c r="E1384" s="294"/>
      <c r="F1384" s="294">
        <v>216</v>
      </c>
      <c r="G1384" s="8">
        <f t="shared" si="290"/>
        <v>0</v>
      </c>
      <c r="H1384" s="294">
        <f t="shared" si="291"/>
        <v>0</v>
      </c>
      <c r="I1384" s="467"/>
      <c r="J1384" s="302" t="s">
        <v>21</v>
      </c>
      <c r="K1384" s="410" t="s">
        <v>325</v>
      </c>
      <c r="L1384" s="457" t="s">
        <v>99</v>
      </c>
      <c r="M1384" s="457" t="s">
        <v>32</v>
      </c>
      <c r="N1384" s="468"/>
    </row>
    <row r="1385" spans="1:14" s="459" customFormat="1" ht="13" customHeight="1" outlineLevel="4">
      <c r="A1385" s="452">
        <v>5</v>
      </c>
      <c r="B1385" s="461" t="s">
        <v>895</v>
      </c>
      <c r="C1385" s="464"/>
      <c r="D1385" s="385"/>
      <c r="E1385" s="385"/>
      <c r="F1385" s="385">
        <v>216</v>
      </c>
      <c r="G1385" s="385">
        <f>SUBTOTAL(9,G1386:G1392)</f>
        <v>32400</v>
      </c>
      <c r="H1385" s="385">
        <f>SUBTOTAL(9,H1386:H1392)</f>
        <v>0</v>
      </c>
      <c r="I1385" s="385"/>
      <c r="J1385" s="302" t="s">
        <v>21</v>
      </c>
      <c r="K1385" s="457"/>
      <c r="L1385" s="457"/>
      <c r="M1385" s="303" t="s">
        <v>32</v>
      </c>
      <c r="N1385" s="458"/>
    </row>
    <row r="1386" spans="1:14" s="469" customFormat="1" ht="14" outlineLevel="5">
      <c r="A1386" s="465" t="s">
        <v>8</v>
      </c>
      <c r="B1386" s="466" t="s">
        <v>1495</v>
      </c>
      <c r="C1386" s="338" t="s">
        <v>24</v>
      </c>
      <c r="D1386" s="294"/>
      <c r="E1386" s="294"/>
      <c r="F1386" s="294">
        <v>0</v>
      </c>
      <c r="G1386" s="8">
        <f t="shared" ref="G1386:G1392" si="294">F1386*D1386</f>
        <v>0</v>
      </c>
      <c r="H1386" s="294">
        <f t="shared" ref="H1386:H1392" si="295">F1386*E1386</f>
        <v>0</v>
      </c>
      <c r="I1386" s="467"/>
      <c r="J1386" s="302" t="s">
        <v>21</v>
      </c>
      <c r="K1386" s="410" t="s">
        <v>325</v>
      </c>
      <c r="L1386" s="457" t="s">
        <v>99</v>
      </c>
      <c r="M1386" s="303" t="s">
        <v>32</v>
      </c>
      <c r="N1386" s="468"/>
    </row>
    <row r="1387" spans="1:14" s="469" customFormat="1" ht="14" outlineLevel="5">
      <c r="A1387" s="465" t="s">
        <v>8</v>
      </c>
      <c r="B1387" s="466" t="s">
        <v>1486</v>
      </c>
      <c r="C1387" s="338" t="s">
        <v>879</v>
      </c>
      <c r="D1387" s="294"/>
      <c r="E1387" s="294"/>
      <c r="F1387" s="294">
        <v>12000</v>
      </c>
      <c r="G1387" s="8">
        <f t="shared" si="294"/>
        <v>0</v>
      </c>
      <c r="H1387" s="294">
        <f t="shared" si="295"/>
        <v>0</v>
      </c>
      <c r="I1387" s="467"/>
      <c r="J1387" s="302" t="s">
        <v>21</v>
      </c>
      <c r="K1387" s="410" t="s">
        <v>325</v>
      </c>
      <c r="L1387" s="457" t="s">
        <v>99</v>
      </c>
      <c r="M1387" s="303" t="s">
        <v>32</v>
      </c>
      <c r="N1387" s="468"/>
    </row>
    <row r="1388" spans="1:14" s="469" customFormat="1" ht="14" outlineLevel="5">
      <c r="A1388" s="470" t="s">
        <v>8</v>
      </c>
      <c r="B1388" s="471" t="s">
        <v>1487</v>
      </c>
      <c r="C1388" s="338" t="s">
        <v>23</v>
      </c>
      <c r="D1388" s="294"/>
      <c r="E1388" s="294"/>
      <c r="F1388" s="294">
        <v>14400</v>
      </c>
      <c r="G1388" s="8">
        <f t="shared" si="294"/>
        <v>0</v>
      </c>
      <c r="H1388" s="294">
        <f t="shared" si="295"/>
        <v>0</v>
      </c>
      <c r="I1388" s="467"/>
      <c r="J1388" s="302" t="s">
        <v>21</v>
      </c>
      <c r="K1388" s="410" t="s">
        <v>325</v>
      </c>
      <c r="L1388" s="457" t="s">
        <v>99</v>
      </c>
      <c r="M1388" s="457" t="s">
        <v>32</v>
      </c>
      <c r="N1388" s="468"/>
    </row>
    <row r="1389" spans="1:14" s="469" customFormat="1" ht="14" outlineLevel="5">
      <c r="A1389" s="470" t="s">
        <v>8</v>
      </c>
      <c r="B1389" s="471" t="s">
        <v>886</v>
      </c>
      <c r="C1389" s="338" t="s">
        <v>23</v>
      </c>
      <c r="D1389" s="294">
        <v>1</v>
      </c>
      <c r="E1389" s="294"/>
      <c r="F1389" s="294">
        <v>32400</v>
      </c>
      <c r="G1389" s="8">
        <f t="shared" si="294"/>
        <v>32400</v>
      </c>
      <c r="H1389" s="294">
        <f t="shared" si="295"/>
        <v>0</v>
      </c>
      <c r="I1389" s="467"/>
      <c r="J1389" s="302" t="s">
        <v>21</v>
      </c>
      <c r="K1389" s="410" t="s">
        <v>325</v>
      </c>
      <c r="L1389" s="457" t="s">
        <v>99</v>
      </c>
      <c r="M1389" s="457" t="s">
        <v>32</v>
      </c>
      <c r="N1389" s="468"/>
    </row>
    <row r="1390" spans="1:14" s="469" customFormat="1" ht="14" outlineLevel="5">
      <c r="A1390" s="465" t="s">
        <v>8</v>
      </c>
      <c r="B1390" s="466" t="s">
        <v>1490</v>
      </c>
      <c r="C1390" s="338" t="s">
        <v>148</v>
      </c>
      <c r="D1390" s="294"/>
      <c r="E1390" s="294"/>
      <c r="F1390" s="294">
        <v>26.52</v>
      </c>
      <c r="G1390" s="8">
        <f t="shared" si="294"/>
        <v>0</v>
      </c>
      <c r="H1390" s="294">
        <f t="shared" si="295"/>
        <v>0</v>
      </c>
      <c r="I1390" s="467"/>
      <c r="J1390" s="302" t="s">
        <v>21</v>
      </c>
      <c r="K1390" s="410" t="s">
        <v>325</v>
      </c>
      <c r="L1390" s="457" t="s">
        <v>99</v>
      </c>
      <c r="M1390" s="457" t="s">
        <v>32</v>
      </c>
      <c r="N1390" s="468"/>
    </row>
    <row r="1391" spans="1:14" s="469" customFormat="1" ht="14" outlineLevel="5">
      <c r="A1391" s="465" t="s">
        <v>8</v>
      </c>
      <c r="B1391" s="466" t="s">
        <v>1488</v>
      </c>
      <c r="C1391" s="338" t="s">
        <v>148</v>
      </c>
      <c r="D1391" s="294"/>
      <c r="E1391" s="294"/>
      <c r="F1391" s="294">
        <v>40.799999999999997</v>
      </c>
      <c r="G1391" s="8">
        <f t="shared" si="294"/>
        <v>0</v>
      </c>
      <c r="H1391" s="294">
        <f t="shared" si="295"/>
        <v>0</v>
      </c>
      <c r="I1391" s="467"/>
      <c r="J1391" s="302" t="s">
        <v>21</v>
      </c>
      <c r="K1391" s="410" t="s">
        <v>325</v>
      </c>
      <c r="L1391" s="457" t="s">
        <v>99</v>
      </c>
      <c r="M1391" s="303" t="s">
        <v>32</v>
      </c>
      <c r="N1391" s="468"/>
    </row>
    <row r="1392" spans="1:14" s="469" customFormat="1" ht="14" outlineLevel="5">
      <c r="A1392" s="470" t="s">
        <v>8</v>
      </c>
      <c r="B1392" s="471" t="s">
        <v>1491</v>
      </c>
      <c r="C1392" s="338" t="s">
        <v>148</v>
      </c>
      <c r="D1392" s="294"/>
      <c r="E1392" s="294"/>
      <c r="F1392" s="294">
        <v>216</v>
      </c>
      <c r="G1392" s="8">
        <f t="shared" si="294"/>
        <v>0</v>
      </c>
      <c r="H1392" s="294">
        <f t="shared" si="295"/>
        <v>0</v>
      </c>
      <c r="I1392" s="467"/>
      <c r="J1392" s="302" t="s">
        <v>21</v>
      </c>
      <c r="K1392" s="410" t="s">
        <v>325</v>
      </c>
      <c r="L1392" s="457" t="s">
        <v>99</v>
      </c>
      <c r="M1392" s="303" t="s">
        <v>32</v>
      </c>
      <c r="N1392" s="468"/>
    </row>
    <row r="1393" spans="1:14" s="459" customFormat="1" ht="13" customHeight="1" outlineLevel="4">
      <c r="A1393" s="452">
        <v>6</v>
      </c>
      <c r="B1393" s="463" t="s">
        <v>900</v>
      </c>
      <c r="C1393" s="464"/>
      <c r="D1393" s="385"/>
      <c r="E1393" s="385"/>
      <c r="F1393" s="385"/>
      <c r="G1393" s="385">
        <f>SUBTOTAL(9,G1394:G1400)</f>
        <v>4040.9600000000005</v>
      </c>
      <c r="H1393" s="385">
        <f>SUBTOTAL(9,H1394:H1400)</f>
        <v>1415</v>
      </c>
      <c r="I1393" s="385"/>
      <c r="J1393" s="302" t="s">
        <v>21</v>
      </c>
      <c r="K1393" s="457"/>
      <c r="L1393" s="457"/>
      <c r="M1393" s="303" t="s">
        <v>32</v>
      </c>
      <c r="N1393" s="458"/>
    </row>
    <row r="1394" spans="1:14" s="469" customFormat="1" ht="14" outlineLevel="5">
      <c r="A1394" s="465" t="s">
        <v>8</v>
      </c>
      <c r="B1394" s="466" t="s">
        <v>901</v>
      </c>
      <c r="C1394" s="338" t="s">
        <v>879</v>
      </c>
      <c r="D1394" s="294">
        <v>1</v>
      </c>
      <c r="E1394" s="294">
        <v>0</v>
      </c>
      <c r="F1394" s="294">
        <v>2000</v>
      </c>
      <c r="G1394" s="8">
        <f t="shared" ref="G1394:G1400" si="296">F1394*D1394</f>
        <v>2000</v>
      </c>
      <c r="H1394" s="294">
        <f t="shared" ref="H1394:H1400" si="297">F1394*E1394</f>
        <v>0</v>
      </c>
      <c r="I1394" s="467"/>
      <c r="J1394" s="302" t="s">
        <v>21</v>
      </c>
      <c r="K1394" s="410" t="s">
        <v>325</v>
      </c>
      <c r="L1394" s="457" t="s">
        <v>99</v>
      </c>
      <c r="M1394" s="303" t="s">
        <v>32</v>
      </c>
      <c r="N1394" s="468"/>
    </row>
    <row r="1395" spans="1:14" s="469" customFormat="1" ht="14" outlineLevel="5">
      <c r="A1395" s="465" t="s">
        <v>8</v>
      </c>
      <c r="B1395" s="466" t="s">
        <v>893</v>
      </c>
      <c r="C1395" s="338" t="s">
        <v>148</v>
      </c>
      <c r="D1395" s="294">
        <v>14.399999999999999</v>
      </c>
      <c r="E1395" s="294">
        <v>0</v>
      </c>
      <c r="F1395" s="294">
        <v>37</v>
      </c>
      <c r="G1395" s="8">
        <f t="shared" si="296"/>
        <v>532.79999999999995</v>
      </c>
      <c r="H1395" s="294">
        <f t="shared" si="297"/>
        <v>0</v>
      </c>
      <c r="I1395" s="467"/>
      <c r="J1395" s="302" t="s">
        <v>21</v>
      </c>
      <c r="K1395" s="410" t="s">
        <v>325</v>
      </c>
      <c r="L1395" s="457" t="s">
        <v>99</v>
      </c>
      <c r="M1395" s="303" t="s">
        <v>32</v>
      </c>
      <c r="N1395" s="468"/>
    </row>
    <row r="1396" spans="1:14" s="469" customFormat="1" ht="14" outlineLevel="5">
      <c r="A1396" s="470" t="s">
        <v>8</v>
      </c>
      <c r="B1396" s="471" t="s">
        <v>894</v>
      </c>
      <c r="C1396" s="338" t="s">
        <v>148</v>
      </c>
      <c r="D1396" s="294">
        <v>14.399999999999999</v>
      </c>
      <c r="E1396" s="294">
        <v>0</v>
      </c>
      <c r="F1396" s="294">
        <v>27</v>
      </c>
      <c r="G1396" s="8">
        <f t="shared" si="296"/>
        <v>388.79999999999995</v>
      </c>
      <c r="H1396" s="294">
        <f t="shared" si="297"/>
        <v>0</v>
      </c>
      <c r="I1396" s="467"/>
      <c r="J1396" s="302" t="s">
        <v>21</v>
      </c>
      <c r="K1396" s="410" t="s">
        <v>325</v>
      </c>
      <c r="L1396" s="457" t="s">
        <v>99</v>
      </c>
      <c r="M1396" s="457" t="s">
        <v>32</v>
      </c>
      <c r="N1396" s="468"/>
    </row>
    <row r="1397" spans="1:14" s="469" customFormat="1" ht="14" outlineLevel="5">
      <c r="A1397" s="470" t="s">
        <v>8</v>
      </c>
      <c r="B1397" s="471" t="s">
        <v>856</v>
      </c>
      <c r="C1397" s="338" t="s">
        <v>148</v>
      </c>
      <c r="D1397" s="294">
        <v>19.200000000000003</v>
      </c>
      <c r="E1397" s="294">
        <v>0</v>
      </c>
      <c r="F1397" s="294">
        <v>40.799999999999997</v>
      </c>
      <c r="G1397" s="8">
        <f t="shared" si="296"/>
        <v>783.36</v>
      </c>
      <c r="H1397" s="294">
        <f t="shared" si="297"/>
        <v>0</v>
      </c>
      <c r="I1397" s="467"/>
      <c r="J1397" s="302" t="s">
        <v>21</v>
      </c>
      <c r="K1397" s="410" t="s">
        <v>325</v>
      </c>
      <c r="L1397" s="457" t="s">
        <v>99</v>
      </c>
      <c r="M1397" s="457" t="s">
        <v>32</v>
      </c>
      <c r="N1397" s="468"/>
    </row>
    <row r="1398" spans="1:14" s="469" customFormat="1" ht="14" outlineLevel="5">
      <c r="A1398" s="465" t="s">
        <v>8</v>
      </c>
      <c r="B1398" s="466" t="s">
        <v>382</v>
      </c>
      <c r="C1398" s="338" t="s">
        <v>148</v>
      </c>
      <c r="D1398" s="294"/>
      <c r="E1398" s="294">
        <v>8</v>
      </c>
      <c r="F1398" s="294">
        <v>130</v>
      </c>
      <c r="G1398" s="8">
        <f t="shared" si="296"/>
        <v>0</v>
      </c>
      <c r="H1398" s="294">
        <f t="shared" si="297"/>
        <v>1040</v>
      </c>
      <c r="I1398" s="467"/>
      <c r="J1398" s="302" t="s">
        <v>21</v>
      </c>
      <c r="K1398" s="410" t="s">
        <v>325</v>
      </c>
      <c r="L1398" s="457" t="s">
        <v>99</v>
      </c>
      <c r="M1398" s="457" t="s">
        <v>32</v>
      </c>
      <c r="N1398" s="468"/>
    </row>
    <row r="1399" spans="1:14" s="469" customFormat="1" ht="14" outlineLevel="5">
      <c r="A1399" s="465" t="s">
        <v>8</v>
      </c>
      <c r="B1399" s="466" t="s">
        <v>384</v>
      </c>
      <c r="C1399" s="338" t="s">
        <v>148</v>
      </c>
      <c r="D1399" s="294"/>
      <c r="E1399" s="294">
        <v>3</v>
      </c>
      <c r="F1399" s="294">
        <v>125</v>
      </c>
      <c r="G1399" s="8">
        <f t="shared" si="296"/>
        <v>0</v>
      </c>
      <c r="H1399" s="294">
        <f t="shared" si="297"/>
        <v>375</v>
      </c>
      <c r="I1399" s="467"/>
      <c r="J1399" s="302" t="s">
        <v>21</v>
      </c>
      <c r="K1399" s="410" t="s">
        <v>325</v>
      </c>
      <c r="L1399" s="457" t="s">
        <v>99</v>
      </c>
      <c r="M1399" s="303" t="s">
        <v>32</v>
      </c>
      <c r="N1399" s="468"/>
    </row>
    <row r="1400" spans="1:14" s="469" customFormat="1" ht="14" outlineLevel="5">
      <c r="A1400" s="470" t="s">
        <v>8</v>
      </c>
      <c r="B1400" s="471" t="s">
        <v>902</v>
      </c>
      <c r="C1400" s="338" t="s">
        <v>880</v>
      </c>
      <c r="D1400" s="294">
        <v>67.2</v>
      </c>
      <c r="E1400" s="294">
        <v>0</v>
      </c>
      <c r="F1400" s="294">
        <v>5</v>
      </c>
      <c r="G1400" s="8">
        <f t="shared" si="296"/>
        <v>336</v>
      </c>
      <c r="H1400" s="294">
        <f t="shared" si="297"/>
        <v>0</v>
      </c>
      <c r="I1400" s="467"/>
      <c r="J1400" s="302" t="s">
        <v>21</v>
      </c>
      <c r="K1400" s="410" t="s">
        <v>325</v>
      </c>
      <c r="L1400" s="457" t="s">
        <v>99</v>
      </c>
      <c r="M1400" s="303" t="s">
        <v>32</v>
      </c>
      <c r="N1400" s="468"/>
    </row>
    <row r="1401" spans="1:14" s="459" customFormat="1" ht="13" customHeight="1" outlineLevel="4">
      <c r="A1401" s="452">
        <v>7</v>
      </c>
      <c r="B1401" s="463" t="s">
        <v>1145</v>
      </c>
      <c r="C1401" s="464"/>
      <c r="D1401" s="385"/>
      <c r="E1401" s="385"/>
      <c r="F1401" s="385"/>
      <c r="G1401" s="385">
        <f>SUBTOTAL(9,G1402:G1403)</f>
        <v>0</v>
      </c>
      <c r="H1401" s="385">
        <f>SUBTOTAL(9,H1402:H1460)</f>
        <v>65856</v>
      </c>
      <c r="I1401" s="385"/>
      <c r="J1401" s="302" t="s">
        <v>21</v>
      </c>
      <c r="K1401" s="457"/>
      <c r="L1401" s="457"/>
      <c r="M1401" s="303" t="s">
        <v>32</v>
      </c>
      <c r="N1401" s="458"/>
    </row>
    <row r="1402" spans="1:14" s="469" customFormat="1" ht="14" outlineLevel="5">
      <c r="A1402" s="465" t="s">
        <v>8</v>
      </c>
      <c r="B1402" s="466" t="s">
        <v>1146</v>
      </c>
      <c r="C1402" s="338" t="s">
        <v>424</v>
      </c>
      <c r="D1402" s="294"/>
      <c r="E1402" s="294"/>
      <c r="F1402" s="294"/>
      <c r="G1402" s="8">
        <f t="shared" ref="G1402:G1403" si="298">F1402*D1402</f>
        <v>0</v>
      </c>
      <c r="H1402" s="294">
        <f t="shared" ref="H1402:H1403" si="299">F1402*E1402</f>
        <v>0</v>
      </c>
      <c r="I1402" s="467"/>
      <c r="J1402" s="302" t="s">
        <v>21</v>
      </c>
      <c r="K1402" s="410" t="s">
        <v>325</v>
      </c>
      <c r="L1402" s="457" t="s">
        <v>99</v>
      </c>
      <c r="M1402" s="303" t="s">
        <v>32</v>
      </c>
      <c r="N1402" s="468"/>
    </row>
    <row r="1403" spans="1:14" s="469" customFormat="1" ht="14" outlineLevel="5">
      <c r="A1403" s="465" t="s">
        <v>8</v>
      </c>
      <c r="B1403" s="466" t="s">
        <v>738</v>
      </c>
      <c r="C1403" s="338" t="s">
        <v>424</v>
      </c>
      <c r="D1403" s="294"/>
      <c r="E1403" s="294"/>
      <c r="F1403" s="294"/>
      <c r="G1403" s="8">
        <f t="shared" si="298"/>
        <v>0</v>
      </c>
      <c r="H1403" s="294">
        <f t="shared" si="299"/>
        <v>0</v>
      </c>
      <c r="I1403" s="467"/>
      <c r="J1403" s="302" t="s">
        <v>21</v>
      </c>
      <c r="K1403" s="410" t="s">
        <v>325</v>
      </c>
      <c r="L1403" s="457" t="s">
        <v>99</v>
      </c>
      <c r="M1403" s="303" t="s">
        <v>32</v>
      </c>
      <c r="N1403" s="468"/>
    </row>
    <row r="1404" spans="1:14" s="459" customFormat="1" ht="13" customHeight="1" outlineLevel="4">
      <c r="A1404" s="452">
        <v>8</v>
      </c>
      <c r="B1404" s="460" t="s">
        <v>1349</v>
      </c>
      <c r="C1404" s="464"/>
      <c r="D1404" s="385"/>
      <c r="E1404" s="385"/>
      <c r="F1404" s="385"/>
      <c r="G1404" s="385">
        <f>SUBTOTAL(9,G1405:G1411)</f>
        <v>66451.199999999997</v>
      </c>
      <c r="H1404" s="385">
        <f>SUBTOTAL(9,H1405:H1411)</f>
        <v>65856</v>
      </c>
      <c r="I1404" s="385"/>
      <c r="J1404" s="302" t="s">
        <v>21</v>
      </c>
      <c r="K1404" s="457"/>
      <c r="L1404" s="457"/>
      <c r="M1404" s="303" t="s">
        <v>32</v>
      </c>
      <c r="N1404" s="458"/>
    </row>
    <row r="1405" spans="1:14" s="469" customFormat="1" ht="14" outlineLevel="5">
      <c r="A1405" s="465" t="s">
        <v>8</v>
      </c>
      <c r="B1405" s="466" t="s">
        <v>1496</v>
      </c>
      <c r="C1405" s="338" t="s">
        <v>24</v>
      </c>
      <c r="D1405" s="294"/>
      <c r="E1405" s="294"/>
      <c r="F1405" s="294"/>
      <c r="G1405" s="8">
        <f t="shared" ref="G1405:G1411" si="300">F1405*D1405</f>
        <v>0</v>
      </c>
      <c r="H1405" s="294">
        <f t="shared" ref="H1405:H1411" si="301">F1405*E1405</f>
        <v>0</v>
      </c>
      <c r="I1405" s="467"/>
      <c r="J1405" s="302" t="s">
        <v>21</v>
      </c>
      <c r="K1405" s="410" t="s">
        <v>325</v>
      </c>
      <c r="L1405" s="457" t="s">
        <v>99</v>
      </c>
      <c r="M1405" s="303" t="s">
        <v>32</v>
      </c>
      <c r="N1405" s="468"/>
    </row>
    <row r="1406" spans="1:14" s="469" customFormat="1" ht="14" outlineLevel="5">
      <c r="A1406" s="470" t="s">
        <v>8</v>
      </c>
      <c r="B1406" s="471" t="s">
        <v>1497</v>
      </c>
      <c r="C1406" s="338" t="s">
        <v>487</v>
      </c>
      <c r="D1406" s="294"/>
      <c r="E1406" s="294"/>
      <c r="F1406" s="294">
        <v>12000</v>
      </c>
      <c r="G1406" s="8">
        <f t="shared" si="300"/>
        <v>0</v>
      </c>
      <c r="H1406" s="294">
        <f t="shared" si="301"/>
        <v>0</v>
      </c>
      <c r="I1406" s="467"/>
      <c r="J1406" s="302" t="s">
        <v>21</v>
      </c>
      <c r="K1406" s="410" t="s">
        <v>325</v>
      </c>
      <c r="L1406" s="457" t="s">
        <v>99</v>
      </c>
      <c r="M1406" s="457" t="s">
        <v>32</v>
      </c>
      <c r="N1406" s="468"/>
    </row>
    <row r="1407" spans="1:14" s="469" customFormat="1" ht="14" outlineLevel="5">
      <c r="A1407" s="470" t="s">
        <v>8</v>
      </c>
      <c r="B1407" s="471" t="s">
        <v>1487</v>
      </c>
      <c r="C1407" s="338" t="s">
        <v>23</v>
      </c>
      <c r="D1407" s="294"/>
      <c r="E1407" s="294"/>
      <c r="F1407" s="294">
        <v>14400</v>
      </c>
      <c r="G1407" s="8">
        <f t="shared" si="300"/>
        <v>0</v>
      </c>
      <c r="H1407" s="294">
        <f t="shared" si="301"/>
        <v>0</v>
      </c>
      <c r="I1407" s="467"/>
      <c r="J1407" s="302" t="s">
        <v>21</v>
      </c>
      <c r="K1407" s="410" t="s">
        <v>325</v>
      </c>
      <c r="L1407" s="457" t="s">
        <v>99</v>
      </c>
      <c r="M1407" s="457" t="s">
        <v>32</v>
      </c>
      <c r="N1407" s="468"/>
    </row>
    <row r="1408" spans="1:14" s="469" customFormat="1" ht="14" outlineLevel="5">
      <c r="A1408" s="465" t="s">
        <v>8</v>
      </c>
      <c r="B1408" s="466" t="s">
        <v>1498</v>
      </c>
      <c r="C1408" s="338" t="s">
        <v>23</v>
      </c>
      <c r="D1408" s="294">
        <v>1</v>
      </c>
      <c r="E1408" s="294">
        <v>1</v>
      </c>
      <c r="F1408" s="294">
        <v>64800</v>
      </c>
      <c r="G1408" s="8">
        <f t="shared" si="300"/>
        <v>64800</v>
      </c>
      <c r="H1408" s="294">
        <f t="shared" si="301"/>
        <v>64800</v>
      </c>
      <c r="I1408" s="467"/>
      <c r="J1408" s="302" t="s">
        <v>21</v>
      </c>
      <c r="K1408" s="410" t="s">
        <v>325</v>
      </c>
      <c r="L1408" s="457" t="s">
        <v>99</v>
      </c>
      <c r="M1408" s="457" t="s">
        <v>32</v>
      </c>
      <c r="N1408" s="468"/>
    </row>
    <row r="1409" spans="1:16" s="469" customFormat="1" ht="14" outlineLevel="5">
      <c r="A1409" s="470" t="s">
        <v>8</v>
      </c>
      <c r="B1409" s="471" t="s">
        <v>1499</v>
      </c>
      <c r="C1409" s="338" t="s">
        <v>148</v>
      </c>
      <c r="D1409" s="294">
        <v>4</v>
      </c>
      <c r="E1409" s="294"/>
      <c r="F1409" s="294">
        <v>40.799999999999997</v>
      </c>
      <c r="G1409" s="8">
        <f t="shared" si="300"/>
        <v>163.19999999999999</v>
      </c>
      <c r="H1409" s="294">
        <f t="shared" si="301"/>
        <v>0</v>
      </c>
      <c r="I1409" s="467"/>
      <c r="J1409" s="302" t="s">
        <v>21</v>
      </c>
      <c r="K1409" s="410" t="s">
        <v>325</v>
      </c>
      <c r="L1409" s="457" t="s">
        <v>99</v>
      </c>
      <c r="M1409" s="457" t="s">
        <v>32</v>
      </c>
      <c r="N1409" s="468"/>
    </row>
    <row r="1410" spans="1:16" s="469" customFormat="1" ht="14" outlineLevel="5">
      <c r="A1410" s="470" t="s">
        <v>8</v>
      </c>
      <c r="B1410" s="471" t="s">
        <v>1500</v>
      </c>
      <c r="C1410" s="338" t="s">
        <v>148</v>
      </c>
      <c r="D1410" s="294">
        <v>2</v>
      </c>
      <c r="E1410" s="294"/>
      <c r="F1410" s="294">
        <v>216</v>
      </c>
      <c r="G1410" s="8">
        <f t="shared" si="300"/>
        <v>432</v>
      </c>
      <c r="H1410" s="294">
        <f t="shared" si="301"/>
        <v>0</v>
      </c>
      <c r="I1410" s="467"/>
      <c r="J1410" s="302" t="s">
        <v>21</v>
      </c>
      <c r="K1410" s="410" t="s">
        <v>325</v>
      </c>
      <c r="L1410" s="457" t="s">
        <v>99</v>
      </c>
      <c r="M1410" s="457" t="s">
        <v>32</v>
      </c>
      <c r="N1410" s="468"/>
    </row>
    <row r="1411" spans="1:16" s="469" customFormat="1" ht="14" outlineLevel="5">
      <c r="A1411" s="470" t="s">
        <v>8</v>
      </c>
      <c r="B1411" s="471" t="s">
        <v>1501</v>
      </c>
      <c r="C1411" s="338" t="s">
        <v>148</v>
      </c>
      <c r="D1411" s="294">
        <v>2</v>
      </c>
      <c r="E1411" s="294">
        <v>2</v>
      </c>
      <c r="F1411" s="294">
        <v>528</v>
      </c>
      <c r="G1411" s="8">
        <f t="shared" si="300"/>
        <v>1056</v>
      </c>
      <c r="H1411" s="294">
        <f t="shared" si="301"/>
        <v>1056</v>
      </c>
      <c r="I1411" s="467"/>
      <c r="J1411" s="302" t="s">
        <v>21</v>
      </c>
      <c r="K1411" s="410" t="s">
        <v>325</v>
      </c>
      <c r="L1411" s="457" t="s">
        <v>99</v>
      </c>
      <c r="M1411" s="457" t="s">
        <v>32</v>
      </c>
      <c r="N1411" s="468"/>
    </row>
    <row r="1412" spans="1:16" s="277" customFormat="1" ht="14" outlineLevel="1">
      <c r="A1412" s="280" t="s">
        <v>334</v>
      </c>
      <c r="B1412" s="366" t="s">
        <v>269</v>
      </c>
      <c r="C1412" s="341"/>
      <c r="D1412" s="331"/>
      <c r="E1412" s="331"/>
      <c r="F1412" s="331"/>
      <c r="G1412" s="331">
        <f>SUBTOTAL(9,G1413:G1543)</f>
        <v>5028949.8499999996</v>
      </c>
      <c r="H1412" s="331">
        <f>SUBTOTAL(9,H1413:H1543)</f>
        <v>4229852.5</v>
      </c>
      <c r="I1412" s="284"/>
      <c r="J1412" s="302" t="s">
        <v>21</v>
      </c>
      <c r="K1412" s="254"/>
      <c r="L1412" s="254"/>
      <c r="M1412" s="275"/>
      <c r="N1412" s="275"/>
      <c r="P1412" s="278"/>
    </row>
    <row r="1413" spans="1:16" s="277" customFormat="1" ht="14" outlineLevel="2">
      <c r="A1413" s="280" t="s">
        <v>4</v>
      </c>
      <c r="B1413" s="281" t="s">
        <v>32</v>
      </c>
      <c r="C1413" s="341"/>
      <c r="D1413" s="331"/>
      <c r="E1413" s="331"/>
      <c r="F1413" s="331"/>
      <c r="G1413" s="331"/>
      <c r="H1413" s="283"/>
      <c r="I1413" s="284"/>
      <c r="J1413" s="302" t="s">
        <v>21</v>
      </c>
      <c r="K1413" s="254"/>
      <c r="L1413" s="254"/>
      <c r="M1413" s="275"/>
      <c r="N1413" s="275"/>
      <c r="P1413" s="278"/>
    </row>
    <row r="1414" spans="1:16" s="459" customFormat="1" ht="14" outlineLevel="5">
      <c r="A1414" s="477">
        <v>1</v>
      </c>
      <c r="B1414" s="476" t="s">
        <v>876</v>
      </c>
      <c r="C1414" s="464"/>
      <c r="D1414" s="385"/>
      <c r="E1414" s="385"/>
      <c r="F1414" s="385"/>
      <c r="G1414" s="385"/>
      <c r="H1414" s="385">
        <f>SUBTOTAL(9,H1415:H1425)</f>
        <v>0</v>
      </c>
      <c r="I1414" s="385"/>
      <c r="J1414" s="302" t="s">
        <v>21</v>
      </c>
      <c r="K1414" s="457"/>
      <c r="L1414" s="457"/>
      <c r="M1414" s="457" t="s">
        <v>32</v>
      </c>
      <c r="N1414" s="458"/>
    </row>
    <row r="1415" spans="1:16" s="469" customFormat="1" ht="14" outlineLevel="5">
      <c r="A1415" s="470" t="s">
        <v>8</v>
      </c>
      <c r="B1415" s="471" t="s">
        <v>872</v>
      </c>
      <c r="C1415" s="338" t="s">
        <v>879</v>
      </c>
      <c r="D1415" s="294"/>
      <c r="E1415" s="294"/>
      <c r="F1415" s="294">
        <v>15435</v>
      </c>
      <c r="G1415" s="8">
        <f t="shared" ref="G1415:G1425" si="302">F1415*D1415</f>
        <v>0</v>
      </c>
      <c r="H1415" s="294">
        <f t="shared" ref="H1415:H1425" si="303">F1415*E1415</f>
        <v>0</v>
      </c>
      <c r="I1415" s="467"/>
      <c r="J1415" s="302" t="s">
        <v>21</v>
      </c>
      <c r="K1415" s="457" t="s">
        <v>211</v>
      </c>
      <c r="L1415" s="457" t="s">
        <v>99</v>
      </c>
      <c r="M1415" s="457" t="s">
        <v>32</v>
      </c>
      <c r="N1415" s="468"/>
    </row>
    <row r="1416" spans="1:16" s="469" customFormat="1" ht="14" outlineLevel="5">
      <c r="A1416" s="470" t="s">
        <v>8</v>
      </c>
      <c r="B1416" s="471" t="s">
        <v>860</v>
      </c>
      <c r="C1416" s="338" t="s">
        <v>23</v>
      </c>
      <c r="D1416" s="294"/>
      <c r="E1416" s="294"/>
      <c r="F1416" s="294">
        <v>2940</v>
      </c>
      <c r="G1416" s="8">
        <f t="shared" si="302"/>
        <v>0</v>
      </c>
      <c r="H1416" s="294">
        <f t="shared" si="303"/>
        <v>0</v>
      </c>
      <c r="I1416" s="467"/>
      <c r="J1416" s="302" t="s">
        <v>21</v>
      </c>
      <c r="K1416" s="457" t="s">
        <v>211</v>
      </c>
      <c r="L1416" s="457" t="s">
        <v>99</v>
      </c>
      <c r="M1416" s="457" t="s">
        <v>32</v>
      </c>
      <c r="N1416" s="468"/>
    </row>
    <row r="1417" spans="1:16" s="469" customFormat="1" ht="14" outlineLevel="5">
      <c r="A1417" s="470" t="s">
        <v>8</v>
      </c>
      <c r="B1417" s="471" t="s">
        <v>861</v>
      </c>
      <c r="C1417" s="338" t="s">
        <v>23</v>
      </c>
      <c r="D1417" s="294"/>
      <c r="E1417" s="294"/>
      <c r="F1417" s="294">
        <v>10231.200000000001</v>
      </c>
      <c r="G1417" s="8">
        <f t="shared" si="302"/>
        <v>0</v>
      </c>
      <c r="H1417" s="294">
        <f t="shared" si="303"/>
        <v>0</v>
      </c>
      <c r="I1417" s="467"/>
      <c r="J1417" s="302" t="s">
        <v>21</v>
      </c>
      <c r="K1417" s="457" t="s">
        <v>211</v>
      </c>
      <c r="L1417" s="457" t="s">
        <v>99</v>
      </c>
      <c r="M1417" s="457" t="s">
        <v>32</v>
      </c>
      <c r="N1417" s="468"/>
    </row>
    <row r="1418" spans="1:16" s="469" customFormat="1" ht="14" outlineLevel="5">
      <c r="A1418" s="470" t="s">
        <v>8</v>
      </c>
      <c r="B1418" s="471" t="s">
        <v>848</v>
      </c>
      <c r="C1418" s="338" t="s">
        <v>23</v>
      </c>
      <c r="D1418" s="294"/>
      <c r="E1418" s="294"/>
      <c r="F1418" s="294">
        <v>27636</v>
      </c>
      <c r="G1418" s="8">
        <f t="shared" si="302"/>
        <v>0</v>
      </c>
      <c r="H1418" s="294">
        <f t="shared" si="303"/>
        <v>0</v>
      </c>
      <c r="I1418" s="467"/>
      <c r="J1418" s="302" t="s">
        <v>21</v>
      </c>
      <c r="K1418" s="457" t="s">
        <v>211</v>
      </c>
      <c r="L1418" s="457" t="s">
        <v>99</v>
      </c>
      <c r="M1418" s="457" t="s">
        <v>32</v>
      </c>
      <c r="N1418" s="468"/>
    </row>
    <row r="1419" spans="1:16" s="469" customFormat="1" ht="14" outlineLevel="5">
      <c r="A1419" s="470" t="s">
        <v>8</v>
      </c>
      <c r="B1419" s="471" t="s">
        <v>877</v>
      </c>
      <c r="C1419" s="338" t="s">
        <v>23</v>
      </c>
      <c r="D1419" s="294"/>
      <c r="E1419" s="294"/>
      <c r="F1419" s="294">
        <v>43200</v>
      </c>
      <c r="G1419" s="8">
        <f t="shared" si="302"/>
        <v>0</v>
      </c>
      <c r="H1419" s="294">
        <f t="shared" si="303"/>
        <v>0</v>
      </c>
      <c r="I1419" s="467"/>
      <c r="J1419" s="302" t="s">
        <v>21</v>
      </c>
      <c r="K1419" s="457" t="s">
        <v>211</v>
      </c>
      <c r="L1419" s="457" t="s">
        <v>99</v>
      </c>
      <c r="M1419" s="457" t="s">
        <v>32</v>
      </c>
      <c r="N1419" s="468"/>
    </row>
    <row r="1420" spans="1:16" s="469" customFormat="1" ht="14" outlineLevel="5">
      <c r="A1420" s="470" t="s">
        <v>8</v>
      </c>
      <c r="B1420" s="471" t="s">
        <v>862</v>
      </c>
      <c r="C1420" s="338" t="s">
        <v>23</v>
      </c>
      <c r="D1420" s="294"/>
      <c r="E1420" s="294"/>
      <c r="F1420" s="294">
        <v>59910.9</v>
      </c>
      <c r="G1420" s="8">
        <f t="shared" si="302"/>
        <v>0</v>
      </c>
      <c r="H1420" s="294">
        <f t="shared" si="303"/>
        <v>0</v>
      </c>
      <c r="I1420" s="467"/>
      <c r="J1420" s="302" t="s">
        <v>21</v>
      </c>
      <c r="K1420" s="457" t="s">
        <v>211</v>
      </c>
      <c r="L1420" s="457" t="s">
        <v>99</v>
      </c>
      <c r="M1420" s="457" t="s">
        <v>32</v>
      </c>
      <c r="N1420" s="468"/>
    </row>
    <row r="1421" spans="1:16" s="469" customFormat="1" ht="14" outlineLevel="5">
      <c r="A1421" s="470" t="s">
        <v>8</v>
      </c>
      <c r="B1421" s="471" t="s">
        <v>874</v>
      </c>
      <c r="C1421" s="338" t="s">
        <v>23</v>
      </c>
      <c r="D1421" s="294">
        <v>2</v>
      </c>
      <c r="E1421" s="294"/>
      <c r="F1421" s="294">
        <v>91571.55</v>
      </c>
      <c r="G1421" s="8">
        <f t="shared" si="302"/>
        <v>183143.1</v>
      </c>
      <c r="H1421" s="294">
        <f t="shared" si="303"/>
        <v>0</v>
      </c>
      <c r="I1421" s="467"/>
      <c r="J1421" s="302" t="s">
        <v>21</v>
      </c>
      <c r="K1421" s="457" t="s">
        <v>211</v>
      </c>
      <c r="L1421" s="457" t="s">
        <v>99</v>
      </c>
      <c r="M1421" s="457" t="s">
        <v>32</v>
      </c>
      <c r="N1421" s="468"/>
    </row>
    <row r="1422" spans="1:16" s="469" customFormat="1" ht="14" outlineLevel="5">
      <c r="A1422" s="470" t="s">
        <v>8</v>
      </c>
      <c r="B1422" s="471" t="s">
        <v>1346</v>
      </c>
      <c r="C1422" s="338" t="s">
        <v>148</v>
      </c>
      <c r="D1422" s="294">
        <v>0</v>
      </c>
      <c r="E1422" s="294"/>
      <c r="F1422" s="294">
        <v>56</v>
      </c>
      <c r="G1422" s="8">
        <f t="shared" si="302"/>
        <v>0</v>
      </c>
      <c r="H1422" s="294">
        <f t="shared" si="303"/>
        <v>0</v>
      </c>
      <c r="I1422" s="467"/>
      <c r="J1422" s="302" t="s">
        <v>21</v>
      </c>
      <c r="K1422" s="457" t="s">
        <v>211</v>
      </c>
      <c r="L1422" s="457" t="s">
        <v>99</v>
      </c>
      <c r="M1422" s="457" t="s">
        <v>32</v>
      </c>
      <c r="N1422" s="468"/>
    </row>
    <row r="1423" spans="1:16" s="469" customFormat="1" ht="14" outlineLevel="5">
      <c r="A1423" s="470" t="s">
        <v>8</v>
      </c>
      <c r="B1423" s="471" t="s">
        <v>1347</v>
      </c>
      <c r="C1423" s="338" t="s">
        <v>148</v>
      </c>
      <c r="D1423" s="294">
        <v>0</v>
      </c>
      <c r="E1423" s="294"/>
      <c r="F1423" s="294">
        <v>582</v>
      </c>
      <c r="G1423" s="8">
        <f t="shared" si="302"/>
        <v>0</v>
      </c>
      <c r="H1423" s="294">
        <f t="shared" si="303"/>
        <v>0</v>
      </c>
      <c r="I1423" s="467"/>
      <c r="J1423" s="302" t="s">
        <v>21</v>
      </c>
      <c r="K1423" s="457" t="s">
        <v>211</v>
      </c>
      <c r="L1423" s="457" t="s">
        <v>99</v>
      </c>
      <c r="M1423" s="457" t="s">
        <v>32</v>
      </c>
      <c r="N1423" s="468"/>
    </row>
    <row r="1424" spans="1:16" s="469" customFormat="1" ht="14" outlineLevel="5">
      <c r="A1424" s="470" t="s">
        <v>8</v>
      </c>
      <c r="B1424" s="471" t="s">
        <v>1484</v>
      </c>
      <c r="C1424" s="338" t="s">
        <v>148</v>
      </c>
      <c r="D1424" s="294">
        <v>4</v>
      </c>
      <c r="E1424" s="294"/>
      <c r="F1424" s="294">
        <v>3200</v>
      </c>
      <c r="G1424" s="8">
        <f t="shared" si="302"/>
        <v>12800</v>
      </c>
      <c r="H1424" s="294">
        <f t="shared" si="303"/>
        <v>0</v>
      </c>
      <c r="I1424" s="467"/>
      <c r="J1424" s="302" t="s">
        <v>21</v>
      </c>
      <c r="K1424" s="457" t="s">
        <v>211</v>
      </c>
      <c r="L1424" s="457" t="s">
        <v>99</v>
      </c>
      <c r="M1424" s="457" t="s">
        <v>32</v>
      </c>
      <c r="N1424" s="468"/>
    </row>
    <row r="1425" spans="1:14" s="469" customFormat="1" ht="14" outlineLevel="5">
      <c r="A1425" s="470" t="s">
        <v>8</v>
      </c>
      <c r="B1425" s="471" t="s">
        <v>853</v>
      </c>
      <c r="C1425" s="338" t="s">
        <v>880</v>
      </c>
      <c r="D1425" s="294">
        <v>4</v>
      </c>
      <c r="E1425" s="294"/>
      <c r="F1425" s="294">
        <v>5</v>
      </c>
      <c r="G1425" s="8">
        <f t="shared" si="302"/>
        <v>20</v>
      </c>
      <c r="H1425" s="294">
        <f t="shared" si="303"/>
        <v>0</v>
      </c>
      <c r="I1425" s="467"/>
      <c r="J1425" s="302" t="s">
        <v>21</v>
      </c>
      <c r="K1425" s="457" t="s">
        <v>211</v>
      </c>
      <c r="L1425" s="457" t="s">
        <v>99</v>
      </c>
      <c r="M1425" s="457" t="s">
        <v>32</v>
      </c>
      <c r="N1425" s="468"/>
    </row>
    <row r="1426" spans="1:14" s="459" customFormat="1" ht="14" outlineLevel="5">
      <c r="A1426" s="477">
        <v>2</v>
      </c>
      <c r="B1426" s="476" t="s">
        <v>93</v>
      </c>
      <c r="C1426" s="464"/>
      <c r="D1426" s="385"/>
      <c r="E1426" s="385"/>
      <c r="F1426" s="385"/>
      <c r="G1426" s="385">
        <f>SUBTOTAL(9,G1427:G1440)</f>
        <v>690606.3</v>
      </c>
      <c r="H1426" s="385">
        <f>SUBTOTAL(9,H1427:H1440)</f>
        <v>0</v>
      </c>
      <c r="I1426" s="385"/>
      <c r="J1426" s="302" t="s">
        <v>21</v>
      </c>
      <c r="K1426" s="457"/>
      <c r="L1426" s="457"/>
      <c r="M1426" s="457" t="s">
        <v>32</v>
      </c>
      <c r="N1426" s="458"/>
    </row>
    <row r="1427" spans="1:14" s="469" customFormat="1" ht="14" outlineLevel="5">
      <c r="A1427" s="470" t="s">
        <v>8</v>
      </c>
      <c r="B1427" s="471" t="s">
        <v>872</v>
      </c>
      <c r="C1427" s="338" t="s">
        <v>879</v>
      </c>
      <c r="D1427" s="294"/>
      <c r="E1427" s="294"/>
      <c r="F1427" s="294">
        <v>15435</v>
      </c>
      <c r="G1427" s="8">
        <f t="shared" ref="G1427:G1440" si="304">F1427*D1427</f>
        <v>0</v>
      </c>
      <c r="H1427" s="294">
        <f t="shared" ref="H1427:H1440" si="305">F1427*E1427</f>
        <v>0</v>
      </c>
      <c r="I1427" s="467"/>
      <c r="J1427" s="302" t="s">
        <v>21</v>
      </c>
      <c r="K1427" s="457" t="s">
        <v>211</v>
      </c>
      <c r="L1427" s="457" t="s">
        <v>99</v>
      </c>
      <c r="M1427" s="457" t="s">
        <v>32</v>
      </c>
      <c r="N1427" s="468"/>
    </row>
    <row r="1428" spans="1:14" s="469" customFormat="1" ht="14" outlineLevel="5">
      <c r="A1428" s="470" t="s">
        <v>8</v>
      </c>
      <c r="B1428" s="471" t="s">
        <v>860</v>
      </c>
      <c r="C1428" s="338" t="s">
        <v>23</v>
      </c>
      <c r="D1428" s="294"/>
      <c r="E1428" s="294"/>
      <c r="F1428" s="294">
        <v>2800</v>
      </c>
      <c r="G1428" s="8">
        <f t="shared" si="304"/>
        <v>0</v>
      </c>
      <c r="H1428" s="294">
        <f t="shared" si="305"/>
        <v>0</v>
      </c>
      <c r="I1428" s="467"/>
      <c r="J1428" s="302" t="s">
        <v>21</v>
      </c>
      <c r="K1428" s="457" t="s">
        <v>211</v>
      </c>
      <c r="L1428" s="457" t="s">
        <v>99</v>
      </c>
      <c r="M1428" s="457" t="s">
        <v>32</v>
      </c>
      <c r="N1428" s="468"/>
    </row>
    <row r="1429" spans="1:14" s="469" customFormat="1" ht="14" outlineLevel="5">
      <c r="A1429" s="470" t="s">
        <v>8</v>
      </c>
      <c r="B1429" s="471" t="s">
        <v>861</v>
      </c>
      <c r="C1429" s="338" t="s">
        <v>23</v>
      </c>
      <c r="D1429" s="294"/>
      <c r="E1429" s="294"/>
      <c r="F1429" s="294">
        <v>9744</v>
      </c>
      <c r="G1429" s="8">
        <f t="shared" si="304"/>
        <v>0</v>
      </c>
      <c r="H1429" s="294">
        <f t="shared" si="305"/>
        <v>0</v>
      </c>
      <c r="I1429" s="467"/>
      <c r="J1429" s="302" t="s">
        <v>21</v>
      </c>
      <c r="K1429" s="457" t="s">
        <v>211</v>
      </c>
      <c r="L1429" s="457" t="s">
        <v>99</v>
      </c>
      <c r="M1429" s="457" t="s">
        <v>32</v>
      </c>
      <c r="N1429" s="468"/>
    </row>
    <row r="1430" spans="1:14" s="469" customFormat="1" ht="14" outlineLevel="5">
      <c r="A1430" s="470" t="s">
        <v>8</v>
      </c>
      <c r="B1430" s="471" t="s">
        <v>848</v>
      </c>
      <c r="C1430" s="338" t="s">
        <v>23</v>
      </c>
      <c r="D1430" s="294"/>
      <c r="E1430" s="294"/>
      <c r="F1430" s="294">
        <v>27636</v>
      </c>
      <c r="G1430" s="8">
        <f t="shared" si="304"/>
        <v>0</v>
      </c>
      <c r="H1430" s="294">
        <f t="shared" si="305"/>
        <v>0</v>
      </c>
      <c r="I1430" s="467"/>
      <c r="J1430" s="302" t="s">
        <v>21</v>
      </c>
      <c r="K1430" s="457" t="s">
        <v>211</v>
      </c>
      <c r="L1430" s="457" t="s">
        <v>99</v>
      </c>
      <c r="M1430" s="457" t="s">
        <v>32</v>
      </c>
      <c r="N1430" s="468"/>
    </row>
    <row r="1431" spans="1:14" s="469" customFormat="1" ht="14" outlineLevel="5">
      <c r="A1431" s="470" t="s">
        <v>8</v>
      </c>
      <c r="B1431" s="471" t="s">
        <v>849</v>
      </c>
      <c r="C1431" s="338" t="s">
        <v>148</v>
      </c>
      <c r="D1431" s="294"/>
      <c r="E1431" s="294"/>
      <c r="F1431" s="294">
        <v>5370.75</v>
      </c>
      <c r="G1431" s="8">
        <f t="shared" si="304"/>
        <v>0</v>
      </c>
      <c r="H1431" s="294">
        <f t="shared" si="305"/>
        <v>0</v>
      </c>
      <c r="I1431" s="467"/>
      <c r="J1431" s="302" t="s">
        <v>21</v>
      </c>
      <c r="K1431" s="457" t="s">
        <v>211</v>
      </c>
      <c r="L1431" s="457" t="s">
        <v>99</v>
      </c>
      <c r="M1431" s="457" t="s">
        <v>32</v>
      </c>
      <c r="N1431" s="468"/>
    </row>
    <row r="1432" spans="1:14" s="469" customFormat="1" ht="14" outlineLevel="5">
      <c r="A1432" s="470" t="s">
        <v>8</v>
      </c>
      <c r="B1432" s="471" t="s">
        <v>873</v>
      </c>
      <c r="C1432" s="338" t="s">
        <v>23</v>
      </c>
      <c r="D1432" s="294"/>
      <c r="E1432" s="294"/>
      <c r="F1432" s="294">
        <v>43200</v>
      </c>
      <c r="G1432" s="8">
        <f t="shared" si="304"/>
        <v>0</v>
      </c>
      <c r="H1432" s="294">
        <f t="shared" si="305"/>
        <v>0</v>
      </c>
      <c r="I1432" s="467"/>
      <c r="J1432" s="302" t="s">
        <v>21</v>
      </c>
      <c r="K1432" s="457" t="s">
        <v>211</v>
      </c>
      <c r="L1432" s="457" t="s">
        <v>99</v>
      </c>
      <c r="M1432" s="457" t="s">
        <v>32</v>
      </c>
      <c r="N1432" s="468"/>
    </row>
    <row r="1433" spans="1:14" s="469" customFormat="1" ht="14" outlineLevel="5">
      <c r="A1433" s="470" t="s">
        <v>8</v>
      </c>
      <c r="B1433" s="471" t="s">
        <v>862</v>
      </c>
      <c r="C1433" s="338" t="s">
        <v>23</v>
      </c>
      <c r="D1433" s="294">
        <v>8</v>
      </c>
      <c r="E1433" s="294"/>
      <c r="F1433" s="294">
        <v>59910.9</v>
      </c>
      <c r="G1433" s="8">
        <f t="shared" si="304"/>
        <v>479287.2</v>
      </c>
      <c r="H1433" s="294">
        <f t="shared" si="305"/>
        <v>0</v>
      </c>
      <c r="I1433" s="467"/>
      <c r="J1433" s="302" t="s">
        <v>21</v>
      </c>
      <c r="K1433" s="457" t="s">
        <v>211</v>
      </c>
      <c r="L1433" s="457" t="s">
        <v>99</v>
      </c>
      <c r="M1433" s="457" t="s">
        <v>32</v>
      </c>
      <c r="N1433" s="468"/>
    </row>
    <row r="1434" spans="1:14" s="469" customFormat="1" ht="14" outlineLevel="5">
      <c r="A1434" s="470" t="s">
        <v>8</v>
      </c>
      <c r="B1434" s="471" t="s">
        <v>874</v>
      </c>
      <c r="C1434" s="338" t="s">
        <v>23</v>
      </c>
      <c r="D1434" s="294">
        <v>2</v>
      </c>
      <c r="E1434" s="294"/>
      <c r="F1434" s="294">
        <v>91571.55</v>
      </c>
      <c r="G1434" s="8">
        <f t="shared" si="304"/>
        <v>183143.1</v>
      </c>
      <c r="H1434" s="294">
        <f t="shared" si="305"/>
        <v>0</v>
      </c>
      <c r="I1434" s="467"/>
      <c r="J1434" s="302" t="s">
        <v>21</v>
      </c>
      <c r="K1434" s="457" t="s">
        <v>211</v>
      </c>
      <c r="L1434" s="457" t="s">
        <v>99</v>
      </c>
      <c r="M1434" s="457" t="s">
        <v>32</v>
      </c>
      <c r="N1434" s="468"/>
    </row>
    <row r="1435" spans="1:14" s="469" customFormat="1" ht="14" outlineLevel="5">
      <c r="A1435" s="470" t="s">
        <v>8</v>
      </c>
      <c r="B1435" s="471" t="s">
        <v>850</v>
      </c>
      <c r="C1435" s="338" t="s">
        <v>148</v>
      </c>
      <c r="D1435" s="294">
        <v>0</v>
      </c>
      <c r="E1435" s="294">
        <v>0</v>
      </c>
      <c r="F1435" s="294">
        <v>135</v>
      </c>
      <c r="G1435" s="8">
        <f t="shared" ref="G1435:G1436" si="306">F1435*D1435</f>
        <v>0</v>
      </c>
      <c r="H1435" s="294">
        <f t="shared" ref="H1435:H1436" si="307">F1435*E1435</f>
        <v>0</v>
      </c>
      <c r="I1435" s="467"/>
      <c r="J1435" s="302" t="s">
        <v>21</v>
      </c>
      <c r="K1435" s="457" t="s">
        <v>211</v>
      </c>
      <c r="L1435" s="457" t="s">
        <v>99</v>
      </c>
      <c r="M1435" s="457" t="s">
        <v>32</v>
      </c>
      <c r="N1435" s="468"/>
    </row>
    <row r="1436" spans="1:14" s="469" customFormat="1" ht="14" outlineLevel="5">
      <c r="A1436" s="470" t="s">
        <v>8</v>
      </c>
      <c r="B1436" s="471" t="s">
        <v>851</v>
      </c>
      <c r="C1436" s="338" t="s">
        <v>148</v>
      </c>
      <c r="D1436" s="294">
        <v>0</v>
      </c>
      <c r="E1436" s="294">
        <v>0</v>
      </c>
      <c r="F1436" s="294">
        <v>459</v>
      </c>
      <c r="G1436" s="8">
        <f t="shared" si="306"/>
        <v>0</v>
      </c>
      <c r="H1436" s="294">
        <f t="shared" si="307"/>
        <v>0</v>
      </c>
      <c r="I1436" s="467"/>
      <c r="J1436" s="302" t="s">
        <v>21</v>
      </c>
      <c r="K1436" s="457" t="s">
        <v>211</v>
      </c>
      <c r="L1436" s="457" t="s">
        <v>99</v>
      </c>
      <c r="M1436" s="457" t="s">
        <v>32</v>
      </c>
      <c r="N1436" s="468"/>
    </row>
    <row r="1437" spans="1:14" s="469" customFormat="1" ht="14" outlineLevel="5">
      <c r="A1437" s="470" t="s">
        <v>8</v>
      </c>
      <c r="B1437" s="471" t="s">
        <v>852</v>
      </c>
      <c r="C1437" s="338" t="s">
        <v>148</v>
      </c>
      <c r="D1437" s="294">
        <v>0</v>
      </c>
      <c r="E1437" s="294">
        <v>0</v>
      </c>
      <c r="F1437" s="294">
        <v>895</v>
      </c>
      <c r="G1437" s="8">
        <f t="shared" si="304"/>
        <v>0</v>
      </c>
      <c r="H1437" s="294">
        <f t="shared" si="305"/>
        <v>0</v>
      </c>
      <c r="I1437" s="467"/>
      <c r="J1437" s="302" t="s">
        <v>21</v>
      </c>
      <c r="K1437" s="457" t="s">
        <v>211</v>
      </c>
      <c r="L1437" s="457" t="s">
        <v>99</v>
      </c>
      <c r="M1437" s="457" t="s">
        <v>32</v>
      </c>
      <c r="N1437" s="468"/>
    </row>
    <row r="1438" spans="1:14" s="469" customFormat="1" ht="14" outlineLevel="5">
      <c r="A1438" s="470" t="s">
        <v>8</v>
      </c>
      <c r="B1438" s="471" t="s">
        <v>1347</v>
      </c>
      <c r="C1438" s="338" t="s">
        <v>148</v>
      </c>
      <c r="D1438" s="294">
        <v>48</v>
      </c>
      <c r="E1438" s="294">
        <v>0</v>
      </c>
      <c r="F1438" s="294">
        <v>582</v>
      </c>
      <c r="G1438" s="8">
        <f t="shared" ref="G1438" si="308">F1438*D1438</f>
        <v>27936</v>
      </c>
      <c r="H1438" s="294">
        <f t="shared" ref="H1438" si="309">F1438*E1438</f>
        <v>0</v>
      </c>
      <c r="I1438" s="467"/>
      <c r="J1438" s="302" t="s">
        <v>21</v>
      </c>
      <c r="K1438" s="457" t="s">
        <v>211</v>
      </c>
      <c r="L1438" s="457" t="s">
        <v>99</v>
      </c>
      <c r="M1438" s="457" t="s">
        <v>32</v>
      </c>
      <c r="N1438" s="468"/>
    </row>
    <row r="1439" spans="1:14" s="469" customFormat="1" ht="14" outlineLevel="5">
      <c r="A1439" s="470" t="s">
        <v>8</v>
      </c>
      <c r="B1439" s="471" t="s">
        <v>1484</v>
      </c>
      <c r="C1439" s="338" t="s">
        <v>148</v>
      </c>
      <c r="D1439" s="294"/>
      <c r="E1439" s="294"/>
      <c r="F1439" s="294">
        <v>3200</v>
      </c>
      <c r="G1439" s="8">
        <f t="shared" si="304"/>
        <v>0</v>
      </c>
      <c r="H1439" s="294">
        <f t="shared" si="305"/>
        <v>0</v>
      </c>
      <c r="I1439" s="467"/>
      <c r="J1439" s="302" t="s">
        <v>21</v>
      </c>
      <c r="K1439" s="457" t="s">
        <v>211</v>
      </c>
      <c r="L1439" s="457" t="s">
        <v>99</v>
      </c>
      <c r="M1439" s="457" t="s">
        <v>32</v>
      </c>
      <c r="N1439" s="468"/>
    </row>
    <row r="1440" spans="1:14" s="469" customFormat="1" ht="14" outlineLevel="5">
      <c r="A1440" s="470" t="s">
        <v>8</v>
      </c>
      <c r="B1440" s="471" t="s">
        <v>853</v>
      </c>
      <c r="C1440" s="338" t="s">
        <v>880</v>
      </c>
      <c r="D1440" s="294">
        <v>48</v>
      </c>
      <c r="E1440" s="294">
        <v>0</v>
      </c>
      <c r="F1440" s="294">
        <v>5</v>
      </c>
      <c r="G1440" s="8">
        <f t="shared" si="304"/>
        <v>240</v>
      </c>
      <c r="H1440" s="294">
        <f t="shared" si="305"/>
        <v>0</v>
      </c>
      <c r="I1440" s="467"/>
      <c r="J1440" s="302" t="s">
        <v>21</v>
      </c>
      <c r="K1440" s="457" t="s">
        <v>211</v>
      </c>
      <c r="L1440" s="457" t="s">
        <v>99</v>
      </c>
      <c r="M1440" s="457" t="s">
        <v>32</v>
      </c>
      <c r="N1440" s="468"/>
    </row>
    <row r="1441" spans="1:14" s="459" customFormat="1" ht="14" outlineLevel="5">
      <c r="A1441" s="452">
        <v>2</v>
      </c>
      <c r="B1441" s="476" t="s">
        <v>248</v>
      </c>
      <c r="C1441" s="464"/>
      <c r="D1441" s="385"/>
      <c r="E1441" s="385"/>
      <c r="F1441" s="385"/>
      <c r="G1441" s="385">
        <f>SUBTOTAL(9,G1442:G1457)</f>
        <v>200527.95</v>
      </c>
      <c r="H1441" s="385">
        <f>SUBTOTAL(9,H1442:H1457)</f>
        <v>0</v>
      </c>
      <c r="I1441" s="385"/>
      <c r="J1441" s="302" t="s">
        <v>21</v>
      </c>
      <c r="K1441" s="457"/>
      <c r="L1441" s="457"/>
      <c r="M1441" s="457" t="s">
        <v>32</v>
      </c>
      <c r="N1441" s="458"/>
    </row>
    <row r="1442" spans="1:14" s="469" customFormat="1" ht="14" outlineLevel="5">
      <c r="A1442" s="470" t="s">
        <v>8</v>
      </c>
      <c r="B1442" s="471" t="s">
        <v>859</v>
      </c>
      <c r="C1442" s="338" t="s">
        <v>24</v>
      </c>
      <c r="D1442" s="294"/>
      <c r="E1442" s="294"/>
      <c r="F1442" s="294">
        <v>15435</v>
      </c>
      <c r="G1442" s="8">
        <f t="shared" ref="G1442:G1457" si="310">F1442*D1442</f>
        <v>0</v>
      </c>
      <c r="H1442" s="294">
        <f t="shared" ref="H1442:H1457" si="311">F1442*E1442</f>
        <v>0</v>
      </c>
      <c r="I1442" s="467"/>
      <c r="J1442" s="302" t="s">
        <v>21</v>
      </c>
      <c r="K1442" s="457" t="s">
        <v>211</v>
      </c>
      <c r="L1442" s="457" t="s">
        <v>99</v>
      </c>
      <c r="M1442" s="457" t="s">
        <v>32</v>
      </c>
      <c r="N1442" s="468"/>
    </row>
    <row r="1443" spans="1:14" s="469" customFormat="1" ht="14" outlineLevel="5">
      <c r="A1443" s="470" t="s">
        <v>8</v>
      </c>
      <c r="B1443" s="471" t="s">
        <v>860</v>
      </c>
      <c r="C1443" s="338" t="s">
        <v>15</v>
      </c>
      <c r="D1443" s="294"/>
      <c r="E1443" s="294"/>
      <c r="F1443" s="294">
        <v>2800</v>
      </c>
      <c r="G1443" s="8">
        <f t="shared" si="310"/>
        <v>0</v>
      </c>
      <c r="H1443" s="294">
        <f t="shared" si="311"/>
        <v>0</v>
      </c>
      <c r="I1443" s="467"/>
      <c r="J1443" s="302" t="s">
        <v>21</v>
      </c>
      <c r="K1443" s="457" t="s">
        <v>211</v>
      </c>
      <c r="L1443" s="457" t="s">
        <v>99</v>
      </c>
      <c r="M1443" s="457" t="s">
        <v>32</v>
      </c>
      <c r="N1443" s="468"/>
    </row>
    <row r="1444" spans="1:14" s="469" customFormat="1" ht="14" outlineLevel="5">
      <c r="A1444" s="470" t="s">
        <v>8</v>
      </c>
      <c r="B1444" s="471" t="s">
        <v>861</v>
      </c>
      <c r="C1444" s="338" t="s">
        <v>15</v>
      </c>
      <c r="D1444" s="294"/>
      <c r="E1444" s="294"/>
      <c r="F1444" s="294">
        <v>9744</v>
      </c>
      <c r="G1444" s="8">
        <f t="shared" si="310"/>
        <v>0</v>
      </c>
      <c r="H1444" s="294">
        <f t="shared" si="311"/>
        <v>0</v>
      </c>
      <c r="I1444" s="467"/>
      <c r="J1444" s="302" t="s">
        <v>21</v>
      </c>
      <c r="K1444" s="457" t="s">
        <v>211</v>
      </c>
      <c r="L1444" s="457" t="s">
        <v>99</v>
      </c>
      <c r="M1444" s="457" t="s">
        <v>32</v>
      </c>
      <c r="N1444" s="468"/>
    </row>
    <row r="1445" spans="1:14" s="469" customFormat="1" ht="14" outlineLevel="5">
      <c r="A1445" s="470" t="s">
        <v>8</v>
      </c>
      <c r="B1445" s="471" t="s">
        <v>848</v>
      </c>
      <c r="C1445" s="338" t="s">
        <v>15</v>
      </c>
      <c r="D1445" s="294">
        <v>5</v>
      </c>
      <c r="E1445" s="294"/>
      <c r="F1445" s="294">
        <v>27636</v>
      </c>
      <c r="G1445" s="8">
        <f t="shared" si="310"/>
        <v>138180</v>
      </c>
      <c r="H1445" s="294">
        <f t="shared" si="311"/>
        <v>0</v>
      </c>
      <c r="I1445" s="467"/>
      <c r="J1445" s="302" t="s">
        <v>21</v>
      </c>
      <c r="K1445" s="457" t="s">
        <v>211</v>
      </c>
      <c r="L1445" s="457" t="s">
        <v>99</v>
      </c>
      <c r="M1445" s="457" t="s">
        <v>32</v>
      </c>
      <c r="N1445" s="468"/>
    </row>
    <row r="1446" spans="1:14" s="469" customFormat="1" ht="14" outlineLevel="5">
      <c r="A1446" s="470" t="s">
        <v>8</v>
      </c>
      <c r="B1446" s="471" t="s">
        <v>849</v>
      </c>
      <c r="C1446" s="338" t="s">
        <v>24</v>
      </c>
      <c r="D1446" s="294">
        <v>9</v>
      </c>
      <c r="E1446" s="294"/>
      <c r="F1446" s="294">
        <v>5370.75</v>
      </c>
      <c r="G1446" s="8">
        <f t="shared" si="310"/>
        <v>48336.75</v>
      </c>
      <c r="H1446" s="294">
        <f t="shared" si="311"/>
        <v>0</v>
      </c>
      <c r="I1446" s="467"/>
      <c r="J1446" s="302" t="s">
        <v>21</v>
      </c>
      <c r="K1446" s="457" t="s">
        <v>211</v>
      </c>
      <c r="L1446" s="457" t="s">
        <v>99</v>
      </c>
      <c r="M1446" s="457" t="s">
        <v>32</v>
      </c>
      <c r="N1446" s="468"/>
    </row>
    <row r="1447" spans="1:14" s="469" customFormat="1" ht="14" outlineLevel="5">
      <c r="A1447" s="470" t="s">
        <v>8</v>
      </c>
      <c r="B1447" s="471" t="s">
        <v>862</v>
      </c>
      <c r="C1447" s="338" t="s">
        <v>15</v>
      </c>
      <c r="D1447" s="294"/>
      <c r="E1447" s="294"/>
      <c r="F1447" s="294">
        <v>59910.9</v>
      </c>
      <c r="G1447" s="8">
        <f t="shared" si="310"/>
        <v>0</v>
      </c>
      <c r="H1447" s="294">
        <f t="shared" si="311"/>
        <v>0</v>
      </c>
      <c r="I1447" s="467"/>
      <c r="J1447" s="302" t="s">
        <v>21</v>
      </c>
      <c r="K1447" s="457" t="s">
        <v>211</v>
      </c>
      <c r="L1447" s="457" t="s">
        <v>99</v>
      </c>
      <c r="M1447" s="457" t="s">
        <v>32</v>
      </c>
      <c r="N1447" s="468"/>
    </row>
    <row r="1448" spans="1:14" s="469" customFormat="1" ht="14" outlineLevel="5">
      <c r="A1448" s="470" t="s">
        <v>8</v>
      </c>
      <c r="B1448" s="471" t="s">
        <v>845</v>
      </c>
      <c r="C1448" s="338" t="s">
        <v>15</v>
      </c>
      <c r="D1448" s="294"/>
      <c r="E1448" s="294"/>
      <c r="F1448" s="294">
        <v>56</v>
      </c>
      <c r="G1448" s="8">
        <f t="shared" si="310"/>
        <v>0</v>
      </c>
      <c r="H1448" s="294">
        <f t="shared" si="311"/>
        <v>0</v>
      </c>
      <c r="I1448" s="467"/>
      <c r="J1448" s="302" t="s">
        <v>21</v>
      </c>
      <c r="K1448" s="457" t="s">
        <v>211</v>
      </c>
      <c r="L1448" s="457" t="s">
        <v>99</v>
      </c>
      <c r="M1448" s="457" t="s">
        <v>32</v>
      </c>
      <c r="N1448" s="468"/>
    </row>
    <row r="1449" spans="1:14" s="469" customFormat="1" ht="14" outlineLevel="5">
      <c r="A1449" s="470" t="s">
        <v>8</v>
      </c>
      <c r="B1449" s="471" t="s">
        <v>846</v>
      </c>
      <c r="C1449" s="338" t="s">
        <v>15</v>
      </c>
      <c r="D1449" s="294"/>
      <c r="E1449" s="294"/>
      <c r="F1449" s="294">
        <v>382</v>
      </c>
      <c r="G1449" s="8">
        <f t="shared" si="310"/>
        <v>0</v>
      </c>
      <c r="H1449" s="294">
        <f t="shared" si="311"/>
        <v>0</v>
      </c>
      <c r="I1449" s="467"/>
      <c r="J1449" s="302" t="s">
        <v>21</v>
      </c>
      <c r="K1449" s="457" t="s">
        <v>211</v>
      </c>
      <c r="L1449" s="457" t="s">
        <v>99</v>
      </c>
      <c r="M1449" s="457" t="s">
        <v>32</v>
      </c>
      <c r="N1449" s="468"/>
    </row>
    <row r="1450" spans="1:14" s="469" customFormat="1" ht="14" outlineLevel="5">
      <c r="A1450" s="470" t="s">
        <v>8</v>
      </c>
      <c r="B1450" s="471" t="s">
        <v>847</v>
      </c>
      <c r="C1450" s="338" t="s">
        <v>24</v>
      </c>
      <c r="D1450" s="294"/>
      <c r="E1450" s="294"/>
      <c r="F1450" s="294">
        <v>515</v>
      </c>
      <c r="G1450" s="8">
        <f t="shared" si="310"/>
        <v>0</v>
      </c>
      <c r="H1450" s="294">
        <f t="shared" si="311"/>
        <v>0</v>
      </c>
      <c r="I1450" s="467"/>
      <c r="J1450" s="302" t="s">
        <v>21</v>
      </c>
      <c r="K1450" s="457" t="s">
        <v>211</v>
      </c>
      <c r="L1450" s="457" t="s">
        <v>99</v>
      </c>
      <c r="M1450" s="457" t="s">
        <v>32</v>
      </c>
      <c r="N1450" s="468"/>
    </row>
    <row r="1451" spans="1:14" s="469" customFormat="1" ht="14" outlineLevel="5">
      <c r="A1451" s="470" t="s">
        <v>8</v>
      </c>
      <c r="B1451" s="471" t="s">
        <v>1479</v>
      </c>
      <c r="C1451" s="338" t="s">
        <v>15</v>
      </c>
      <c r="D1451" s="294">
        <v>18</v>
      </c>
      <c r="E1451" s="294"/>
      <c r="F1451" s="294">
        <v>135</v>
      </c>
      <c r="G1451" s="8">
        <f t="shared" si="310"/>
        <v>2430</v>
      </c>
      <c r="H1451" s="294">
        <f t="shared" si="311"/>
        <v>0</v>
      </c>
      <c r="I1451" s="467"/>
      <c r="J1451" s="302" t="s">
        <v>21</v>
      </c>
      <c r="K1451" s="457" t="s">
        <v>211</v>
      </c>
      <c r="L1451" s="457" t="s">
        <v>99</v>
      </c>
      <c r="M1451" s="457" t="s">
        <v>32</v>
      </c>
      <c r="N1451" s="468"/>
    </row>
    <row r="1452" spans="1:14" s="469" customFormat="1" ht="14" outlineLevel="5">
      <c r="A1452" s="470" t="s">
        <v>8</v>
      </c>
      <c r="B1452" s="471" t="s">
        <v>1480</v>
      </c>
      <c r="C1452" s="338" t="s">
        <v>15</v>
      </c>
      <c r="D1452" s="294">
        <v>10.799999999999999</v>
      </c>
      <c r="E1452" s="294"/>
      <c r="F1452" s="294">
        <v>459</v>
      </c>
      <c r="G1452" s="8">
        <f t="shared" si="310"/>
        <v>4957.2</v>
      </c>
      <c r="H1452" s="294">
        <f t="shared" si="311"/>
        <v>0</v>
      </c>
      <c r="I1452" s="467"/>
      <c r="J1452" s="302" t="s">
        <v>21</v>
      </c>
      <c r="K1452" s="457" t="s">
        <v>211</v>
      </c>
      <c r="L1452" s="457" t="s">
        <v>99</v>
      </c>
      <c r="M1452" s="457" t="s">
        <v>32</v>
      </c>
      <c r="N1452" s="468"/>
    </row>
    <row r="1453" spans="1:14" s="469" customFormat="1" ht="14" outlineLevel="5">
      <c r="A1453" s="470" t="s">
        <v>8</v>
      </c>
      <c r="B1453" s="471" t="s">
        <v>1481</v>
      </c>
      <c r="C1453" s="338" t="s">
        <v>15</v>
      </c>
      <c r="D1453" s="294">
        <v>7.2</v>
      </c>
      <c r="E1453" s="294"/>
      <c r="F1453" s="294">
        <v>895</v>
      </c>
      <c r="G1453" s="8">
        <f t="shared" si="310"/>
        <v>6444</v>
      </c>
      <c r="H1453" s="294">
        <f t="shared" si="311"/>
        <v>0</v>
      </c>
      <c r="I1453" s="467"/>
      <c r="J1453" s="302" t="s">
        <v>21</v>
      </c>
      <c r="K1453" s="457" t="s">
        <v>211</v>
      </c>
      <c r="L1453" s="457" t="s">
        <v>99</v>
      </c>
      <c r="M1453" s="457" t="s">
        <v>32</v>
      </c>
      <c r="N1453" s="468"/>
    </row>
    <row r="1454" spans="1:14" s="469" customFormat="1" ht="14" outlineLevel="5">
      <c r="A1454" s="470" t="s">
        <v>8</v>
      </c>
      <c r="B1454" s="471" t="s">
        <v>1347</v>
      </c>
      <c r="C1454" s="338" t="s">
        <v>24</v>
      </c>
      <c r="D1454" s="294">
        <v>0</v>
      </c>
      <c r="E1454" s="294"/>
      <c r="F1454" s="294">
        <v>582</v>
      </c>
      <c r="G1454" s="8">
        <f t="shared" si="310"/>
        <v>0</v>
      </c>
      <c r="H1454" s="294">
        <f t="shared" si="311"/>
        <v>0</v>
      </c>
      <c r="I1454" s="467"/>
      <c r="J1454" s="302" t="s">
        <v>21</v>
      </c>
      <c r="K1454" s="457" t="s">
        <v>211</v>
      </c>
      <c r="L1454" s="457" t="s">
        <v>99</v>
      </c>
      <c r="M1454" s="457" t="s">
        <v>32</v>
      </c>
      <c r="N1454" s="468"/>
    </row>
    <row r="1455" spans="1:14" s="469" customFormat="1" ht="14" outlineLevel="5">
      <c r="A1455" s="470" t="s">
        <v>8</v>
      </c>
      <c r="B1455" s="471" t="s">
        <v>1482</v>
      </c>
      <c r="C1455" s="338" t="s">
        <v>15</v>
      </c>
      <c r="D1455" s="294">
        <v>0</v>
      </c>
      <c r="E1455" s="294"/>
      <c r="F1455" s="294">
        <v>3780</v>
      </c>
      <c r="G1455" s="8">
        <f t="shared" si="310"/>
        <v>0</v>
      </c>
      <c r="H1455" s="294">
        <f t="shared" si="311"/>
        <v>0</v>
      </c>
      <c r="I1455" s="467"/>
      <c r="J1455" s="302" t="s">
        <v>21</v>
      </c>
      <c r="K1455" s="457" t="s">
        <v>211</v>
      </c>
      <c r="L1455" s="457" t="s">
        <v>99</v>
      </c>
      <c r="M1455" s="457" t="s">
        <v>32</v>
      </c>
      <c r="N1455" s="468"/>
    </row>
    <row r="1456" spans="1:14" s="469" customFormat="1" ht="14" outlineLevel="5">
      <c r="A1456" s="470" t="s">
        <v>8</v>
      </c>
      <c r="B1456" s="471" t="s">
        <v>1483</v>
      </c>
      <c r="C1456" s="338" t="s">
        <v>15</v>
      </c>
      <c r="D1456" s="294">
        <v>0</v>
      </c>
      <c r="E1456" s="294"/>
      <c r="F1456" s="294">
        <v>6930</v>
      </c>
      <c r="G1456" s="8">
        <f t="shared" si="310"/>
        <v>0</v>
      </c>
      <c r="H1456" s="294">
        <f t="shared" si="311"/>
        <v>0</v>
      </c>
      <c r="I1456" s="467"/>
      <c r="J1456" s="302" t="s">
        <v>21</v>
      </c>
      <c r="K1456" s="457" t="s">
        <v>211</v>
      </c>
      <c r="L1456" s="457" t="s">
        <v>99</v>
      </c>
      <c r="M1456" s="457" t="s">
        <v>32</v>
      </c>
      <c r="N1456" s="468"/>
    </row>
    <row r="1457" spans="1:17" s="469" customFormat="1" ht="14" outlineLevel="5">
      <c r="A1457" s="470" t="s">
        <v>8</v>
      </c>
      <c r="B1457" s="471" t="s">
        <v>853</v>
      </c>
      <c r="C1457" s="338" t="s">
        <v>15</v>
      </c>
      <c r="D1457" s="294">
        <v>36</v>
      </c>
      <c r="E1457" s="294"/>
      <c r="F1457" s="294">
        <v>5</v>
      </c>
      <c r="G1457" s="8">
        <f t="shared" si="310"/>
        <v>180</v>
      </c>
      <c r="H1457" s="294">
        <f t="shared" si="311"/>
        <v>0</v>
      </c>
      <c r="I1457" s="467"/>
      <c r="J1457" s="302" t="s">
        <v>21</v>
      </c>
      <c r="K1457" s="457" t="s">
        <v>211</v>
      </c>
      <c r="L1457" s="457" t="s">
        <v>99</v>
      </c>
      <c r="M1457" s="457" t="s">
        <v>32</v>
      </c>
      <c r="N1457" s="468"/>
    </row>
    <row r="1458" spans="1:17" s="277" customFormat="1" ht="14" outlineLevel="1">
      <c r="A1458" s="280" t="s">
        <v>12</v>
      </c>
      <c r="B1458" s="242" t="s">
        <v>309</v>
      </c>
      <c r="C1458" s="341"/>
      <c r="D1458" s="331"/>
      <c r="E1458" s="331"/>
      <c r="F1458" s="331"/>
      <c r="G1458" s="331"/>
      <c r="H1458" s="283"/>
      <c r="I1458" s="331"/>
      <c r="J1458" s="302" t="s">
        <v>21</v>
      </c>
      <c r="K1458" s="254"/>
      <c r="L1458" s="254"/>
      <c r="M1458" s="275"/>
      <c r="N1458" s="275"/>
      <c r="P1458" s="278"/>
      <c r="Q1458" s="340" t="s">
        <v>147</v>
      </c>
    </row>
    <row r="1459" spans="1:17" s="264" customFormat="1" ht="14" outlineLevel="4">
      <c r="A1459" s="284"/>
      <c r="B1459" s="307" t="s">
        <v>305</v>
      </c>
      <c r="C1459" s="290" t="s">
        <v>310</v>
      </c>
      <c r="D1459" s="290"/>
      <c r="E1459" s="290"/>
      <c r="F1459" s="290"/>
      <c r="G1459" s="8">
        <f t="shared" ref="G1459:G1462" si="312">F1459*D1459</f>
        <v>0</v>
      </c>
      <c r="H1459" s="290">
        <f t="shared" ref="H1459:H1462" si="313">F1459*E1459</f>
        <v>0</v>
      </c>
      <c r="I1459" s="291"/>
      <c r="J1459" s="302" t="s">
        <v>21</v>
      </c>
      <c r="K1459" s="254" t="s">
        <v>187</v>
      </c>
      <c r="L1459" s="254"/>
      <c r="M1459" s="254" t="s">
        <v>147</v>
      </c>
      <c r="N1459" s="371"/>
      <c r="P1459" s="263"/>
      <c r="Q1459" s="340" t="s">
        <v>147</v>
      </c>
    </row>
    <row r="1460" spans="1:17" s="264" customFormat="1" ht="14" outlineLevel="4">
      <c r="A1460" s="284" t="s">
        <v>8</v>
      </c>
      <c r="B1460" s="307" t="s">
        <v>306</v>
      </c>
      <c r="C1460" s="290" t="s">
        <v>310</v>
      </c>
      <c r="D1460" s="290"/>
      <c r="E1460" s="290"/>
      <c r="F1460" s="290"/>
      <c r="G1460" s="8">
        <f t="shared" si="312"/>
        <v>0</v>
      </c>
      <c r="H1460" s="290">
        <f t="shared" si="313"/>
        <v>0</v>
      </c>
      <c r="I1460" s="291"/>
      <c r="J1460" s="302" t="s">
        <v>21</v>
      </c>
      <c r="K1460" s="254" t="s">
        <v>187</v>
      </c>
      <c r="L1460" s="254"/>
      <c r="M1460" s="254" t="s">
        <v>147</v>
      </c>
      <c r="N1460" s="371"/>
      <c r="P1460" s="263"/>
      <c r="Q1460" s="340" t="s">
        <v>147</v>
      </c>
    </row>
    <row r="1461" spans="1:17" s="264" customFormat="1" ht="14" outlineLevel="4">
      <c r="A1461" s="284" t="s">
        <v>8</v>
      </c>
      <c r="B1461" s="307" t="s">
        <v>307</v>
      </c>
      <c r="C1461" s="290" t="s">
        <v>310</v>
      </c>
      <c r="D1461" s="290"/>
      <c r="E1461" s="290"/>
      <c r="F1461" s="290"/>
      <c r="G1461" s="8">
        <f t="shared" si="312"/>
        <v>0</v>
      </c>
      <c r="H1461" s="290">
        <f t="shared" si="313"/>
        <v>0</v>
      </c>
      <c r="I1461" s="291"/>
      <c r="J1461" s="302" t="s">
        <v>21</v>
      </c>
      <c r="K1461" s="254" t="s">
        <v>187</v>
      </c>
      <c r="L1461" s="254"/>
      <c r="M1461" s="254" t="s">
        <v>147</v>
      </c>
      <c r="N1461" s="371"/>
      <c r="P1461" s="263"/>
      <c r="Q1461" s="340" t="s">
        <v>147</v>
      </c>
    </row>
    <row r="1462" spans="1:17" s="264" customFormat="1" ht="14" outlineLevel="4">
      <c r="A1462" s="292" t="s">
        <v>8</v>
      </c>
      <c r="B1462" s="307" t="s">
        <v>308</v>
      </c>
      <c r="C1462" s="290" t="s">
        <v>197</v>
      </c>
      <c r="D1462" s="290"/>
      <c r="E1462" s="290"/>
      <c r="F1462" s="290"/>
      <c r="G1462" s="8">
        <f t="shared" si="312"/>
        <v>0</v>
      </c>
      <c r="H1462" s="290">
        <f t="shared" si="313"/>
        <v>0</v>
      </c>
      <c r="I1462" s="291"/>
      <c r="J1462" s="302" t="s">
        <v>21</v>
      </c>
      <c r="K1462" s="254" t="s">
        <v>187</v>
      </c>
      <c r="L1462" s="254"/>
      <c r="M1462" s="254" t="s">
        <v>147</v>
      </c>
      <c r="N1462" s="371"/>
      <c r="P1462" s="263"/>
      <c r="Q1462" s="340" t="s">
        <v>147</v>
      </c>
    </row>
    <row r="1463" spans="1:17" s="277" customFormat="1" ht="14" outlineLevel="1">
      <c r="A1463" s="280" t="s">
        <v>19</v>
      </c>
      <c r="B1463" s="242" t="s">
        <v>311</v>
      </c>
      <c r="C1463" s="341"/>
      <c r="D1463" s="331"/>
      <c r="E1463" s="331"/>
      <c r="F1463" s="331"/>
      <c r="G1463" s="331"/>
      <c r="H1463" s="283"/>
      <c r="I1463" s="331"/>
      <c r="J1463" s="302" t="s">
        <v>21</v>
      </c>
      <c r="K1463" s="254"/>
      <c r="L1463" s="254"/>
      <c r="M1463" s="275"/>
      <c r="N1463" s="275"/>
      <c r="P1463" s="278"/>
      <c r="Q1463" s="340" t="s">
        <v>147</v>
      </c>
    </row>
    <row r="1464" spans="1:17" s="264" customFormat="1" ht="14" outlineLevel="4">
      <c r="A1464" s="284"/>
      <c r="B1464" s="364" t="s">
        <v>312</v>
      </c>
      <c r="C1464" s="289" t="s">
        <v>9</v>
      </c>
      <c r="D1464" s="290"/>
      <c r="E1464" s="290"/>
      <c r="F1464" s="290"/>
      <c r="G1464" s="8">
        <f t="shared" ref="G1464:G1465" si="314">F1464*D1464</f>
        <v>0</v>
      </c>
      <c r="H1464" s="290">
        <f t="shared" ref="H1464:H1465" si="315">F1464*E1464</f>
        <v>0</v>
      </c>
      <c r="I1464" s="291"/>
      <c r="J1464" s="302" t="s">
        <v>21</v>
      </c>
      <c r="K1464" s="254" t="s">
        <v>187</v>
      </c>
      <c r="L1464" s="254"/>
      <c r="M1464" s="254" t="s">
        <v>147</v>
      </c>
      <c r="N1464" s="371"/>
      <c r="P1464" s="263"/>
      <c r="Q1464" s="340" t="s">
        <v>147</v>
      </c>
    </row>
    <row r="1465" spans="1:17" s="264" customFormat="1" ht="28" outlineLevel="4">
      <c r="A1465" s="284"/>
      <c r="B1465" s="362" t="s">
        <v>313</v>
      </c>
      <c r="C1465" s="289" t="s">
        <v>9</v>
      </c>
      <c r="D1465" s="290"/>
      <c r="E1465" s="290"/>
      <c r="F1465" s="290"/>
      <c r="G1465" s="8">
        <f t="shared" si="314"/>
        <v>0</v>
      </c>
      <c r="H1465" s="290">
        <f t="shared" si="315"/>
        <v>0</v>
      </c>
      <c r="I1465" s="291"/>
      <c r="J1465" s="302" t="s">
        <v>21</v>
      </c>
      <c r="K1465" s="254" t="s">
        <v>187</v>
      </c>
      <c r="L1465" s="254"/>
      <c r="M1465" s="254" t="s">
        <v>147</v>
      </c>
      <c r="N1465" s="371"/>
      <c r="P1465" s="263"/>
      <c r="Q1465" s="340" t="s">
        <v>147</v>
      </c>
    </row>
    <row r="1466" spans="1:17" s="277" customFormat="1" ht="14" outlineLevel="1">
      <c r="A1466" s="280" t="s">
        <v>19</v>
      </c>
      <c r="B1466" s="242" t="s">
        <v>270</v>
      </c>
      <c r="C1466" s="341"/>
      <c r="D1466" s="331"/>
      <c r="E1466" s="331"/>
      <c r="F1466" s="331"/>
      <c r="G1466" s="331">
        <f>SUBTOTAL(9,G1467:G1543)</f>
        <v>3941852.5</v>
      </c>
      <c r="H1466" s="331">
        <f>SUBTOTAL(9,H1467:H1543)</f>
        <v>4229852.5</v>
      </c>
      <c r="I1466" s="284"/>
      <c r="J1466" s="302" t="s">
        <v>21</v>
      </c>
      <c r="K1466" s="254"/>
      <c r="L1466" s="254"/>
      <c r="M1466" s="275"/>
      <c r="N1466" s="275"/>
      <c r="P1466" s="278"/>
      <c r="Q1466" s="340" t="s">
        <v>147</v>
      </c>
    </row>
    <row r="1467" spans="1:17" s="308" customFormat="1" ht="14" outlineLevel="4">
      <c r="A1467" s="328">
        <v>1</v>
      </c>
      <c r="B1467" s="242" t="s">
        <v>803</v>
      </c>
      <c r="C1467" s="289"/>
      <c r="D1467" s="290"/>
      <c r="E1467" s="290"/>
      <c r="F1467" s="290"/>
      <c r="G1467" s="283">
        <f>SUBTOTAL(9,G1468:G1470)</f>
        <v>576000</v>
      </c>
      <c r="H1467" s="283">
        <f>SUBTOTAL(9,H1468:H1470)</f>
        <v>576000</v>
      </c>
      <c r="I1467" s="291"/>
      <c r="J1467" s="302" t="s">
        <v>21</v>
      </c>
      <c r="K1467" s="368"/>
      <c r="L1467" s="303"/>
      <c r="M1467" s="303"/>
      <c r="N1467" s="303"/>
      <c r="P1467" s="309"/>
    </row>
    <row r="1468" spans="1:17" s="308" customFormat="1" ht="14" outlineLevel="4">
      <c r="A1468" s="292"/>
      <c r="B1468" s="372" t="s">
        <v>1334</v>
      </c>
      <c r="C1468" s="289" t="s">
        <v>804</v>
      </c>
      <c r="D1468" s="290">
        <v>8</v>
      </c>
      <c r="E1468" s="290">
        <v>8</v>
      </c>
      <c r="F1468" s="290">
        <v>27000</v>
      </c>
      <c r="G1468" s="8">
        <f t="shared" ref="G1468:G1470" si="316">F1468*D1468</f>
        <v>216000</v>
      </c>
      <c r="H1468" s="290">
        <f t="shared" ref="H1468" si="317">F1468*E1468</f>
        <v>216000</v>
      </c>
      <c r="I1468" s="291"/>
      <c r="J1468" s="302" t="s">
        <v>21</v>
      </c>
      <c r="K1468" s="368" t="s">
        <v>211</v>
      </c>
      <c r="L1468" s="303"/>
      <c r="M1468" s="303" t="s">
        <v>147</v>
      </c>
      <c r="N1468" s="325"/>
      <c r="P1468" s="309"/>
    </row>
    <row r="1469" spans="1:17" s="308" customFormat="1" ht="14" outlineLevel="4">
      <c r="A1469" s="292"/>
      <c r="B1469" s="372" t="s">
        <v>1335</v>
      </c>
      <c r="C1469" s="289" t="s">
        <v>744</v>
      </c>
      <c r="D1469" s="290">
        <v>30</v>
      </c>
      <c r="E1469" s="290">
        <v>30</v>
      </c>
      <c r="F1469" s="290">
        <v>5000</v>
      </c>
      <c r="G1469" s="8">
        <f t="shared" si="316"/>
        <v>150000</v>
      </c>
      <c r="H1469" s="290">
        <f t="shared" ref="H1469:H1470" si="318">F1469*E1469</f>
        <v>150000</v>
      </c>
      <c r="I1469" s="291"/>
      <c r="J1469" s="302" t="s">
        <v>21</v>
      </c>
      <c r="K1469" s="368" t="s">
        <v>211</v>
      </c>
      <c r="L1469" s="303"/>
      <c r="M1469" s="303" t="s">
        <v>147</v>
      </c>
      <c r="N1469" s="325"/>
      <c r="P1469" s="309"/>
    </row>
    <row r="1470" spans="1:17" s="308" customFormat="1" ht="14" outlineLevel="4">
      <c r="A1470" s="292"/>
      <c r="B1470" s="373" t="s">
        <v>1336</v>
      </c>
      <c r="C1470" s="289" t="s">
        <v>744</v>
      </c>
      <c r="D1470" s="290">
        <v>60</v>
      </c>
      <c r="E1470" s="290">
        <v>60</v>
      </c>
      <c r="F1470" s="290">
        <v>3500</v>
      </c>
      <c r="G1470" s="8">
        <f t="shared" si="316"/>
        <v>210000</v>
      </c>
      <c r="H1470" s="290">
        <f t="shared" si="318"/>
        <v>210000</v>
      </c>
      <c r="I1470" s="291"/>
      <c r="J1470" s="302" t="s">
        <v>21</v>
      </c>
      <c r="K1470" s="368" t="s">
        <v>211</v>
      </c>
      <c r="L1470" s="303"/>
      <c r="M1470" s="303" t="s">
        <v>147</v>
      </c>
      <c r="N1470" s="325"/>
      <c r="P1470" s="309"/>
    </row>
    <row r="1471" spans="1:17" s="308" customFormat="1" ht="14" outlineLevel="4">
      <c r="A1471" s="328">
        <v>2</v>
      </c>
      <c r="B1471" s="242" t="s">
        <v>805</v>
      </c>
      <c r="C1471" s="289"/>
      <c r="D1471" s="290"/>
      <c r="E1471" s="290"/>
      <c r="F1471" s="290"/>
      <c r="G1471" s="283">
        <f>SUBTOTAL(9,G1472:G1474)</f>
        <v>1054080</v>
      </c>
      <c r="H1471" s="283">
        <f>SUBTOTAL(9,H1472:H1474)</f>
        <v>1054080</v>
      </c>
      <c r="I1471" s="291"/>
      <c r="J1471" s="302" t="s">
        <v>21</v>
      </c>
      <c r="K1471" s="368"/>
      <c r="L1471" s="303"/>
      <c r="M1471" s="303"/>
      <c r="N1471" s="303"/>
      <c r="P1471" s="309"/>
    </row>
    <row r="1472" spans="1:17" s="308" customFormat="1" ht="14" outlineLevel="4">
      <c r="A1472" s="292"/>
      <c r="B1472" s="372" t="s">
        <v>783</v>
      </c>
      <c r="C1472" s="289" t="s">
        <v>30</v>
      </c>
      <c r="D1472" s="290">
        <v>840</v>
      </c>
      <c r="E1472" s="290">
        <v>840</v>
      </c>
      <c r="F1472" s="290">
        <v>1032</v>
      </c>
      <c r="G1472" s="8">
        <f t="shared" ref="G1472:G1474" si="319">F1472*D1472</f>
        <v>866880</v>
      </c>
      <c r="H1472" s="290">
        <f t="shared" ref="H1472:H1474" si="320">F1472*E1472</f>
        <v>866880</v>
      </c>
      <c r="I1472" s="291"/>
      <c r="J1472" s="302" t="s">
        <v>21</v>
      </c>
      <c r="K1472" s="368" t="s">
        <v>211</v>
      </c>
      <c r="L1472" s="303"/>
      <c r="M1472" s="303" t="s">
        <v>147</v>
      </c>
      <c r="N1472" s="325"/>
      <c r="P1472" s="309"/>
    </row>
    <row r="1473" spans="1:16" s="308" customFormat="1" ht="14" outlineLevel="4">
      <c r="A1473" s="292"/>
      <c r="B1473" s="372" t="s">
        <v>806</v>
      </c>
      <c r="C1473" s="289" t="s">
        <v>30</v>
      </c>
      <c r="D1473" s="290">
        <v>840</v>
      </c>
      <c r="E1473" s="290">
        <v>840</v>
      </c>
      <c r="F1473" s="290">
        <v>80</v>
      </c>
      <c r="G1473" s="8">
        <f t="shared" si="319"/>
        <v>67200</v>
      </c>
      <c r="H1473" s="290">
        <f t="shared" si="320"/>
        <v>67200</v>
      </c>
      <c r="I1473" s="291"/>
      <c r="J1473" s="302" t="s">
        <v>21</v>
      </c>
      <c r="K1473" s="368" t="s">
        <v>211</v>
      </c>
      <c r="L1473" s="303"/>
      <c r="M1473" s="303" t="s">
        <v>147</v>
      </c>
      <c r="N1473" s="325"/>
      <c r="P1473" s="309"/>
    </row>
    <row r="1474" spans="1:16" s="308" customFormat="1" ht="14" outlineLevel="4">
      <c r="A1474" s="292"/>
      <c r="B1474" s="373" t="s">
        <v>807</v>
      </c>
      <c r="C1474" s="289" t="s">
        <v>30</v>
      </c>
      <c r="D1474" s="290">
        <v>150</v>
      </c>
      <c r="E1474" s="290">
        <v>150</v>
      </c>
      <c r="F1474" s="290">
        <v>800</v>
      </c>
      <c r="G1474" s="8">
        <f t="shared" si="319"/>
        <v>120000</v>
      </c>
      <c r="H1474" s="290">
        <f t="shared" si="320"/>
        <v>120000</v>
      </c>
      <c r="I1474" s="291"/>
      <c r="J1474" s="302" t="s">
        <v>21</v>
      </c>
      <c r="K1474" s="368" t="s">
        <v>211</v>
      </c>
      <c r="L1474" s="303"/>
      <c r="M1474" s="303" t="s">
        <v>147</v>
      </c>
      <c r="N1474" s="325"/>
      <c r="P1474" s="309"/>
    </row>
    <row r="1475" spans="1:16" s="308" customFormat="1" ht="14" outlineLevel="4">
      <c r="A1475" s="328">
        <v>3</v>
      </c>
      <c r="B1475" s="242" t="s">
        <v>808</v>
      </c>
      <c r="C1475" s="289"/>
      <c r="D1475" s="290"/>
      <c r="E1475" s="290"/>
      <c r="F1475" s="290"/>
      <c r="G1475" s="283">
        <f>SUBTOTAL(9,G1476:G1504)</f>
        <v>1949060</v>
      </c>
      <c r="H1475" s="283">
        <f>SUBTOTAL(9,H1476:H1504)</f>
        <v>2237060</v>
      </c>
      <c r="I1475" s="291"/>
      <c r="J1475" s="302" t="s">
        <v>21</v>
      </c>
      <c r="K1475" s="368"/>
      <c r="L1475" s="303"/>
      <c r="M1475" s="303"/>
      <c r="N1475" s="303"/>
      <c r="P1475" s="309"/>
    </row>
    <row r="1476" spans="1:16" s="308" customFormat="1" ht="14" outlineLevel="4">
      <c r="A1476" s="292"/>
      <c r="B1476" s="372" t="s">
        <v>781</v>
      </c>
      <c r="C1476" s="289" t="s">
        <v>30</v>
      </c>
      <c r="D1476" s="290">
        <v>510</v>
      </c>
      <c r="E1476" s="290">
        <v>750</v>
      </c>
      <c r="F1476" s="290">
        <v>550</v>
      </c>
      <c r="G1476" s="8">
        <f t="shared" ref="G1476:G1504" si="321">F1476*D1476</f>
        <v>280500</v>
      </c>
      <c r="H1476" s="294">
        <f t="shared" ref="H1476:H1480" si="322">F1476*E1476</f>
        <v>412500</v>
      </c>
      <c r="I1476" s="291"/>
      <c r="J1476" s="302" t="s">
        <v>21</v>
      </c>
      <c r="K1476" s="368" t="s">
        <v>211</v>
      </c>
      <c r="L1476" s="303"/>
      <c r="M1476" s="303" t="s">
        <v>147</v>
      </c>
      <c r="N1476" s="325"/>
      <c r="P1476" s="309"/>
    </row>
    <row r="1477" spans="1:16" s="308" customFormat="1" ht="14" outlineLevel="4">
      <c r="A1477" s="292"/>
      <c r="B1477" s="372" t="s">
        <v>782</v>
      </c>
      <c r="C1477" s="289" t="s">
        <v>30</v>
      </c>
      <c r="D1477" s="290">
        <v>510</v>
      </c>
      <c r="E1477" s="290">
        <v>510</v>
      </c>
      <c r="F1477" s="290">
        <v>918</v>
      </c>
      <c r="G1477" s="8">
        <f t="shared" si="321"/>
        <v>468180</v>
      </c>
      <c r="H1477" s="294">
        <f t="shared" si="322"/>
        <v>468180</v>
      </c>
      <c r="I1477" s="291"/>
      <c r="J1477" s="302" t="s">
        <v>21</v>
      </c>
      <c r="K1477" s="368" t="s">
        <v>211</v>
      </c>
      <c r="L1477" s="303"/>
      <c r="M1477" s="303" t="s">
        <v>147</v>
      </c>
      <c r="N1477" s="325"/>
      <c r="P1477" s="309"/>
    </row>
    <row r="1478" spans="1:16" s="308" customFormat="1" ht="14" outlineLevel="4">
      <c r="A1478" s="292"/>
      <c r="B1478" s="373" t="s">
        <v>783</v>
      </c>
      <c r="C1478" s="289" t="s">
        <v>30</v>
      </c>
      <c r="D1478" s="290">
        <v>36</v>
      </c>
      <c r="E1478" s="290">
        <v>36</v>
      </c>
      <c r="F1478" s="290">
        <v>1080</v>
      </c>
      <c r="G1478" s="8">
        <f t="shared" si="321"/>
        <v>38880</v>
      </c>
      <c r="H1478" s="294">
        <f t="shared" si="322"/>
        <v>38880</v>
      </c>
      <c r="I1478" s="291"/>
      <c r="J1478" s="302" t="s">
        <v>21</v>
      </c>
      <c r="K1478" s="368" t="s">
        <v>211</v>
      </c>
      <c r="L1478" s="303"/>
      <c r="M1478" s="303" t="s">
        <v>147</v>
      </c>
      <c r="N1478" s="325"/>
      <c r="P1478" s="309"/>
    </row>
    <row r="1479" spans="1:16" s="308" customFormat="1" ht="14" outlineLevel="4">
      <c r="A1479" s="292"/>
      <c r="B1479" s="372" t="s">
        <v>809</v>
      </c>
      <c r="C1479" s="289" t="s">
        <v>30</v>
      </c>
      <c r="D1479" s="290">
        <v>150</v>
      </c>
      <c r="E1479" s="290">
        <v>150</v>
      </c>
      <c r="F1479" s="290">
        <v>918</v>
      </c>
      <c r="G1479" s="8">
        <f t="shared" si="321"/>
        <v>137700</v>
      </c>
      <c r="H1479" s="294">
        <f t="shared" si="322"/>
        <v>137700</v>
      </c>
      <c r="I1479" s="291"/>
      <c r="J1479" s="302" t="s">
        <v>21</v>
      </c>
      <c r="K1479" s="368" t="s">
        <v>211</v>
      </c>
      <c r="L1479" s="303"/>
      <c r="M1479" s="303" t="s">
        <v>147</v>
      </c>
      <c r="N1479" s="325"/>
      <c r="P1479" s="309"/>
    </row>
    <row r="1480" spans="1:16" s="308" customFormat="1" ht="28" outlineLevel="4">
      <c r="A1480" s="292"/>
      <c r="B1480" s="372" t="s">
        <v>810</v>
      </c>
      <c r="C1480" s="289" t="s">
        <v>197</v>
      </c>
      <c r="D1480" s="290">
        <v>45000</v>
      </c>
      <c r="E1480" s="290">
        <v>45000</v>
      </c>
      <c r="F1480" s="290">
        <v>4.2</v>
      </c>
      <c r="G1480" s="8">
        <f t="shared" si="321"/>
        <v>189000</v>
      </c>
      <c r="H1480" s="294">
        <f t="shared" si="322"/>
        <v>189000</v>
      </c>
      <c r="I1480" s="291"/>
      <c r="J1480" s="302" t="s">
        <v>21</v>
      </c>
      <c r="K1480" s="368" t="s">
        <v>211</v>
      </c>
      <c r="L1480" s="303"/>
      <c r="M1480" s="303" t="s">
        <v>147</v>
      </c>
      <c r="N1480" s="325"/>
      <c r="P1480" s="309"/>
    </row>
    <row r="1481" spans="1:16" s="308" customFormat="1" ht="28" outlineLevel="4">
      <c r="A1481" s="292"/>
      <c r="B1481" s="372" t="s">
        <v>811</v>
      </c>
      <c r="C1481" s="289" t="s">
        <v>197</v>
      </c>
      <c r="D1481" s="290">
        <v>30000</v>
      </c>
      <c r="E1481" s="290">
        <v>30000</v>
      </c>
      <c r="F1481" s="290">
        <v>5</v>
      </c>
      <c r="G1481" s="8">
        <f t="shared" si="321"/>
        <v>150000</v>
      </c>
      <c r="H1481" s="294">
        <f t="shared" ref="H1481:H1492" si="323">F1481*E1481</f>
        <v>150000</v>
      </c>
      <c r="I1481" s="291"/>
      <c r="J1481" s="302" t="s">
        <v>21</v>
      </c>
      <c r="K1481" s="368" t="s">
        <v>211</v>
      </c>
      <c r="L1481" s="303"/>
      <c r="M1481" s="303" t="s">
        <v>147</v>
      </c>
      <c r="N1481" s="325"/>
      <c r="P1481" s="309"/>
    </row>
    <row r="1482" spans="1:16" s="308" customFormat="1" ht="28" outlineLevel="4">
      <c r="A1482" s="292"/>
      <c r="B1482" s="372" t="s">
        <v>812</v>
      </c>
      <c r="C1482" s="289" t="s">
        <v>197</v>
      </c>
      <c r="D1482" s="290"/>
      <c r="E1482" s="290"/>
      <c r="F1482" s="290">
        <v>15</v>
      </c>
      <c r="G1482" s="8">
        <f t="shared" si="321"/>
        <v>0</v>
      </c>
      <c r="H1482" s="290">
        <f t="shared" si="323"/>
        <v>0</v>
      </c>
      <c r="I1482" s="291"/>
      <c r="J1482" s="302" t="s">
        <v>21</v>
      </c>
      <c r="K1482" s="368" t="s">
        <v>211</v>
      </c>
      <c r="L1482" s="303"/>
      <c r="M1482" s="303" t="s">
        <v>147</v>
      </c>
      <c r="N1482" s="325"/>
      <c r="P1482" s="309"/>
    </row>
    <row r="1483" spans="1:16" s="308" customFormat="1" ht="14" outlineLevel="4">
      <c r="A1483" s="292"/>
      <c r="B1483" s="373" t="s">
        <v>813</v>
      </c>
      <c r="C1483" s="289" t="s">
        <v>380</v>
      </c>
      <c r="D1483" s="290">
        <v>60000</v>
      </c>
      <c r="E1483" s="290">
        <v>60000</v>
      </c>
      <c r="F1483" s="314">
        <v>0.4</v>
      </c>
      <c r="G1483" s="8">
        <f t="shared" si="321"/>
        <v>24000</v>
      </c>
      <c r="H1483" s="294">
        <f t="shared" si="323"/>
        <v>24000</v>
      </c>
      <c r="I1483" s="291"/>
      <c r="J1483" s="302" t="s">
        <v>21</v>
      </c>
      <c r="K1483" s="368" t="s">
        <v>211</v>
      </c>
      <c r="L1483" s="303"/>
      <c r="M1483" s="303" t="s">
        <v>147</v>
      </c>
      <c r="N1483" s="325"/>
      <c r="P1483" s="309"/>
    </row>
    <row r="1484" spans="1:16" s="308" customFormat="1" ht="14" outlineLevel="4">
      <c r="A1484" s="292"/>
      <c r="B1484" s="372" t="s">
        <v>814</v>
      </c>
      <c r="C1484" s="289" t="s">
        <v>36</v>
      </c>
      <c r="D1484" s="290">
        <v>60000</v>
      </c>
      <c r="E1484" s="290">
        <v>60000</v>
      </c>
      <c r="F1484" s="314">
        <v>1.65</v>
      </c>
      <c r="G1484" s="8">
        <f t="shared" si="321"/>
        <v>99000</v>
      </c>
      <c r="H1484" s="294">
        <f t="shared" si="323"/>
        <v>99000</v>
      </c>
      <c r="I1484" s="291"/>
      <c r="J1484" s="302" t="s">
        <v>21</v>
      </c>
      <c r="K1484" s="368" t="s">
        <v>211</v>
      </c>
      <c r="L1484" s="303"/>
      <c r="M1484" s="303" t="s">
        <v>147</v>
      </c>
      <c r="N1484" s="325"/>
      <c r="P1484" s="309"/>
    </row>
    <row r="1485" spans="1:16" s="308" customFormat="1" ht="14" outlineLevel="4">
      <c r="A1485" s="292"/>
      <c r="B1485" s="372" t="s">
        <v>242</v>
      </c>
      <c r="C1485" s="289" t="s">
        <v>15</v>
      </c>
      <c r="D1485" s="290">
        <v>60000</v>
      </c>
      <c r="E1485" s="290">
        <v>60000</v>
      </c>
      <c r="F1485" s="314">
        <v>0.2</v>
      </c>
      <c r="G1485" s="8">
        <f t="shared" si="321"/>
        <v>12000</v>
      </c>
      <c r="H1485" s="294">
        <f t="shared" si="323"/>
        <v>12000</v>
      </c>
      <c r="I1485" s="291"/>
      <c r="J1485" s="302" t="s">
        <v>21</v>
      </c>
      <c r="K1485" s="368" t="s">
        <v>211</v>
      </c>
      <c r="L1485" s="303"/>
      <c r="M1485" s="303" t="s">
        <v>147</v>
      </c>
      <c r="N1485" s="325"/>
      <c r="P1485" s="309"/>
    </row>
    <row r="1486" spans="1:16" s="308" customFormat="1" ht="14" outlineLevel="4">
      <c r="A1486" s="292"/>
      <c r="B1486" s="373" t="s">
        <v>815</v>
      </c>
      <c r="C1486" s="289" t="s">
        <v>24</v>
      </c>
      <c r="D1486" s="290"/>
      <c r="E1486" s="290"/>
      <c r="F1486" s="290">
        <v>3</v>
      </c>
      <c r="G1486" s="8">
        <f t="shared" si="321"/>
        <v>0</v>
      </c>
      <c r="H1486" s="290">
        <f t="shared" si="323"/>
        <v>0</v>
      </c>
      <c r="I1486" s="291"/>
      <c r="J1486" s="302" t="s">
        <v>21</v>
      </c>
      <c r="K1486" s="368" t="s">
        <v>211</v>
      </c>
      <c r="L1486" s="303"/>
      <c r="M1486" s="303" t="s">
        <v>147</v>
      </c>
      <c r="N1486" s="325"/>
      <c r="P1486" s="309"/>
    </row>
    <row r="1487" spans="1:16" s="308" customFormat="1" ht="14" outlineLevel="4">
      <c r="A1487" s="292"/>
      <c r="B1487" s="372" t="s">
        <v>816</v>
      </c>
      <c r="C1487" s="289" t="s">
        <v>197</v>
      </c>
      <c r="D1487" s="290">
        <v>1000</v>
      </c>
      <c r="E1487" s="290">
        <v>1000</v>
      </c>
      <c r="F1487" s="290">
        <v>15</v>
      </c>
      <c r="G1487" s="8">
        <f t="shared" si="321"/>
        <v>15000</v>
      </c>
      <c r="H1487" s="290">
        <f t="shared" si="323"/>
        <v>15000</v>
      </c>
      <c r="I1487" s="291"/>
      <c r="J1487" s="302" t="s">
        <v>21</v>
      </c>
      <c r="K1487" s="368" t="s">
        <v>211</v>
      </c>
      <c r="L1487" s="303"/>
      <c r="M1487" s="303" t="s">
        <v>147</v>
      </c>
      <c r="N1487" s="325"/>
      <c r="P1487" s="309"/>
    </row>
    <row r="1488" spans="1:16" s="308" customFormat="1" ht="14" outlineLevel="4">
      <c r="A1488" s="292"/>
      <c r="B1488" s="372" t="s">
        <v>784</v>
      </c>
      <c r="C1488" s="289" t="s">
        <v>197</v>
      </c>
      <c r="D1488" s="290">
        <v>1000</v>
      </c>
      <c r="E1488" s="290">
        <v>1000</v>
      </c>
      <c r="F1488" s="290">
        <v>9.5</v>
      </c>
      <c r="G1488" s="8">
        <f t="shared" si="321"/>
        <v>9500</v>
      </c>
      <c r="H1488" s="290">
        <f t="shared" si="323"/>
        <v>9500</v>
      </c>
      <c r="I1488" s="291"/>
      <c r="J1488" s="302" t="s">
        <v>21</v>
      </c>
      <c r="K1488" s="368" t="s">
        <v>211</v>
      </c>
      <c r="L1488" s="303"/>
      <c r="M1488" s="303" t="s">
        <v>147</v>
      </c>
      <c r="N1488" s="325"/>
      <c r="P1488" s="309"/>
    </row>
    <row r="1489" spans="1:16" s="308" customFormat="1" ht="14" outlineLevel="4">
      <c r="A1489" s="292"/>
      <c r="B1489" s="373" t="s">
        <v>817</v>
      </c>
      <c r="C1489" s="289" t="s">
        <v>197</v>
      </c>
      <c r="D1489" s="290">
        <v>1000</v>
      </c>
      <c r="E1489" s="290">
        <v>1000</v>
      </c>
      <c r="F1489" s="290">
        <v>24</v>
      </c>
      <c r="G1489" s="8">
        <f t="shared" si="321"/>
        <v>24000</v>
      </c>
      <c r="H1489" s="290">
        <f t="shared" si="323"/>
        <v>24000</v>
      </c>
      <c r="I1489" s="291"/>
      <c r="J1489" s="302" t="s">
        <v>21</v>
      </c>
      <c r="K1489" s="368" t="s">
        <v>211</v>
      </c>
      <c r="L1489" s="303"/>
      <c r="M1489" s="303" t="s">
        <v>147</v>
      </c>
      <c r="N1489" s="325"/>
      <c r="P1489" s="309"/>
    </row>
    <row r="1490" spans="1:16" s="308" customFormat="1" ht="14" outlineLevel="4">
      <c r="A1490" s="292"/>
      <c r="B1490" s="372" t="s">
        <v>818</v>
      </c>
      <c r="C1490" s="289" t="s">
        <v>197</v>
      </c>
      <c r="D1490" s="290">
        <v>1500</v>
      </c>
      <c r="E1490" s="290">
        <v>1500</v>
      </c>
      <c r="F1490" s="290">
        <v>10</v>
      </c>
      <c r="G1490" s="8">
        <f t="shared" si="321"/>
        <v>15000</v>
      </c>
      <c r="H1490" s="290">
        <f t="shared" si="323"/>
        <v>15000</v>
      </c>
      <c r="I1490" s="291"/>
      <c r="J1490" s="302" t="s">
        <v>21</v>
      </c>
      <c r="K1490" s="368" t="s">
        <v>211</v>
      </c>
      <c r="L1490" s="303"/>
      <c r="M1490" s="303" t="s">
        <v>147</v>
      </c>
      <c r="N1490" s="325"/>
      <c r="P1490" s="309"/>
    </row>
    <row r="1491" spans="1:16" s="308" customFormat="1" ht="14" outlineLevel="4">
      <c r="A1491" s="292"/>
      <c r="B1491" s="372" t="s">
        <v>819</v>
      </c>
      <c r="C1491" s="289" t="s">
        <v>197</v>
      </c>
      <c r="D1491" s="290"/>
      <c r="E1491" s="290"/>
      <c r="F1491" s="290">
        <v>10</v>
      </c>
      <c r="G1491" s="8">
        <f t="shared" si="321"/>
        <v>0</v>
      </c>
      <c r="H1491" s="290">
        <f t="shared" si="323"/>
        <v>0</v>
      </c>
      <c r="I1491" s="291"/>
      <c r="J1491" s="302" t="s">
        <v>21</v>
      </c>
      <c r="K1491" s="368" t="s">
        <v>211</v>
      </c>
      <c r="L1491" s="303"/>
      <c r="M1491" s="303" t="s">
        <v>147</v>
      </c>
      <c r="N1491" s="325"/>
      <c r="P1491" s="309"/>
    </row>
    <row r="1492" spans="1:16" s="308" customFormat="1" ht="14" outlineLevel="4">
      <c r="A1492" s="292"/>
      <c r="B1492" s="373" t="s">
        <v>820</v>
      </c>
      <c r="C1492" s="289" t="s">
        <v>197</v>
      </c>
      <c r="D1492" s="290">
        <v>1500</v>
      </c>
      <c r="E1492" s="290">
        <v>1500</v>
      </c>
      <c r="F1492" s="290">
        <v>15</v>
      </c>
      <c r="G1492" s="8">
        <f t="shared" si="321"/>
        <v>22500</v>
      </c>
      <c r="H1492" s="290">
        <f t="shared" si="323"/>
        <v>22500</v>
      </c>
      <c r="I1492" s="291"/>
      <c r="J1492" s="302" t="s">
        <v>21</v>
      </c>
      <c r="K1492" s="368" t="s">
        <v>211</v>
      </c>
      <c r="L1492" s="303"/>
      <c r="M1492" s="303" t="s">
        <v>147</v>
      </c>
      <c r="N1492" s="325"/>
      <c r="P1492" s="309"/>
    </row>
    <row r="1493" spans="1:16" s="308" customFormat="1" ht="14" outlineLevel="4">
      <c r="A1493" s="292"/>
      <c r="B1493" s="372" t="s">
        <v>732</v>
      </c>
      <c r="C1493" s="289" t="s">
        <v>48</v>
      </c>
      <c r="D1493" s="290">
        <v>5000</v>
      </c>
      <c r="E1493" s="290">
        <v>8000</v>
      </c>
      <c r="F1493" s="290">
        <v>52</v>
      </c>
      <c r="G1493" s="8">
        <f t="shared" si="321"/>
        <v>260000</v>
      </c>
      <c r="H1493" s="290">
        <f t="shared" ref="H1493:H1498" si="324">F1493*E1493</f>
        <v>416000</v>
      </c>
      <c r="I1493" s="291"/>
      <c r="J1493" s="302" t="s">
        <v>21</v>
      </c>
      <c r="K1493" s="368" t="s">
        <v>211</v>
      </c>
      <c r="L1493" s="303"/>
      <c r="M1493" s="303" t="s">
        <v>147</v>
      </c>
      <c r="N1493" s="325"/>
      <c r="P1493" s="309"/>
    </row>
    <row r="1494" spans="1:16" s="308" customFormat="1" ht="14" outlineLevel="4">
      <c r="A1494" s="292"/>
      <c r="B1494" s="372" t="s">
        <v>821</v>
      </c>
      <c r="C1494" s="289" t="s">
        <v>197</v>
      </c>
      <c r="D1494" s="290">
        <v>150</v>
      </c>
      <c r="E1494" s="290">
        <v>150</v>
      </c>
      <c r="F1494" s="290">
        <v>120</v>
      </c>
      <c r="G1494" s="8">
        <f t="shared" si="321"/>
        <v>18000</v>
      </c>
      <c r="H1494" s="290">
        <f t="shared" si="324"/>
        <v>18000</v>
      </c>
      <c r="I1494" s="291"/>
      <c r="J1494" s="302" t="s">
        <v>21</v>
      </c>
      <c r="K1494" s="368" t="s">
        <v>211</v>
      </c>
      <c r="L1494" s="303"/>
      <c r="M1494" s="303" t="s">
        <v>147</v>
      </c>
      <c r="N1494" s="325"/>
      <c r="P1494" s="309"/>
    </row>
    <row r="1495" spans="1:16" s="308" customFormat="1" ht="14" outlineLevel="4">
      <c r="A1495" s="292"/>
      <c r="B1495" s="373" t="s">
        <v>822</v>
      </c>
      <c r="C1495" s="289" t="s">
        <v>832</v>
      </c>
      <c r="D1495" s="290">
        <v>10000</v>
      </c>
      <c r="E1495" s="290">
        <v>10000</v>
      </c>
      <c r="F1495" s="290">
        <v>0.2</v>
      </c>
      <c r="G1495" s="8">
        <f t="shared" si="321"/>
        <v>2000</v>
      </c>
      <c r="H1495" s="290">
        <f t="shared" si="324"/>
        <v>2000</v>
      </c>
      <c r="I1495" s="291"/>
      <c r="J1495" s="302" t="s">
        <v>21</v>
      </c>
      <c r="K1495" s="368" t="s">
        <v>211</v>
      </c>
      <c r="L1495" s="303"/>
      <c r="M1495" s="303" t="s">
        <v>147</v>
      </c>
      <c r="N1495" s="325"/>
      <c r="P1495" s="309"/>
    </row>
    <row r="1496" spans="1:16" s="308" customFormat="1" ht="14" outlineLevel="4">
      <c r="A1496" s="292"/>
      <c r="B1496" s="372" t="s">
        <v>823</v>
      </c>
      <c r="C1496" s="289" t="s">
        <v>832</v>
      </c>
      <c r="D1496" s="290">
        <v>10000</v>
      </c>
      <c r="E1496" s="290">
        <v>10000</v>
      </c>
      <c r="F1496" s="290">
        <v>0.2</v>
      </c>
      <c r="G1496" s="8">
        <f t="shared" si="321"/>
        <v>2000</v>
      </c>
      <c r="H1496" s="290">
        <f t="shared" si="324"/>
        <v>2000</v>
      </c>
      <c r="I1496" s="291"/>
      <c r="J1496" s="302" t="s">
        <v>21</v>
      </c>
      <c r="K1496" s="368" t="s">
        <v>211</v>
      </c>
      <c r="L1496" s="303"/>
      <c r="M1496" s="303" t="s">
        <v>147</v>
      </c>
      <c r="N1496" s="325"/>
      <c r="P1496" s="309"/>
    </row>
    <row r="1497" spans="1:16" s="308" customFormat="1" ht="14" outlineLevel="4">
      <c r="A1497" s="292"/>
      <c r="B1497" s="372" t="s">
        <v>824</v>
      </c>
      <c r="C1497" s="289" t="s">
        <v>36</v>
      </c>
      <c r="D1497" s="290"/>
      <c r="E1497" s="290"/>
      <c r="F1497" s="290">
        <v>0.2</v>
      </c>
      <c r="G1497" s="8">
        <f t="shared" si="321"/>
        <v>0</v>
      </c>
      <c r="H1497" s="290">
        <f t="shared" si="324"/>
        <v>0</v>
      </c>
      <c r="I1497" s="291"/>
      <c r="J1497" s="302" t="s">
        <v>21</v>
      </c>
      <c r="K1497" s="368" t="s">
        <v>211</v>
      </c>
      <c r="L1497" s="303"/>
      <c r="M1497" s="303" t="s">
        <v>147</v>
      </c>
      <c r="N1497" s="325"/>
      <c r="P1497" s="309"/>
    </row>
    <row r="1498" spans="1:16" s="308" customFormat="1" ht="14" outlineLevel="4">
      <c r="A1498" s="292"/>
      <c r="B1498" s="373" t="s">
        <v>825</v>
      </c>
      <c r="C1498" s="289" t="s">
        <v>15</v>
      </c>
      <c r="D1498" s="290">
        <v>10</v>
      </c>
      <c r="E1498" s="290">
        <v>10</v>
      </c>
      <c r="F1498" s="290">
        <v>5500</v>
      </c>
      <c r="G1498" s="8">
        <f t="shared" si="321"/>
        <v>55000</v>
      </c>
      <c r="H1498" s="290">
        <f t="shared" si="324"/>
        <v>55000</v>
      </c>
      <c r="I1498" s="291"/>
      <c r="J1498" s="302" t="s">
        <v>21</v>
      </c>
      <c r="K1498" s="368" t="s">
        <v>211</v>
      </c>
      <c r="L1498" s="303"/>
      <c r="M1498" s="303" t="s">
        <v>147</v>
      </c>
      <c r="N1498" s="325"/>
      <c r="P1498" s="309"/>
    </row>
    <row r="1499" spans="1:16" s="308" customFormat="1" ht="14" outlineLevel="4">
      <c r="A1499" s="292"/>
      <c r="B1499" s="372" t="s">
        <v>826</v>
      </c>
      <c r="C1499" s="289" t="s">
        <v>15</v>
      </c>
      <c r="D1499" s="290">
        <v>10</v>
      </c>
      <c r="E1499" s="290">
        <v>10</v>
      </c>
      <c r="F1499" s="290">
        <v>4500</v>
      </c>
      <c r="G1499" s="8">
        <f t="shared" si="321"/>
        <v>45000</v>
      </c>
      <c r="H1499" s="290">
        <f t="shared" ref="H1499:H1501" si="325">F1499*E1499</f>
        <v>45000</v>
      </c>
      <c r="I1499" s="291"/>
      <c r="J1499" s="302" t="s">
        <v>21</v>
      </c>
      <c r="K1499" s="368" t="s">
        <v>211</v>
      </c>
      <c r="L1499" s="303"/>
      <c r="M1499" s="303" t="s">
        <v>147</v>
      </c>
      <c r="N1499" s="325"/>
      <c r="P1499" s="309"/>
    </row>
    <row r="1500" spans="1:16" s="308" customFormat="1" ht="14" outlineLevel="4">
      <c r="A1500" s="292"/>
      <c r="B1500" s="372" t="s">
        <v>827</v>
      </c>
      <c r="C1500" s="289" t="s">
        <v>15</v>
      </c>
      <c r="D1500" s="290">
        <v>60</v>
      </c>
      <c r="E1500" s="290">
        <v>60</v>
      </c>
      <c r="F1500" s="290">
        <v>150</v>
      </c>
      <c r="G1500" s="8">
        <f t="shared" si="321"/>
        <v>9000</v>
      </c>
      <c r="H1500" s="290">
        <f t="shared" si="325"/>
        <v>9000</v>
      </c>
      <c r="I1500" s="291"/>
      <c r="J1500" s="302" t="s">
        <v>21</v>
      </c>
      <c r="K1500" s="368" t="s">
        <v>211</v>
      </c>
      <c r="L1500" s="303"/>
      <c r="M1500" s="303" t="s">
        <v>147</v>
      </c>
      <c r="N1500" s="325"/>
      <c r="P1500" s="309"/>
    </row>
    <row r="1501" spans="1:16" s="308" customFormat="1" ht="14" outlineLevel="4">
      <c r="A1501" s="292"/>
      <c r="B1501" s="373" t="s">
        <v>828</v>
      </c>
      <c r="C1501" s="289" t="s">
        <v>24</v>
      </c>
      <c r="D1501" s="290">
        <v>60</v>
      </c>
      <c r="E1501" s="290">
        <v>60</v>
      </c>
      <c r="F1501" s="290">
        <v>80</v>
      </c>
      <c r="G1501" s="8">
        <f t="shared" si="321"/>
        <v>4800</v>
      </c>
      <c r="H1501" s="290">
        <f t="shared" si="325"/>
        <v>4800</v>
      </c>
      <c r="I1501" s="291"/>
      <c r="J1501" s="302" t="s">
        <v>21</v>
      </c>
      <c r="K1501" s="368" t="s">
        <v>211</v>
      </c>
      <c r="L1501" s="303"/>
      <c r="M1501" s="303" t="s">
        <v>147</v>
      </c>
      <c r="N1501" s="325"/>
      <c r="P1501" s="309"/>
    </row>
    <row r="1502" spans="1:16" s="308" customFormat="1" ht="14" outlineLevel="4">
      <c r="A1502" s="292"/>
      <c r="B1502" s="372" t="s">
        <v>829</v>
      </c>
      <c r="C1502" s="289" t="s">
        <v>15</v>
      </c>
      <c r="D1502" s="290">
        <v>120</v>
      </c>
      <c r="E1502" s="290">
        <v>120</v>
      </c>
      <c r="F1502" s="290">
        <v>150</v>
      </c>
      <c r="G1502" s="8">
        <f t="shared" si="321"/>
        <v>18000</v>
      </c>
      <c r="H1502" s="290">
        <f t="shared" ref="H1502:H1504" si="326">F1502*E1502</f>
        <v>18000</v>
      </c>
      <c r="I1502" s="291"/>
      <c r="J1502" s="302" t="s">
        <v>21</v>
      </c>
      <c r="K1502" s="368" t="s">
        <v>211</v>
      </c>
      <c r="L1502" s="303"/>
      <c r="M1502" s="303" t="s">
        <v>147</v>
      </c>
      <c r="N1502" s="325"/>
      <c r="P1502" s="309"/>
    </row>
    <row r="1503" spans="1:16" s="308" customFormat="1" ht="14" outlineLevel="4">
      <c r="A1503" s="292"/>
      <c r="B1503" s="372" t="s">
        <v>830</v>
      </c>
      <c r="C1503" s="289" t="s">
        <v>24</v>
      </c>
      <c r="D1503" s="290">
        <v>250</v>
      </c>
      <c r="E1503" s="290">
        <v>250</v>
      </c>
      <c r="F1503" s="290">
        <v>120</v>
      </c>
      <c r="G1503" s="8">
        <f t="shared" si="321"/>
        <v>30000</v>
      </c>
      <c r="H1503" s="290">
        <f t="shared" si="326"/>
        <v>30000</v>
      </c>
      <c r="I1503" s="291"/>
      <c r="J1503" s="302" t="s">
        <v>21</v>
      </c>
      <c r="K1503" s="368" t="s">
        <v>211</v>
      </c>
      <c r="L1503" s="303"/>
      <c r="M1503" s="303" t="s">
        <v>147</v>
      </c>
      <c r="N1503" s="325"/>
      <c r="P1503" s="309"/>
    </row>
    <row r="1504" spans="1:16" s="308" customFormat="1" ht="14" outlineLevel="4">
      <c r="A1504" s="292"/>
      <c r="B1504" s="373" t="s">
        <v>831</v>
      </c>
      <c r="C1504" s="289" t="s">
        <v>24</v>
      </c>
      <c r="D1504" s="290">
        <v>250</v>
      </c>
      <c r="E1504" s="290">
        <v>250</v>
      </c>
      <c r="F1504" s="290">
        <v>80</v>
      </c>
      <c r="G1504" s="8">
        <f t="shared" si="321"/>
        <v>20000</v>
      </c>
      <c r="H1504" s="290">
        <f t="shared" si="326"/>
        <v>20000</v>
      </c>
      <c r="I1504" s="291"/>
      <c r="J1504" s="302" t="s">
        <v>21</v>
      </c>
      <c r="K1504" s="368" t="s">
        <v>211</v>
      </c>
      <c r="L1504" s="303"/>
      <c r="M1504" s="303" t="s">
        <v>147</v>
      </c>
      <c r="N1504" s="325"/>
      <c r="P1504" s="309"/>
    </row>
    <row r="1505" spans="1:16" s="308" customFormat="1" ht="14" outlineLevel="4">
      <c r="A1505" s="328">
        <v>4</v>
      </c>
      <c r="B1505" s="242" t="s">
        <v>763</v>
      </c>
      <c r="C1505" s="289"/>
      <c r="D1505" s="290"/>
      <c r="E1505" s="290"/>
      <c r="F1505" s="290"/>
      <c r="G1505" s="719">
        <f>SUBTOTAL(9,G1506:G1543)</f>
        <v>362712.5</v>
      </c>
      <c r="H1505" s="283">
        <f>SUBTOTAL(9,H1506:H1543)</f>
        <v>362712.5</v>
      </c>
      <c r="I1505" s="291"/>
      <c r="J1505" s="302" t="s">
        <v>21</v>
      </c>
      <c r="K1505" s="368"/>
      <c r="L1505" s="303"/>
      <c r="M1505" s="303"/>
      <c r="N1505" s="303"/>
      <c r="P1505" s="309"/>
    </row>
    <row r="1506" spans="1:16" s="308" customFormat="1" ht="14" outlineLevel="4">
      <c r="A1506" s="292"/>
      <c r="B1506" s="242" t="s">
        <v>51</v>
      </c>
      <c r="C1506" s="289"/>
      <c r="D1506" s="290"/>
      <c r="E1506" s="290"/>
      <c r="F1506" s="290"/>
      <c r="G1506" s="290"/>
      <c r="H1506" s="290"/>
      <c r="I1506" s="291"/>
      <c r="J1506" s="302" t="s">
        <v>21</v>
      </c>
      <c r="K1506" s="368"/>
      <c r="L1506" s="303"/>
      <c r="M1506" s="303"/>
      <c r="N1506" s="303"/>
      <c r="P1506" s="309"/>
    </row>
    <row r="1507" spans="1:16" s="308" customFormat="1" ht="14" outlineLevel="4">
      <c r="A1507" s="292"/>
      <c r="B1507" s="372" t="s">
        <v>263</v>
      </c>
      <c r="C1507" s="289" t="s">
        <v>25</v>
      </c>
      <c r="D1507" s="290"/>
      <c r="E1507" s="290"/>
      <c r="F1507" s="290"/>
      <c r="G1507" s="8">
        <f t="shared" ref="G1507:G1508" si="327">F1507*D1507</f>
        <v>0</v>
      </c>
      <c r="H1507" s="290">
        <f t="shared" ref="H1507:H1508" si="328">F1507*E1507</f>
        <v>0</v>
      </c>
      <c r="I1507" s="291"/>
      <c r="J1507" s="302" t="s">
        <v>21</v>
      </c>
      <c r="K1507" s="368" t="s">
        <v>211</v>
      </c>
      <c r="L1507" s="303"/>
      <c r="M1507" s="303" t="s">
        <v>147</v>
      </c>
      <c r="N1507" s="325"/>
      <c r="P1507" s="309"/>
    </row>
    <row r="1508" spans="1:16" s="308" customFormat="1" ht="14" outlineLevel="4">
      <c r="A1508" s="292"/>
      <c r="B1508" s="373" t="s">
        <v>264</v>
      </c>
      <c r="C1508" s="289" t="s">
        <v>25</v>
      </c>
      <c r="D1508" s="290"/>
      <c r="E1508" s="290"/>
      <c r="F1508" s="290"/>
      <c r="G1508" s="8">
        <f t="shared" si="327"/>
        <v>0</v>
      </c>
      <c r="H1508" s="290">
        <f t="shared" si="328"/>
        <v>0</v>
      </c>
      <c r="I1508" s="291"/>
      <c r="J1508" s="302" t="s">
        <v>21</v>
      </c>
      <c r="K1508" s="368" t="s">
        <v>211</v>
      </c>
      <c r="L1508" s="303"/>
      <c r="M1508" s="303" t="s">
        <v>147</v>
      </c>
      <c r="N1508" s="325"/>
      <c r="P1508" s="309"/>
    </row>
    <row r="1509" spans="1:16" s="308" customFormat="1" ht="14" outlineLevel="4">
      <c r="A1509" s="292"/>
      <c r="B1509" s="242" t="s">
        <v>46</v>
      </c>
      <c r="C1509" s="289"/>
      <c r="D1509" s="290"/>
      <c r="E1509" s="290"/>
      <c r="F1509" s="290"/>
      <c r="G1509" s="290"/>
      <c r="H1509" s="290"/>
      <c r="I1509" s="291"/>
      <c r="J1509" s="302" t="s">
        <v>21</v>
      </c>
      <c r="K1509" s="368"/>
      <c r="L1509" s="303"/>
      <c r="M1509" s="303"/>
      <c r="N1509" s="303"/>
      <c r="P1509" s="309"/>
    </row>
    <row r="1510" spans="1:16" s="308" customFormat="1" ht="14" outlineLevel="4">
      <c r="A1510" s="292"/>
      <c r="B1510" s="307" t="s">
        <v>123</v>
      </c>
      <c r="C1510" s="289" t="s">
        <v>25</v>
      </c>
      <c r="D1510" s="290"/>
      <c r="E1510" s="290"/>
      <c r="F1510" s="290"/>
      <c r="G1510" s="8">
        <f t="shared" ref="G1510:G1516" si="329">F1510*D1510</f>
        <v>0</v>
      </c>
      <c r="H1510" s="290">
        <f t="shared" ref="H1510:H1516" si="330">F1510*E1510</f>
        <v>0</v>
      </c>
      <c r="I1510" s="291"/>
      <c r="J1510" s="302" t="s">
        <v>21</v>
      </c>
      <c r="K1510" s="368" t="s">
        <v>211</v>
      </c>
      <c r="L1510" s="303"/>
      <c r="M1510" s="303" t="s">
        <v>147</v>
      </c>
      <c r="N1510" s="325"/>
      <c r="P1510" s="309"/>
    </row>
    <row r="1511" spans="1:16" s="308" customFormat="1" ht="14" outlineLevel="4">
      <c r="A1511" s="292"/>
      <c r="B1511" s="307" t="s">
        <v>223</v>
      </c>
      <c r="C1511" s="289" t="s">
        <v>25</v>
      </c>
      <c r="D1511" s="290"/>
      <c r="E1511" s="290"/>
      <c r="F1511" s="290"/>
      <c r="G1511" s="8">
        <f t="shared" si="329"/>
        <v>0</v>
      </c>
      <c r="H1511" s="290">
        <f t="shared" si="330"/>
        <v>0</v>
      </c>
      <c r="I1511" s="291"/>
      <c r="J1511" s="302" t="s">
        <v>21</v>
      </c>
      <c r="K1511" s="368" t="s">
        <v>211</v>
      </c>
      <c r="L1511" s="303"/>
      <c r="M1511" s="303" t="s">
        <v>147</v>
      </c>
      <c r="N1511" s="325"/>
      <c r="P1511" s="309"/>
    </row>
    <row r="1512" spans="1:16" s="308" customFormat="1" ht="14" outlineLevel="4">
      <c r="A1512" s="292"/>
      <c r="B1512" s="307" t="s">
        <v>764</v>
      </c>
      <c r="C1512" s="289" t="s">
        <v>25</v>
      </c>
      <c r="D1512" s="290">
        <v>300</v>
      </c>
      <c r="E1512" s="290">
        <v>300</v>
      </c>
      <c r="F1512" s="231">
        <v>550</v>
      </c>
      <c r="G1512" s="8">
        <f t="shared" si="329"/>
        <v>165000</v>
      </c>
      <c r="H1512" s="290">
        <f t="shared" si="330"/>
        <v>165000</v>
      </c>
      <c r="I1512" s="291"/>
      <c r="J1512" s="302" t="s">
        <v>21</v>
      </c>
      <c r="K1512" s="368" t="s">
        <v>211</v>
      </c>
      <c r="L1512" s="303"/>
      <c r="M1512" s="303" t="s">
        <v>147</v>
      </c>
      <c r="N1512" s="325"/>
      <c r="P1512" s="309"/>
    </row>
    <row r="1513" spans="1:16" s="308" customFormat="1" ht="14" outlineLevel="4">
      <c r="A1513" s="292"/>
      <c r="B1513" s="307" t="s">
        <v>265</v>
      </c>
      <c r="C1513" s="289" t="s">
        <v>25</v>
      </c>
      <c r="D1513" s="290"/>
      <c r="E1513" s="290"/>
      <c r="F1513" s="290"/>
      <c r="G1513" s="8">
        <f t="shared" si="329"/>
        <v>0</v>
      </c>
      <c r="H1513" s="290">
        <f t="shared" si="330"/>
        <v>0</v>
      </c>
      <c r="I1513" s="291"/>
      <c r="J1513" s="302" t="s">
        <v>21</v>
      </c>
      <c r="K1513" s="368" t="s">
        <v>211</v>
      </c>
      <c r="L1513" s="303"/>
      <c r="M1513" s="303" t="s">
        <v>147</v>
      </c>
      <c r="N1513" s="325"/>
      <c r="P1513" s="309"/>
    </row>
    <row r="1514" spans="1:16" s="308" customFormat="1" ht="14" outlineLevel="4">
      <c r="A1514" s="292"/>
      <c r="B1514" s="307" t="s">
        <v>226</v>
      </c>
      <c r="C1514" s="289" t="s">
        <v>25</v>
      </c>
      <c r="D1514" s="290"/>
      <c r="E1514" s="290"/>
      <c r="F1514" s="290"/>
      <c r="G1514" s="8">
        <f t="shared" si="329"/>
        <v>0</v>
      </c>
      <c r="H1514" s="290">
        <f t="shared" si="330"/>
        <v>0</v>
      </c>
      <c r="I1514" s="291"/>
      <c r="J1514" s="302" t="s">
        <v>21</v>
      </c>
      <c r="K1514" s="368" t="s">
        <v>211</v>
      </c>
      <c r="L1514" s="303"/>
      <c r="M1514" s="303" t="s">
        <v>147</v>
      </c>
      <c r="N1514" s="325"/>
      <c r="P1514" s="309"/>
    </row>
    <row r="1515" spans="1:16" s="308" customFormat="1" ht="14" outlineLevel="4">
      <c r="A1515" s="292"/>
      <c r="B1515" s="307" t="s">
        <v>227</v>
      </c>
      <c r="C1515" s="289" t="s">
        <v>25</v>
      </c>
      <c r="D1515" s="290"/>
      <c r="E1515" s="290"/>
      <c r="F1515" s="290"/>
      <c r="G1515" s="8">
        <f t="shared" si="329"/>
        <v>0</v>
      </c>
      <c r="H1515" s="290">
        <f t="shared" si="330"/>
        <v>0</v>
      </c>
      <c r="I1515" s="291"/>
      <c r="J1515" s="302" t="s">
        <v>21</v>
      </c>
      <c r="K1515" s="368" t="s">
        <v>211</v>
      </c>
      <c r="L1515" s="303"/>
      <c r="M1515" s="303" t="s">
        <v>147</v>
      </c>
      <c r="N1515" s="325"/>
      <c r="P1515" s="309"/>
    </row>
    <row r="1516" spans="1:16" s="308" customFormat="1" ht="14" outlineLevel="4">
      <c r="A1516" s="292"/>
      <c r="B1516" s="307" t="s">
        <v>228</v>
      </c>
      <c r="C1516" s="289" t="s">
        <v>25</v>
      </c>
      <c r="D1516" s="290"/>
      <c r="E1516" s="290"/>
      <c r="F1516" s="290"/>
      <c r="G1516" s="8">
        <f t="shared" si="329"/>
        <v>0</v>
      </c>
      <c r="H1516" s="290">
        <f t="shared" si="330"/>
        <v>0</v>
      </c>
      <c r="I1516" s="291"/>
      <c r="J1516" s="302" t="s">
        <v>21</v>
      </c>
      <c r="K1516" s="368" t="s">
        <v>211</v>
      </c>
      <c r="L1516" s="303"/>
      <c r="M1516" s="303" t="s">
        <v>147</v>
      </c>
      <c r="N1516" s="325"/>
      <c r="P1516" s="309"/>
    </row>
    <row r="1517" spans="1:16" s="308" customFormat="1" ht="14" outlineLevel="4">
      <c r="A1517" s="292"/>
      <c r="B1517" s="242" t="s">
        <v>47</v>
      </c>
      <c r="C1517" s="289"/>
      <c r="D1517" s="290"/>
      <c r="E1517" s="290"/>
      <c r="F1517" s="290"/>
      <c r="G1517" s="290"/>
      <c r="H1517" s="290"/>
      <c r="I1517" s="291"/>
      <c r="J1517" s="302" t="s">
        <v>21</v>
      </c>
      <c r="K1517" s="368"/>
      <c r="L1517" s="303"/>
      <c r="M1517" s="303"/>
      <c r="N1517" s="303"/>
      <c r="P1517" s="309"/>
    </row>
    <row r="1518" spans="1:16" s="308" customFormat="1" ht="14" outlineLevel="4">
      <c r="A1518" s="292"/>
      <c r="B1518" s="242" t="s">
        <v>89</v>
      </c>
      <c r="C1518" s="289"/>
      <c r="D1518" s="290"/>
      <c r="E1518" s="290"/>
      <c r="F1518" s="290"/>
      <c r="G1518" s="290"/>
      <c r="H1518" s="290"/>
      <c r="I1518" s="291"/>
      <c r="J1518" s="302" t="s">
        <v>21</v>
      </c>
      <c r="K1518" s="368"/>
      <c r="L1518" s="303"/>
      <c r="M1518" s="303"/>
      <c r="N1518" s="303"/>
      <c r="P1518" s="309"/>
    </row>
    <row r="1519" spans="1:16" s="308" customFormat="1" ht="14" outlineLevel="4">
      <c r="A1519" s="292"/>
      <c r="B1519" s="307" t="s">
        <v>229</v>
      </c>
      <c r="C1519" s="289" t="s">
        <v>24</v>
      </c>
      <c r="D1519" s="233">
        <v>3150</v>
      </c>
      <c r="E1519" s="233">
        <v>3150</v>
      </c>
      <c r="F1519" s="231">
        <v>4.2</v>
      </c>
      <c r="G1519" s="8">
        <f t="shared" ref="G1519:G1537" si="331">F1519*D1519</f>
        <v>13230</v>
      </c>
      <c r="H1519" s="290">
        <f t="shared" ref="H1519:H1537" si="332">F1519*E1519</f>
        <v>13230</v>
      </c>
      <c r="I1519" s="291"/>
      <c r="J1519" s="302" t="s">
        <v>21</v>
      </c>
      <c r="K1519" s="368" t="s">
        <v>211</v>
      </c>
      <c r="L1519" s="303"/>
      <c r="M1519" s="303" t="s">
        <v>147</v>
      </c>
      <c r="N1519" s="325"/>
      <c r="P1519" s="309"/>
    </row>
    <row r="1520" spans="1:16" s="308" customFormat="1" ht="14" outlineLevel="4">
      <c r="A1520" s="292"/>
      <c r="B1520" s="307" t="s">
        <v>230</v>
      </c>
      <c r="C1520" s="289" t="s">
        <v>24</v>
      </c>
      <c r="D1520" s="290"/>
      <c r="E1520" s="290"/>
      <c r="F1520" s="290"/>
      <c r="G1520" s="8">
        <f t="shared" si="331"/>
        <v>0</v>
      </c>
      <c r="H1520" s="290">
        <f t="shared" si="332"/>
        <v>0</v>
      </c>
      <c r="I1520" s="291"/>
      <c r="J1520" s="302" t="s">
        <v>21</v>
      </c>
      <c r="K1520" s="368" t="s">
        <v>211</v>
      </c>
      <c r="L1520" s="303"/>
      <c r="M1520" s="303" t="s">
        <v>147</v>
      </c>
      <c r="N1520" s="325"/>
      <c r="P1520" s="309"/>
    </row>
    <row r="1521" spans="1:16" s="308" customFormat="1" ht="14" outlineLevel="4">
      <c r="A1521" s="292"/>
      <c r="B1521" s="307" t="s">
        <v>231</v>
      </c>
      <c r="C1521" s="289" t="s">
        <v>24</v>
      </c>
      <c r="D1521" s="290">
        <v>2700</v>
      </c>
      <c r="E1521" s="290">
        <v>2700</v>
      </c>
      <c r="F1521" s="231">
        <v>5</v>
      </c>
      <c r="G1521" s="8">
        <f t="shared" si="331"/>
        <v>13500</v>
      </c>
      <c r="H1521" s="290">
        <f t="shared" si="332"/>
        <v>13500</v>
      </c>
      <c r="I1521" s="291"/>
      <c r="J1521" s="302" t="s">
        <v>21</v>
      </c>
      <c r="K1521" s="368" t="s">
        <v>211</v>
      </c>
      <c r="L1521" s="303"/>
      <c r="M1521" s="303" t="s">
        <v>147</v>
      </c>
      <c r="N1521" s="325"/>
      <c r="P1521" s="309"/>
    </row>
    <row r="1522" spans="1:16" s="308" customFormat="1" ht="14" outlineLevel="4">
      <c r="A1522" s="292"/>
      <c r="B1522" s="307" t="s">
        <v>232</v>
      </c>
      <c r="C1522" s="289" t="s">
        <v>24</v>
      </c>
      <c r="D1522" s="290"/>
      <c r="E1522" s="290"/>
      <c r="F1522" s="290"/>
      <c r="G1522" s="8">
        <f t="shared" si="331"/>
        <v>0</v>
      </c>
      <c r="H1522" s="290">
        <f t="shared" si="332"/>
        <v>0</v>
      </c>
      <c r="I1522" s="291"/>
      <c r="J1522" s="302" t="s">
        <v>21</v>
      </c>
      <c r="K1522" s="368" t="s">
        <v>211</v>
      </c>
      <c r="L1522" s="303"/>
      <c r="M1522" s="303" t="s">
        <v>147</v>
      </c>
      <c r="N1522" s="325"/>
      <c r="P1522" s="309"/>
    </row>
    <row r="1523" spans="1:16" s="308" customFormat="1" ht="14" outlineLevel="4">
      <c r="A1523" s="292"/>
      <c r="B1523" s="307" t="s">
        <v>233</v>
      </c>
      <c r="C1523" s="289" t="s">
        <v>24</v>
      </c>
      <c r="D1523" s="290"/>
      <c r="E1523" s="290"/>
      <c r="F1523" s="290"/>
      <c r="G1523" s="8">
        <f t="shared" si="331"/>
        <v>0</v>
      </c>
      <c r="H1523" s="290">
        <f t="shared" si="332"/>
        <v>0</v>
      </c>
      <c r="I1523" s="291"/>
      <c r="J1523" s="302" t="s">
        <v>21</v>
      </c>
      <c r="K1523" s="368" t="s">
        <v>211</v>
      </c>
      <c r="L1523" s="303"/>
      <c r="M1523" s="303" t="s">
        <v>147</v>
      </c>
      <c r="N1523" s="325"/>
      <c r="P1523" s="309"/>
    </row>
    <row r="1524" spans="1:16" s="308" customFormat="1" ht="14" outlineLevel="4">
      <c r="A1524" s="292"/>
      <c r="B1524" s="307" t="s">
        <v>234</v>
      </c>
      <c r="C1524" s="289" t="s">
        <v>24</v>
      </c>
      <c r="D1524" s="290"/>
      <c r="E1524" s="290"/>
      <c r="F1524" s="290"/>
      <c r="G1524" s="8">
        <f t="shared" si="331"/>
        <v>0</v>
      </c>
      <c r="H1524" s="290">
        <f t="shared" si="332"/>
        <v>0</v>
      </c>
      <c r="I1524" s="291"/>
      <c r="J1524" s="302" t="s">
        <v>21</v>
      </c>
      <c r="K1524" s="368" t="s">
        <v>211</v>
      </c>
      <c r="L1524" s="303"/>
      <c r="M1524" s="303" t="s">
        <v>147</v>
      </c>
      <c r="N1524" s="325"/>
      <c r="P1524" s="309"/>
    </row>
    <row r="1525" spans="1:16" s="308" customFormat="1" ht="14" outlineLevel="4">
      <c r="A1525" s="292"/>
      <c r="B1525" s="307" t="s">
        <v>746</v>
      </c>
      <c r="C1525" s="289" t="s">
        <v>24</v>
      </c>
      <c r="D1525" s="290">
        <v>100</v>
      </c>
      <c r="E1525" s="290">
        <v>100</v>
      </c>
      <c r="F1525" s="231">
        <v>9.5</v>
      </c>
      <c r="G1525" s="8">
        <f t="shared" si="331"/>
        <v>950</v>
      </c>
      <c r="H1525" s="290">
        <f t="shared" si="332"/>
        <v>950</v>
      </c>
      <c r="I1525" s="291"/>
      <c r="J1525" s="302" t="s">
        <v>21</v>
      </c>
      <c r="K1525" s="368" t="s">
        <v>211</v>
      </c>
      <c r="L1525" s="303"/>
      <c r="M1525" s="303" t="s">
        <v>147</v>
      </c>
      <c r="N1525" s="325"/>
      <c r="P1525" s="309"/>
    </row>
    <row r="1526" spans="1:16" s="308" customFormat="1" ht="14" outlineLevel="4">
      <c r="A1526" s="292"/>
      <c r="B1526" s="307" t="s">
        <v>266</v>
      </c>
      <c r="C1526" s="289" t="s">
        <v>24</v>
      </c>
      <c r="D1526" s="290"/>
      <c r="E1526" s="290"/>
      <c r="F1526" s="290"/>
      <c r="G1526" s="8">
        <f t="shared" si="331"/>
        <v>0</v>
      </c>
      <c r="H1526" s="290">
        <f t="shared" si="332"/>
        <v>0</v>
      </c>
      <c r="I1526" s="291"/>
      <c r="J1526" s="302" t="s">
        <v>21</v>
      </c>
      <c r="K1526" s="368" t="s">
        <v>211</v>
      </c>
      <c r="L1526" s="303"/>
      <c r="M1526" s="303" t="s">
        <v>147</v>
      </c>
      <c r="N1526" s="325"/>
      <c r="P1526" s="309"/>
    </row>
    <row r="1527" spans="1:16" s="308" customFormat="1" ht="14" outlineLevel="4">
      <c r="A1527" s="292"/>
      <c r="B1527" s="307" t="s">
        <v>267</v>
      </c>
      <c r="C1527" s="289" t="s">
        <v>24</v>
      </c>
      <c r="D1527" s="290"/>
      <c r="E1527" s="290"/>
      <c r="F1527" s="290"/>
      <c r="G1527" s="8">
        <f t="shared" si="331"/>
        <v>0</v>
      </c>
      <c r="H1527" s="290">
        <f t="shared" si="332"/>
        <v>0</v>
      </c>
      <c r="I1527" s="291"/>
      <c r="J1527" s="302" t="s">
        <v>21</v>
      </c>
      <c r="K1527" s="368" t="s">
        <v>211</v>
      </c>
      <c r="L1527" s="303"/>
      <c r="M1527" s="303" t="s">
        <v>147</v>
      </c>
      <c r="N1527" s="325"/>
      <c r="P1527" s="309"/>
    </row>
    <row r="1528" spans="1:16" s="308" customFormat="1" ht="14" outlineLevel="4">
      <c r="A1528" s="292"/>
      <c r="B1528" s="307" t="s">
        <v>235</v>
      </c>
      <c r="C1528" s="289" t="s">
        <v>24</v>
      </c>
      <c r="D1528" s="290"/>
      <c r="E1528" s="290"/>
      <c r="F1528" s="290"/>
      <c r="G1528" s="8">
        <f t="shared" si="331"/>
        <v>0</v>
      </c>
      <c r="H1528" s="290">
        <f t="shared" si="332"/>
        <v>0</v>
      </c>
      <c r="I1528" s="291"/>
      <c r="J1528" s="302" t="s">
        <v>21</v>
      </c>
      <c r="K1528" s="368" t="s">
        <v>211</v>
      </c>
      <c r="L1528" s="303"/>
      <c r="M1528" s="303" t="s">
        <v>147</v>
      </c>
      <c r="N1528" s="325"/>
      <c r="P1528" s="309"/>
    </row>
    <row r="1529" spans="1:16" s="308" customFormat="1" ht="14" outlineLevel="4">
      <c r="A1529" s="292"/>
      <c r="B1529" s="307" t="s">
        <v>765</v>
      </c>
      <c r="C1529" s="289" t="s">
        <v>24</v>
      </c>
      <c r="D1529" s="290">
        <v>120</v>
      </c>
      <c r="E1529" s="290">
        <v>120</v>
      </c>
      <c r="F1529" s="231">
        <v>24</v>
      </c>
      <c r="G1529" s="8">
        <f t="shared" si="331"/>
        <v>2880</v>
      </c>
      <c r="H1529" s="290">
        <f t="shared" si="332"/>
        <v>2880</v>
      </c>
      <c r="I1529" s="291"/>
      <c r="J1529" s="302" t="s">
        <v>21</v>
      </c>
      <c r="K1529" s="368" t="s">
        <v>211</v>
      </c>
      <c r="L1529" s="303"/>
      <c r="M1529" s="303" t="s">
        <v>147</v>
      </c>
      <c r="N1529" s="325"/>
      <c r="P1529" s="309"/>
    </row>
    <row r="1530" spans="1:16" s="308" customFormat="1" ht="14" outlineLevel="4">
      <c r="A1530" s="292"/>
      <c r="B1530" s="307" t="s">
        <v>237</v>
      </c>
      <c r="C1530" s="289" t="s">
        <v>24</v>
      </c>
      <c r="D1530" s="290">
        <v>5850</v>
      </c>
      <c r="E1530" s="290">
        <v>5850</v>
      </c>
      <c r="F1530" s="231">
        <v>1.65</v>
      </c>
      <c r="G1530" s="8">
        <f t="shared" si="331"/>
        <v>9652.5</v>
      </c>
      <c r="H1530" s="290">
        <f t="shared" si="332"/>
        <v>9652.5</v>
      </c>
      <c r="I1530" s="291"/>
      <c r="J1530" s="302" t="s">
        <v>21</v>
      </c>
      <c r="K1530" s="368" t="s">
        <v>211</v>
      </c>
      <c r="L1530" s="303"/>
      <c r="M1530" s="303" t="s">
        <v>147</v>
      </c>
      <c r="N1530" s="325"/>
      <c r="P1530" s="309"/>
    </row>
    <row r="1531" spans="1:16" s="308" customFormat="1" ht="14" outlineLevel="4">
      <c r="A1531" s="292"/>
      <c r="B1531" s="307" t="s">
        <v>238</v>
      </c>
      <c r="C1531" s="289" t="s">
        <v>24</v>
      </c>
      <c r="D1531" s="290"/>
      <c r="E1531" s="290"/>
      <c r="F1531" s="290"/>
      <c r="G1531" s="8">
        <f t="shared" si="331"/>
        <v>0</v>
      </c>
      <c r="H1531" s="290">
        <f t="shared" si="332"/>
        <v>0</v>
      </c>
      <c r="I1531" s="291"/>
      <c r="J1531" s="302" t="s">
        <v>21</v>
      </c>
      <c r="K1531" s="368" t="s">
        <v>211</v>
      </c>
      <c r="L1531" s="303"/>
      <c r="M1531" s="303" t="s">
        <v>147</v>
      </c>
      <c r="N1531" s="325"/>
      <c r="P1531" s="309"/>
    </row>
    <row r="1532" spans="1:16" s="308" customFormat="1" ht="14" outlineLevel="4">
      <c r="A1532" s="292"/>
      <c r="B1532" s="307" t="s">
        <v>239</v>
      </c>
      <c r="C1532" s="289" t="s">
        <v>24</v>
      </c>
      <c r="D1532" s="290"/>
      <c r="E1532" s="290"/>
      <c r="F1532" s="290"/>
      <c r="G1532" s="8">
        <f t="shared" si="331"/>
        <v>0</v>
      </c>
      <c r="H1532" s="290">
        <f t="shared" si="332"/>
        <v>0</v>
      </c>
      <c r="I1532" s="291"/>
      <c r="J1532" s="302" t="s">
        <v>21</v>
      </c>
      <c r="K1532" s="368" t="s">
        <v>211</v>
      </c>
      <c r="L1532" s="303"/>
      <c r="M1532" s="303" t="s">
        <v>147</v>
      </c>
      <c r="N1532" s="325"/>
      <c r="P1532" s="309"/>
    </row>
    <row r="1533" spans="1:16" s="308" customFormat="1" ht="14" outlineLevel="4">
      <c r="A1533" s="292"/>
      <c r="B1533" s="307" t="s">
        <v>240</v>
      </c>
      <c r="C1533" s="289" t="s">
        <v>24</v>
      </c>
      <c r="D1533" s="290"/>
      <c r="E1533" s="290"/>
      <c r="F1533" s="290"/>
      <c r="G1533" s="8">
        <f t="shared" si="331"/>
        <v>0</v>
      </c>
      <c r="H1533" s="290">
        <f t="shared" si="332"/>
        <v>0</v>
      </c>
      <c r="I1533" s="291"/>
      <c r="J1533" s="302" t="s">
        <v>21</v>
      </c>
      <c r="K1533" s="368" t="s">
        <v>211</v>
      </c>
      <c r="L1533" s="303"/>
      <c r="M1533" s="303" t="s">
        <v>147</v>
      </c>
      <c r="N1533" s="325"/>
      <c r="P1533" s="309"/>
    </row>
    <row r="1534" spans="1:16" s="308" customFormat="1" ht="14" outlineLevel="4">
      <c r="A1534" s="292"/>
      <c r="B1534" s="307" t="s">
        <v>241</v>
      </c>
      <c r="C1534" s="289" t="s">
        <v>11</v>
      </c>
      <c r="D1534" s="290">
        <v>9000</v>
      </c>
      <c r="E1534" s="290">
        <v>9000</v>
      </c>
      <c r="F1534" s="231">
        <v>0.4</v>
      </c>
      <c r="G1534" s="8">
        <f t="shared" si="331"/>
        <v>3600</v>
      </c>
      <c r="H1534" s="290">
        <f t="shared" si="332"/>
        <v>3600</v>
      </c>
      <c r="I1534" s="291"/>
      <c r="J1534" s="302" t="s">
        <v>21</v>
      </c>
      <c r="K1534" s="368" t="s">
        <v>211</v>
      </c>
      <c r="L1534" s="303"/>
      <c r="M1534" s="303" t="s">
        <v>147</v>
      </c>
      <c r="N1534" s="325"/>
      <c r="P1534" s="309"/>
    </row>
    <row r="1535" spans="1:16" s="308" customFormat="1" ht="14" outlineLevel="4">
      <c r="A1535" s="292"/>
      <c r="B1535" s="307" t="s">
        <v>242</v>
      </c>
      <c r="C1535" s="289" t="s">
        <v>24</v>
      </c>
      <c r="D1535" s="290">
        <v>9000</v>
      </c>
      <c r="E1535" s="290">
        <v>9000</v>
      </c>
      <c r="F1535" s="231">
        <v>0.2</v>
      </c>
      <c r="G1535" s="8">
        <f t="shared" si="331"/>
        <v>1800</v>
      </c>
      <c r="H1535" s="290">
        <f t="shared" si="332"/>
        <v>1800</v>
      </c>
      <c r="I1535" s="291"/>
      <c r="J1535" s="302" t="s">
        <v>21</v>
      </c>
      <c r="K1535" s="368" t="s">
        <v>211</v>
      </c>
      <c r="L1535" s="303"/>
      <c r="M1535" s="303" t="s">
        <v>147</v>
      </c>
      <c r="N1535" s="325"/>
      <c r="P1535" s="309"/>
    </row>
    <row r="1536" spans="1:16" s="308" customFormat="1" ht="14" outlineLevel="4">
      <c r="A1536" s="292"/>
      <c r="B1536" s="307" t="s">
        <v>243</v>
      </c>
      <c r="C1536" s="289" t="s">
        <v>24</v>
      </c>
      <c r="D1536" s="290"/>
      <c r="E1536" s="290"/>
      <c r="F1536" s="290"/>
      <c r="G1536" s="8">
        <f t="shared" si="331"/>
        <v>0</v>
      </c>
      <c r="H1536" s="290">
        <f t="shared" si="332"/>
        <v>0</v>
      </c>
      <c r="I1536" s="291"/>
      <c r="J1536" s="302" t="s">
        <v>21</v>
      </c>
      <c r="K1536" s="368" t="s">
        <v>211</v>
      </c>
      <c r="L1536" s="303"/>
      <c r="M1536" s="303" t="s">
        <v>147</v>
      </c>
      <c r="N1536" s="325"/>
      <c r="P1536" s="309"/>
    </row>
    <row r="1537" spans="1:16" s="308" customFormat="1" ht="14" outlineLevel="4">
      <c r="A1537" s="292"/>
      <c r="B1537" s="307" t="s">
        <v>244</v>
      </c>
      <c r="C1537" s="289" t="s">
        <v>24</v>
      </c>
      <c r="D1537" s="290"/>
      <c r="E1537" s="290"/>
      <c r="F1537" s="290"/>
      <c r="G1537" s="8">
        <f t="shared" si="331"/>
        <v>0</v>
      </c>
      <c r="H1537" s="290">
        <f t="shared" si="332"/>
        <v>0</v>
      </c>
      <c r="I1537" s="291"/>
      <c r="J1537" s="302" t="s">
        <v>21</v>
      </c>
      <c r="K1537" s="368" t="s">
        <v>211</v>
      </c>
      <c r="L1537" s="303"/>
      <c r="M1537" s="303" t="s">
        <v>147</v>
      </c>
      <c r="N1537" s="325"/>
      <c r="P1537" s="309"/>
    </row>
    <row r="1538" spans="1:16" s="308" customFormat="1" ht="14" outlineLevel="4">
      <c r="A1538" s="292"/>
      <c r="B1538" s="242" t="s">
        <v>90</v>
      </c>
      <c r="C1538" s="289"/>
      <c r="D1538" s="290"/>
      <c r="E1538" s="290"/>
      <c r="F1538" s="290"/>
      <c r="G1538" s="290"/>
      <c r="H1538" s="290">
        <f>F1538*E1538</f>
        <v>0</v>
      </c>
      <c r="I1538" s="291"/>
      <c r="J1538" s="302" t="s">
        <v>21</v>
      </c>
      <c r="K1538" s="368"/>
      <c r="L1538" s="303"/>
      <c r="M1538" s="303"/>
      <c r="N1538" s="303"/>
      <c r="P1538" s="309"/>
    </row>
    <row r="1539" spans="1:16" s="308" customFormat="1" ht="14" outlineLevel="4">
      <c r="A1539" s="292"/>
      <c r="B1539" s="374" t="s">
        <v>91</v>
      </c>
      <c r="C1539" s="289" t="s">
        <v>11</v>
      </c>
      <c r="D1539" s="290"/>
      <c r="E1539" s="290"/>
      <c r="F1539" s="290"/>
      <c r="G1539" s="8">
        <f t="shared" ref="G1539:G1540" si="333">F1539*D1539</f>
        <v>0</v>
      </c>
      <c r="H1539" s="290">
        <f t="shared" ref="H1539:H1543" si="334">F1539*E1539</f>
        <v>0</v>
      </c>
      <c r="I1539" s="291"/>
      <c r="J1539" s="302" t="s">
        <v>21</v>
      </c>
      <c r="K1539" s="368" t="s">
        <v>211</v>
      </c>
      <c r="L1539" s="303"/>
      <c r="M1539" s="303" t="s">
        <v>147</v>
      </c>
      <c r="N1539" s="325"/>
      <c r="P1539" s="309"/>
    </row>
    <row r="1540" spans="1:16" s="308" customFormat="1" ht="14" outlineLevel="4">
      <c r="A1540" s="292"/>
      <c r="B1540" s="374" t="s">
        <v>92</v>
      </c>
      <c r="C1540" s="289" t="s">
        <v>11</v>
      </c>
      <c r="D1540" s="290"/>
      <c r="E1540" s="290"/>
      <c r="F1540" s="290"/>
      <c r="G1540" s="8">
        <f t="shared" si="333"/>
        <v>0</v>
      </c>
      <c r="H1540" s="290">
        <f t="shared" si="334"/>
        <v>0</v>
      </c>
      <c r="I1540" s="291"/>
      <c r="J1540" s="302" t="s">
        <v>21</v>
      </c>
      <c r="K1540" s="368" t="s">
        <v>211</v>
      </c>
      <c r="L1540" s="303"/>
      <c r="M1540" s="303" t="s">
        <v>147</v>
      </c>
      <c r="N1540" s="325"/>
      <c r="P1540" s="309"/>
    </row>
    <row r="1541" spans="1:16" s="308" customFormat="1" ht="14" outlineLevel="4">
      <c r="A1541" s="292"/>
      <c r="B1541" s="375" t="s">
        <v>48</v>
      </c>
      <c r="C1541" s="289"/>
      <c r="D1541" s="290"/>
      <c r="E1541" s="290"/>
      <c r="F1541" s="290"/>
      <c r="G1541" s="290"/>
      <c r="H1541" s="290">
        <f t="shared" si="334"/>
        <v>0</v>
      </c>
      <c r="I1541" s="291"/>
      <c r="J1541" s="302" t="s">
        <v>21</v>
      </c>
      <c r="K1541" s="368"/>
      <c r="L1541" s="303"/>
      <c r="M1541" s="303"/>
      <c r="N1541" s="325"/>
      <c r="P1541" s="309"/>
    </row>
    <row r="1542" spans="1:16" s="308" customFormat="1" ht="14" outlineLevel="4">
      <c r="A1542" s="292"/>
      <c r="B1542" s="307" t="s">
        <v>732</v>
      </c>
      <c r="C1542" s="289" t="s">
        <v>48</v>
      </c>
      <c r="D1542" s="290">
        <v>2925</v>
      </c>
      <c r="E1542" s="290">
        <v>2925</v>
      </c>
      <c r="F1542" s="231">
        <v>52</v>
      </c>
      <c r="G1542" s="8">
        <f t="shared" ref="G1542:G1543" si="335">F1542*D1542</f>
        <v>152100</v>
      </c>
      <c r="H1542" s="290">
        <f t="shared" si="334"/>
        <v>152100</v>
      </c>
      <c r="I1542" s="291"/>
      <c r="J1542" s="302" t="s">
        <v>21</v>
      </c>
      <c r="K1542" s="368" t="s">
        <v>211</v>
      </c>
      <c r="L1542" s="303"/>
      <c r="M1542" s="303" t="s">
        <v>147</v>
      </c>
      <c r="N1542" s="325"/>
      <c r="P1542" s="309"/>
    </row>
    <row r="1543" spans="1:16" s="308" customFormat="1" ht="14" outlineLevel="4">
      <c r="A1543" s="292"/>
      <c r="B1543" s="307" t="s">
        <v>50</v>
      </c>
      <c r="C1543" s="289" t="s">
        <v>48</v>
      </c>
      <c r="D1543" s="290"/>
      <c r="E1543" s="290"/>
      <c r="F1543" s="290"/>
      <c r="G1543" s="8">
        <f t="shared" si="335"/>
        <v>0</v>
      </c>
      <c r="H1543" s="290">
        <f t="shared" si="334"/>
        <v>0</v>
      </c>
      <c r="I1543" s="291"/>
      <c r="J1543" s="302" t="s">
        <v>21</v>
      </c>
      <c r="K1543" s="368" t="s">
        <v>211</v>
      </c>
      <c r="L1543" s="303"/>
      <c r="M1543" s="303" t="s">
        <v>147</v>
      </c>
      <c r="N1543" s="325"/>
      <c r="P1543" s="309"/>
    </row>
    <row r="1544" spans="1:16" s="305" customFormat="1" ht="14" outlineLevel="1">
      <c r="A1544" s="280" t="s">
        <v>928</v>
      </c>
      <c r="B1544" s="242" t="s">
        <v>1350</v>
      </c>
      <c r="C1544" s="282"/>
      <c r="D1544" s="283"/>
      <c r="E1544" s="283"/>
      <c r="F1544" s="283"/>
      <c r="G1544" s="283"/>
      <c r="H1544" s="283">
        <f>SUBTOTAL(9,H1545:H1675)</f>
        <v>3998954.6120000007</v>
      </c>
      <c r="I1544" s="283"/>
      <c r="J1544" s="302" t="s">
        <v>21</v>
      </c>
      <c r="K1544" s="303"/>
      <c r="L1544" s="303"/>
      <c r="M1544" s="304"/>
      <c r="N1544" s="304"/>
      <c r="P1544" s="306"/>
    </row>
    <row r="1545" spans="1:16" s="305" customFormat="1" ht="14" outlineLevel="3">
      <c r="A1545" s="280">
        <v>1</v>
      </c>
      <c r="B1545" s="281" t="s">
        <v>246</v>
      </c>
      <c r="C1545" s="341"/>
      <c r="D1545" s="331"/>
      <c r="E1545" s="331"/>
      <c r="F1545" s="331"/>
      <c r="G1545" s="331"/>
      <c r="H1545" s="331">
        <f>SUBTOTAL(9,H1546:H1557)</f>
        <v>0</v>
      </c>
      <c r="I1545" s="284"/>
      <c r="J1545" s="302" t="s">
        <v>21</v>
      </c>
      <c r="K1545" s="303"/>
      <c r="L1545" s="303"/>
      <c r="M1545" s="304"/>
      <c r="N1545" s="304"/>
      <c r="P1545" s="306"/>
    </row>
    <row r="1546" spans="1:16" s="305" customFormat="1" ht="14" outlineLevel="3">
      <c r="A1546" s="280">
        <v>1.1000000000000001</v>
      </c>
      <c r="B1546" s="339" t="s">
        <v>843</v>
      </c>
      <c r="C1546" s="341"/>
      <c r="D1546" s="331"/>
      <c r="E1546" s="331"/>
      <c r="F1546" s="331"/>
      <c r="G1546" s="331"/>
      <c r="H1546" s="331"/>
      <c r="I1546" s="353"/>
      <c r="J1546" s="302" t="s">
        <v>21</v>
      </c>
      <c r="K1546" s="303"/>
      <c r="L1546" s="303"/>
      <c r="M1546" s="304"/>
      <c r="N1546" s="304"/>
      <c r="P1546" s="306"/>
    </row>
    <row r="1547" spans="1:16" s="459" customFormat="1" ht="14" outlineLevel="3">
      <c r="A1547" s="452">
        <v>1.2</v>
      </c>
      <c r="B1547" s="461" t="s">
        <v>1140</v>
      </c>
      <c r="C1547" s="454"/>
      <c r="D1547" s="455"/>
      <c r="E1547" s="455"/>
      <c r="F1547" s="455"/>
      <c r="G1547" s="455"/>
      <c r="H1547" s="455">
        <f>SUBTOTAL(9,H1548:H1557)</f>
        <v>0</v>
      </c>
      <c r="I1547" s="462"/>
      <c r="J1547" s="302" t="s">
        <v>21</v>
      </c>
      <c r="K1547" s="457"/>
      <c r="L1547" s="457"/>
      <c r="M1547" s="457" t="s">
        <v>32</v>
      </c>
      <c r="N1547" s="458"/>
    </row>
    <row r="1548" spans="1:16" s="469" customFormat="1" ht="14" outlineLevel="4">
      <c r="A1548" s="470" t="s">
        <v>8</v>
      </c>
      <c r="B1548" s="475" t="s">
        <v>844</v>
      </c>
      <c r="C1548" s="338" t="s">
        <v>24</v>
      </c>
      <c r="D1548" s="294"/>
      <c r="E1548" s="294"/>
      <c r="F1548" s="294"/>
      <c r="G1548" s="8">
        <f t="shared" ref="G1548:G1557" si="336">F1548*D1548</f>
        <v>0</v>
      </c>
      <c r="H1548" s="294">
        <f t="shared" ref="H1548:H1557" si="337">F1548*E1548</f>
        <v>0</v>
      </c>
      <c r="I1548" s="467"/>
      <c r="J1548" s="302" t="s">
        <v>21</v>
      </c>
      <c r="K1548" s="457" t="s">
        <v>128</v>
      </c>
      <c r="L1548" s="457" t="s">
        <v>99</v>
      </c>
      <c r="M1548" s="457" t="s">
        <v>32</v>
      </c>
      <c r="N1548" s="468"/>
    </row>
    <row r="1549" spans="1:16" s="469" customFormat="1" ht="14" outlineLevel="4">
      <c r="A1549" s="470" t="s">
        <v>8</v>
      </c>
      <c r="B1549" s="475" t="s">
        <v>845</v>
      </c>
      <c r="C1549" s="338" t="s">
        <v>15</v>
      </c>
      <c r="D1549" s="294"/>
      <c r="E1549" s="294"/>
      <c r="F1549" s="294"/>
      <c r="G1549" s="8">
        <f t="shared" si="336"/>
        <v>0</v>
      </c>
      <c r="H1549" s="294">
        <f t="shared" si="337"/>
        <v>0</v>
      </c>
      <c r="I1549" s="467"/>
      <c r="J1549" s="302" t="s">
        <v>21</v>
      </c>
      <c r="K1549" s="457" t="s">
        <v>128</v>
      </c>
      <c r="L1549" s="457" t="s">
        <v>99</v>
      </c>
      <c r="M1549" s="457" t="s">
        <v>32</v>
      </c>
      <c r="N1549" s="468"/>
    </row>
    <row r="1550" spans="1:16" s="469" customFormat="1" ht="14" outlineLevel="4">
      <c r="A1550" s="470" t="s">
        <v>8</v>
      </c>
      <c r="B1550" s="475" t="s">
        <v>846</v>
      </c>
      <c r="C1550" s="338" t="s">
        <v>15</v>
      </c>
      <c r="D1550" s="294"/>
      <c r="E1550" s="294"/>
      <c r="F1550" s="294"/>
      <c r="G1550" s="8">
        <f t="shared" si="336"/>
        <v>0</v>
      </c>
      <c r="H1550" s="294">
        <f t="shared" si="337"/>
        <v>0</v>
      </c>
      <c r="I1550" s="467"/>
      <c r="J1550" s="302" t="s">
        <v>21</v>
      </c>
      <c r="K1550" s="457" t="s">
        <v>128</v>
      </c>
      <c r="L1550" s="457" t="s">
        <v>99</v>
      </c>
      <c r="M1550" s="457" t="s">
        <v>32</v>
      </c>
      <c r="N1550" s="468"/>
    </row>
    <row r="1551" spans="1:16" s="469" customFormat="1" ht="14" outlineLevel="4">
      <c r="A1551" s="470" t="s">
        <v>8</v>
      </c>
      <c r="B1551" s="475" t="s">
        <v>847</v>
      </c>
      <c r="C1551" s="338" t="s">
        <v>15</v>
      </c>
      <c r="D1551" s="294"/>
      <c r="E1551" s="294"/>
      <c r="F1551" s="294"/>
      <c r="G1551" s="8">
        <f t="shared" si="336"/>
        <v>0</v>
      </c>
      <c r="H1551" s="294">
        <f t="shared" si="337"/>
        <v>0</v>
      </c>
      <c r="I1551" s="467"/>
      <c r="J1551" s="302" t="s">
        <v>21</v>
      </c>
      <c r="K1551" s="457" t="s">
        <v>128</v>
      </c>
      <c r="L1551" s="457" t="s">
        <v>99</v>
      </c>
      <c r="M1551" s="457" t="s">
        <v>32</v>
      </c>
      <c r="N1551" s="468"/>
    </row>
    <row r="1552" spans="1:16" s="469" customFormat="1" ht="14" outlineLevel="4">
      <c r="A1552" s="470" t="s">
        <v>8</v>
      </c>
      <c r="B1552" s="475" t="s">
        <v>848</v>
      </c>
      <c r="C1552" s="338" t="s">
        <v>24</v>
      </c>
      <c r="D1552" s="294"/>
      <c r="E1552" s="294"/>
      <c r="F1552" s="294"/>
      <c r="G1552" s="8">
        <f t="shared" si="336"/>
        <v>0</v>
      </c>
      <c r="H1552" s="294">
        <f t="shared" si="337"/>
        <v>0</v>
      </c>
      <c r="I1552" s="467"/>
      <c r="J1552" s="302" t="s">
        <v>21</v>
      </c>
      <c r="K1552" s="457" t="s">
        <v>128</v>
      </c>
      <c r="L1552" s="457" t="s">
        <v>99</v>
      </c>
      <c r="M1552" s="457" t="s">
        <v>32</v>
      </c>
      <c r="N1552" s="468"/>
    </row>
    <row r="1553" spans="1:14" s="469" customFormat="1" ht="14" outlineLevel="4">
      <c r="A1553" s="470" t="s">
        <v>8</v>
      </c>
      <c r="B1553" s="475" t="s">
        <v>849</v>
      </c>
      <c r="C1553" s="338" t="s">
        <v>15</v>
      </c>
      <c r="D1553" s="294"/>
      <c r="E1553" s="294"/>
      <c r="F1553" s="294"/>
      <c r="G1553" s="8">
        <f t="shared" si="336"/>
        <v>0</v>
      </c>
      <c r="H1553" s="294">
        <f t="shared" si="337"/>
        <v>0</v>
      </c>
      <c r="I1553" s="467"/>
      <c r="J1553" s="302" t="s">
        <v>21</v>
      </c>
      <c r="K1553" s="457" t="s">
        <v>128</v>
      </c>
      <c r="L1553" s="457" t="s">
        <v>99</v>
      </c>
      <c r="M1553" s="457" t="s">
        <v>32</v>
      </c>
      <c r="N1553" s="468"/>
    </row>
    <row r="1554" spans="1:14" s="469" customFormat="1" ht="14" outlineLevel="4">
      <c r="A1554" s="470" t="s">
        <v>8</v>
      </c>
      <c r="B1554" s="475" t="s">
        <v>850</v>
      </c>
      <c r="C1554" s="338" t="s">
        <v>15</v>
      </c>
      <c r="D1554" s="294"/>
      <c r="E1554" s="294"/>
      <c r="F1554" s="294"/>
      <c r="G1554" s="8">
        <f t="shared" si="336"/>
        <v>0</v>
      </c>
      <c r="H1554" s="294">
        <f t="shared" si="337"/>
        <v>0</v>
      </c>
      <c r="I1554" s="467"/>
      <c r="J1554" s="302" t="s">
        <v>21</v>
      </c>
      <c r="K1554" s="457" t="s">
        <v>128</v>
      </c>
      <c r="L1554" s="457" t="s">
        <v>99</v>
      </c>
      <c r="M1554" s="457" t="s">
        <v>32</v>
      </c>
      <c r="N1554" s="468"/>
    </row>
    <row r="1555" spans="1:14" s="469" customFormat="1" ht="14" outlineLevel="4">
      <c r="A1555" s="470" t="s">
        <v>8</v>
      </c>
      <c r="B1555" s="475" t="s">
        <v>851</v>
      </c>
      <c r="C1555" s="338" t="s">
        <v>15</v>
      </c>
      <c r="D1555" s="294"/>
      <c r="E1555" s="294"/>
      <c r="F1555" s="294"/>
      <c r="G1555" s="8">
        <f t="shared" si="336"/>
        <v>0</v>
      </c>
      <c r="H1555" s="294">
        <f t="shared" si="337"/>
        <v>0</v>
      </c>
      <c r="I1555" s="467"/>
      <c r="J1555" s="302" t="s">
        <v>21</v>
      </c>
      <c r="K1555" s="457" t="s">
        <v>128</v>
      </c>
      <c r="L1555" s="457" t="s">
        <v>99</v>
      </c>
      <c r="M1555" s="457" t="s">
        <v>32</v>
      </c>
      <c r="N1555" s="468"/>
    </row>
    <row r="1556" spans="1:14" s="469" customFormat="1" ht="14" outlineLevel="4">
      <c r="A1556" s="470" t="s">
        <v>8</v>
      </c>
      <c r="B1556" s="475" t="s">
        <v>852</v>
      </c>
      <c r="C1556" s="338" t="s">
        <v>15</v>
      </c>
      <c r="D1556" s="294"/>
      <c r="E1556" s="294"/>
      <c r="F1556" s="294"/>
      <c r="G1556" s="8">
        <f t="shared" si="336"/>
        <v>0</v>
      </c>
      <c r="H1556" s="294">
        <f t="shared" si="337"/>
        <v>0</v>
      </c>
      <c r="I1556" s="467"/>
      <c r="J1556" s="302" t="s">
        <v>21</v>
      </c>
      <c r="K1556" s="457" t="s">
        <v>128</v>
      </c>
      <c r="L1556" s="457" t="s">
        <v>99</v>
      </c>
      <c r="M1556" s="457" t="s">
        <v>32</v>
      </c>
      <c r="N1556" s="468"/>
    </row>
    <row r="1557" spans="1:14" s="469" customFormat="1" ht="14" outlineLevel="4">
      <c r="A1557" s="470" t="s">
        <v>8</v>
      </c>
      <c r="B1557" s="475" t="s">
        <v>853</v>
      </c>
      <c r="C1557" s="338" t="s">
        <v>15</v>
      </c>
      <c r="D1557" s="294"/>
      <c r="E1557" s="294"/>
      <c r="F1557" s="294"/>
      <c r="G1557" s="8">
        <f t="shared" si="336"/>
        <v>0</v>
      </c>
      <c r="H1557" s="294">
        <f t="shared" si="337"/>
        <v>0</v>
      </c>
      <c r="I1557" s="467"/>
      <c r="J1557" s="302" t="s">
        <v>21</v>
      </c>
      <c r="K1557" s="457" t="s">
        <v>128</v>
      </c>
      <c r="L1557" s="457" t="s">
        <v>99</v>
      </c>
      <c r="M1557" s="457" t="s">
        <v>32</v>
      </c>
      <c r="N1557" s="468"/>
    </row>
    <row r="1558" spans="1:14" s="459" customFormat="1" ht="14" outlineLevel="3">
      <c r="A1558" s="452">
        <v>1.3</v>
      </c>
      <c r="B1558" s="461" t="s">
        <v>1142</v>
      </c>
      <c r="C1558" s="454"/>
      <c r="D1558" s="455"/>
      <c r="E1558" s="455"/>
      <c r="F1558" s="455"/>
      <c r="G1558" s="455"/>
      <c r="H1558" s="455">
        <f>SUBTOTAL(9,H1559:H1560)</f>
        <v>9741</v>
      </c>
      <c r="I1558" s="462"/>
      <c r="J1558" s="302" t="s">
        <v>21</v>
      </c>
      <c r="K1558" s="457"/>
      <c r="L1558" s="457"/>
      <c r="M1558" s="457" t="s">
        <v>32</v>
      </c>
      <c r="N1558" s="458"/>
    </row>
    <row r="1559" spans="1:14" s="469" customFormat="1" ht="14" outlineLevel="4">
      <c r="A1559" s="470" t="s">
        <v>8</v>
      </c>
      <c r="B1559" s="475" t="s">
        <v>931</v>
      </c>
      <c r="C1559" s="338" t="s">
        <v>33</v>
      </c>
      <c r="D1559" s="294">
        <v>2</v>
      </c>
      <c r="E1559" s="294">
        <v>19</v>
      </c>
      <c r="F1559" s="294">
        <v>31</v>
      </c>
      <c r="G1559" s="8">
        <f t="shared" ref="G1559:G1560" si="338">F1559*D1559</f>
        <v>62</v>
      </c>
      <c r="H1559" s="294">
        <f t="shared" ref="H1559:H1560" si="339">F1559*E1559</f>
        <v>589</v>
      </c>
      <c r="I1559" s="467"/>
      <c r="J1559" s="302" t="s">
        <v>21</v>
      </c>
      <c r="K1559" s="457" t="s">
        <v>128</v>
      </c>
      <c r="L1559" s="457" t="s">
        <v>99</v>
      </c>
      <c r="M1559" s="457" t="s">
        <v>32</v>
      </c>
      <c r="N1559" s="468"/>
    </row>
    <row r="1560" spans="1:14" s="469" customFormat="1" ht="14" outlineLevel="4">
      <c r="A1560" s="470" t="s">
        <v>8</v>
      </c>
      <c r="B1560" s="475" t="s">
        <v>932</v>
      </c>
      <c r="C1560" s="338" t="s">
        <v>33</v>
      </c>
      <c r="D1560" s="294">
        <v>0</v>
      </c>
      <c r="E1560" s="294">
        <v>572</v>
      </c>
      <c r="F1560" s="294">
        <v>16</v>
      </c>
      <c r="G1560" s="8">
        <f t="shared" si="338"/>
        <v>0</v>
      </c>
      <c r="H1560" s="294">
        <f t="shared" si="339"/>
        <v>9152</v>
      </c>
      <c r="I1560" s="467"/>
      <c r="J1560" s="302" t="s">
        <v>21</v>
      </c>
      <c r="K1560" s="457" t="s">
        <v>128</v>
      </c>
      <c r="L1560" s="457" t="s">
        <v>99</v>
      </c>
      <c r="M1560" s="457" t="s">
        <v>32</v>
      </c>
      <c r="N1560" s="468"/>
    </row>
    <row r="1561" spans="1:14" s="459" customFormat="1" ht="14" outlineLevel="3">
      <c r="A1561" s="452">
        <v>1.4</v>
      </c>
      <c r="B1561" s="461" t="s">
        <v>1343</v>
      </c>
      <c r="C1561" s="454"/>
      <c r="D1561" s="455"/>
      <c r="E1561" s="455"/>
      <c r="F1561" s="455"/>
      <c r="G1561" s="455"/>
      <c r="H1561" s="455">
        <f>SUBTOTAL(9,H1562:H1571)</f>
        <v>1576126.5520000001</v>
      </c>
      <c r="I1561" s="462"/>
      <c r="J1561" s="302" t="s">
        <v>21</v>
      </c>
      <c r="K1561" s="457"/>
      <c r="L1561" s="457"/>
      <c r="M1561" s="457" t="s">
        <v>32</v>
      </c>
      <c r="N1561" s="458"/>
    </row>
    <row r="1562" spans="1:14" s="469" customFormat="1" ht="14" outlineLevel="4">
      <c r="A1562" s="470" t="s">
        <v>8</v>
      </c>
      <c r="B1562" s="475" t="s">
        <v>1337</v>
      </c>
      <c r="C1562" s="338" t="s">
        <v>24</v>
      </c>
      <c r="D1562" s="294"/>
      <c r="E1562" s="294">
        <v>572</v>
      </c>
      <c r="F1562" s="294">
        <v>2200</v>
      </c>
      <c r="G1562" s="8">
        <f t="shared" ref="G1562:G1571" si="340">F1562*D1562</f>
        <v>0</v>
      </c>
      <c r="H1562" s="294">
        <f t="shared" ref="H1562:H1571" si="341">F1562*E1562</f>
        <v>1258400</v>
      </c>
      <c r="I1562" s="467"/>
      <c r="J1562" s="302" t="s">
        <v>21</v>
      </c>
      <c r="K1562" s="457" t="s">
        <v>128</v>
      </c>
      <c r="L1562" s="457" t="s">
        <v>99</v>
      </c>
      <c r="M1562" s="457" t="s">
        <v>32</v>
      </c>
      <c r="N1562" s="468"/>
    </row>
    <row r="1563" spans="1:14" s="469" customFormat="1" ht="14" outlineLevel="4">
      <c r="A1563" s="470" t="s">
        <v>8</v>
      </c>
      <c r="B1563" s="475" t="s">
        <v>855</v>
      </c>
      <c r="C1563" s="338" t="s">
        <v>15</v>
      </c>
      <c r="D1563" s="294"/>
      <c r="E1563" s="294">
        <v>0</v>
      </c>
      <c r="F1563" s="294">
        <v>37.549999999999997</v>
      </c>
      <c r="G1563" s="8">
        <f t="shared" si="340"/>
        <v>0</v>
      </c>
      <c r="H1563" s="294">
        <f t="shared" si="341"/>
        <v>0</v>
      </c>
      <c r="I1563" s="467"/>
      <c r="J1563" s="302" t="s">
        <v>21</v>
      </c>
      <c r="K1563" s="457" t="s">
        <v>128</v>
      </c>
      <c r="L1563" s="457" t="s">
        <v>99</v>
      </c>
      <c r="M1563" s="457" t="s">
        <v>32</v>
      </c>
      <c r="N1563" s="468"/>
    </row>
    <row r="1564" spans="1:14" s="469" customFormat="1" ht="14" outlineLevel="4">
      <c r="A1564" s="470" t="s">
        <v>8</v>
      </c>
      <c r="B1564" s="475" t="s">
        <v>1338</v>
      </c>
      <c r="C1564" s="338" t="s">
        <v>15</v>
      </c>
      <c r="D1564" s="294"/>
      <c r="E1564" s="294"/>
      <c r="F1564" s="294">
        <v>37.4</v>
      </c>
      <c r="G1564" s="8">
        <f t="shared" si="340"/>
        <v>0</v>
      </c>
      <c r="H1564" s="294">
        <f t="shared" si="341"/>
        <v>0</v>
      </c>
      <c r="I1564" s="467"/>
      <c r="J1564" s="302" t="s">
        <v>21</v>
      </c>
      <c r="K1564" s="457" t="s">
        <v>128</v>
      </c>
      <c r="L1564" s="457" t="s">
        <v>99</v>
      </c>
      <c r="M1564" s="457" t="s">
        <v>32</v>
      </c>
      <c r="N1564" s="468"/>
    </row>
    <row r="1565" spans="1:14" s="469" customFormat="1" ht="14" outlineLevel="4">
      <c r="A1565" s="470" t="s">
        <v>8</v>
      </c>
      <c r="B1565" s="475" t="s">
        <v>1473</v>
      </c>
      <c r="C1565" s="338" t="s">
        <v>15</v>
      </c>
      <c r="D1565" s="294"/>
      <c r="E1565" s="294">
        <v>343.2</v>
      </c>
      <c r="F1565" s="294">
        <v>24.31</v>
      </c>
      <c r="G1565" s="8">
        <f t="shared" si="340"/>
        <v>0</v>
      </c>
      <c r="H1565" s="294">
        <f t="shared" si="341"/>
        <v>8343.1919999999991</v>
      </c>
      <c r="I1565" s="467"/>
      <c r="J1565" s="302" t="s">
        <v>21</v>
      </c>
      <c r="K1565" s="457" t="s">
        <v>128</v>
      </c>
      <c r="L1565" s="457" t="s">
        <v>99</v>
      </c>
      <c r="M1565" s="457" t="s">
        <v>32</v>
      </c>
      <c r="N1565" s="468"/>
    </row>
    <row r="1566" spans="1:14" s="469" customFormat="1" ht="14" outlineLevel="4">
      <c r="A1566" s="470" t="s">
        <v>8</v>
      </c>
      <c r="B1566" s="475" t="s">
        <v>1474</v>
      </c>
      <c r="C1566" s="338" t="s">
        <v>24</v>
      </c>
      <c r="D1566" s="294"/>
      <c r="E1566" s="294">
        <v>572</v>
      </c>
      <c r="F1566" s="294">
        <v>66</v>
      </c>
      <c r="G1566" s="8">
        <f t="shared" si="340"/>
        <v>0</v>
      </c>
      <c r="H1566" s="294">
        <f t="shared" si="341"/>
        <v>37752</v>
      </c>
      <c r="I1566" s="467"/>
      <c r="J1566" s="302" t="s">
        <v>21</v>
      </c>
      <c r="K1566" s="457" t="s">
        <v>128</v>
      </c>
      <c r="L1566" s="457" t="s">
        <v>99</v>
      </c>
      <c r="M1566" s="457" t="s">
        <v>32</v>
      </c>
      <c r="N1566" s="468"/>
    </row>
    <row r="1567" spans="1:14" s="469" customFormat="1" ht="14" outlineLevel="4">
      <c r="A1567" s="470" t="s">
        <v>8</v>
      </c>
      <c r="B1567" s="475" t="s">
        <v>1475</v>
      </c>
      <c r="C1567" s="338" t="s">
        <v>15</v>
      </c>
      <c r="D1567" s="294"/>
      <c r="E1567" s="294">
        <v>228.8</v>
      </c>
      <c r="F1567" s="294">
        <v>140</v>
      </c>
      <c r="G1567" s="8">
        <f t="shared" si="340"/>
        <v>0</v>
      </c>
      <c r="H1567" s="294">
        <f t="shared" si="341"/>
        <v>32032</v>
      </c>
      <c r="I1567" s="467"/>
      <c r="J1567" s="302" t="s">
        <v>21</v>
      </c>
      <c r="K1567" s="457" t="s">
        <v>128</v>
      </c>
      <c r="L1567" s="457" t="s">
        <v>99</v>
      </c>
      <c r="M1567" s="457" t="s">
        <v>32</v>
      </c>
      <c r="N1567" s="468"/>
    </row>
    <row r="1568" spans="1:14" s="469" customFormat="1" ht="14" outlineLevel="4">
      <c r="A1568" s="470" t="s">
        <v>8</v>
      </c>
      <c r="B1568" s="475" t="s">
        <v>1476</v>
      </c>
      <c r="C1568" s="338" t="s">
        <v>15</v>
      </c>
      <c r="D1568" s="294"/>
      <c r="E1568" s="294">
        <v>686.4</v>
      </c>
      <c r="F1568" s="294">
        <v>37.4</v>
      </c>
      <c r="G1568" s="8">
        <f t="shared" si="340"/>
        <v>0</v>
      </c>
      <c r="H1568" s="294">
        <f t="shared" si="341"/>
        <v>25671.359999999997</v>
      </c>
      <c r="I1568" s="467"/>
      <c r="J1568" s="302" t="s">
        <v>21</v>
      </c>
      <c r="K1568" s="457" t="s">
        <v>128</v>
      </c>
      <c r="L1568" s="457" t="s">
        <v>99</v>
      </c>
      <c r="M1568" s="457" t="s">
        <v>32</v>
      </c>
      <c r="N1568" s="468"/>
    </row>
    <row r="1569" spans="1:16" s="469" customFormat="1" ht="14" outlineLevel="4">
      <c r="A1569" s="470" t="s">
        <v>8</v>
      </c>
      <c r="B1569" s="475" t="s">
        <v>1477</v>
      </c>
      <c r="C1569" s="338" t="s">
        <v>15</v>
      </c>
      <c r="D1569" s="294"/>
      <c r="E1569" s="294">
        <v>1144</v>
      </c>
      <c r="F1569" s="294">
        <v>99</v>
      </c>
      <c r="G1569" s="8">
        <f t="shared" si="340"/>
        <v>0</v>
      </c>
      <c r="H1569" s="294">
        <f t="shared" si="341"/>
        <v>113256</v>
      </c>
      <c r="I1569" s="467"/>
      <c r="J1569" s="302" t="s">
        <v>21</v>
      </c>
      <c r="K1569" s="457" t="s">
        <v>128</v>
      </c>
      <c r="L1569" s="457" t="s">
        <v>99</v>
      </c>
      <c r="M1569" s="457" t="s">
        <v>32</v>
      </c>
      <c r="N1569" s="468"/>
    </row>
    <row r="1570" spans="1:16" s="469" customFormat="1" ht="14" outlineLevel="4">
      <c r="A1570" s="470" t="s">
        <v>8</v>
      </c>
      <c r="B1570" s="475" t="s">
        <v>1478</v>
      </c>
      <c r="C1570" s="338" t="s">
        <v>15</v>
      </c>
      <c r="D1570" s="294"/>
      <c r="E1570" s="294">
        <v>457.6</v>
      </c>
      <c r="F1570" s="294">
        <v>220</v>
      </c>
      <c r="G1570" s="8">
        <f t="shared" si="340"/>
        <v>0</v>
      </c>
      <c r="H1570" s="294">
        <f t="shared" si="341"/>
        <v>100672</v>
      </c>
      <c r="I1570" s="467"/>
      <c r="J1570" s="302" t="s">
        <v>21</v>
      </c>
      <c r="K1570" s="457" t="s">
        <v>128</v>
      </c>
      <c r="L1570" s="457" t="s">
        <v>99</v>
      </c>
      <c r="M1570" s="457" t="s">
        <v>32</v>
      </c>
      <c r="N1570" s="468"/>
    </row>
    <row r="1571" spans="1:16" s="469" customFormat="1" ht="14" outlineLevel="4">
      <c r="A1571" s="470" t="s">
        <v>8</v>
      </c>
      <c r="B1571" s="475" t="s">
        <v>853</v>
      </c>
      <c r="C1571" s="338" t="s">
        <v>15</v>
      </c>
      <c r="D1571" s="294"/>
      <c r="E1571" s="294"/>
      <c r="F1571" s="294"/>
      <c r="G1571" s="8">
        <f t="shared" si="340"/>
        <v>0</v>
      </c>
      <c r="H1571" s="294">
        <f t="shared" si="341"/>
        <v>0</v>
      </c>
      <c r="I1571" s="467"/>
      <c r="J1571" s="302" t="s">
        <v>21</v>
      </c>
      <c r="K1571" s="457" t="s">
        <v>128</v>
      </c>
      <c r="L1571" s="457" t="s">
        <v>99</v>
      </c>
      <c r="M1571" s="457" t="s">
        <v>32</v>
      </c>
      <c r="N1571" s="468"/>
    </row>
    <row r="1572" spans="1:16" s="305" customFormat="1" ht="15" customHeight="1" outlineLevel="2">
      <c r="A1572" s="280">
        <v>2</v>
      </c>
      <c r="B1572" s="281" t="s">
        <v>247</v>
      </c>
      <c r="C1572" s="282"/>
      <c r="D1572" s="283"/>
      <c r="E1572" s="283"/>
      <c r="F1572" s="283"/>
      <c r="G1572" s="283">
        <f>SUBTOTAL(9,G1573:G1583)</f>
        <v>28394</v>
      </c>
      <c r="H1572" s="283">
        <f>SUBTOTAL(9,H1573:H1583)</f>
        <v>1146498.53</v>
      </c>
      <c r="I1572" s="283"/>
      <c r="J1572" s="302" t="s">
        <v>21</v>
      </c>
      <c r="K1572" s="303"/>
      <c r="L1572" s="303"/>
      <c r="M1572" s="304"/>
      <c r="N1572" s="304"/>
      <c r="P1572" s="306"/>
    </row>
    <row r="1573" spans="1:16" s="305" customFormat="1" ht="14" outlineLevel="5">
      <c r="A1573" s="280">
        <v>2.1</v>
      </c>
      <c r="B1573" s="300" t="s">
        <v>249</v>
      </c>
      <c r="C1573" s="282"/>
      <c r="D1573" s="283"/>
      <c r="E1573" s="283"/>
      <c r="F1573" s="283"/>
      <c r="G1573" s="283">
        <f>SUBTOTAL(9,G1574:G1583)</f>
        <v>28394</v>
      </c>
      <c r="H1573" s="283">
        <f>SUBTOTAL(9,H1574:H1583)</f>
        <v>1146498.53</v>
      </c>
      <c r="I1573" s="283"/>
      <c r="J1573" s="302" t="s">
        <v>21</v>
      </c>
      <c r="K1573" s="303"/>
      <c r="L1573" s="303"/>
      <c r="M1573" s="304"/>
      <c r="N1573" s="304"/>
      <c r="P1573" s="306"/>
    </row>
    <row r="1574" spans="1:16" s="469" customFormat="1" ht="14" outlineLevel="5">
      <c r="A1574" s="470" t="s">
        <v>8</v>
      </c>
      <c r="B1574" s="471" t="s">
        <v>866</v>
      </c>
      <c r="C1574" s="338" t="s">
        <v>24</v>
      </c>
      <c r="D1574" s="294">
        <v>2</v>
      </c>
      <c r="E1574" s="294">
        <v>19</v>
      </c>
      <c r="F1574" s="294">
        <v>14197</v>
      </c>
      <c r="G1574" s="8">
        <f t="shared" ref="G1574:G1583" si="342">F1574*D1574</f>
        <v>28394</v>
      </c>
      <c r="H1574" s="294">
        <f t="shared" ref="H1574:H1583" si="343">F1574*E1574</f>
        <v>269743</v>
      </c>
      <c r="I1574" s="467"/>
      <c r="J1574" s="302" t="s">
        <v>21</v>
      </c>
      <c r="K1574" s="457" t="s">
        <v>128</v>
      </c>
      <c r="L1574" s="457" t="s">
        <v>99</v>
      </c>
      <c r="M1574" s="457" t="s">
        <v>32</v>
      </c>
      <c r="N1574" s="468"/>
    </row>
    <row r="1575" spans="1:16" s="469" customFormat="1" ht="14" outlineLevel="5">
      <c r="A1575" s="470" t="s">
        <v>8</v>
      </c>
      <c r="B1575" s="471" t="s">
        <v>867</v>
      </c>
      <c r="C1575" s="338" t="s">
        <v>15</v>
      </c>
      <c r="D1575" s="294">
        <v>0</v>
      </c>
      <c r="E1575" s="294">
        <v>12</v>
      </c>
      <c r="F1575" s="294">
        <v>18244</v>
      </c>
      <c r="G1575" s="8">
        <f t="shared" si="342"/>
        <v>0</v>
      </c>
      <c r="H1575" s="294">
        <f t="shared" si="343"/>
        <v>218928</v>
      </c>
      <c r="I1575" s="467"/>
      <c r="J1575" s="302" t="s">
        <v>21</v>
      </c>
      <c r="K1575" s="457" t="s">
        <v>128</v>
      </c>
      <c r="L1575" s="457" t="s">
        <v>99</v>
      </c>
      <c r="M1575" s="457" t="s">
        <v>32</v>
      </c>
      <c r="N1575" s="468"/>
    </row>
    <row r="1576" spans="1:16" s="469" customFormat="1" ht="14" outlineLevel="5">
      <c r="A1576" s="470" t="s">
        <v>8</v>
      </c>
      <c r="B1576" s="471" t="s">
        <v>868</v>
      </c>
      <c r="C1576" s="338" t="s">
        <v>15</v>
      </c>
      <c r="D1576" s="294"/>
      <c r="E1576" s="294">
        <v>67</v>
      </c>
      <c r="F1576" s="294">
        <v>8212.99</v>
      </c>
      <c r="G1576" s="8">
        <f t="shared" si="342"/>
        <v>0</v>
      </c>
      <c r="H1576" s="294">
        <f t="shared" si="343"/>
        <v>550270.32999999996</v>
      </c>
      <c r="I1576" s="467"/>
      <c r="J1576" s="302" t="s">
        <v>21</v>
      </c>
      <c r="K1576" s="457" t="s">
        <v>128</v>
      </c>
      <c r="L1576" s="457" t="s">
        <v>99</v>
      </c>
      <c r="M1576" s="457" t="s">
        <v>32</v>
      </c>
      <c r="N1576" s="468"/>
    </row>
    <row r="1577" spans="1:16" s="469" customFormat="1" ht="14" outlineLevel="5">
      <c r="A1577" s="470" t="s">
        <v>8</v>
      </c>
      <c r="B1577" s="471" t="s">
        <v>856</v>
      </c>
      <c r="C1577" s="338" t="s">
        <v>15</v>
      </c>
      <c r="D1577" s="294">
        <v>0</v>
      </c>
      <c r="E1577" s="294">
        <v>335</v>
      </c>
      <c r="F1577" s="294">
        <v>52</v>
      </c>
      <c r="G1577" s="8">
        <f t="shared" si="342"/>
        <v>0</v>
      </c>
      <c r="H1577" s="294">
        <f t="shared" si="343"/>
        <v>17420</v>
      </c>
      <c r="I1577" s="467"/>
      <c r="J1577" s="302" t="s">
        <v>21</v>
      </c>
      <c r="K1577" s="457" t="s">
        <v>128</v>
      </c>
      <c r="L1577" s="457" t="s">
        <v>99</v>
      </c>
      <c r="M1577" s="457" t="s">
        <v>32</v>
      </c>
      <c r="N1577" s="468"/>
    </row>
    <row r="1578" spans="1:16" s="469" customFormat="1" ht="14" outlineLevel="5">
      <c r="A1578" s="470" t="s">
        <v>8</v>
      </c>
      <c r="B1578" s="471" t="s">
        <v>857</v>
      </c>
      <c r="C1578" s="338" t="s">
        <v>24</v>
      </c>
      <c r="D1578" s="294">
        <v>0</v>
      </c>
      <c r="E1578" s="294">
        <v>201</v>
      </c>
      <c r="F1578" s="294">
        <v>132</v>
      </c>
      <c r="G1578" s="8">
        <f t="shared" si="342"/>
        <v>0</v>
      </c>
      <c r="H1578" s="294">
        <f t="shared" si="343"/>
        <v>26532</v>
      </c>
      <c r="I1578" s="467"/>
      <c r="J1578" s="302" t="s">
        <v>21</v>
      </c>
      <c r="K1578" s="457" t="s">
        <v>128</v>
      </c>
      <c r="L1578" s="457" t="s">
        <v>99</v>
      </c>
      <c r="M1578" s="457" t="s">
        <v>32</v>
      </c>
      <c r="N1578" s="468"/>
    </row>
    <row r="1579" spans="1:16" s="469" customFormat="1" ht="14" outlineLevel="5">
      <c r="A1579" s="470" t="s">
        <v>8</v>
      </c>
      <c r="B1579" s="471" t="s">
        <v>858</v>
      </c>
      <c r="C1579" s="338" t="s">
        <v>15</v>
      </c>
      <c r="D1579" s="294">
        <v>0</v>
      </c>
      <c r="E1579" s="294">
        <v>134</v>
      </c>
      <c r="F1579" s="294">
        <v>269</v>
      </c>
      <c r="G1579" s="8">
        <f t="shared" si="342"/>
        <v>0</v>
      </c>
      <c r="H1579" s="294">
        <f t="shared" si="343"/>
        <v>36046</v>
      </c>
      <c r="I1579" s="467"/>
      <c r="J1579" s="302" t="s">
        <v>21</v>
      </c>
      <c r="K1579" s="457" t="s">
        <v>128</v>
      </c>
      <c r="L1579" s="457" t="s">
        <v>99</v>
      </c>
      <c r="M1579" s="457" t="s">
        <v>32</v>
      </c>
      <c r="N1579" s="468"/>
    </row>
    <row r="1580" spans="1:16" s="469" customFormat="1" ht="14" outlineLevel="5">
      <c r="A1580" s="470" t="s">
        <v>8</v>
      </c>
      <c r="B1580" s="471" t="s">
        <v>1505</v>
      </c>
      <c r="C1580" s="338" t="s">
        <v>15</v>
      </c>
      <c r="D1580" s="294">
        <v>0</v>
      </c>
      <c r="E1580" s="294">
        <v>7.1999999999999993</v>
      </c>
      <c r="F1580" s="294">
        <v>151</v>
      </c>
      <c r="G1580" s="8">
        <f t="shared" si="342"/>
        <v>0</v>
      </c>
      <c r="H1580" s="294">
        <f t="shared" si="343"/>
        <v>1087.1999999999998</v>
      </c>
      <c r="I1580" s="467"/>
      <c r="J1580" s="302" t="s">
        <v>21</v>
      </c>
      <c r="K1580" s="457" t="s">
        <v>128</v>
      </c>
      <c r="L1580" s="457" t="s">
        <v>99</v>
      </c>
      <c r="M1580" s="457" t="s">
        <v>32</v>
      </c>
      <c r="N1580" s="468"/>
    </row>
    <row r="1581" spans="1:16" s="469" customFormat="1" ht="14" outlineLevel="5">
      <c r="A1581" s="470" t="s">
        <v>8</v>
      </c>
      <c r="B1581" s="471" t="s">
        <v>1506</v>
      </c>
      <c r="C1581" s="338" t="s">
        <v>15</v>
      </c>
      <c r="D1581" s="294">
        <v>0</v>
      </c>
      <c r="E1581" s="294">
        <v>12</v>
      </c>
      <c r="F1581" s="294">
        <v>1400</v>
      </c>
      <c r="G1581" s="8">
        <f t="shared" si="342"/>
        <v>0</v>
      </c>
      <c r="H1581" s="294">
        <f t="shared" si="343"/>
        <v>16800</v>
      </c>
      <c r="I1581" s="467"/>
      <c r="J1581" s="302" t="s">
        <v>21</v>
      </c>
      <c r="K1581" s="457" t="s">
        <v>128</v>
      </c>
      <c r="L1581" s="457" t="s">
        <v>99</v>
      </c>
      <c r="M1581" s="457" t="s">
        <v>32</v>
      </c>
      <c r="N1581" s="468"/>
    </row>
    <row r="1582" spans="1:16" s="469" customFormat="1" ht="14" outlineLevel="5">
      <c r="A1582" s="470" t="s">
        <v>8</v>
      </c>
      <c r="B1582" s="471" t="s">
        <v>1507</v>
      </c>
      <c r="C1582" s="338" t="s">
        <v>24</v>
      </c>
      <c r="D1582" s="294">
        <v>0</v>
      </c>
      <c r="E1582" s="294">
        <v>4.8000000000000007</v>
      </c>
      <c r="F1582" s="294">
        <v>2000</v>
      </c>
      <c r="G1582" s="8">
        <f t="shared" si="342"/>
        <v>0</v>
      </c>
      <c r="H1582" s="294">
        <f t="shared" si="343"/>
        <v>9600.0000000000018</v>
      </c>
      <c r="I1582" s="467"/>
      <c r="J1582" s="302" t="s">
        <v>21</v>
      </c>
      <c r="K1582" s="457" t="s">
        <v>128</v>
      </c>
      <c r="L1582" s="457" t="s">
        <v>99</v>
      </c>
      <c r="M1582" s="457" t="s">
        <v>32</v>
      </c>
      <c r="N1582" s="468"/>
    </row>
    <row r="1583" spans="1:16" s="469" customFormat="1" ht="14" outlineLevel="5">
      <c r="A1583" s="470" t="s">
        <v>8</v>
      </c>
      <c r="B1583" s="471" t="s">
        <v>853</v>
      </c>
      <c r="C1583" s="338" t="s">
        <v>15</v>
      </c>
      <c r="D1583" s="294">
        <v>0</v>
      </c>
      <c r="E1583" s="294">
        <v>14.4</v>
      </c>
      <c r="F1583" s="294">
        <v>5</v>
      </c>
      <c r="G1583" s="8">
        <f t="shared" si="342"/>
        <v>0</v>
      </c>
      <c r="H1583" s="294">
        <f t="shared" si="343"/>
        <v>72</v>
      </c>
      <c r="I1583" s="467"/>
      <c r="J1583" s="302" t="s">
        <v>21</v>
      </c>
      <c r="K1583" s="457" t="s">
        <v>128</v>
      </c>
      <c r="L1583" s="457" t="s">
        <v>99</v>
      </c>
      <c r="M1583" s="457" t="s">
        <v>32</v>
      </c>
      <c r="N1583" s="468"/>
    </row>
    <row r="1584" spans="1:16" s="305" customFormat="1" ht="14" outlineLevel="5">
      <c r="A1584" s="280">
        <v>2.2000000000000002</v>
      </c>
      <c r="B1584" s="300" t="s">
        <v>1502</v>
      </c>
      <c r="C1584" s="282"/>
      <c r="D1584" s="283"/>
      <c r="E1584" s="283"/>
      <c r="F1584" s="283"/>
      <c r="G1584" s="283">
        <f>SUBTOTAL(9,G1585:G1594)</f>
        <v>414782.69999999995</v>
      </c>
      <c r="H1584" s="283">
        <f>SUBTOTAL(9,H1585:H1594)</f>
        <v>1266588.53</v>
      </c>
      <c r="I1584" s="283"/>
      <c r="J1584" s="302" t="s">
        <v>21</v>
      </c>
      <c r="K1584" s="303"/>
      <c r="L1584" s="303"/>
      <c r="M1584" s="304"/>
      <c r="N1584" s="304"/>
      <c r="P1584" s="306" t="s">
        <v>1503</v>
      </c>
    </row>
    <row r="1585" spans="1:16" s="469" customFormat="1" ht="14" outlineLevel="5">
      <c r="A1585" s="470" t="s">
        <v>8</v>
      </c>
      <c r="B1585" s="471" t="s">
        <v>1504</v>
      </c>
      <c r="C1585" s="338" t="s">
        <v>879</v>
      </c>
      <c r="D1585" s="294">
        <v>9</v>
      </c>
      <c r="E1585" s="294">
        <v>19</v>
      </c>
      <c r="F1585" s="294">
        <v>14197</v>
      </c>
      <c r="G1585" s="8">
        <f t="shared" ref="G1585:G1594" si="344">F1585*D1585</f>
        <v>127773</v>
      </c>
      <c r="H1585" s="294">
        <f t="shared" ref="H1585:H1594" si="345">F1585*E1585</f>
        <v>269743</v>
      </c>
      <c r="I1585" s="467"/>
      <c r="J1585" s="302" t="s">
        <v>21</v>
      </c>
      <c r="K1585" s="457" t="s">
        <v>128</v>
      </c>
      <c r="L1585" s="457" t="s">
        <v>99</v>
      </c>
      <c r="M1585" s="457" t="s">
        <v>32</v>
      </c>
      <c r="N1585" s="468"/>
    </row>
    <row r="1586" spans="1:16" s="469" customFormat="1" ht="14" outlineLevel="5">
      <c r="A1586" s="470" t="s">
        <v>8</v>
      </c>
      <c r="B1586" s="471" t="s">
        <v>867</v>
      </c>
      <c r="C1586" s="338" t="s">
        <v>23</v>
      </c>
      <c r="D1586" s="294">
        <v>0</v>
      </c>
      <c r="E1586" s="294">
        <v>18</v>
      </c>
      <c r="F1586" s="294">
        <v>18244</v>
      </c>
      <c r="G1586" s="8">
        <f t="shared" si="344"/>
        <v>0</v>
      </c>
      <c r="H1586" s="294">
        <f t="shared" si="345"/>
        <v>328392</v>
      </c>
      <c r="I1586" s="467"/>
      <c r="J1586" s="302" t="s">
        <v>21</v>
      </c>
      <c r="K1586" s="457" t="s">
        <v>128</v>
      </c>
      <c r="L1586" s="457" t="s">
        <v>99</v>
      </c>
      <c r="M1586" s="457" t="s">
        <v>32</v>
      </c>
      <c r="N1586" s="468"/>
    </row>
    <row r="1587" spans="1:16" s="469" customFormat="1" ht="14" outlineLevel="5">
      <c r="A1587" s="470" t="s">
        <v>8</v>
      </c>
      <c r="B1587" s="471" t="s">
        <v>868</v>
      </c>
      <c r="C1587" s="338" t="s">
        <v>23</v>
      </c>
      <c r="D1587" s="294">
        <v>30</v>
      </c>
      <c r="E1587" s="294">
        <v>67</v>
      </c>
      <c r="F1587" s="294">
        <v>8212.99</v>
      </c>
      <c r="G1587" s="8">
        <f t="shared" si="344"/>
        <v>246389.69999999998</v>
      </c>
      <c r="H1587" s="294">
        <f t="shared" si="345"/>
        <v>550270.32999999996</v>
      </c>
      <c r="I1587" s="467"/>
      <c r="J1587" s="302" t="s">
        <v>21</v>
      </c>
      <c r="K1587" s="457" t="s">
        <v>128</v>
      </c>
      <c r="L1587" s="457" t="s">
        <v>99</v>
      </c>
      <c r="M1587" s="457" t="s">
        <v>32</v>
      </c>
      <c r="N1587" s="468"/>
    </row>
    <row r="1588" spans="1:16" s="469" customFormat="1" ht="14" outlineLevel="5">
      <c r="A1588" s="470" t="s">
        <v>8</v>
      </c>
      <c r="B1588" s="471" t="s">
        <v>1476</v>
      </c>
      <c r="C1588" s="338" t="s">
        <v>148</v>
      </c>
      <c r="D1588" s="294">
        <v>90</v>
      </c>
      <c r="E1588" s="294">
        <v>335</v>
      </c>
      <c r="F1588" s="294">
        <v>52</v>
      </c>
      <c r="G1588" s="8">
        <f t="shared" si="344"/>
        <v>4680</v>
      </c>
      <c r="H1588" s="294">
        <f t="shared" si="345"/>
        <v>17420</v>
      </c>
      <c r="I1588" s="467"/>
      <c r="J1588" s="302" t="s">
        <v>21</v>
      </c>
      <c r="K1588" s="457" t="s">
        <v>128</v>
      </c>
      <c r="L1588" s="457" t="s">
        <v>99</v>
      </c>
      <c r="M1588" s="457" t="s">
        <v>32</v>
      </c>
      <c r="N1588" s="468"/>
    </row>
    <row r="1589" spans="1:16" s="469" customFormat="1" ht="14" outlineLevel="5">
      <c r="A1589" s="470" t="s">
        <v>8</v>
      </c>
      <c r="B1589" s="471" t="s">
        <v>1477</v>
      </c>
      <c r="C1589" s="338" t="s">
        <v>148</v>
      </c>
      <c r="D1589" s="294">
        <v>150</v>
      </c>
      <c r="E1589" s="294">
        <v>201</v>
      </c>
      <c r="F1589" s="294">
        <v>132</v>
      </c>
      <c r="G1589" s="8">
        <f t="shared" si="344"/>
        <v>19800</v>
      </c>
      <c r="H1589" s="294">
        <f t="shared" si="345"/>
        <v>26532</v>
      </c>
      <c r="I1589" s="467"/>
      <c r="J1589" s="302" t="s">
        <v>21</v>
      </c>
      <c r="K1589" s="457" t="s">
        <v>128</v>
      </c>
      <c r="L1589" s="457" t="s">
        <v>99</v>
      </c>
      <c r="M1589" s="457" t="s">
        <v>32</v>
      </c>
      <c r="N1589" s="468"/>
    </row>
    <row r="1590" spans="1:16" s="469" customFormat="1" ht="14" outlineLevel="5">
      <c r="A1590" s="470" t="s">
        <v>8</v>
      </c>
      <c r="B1590" s="471" t="s">
        <v>1478</v>
      </c>
      <c r="C1590" s="338" t="s">
        <v>148</v>
      </c>
      <c r="D1590" s="294">
        <v>60</v>
      </c>
      <c r="E1590" s="294">
        <v>134</v>
      </c>
      <c r="F1590" s="294">
        <v>269</v>
      </c>
      <c r="G1590" s="8">
        <f t="shared" si="344"/>
        <v>16140</v>
      </c>
      <c r="H1590" s="294">
        <f t="shared" si="345"/>
        <v>36046</v>
      </c>
      <c r="I1590" s="467"/>
      <c r="J1590" s="302" t="s">
        <v>21</v>
      </c>
      <c r="K1590" s="457" t="s">
        <v>128</v>
      </c>
      <c r="L1590" s="457" t="s">
        <v>99</v>
      </c>
      <c r="M1590" s="457" t="s">
        <v>32</v>
      </c>
      <c r="N1590" s="468"/>
    </row>
    <row r="1591" spans="1:16" s="469" customFormat="1" ht="14" outlineLevel="5">
      <c r="A1591" s="470" t="s">
        <v>8</v>
      </c>
      <c r="B1591" s="471" t="s">
        <v>869</v>
      </c>
      <c r="C1591" s="338" t="s">
        <v>148</v>
      </c>
      <c r="D1591" s="294">
        <v>0</v>
      </c>
      <c r="E1591" s="294">
        <v>13.2</v>
      </c>
      <c r="F1591" s="294">
        <v>151</v>
      </c>
      <c r="G1591" s="8">
        <f t="shared" si="344"/>
        <v>0</v>
      </c>
      <c r="H1591" s="294">
        <f t="shared" si="345"/>
        <v>1993.1999999999998</v>
      </c>
      <c r="I1591" s="467"/>
      <c r="J1591" s="302" t="s">
        <v>21</v>
      </c>
      <c r="K1591" s="457" t="s">
        <v>128</v>
      </c>
      <c r="L1591" s="457" t="s">
        <v>99</v>
      </c>
      <c r="M1591" s="457" t="s">
        <v>32</v>
      </c>
      <c r="N1591" s="468"/>
    </row>
    <row r="1592" spans="1:16" s="469" customFormat="1" ht="14" outlineLevel="5">
      <c r="A1592" s="470" t="s">
        <v>8</v>
      </c>
      <c r="B1592" s="471" t="s">
        <v>870</v>
      </c>
      <c r="C1592" s="338" t="s">
        <v>148</v>
      </c>
      <c r="D1592" s="294">
        <v>0</v>
      </c>
      <c r="E1592" s="294">
        <v>16</v>
      </c>
      <c r="F1592" s="294">
        <v>1400</v>
      </c>
      <c r="G1592" s="8">
        <f t="shared" si="344"/>
        <v>0</v>
      </c>
      <c r="H1592" s="294">
        <f t="shared" si="345"/>
        <v>22400</v>
      </c>
      <c r="I1592" s="467"/>
      <c r="J1592" s="302" t="s">
        <v>21</v>
      </c>
      <c r="K1592" s="457" t="s">
        <v>128</v>
      </c>
      <c r="L1592" s="457" t="s">
        <v>99</v>
      </c>
      <c r="M1592" s="457" t="s">
        <v>32</v>
      </c>
      <c r="N1592" s="468"/>
    </row>
    <row r="1593" spans="1:16" s="469" customFormat="1" ht="14" outlineLevel="5">
      <c r="A1593" s="470" t="s">
        <v>8</v>
      </c>
      <c r="B1593" s="471" t="s">
        <v>871</v>
      </c>
      <c r="C1593" s="338" t="s">
        <v>148</v>
      </c>
      <c r="D1593" s="294">
        <v>0</v>
      </c>
      <c r="E1593" s="294">
        <v>6.8000000000000007</v>
      </c>
      <c r="F1593" s="294">
        <v>2000</v>
      </c>
      <c r="G1593" s="8">
        <f t="shared" si="344"/>
        <v>0</v>
      </c>
      <c r="H1593" s="294">
        <f t="shared" si="345"/>
        <v>13600.000000000002</v>
      </c>
      <c r="I1593" s="467"/>
      <c r="J1593" s="302" t="s">
        <v>21</v>
      </c>
      <c r="K1593" s="457" t="s">
        <v>128</v>
      </c>
      <c r="L1593" s="457" t="s">
        <v>99</v>
      </c>
      <c r="M1593" s="457" t="s">
        <v>32</v>
      </c>
      <c r="N1593" s="468"/>
    </row>
    <row r="1594" spans="1:16" s="469" customFormat="1" ht="14" outlineLevel="5">
      <c r="A1594" s="470" t="s">
        <v>8</v>
      </c>
      <c r="B1594" s="471" t="s">
        <v>853</v>
      </c>
      <c r="C1594" s="338" t="s">
        <v>880</v>
      </c>
      <c r="D1594" s="294"/>
      <c r="E1594" s="294">
        <v>38.4</v>
      </c>
      <c r="F1594" s="294">
        <v>5</v>
      </c>
      <c r="G1594" s="8">
        <f t="shared" si="344"/>
        <v>0</v>
      </c>
      <c r="H1594" s="294">
        <f t="shared" si="345"/>
        <v>192</v>
      </c>
      <c r="I1594" s="467"/>
      <c r="J1594" s="302" t="s">
        <v>21</v>
      </c>
      <c r="K1594" s="457" t="s">
        <v>128</v>
      </c>
      <c r="L1594" s="457" t="s">
        <v>99</v>
      </c>
      <c r="M1594" s="457" t="s">
        <v>32</v>
      </c>
      <c r="N1594" s="468"/>
    </row>
    <row r="1595" spans="1:16" s="305" customFormat="1" ht="15" customHeight="1" outlineLevel="3">
      <c r="A1595" s="280">
        <v>3</v>
      </c>
      <c r="B1595" s="281" t="s">
        <v>250</v>
      </c>
      <c r="C1595" s="282"/>
      <c r="D1595" s="283"/>
      <c r="E1595" s="283"/>
      <c r="F1595" s="283"/>
      <c r="G1595" s="283"/>
      <c r="H1595" s="283"/>
      <c r="I1595" s="283"/>
      <c r="J1595" s="302" t="s">
        <v>21</v>
      </c>
      <c r="K1595" s="303"/>
      <c r="L1595" s="303"/>
      <c r="M1595" s="304"/>
      <c r="N1595" s="304"/>
      <c r="P1595" s="306"/>
    </row>
    <row r="1596" spans="1:16" s="459" customFormat="1" ht="14" outlineLevel="5">
      <c r="A1596" s="477">
        <v>3.1</v>
      </c>
      <c r="B1596" s="476" t="s">
        <v>93</v>
      </c>
      <c r="C1596" s="464"/>
      <c r="D1596" s="385"/>
      <c r="E1596" s="385"/>
      <c r="F1596" s="385"/>
      <c r="G1596" s="385"/>
      <c r="H1596" s="385">
        <f>SUBTOTAL(9,H1597:H1610)</f>
        <v>0</v>
      </c>
      <c r="I1596" s="385"/>
      <c r="J1596" s="302" t="s">
        <v>21</v>
      </c>
      <c r="K1596" s="457"/>
      <c r="L1596" s="457"/>
      <c r="M1596" s="457" t="s">
        <v>32</v>
      </c>
      <c r="N1596" s="458"/>
    </row>
    <row r="1597" spans="1:16" s="469" customFormat="1" ht="14" outlineLevel="5">
      <c r="A1597" s="470" t="s">
        <v>8</v>
      </c>
      <c r="B1597" s="471" t="s">
        <v>872</v>
      </c>
      <c r="C1597" s="338" t="s">
        <v>24</v>
      </c>
      <c r="D1597" s="294"/>
      <c r="E1597" s="294"/>
      <c r="F1597" s="294"/>
      <c r="G1597" s="8">
        <f t="shared" ref="G1597:G1610" si="346">F1597*D1597</f>
        <v>0</v>
      </c>
      <c r="H1597" s="294">
        <f t="shared" ref="H1597:H1610" si="347">F1597*E1597</f>
        <v>0</v>
      </c>
      <c r="I1597" s="467"/>
      <c r="J1597" s="302" t="s">
        <v>21</v>
      </c>
      <c r="K1597" s="457" t="s">
        <v>128</v>
      </c>
      <c r="L1597" s="457" t="s">
        <v>99</v>
      </c>
      <c r="M1597" s="457" t="s">
        <v>32</v>
      </c>
      <c r="N1597" s="468"/>
    </row>
    <row r="1598" spans="1:16" s="469" customFormat="1" ht="14" outlineLevel="5">
      <c r="A1598" s="470" t="s">
        <v>8</v>
      </c>
      <c r="B1598" s="471" t="s">
        <v>860</v>
      </c>
      <c r="C1598" s="338" t="s">
        <v>15</v>
      </c>
      <c r="D1598" s="294"/>
      <c r="E1598" s="294"/>
      <c r="F1598" s="294"/>
      <c r="G1598" s="8">
        <f t="shared" si="346"/>
        <v>0</v>
      </c>
      <c r="H1598" s="294">
        <f t="shared" si="347"/>
        <v>0</v>
      </c>
      <c r="I1598" s="467"/>
      <c r="J1598" s="302" t="s">
        <v>21</v>
      </c>
      <c r="K1598" s="457" t="s">
        <v>128</v>
      </c>
      <c r="L1598" s="457" t="s">
        <v>99</v>
      </c>
      <c r="M1598" s="457" t="s">
        <v>32</v>
      </c>
      <c r="N1598" s="468"/>
    </row>
    <row r="1599" spans="1:16" s="469" customFormat="1" ht="14" outlineLevel="5">
      <c r="A1599" s="470" t="s">
        <v>8</v>
      </c>
      <c r="B1599" s="471" t="s">
        <v>861</v>
      </c>
      <c r="C1599" s="338" t="s">
        <v>15</v>
      </c>
      <c r="D1599" s="294"/>
      <c r="E1599" s="294"/>
      <c r="F1599" s="294"/>
      <c r="G1599" s="8">
        <f t="shared" si="346"/>
        <v>0</v>
      </c>
      <c r="H1599" s="294">
        <f t="shared" si="347"/>
        <v>0</v>
      </c>
      <c r="I1599" s="467"/>
      <c r="J1599" s="302" t="s">
        <v>21</v>
      </c>
      <c r="K1599" s="457" t="s">
        <v>128</v>
      </c>
      <c r="L1599" s="457" t="s">
        <v>99</v>
      </c>
      <c r="M1599" s="457" t="s">
        <v>32</v>
      </c>
      <c r="N1599" s="468"/>
    </row>
    <row r="1600" spans="1:16" s="469" customFormat="1" ht="14" outlineLevel="5">
      <c r="A1600" s="470" t="s">
        <v>8</v>
      </c>
      <c r="B1600" s="471" t="s">
        <v>848</v>
      </c>
      <c r="C1600" s="338" t="s">
        <v>15</v>
      </c>
      <c r="D1600" s="294"/>
      <c r="E1600" s="294"/>
      <c r="F1600" s="294"/>
      <c r="G1600" s="8">
        <f t="shared" si="346"/>
        <v>0</v>
      </c>
      <c r="H1600" s="294">
        <f t="shared" si="347"/>
        <v>0</v>
      </c>
      <c r="I1600" s="467"/>
      <c r="J1600" s="302" t="s">
        <v>21</v>
      </c>
      <c r="K1600" s="457" t="s">
        <v>128</v>
      </c>
      <c r="L1600" s="457" t="s">
        <v>99</v>
      </c>
      <c r="M1600" s="457" t="s">
        <v>32</v>
      </c>
      <c r="N1600" s="468"/>
    </row>
    <row r="1601" spans="1:16" s="469" customFormat="1" ht="14" outlineLevel="5">
      <c r="A1601" s="470" t="s">
        <v>8</v>
      </c>
      <c r="B1601" s="471" t="s">
        <v>849</v>
      </c>
      <c r="C1601" s="338" t="s">
        <v>15</v>
      </c>
      <c r="D1601" s="294"/>
      <c r="E1601" s="294"/>
      <c r="F1601" s="294"/>
      <c r="G1601" s="8">
        <f t="shared" si="346"/>
        <v>0</v>
      </c>
      <c r="H1601" s="294">
        <f t="shared" si="347"/>
        <v>0</v>
      </c>
      <c r="I1601" s="467"/>
      <c r="J1601" s="302" t="s">
        <v>21</v>
      </c>
      <c r="K1601" s="457" t="s">
        <v>128</v>
      </c>
      <c r="L1601" s="457" t="s">
        <v>99</v>
      </c>
      <c r="M1601" s="457" t="s">
        <v>32</v>
      </c>
      <c r="N1601" s="468"/>
    </row>
    <row r="1602" spans="1:16" s="469" customFormat="1" ht="14" outlineLevel="5">
      <c r="A1602" s="470" t="s">
        <v>8</v>
      </c>
      <c r="B1602" s="471" t="s">
        <v>873</v>
      </c>
      <c r="C1602" s="338" t="s">
        <v>15</v>
      </c>
      <c r="D1602" s="294"/>
      <c r="E1602" s="294"/>
      <c r="F1602" s="294"/>
      <c r="G1602" s="8">
        <f t="shared" si="346"/>
        <v>0</v>
      </c>
      <c r="H1602" s="294">
        <f t="shared" si="347"/>
        <v>0</v>
      </c>
      <c r="I1602" s="467"/>
      <c r="J1602" s="302" t="s">
        <v>21</v>
      </c>
      <c r="K1602" s="457" t="s">
        <v>128</v>
      </c>
      <c r="L1602" s="457" t="s">
        <v>99</v>
      </c>
      <c r="M1602" s="457" t="s">
        <v>32</v>
      </c>
      <c r="N1602" s="468"/>
    </row>
    <row r="1603" spans="1:16" s="469" customFormat="1" ht="14" outlineLevel="5">
      <c r="A1603" s="470" t="s">
        <v>8</v>
      </c>
      <c r="B1603" s="471" t="s">
        <v>862</v>
      </c>
      <c r="C1603" s="338" t="s">
        <v>15</v>
      </c>
      <c r="D1603" s="294"/>
      <c r="E1603" s="294"/>
      <c r="F1603" s="294"/>
      <c r="G1603" s="8">
        <f t="shared" si="346"/>
        <v>0</v>
      </c>
      <c r="H1603" s="294">
        <f t="shared" si="347"/>
        <v>0</v>
      </c>
      <c r="I1603" s="467"/>
      <c r="J1603" s="302" t="s">
        <v>21</v>
      </c>
      <c r="K1603" s="457" t="s">
        <v>128</v>
      </c>
      <c r="L1603" s="457" t="s">
        <v>99</v>
      </c>
      <c r="M1603" s="457" t="s">
        <v>32</v>
      </c>
      <c r="N1603" s="468"/>
    </row>
    <row r="1604" spans="1:16" s="469" customFormat="1" ht="14" outlineLevel="5">
      <c r="A1604" s="470" t="s">
        <v>8</v>
      </c>
      <c r="B1604" s="471" t="s">
        <v>874</v>
      </c>
      <c r="C1604" s="338" t="s">
        <v>15</v>
      </c>
      <c r="D1604" s="294"/>
      <c r="E1604" s="294"/>
      <c r="F1604" s="294"/>
      <c r="G1604" s="8">
        <f t="shared" si="346"/>
        <v>0</v>
      </c>
      <c r="H1604" s="294">
        <f t="shared" si="347"/>
        <v>0</v>
      </c>
      <c r="I1604" s="467"/>
      <c r="J1604" s="302" t="s">
        <v>21</v>
      </c>
      <c r="K1604" s="457" t="s">
        <v>128</v>
      </c>
      <c r="L1604" s="457" t="s">
        <v>99</v>
      </c>
      <c r="M1604" s="457" t="s">
        <v>32</v>
      </c>
      <c r="N1604" s="468"/>
    </row>
    <row r="1605" spans="1:16" s="469" customFormat="1" ht="14" outlineLevel="5">
      <c r="A1605" s="470" t="s">
        <v>8</v>
      </c>
      <c r="B1605" s="471" t="s">
        <v>850</v>
      </c>
      <c r="C1605" s="338" t="s">
        <v>15</v>
      </c>
      <c r="D1605" s="294"/>
      <c r="E1605" s="294"/>
      <c r="F1605" s="294"/>
      <c r="G1605" s="8">
        <f t="shared" si="346"/>
        <v>0</v>
      </c>
      <c r="H1605" s="294">
        <f t="shared" si="347"/>
        <v>0</v>
      </c>
      <c r="I1605" s="467"/>
      <c r="J1605" s="302" t="s">
        <v>21</v>
      </c>
      <c r="K1605" s="457" t="s">
        <v>128</v>
      </c>
      <c r="L1605" s="457" t="s">
        <v>99</v>
      </c>
      <c r="M1605" s="457" t="s">
        <v>32</v>
      </c>
      <c r="N1605" s="468"/>
    </row>
    <row r="1606" spans="1:16" s="469" customFormat="1" ht="14" outlineLevel="5">
      <c r="A1606" s="470" t="s">
        <v>8</v>
      </c>
      <c r="B1606" s="471" t="s">
        <v>851</v>
      </c>
      <c r="C1606" s="338" t="s">
        <v>15</v>
      </c>
      <c r="D1606" s="294"/>
      <c r="E1606" s="294"/>
      <c r="F1606" s="294"/>
      <c r="G1606" s="8">
        <f t="shared" si="346"/>
        <v>0</v>
      </c>
      <c r="H1606" s="294">
        <f t="shared" si="347"/>
        <v>0</v>
      </c>
      <c r="I1606" s="467"/>
      <c r="J1606" s="302" t="s">
        <v>21</v>
      </c>
      <c r="K1606" s="457" t="s">
        <v>128</v>
      </c>
      <c r="L1606" s="457" t="s">
        <v>99</v>
      </c>
      <c r="M1606" s="457" t="s">
        <v>32</v>
      </c>
      <c r="N1606" s="468"/>
    </row>
    <row r="1607" spans="1:16" s="469" customFormat="1" ht="14" outlineLevel="5">
      <c r="A1607" s="470" t="s">
        <v>8</v>
      </c>
      <c r="B1607" s="471" t="s">
        <v>852</v>
      </c>
      <c r="C1607" s="338" t="s">
        <v>15</v>
      </c>
      <c r="D1607" s="294"/>
      <c r="E1607" s="294"/>
      <c r="F1607" s="294"/>
      <c r="G1607" s="8">
        <f t="shared" si="346"/>
        <v>0</v>
      </c>
      <c r="H1607" s="294">
        <f t="shared" si="347"/>
        <v>0</v>
      </c>
      <c r="I1607" s="467"/>
      <c r="J1607" s="302" t="s">
        <v>21</v>
      </c>
      <c r="K1607" s="457" t="s">
        <v>128</v>
      </c>
      <c r="L1607" s="457" t="s">
        <v>99</v>
      </c>
      <c r="M1607" s="457" t="s">
        <v>32</v>
      </c>
      <c r="N1607" s="468"/>
    </row>
    <row r="1608" spans="1:16" s="469" customFormat="1" ht="14" outlineLevel="5">
      <c r="A1608" s="470" t="s">
        <v>8</v>
      </c>
      <c r="B1608" s="471" t="s">
        <v>863</v>
      </c>
      <c r="C1608" s="338" t="s">
        <v>15</v>
      </c>
      <c r="D1608" s="294"/>
      <c r="E1608" s="294"/>
      <c r="F1608" s="294"/>
      <c r="G1608" s="8">
        <f t="shared" si="346"/>
        <v>0</v>
      </c>
      <c r="H1608" s="294">
        <f t="shared" si="347"/>
        <v>0</v>
      </c>
      <c r="I1608" s="467"/>
      <c r="J1608" s="302" t="s">
        <v>21</v>
      </c>
      <c r="K1608" s="457" t="s">
        <v>128</v>
      </c>
      <c r="L1608" s="457" t="s">
        <v>99</v>
      </c>
      <c r="M1608" s="457" t="s">
        <v>32</v>
      </c>
      <c r="N1608" s="468"/>
    </row>
    <row r="1609" spans="1:16" s="469" customFormat="1" ht="14" outlineLevel="5">
      <c r="A1609" s="470" t="s">
        <v>8</v>
      </c>
      <c r="B1609" s="471" t="s">
        <v>875</v>
      </c>
      <c r="C1609" s="338" t="s">
        <v>15</v>
      </c>
      <c r="D1609" s="294"/>
      <c r="E1609" s="294"/>
      <c r="F1609" s="294"/>
      <c r="G1609" s="8">
        <f t="shared" si="346"/>
        <v>0</v>
      </c>
      <c r="H1609" s="294">
        <f t="shared" si="347"/>
        <v>0</v>
      </c>
      <c r="I1609" s="467"/>
      <c r="J1609" s="302" t="s">
        <v>21</v>
      </c>
      <c r="K1609" s="457" t="s">
        <v>128</v>
      </c>
      <c r="L1609" s="457" t="s">
        <v>99</v>
      </c>
      <c r="M1609" s="457" t="s">
        <v>32</v>
      </c>
      <c r="N1609" s="468"/>
    </row>
    <row r="1610" spans="1:16" s="469" customFormat="1" ht="14" outlineLevel="5">
      <c r="A1610" s="470" t="s">
        <v>8</v>
      </c>
      <c r="B1610" s="471" t="s">
        <v>853</v>
      </c>
      <c r="C1610" s="338" t="s">
        <v>15</v>
      </c>
      <c r="D1610" s="294"/>
      <c r="E1610" s="294"/>
      <c r="F1610" s="294"/>
      <c r="G1610" s="8">
        <f t="shared" si="346"/>
        <v>0</v>
      </c>
      <c r="H1610" s="294">
        <f t="shared" si="347"/>
        <v>0</v>
      </c>
      <c r="I1610" s="467"/>
      <c r="J1610" s="302" t="s">
        <v>21</v>
      </c>
      <c r="K1610" s="457" t="s">
        <v>128</v>
      </c>
      <c r="L1610" s="457" t="s">
        <v>99</v>
      </c>
      <c r="M1610" s="457" t="s">
        <v>32</v>
      </c>
      <c r="N1610" s="468"/>
    </row>
    <row r="1611" spans="1:16" s="305" customFormat="1" ht="15" customHeight="1" outlineLevel="3">
      <c r="A1611" s="280">
        <v>4</v>
      </c>
      <c r="B1611" s="281" t="s">
        <v>252</v>
      </c>
      <c r="C1611" s="282"/>
      <c r="D1611" s="283"/>
      <c r="E1611" s="283"/>
      <c r="F1611" s="283"/>
      <c r="G1611" s="283"/>
      <c r="H1611" s="283">
        <f>SUBTOTAL(9,H1612:H1672)</f>
        <v>0</v>
      </c>
      <c r="I1611" s="283"/>
      <c r="J1611" s="302" t="s">
        <v>21</v>
      </c>
      <c r="K1611" s="303"/>
      <c r="L1611" s="303"/>
      <c r="M1611" s="304"/>
      <c r="N1611" s="304"/>
      <c r="P1611" s="306"/>
    </row>
    <row r="1612" spans="1:16" s="305" customFormat="1" ht="13" customHeight="1" outlineLevel="4">
      <c r="A1612" s="280">
        <v>4.2</v>
      </c>
      <c r="B1612" s="339" t="s">
        <v>881</v>
      </c>
      <c r="C1612" s="282"/>
      <c r="D1612" s="283"/>
      <c r="E1612" s="283"/>
      <c r="F1612" s="283"/>
      <c r="G1612" s="283"/>
      <c r="H1612" s="283">
        <f>SUBTOTAL(9,H1613:H1620)</f>
        <v>0</v>
      </c>
      <c r="I1612" s="283"/>
      <c r="J1612" s="302" t="s">
        <v>21</v>
      </c>
      <c r="K1612" s="303"/>
      <c r="L1612" s="303"/>
      <c r="M1612" s="304"/>
      <c r="N1612" s="304"/>
      <c r="P1612" s="306"/>
    </row>
    <row r="1613" spans="1:16" s="308" customFormat="1" ht="14" outlineLevel="5">
      <c r="A1613" s="297" t="s">
        <v>8</v>
      </c>
      <c r="B1613" s="357" t="s">
        <v>882</v>
      </c>
      <c r="C1613" s="289" t="s">
        <v>879</v>
      </c>
      <c r="D1613" s="290"/>
      <c r="E1613" s="290"/>
      <c r="F1613" s="290"/>
      <c r="G1613" s="8">
        <f t="shared" ref="G1613:G1620" si="348">F1613*D1613</f>
        <v>0</v>
      </c>
      <c r="H1613" s="290">
        <f t="shared" ref="H1613:H1620" si="349">F1613*E1613</f>
        <v>0</v>
      </c>
      <c r="I1613" s="291"/>
      <c r="J1613" s="302" t="s">
        <v>21</v>
      </c>
      <c r="K1613" s="303" t="s">
        <v>128</v>
      </c>
      <c r="L1613" s="303" t="s">
        <v>99</v>
      </c>
      <c r="M1613" s="303" t="s">
        <v>32</v>
      </c>
      <c r="N1613" s="325"/>
      <c r="P1613" s="309"/>
    </row>
    <row r="1614" spans="1:16" s="308" customFormat="1" ht="14" outlineLevel="5">
      <c r="A1614" s="292" t="s">
        <v>8</v>
      </c>
      <c r="B1614" s="356" t="s">
        <v>883</v>
      </c>
      <c r="C1614" s="289" t="s">
        <v>23</v>
      </c>
      <c r="D1614" s="290"/>
      <c r="E1614" s="290"/>
      <c r="F1614" s="290"/>
      <c r="G1614" s="8">
        <f t="shared" si="348"/>
        <v>0</v>
      </c>
      <c r="H1614" s="290">
        <f t="shared" si="349"/>
        <v>0</v>
      </c>
      <c r="I1614" s="291"/>
      <c r="J1614" s="302" t="s">
        <v>21</v>
      </c>
      <c r="K1614" s="303" t="s">
        <v>128</v>
      </c>
      <c r="L1614" s="303" t="s">
        <v>99</v>
      </c>
      <c r="M1614" s="303" t="s">
        <v>32</v>
      </c>
      <c r="N1614" s="325"/>
      <c r="P1614" s="309"/>
    </row>
    <row r="1615" spans="1:16" s="308" customFormat="1" ht="14" outlineLevel="5">
      <c r="A1615" s="292" t="s">
        <v>8</v>
      </c>
      <c r="B1615" s="356" t="s">
        <v>884</v>
      </c>
      <c r="C1615" s="289" t="s">
        <v>23</v>
      </c>
      <c r="D1615" s="290"/>
      <c r="E1615" s="290"/>
      <c r="F1615" s="290"/>
      <c r="G1615" s="8">
        <f t="shared" si="348"/>
        <v>0</v>
      </c>
      <c r="H1615" s="290">
        <f t="shared" si="349"/>
        <v>0</v>
      </c>
      <c r="I1615" s="291"/>
      <c r="J1615" s="302" t="s">
        <v>21</v>
      </c>
      <c r="K1615" s="303" t="s">
        <v>128</v>
      </c>
      <c r="L1615" s="303" t="s">
        <v>99</v>
      </c>
      <c r="M1615" s="303" t="s">
        <v>32</v>
      </c>
      <c r="N1615" s="325"/>
      <c r="P1615" s="309"/>
    </row>
    <row r="1616" spans="1:16" s="308" customFormat="1" ht="14" outlineLevel="5">
      <c r="A1616" s="297" t="s">
        <v>8</v>
      </c>
      <c r="B1616" s="357" t="s">
        <v>885</v>
      </c>
      <c r="C1616" s="289" t="s">
        <v>23</v>
      </c>
      <c r="D1616" s="290"/>
      <c r="E1616" s="290"/>
      <c r="F1616" s="290"/>
      <c r="G1616" s="8">
        <f t="shared" si="348"/>
        <v>0</v>
      </c>
      <c r="H1616" s="290">
        <f t="shared" si="349"/>
        <v>0</v>
      </c>
      <c r="I1616" s="291"/>
      <c r="J1616" s="302" t="s">
        <v>21</v>
      </c>
      <c r="K1616" s="303" t="s">
        <v>128</v>
      </c>
      <c r="L1616" s="303" t="s">
        <v>99</v>
      </c>
      <c r="M1616" s="303" t="s">
        <v>32</v>
      </c>
      <c r="N1616" s="325"/>
      <c r="P1616" s="309"/>
    </row>
    <row r="1617" spans="1:16" s="308" customFormat="1" ht="14" outlineLevel="5">
      <c r="A1617" s="292" t="s">
        <v>8</v>
      </c>
      <c r="B1617" s="356" t="s">
        <v>886</v>
      </c>
      <c r="C1617" s="289" t="s">
        <v>23</v>
      </c>
      <c r="D1617" s="290"/>
      <c r="E1617" s="290"/>
      <c r="F1617" s="290"/>
      <c r="G1617" s="8">
        <f t="shared" si="348"/>
        <v>0</v>
      </c>
      <c r="H1617" s="290">
        <f t="shared" si="349"/>
        <v>0</v>
      </c>
      <c r="I1617" s="291"/>
      <c r="J1617" s="302" t="s">
        <v>21</v>
      </c>
      <c r="K1617" s="303" t="s">
        <v>128</v>
      </c>
      <c r="L1617" s="303" t="s">
        <v>99</v>
      </c>
      <c r="M1617" s="303" t="s">
        <v>32</v>
      </c>
      <c r="N1617" s="325"/>
      <c r="P1617" s="309"/>
    </row>
    <row r="1618" spans="1:16" s="308" customFormat="1" ht="14" outlineLevel="5">
      <c r="A1618" s="292" t="s">
        <v>8</v>
      </c>
      <c r="B1618" s="356" t="s">
        <v>856</v>
      </c>
      <c r="C1618" s="289" t="s">
        <v>148</v>
      </c>
      <c r="D1618" s="290"/>
      <c r="E1618" s="290"/>
      <c r="F1618" s="290"/>
      <c r="G1618" s="8">
        <f t="shared" si="348"/>
        <v>0</v>
      </c>
      <c r="H1618" s="290">
        <f t="shared" si="349"/>
        <v>0</v>
      </c>
      <c r="I1618" s="291"/>
      <c r="J1618" s="302" t="s">
        <v>21</v>
      </c>
      <c r="K1618" s="303" t="s">
        <v>128</v>
      </c>
      <c r="L1618" s="303" t="s">
        <v>99</v>
      </c>
      <c r="M1618" s="303" t="s">
        <v>32</v>
      </c>
      <c r="N1618" s="325"/>
      <c r="P1618" s="309"/>
    </row>
    <row r="1619" spans="1:16" s="308" customFormat="1" ht="14" outlineLevel="5">
      <c r="A1619" s="292" t="s">
        <v>8</v>
      </c>
      <c r="B1619" s="356" t="s">
        <v>863</v>
      </c>
      <c r="C1619" s="289" t="s">
        <v>148</v>
      </c>
      <c r="D1619" s="290"/>
      <c r="E1619" s="290"/>
      <c r="F1619" s="290"/>
      <c r="G1619" s="8">
        <f t="shared" si="348"/>
        <v>0</v>
      </c>
      <c r="H1619" s="290">
        <f t="shared" si="349"/>
        <v>0</v>
      </c>
      <c r="I1619" s="291"/>
      <c r="J1619" s="302" t="s">
        <v>21</v>
      </c>
      <c r="K1619" s="303" t="s">
        <v>128</v>
      </c>
      <c r="L1619" s="303" t="s">
        <v>99</v>
      </c>
      <c r="M1619" s="303" t="s">
        <v>32</v>
      </c>
      <c r="N1619" s="325"/>
      <c r="P1619" s="309"/>
    </row>
    <row r="1620" spans="1:16" s="308" customFormat="1" ht="14" outlineLevel="5">
      <c r="A1620" s="297" t="s">
        <v>8</v>
      </c>
      <c r="B1620" s="357" t="s">
        <v>853</v>
      </c>
      <c r="C1620" s="289" t="s">
        <v>880</v>
      </c>
      <c r="D1620" s="290"/>
      <c r="E1620" s="290"/>
      <c r="F1620" s="290"/>
      <c r="G1620" s="8">
        <f t="shared" si="348"/>
        <v>0</v>
      </c>
      <c r="H1620" s="290">
        <f t="shared" si="349"/>
        <v>0</v>
      </c>
      <c r="I1620" s="291"/>
      <c r="J1620" s="302" t="s">
        <v>21</v>
      </c>
      <c r="K1620" s="303" t="s">
        <v>128</v>
      </c>
      <c r="L1620" s="303" t="s">
        <v>99</v>
      </c>
      <c r="M1620" s="303" t="s">
        <v>32</v>
      </c>
      <c r="N1620" s="325"/>
      <c r="P1620" s="309"/>
    </row>
    <row r="1621" spans="1:16" s="305" customFormat="1" ht="13" customHeight="1" outlineLevel="4">
      <c r="A1621" s="280">
        <v>4.3</v>
      </c>
      <c r="B1621" s="339" t="s">
        <v>887</v>
      </c>
      <c r="C1621" s="282"/>
      <c r="D1621" s="283"/>
      <c r="E1621" s="283"/>
      <c r="F1621" s="283"/>
      <c r="G1621" s="283"/>
      <c r="H1621" s="283">
        <f>SUBTOTAL(9,H1622:H1629)</f>
        <v>0</v>
      </c>
      <c r="I1621" s="283"/>
      <c r="J1621" s="302" t="s">
        <v>21</v>
      </c>
      <c r="K1621" s="303"/>
      <c r="L1621" s="303"/>
      <c r="M1621" s="304"/>
      <c r="N1621" s="304"/>
      <c r="P1621" s="306"/>
    </row>
    <row r="1622" spans="1:16" s="308" customFormat="1" ht="14" outlineLevel="5">
      <c r="A1622" s="297" t="s">
        <v>8</v>
      </c>
      <c r="B1622" s="357" t="s">
        <v>888</v>
      </c>
      <c r="C1622" s="289" t="s">
        <v>879</v>
      </c>
      <c r="D1622" s="290"/>
      <c r="E1622" s="290"/>
      <c r="F1622" s="290"/>
      <c r="G1622" s="8">
        <f t="shared" ref="G1622:G1629" si="350">F1622*D1622</f>
        <v>0</v>
      </c>
      <c r="H1622" s="290">
        <f t="shared" ref="H1622:H1629" si="351">F1622*E1622</f>
        <v>0</v>
      </c>
      <c r="I1622" s="291"/>
      <c r="J1622" s="302" t="s">
        <v>21</v>
      </c>
      <c r="K1622" s="303" t="s">
        <v>128</v>
      </c>
      <c r="L1622" s="303" t="s">
        <v>99</v>
      </c>
      <c r="M1622" s="303" t="s">
        <v>32</v>
      </c>
      <c r="N1622" s="325"/>
      <c r="P1622" s="309"/>
    </row>
    <row r="1623" spans="1:16" s="308" customFormat="1" ht="14" outlineLevel="5">
      <c r="A1623" s="292" t="s">
        <v>8</v>
      </c>
      <c r="B1623" s="356" t="s">
        <v>885</v>
      </c>
      <c r="C1623" s="289" t="s">
        <v>23</v>
      </c>
      <c r="D1623" s="290"/>
      <c r="E1623" s="290"/>
      <c r="F1623" s="290"/>
      <c r="G1623" s="8">
        <f t="shared" si="350"/>
        <v>0</v>
      </c>
      <c r="H1623" s="290">
        <f t="shared" si="351"/>
        <v>0</v>
      </c>
      <c r="I1623" s="291"/>
      <c r="J1623" s="302" t="s">
        <v>21</v>
      </c>
      <c r="K1623" s="303" t="s">
        <v>128</v>
      </c>
      <c r="L1623" s="303" t="s">
        <v>99</v>
      </c>
      <c r="M1623" s="303" t="s">
        <v>32</v>
      </c>
      <c r="N1623" s="325"/>
      <c r="P1623" s="309"/>
    </row>
    <row r="1624" spans="1:16" s="308" customFormat="1" ht="14" outlineLevel="5">
      <c r="A1624" s="292" t="s">
        <v>8</v>
      </c>
      <c r="B1624" s="356" t="s">
        <v>886</v>
      </c>
      <c r="C1624" s="289" t="s">
        <v>23</v>
      </c>
      <c r="D1624" s="290"/>
      <c r="E1624" s="290"/>
      <c r="F1624" s="290"/>
      <c r="G1624" s="8">
        <f t="shared" si="350"/>
        <v>0</v>
      </c>
      <c r="H1624" s="290">
        <f t="shared" si="351"/>
        <v>0</v>
      </c>
      <c r="I1624" s="291"/>
      <c r="J1624" s="302" t="s">
        <v>21</v>
      </c>
      <c r="K1624" s="303" t="s">
        <v>128</v>
      </c>
      <c r="L1624" s="303" t="s">
        <v>99</v>
      </c>
      <c r="M1624" s="303" t="s">
        <v>32</v>
      </c>
      <c r="N1624" s="325"/>
      <c r="P1624" s="309"/>
    </row>
    <row r="1625" spans="1:16" s="308" customFormat="1" ht="14" outlineLevel="5">
      <c r="A1625" s="297" t="s">
        <v>8</v>
      </c>
      <c r="B1625" s="357" t="s">
        <v>889</v>
      </c>
      <c r="C1625" s="289" t="s">
        <v>23</v>
      </c>
      <c r="D1625" s="290"/>
      <c r="E1625" s="290"/>
      <c r="F1625" s="290"/>
      <c r="G1625" s="8">
        <f t="shared" si="350"/>
        <v>0</v>
      </c>
      <c r="H1625" s="290">
        <f t="shared" si="351"/>
        <v>0</v>
      </c>
      <c r="I1625" s="291"/>
      <c r="J1625" s="302" t="s">
        <v>21</v>
      </c>
      <c r="K1625" s="303" t="s">
        <v>128</v>
      </c>
      <c r="L1625" s="303" t="s">
        <v>99</v>
      </c>
      <c r="M1625" s="303" t="s">
        <v>32</v>
      </c>
      <c r="N1625" s="325"/>
      <c r="P1625" s="309"/>
    </row>
    <row r="1626" spans="1:16" s="308" customFormat="1" ht="14" outlineLevel="5">
      <c r="A1626" s="292" t="s">
        <v>8</v>
      </c>
      <c r="B1626" s="356" t="s">
        <v>856</v>
      </c>
      <c r="C1626" s="289" t="s">
        <v>148</v>
      </c>
      <c r="D1626" s="290"/>
      <c r="E1626" s="290"/>
      <c r="F1626" s="290"/>
      <c r="G1626" s="8">
        <f t="shared" si="350"/>
        <v>0</v>
      </c>
      <c r="H1626" s="290">
        <f t="shared" si="351"/>
        <v>0</v>
      </c>
      <c r="I1626" s="291"/>
      <c r="J1626" s="302" t="s">
        <v>21</v>
      </c>
      <c r="K1626" s="303" t="s">
        <v>128</v>
      </c>
      <c r="L1626" s="303" t="s">
        <v>99</v>
      </c>
      <c r="M1626" s="303" t="s">
        <v>32</v>
      </c>
      <c r="N1626" s="325"/>
      <c r="P1626" s="309"/>
    </row>
    <row r="1627" spans="1:16" s="308" customFormat="1" ht="14" outlineLevel="5">
      <c r="A1627" s="292" t="s">
        <v>8</v>
      </c>
      <c r="B1627" s="356" t="s">
        <v>863</v>
      </c>
      <c r="C1627" s="289" t="s">
        <v>148</v>
      </c>
      <c r="D1627" s="290"/>
      <c r="E1627" s="290"/>
      <c r="F1627" s="290"/>
      <c r="G1627" s="8">
        <f t="shared" si="350"/>
        <v>0</v>
      </c>
      <c r="H1627" s="290">
        <f t="shared" si="351"/>
        <v>0</v>
      </c>
      <c r="I1627" s="291"/>
      <c r="J1627" s="302" t="s">
        <v>21</v>
      </c>
      <c r="K1627" s="303" t="s">
        <v>128</v>
      </c>
      <c r="L1627" s="303" t="s">
        <v>99</v>
      </c>
      <c r="M1627" s="303" t="s">
        <v>32</v>
      </c>
      <c r="N1627" s="325"/>
      <c r="P1627" s="309"/>
    </row>
    <row r="1628" spans="1:16" s="308" customFormat="1" ht="14" outlineLevel="5">
      <c r="A1628" s="292" t="s">
        <v>8</v>
      </c>
      <c r="B1628" s="356" t="s">
        <v>875</v>
      </c>
      <c r="C1628" s="289" t="s">
        <v>148</v>
      </c>
      <c r="D1628" s="290"/>
      <c r="E1628" s="290"/>
      <c r="F1628" s="290"/>
      <c r="G1628" s="8">
        <f t="shared" si="350"/>
        <v>0</v>
      </c>
      <c r="H1628" s="290">
        <f t="shared" si="351"/>
        <v>0</v>
      </c>
      <c r="I1628" s="291"/>
      <c r="J1628" s="302" t="s">
        <v>21</v>
      </c>
      <c r="K1628" s="303" t="s">
        <v>128</v>
      </c>
      <c r="L1628" s="303" t="s">
        <v>99</v>
      </c>
      <c r="M1628" s="303" t="s">
        <v>32</v>
      </c>
      <c r="N1628" s="325"/>
      <c r="P1628" s="309"/>
    </row>
    <row r="1629" spans="1:16" s="308" customFormat="1" ht="14" outlineLevel="5">
      <c r="A1629" s="297" t="s">
        <v>8</v>
      </c>
      <c r="B1629" s="357" t="s">
        <v>853</v>
      </c>
      <c r="C1629" s="289" t="s">
        <v>880</v>
      </c>
      <c r="D1629" s="290"/>
      <c r="E1629" s="290"/>
      <c r="F1629" s="290"/>
      <c r="G1629" s="8">
        <f t="shared" si="350"/>
        <v>0</v>
      </c>
      <c r="H1629" s="290">
        <f t="shared" si="351"/>
        <v>0</v>
      </c>
      <c r="I1629" s="291"/>
      <c r="J1629" s="302" t="s">
        <v>21</v>
      </c>
      <c r="K1629" s="303" t="s">
        <v>128</v>
      </c>
      <c r="L1629" s="303" t="s">
        <v>99</v>
      </c>
      <c r="M1629" s="303" t="s">
        <v>32</v>
      </c>
      <c r="N1629" s="325"/>
      <c r="P1629" s="309"/>
    </row>
    <row r="1630" spans="1:16" s="305" customFormat="1" ht="13" customHeight="1" outlineLevel="4">
      <c r="A1630" s="280">
        <v>4.4000000000000004</v>
      </c>
      <c r="B1630" s="339" t="s">
        <v>890</v>
      </c>
      <c r="C1630" s="282"/>
      <c r="D1630" s="283"/>
      <c r="E1630" s="283"/>
      <c r="F1630" s="283"/>
      <c r="G1630" s="283"/>
      <c r="H1630" s="283">
        <f>SUBTOTAL(9,H1631:H1642)</f>
        <v>0</v>
      </c>
      <c r="I1630" s="283"/>
      <c r="J1630" s="302" t="s">
        <v>21</v>
      </c>
      <c r="K1630" s="303"/>
      <c r="L1630" s="303"/>
      <c r="M1630" s="304"/>
      <c r="N1630" s="304"/>
      <c r="P1630" s="306"/>
    </row>
    <row r="1631" spans="1:16" s="308" customFormat="1" ht="14" outlineLevel="5">
      <c r="A1631" s="297" t="s">
        <v>8</v>
      </c>
      <c r="B1631" s="357" t="s">
        <v>891</v>
      </c>
      <c r="C1631" s="289" t="s">
        <v>879</v>
      </c>
      <c r="D1631" s="354"/>
      <c r="E1631" s="290"/>
      <c r="F1631" s="290"/>
      <c r="G1631" s="8">
        <f t="shared" ref="G1631:G1642" si="352">F1631*D1631</f>
        <v>0</v>
      </c>
      <c r="H1631" s="290">
        <f t="shared" ref="H1631:H1642" si="353">F1631*E1631</f>
        <v>0</v>
      </c>
      <c r="I1631" s="291"/>
      <c r="J1631" s="302" t="s">
        <v>21</v>
      </c>
      <c r="K1631" s="303" t="s">
        <v>128</v>
      </c>
      <c r="L1631" s="303" t="s">
        <v>99</v>
      </c>
      <c r="M1631" s="303" t="s">
        <v>32</v>
      </c>
      <c r="N1631" s="325"/>
      <c r="P1631" s="309"/>
    </row>
    <row r="1632" spans="1:16" s="308" customFormat="1" ht="14" outlineLevel="5">
      <c r="A1632" s="292" t="s">
        <v>8</v>
      </c>
      <c r="B1632" s="356" t="s">
        <v>892</v>
      </c>
      <c r="C1632" s="289" t="s">
        <v>23</v>
      </c>
      <c r="D1632" s="354"/>
      <c r="E1632" s="290"/>
      <c r="F1632" s="290"/>
      <c r="G1632" s="8">
        <f t="shared" si="352"/>
        <v>0</v>
      </c>
      <c r="H1632" s="290">
        <f t="shared" si="353"/>
        <v>0</v>
      </c>
      <c r="I1632" s="291"/>
      <c r="J1632" s="302" t="s">
        <v>21</v>
      </c>
      <c r="K1632" s="303" t="s">
        <v>128</v>
      </c>
      <c r="L1632" s="303" t="s">
        <v>99</v>
      </c>
      <c r="M1632" s="303" t="s">
        <v>32</v>
      </c>
      <c r="N1632" s="325"/>
      <c r="P1632" s="309"/>
    </row>
    <row r="1633" spans="1:16" s="308" customFormat="1" ht="14" outlineLevel="5">
      <c r="A1633" s="292" t="s">
        <v>8</v>
      </c>
      <c r="B1633" s="356" t="s">
        <v>883</v>
      </c>
      <c r="C1633" s="289" t="s">
        <v>23</v>
      </c>
      <c r="D1633" s="354"/>
      <c r="E1633" s="290"/>
      <c r="F1633" s="290"/>
      <c r="G1633" s="8">
        <f t="shared" si="352"/>
        <v>0</v>
      </c>
      <c r="H1633" s="290">
        <f t="shared" si="353"/>
        <v>0</v>
      </c>
      <c r="I1633" s="291"/>
      <c r="J1633" s="302" t="s">
        <v>21</v>
      </c>
      <c r="K1633" s="303" t="s">
        <v>128</v>
      </c>
      <c r="L1633" s="303" t="s">
        <v>99</v>
      </c>
      <c r="M1633" s="303" t="s">
        <v>32</v>
      </c>
      <c r="N1633" s="325"/>
      <c r="P1633" s="309"/>
    </row>
    <row r="1634" spans="1:16" s="308" customFormat="1" ht="14" outlineLevel="5">
      <c r="A1634" s="297" t="s">
        <v>8</v>
      </c>
      <c r="B1634" s="357" t="s">
        <v>885</v>
      </c>
      <c r="C1634" s="289" t="s">
        <v>23</v>
      </c>
      <c r="D1634" s="354"/>
      <c r="E1634" s="290"/>
      <c r="F1634" s="290"/>
      <c r="G1634" s="8">
        <f t="shared" si="352"/>
        <v>0</v>
      </c>
      <c r="H1634" s="290">
        <f t="shared" si="353"/>
        <v>0</v>
      </c>
      <c r="I1634" s="291"/>
      <c r="J1634" s="302" t="s">
        <v>21</v>
      </c>
      <c r="K1634" s="303" t="s">
        <v>128</v>
      </c>
      <c r="L1634" s="303" t="s">
        <v>99</v>
      </c>
      <c r="M1634" s="303" t="s">
        <v>32</v>
      </c>
      <c r="N1634" s="325"/>
      <c r="P1634" s="309"/>
    </row>
    <row r="1635" spans="1:16" s="308" customFormat="1" ht="14" outlineLevel="5">
      <c r="A1635" s="297" t="s">
        <v>8</v>
      </c>
      <c r="B1635" s="357" t="s">
        <v>886</v>
      </c>
      <c r="C1635" s="289" t="s">
        <v>23</v>
      </c>
      <c r="D1635" s="354"/>
      <c r="E1635" s="290"/>
      <c r="F1635" s="290"/>
      <c r="G1635" s="8">
        <f t="shared" si="352"/>
        <v>0</v>
      </c>
      <c r="H1635" s="290">
        <f t="shared" si="353"/>
        <v>0</v>
      </c>
      <c r="I1635" s="291"/>
      <c r="J1635" s="302" t="s">
        <v>21</v>
      </c>
      <c r="K1635" s="303" t="s">
        <v>128</v>
      </c>
      <c r="L1635" s="303" t="s">
        <v>99</v>
      </c>
      <c r="M1635" s="303" t="s">
        <v>32</v>
      </c>
      <c r="N1635" s="325"/>
      <c r="P1635" s="309"/>
    </row>
    <row r="1636" spans="1:16" s="308" customFormat="1" ht="14" outlineLevel="5">
      <c r="A1636" s="292" t="s">
        <v>8</v>
      </c>
      <c r="B1636" s="356" t="s">
        <v>893</v>
      </c>
      <c r="C1636" s="289" t="s">
        <v>148</v>
      </c>
      <c r="D1636" s="354"/>
      <c r="E1636" s="290"/>
      <c r="F1636" s="290"/>
      <c r="G1636" s="8">
        <f t="shared" si="352"/>
        <v>0</v>
      </c>
      <c r="H1636" s="290">
        <f t="shared" si="353"/>
        <v>0</v>
      </c>
      <c r="I1636" s="291"/>
      <c r="J1636" s="302" t="s">
        <v>21</v>
      </c>
      <c r="K1636" s="303" t="s">
        <v>128</v>
      </c>
      <c r="L1636" s="303" t="s">
        <v>99</v>
      </c>
      <c r="M1636" s="303" t="s">
        <v>32</v>
      </c>
      <c r="N1636" s="325"/>
      <c r="P1636" s="309"/>
    </row>
    <row r="1637" spans="1:16" s="308" customFormat="1" ht="14" outlineLevel="5">
      <c r="A1637" s="292" t="s">
        <v>8</v>
      </c>
      <c r="B1637" s="356" t="s">
        <v>894</v>
      </c>
      <c r="C1637" s="289" t="s">
        <v>148</v>
      </c>
      <c r="D1637" s="354"/>
      <c r="E1637" s="290"/>
      <c r="F1637" s="290"/>
      <c r="G1637" s="8">
        <f t="shared" si="352"/>
        <v>0</v>
      </c>
      <c r="H1637" s="290">
        <f t="shared" si="353"/>
        <v>0</v>
      </c>
      <c r="I1637" s="291"/>
      <c r="J1637" s="302" t="s">
        <v>21</v>
      </c>
      <c r="K1637" s="303" t="s">
        <v>128</v>
      </c>
      <c r="L1637" s="303" t="s">
        <v>99</v>
      </c>
      <c r="M1637" s="303" t="s">
        <v>32</v>
      </c>
      <c r="N1637" s="325"/>
      <c r="P1637" s="309"/>
    </row>
    <row r="1638" spans="1:16" s="308" customFormat="1" ht="14" outlineLevel="5">
      <c r="A1638" s="297" t="s">
        <v>8</v>
      </c>
      <c r="B1638" s="357" t="s">
        <v>856</v>
      </c>
      <c r="C1638" s="289" t="s">
        <v>148</v>
      </c>
      <c r="D1638" s="354"/>
      <c r="E1638" s="290"/>
      <c r="F1638" s="290"/>
      <c r="G1638" s="8">
        <f t="shared" si="352"/>
        <v>0</v>
      </c>
      <c r="H1638" s="290">
        <f t="shared" si="353"/>
        <v>0</v>
      </c>
      <c r="I1638" s="291"/>
      <c r="J1638" s="302" t="s">
        <v>21</v>
      </c>
      <c r="K1638" s="303" t="s">
        <v>128</v>
      </c>
      <c r="L1638" s="303" t="s">
        <v>99</v>
      </c>
      <c r="M1638" s="303" t="s">
        <v>32</v>
      </c>
      <c r="N1638" s="325"/>
      <c r="P1638" s="309"/>
    </row>
    <row r="1639" spans="1:16" s="308" customFormat="1" ht="14" outlineLevel="5">
      <c r="A1639" s="292" t="s">
        <v>8</v>
      </c>
      <c r="B1639" s="356" t="s">
        <v>863</v>
      </c>
      <c r="C1639" s="289" t="s">
        <v>148</v>
      </c>
      <c r="D1639" s="354"/>
      <c r="E1639" s="290"/>
      <c r="F1639" s="290"/>
      <c r="G1639" s="8">
        <f t="shared" si="352"/>
        <v>0</v>
      </c>
      <c r="H1639" s="290">
        <f t="shared" si="353"/>
        <v>0</v>
      </c>
      <c r="I1639" s="291"/>
      <c r="J1639" s="302" t="s">
        <v>21</v>
      </c>
      <c r="K1639" s="303" t="s">
        <v>128</v>
      </c>
      <c r="L1639" s="303" t="s">
        <v>99</v>
      </c>
      <c r="M1639" s="303" t="s">
        <v>32</v>
      </c>
      <c r="N1639" s="325"/>
      <c r="P1639" s="309"/>
    </row>
    <row r="1640" spans="1:16" s="308" customFormat="1" ht="14" outlineLevel="5">
      <c r="A1640" s="292" t="s">
        <v>8</v>
      </c>
      <c r="B1640" s="356" t="s">
        <v>382</v>
      </c>
      <c r="C1640" s="289" t="s">
        <v>880</v>
      </c>
      <c r="D1640" s="354"/>
      <c r="E1640" s="290"/>
      <c r="F1640" s="290"/>
      <c r="G1640" s="8">
        <f t="shared" si="352"/>
        <v>0</v>
      </c>
      <c r="H1640" s="290">
        <f t="shared" si="353"/>
        <v>0</v>
      </c>
      <c r="I1640" s="291"/>
      <c r="J1640" s="302" t="s">
        <v>21</v>
      </c>
      <c r="K1640" s="303" t="s">
        <v>128</v>
      </c>
      <c r="L1640" s="303" t="s">
        <v>99</v>
      </c>
      <c r="M1640" s="303" t="s">
        <v>32</v>
      </c>
      <c r="N1640" s="325"/>
      <c r="P1640" s="309"/>
    </row>
    <row r="1641" spans="1:16" s="308" customFormat="1" ht="14" outlineLevel="5">
      <c r="A1641" s="292" t="s">
        <v>8</v>
      </c>
      <c r="B1641" s="356" t="s">
        <v>384</v>
      </c>
      <c r="C1641" s="289" t="s">
        <v>880</v>
      </c>
      <c r="D1641" s="354"/>
      <c r="E1641" s="290"/>
      <c r="F1641" s="290"/>
      <c r="G1641" s="8">
        <f t="shared" si="352"/>
        <v>0</v>
      </c>
      <c r="H1641" s="290">
        <f t="shared" si="353"/>
        <v>0</v>
      </c>
      <c r="I1641" s="291"/>
      <c r="J1641" s="302" t="s">
        <v>21</v>
      </c>
      <c r="K1641" s="303" t="s">
        <v>128</v>
      </c>
      <c r="L1641" s="303" t="s">
        <v>99</v>
      </c>
      <c r="M1641" s="303" t="s">
        <v>32</v>
      </c>
      <c r="N1641" s="325"/>
      <c r="P1641" s="309"/>
    </row>
    <row r="1642" spans="1:16" s="308" customFormat="1" ht="14" outlineLevel="5">
      <c r="A1642" s="297" t="s">
        <v>8</v>
      </c>
      <c r="B1642" s="357" t="s">
        <v>853</v>
      </c>
      <c r="C1642" s="289" t="s">
        <v>880</v>
      </c>
      <c r="D1642" s="354"/>
      <c r="E1642" s="290"/>
      <c r="F1642" s="290"/>
      <c r="G1642" s="8">
        <f t="shared" si="352"/>
        <v>0</v>
      </c>
      <c r="H1642" s="290">
        <f t="shared" si="353"/>
        <v>0</v>
      </c>
      <c r="I1642" s="291"/>
      <c r="J1642" s="302" t="s">
        <v>21</v>
      </c>
      <c r="K1642" s="303" t="s">
        <v>128</v>
      </c>
      <c r="L1642" s="303" t="s">
        <v>99</v>
      </c>
      <c r="M1642" s="303" t="s">
        <v>32</v>
      </c>
      <c r="N1642" s="325"/>
      <c r="P1642" s="309"/>
    </row>
    <row r="1643" spans="1:16" s="305" customFormat="1" ht="13" customHeight="1" outlineLevel="4">
      <c r="A1643" s="280">
        <v>4.5</v>
      </c>
      <c r="B1643" s="339" t="s">
        <v>895</v>
      </c>
      <c r="C1643" s="282"/>
      <c r="D1643" s="283"/>
      <c r="E1643" s="283"/>
      <c r="F1643" s="283"/>
      <c r="G1643" s="283"/>
      <c r="H1643" s="283">
        <f>SUBTOTAL(9,H1644:H1656)</f>
        <v>0</v>
      </c>
      <c r="I1643" s="283"/>
      <c r="J1643" s="302" t="s">
        <v>21</v>
      </c>
      <c r="K1643" s="303"/>
      <c r="L1643" s="303"/>
      <c r="M1643" s="304"/>
      <c r="N1643" s="304"/>
      <c r="P1643" s="306"/>
    </row>
    <row r="1644" spans="1:16" s="308" customFormat="1" ht="14" outlineLevel="5">
      <c r="A1644" s="297" t="s">
        <v>8</v>
      </c>
      <c r="B1644" s="357" t="s">
        <v>891</v>
      </c>
      <c r="C1644" s="289" t="s">
        <v>879</v>
      </c>
      <c r="D1644" s="290"/>
      <c r="E1644" s="290"/>
      <c r="F1644" s="290"/>
      <c r="G1644" s="8">
        <f t="shared" ref="G1644:G1656" si="354">F1644*D1644</f>
        <v>0</v>
      </c>
      <c r="H1644" s="290">
        <f t="shared" ref="H1644:H1656" si="355">F1644*E1644</f>
        <v>0</v>
      </c>
      <c r="I1644" s="291"/>
      <c r="J1644" s="302" t="s">
        <v>21</v>
      </c>
      <c r="K1644" s="303" t="s">
        <v>128</v>
      </c>
      <c r="L1644" s="303" t="s">
        <v>99</v>
      </c>
      <c r="M1644" s="303" t="s">
        <v>32</v>
      </c>
      <c r="N1644" s="325"/>
      <c r="P1644" s="309"/>
    </row>
    <row r="1645" spans="1:16" s="308" customFormat="1" ht="14" outlineLevel="5">
      <c r="A1645" s="297" t="s">
        <v>8</v>
      </c>
      <c r="B1645" s="357" t="s">
        <v>896</v>
      </c>
      <c r="C1645" s="289" t="s">
        <v>23</v>
      </c>
      <c r="D1645" s="290"/>
      <c r="E1645" s="290"/>
      <c r="F1645" s="290"/>
      <c r="G1645" s="8">
        <f t="shared" si="354"/>
        <v>0</v>
      </c>
      <c r="H1645" s="290">
        <f t="shared" si="355"/>
        <v>0</v>
      </c>
      <c r="I1645" s="291"/>
      <c r="J1645" s="302" t="s">
        <v>21</v>
      </c>
      <c r="K1645" s="303" t="s">
        <v>128</v>
      </c>
      <c r="L1645" s="303" t="s">
        <v>99</v>
      </c>
      <c r="M1645" s="303" t="s">
        <v>32</v>
      </c>
      <c r="N1645" s="325"/>
      <c r="P1645" s="309"/>
    </row>
    <row r="1646" spans="1:16" s="308" customFormat="1" ht="14" outlineLevel="5">
      <c r="A1646" s="292" t="s">
        <v>8</v>
      </c>
      <c r="B1646" s="356" t="s">
        <v>897</v>
      </c>
      <c r="C1646" s="289" t="s">
        <v>23</v>
      </c>
      <c r="D1646" s="290"/>
      <c r="E1646" s="290"/>
      <c r="F1646" s="290"/>
      <c r="G1646" s="8">
        <f t="shared" si="354"/>
        <v>0</v>
      </c>
      <c r="H1646" s="290">
        <f t="shared" si="355"/>
        <v>0</v>
      </c>
      <c r="I1646" s="291"/>
      <c r="J1646" s="302" t="s">
        <v>21</v>
      </c>
      <c r="K1646" s="303" t="s">
        <v>128</v>
      </c>
      <c r="L1646" s="303" t="s">
        <v>99</v>
      </c>
      <c r="M1646" s="303" t="s">
        <v>32</v>
      </c>
      <c r="N1646" s="325"/>
      <c r="P1646" s="309"/>
    </row>
    <row r="1647" spans="1:16" s="308" customFormat="1" ht="14" outlineLevel="5">
      <c r="A1647" s="292" t="s">
        <v>8</v>
      </c>
      <c r="B1647" s="356" t="s">
        <v>898</v>
      </c>
      <c r="C1647" s="289" t="s">
        <v>23</v>
      </c>
      <c r="D1647" s="290"/>
      <c r="E1647" s="290"/>
      <c r="F1647" s="290"/>
      <c r="G1647" s="8">
        <f t="shared" si="354"/>
        <v>0</v>
      </c>
      <c r="H1647" s="290">
        <f t="shared" si="355"/>
        <v>0</v>
      </c>
      <c r="I1647" s="291"/>
      <c r="J1647" s="302" t="s">
        <v>21</v>
      </c>
      <c r="K1647" s="303" t="s">
        <v>128</v>
      </c>
      <c r="L1647" s="303" t="s">
        <v>99</v>
      </c>
      <c r="M1647" s="303" t="s">
        <v>32</v>
      </c>
      <c r="N1647" s="325"/>
      <c r="P1647" s="309"/>
    </row>
    <row r="1648" spans="1:16" s="308" customFormat="1" ht="14" outlineLevel="5">
      <c r="A1648" s="297" t="s">
        <v>8</v>
      </c>
      <c r="B1648" s="357" t="s">
        <v>899</v>
      </c>
      <c r="C1648" s="289" t="s">
        <v>23</v>
      </c>
      <c r="D1648" s="290"/>
      <c r="E1648" s="290"/>
      <c r="F1648" s="290"/>
      <c r="G1648" s="8">
        <f t="shared" si="354"/>
        <v>0</v>
      </c>
      <c r="H1648" s="290">
        <f t="shared" si="355"/>
        <v>0</v>
      </c>
      <c r="I1648" s="291"/>
      <c r="J1648" s="302" t="s">
        <v>21</v>
      </c>
      <c r="K1648" s="303" t="s">
        <v>128</v>
      </c>
      <c r="L1648" s="303" t="s">
        <v>99</v>
      </c>
      <c r="M1648" s="303" t="s">
        <v>32</v>
      </c>
      <c r="N1648" s="325"/>
      <c r="P1648" s="309"/>
    </row>
    <row r="1649" spans="1:16" s="308" customFormat="1" ht="14" outlineLevel="5">
      <c r="A1649" s="297" t="s">
        <v>8</v>
      </c>
      <c r="B1649" s="357" t="s">
        <v>892</v>
      </c>
      <c r="C1649" s="289" t="s">
        <v>23</v>
      </c>
      <c r="D1649" s="290"/>
      <c r="E1649" s="290"/>
      <c r="F1649" s="290"/>
      <c r="G1649" s="8">
        <f t="shared" si="354"/>
        <v>0</v>
      </c>
      <c r="H1649" s="290">
        <f t="shared" si="355"/>
        <v>0</v>
      </c>
      <c r="I1649" s="291"/>
      <c r="J1649" s="302" t="s">
        <v>21</v>
      </c>
      <c r="K1649" s="303" t="s">
        <v>128</v>
      </c>
      <c r="L1649" s="303" t="s">
        <v>99</v>
      </c>
      <c r="M1649" s="303" t="s">
        <v>32</v>
      </c>
      <c r="N1649" s="325"/>
      <c r="P1649" s="309"/>
    </row>
    <row r="1650" spans="1:16" s="308" customFormat="1" ht="14" outlineLevel="5">
      <c r="A1650" s="292" t="s">
        <v>8</v>
      </c>
      <c r="B1650" s="356" t="s">
        <v>893</v>
      </c>
      <c r="C1650" s="289" t="s">
        <v>148</v>
      </c>
      <c r="D1650" s="290"/>
      <c r="E1650" s="290"/>
      <c r="F1650" s="290"/>
      <c r="G1650" s="8">
        <f t="shared" si="354"/>
        <v>0</v>
      </c>
      <c r="H1650" s="290">
        <f t="shared" si="355"/>
        <v>0</v>
      </c>
      <c r="I1650" s="291"/>
      <c r="J1650" s="302" t="s">
        <v>21</v>
      </c>
      <c r="K1650" s="303" t="s">
        <v>128</v>
      </c>
      <c r="L1650" s="303" t="s">
        <v>99</v>
      </c>
      <c r="M1650" s="303" t="s">
        <v>32</v>
      </c>
      <c r="N1650" s="325"/>
      <c r="P1650" s="309"/>
    </row>
    <row r="1651" spans="1:16" s="308" customFormat="1" ht="14" outlineLevel="5">
      <c r="A1651" s="292" t="s">
        <v>8</v>
      </c>
      <c r="B1651" s="356" t="s">
        <v>894</v>
      </c>
      <c r="C1651" s="289" t="s">
        <v>148</v>
      </c>
      <c r="D1651" s="290"/>
      <c r="E1651" s="290"/>
      <c r="F1651" s="290"/>
      <c r="G1651" s="8">
        <f t="shared" si="354"/>
        <v>0</v>
      </c>
      <c r="H1651" s="290">
        <f t="shared" si="355"/>
        <v>0</v>
      </c>
      <c r="I1651" s="291"/>
      <c r="J1651" s="302" t="s">
        <v>21</v>
      </c>
      <c r="K1651" s="303" t="s">
        <v>128</v>
      </c>
      <c r="L1651" s="303" t="s">
        <v>99</v>
      </c>
      <c r="M1651" s="303" t="s">
        <v>32</v>
      </c>
      <c r="N1651" s="325"/>
      <c r="P1651" s="309"/>
    </row>
    <row r="1652" spans="1:16" s="308" customFormat="1" ht="14" outlineLevel="5">
      <c r="A1652" s="297" t="s">
        <v>8</v>
      </c>
      <c r="B1652" s="357" t="s">
        <v>856</v>
      </c>
      <c r="C1652" s="289" t="s">
        <v>148</v>
      </c>
      <c r="D1652" s="290"/>
      <c r="E1652" s="290"/>
      <c r="F1652" s="290"/>
      <c r="G1652" s="8">
        <f t="shared" si="354"/>
        <v>0</v>
      </c>
      <c r="H1652" s="290">
        <f t="shared" si="355"/>
        <v>0</v>
      </c>
      <c r="I1652" s="291"/>
      <c r="J1652" s="302" t="s">
        <v>21</v>
      </c>
      <c r="K1652" s="303" t="s">
        <v>128</v>
      </c>
      <c r="L1652" s="303" t="s">
        <v>99</v>
      </c>
      <c r="M1652" s="303" t="s">
        <v>32</v>
      </c>
      <c r="N1652" s="325"/>
      <c r="P1652" s="309"/>
    </row>
    <row r="1653" spans="1:16" s="308" customFormat="1" ht="14" outlineLevel="5">
      <c r="A1653" s="292" t="s">
        <v>8</v>
      </c>
      <c r="B1653" s="356" t="s">
        <v>863</v>
      </c>
      <c r="C1653" s="289" t="s">
        <v>148</v>
      </c>
      <c r="D1653" s="290"/>
      <c r="E1653" s="290"/>
      <c r="F1653" s="290"/>
      <c r="G1653" s="8">
        <f t="shared" si="354"/>
        <v>0</v>
      </c>
      <c r="H1653" s="290">
        <f t="shared" si="355"/>
        <v>0</v>
      </c>
      <c r="I1653" s="291"/>
      <c r="J1653" s="302" t="s">
        <v>21</v>
      </c>
      <c r="K1653" s="303" t="s">
        <v>128</v>
      </c>
      <c r="L1653" s="303" t="s">
        <v>99</v>
      </c>
      <c r="M1653" s="303" t="s">
        <v>32</v>
      </c>
      <c r="N1653" s="325"/>
      <c r="P1653" s="309"/>
    </row>
    <row r="1654" spans="1:16" s="308" customFormat="1" ht="14" outlineLevel="5">
      <c r="A1654" s="292" t="s">
        <v>8</v>
      </c>
      <c r="B1654" s="356" t="s">
        <v>382</v>
      </c>
      <c r="C1654" s="289" t="s">
        <v>880</v>
      </c>
      <c r="D1654" s="290"/>
      <c r="E1654" s="290"/>
      <c r="F1654" s="290"/>
      <c r="G1654" s="8">
        <f t="shared" si="354"/>
        <v>0</v>
      </c>
      <c r="H1654" s="290">
        <f t="shared" si="355"/>
        <v>0</v>
      </c>
      <c r="I1654" s="291"/>
      <c r="J1654" s="302" t="s">
        <v>21</v>
      </c>
      <c r="K1654" s="303" t="s">
        <v>128</v>
      </c>
      <c r="L1654" s="303" t="s">
        <v>99</v>
      </c>
      <c r="M1654" s="303" t="s">
        <v>32</v>
      </c>
      <c r="N1654" s="325"/>
      <c r="P1654" s="309"/>
    </row>
    <row r="1655" spans="1:16" s="308" customFormat="1" ht="14" outlineLevel="5">
      <c r="A1655" s="292" t="s">
        <v>8</v>
      </c>
      <c r="B1655" s="356" t="s">
        <v>384</v>
      </c>
      <c r="C1655" s="289" t="s">
        <v>880</v>
      </c>
      <c r="D1655" s="290"/>
      <c r="E1655" s="290"/>
      <c r="F1655" s="290"/>
      <c r="G1655" s="8">
        <f t="shared" si="354"/>
        <v>0</v>
      </c>
      <c r="H1655" s="290">
        <f t="shared" si="355"/>
        <v>0</v>
      </c>
      <c r="I1655" s="291"/>
      <c r="J1655" s="302" t="s">
        <v>21</v>
      </c>
      <c r="K1655" s="303" t="s">
        <v>128</v>
      </c>
      <c r="L1655" s="303" t="s">
        <v>99</v>
      </c>
      <c r="M1655" s="303" t="s">
        <v>32</v>
      </c>
      <c r="N1655" s="325"/>
      <c r="P1655" s="309"/>
    </row>
    <row r="1656" spans="1:16" s="308" customFormat="1" ht="14" outlineLevel="5">
      <c r="A1656" s="297" t="s">
        <v>8</v>
      </c>
      <c r="B1656" s="357" t="s">
        <v>853</v>
      </c>
      <c r="C1656" s="289" t="s">
        <v>880</v>
      </c>
      <c r="D1656" s="290"/>
      <c r="E1656" s="290"/>
      <c r="F1656" s="290"/>
      <c r="G1656" s="8">
        <f t="shared" si="354"/>
        <v>0</v>
      </c>
      <c r="H1656" s="290">
        <f t="shared" si="355"/>
        <v>0</v>
      </c>
      <c r="I1656" s="291"/>
      <c r="J1656" s="302" t="s">
        <v>21</v>
      </c>
      <c r="K1656" s="303" t="s">
        <v>128</v>
      </c>
      <c r="L1656" s="303" t="s">
        <v>99</v>
      </c>
      <c r="M1656" s="303" t="s">
        <v>32</v>
      </c>
      <c r="N1656" s="325"/>
      <c r="P1656" s="309"/>
    </row>
    <row r="1657" spans="1:16" s="459" customFormat="1" ht="13" customHeight="1" outlineLevel="4">
      <c r="A1657" s="452">
        <v>4.5999999999999996</v>
      </c>
      <c r="B1657" s="463" t="s">
        <v>900</v>
      </c>
      <c r="C1657" s="464"/>
      <c r="D1657" s="385"/>
      <c r="E1657" s="385"/>
      <c r="F1657" s="385"/>
      <c r="G1657" s="385"/>
      <c r="H1657" s="385">
        <f>SUBTOTAL(9,H1658:H1664)</f>
        <v>0</v>
      </c>
      <c r="I1657" s="385"/>
      <c r="J1657" s="302" t="s">
        <v>21</v>
      </c>
      <c r="K1657" s="457"/>
      <c r="L1657" s="457"/>
      <c r="M1657" s="458"/>
      <c r="N1657" s="458"/>
    </row>
    <row r="1658" spans="1:16" s="469" customFormat="1" ht="14" outlineLevel="5">
      <c r="A1658" s="465" t="s">
        <v>8</v>
      </c>
      <c r="B1658" s="466" t="s">
        <v>901</v>
      </c>
      <c r="C1658" s="338" t="s">
        <v>879</v>
      </c>
      <c r="D1658" s="294">
        <v>10</v>
      </c>
      <c r="E1658" s="294"/>
      <c r="F1658" s="294">
        <v>2000</v>
      </c>
      <c r="G1658" s="8">
        <f t="shared" ref="G1658:G1664" si="356">F1658*D1658</f>
        <v>20000</v>
      </c>
      <c r="H1658" s="294">
        <f t="shared" ref="H1658:H1664" si="357">F1658*E1658</f>
        <v>0</v>
      </c>
      <c r="I1658" s="467"/>
      <c r="J1658" s="302" t="s">
        <v>21</v>
      </c>
      <c r="K1658" s="457" t="s">
        <v>128</v>
      </c>
      <c r="L1658" s="457" t="s">
        <v>99</v>
      </c>
      <c r="M1658" s="457" t="s">
        <v>32</v>
      </c>
      <c r="N1658" s="468"/>
    </row>
    <row r="1659" spans="1:16" s="469" customFormat="1" ht="14" outlineLevel="5">
      <c r="A1659" s="465" t="s">
        <v>8</v>
      </c>
      <c r="B1659" s="466" t="s">
        <v>893</v>
      </c>
      <c r="C1659" s="338" t="s">
        <v>148</v>
      </c>
      <c r="D1659" s="294">
        <v>144</v>
      </c>
      <c r="E1659" s="294"/>
      <c r="F1659" s="294">
        <v>13</v>
      </c>
      <c r="G1659" s="8">
        <f t="shared" si="356"/>
        <v>1872</v>
      </c>
      <c r="H1659" s="294">
        <f t="shared" si="357"/>
        <v>0</v>
      </c>
      <c r="I1659" s="467"/>
      <c r="J1659" s="302" t="s">
        <v>21</v>
      </c>
      <c r="K1659" s="457" t="s">
        <v>128</v>
      </c>
      <c r="L1659" s="457" t="s">
        <v>99</v>
      </c>
      <c r="M1659" s="457" t="s">
        <v>32</v>
      </c>
      <c r="N1659" s="468"/>
    </row>
    <row r="1660" spans="1:16" s="469" customFormat="1" ht="14" outlineLevel="5">
      <c r="A1660" s="470" t="s">
        <v>8</v>
      </c>
      <c r="B1660" s="471" t="s">
        <v>894</v>
      </c>
      <c r="C1660" s="338" t="s">
        <v>148</v>
      </c>
      <c r="D1660" s="294">
        <v>144</v>
      </c>
      <c r="E1660" s="294"/>
      <c r="F1660" s="294">
        <v>13</v>
      </c>
      <c r="G1660" s="8">
        <f t="shared" si="356"/>
        <v>1872</v>
      </c>
      <c r="H1660" s="294">
        <f t="shared" si="357"/>
        <v>0</v>
      </c>
      <c r="I1660" s="467"/>
      <c r="J1660" s="302" t="s">
        <v>21</v>
      </c>
      <c r="K1660" s="457" t="s">
        <v>128</v>
      </c>
      <c r="L1660" s="457" t="s">
        <v>99</v>
      </c>
      <c r="M1660" s="457" t="s">
        <v>32</v>
      </c>
      <c r="N1660" s="468"/>
    </row>
    <row r="1661" spans="1:16" s="469" customFormat="1" ht="14" outlineLevel="5">
      <c r="A1661" s="470" t="s">
        <v>8</v>
      </c>
      <c r="B1661" s="471" t="s">
        <v>856</v>
      </c>
      <c r="C1661" s="338" t="s">
        <v>148</v>
      </c>
      <c r="D1661" s="294">
        <v>192</v>
      </c>
      <c r="E1661" s="294"/>
      <c r="F1661" s="294">
        <v>52</v>
      </c>
      <c r="G1661" s="8">
        <f t="shared" si="356"/>
        <v>9984</v>
      </c>
      <c r="H1661" s="294">
        <f t="shared" si="357"/>
        <v>0</v>
      </c>
      <c r="I1661" s="467"/>
      <c r="J1661" s="302" t="s">
        <v>21</v>
      </c>
      <c r="K1661" s="457" t="s">
        <v>128</v>
      </c>
      <c r="L1661" s="457" t="s">
        <v>99</v>
      </c>
      <c r="M1661" s="457" t="s">
        <v>32</v>
      </c>
      <c r="N1661" s="468"/>
    </row>
    <row r="1662" spans="1:16" s="469" customFormat="1" ht="14" outlineLevel="5">
      <c r="A1662" s="465" t="s">
        <v>8</v>
      </c>
      <c r="B1662" s="466" t="s">
        <v>382</v>
      </c>
      <c r="C1662" s="338" t="s">
        <v>148</v>
      </c>
      <c r="D1662" s="294">
        <v>8</v>
      </c>
      <c r="E1662" s="294"/>
      <c r="F1662" s="294">
        <v>130</v>
      </c>
      <c r="G1662" s="8">
        <f t="shared" si="356"/>
        <v>1040</v>
      </c>
      <c r="H1662" s="294">
        <f t="shared" si="357"/>
        <v>0</v>
      </c>
      <c r="I1662" s="467"/>
      <c r="J1662" s="302" t="s">
        <v>21</v>
      </c>
      <c r="K1662" s="457" t="s">
        <v>128</v>
      </c>
      <c r="L1662" s="457" t="s">
        <v>99</v>
      </c>
      <c r="M1662" s="457" t="s">
        <v>32</v>
      </c>
      <c r="N1662" s="468"/>
    </row>
    <row r="1663" spans="1:16" s="469" customFormat="1" ht="14" outlineLevel="5">
      <c r="A1663" s="465" t="s">
        <v>8</v>
      </c>
      <c r="B1663" s="466" t="s">
        <v>384</v>
      </c>
      <c r="C1663" s="338" t="s">
        <v>148</v>
      </c>
      <c r="D1663" s="294">
        <v>3</v>
      </c>
      <c r="E1663" s="294"/>
      <c r="F1663" s="294">
        <v>125</v>
      </c>
      <c r="G1663" s="8">
        <f t="shared" si="356"/>
        <v>375</v>
      </c>
      <c r="H1663" s="294">
        <f t="shared" si="357"/>
        <v>0</v>
      </c>
      <c r="I1663" s="467"/>
      <c r="J1663" s="302" t="s">
        <v>21</v>
      </c>
      <c r="K1663" s="457" t="s">
        <v>128</v>
      </c>
      <c r="L1663" s="457" t="s">
        <v>99</v>
      </c>
      <c r="M1663" s="457" t="s">
        <v>32</v>
      </c>
      <c r="N1663" s="468"/>
    </row>
    <row r="1664" spans="1:16" s="469" customFormat="1" ht="14" outlineLevel="5">
      <c r="A1664" s="470" t="s">
        <v>8</v>
      </c>
      <c r="B1664" s="471" t="s">
        <v>902</v>
      </c>
      <c r="C1664" s="338" t="s">
        <v>880</v>
      </c>
      <c r="D1664" s="294">
        <v>336</v>
      </c>
      <c r="E1664" s="294"/>
      <c r="F1664" s="294">
        <v>5</v>
      </c>
      <c r="G1664" s="8">
        <f t="shared" si="356"/>
        <v>1680</v>
      </c>
      <c r="H1664" s="294">
        <f t="shared" si="357"/>
        <v>0</v>
      </c>
      <c r="I1664" s="467"/>
      <c r="J1664" s="302" t="s">
        <v>21</v>
      </c>
      <c r="K1664" s="457" t="s">
        <v>128</v>
      </c>
      <c r="L1664" s="457" t="s">
        <v>99</v>
      </c>
      <c r="M1664" s="457" t="s">
        <v>32</v>
      </c>
      <c r="N1664" s="468"/>
    </row>
    <row r="1665" spans="1:16" s="305" customFormat="1" ht="13" customHeight="1" outlineLevel="4">
      <c r="A1665" s="280">
        <v>4.7</v>
      </c>
      <c r="B1665" s="358" t="s">
        <v>903</v>
      </c>
      <c r="C1665" s="282"/>
      <c r="D1665" s="283"/>
      <c r="E1665" s="283"/>
      <c r="F1665" s="283"/>
      <c r="G1665" s="283"/>
      <c r="H1665" s="283">
        <f>SUBTOTAL(9,H1666:H1672)</f>
        <v>0</v>
      </c>
      <c r="I1665" s="283"/>
      <c r="J1665" s="302" t="s">
        <v>21</v>
      </c>
      <c r="K1665" s="303"/>
      <c r="L1665" s="303"/>
      <c r="M1665" s="304"/>
      <c r="N1665" s="304"/>
      <c r="P1665" s="306"/>
    </row>
    <row r="1666" spans="1:16" s="308" customFormat="1" ht="14" outlineLevel="5">
      <c r="A1666" s="297" t="s">
        <v>8</v>
      </c>
      <c r="B1666" s="357" t="s">
        <v>904</v>
      </c>
      <c r="C1666" s="289" t="s">
        <v>23</v>
      </c>
      <c r="D1666" s="290"/>
      <c r="E1666" s="290"/>
      <c r="F1666" s="290"/>
      <c r="G1666" s="8">
        <f t="shared" ref="G1666:G1672" si="358">F1666*D1666</f>
        <v>0</v>
      </c>
      <c r="H1666" s="290">
        <f t="shared" ref="H1666:H1672" si="359">F1666*E1666</f>
        <v>0</v>
      </c>
      <c r="I1666" s="291"/>
      <c r="J1666" s="302" t="s">
        <v>21</v>
      </c>
      <c r="K1666" s="303" t="s">
        <v>128</v>
      </c>
      <c r="L1666" s="303" t="s">
        <v>99</v>
      </c>
      <c r="M1666" s="303" t="s">
        <v>32</v>
      </c>
      <c r="N1666" s="325"/>
      <c r="P1666" s="309"/>
    </row>
    <row r="1667" spans="1:16" s="308" customFormat="1" ht="14" outlineLevel="5">
      <c r="A1667" s="297" t="s">
        <v>8</v>
      </c>
      <c r="B1667" s="357" t="s">
        <v>885</v>
      </c>
      <c r="C1667" s="289" t="s">
        <v>23</v>
      </c>
      <c r="D1667" s="290"/>
      <c r="E1667" s="290"/>
      <c r="F1667" s="290"/>
      <c r="G1667" s="8">
        <f t="shared" si="358"/>
        <v>0</v>
      </c>
      <c r="H1667" s="290">
        <f t="shared" si="359"/>
        <v>0</v>
      </c>
      <c r="I1667" s="291"/>
      <c r="J1667" s="302" t="s">
        <v>21</v>
      </c>
      <c r="K1667" s="303" t="s">
        <v>128</v>
      </c>
      <c r="L1667" s="303" t="s">
        <v>99</v>
      </c>
      <c r="M1667" s="303" t="s">
        <v>32</v>
      </c>
      <c r="N1667" s="325"/>
      <c r="P1667" s="309"/>
    </row>
    <row r="1668" spans="1:16" s="308" customFormat="1" ht="14" outlineLevel="5">
      <c r="A1668" s="292" t="s">
        <v>8</v>
      </c>
      <c r="B1668" s="356" t="s">
        <v>905</v>
      </c>
      <c r="C1668" s="289" t="s">
        <v>23</v>
      </c>
      <c r="D1668" s="290"/>
      <c r="E1668" s="290"/>
      <c r="F1668" s="290"/>
      <c r="G1668" s="8">
        <f t="shared" si="358"/>
        <v>0</v>
      </c>
      <c r="H1668" s="290">
        <f t="shared" si="359"/>
        <v>0</v>
      </c>
      <c r="I1668" s="291"/>
      <c r="J1668" s="302" t="s">
        <v>21</v>
      </c>
      <c r="K1668" s="303" t="s">
        <v>128</v>
      </c>
      <c r="L1668" s="303" t="s">
        <v>99</v>
      </c>
      <c r="M1668" s="303" t="s">
        <v>32</v>
      </c>
      <c r="N1668" s="325"/>
      <c r="P1668" s="309"/>
    </row>
    <row r="1669" spans="1:16" s="308" customFormat="1" ht="14" outlineLevel="5">
      <c r="A1669" s="292" t="s">
        <v>8</v>
      </c>
      <c r="B1669" s="356" t="s">
        <v>855</v>
      </c>
      <c r="C1669" s="289" t="s">
        <v>148</v>
      </c>
      <c r="D1669" s="290"/>
      <c r="E1669" s="290"/>
      <c r="F1669" s="290"/>
      <c r="G1669" s="8">
        <f t="shared" si="358"/>
        <v>0</v>
      </c>
      <c r="H1669" s="290">
        <f t="shared" si="359"/>
        <v>0</v>
      </c>
      <c r="I1669" s="291"/>
      <c r="J1669" s="302" t="s">
        <v>21</v>
      </c>
      <c r="K1669" s="303" t="s">
        <v>128</v>
      </c>
      <c r="L1669" s="303" t="s">
        <v>99</v>
      </c>
      <c r="M1669" s="303" t="s">
        <v>32</v>
      </c>
      <c r="N1669" s="325"/>
      <c r="P1669" s="309"/>
    </row>
    <row r="1670" spans="1:16" s="308" customFormat="1" ht="14" outlineLevel="5">
      <c r="A1670" s="297" t="s">
        <v>8</v>
      </c>
      <c r="B1670" s="357" t="s">
        <v>894</v>
      </c>
      <c r="C1670" s="289" t="s">
        <v>148</v>
      </c>
      <c r="D1670" s="290"/>
      <c r="E1670" s="290"/>
      <c r="F1670" s="290"/>
      <c r="G1670" s="8">
        <f t="shared" si="358"/>
        <v>0</v>
      </c>
      <c r="H1670" s="290">
        <f t="shared" si="359"/>
        <v>0</v>
      </c>
      <c r="I1670" s="291"/>
      <c r="J1670" s="302" t="s">
        <v>21</v>
      </c>
      <c r="K1670" s="303" t="s">
        <v>128</v>
      </c>
      <c r="L1670" s="303" t="s">
        <v>99</v>
      </c>
      <c r="M1670" s="303" t="s">
        <v>32</v>
      </c>
      <c r="N1670" s="325"/>
      <c r="P1670" s="309"/>
    </row>
    <row r="1671" spans="1:16" s="308" customFormat="1" ht="14" outlineLevel="5">
      <c r="A1671" s="297" t="s">
        <v>8</v>
      </c>
      <c r="B1671" s="357" t="s">
        <v>856</v>
      </c>
      <c r="C1671" s="289" t="s">
        <v>148</v>
      </c>
      <c r="D1671" s="290"/>
      <c r="E1671" s="290"/>
      <c r="F1671" s="290"/>
      <c r="G1671" s="8">
        <f t="shared" si="358"/>
        <v>0</v>
      </c>
      <c r="H1671" s="290">
        <f t="shared" si="359"/>
        <v>0</v>
      </c>
      <c r="I1671" s="291"/>
      <c r="J1671" s="302" t="s">
        <v>21</v>
      </c>
      <c r="K1671" s="303" t="s">
        <v>128</v>
      </c>
      <c r="L1671" s="303" t="s">
        <v>99</v>
      </c>
      <c r="M1671" s="303" t="s">
        <v>32</v>
      </c>
      <c r="N1671" s="325"/>
      <c r="P1671" s="309"/>
    </row>
    <row r="1672" spans="1:16" s="308" customFormat="1" ht="14" outlineLevel="5">
      <c r="A1672" s="292" t="s">
        <v>8</v>
      </c>
      <c r="B1672" s="356" t="s">
        <v>853</v>
      </c>
      <c r="C1672" s="289" t="s">
        <v>880</v>
      </c>
      <c r="D1672" s="290"/>
      <c r="E1672" s="290"/>
      <c r="F1672" s="290"/>
      <c r="G1672" s="8">
        <f t="shared" si="358"/>
        <v>0</v>
      </c>
      <c r="H1672" s="290">
        <f t="shared" si="359"/>
        <v>0</v>
      </c>
      <c r="I1672" s="291"/>
      <c r="J1672" s="302" t="s">
        <v>21</v>
      </c>
      <c r="K1672" s="303" t="s">
        <v>128</v>
      </c>
      <c r="L1672" s="303" t="s">
        <v>99</v>
      </c>
      <c r="M1672" s="303" t="s">
        <v>32</v>
      </c>
      <c r="N1672" s="325"/>
      <c r="P1672" s="309"/>
    </row>
    <row r="1673" spans="1:16" s="459" customFormat="1" ht="13" customHeight="1" outlineLevel="4">
      <c r="A1673" s="452">
        <v>5</v>
      </c>
      <c r="B1673" s="463" t="s">
        <v>933</v>
      </c>
      <c r="C1673" s="464"/>
      <c r="D1673" s="385"/>
      <c r="E1673" s="385"/>
      <c r="F1673" s="385"/>
      <c r="G1673" s="385">
        <f>SUBTOTAL(9,G1674:G1675)</f>
        <v>0</v>
      </c>
      <c r="H1673" s="385">
        <f>SUBTOTAL(9,H1674:H1675)</f>
        <v>0</v>
      </c>
      <c r="I1673" s="385"/>
      <c r="J1673" s="302" t="s">
        <v>21</v>
      </c>
      <c r="K1673" s="457"/>
      <c r="L1673" s="457"/>
      <c r="M1673" s="458"/>
      <c r="N1673" s="458"/>
    </row>
    <row r="1674" spans="1:16" s="469" customFormat="1" ht="14" outlineLevel="5">
      <c r="A1674" s="465" t="s">
        <v>8</v>
      </c>
      <c r="B1674" s="466" t="s">
        <v>931</v>
      </c>
      <c r="C1674" s="338" t="s">
        <v>33</v>
      </c>
      <c r="D1674" s="675"/>
      <c r="E1674" s="294"/>
      <c r="F1674" s="294"/>
      <c r="G1674" s="8">
        <f t="shared" ref="G1674:G1675" si="360">F1674*D1674</f>
        <v>0</v>
      </c>
      <c r="H1674" s="294">
        <f t="shared" ref="H1674:H1675" si="361">F1674*E1674</f>
        <v>0</v>
      </c>
      <c r="I1674" s="467"/>
      <c r="J1674" s="302" t="s">
        <v>21</v>
      </c>
      <c r="K1674" s="457" t="s">
        <v>128</v>
      </c>
      <c r="L1674" s="457" t="s">
        <v>99</v>
      </c>
      <c r="M1674" s="457" t="s">
        <v>32</v>
      </c>
      <c r="N1674" s="468"/>
    </row>
    <row r="1675" spans="1:16" s="469" customFormat="1" ht="14" outlineLevel="5">
      <c r="A1675" s="465" t="s">
        <v>8</v>
      </c>
      <c r="B1675" s="466" t="s">
        <v>932</v>
      </c>
      <c r="C1675" s="338" t="s">
        <v>33</v>
      </c>
      <c r="D1675" s="675"/>
      <c r="E1675" s="294"/>
      <c r="F1675" s="294"/>
      <c r="G1675" s="8">
        <f t="shared" si="360"/>
        <v>0</v>
      </c>
      <c r="H1675" s="294">
        <f t="shared" si="361"/>
        <v>0</v>
      </c>
      <c r="I1675" s="467"/>
      <c r="J1675" s="302" t="s">
        <v>21</v>
      </c>
      <c r="K1675" s="457" t="s">
        <v>128</v>
      </c>
      <c r="L1675" s="457" t="s">
        <v>99</v>
      </c>
      <c r="M1675" s="457" t="s">
        <v>32</v>
      </c>
      <c r="N1675" s="468"/>
    </row>
    <row r="1676" spans="1:16" s="459" customFormat="1" ht="14">
      <c r="A1676" s="485" t="s">
        <v>56</v>
      </c>
      <c r="B1676" s="486" t="s">
        <v>5</v>
      </c>
      <c r="C1676" s="672"/>
      <c r="D1676" s="385"/>
      <c r="E1676" s="385"/>
      <c r="F1676" s="386"/>
      <c r="G1676" s="385">
        <f>SUBTOTAL(9,G1677:G2053)</f>
        <v>8618083.2820000015</v>
      </c>
      <c r="H1676" s="385">
        <f>SUBTOTAL(9,H1677:H2053)</f>
        <v>15425906.9</v>
      </c>
      <c r="I1676" s="472"/>
      <c r="J1676" s="457"/>
      <c r="K1676" s="458"/>
      <c r="L1676" s="458"/>
      <c r="M1676" s="458"/>
      <c r="N1676" s="473"/>
      <c r="O1676" s="474"/>
    </row>
    <row r="1677" spans="1:16" s="495" customFormat="1">
      <c r="A1677" s="502" t="s">
        <v>4</v>
      </c>
      <c r="B1677" s="522" t="s">
        <v>53</v>
      </c>
      <c r="C1677" s="538"/>
      <c r="D1677" s="2"/>
      <c r="E1677" s="2">
        <v>0</v>
      </c>
      <c r="F1677" s="539"/>
      <c r="G1677" s="2">
        <f>SUBTOTAL(9,G1679:G1755)</f>
        <v>653482.28200000001</v>
      </c>
      <c r="H1677" s="8">
        <f>SUBTOTAL(9,H1679:H1755)</f>
        <v>1199500</v>
      </c>
      <c r="I1677" s="38"/>
      <c r="J1677" s="540"/>
      <c r="K1677" s="540"/>
      <c r="L1677" s="540"/>
      <c r="M1677" s="541"/>
      <c r="N1677" s="542"/>
    </row>
    <row r="1678" spans="1:16" s="495" customFormat="1">
      <c r="A1678" s="502" t="s">
        <v>41</v>
      </c>
      <c r="B1678" s="522" t="s">
        <v>474</v>
      </c>
      <c r="C1678" s="538"/>
      <c r="D1678" s="2"/>
      <c r="E1678" s="2">
        <v>0</v>
      </c>
      <c r="F1678" s="539"/>
      <c r="G1678" s="8">
        <f>SUBTOTAL(9,G1680:G1712)</f>
        <v>510282.28200000001</v>
      </c>
      <c r="H1678" s="8">
        <f>SUBTOTAL(9,H1680:H1712)</f>
        <v>674500</v>
      </c>
      <c r="I1678" s="38"/>
      <c r="J1678" s="540"/>
      <c r="K1678" s="540"/>
      <c r="L1678" s="540"/>
      <c r="M1678" s="541"/>
      <c r="N1678" s="542"/>
    </row>
    <row r="1679" spans="1:16" s="495" customFormat="1">
      <c r="A1679" s="502">
        <v>1</v>
      </c>
      <c r="B1679" s="522" t="s">
        <v>39</v>
      </c>
      <c r="C1679" s="538"/>
      <c r="D1679" s="2"/>
      <c r="E1679" s="2">
        <v>0</v>
      </c>
      <c r="F1679" s="539"/>
      <c r="G1679" s="2"/>
      <c r="H1679" s="8"/>
      <c r="I1679" s="38"/>
      <c r="J1679" s="540"/>
      <c r="K1679" s="540"/>
      <c r="L1679" s="540"/>
      <c r="M1679" s="541"/>
      <c r="N1679" s="523"/>
    </row>
    <row r="1680" spans="1:16" s="495" customFormat="1" ht="14">
      <c r="A1680" s="201" t="s">
        <v>475</v>
      </c>
      <c r="B1680" s="202" t="s">
        <v>476</v>
      </c>
      <c r="C1680" s="203"/>
      <c r="D1680" s="2"/>
      <c r="E1680" s="2">
        <v>0</v>
      </c>
      <c r="F1680" s="539"/>
      <c r="G1680" s="2"/>
      <c r="H1680" s="8"/>
      <c r="I1680" s="38"/>
      <c r="J1680" s="540"/>
      <c r="K1680" s="540"/>
      <c r="L1680" s="540"/>
      <c r="M1680" s="541"/>
      <c r="N1680" s="523"/>
    </row>
    <row r="1681" spans="1:16" s="495" customFormat="1" ht="14">
      <c r="A1681" s="204" t="s">
        <v>8</v>
      </c>
      <c r="B1681" s="205" t="s">
        <v>477</v>
      </c>
      <c r="C1681" s="206" t="s">
        <v>27</v>
      </c>
      <c r="D1681" s="2"/>
      <c r="E1681" s="8">
        <v>8</v>
      </c>
      <c r="F1681" s="207">
        <v>12500</v>
      </c>
      <c r="G1681" s="2">
        <f>D1681*$F1681</f>
        <v>0</v>
      </c>
      <c r="H1681" s="8">
        <f>E1681*$F1681</f>
        <v>100000</v>
      </c>
      <c r="I1681" s="38"/>
      <c r="J1681" s="540" t="s">
        <v>6</v>
      </c>
      <c r="K1681" s="540" t="s">
        <v>128</v>
      </c>
      <c r="L1681" s="540" t="s">
        <v>99</v>
      </c>
      <c r="N1681" s="523"/>
      <c r="P1681" s="208" t="s">
        <v>947</v>
      </c>
    </row>
    <row r="1682" spans="1:16" s="495" customFormat="1" ht="14">
      <c r="A1682" s="204" t="s">
        <v>8</v>
      </c>
      <c r="B1682" s="205" t="s">
        <v>478</v>
      </c>
      <c r="C1682" s="206" t="s">
        <v>27</v>
      </c>
      <c r="D1682" s="2"/>
      <c r="E1682" s="2">
        <v>0</v>
      </c>
      <c r="F1682" s="207">
        <v>18300</v>
      </c>
      <c r="G1682" s="2">
        <f>D1682*$F1682</f>
        <v>0</v>
      </c>
      <c r="H1682" s="2">
        <f>E1682*$F1682</f>
        <v>0</v>
      </c>
      <c r="I1682" s="38"/>
      <c r="J1682" s="540" t="s">
        <v>6</v>
      </c>
      <c r="K1682" s="540" t="s">
        <v>128</v>
      </c>
      <c r="L1682" s="540" t="s">
        <v>99</v>
      </c>
      <c r="N1682" s="523"/>
      <c r="P1682" s="541"/>
    </row>
    <row r="1683" spans="1:16" s="495" customFormat="1" ht="14">
      <c r="A1683" s="201" t="s">
        <v>479</v>
      </c>
      <c r="B1683" s="202" t="s">
        <v>480</v>
      </c>
      <c r="C1683" s="203"/>
      <c r="D1683" s="2"/>
      <c r="E1683" s="2">
        <v>0</v>
      </c>
      <c r="F1683" s="539"/>
      <c r="G1683" s="2"/>
      <c r="H1683" s="8"/>
      <c r="I1683" s="38"/>
      <c r="J1683" s="540"/>
      <c r="K1683" s="540"/>
      <c r="L1683" s="540"/>
      <c r="N1683" s="523"/>
      <c r="P1683" s="541"/>
    </row>
    <row r="1684" spans="1:16" s="495" customFormat="1" ht="14">
      <c r="A1684" s="209" t="s">
        <v>8</v>
      </c>
      <c r="B1684" s="208" t="s">
        <v>481</v>
      </c>
      <c r="C1684" s="210" t="s">
        <v>10</v>
      </c>
      <c r="D1684" s="8">
        <v>2</v>
      </c>
      <c r="E1684" s="8">
        <v>2</v>
      </c>
      <c r="F1684" s="207">
        <v>100000</v>
      </c>
      <c r="G1684" s="8">
        <f t="shared" ref="G1684:H1686" si="362">D1684*$F1684</f>
        <v>200000</v>
      </c>
      <c r="H1684" s="8">
        <f t="shared" si="362"/>
        <v>200000</v>
      </c>
      <c r="I1684" s="38"/>
      <c r="J1684" s="540" t="s">
        <v>6</v>
      </c>
      <c r="K1684" s="540" t="s">
        <v>128</v>
      </c>
      <c r="L1684" s="540" t="s">
        <v>99</v>
      </c>
      <c r="N1684" s="523"/>
      <c r="P1684" s="208" t="s">
        <v>947</v>
      </c>
    </row>
    <row r="1685" spans="1:16" s="495" customFormat="1" ht="14">
      <c r="A1685" s="209" t="s">
        <v>8</v>
      </c>
      <c r="B1685" s="208" t="s">
        <v>482</v>
      </c>
      <c r="C1685" s="210" t="s">
        <v>10</v>
      </c>
      <c r="D1685" s="2"/>
      <c r="E1685" s="2">
        <v>0</v>
      </c>
      <c r="F1685" s="10">
        <v>131577.85</v>
      </c>
      <c r="G1685" s="2">
        <f t="shared" si="362"/>
        <v>0</v>
      </c>
      <c r="H1685" s="2">
        <f t="shared" si="362"/>
        <v>0</v>
      </c>
      <c r="I1685" s="38"/>
      <c r="J1685" s="540" t="s">
        <v>6</v>
      </c>
      <c r="K1685" s="540" t="s">
        <v>128</v>
      </c>
      <c r="L1685" s="540" t="s">
        <v>99</v>
      </c>
      <c r="N1685" s="523"/>
      <c r="P1685" s="541"/>
    </row>
    <row r="1686" spans="1:16" s="495" customFormat="1" ht="14">
      <c r="A1686" s="209" t="s">
        <v>8</v>
      </c>
      <c r="B1686" s="208" t="s">
        <v>483</v>
      </c>
      <c r="C1686" s="210" t="s">
        <v>10</v>
      </c>
      <c r="D1686" s="2"/>
      <c r="E1686" s="2">
        <v>0</v>
      </c>
      <c r="F1686" s="10">
        <v>53032.777777777781</v>
      </c>
      <c r="G1686" s="2">
        <f t="shared" si="362"/>
        <v>0</v>
      </c>
      <c r="H1686" s="2">
        <f t="shared" si="362"/>
        <v>0</v>
      </c>
      <c r="I1686" s="38"/>
      <c r="J1686" s="540" t="s">
        <v>6</v>
      </c>
      <c r="K1686" s="540" t="s">
        <v>128</v>
      </c>
      <c r="L1686" s="540" t="s">
        <v>99</v>
      </c>
      <c r="N1686" s="523"/>
      <c r="P1686" s="541"/>
    </row>
    <row r="1687" spans="1:16" s="495" customFormat="1" ht="14">
      <c r="A1687" s="201" t="s">
        <v>484</v>
      </c>
      <c r="B1687" s="202" t="s">
        <v>485</v>
      </c>
      <c r="C1687" s="210"/>
      <c r="D1687" s="2"/>
      <c r="E1687" s="2">
        <v>0</v>
      </c>
      <c r="F1687" s="10"/>
      <c r="G1687" s="2"/>
      <c r="H1687" s="2"/>
      <c r="I1687" s="38"/>
      <c r="J1687" s="540"/>
      <c r="K1687" s="540"/>
      <c r="L1687" s="540"/>
      <c r="N1687" s="523"/>
      <c r="P1687" s="541"/>
    </row>
    <row r="1688" spans="1:16" s="495" customFormat="1" ht="14">
      <c r="A1688" s="211" t="s">
        <v>8</v>
      </c>
      <c r="B1688" s="208" t="s">
        <v>486</v>
      </c>
      <c r="C1688" s="210" t="s">
        <v>487</v>
      </c>
      <c r="D1688" s="8">
        <v>1</v>
      </c>
      <c r="E1688" s="8">
        <v>0</v>
      </c>
      <c r="F1688" s="10">
        <v>62500</v>
      </c>
      <c r="G1688" s="8">
        <f t="shared" ref="G1688:H1691" si="363">D1688*$F1688</f>
        <v>62500</v>
      </c>
      <c r="H1688" s="2">
        <f t="shared" si="363"/>
        <v>0</v>
      </c>
      <c r="I1688" s="38"/>
      <c r="J1688" s="540" t="s">
        <v>6</v>
      </c>
      <c r="K1688" s="540" t="s">
        <v>128</v>
      </c>
      <c r="L1688" s="540" t="s">
        <v>99</v>
      </c>
      <c r="N1688" s="523"/>
      <c r="P1688" s="208" t="s">
        <v>948</v>
      </c>
    </row>
    <row r="1689" spans="1:16" s="495" customFormat="1" ht="14">
      <c r="A1689" s="212" t="s">
        <v>8</v>
      </c>
      <c r="B1689" s="208" t="s">
        <v>488</v>
      </c>
      <c r="C1689" s="210" t="s">
        <v>10</v>
      </c>
      <c r="D1689" s="8">
        <v>1</v>
      </c>
      <c r="E1689" s="8">
        <v>0</v>
      </c>
      <c r="F1689" s="10">
        <v>127782</v>
      </c>
      <c r="G1689" s="8">
        <f t="shared" si="363"/>
        <v>127782</v>
      </c>
      <c r="H1689" s="2">
        <f t="shared" si="363"/>
        <v>0</v>
      </c>
      <c r="I1689" s="38"/>
      <c r="J1689" s="540" t="s">
        <v>6</v>
      </c>
      <c r="K1689" s="540" t="s">
        <v>128</v>
      </c>
      <c r="L1689" s="540" t="s">
        <v>99</v>
      </c>
      <c r="N1689" s="523"/>
      <c r="P1689" s="208" t="s">
        <v>949</v>
      </c>
    </row>
    <row r="1690" spans="1:16" s="495" customFormat="1" ht="14">
      <c r="A1690" s="212" t="s">
        <v>8</v>
      </c>
      <c r="B1690" s="208" t="s">
        <v>489</v>
      </c>
      <c r="C1690" s="210" t="s">
        <v>9</v>
      </c>
      <c r="D1690" s="8"/>
      <c r="E1690" s="8">
        <v>1</v>
      </c>
      <c r="F1690" s="543">
        <v>50000</v>
      </c>
      <c r="G1690" s="8">
        <f t="shared" si="363"/>
        <v>0</v>
      </c>
      <c r="H1690" s="8">
        <f t="shared" si="363"/>
        <v>50000</v>
      </c>
      <c r="I1690" s="38"/>
      <c r="J1690" s="540" t="s">
        <v>6</v>
      </c>
      <c r="K1690" s="540" t="s">
        <v>128</v>
      </c>
      <c r="L1690" s="540" t="s">
        <v>99</v>
      </c>
      <c r="N1690" s="523"/>
      <c r="P1690" s="208" t="s">
        <v>950</v>
      </c>
    </row>
    <row r="1691" spans="1:16" s="495" customFormat="1" ht="14">
      <c r="A1691" s="211" t="s">
        <v>1217</v>
      </c>
      <c r="B1691" s="208" t="s">
        <v>1134</v>
      </c>
      <c r="C1691" s="210" t="s">
        <v>24</v>
      </c>
      <c r="D1691" s="8"/>
      <c r="E1691" s="8">
        <v>40</v>
      </c>
      <c r="F1691" s="543">
        <v>2500</v>
      </c>
      <c r="G1691" s="8">
        <f t="shared" si="363"/>
        <v>0</v>
      </c>
      <c r="H1691" s="2">
        <f t="shared" si="363"/>
        <v>100000</v>
      </c>
      <c r="I1691" s="38"/>
      <c r="J1691" s="540" t="s">
        <v>6</v>
      </c>
      <c r="K1691" s="540" t="s">
        <v>128</v>
      </c>
      <c r="L1691" s="540" t="s">
        <v>99</v>
      </c>
      <c r="N1691" s="523"/>
      <c r="P1691" s="208" t="s">
        <v>1218</v>
      </c>
    </row>
    <row r="1692" spans="1:16" s="495" customFormat="1" ht="14">
      <c r="A1692" s="201" t="s">
        <v>490</v>
      </c>
      <c r="B1692" s="202" t="s">
        <v>1219</v>
      </c>
      <c r="C1692" s="203"/>
      <c r="D1692" s="8"/>
      <c r="E1692" s="8">
        <v>0</v>
      </c>
      <c r="F1692" s="10"/>
      <c r="G1692" s="2">
        <f t="shared" ref="G1692:H1692" si="364">SUBTOTAL(9,G1693:G1708)</f>
        <v>120000.28199999999</v>
      </c>
      <c r="H1692" s="2">
        <f t="shared" si="364"/>
        <v>120000</v>
      </c>
      <c r="I1692" s="1"/>
      <c r="J1692" s="16"/>
      <c r="K1692" s="540"/>
      <c r="L1692" s="540"/>
      <c r="N1692" s="523"/>
      <c r="P1692" s="541"/>
    </row>
    <row r="1693" spans="1:16" s="495" customFormat="1" ht="14">
      <c r="A1693" s="209" t="s">
        <v>8</v>
      </c>
      <c r="B1693" s="205" t="s">
        <v>491</v>
      </c>
      <c r="C1693" s="206" t="s">
        <v>9</v>
      </c>
      <c r="D1693" s="8"/>
      <c r="E1693" s="8">
        <v>1</v>
      </c>
      <c r="F1693" s="10">
        <v>120000</v>
      </c>
      <c r="G1693" s="8">
        <f t="shared" ref="G1693:G1708" si="365">D1693*$F1693</f>
        <v>0</v>
      </c>
      <c r="H1693" s="8">
        <f t="shared" ref="H1693:H1708" si="366">E1693*$F1693</f>
        <v>120000</v>
      </c>
      <c r="I1693" s="1"/>
      <c r="J1693" s="16" t="s">
        <v>6</v>
      </c>
      <c r="K1693" s="540" t="s">
        <v>325</v>
      </c>
      <c r="L1693" s="540" t="s">
        <v>99</v>
      </c>
      <c r="N1693" s="523"/>
      <c r="P1693" s="541"/>
    </row>
    <row r="1694" spans="1:16" s="495" customFormat="1" ht="15.5">
      <c r="A1694" s="209" t="s">
        <v>8</v>
      </c>
      <c r="B1694" s="544" t="s">
        <v>1220</v>
      </c>
      <c r="C1694" s="213" t="s">
        <v>15</v>
      </c>
      <c r="D1694" s="8">
        <v>2</v>
      </c>
      <c r="E1694" s="2">
        <v>0</v>
      </c>
      <c r="F1694" s="214">
        <v>3207.7759999999998</v>
      </c>
      <c r="G1694" s="8">
        <f t="shared" si="365"/>
        <v>6415.5519999999997</v>
      </c>
      <c r="H1694" s="8">
        <f t="shared" si="366"/>
        <v>0</v>
      </c>
      <c r="I1694" s="38"/>
      <c r="J1694" s="16" t="s">
        <v>6</v>
      </c>
      <c r="K1694" s="540" t="s">
        <v>325</v>
      </c>
      <c r="L1694" s="540" t="s">
        <v>99</v>
      </c>
      <c r="N1694" s="523"/>
      <c r="P1694" s="541"/>
    </row>
    <row r="1695" spans="1:16" s="495" customFormat="1" ht="15.5">
      <c r="A1695" s="209" t="s">
        <v>8</v>
      </c>
      <c r="B1695" s="545" t="s">
        <v>1221</v>
      </c>
      <c r="C1695" s="213" t="s">
        <v>15</v>
      </c>
      <c r="D1695" s="8">
        <v>2</v>
      </c>
      <c r="E1695" s="2">
        <v>0</v>
      </c>
      <c r="F1695" s="214">
        <v>12495.911999999998</v>
      </c>
      <c r="G1695" s="8">
        <f t="shared" si="365"/>
        <v>24991.823999999997</v>
      </c>
      <c r="H1695" s="8">
        <f t="shared" si="366"/>
        <v>0</v>
      </c>
      <c r="I1695" s="38"/>
      <c r="J1695" s="16" t="s">
        <v>6</v>
      </c>
      <c r="K1695" s="540" t="s">
        <v>325</v>
      </c>
      <c r="L1695" s="540" t="s">
        <v>99</v>
      </c>
      <c r="N1695" s="523"/>
      <c r="P1695" s="541"/>
    </row>
    <row r="1696" spans="1:16" s="495" customFormat="1" ht="15.5">
      <c r="A1696" s="209" t="s">
        <v>8</v>
      </c>
      <c r="B1696" s="544" t="s">
        <v>1222</v>
      </c>
      <c r="C1696" s="213" t="s">
        <v>15</v>
      </c>
      <c r="D1696" s="8">
        <v>2</v>
      </c>
      <c r="E1696" s="2">
        <v>0</v>
      </c>
      <c r="F1696" s="214">
        <v>2813.0959999999995</v>
      </c>
      <c r="G1696" s="8">
        <f t="shared" si="365"/>
        <v>5626.1919999999991</v>
      </c>
      <c r="H1696" s="8">
        <f t="shared" si="366"/>
        <v>0</v>
      </c>
      <c r="I1696" s="38"/>
      <c r="J1696" s="16" t="s">
        <v>6</v>
      </c>
      <c r="K1696" s="540" t="s">
        <v>325</v>
      </c>
      <c r="L1696" s="540" t="s">
        <v>99</v>
      </c>
      <c r="N1696" s="523"/>
      <c r="P1696" s="541"/>
    </row>
    <row r="1697" spans="1:16" s="495" customFormat="1" ht="15.5">
      <c r="A1697" s="209" t="s">
        <v>8</v>
      </c>
      <c r="B1697" s="544" t="s">
        <v>1223</v>
      </c>
      <c r="C1697" s="213" t="s">
        <v>15</v>
      </c>
      <c r="D1697" s="8">
        <v>1</v>
      </c>
      <c r="E1697" s="2">
        <v>0</v>
      </c>
      <c r="F1697" s="214">
        <v>1531.8159999999998</v>
      </c>
      <c r="G1697" s="8">
        <f t="shared" si="365"/>
        <v>1531.8159999999998</v>
      </c>
      <c r="H1697" s="8">
        <f t="shared" si="366"/>
        <v>0</v>
      </c>
      <c r="I1697" s="38"/>
      <c r="J1697" s="16" t="s">
        <v>6</v>
      </c>
      <c r="K1697" s="540" t="s">
        <v>325</v>
      </c>
      <c r="L1697" s="540" t="s">
        <v>99</v>
      </c>
      <c r="N1697" s="523"/>
      <c r="P1697" s="541"/>
    </row>
    <row r="1698" spans="1:16" s="495" customFormat="1" ht="15.5">
      <c r="A1698" s="209" t="s">
        <v>8</v>
      </c>
      <c r="B1698" s="544" t="s">
        <v>1224</v>
      </c>
      <c r="C1698" s="213" t="s">
        <v>15</v>
      </c>
      <c r="D1698" s="8">
        <v>2</v>
      </c>
      <c r="E1698" s="2">
        <v>0</v>
      </c>
      <c r="F1698" s="214">
        <v>669.2399999999999</v>
      </c>
      <c r="G1698" s="8">
        <f t="shared" si="365"/>
        <v>1338.4799999999998</v>
      </c>
      <c r="H1698" s="8">
        <f t="shared" si="366"/>
        <v>0</v>
      </c>
      <c r="I1698" s="38"/>
      <c r="J1698" s="16" t="s">
        <v>6</v>
      </c>
      <c r="K1698" s="540" t="s">
        <v>325</v>
      </c>
      <c r="L1698" s="540" t="s">
        <v>99</v>
      </c>
      <c r="N1698" s="523"/>
      <c r="P1698" s="541"/>
    </row>
    <row r="1699" spans="1:16" s="495" customFormat="1" ht="15.5">
      <c r="A1699" s="209" t="s">
        <v>8</v>
      </c>
      <c r="B1699" s="544" t="s">
        <v>1225</v>
      </c>
      <c r="C1699" s="213" t="s">
        <v>15</v>
      </c>
      <c r="D1699" s="8">
        <v>2</v>
      </c>
      <c r="E1699" s="2">
        <v>0</v>
      </c>
      <c r="F1699" s="214">
        <v>409.55199999999996</v>
      </c>
      <c r="G1699" s="8">
        <f t="shared" si="365"/>
        <v>819.10399999999993</v>
      </c>
      <c r="H1699" s="8">
        <f t="shared" si="366"/>
        <v>0</v>
      </c>
      <c r="I1699" s="38"/>
      <c r="J1699" s="16" t="s">
        <v>6</v>
      </c>
      <c r="K1699" s="540" t="s">
        <v>325</v>
      </c>
      <c r="L1699" s="540" t="s">
        <v>99</v>
      </c>
      <c r="N1699" s="523"/>
      <c r="P1699" s="541"/>
    </row>
    <row r="1700" spans="1:16" s="495" customFormat="1" ht="15.5">
      <c r="A1700" s="209" t="s">
        <v>8</v>
      </c>
      <c r="B1700" s="544" t="s">
        <v>1226</v>
      </c>
      <c r="C1700" s="213" t="s">
        <v>24</v>
      </c>
      <c r="D1700" s="8">
        <v>1</v>
      </c>
      <c r="E1700" s="2">
        <v>0</v>
      </c>
      <c r="F1700" s="214">
        <v>1201.1999999999998</v>
      </c>
      <c r="G1700" s="8">
        <f t="shared" si="365"/>
        <v>1201.1999999999998</v>
      </c>
      <c r="H1700" s="8">
        <f t="shared" si="366"/>
        <v>0</v>
      </c>
      <c r="I1700" s="38"/>
      <c r="J1700" s="16" t="s">
        <v>6</v>
      </c>
      <c r="K1700" s="540" t="s">
        <v>325</v>
      </c>
      <c r="L1700" s="540" t="s">
        <v>99</v>
      </c>
      <c r="N1700" s="523"/>
      <c r="P1700" s="541"/>
    </row>
    <row r="1701" spans="1:16" s="495" customFormat="1" ht="15.5">
      <c r="A1701" s="209" t="s">
        <v>8</v>
      </c>
      <c r="B1701" s="544" t="s">
        <v>1227</v>
      </c>
      <c r="C1701" s="213" t="s">
        <v>15</v>
      </c>
      <c r="D1701" s="8">
        <v>3</v>
      </c>
      <c r="E1701" s="2">
        <v>0</v>
      </c>
      <c r="F1701" s="214">
        <v>1560.4159999999999</v>
      </c>
      <c r="G1701" s="8">
        <f t="shared" si="365"/>
        <v>4681.2479999999996</v>
      </c>
      <c r="H1701" s="8">
        <f t="shared" si="366"/>
        <v>0</v>
      </c>
      <c r="I1701" s="38"/>
      <c r="J1701" s="16" t="s">
        <v>6</v>
      </c>
      <c r="K1701" s="540" t="s">
        <v>325</v>
      </c>
      <c r="L1701" s="540" t="s">
        <v>99</v>
      </c>
      <c r="N1701" s="523"/>
      <c r="P1701" s="541"/>
    </row>
    <row r="1702" spans="1:16" s="495" customFormat="1" ht="15.5">
      <c r="A1702" s="209" t="s">
        <v>8</v>
      </c>
      <c r="B1702" s="544" t="s">
        <v>1228</v>
      </c>
      <c r="C1702" s="213" t="s">
        <v>15</v>
      </c>
      <c r="D1702" s="8">
        <v>1</v>
      </c>
      <c r="E1702" s="2">
        <v>0</v>
      </c>
      <c r="F1702" s="214">
        <v>13102.231999999998</v>
      </c>
      <c r="G1702" s="8">
        <f t="shared" si="365"/>
        <v>13102.231999999998</v>
      </c>
      <c r="H1702" s="8">
        <f t="shared" si="366"/>
        <v>0</v>
      </c>
      <c r="I1702" s="38"/>
      <c r="J1702" s="16" t="s">
        <v>6</v>
      </c>
      <c r="K1702" s="540" t="s">
        <v>325</v>
      </c>
      <c r="L1702" s="540" t="s">
        <v>99</v>
      </c>
      <c r="N1702" s="523"/>
      <c r="P1702" s="541"/>
    </row>
    <row r="1703" spans="1:16" s="495" customFormat="1" ht="15.5">
      <c r="A1703" s="209" t="s">
        <v>8</v>
      </c>
      <c r="B1703" s="544" t="s">
        <v>1229</v>
      </c>
      <c r="C1703" s="213" t="s">
        <v>15</v>
      </c>
      <c r="D1703" s="8">
        <v>1</v>
      </c>
      <c r="E1703" s="2">
        <v>0</v>
      </c>
      <c r="F1703" s="214">
        <v>3187.1839999999997</v>
      </c>
      <c r="G1703" s="8">
        <f t="shared" si="365"/>
        <v>3187.1839999999997</v>
      </c>
      <c r="H1703" s="8">
        <f t="shared" si="366"/>
        <v>0</v>
      </c>
      <c r="I1703" s="38"/>
      <c r="J1703" s="16" t="s">
        <v>6</v>
      </c>
      <c r="K1703" s="540" t="s">
        <v>325</v>
      </c>
      <c r="L1703" s="540" t="s">
        <v>99</v>
      </c>
      <c r="N1703" s="523"/>
      <c r="P1703" s="541"/>
    </row>
    <row r="1704" spans="1:16" s="495" customFormat="1" ht="15.5">
      <c r="A1704" s="209" t="s">
        <v>8</v>
      </c>
      <c r="B1704" s="544" t="s">
        <v>1230</v>
      </c>
      <c r="C1704" s="213" t="s">
        <v>15</v>
      </c>
      <c r="D1704" s="8">
        <v>2</v>
      </c>
      <c r="E1704" s="2">
        <v>0</v>
      </c>
      <c r="F1704" s="214">
        <v>9706.2252732270463</v>
      </c>
      <c r="G1704" s="8">
        <f t="shared" si="365"/>
        <v>19412.450546454093</v>
      </c>
      <c r="H1704" s="8">
        <f t="shared" si="366"/>
        <v>0</v>
      </c>
      <c r="I1704" s="38"/>
      <c r="J1704" s="16" t="s">
        <v>6</v>
      </c>
      <c r="K1704" s="540" t="s">
        <v>325</v>
      </c>
      <c r="L1704" s="540" t="s">
        <v>99</v>
      </c>
      <c r="N1704" s="523"/>
      <c r="P1704" s="541"/>
    </row>
    <row r="1705" spans="1:16" s="495" customFormat="1" ht="15.5">
      <c r="A1705" s="209" t="s">
        <v>8</v>
      </c>
      <c r="B1705" s="546" t="s">
        <v>1231</v>
      </c>
      <c r="C1705" s="213" t="s">
        <v>15</v>
      </c>
      <c r="D1705" s="8">
        <v>1</v>
      </c>
      <c r="E1705" s="2">
        <v>0</v>
      </c>
      <c r="F1705" s="214">
        <v>5711.537525013744</v>
      </c>
      <c r="G1705" s="8">
        <f t="shared" si="365"/>
        <v>5711.537525013744</v>
      </c>
      <c r="H1705" s="8">
        <f t="shared" si="366"/>
        <v>0</v>
      </c>
      <c r="I1705" s="38"/>
      <c r="J1705" s="16" t="s">
        <v>6</v>
      </c>
      <c r="K1705" s="540" t="s">
        <v>325</v>
      </c>
      <c r="L1705" s="540" t="s">
        <v>99</v>
      </c>
      <c r="N1705" s="523"/>
      <c r="P1705" s="541"/>
    </row>
    <row r="1706" spans="1:16" s="495" customFormat="1" ht="15.5">
      <c r="A1706" s="209" t="s">
        <v>8</v>
      </c>
      <c r="B1706" s="546" t="s">
        <v>493</v>
      </c>
      <c r="C1706" s="213" t="s">
        <v>15</v>
      </c>
      <c r="D1706" s="8">
        <v>1</v>
      </c>
      <c r="E1706" s="2">
        <v>0</v>
      </c>
      <c r="F1706" s="214">
        <v>12944.143711929632</v>
      </c>
      <c r="G1706" s="8">
        <f t="shared" si="365"/>
        <v>12944.143711929632</v>
      </c>
      <c r="H1706" s="8">
        <f t="shared" si="366"/>
        <v>0</v>
      </c>
      <c r="I1706" s="38"/>
      <c r="J1706" s="16" t="s">
        <v>6</v>
      </c>
      <c r="K1706" s="540" t="s">
        <v>325</v>
      </c>
      <c r="L1706" s="540" t="s">
        <v>99</v>
      </c>
      <c r="N1706" s="523"/>
      <c r="P1706" s="541"/>
    </row>
    <row r="1707" spans="1:16" s="495" customFormat="1" ht="15.5">
      <c r="A1707" s="209" t="s">
        <v>8</v>
      </c>
      <c r="B1707" s="546" t="s">
        <v>494</v>
      </c>
      <c r="C1707" s="213" t="s">
        <v>15</v>
      </c>
      <c r="D1707" s="8">
        <v>1</v>
      </c>
      <c r="E1707" s="2">
        <v>0</v>
      </c>
      <c r="F1707" s="214">
        <v>11536.025693238042</v>
      </c>
      <c r="G1707" s="8">
        <f t="shared" si="365"/>
        <v>11536.025693238042</v>
      </c>
      <c r="H1707" s="8">
        <f t="shared" si="366"/>
        <v>0</v>
      </c>
      <c r="I1707" s="38"/>
      <c r="J1707" s="16" t="s">
        <v>6</v>
      </c>
      <c r="K1707" s="540" t="s">
        <v>325</v>
      </c>
      <c r="L1707" s="540" t="s">
        <v>99</v>
      </c>
      <c r="N1707" s="523"/>
      <c r="P1707" s="541"/>
    </row>
    <row r="1708" spans="1:16" s="495" customFormat="1" ht="15.5">
      <c r="A1708" s="209" t="s">
        <v>8</v>
      </c>
      <c r="B1708" s="546" t="s">
        <v>495</v>
      </c>
      <c r="C1708" s="213" t="s">
        <v>15</v>
      </c>
      <c r="D1708" s="8">
        <v>1</v>
      </c>
      <c r="E1708" s="2">
        <v>0</v>
      </c>
      <c r="F1708" s="214">
        <v>7501.2925233644901</v>
      </c>
      <c r="G1708" s="8">
        <f t="shared" si="365"/>
        <v>7501.2925233644901</v>
      </c>
      <c r="H1708" s="8">
        <f t="shared" si="366"/>
        <v>0</v>
      </c>
      <c r="I1708" s="38"/>
      <c r="J1708" s="16" t="s">
        <v>6</v>
      </c>
      <c r="K1708" s="540" t="s">
        <v>325</v>
      </c>
      <c r="L1708" s="540" t="s">
        <v>99</v>
      </c>
      <c r="N1708" s="523"/>
      <c r="P1708" s="541"/>
    </row>
    <row r="1709" spans="1:16" s="495" customFormat="1" ht="14">
      <c r="A1709" s="215">
        <v>3</v>
      </c>
      <c r="B1709" s="202" t="s">
        <v>496</v>
      </c>
      <c r="C1709" s="210"/>
      <c r="D1709" s="2"/>
      <c r="E1709" s="2">
        <v>0</v>
      </c>
      <c r="F1709" s="539"/>
      <c r="G1709" s="2"/>
      <c r="H1709" s="8"/>
      <c r="I1709" s="38"/>
      <c r="J1709" s="540"/>
      <c r="K1709" s="540"/>
      <c r="L1709" s="540"/>
      <c r="N1709" s="523"/>
      <c r="P1709" s="541"/>
    </row>
    <row r="1710" spans="1:16" s="495" customFormat="1">
      <c r="A1710" s="502">
        <v>4</v>
      </c>
      <c r="B1710" s="522" t="s">
        <v>497</v>
      </c>
      <c r="C1710" s="538"/>
      <c r="D1710" s="2"/>
      <c r="E1710" s="2">
        <v>0</v>
      </c>
      <c r="F1710" s="539"/>
      <c r="G1710" s="2"/>
      <c r="H1710" s="8"/>
      <c r="I1710" s="38"/>
      <c r="J1710" s="540"/>
      <c r="K1710" s="540"/>
      <c r="L1710" s="540"/>
      <c r="N1710" s="523"/>
      <c r="P1710" s="541"/>
    </row>
    <row r="1711" spans="1:16" s="495" customFormat="1" ht="14">
      <c r="A1711" s="209" t="s">
        <v>8</v>
      </c>
      <c r="B1711" s="216" t="s">
        <v>498</v>
      </c>
      <c r="C1711" s="547" t="s">
        <v>10</v>
      </c>
      <c r="D1711" s="8"/>
      <c r="E1711" s="8">
        <v>2</v>
      </c>
      <c r="F1711" s="10">
        <v>30000</v>
      </c>
      <c r="G1711" s="8">
        <f>D1711*$F1711</f>
        <v>0</v>
      </c>
      <c r="H1711" s="8">
        <f>E1711*$F1711</f>
        <v>60000</v>
      </c>
      <c r="I1711" s="38"/>
      <c r="J1711" s="540" t="s">
        <v>6</v>
      </c>
      <c r="K1711" s="540" t="s">
        <v>128</v>
      </c>
      <c r="L1711" s="540" t="s">
        <v>99</v>
      </c>
      <c r="N1711" s="523"/>
      <c r="P1711" s="541"/>
    </row>
    <row r="1712" spans="1:16" s="495" customFormat="1" ht="14">
      <c r="A1712" s="209" t="s">
        <v>8</v>
      </c>
      <c r="B1712" s="216" t="s">
        <v>499</v>
      </c>
      <c r="C1712" s="547" t="s">
        <v>10</v>
      </c>
      <c r="D1712" s="8"/>
      <c r="E1712" s="8">
        <v>2</v>
      </c>
      <c r="F1712" s="10">
        <v>22250</v>
      </c>
      <c r="G1712" s="8">
        <f>D1712*$F1712</f>
        <v>0</v>
      </c>
      <c r="H1712" s="8">
        <f>E1712*$F1712</f>
        <v>44500</v>
      </c>
      <c r="I1712" s="38"/>
      <c r="J1712" s="540" t="s">
        <v>6</v>
      </c>
      <c r="K1712" s="540" t="s">
        <v>128</v>
      </c>
      <c r="L1712" s="540" t="s">
        <v>99</v>
      </c>
      <c r="N1712" s="523"/>
      <c r="P1712" s="541"/>
    </row>
    <row r="1713" spans="1:16" s="495" customFormat="1">
      <c r="A1713" s="502" t="s">
        <v>43</v>
      </c>
      <c r="B1713" s="522" t="s">
        <v>500</v>
      </c>
      <c r="C1713" s="538"/>
      <c r="D1713" s="2"/>
      <c r="E1713" s="2">
        <v>0</v>
      </c>
      <c r="F1713" s="539"/>
      <c r="G1713" s="2">
        <f>SUBTOTAL(9,G1714:G1755)</f>
        <v>143200</v>
      </c>
      <c r="H1713" s="2">
        <f>SUBTOTAL(9,H1714:H1755)</f>
        <v>525000</v>
      </c>
      <c r="I1713" s="38"/>
      <c r="J1713" s="540"/>
      <c r="K1713" s="540"/>
      <c r="L1713" s="540"/>
      <c r="N1713" s="523"/>
      <c r="P1713" s="541"/>
    </row>
    <row r="1714" spans="1:16" s="495" customFormat="1">
      <c r="A1714" s="502">
        <v>1</v>
      </c>
      <c r="B1714" s="522" t="s">
        <v>39</v>
      </c>
      <c r="C1714" s="538"/>
      <c r="D1714" s="2"/>
      <c r="E1714" s="2">
        <v>0</v>
      </c>
      <c r="F1714" s="539"/>
      <c r="G1714" s="2"/>
      <c r="H1714" s="8"/>
      <c r="I1714" s="38"/>
      <c r="J1714" s="540"/>
      <c r="K1714" s="540"/>
      <c r="L1714" s="540"/>
      <c r="N1714" s="523"/>
      <c r="P1714" s="541"/>
    </row>
    <row r="1715" spans="1:16" s="495" customFormat="1" ht="14">
      <c r="A1715" s="201" t="s">
        <v>475</v>
      </c>
      <c r="B1715" s="202" t="s">
        <v>476</v>
      </c>
      <c r="C1715" s="206"/>
      <c r="D1715" s="2"/>
      <c r="E1715" s="2">
        <v>0</v>
      </c>
      <c r="F1715" s="539"/>
      <c r="G1715" s="2"/>
      <c r="H1715" s="8"/>
      <c r="I1715" s="38"/>
      <c r="J1715" s="540"/>
      <c r="K1715" s="540"/>
      <c r="L1715" s="540"/>
      <c r="N1715" s="523"/>
      <c r="P1715" s="541"/>
    </row>
    <row r="1716" spans="1:16" s="495" customFormat="1" ht="14">
      <c r="A1716" s="204" t="s">
        <v>8</v>
      </c>
      <c r="B1716" s="205" t="s">
        <v>477</v>
      </c>
      <c r="C1716" s="206" t="s">
        <v>27</v>
      </c>
      <c r="D1716" s="2"/>
      <c r="E1716" s="2">
        <v>0</v>
      </c>
      <c r="F1716" s="207">
        <v>12500</v>
      </c>
      <c r="G1716" s="2">
        <f>D1716*$F1716</f>
        <v>0</v>
      </c>
      <c r="H1716" s="2">
        <f>E1716*$F1716</f>
        <v>0</v>
      </c>
      <c r="I1716" s="38"/>
      <c r="J1716" s="540" t="s">
        <v>6</v>
      </c>
      <c r="K1716" s="540" t="s">
        <v>128</v>
      </c>
      <c r="L1716" s="540" t="s">
        <v>99</v>
      </c>
      <c r="N1716" s="523"/>
      <c r="P1716" s="541"/>
    </row>
    <row r="1717" spans="1:16" s="495" customFormat="1" ht="14">
      <c r="A1717" s="204" t="s">
        <v>8</v>
      </c>
      <c r="B1717" s="205" t="s">
        <v>478</v>
      </c>
      <c r="C1717" s="206" t="s">
        <v>27</v>
      </c>
      <c r="D1717" s="8">
        <v>4</v>
      </c>
      <c r="E1717" s="2">
        <v>0</v>
      </c>
      <c r="F1717" s="207">
        <v>18300</v>
      </c>
      <c r="G1717" s="8">
        <f>D1717*$F1717</f>
        <v>73200</v>
      </c>
      <c r="H1717" s="2">
        <f>E1717*$F1717</f>
        <v>0</v>
      </c>
      <c r="I1717" s="38"/>
      <c r="J1717" s="540" t="s">
        <v>6</v>
      </c>
      <c r="K1717" s="540" t="s">
        <v>128</v>
      </c>
      <c r="L1717" s="540" t="s">
        <v>99</v>
      </c>
      <c r="N1717" s="523"/>
      <c r="P1717" s="208" t="s">
        <v>947</v>
      </c>
    </row>
    <row r="1718" spans="1:16" s="495" customFormat="1" ht="14">
      <c r="A1718" s="201" t="s">
        <v>479</v>
      </c>
      <c r="B1718" s="202" t="s">
        <v>480</v>
      </c>
      <c r="C1718" s="203"/>
      <c r="D1718" s="2"/>
      <c r="E1718" s="2">
        <v>0</v>
      </c>
      <c r="F1718" s="539"/>
      <c r="G1718" s="8"/>
      <c r="H1718" s="8"/>
      <c r="I1718" s="38"/>
      <c r="J1718" s="540"/>
      <c r="K1718" s="540"/>
      <c r="L1718" s="540"/>
      <c r="N1718" s="523"/>
      <c r="P1718" s="541"/>
    </row>
    <row r="1719" spans="1:16" s="495" customFormat="1" ht="42">
      <c r="A1719" s="209" t="s">
        <v>8</v>
      </c>
      <c r="B1719" s="208" t="s">
        <v>501</v>
      </c>
      <c r="C1719" s="210" t="s">
        <v>15</v>
      </c>
      <c r="D1719" s="8"/>
      <c r="E1719" s="8">
        <v>2</v>
      </c>
      <c r="F1719" s="10">
        <v>150000</v>
      </c>
      <c r="G1719" s="8">
        <f>D1719*$F1719</f>
        <v>0</v>
      </c>
      <c r="H1719" s="8">
        <f>E1719*$F1719</f>
        <v>300000</v>
      </c>
      <c r="I1719" s="38"/>
      <c r="J1719" s="540" t="s">
        <v>6</v>
      </c>
      <c r="K1719" s="540" t="s">
        <v>128</v>
      </c>
      <c r="L1719" s="540" t="s">
        <v>99</v>
      </c>
      <c r="N1719" s="523"/>
      <c r="P1719" s="208" t="s">
        <v>951</v>
      </c>
    </row>
    <row r="1720" spans="1:16" s="495" customFormat="1" ht="14">
      <c r="A1720" s="215" t="s">
        <v>484</v>
      </c>
      <c r="B1720" s="217" t="s">
        <v>485</v>
      </c>
      <c r="C1720" s="210"/>
      <c r="D1720" s="8"/>
      <c r="E1720" s="8">
        <v>0</v>
      </c>
      <c r="F1720" s="10"/>
      <c r="G1720" s="8"/>
      <c r="H1720" s="8"/>
      <c r="I1720" s="38"/>
      <c r="J1720" s="540"/>
      <c r="K1720" s="540"/>
      <c r="L1720" s="540"/>
      <c r="N1720" s="523"/>
      <c r="P1720" s="208"/>
    </row>
    <row r="1721" spans="1:16" s="495" customFormat="1" ht="14">
      <c r="A1721" s="212" t="s">
        <v>8</v>
      </c>
      <c r="B1721" s="208" t="s">
        <v>489</v>
      </c>
      <c r="C1721" s="210" t="s">
        <v>9</v>
      </c>
      <c r="D1721" s="8"/>
      <c r="E1721" s="8">
        <v>1</v>
      </c>
      <c r="F1721" s="543">
        <v>50000</v>
      </c>
      <c r="G1721" s="8">
        <f>D1721*$F1721</f>
        <v>0</v>
      </c>
      <c r="H1721" s="8">
        <f>E1721*$F1721</f>
        <v>50000</v>
      </c>
      <c r="I1721" s="38"/>
      <c r="J1721" s="540" t="s">
        <v>6</v>
      </c>
      <c r="K1721" s="540" t="s">
        <v>128</v>
      </c>
      <c r="L1721" s="540" t="s">
        <v>99</v>
      </c>
      <c r="N1721" s="523"/>
      <c r="P1721" s="208" t="s">
        <v>950</v>
      </c>
    </row>
    <row r="1722" spans="1:16" s="495" customFormat="1" ht="14">
      <c r="A1722" s="201" t="s">
        <v>490</v>
      </c>
      <c r="B1722" s="202" t="s">
        <v>1219</v>
      </c>
      <c r="C1722" s="203"/>
      <c r="D1722" s="8"/>
      <c r="E1722" s="8">
        <v>0</v>
      </c>
      <c r="F1722" s="10"/>
      <c r="G1722" s="2">
        <f>SUBTOTAL(9,G1723:G1750)</f>
        <v>70000</v>
      </c>
      <c r="H1722" s="2">
        <f>SUBTOTAL(9,H1723:H1750)</f>
        <v>70000</v>
      </c>
      <c r="I1722" s="38"/>
      <c r="J1722" s="540"/>
      <c r="K1722" s="540"/>
      <c r="L1722" s="540"/>
      <c r="N1722" s="523"/>
      <c r="P1722" s="541"/>
    </row>
    <row r="1723" spans="1:16" s="495" customFormat="1" ht="14">
      <c r="A1723" s="548"/>
      <c r="B1723" s="205" t="s">
        <v>491</v>
      </c>
      <c r="C1723" s="206" t="s">
        <v>9</v>
      </c>
      <c r="D1723" s="8"/>
      <c r="E1723" s="8">
        <v>1</v>
      </c>
      <c r="F1723" s="10">
        <v>70000</v>
      </c>
      <c r="G1723" s="8">
        <f>D1723*$F1723</f>
        <v>0</v>
      </c>
      <c r="H1723" s="8">
        <f>E1723*$F1723</f>
        <v>70000</v>
      </c>
      <c r="I1723" s="38"/>
      <c r="J1723" s="540" t="s">
        <v>6</v>
      </c>
      <c r="K1723" s="540" t="s">
        <v>325</v>
      </c>
      <c r="L1723" s="540" t="s">
        <v>99</v>
      </c>
      <c r="N1723" s="523"/>
      <c r="P1723" s="541"/>
    </row>
    <row r="1724" spans="1:16" s="495" customFormat="1" ht="14">
      <c r="A1724" s="548" t="s">
        <v>1232</v>
      </c>
      <c r="B1724" s="202" t="s">
        <v>1233</v>
      </c>
      <c r="C1724" s="203"/>
      <c r="D1724" s="2"/>
      <c r="E1724" s="2">
        <v>0</v>
      </c>
      <c r="F1724" s="10"/>
      <c r="G1724" s="2"/>
      <c r="H1724" s="2"/>
      <c r="I1724" s="38"/>
      <c r="J1724" s="540"/>
      <c r="K1724" s="540"/>
      <c r="L1724" s="540"/>
      <c r="N1724" s="523"/>
      <c r="P1724" s="541"/>
    </row>
    <row r="1725" spans="1:16" s="495" customFormat="1" ht="15.5">
      <c r="A1725" s="209" t="s">
        <v>8</v>
      </c>
      <c r="B1725" s="205" t="s">
        <v>492</v>
      </c>
      <c r="C1725" s="206" t="s">
        <v>15</v>
      </c>
      <c r="D1725" s="549">
        <v>1</v>
      </c>
      <c r="E1725" s="2">
        <v>0</v>
      </c>
      <c r="F1725" s="550">
        <v>12266</v>
      </c>
      <c r="G1725" s="8">
        <f t="shared" ref="G1725:G1750" si="367">D1725*$F1725</f>
        <v>12266</v>
      </c>
      <c r="H1725" s="8">
        <f t="shared" ref="H1725:H1750" si="368">E1725*$F1725</f>
        <v>0</v>
      </c>
      <c r="I1725" s="38"/>
      <c r="J1725" s="540" t="s">
        <v>6</v>
      </c>
      <c r="K1725" s="540" t="s">
        <v>325</v>
      </c>
      <c r="L1725" s="540" t="s">
        <v>99</v>
      </c>
      <c r="N1725" s="523"/>
      <c r="P1725" s="541"/>
    </row>
    <row r="1726" spans="1:16" s="495" customFormat="1" ht="15.5">
      <c r="A1726" s="209" t="s">
        <v>8</v>
      </c>
      <c r="B1726" s="205" t="s">
        <v>1234</v>
      </c>
      <c r="C1726" s="206" t="s">
        <v>15</v>
      </c>
      <c r="D1726" s="551">
        <v>1</v>
      </c>
      <c r="E1726" s="2">
        <v>0</v>
      </c>
      <c r="F1726" s="550">
        <v>8265</v>
      </c>
      <c r="G1726" s="8">
        <f t="shared" si="367"/>
        <v>8265</v>
      </c>
      <c r="H1726" s="8">
        <f t="shared" si="368"/>
        <v>0</v>
      </c>
      <c r="I1726" s="38"/>
      <c r="J1726" s="540" t="s">
        <v>6</v>
      </c>
      <c r="K1726" s="540" t="s">
        <v>325</v>
      </c>
      <c r="L1726" s="540" t="s">
        <v>99</v>
      </c>
      <c r="N1726" s="523"/>
      <c r="P1726" s="541"/>
    </row>
    <row r="1727" spans="1:16" s="495" customFormat="1" ht="15.5">
      <c r="A1727" s="209" t="s">
        <v>8</v>
      </c>
      <c r="B1727" s="205" t="s">
        <v>1235</v>
      </c>
      <c r="C1727" s="206" t="s">
        <v>15</v>
      </c>
      <c r="D1727" s="552">
        <v>1</v>
      </c>
      <c r="E1727" s="2">
        <v>0</v>
      </c>
      <c r="F1727" s="550">
        <v>206</v>
      </c>
      <c r="G1727" s="8">
        <f t="shared" si="367"/>
        <v>206</v>
      </c>
      <c r="H1727" s="8">
        <f t="shared" si="368"/>
        <v>0</v>
      </c>
      <c r="I1727" s="38"/>
      <c r="J1727" s="540" t="s">
        <v>6</v>
      </c>
      <c r="K1727" s="540" t="s">
        <v>325</v>
      </c>
      <c r="L1727" s="540" t="s">
        <v>99</v>
      </c>
      <c r="N1727" s="523"/>
      <c r="P1727" s="541"/>
    </row>
    <row r="1728" spans="1:16" s="495" customFormat="1" ht="15.5">
      <c r="A1728" s="209" t="s">
        <v>8</v>
      </c>
      <c r="B1728" s="205" t="s">
        <v>1236</v>
      </c>
      <c r="C1728" s="206" t="s">
        <v>15</v>
      </c>
      <c r="D1728" s="552">
        <v>1</v>
      </c>
      <c r="E1728" s="2">
        <v>0</v>
      </c>
      <c r="F1728" s="550">
        <v>210</v>
      </c>
      <c r="G1728" s="8">
        <f t="shared" si="367"/>
        <v>210</v>
      </c>
      <c r="H1728" s="8">
        <f t="shared" si="368"/>
        <v>0</v>
      </c>
      <c r="I1728" s="38"/>
      <c r="J1728" s="540" t="s">
        <v>6</v>
      </c>
      <c r="K1728" s="540" t="s">
        <v>325</v>
      </c>
      <c r="L1728" s="540" t="s">
        <v>99</v>
      </c>
      <c r="N1728" s="523"/>
      <c r="P1728" s="541"/>
    </row>
    <row r="1729" spans="1:16" s="495" customFormat="1" ht="15.5">
      <c r="A1729" s="209" t="s">
        <v>8</v>
      </c>
      <c r="B1729" s="205" t="s">
        <v>1237</v>
      </c>
      <c r="C1729" s="206" t="s">
        <v>15</v>
      </c>
      <c r="D1729" s="552">
        <v>1</v>
      </c>
      <c r="E1729" s="2">
        <v>0</v>
      </c>
      <c r="F1729" s="550">
        <v>3434</v>
      </c>
      <c r="G1729" s="8">
        <f t="shared" si="367"/>
        <v>3434</v>
      </c>
      <c r="H1729" s="8">
        <f t="shared" si="368"/>
        <v>0</v>
      </c>
      <c r="I1729" s="38"/>
      <c r="J1729" s="540" t="s">
        <v>6</v>
      </c>
      <c r="K1729" s="540" t="s">
        <v>325</v>
      </c>
      <c r="L1729" s="540" t="s">
        <v>99</v>
      </c>
      <c r="N1729" s="523"/>
      <c r="P1729" s="541"/>
    </row>
    <row r="1730" spans="1:16" s="495" customFormat="1" ht="15.5">
      <c r="A1730" s="209" t="s">
        <v>8</v>
      </c>
      <c r="B1730" s="205" t="s">
        <v>1238</v>
      </c>
      <c r="C1730" s="206" t="s">
        <v>15</v>
      </c>
      <c r="D1730" s="552">
        <v>1</v>
      </c>
      <c r="E1730" s="2">
        <v>0</v>
      </c>
      <c r="F1730" s="550">
        <v>1099</v>
      </c>
      <c r="G1730" s="8">
        <f t="shared" si="367"/>
        <v>1099</v>
      </c>
      <c r="H1730" s="8">
        <f t="shared" si="368"/>
        <v>0</v>
      </c>
      <c r="I1730" s="38"/>
      <c r="J1730" s="540" t="s">
        <v>6</v>
      </c>
      <c r="K1730" s="540" t="s">
        <v>325</v>
      </c>
      <c r="L1730" s="540" t="s">
        <v>99</v>
      </c>
      <c r="N1730" s="523"/>
      <c r="P1730" s="541"/>
    </row>
    <row r="1731" spans="1:16" s="495" customFormat="1" ht="15.5">
      <c r="A1731" s="209" t="s">
        <v>8</v>
      </c>
      <c r="B1731" s="205" t="s">
        <v>1239</v>
      </c>
      <c r="C1731" s="206" t="s">
        <v>15</v>
      </c>
      <c r="D1731" s="553">
        <v>1</v>
      </c>
      <c r="E1731" s="2">
        <v>0</v>
      </c>
      <c r="F1731" s="550">
        <v>99</v>
      </c>
      <c r="G1731" s="8">
        <f t="shared" si="367"/>
        <v>99</v>
      </c>
      <c r="H1731" s="8">
        <f t="shared" si="368"/>
        <v>0</v>
      </c>
      <c r="I1731" s="38"/>
      <c r="J1731" s="540" t="s">
        <v>6</v>
      </c>
      <c r="K1731" s="540" t="s">
        <v>325</v>
      </c>
      <c r="L1731" s="540" t="s">
        <v>99</v>
      </c>
      <c r="N1731" s="523"/>
      <c r="P1731" s="541"/>
    </row>
    <row r="1732" spans="1:16" s="495" customFormat="1" ht="15.5">
      <c r="A1732" s="209" t="s">
        <v>8</v>
      </c>
      <c r="B1732" s="205" t="s">
        <v>1240</v>
      </c>
      <c r="C1732" s="206" t="s">
        <v>15</v>
      </c>
      <c r="D1732" s="553">
        <v>1</v>
      </c>
      <c r="E1732" s="2">
        <v>0</v>
      </c>
      <c r="F1732" s="550">
        <v>158</v>
      </c>
      <c r="G1732" s="8">
        <f t="shared" si="367"/>
        <v>158</v>
      </c>
      <c r="H1732" s="8">
        <f t="shared" si="368"/>
        <v>0</v>
      </c>
      <c r="I1732" s="38"/>
      <c r="J1732" s="540" t="s">
        <v>6</v>
      </c>
      <c r="K1732" s="540" t="s">
        <v>325</v>
      </c>
      <c r="L1732" s="540" t="s">
        <v>99</v>
      </c>
      <c r="N1732" s="523"/>
      <c r="P1732" s="541"/>
    </row>
    <row r="1733" spans="1:16" s="495" customFormat="1" ht="15.5">
      <c r="A1733" s="209" t="s">
        <v>8</v>
      </c>
      <c r="B1733" s="205" t="s">
        <v>1241</v>
      </c>
      <c r="C1733" s="206" t="s">
        <v>15</v>
      </c>
      <c r="D1733" s="553">
        <v>1</v>
      </c>
      <c r="E1733" s="2">
        <v>0</v>
      </c>
      <c r="F1733" s="550">
        <v>315</v>
      </c>
      <c r="G1733" s="8">
        <f t="shared" si="367"/>
        <v>315</v>
      </c>
      <c r="H1733" s="8">
        <f t="shared" si="368"/>
        <v>0</v>
      </c>
      <c r="I1733" s="38"/>
      <c r="J1733" s="540" t="s">
        <v>6</v>
      </c>
      <c r="K1733" s="540" t="s">
        <v>325</v>
      </c>
      <c r="L1733" s="540" t="s">
        <v>99</v>
      </c>
      <c r="N1733" s="523"/>
      <c r="P1733" s="541"/>
    </row>
    <row r="1734" spans="1:16" s="495" customFormat="1" ht="15.5">
      <c r="A1734" s="209" t="s">
        <v>8</v>
      </c>
      <c r="B1734" s="205" t="s">
        <v>1242</v>
      </c>
      <c r="C1734" s="206" t="s">
        <v>15</v>
      </c>
      <c r="D1734" s="553">
        <v>1</v>
      </c>
      <c r="E1734" s="2">
        <v>0</v>
      </c>
      <c r="F1734" s="550">
        <v>384</v>
      </c>
      <c r="G1734" s="8">
        <f t="shared" si="367"/>
        <v>384</v>
      </c>
      <c r="H1734" s="8">
        <f t="shared" si="368"/>
        <v>0</v>
      </c>
      <c r="I1734" s="38"/>
      <c r="J1734" s="540" t="s">
        <v>6</v>
      </c>
      <c r="K1734" s="540" t="s">
        <v>325</v>
      </c>
      <c r="L1734" s="540" t="s">
        <v>99</v>
      </c>
      <c r="N1734" s="523"/>
      <c r="P1734" s="541"/>
    </row>
    <row r="1735" spans="1:16" s="495" customFormat="1" ht="15.5">
      <c r="A1735" s="209" t="s">
        <v>8</v>
      </c>
      <c r="B1735" s="205" t="s">
        <v>1243</v>
      </c>
      <c r="C1735" s="206" t="s">
        <v>15</v>
      </c>
      <c r="D1735" s="553">
        <v>1</v>
      </c>
      <c r="E1735" s="2">
        <v>0</v>
      </c>
      <c r="F1735" s="550">
        <v>334</v>
      </c>
      <c r="G1735" s="8">
        <f t="shared" si="367"/>
        <v>334</v>
      </c>
      <c r="H1735" s="8">
        <f t="shared" si="368"/>
        <v>0</v>
      </c>
      <c r="I1735" s="38"/>
      <c r="J1735" s="540" t="s">
        <v>6</v>
      </c>
      <c r="K1735" s="540" t="s">
        <v>325</v>
      </c>
      <c r="L1735" s="540" t="s">
        <v>99</v>
      </c>
      <c r="N1735" s="523"/>
      <c r="P1735" s="541"/>
    </row>
    <row r="1736" spans="1:16" s="495" customFormat="1" ht="15.5">
      <c r="A1736" s="209" t="s">
        <v>8</v>
      </c>
      <c r="B1736" s="205" t="s">
        <v>1244</v>
      </c>
      <c r="C1736" s="206" t="s">
        <v>15</v>
      </c>
      <c r="D1736" s="553">
        <v>1</v>
      </c>
      <c r="E1736" s="2">
        <v>0</v>
      </c>
      <c r="F1736" s="550">
        <v>451</v>
      </c>
      <c r="G1736" s="8">
        <f t="shared" si="367"/>
        <v>451</v>
      </c>
      <c r="H1736" s="8">
        <f t="shared" si="368"/>
        <v>0</v>
      </c>
      <c r="I1736" s="38"/>
      <c r="J1736" s="540" t="s">
        <v>6</v>
      </c>
      <c r="K1736" s="540" t="s">
        <v>325</v>
      </c>
      <c r="L1736" s="540" t="s">
        <v>99</v>
      </c>
      <c r="N1736" s="523"/>
      <c r="P1736" s="541"/>
    </row>
    <row r="1737" spans="1:16" s="495" customFormat="1" ht="15.5">
      <c r="A1737" s="209" t="s">
        <v>8</v>
      </c>
      <c r="B1737" s="205" t="s">
        <v>1245</v>
      </c>
      <c r="C1737" s="206" t="s">
        <v>15</v>
      </c>
      <c r="D1737" s="553">
        <v>1</v>
      </c>
      <c r="E1737" s="2">
        <v>0</v>
      </c>
      <c r="F1737" s="550">
        <v>152</v>
      </c>
      <c r="G1737" s="8">
        <f t="shared" si="367"/>
        <v>152</v>
      </c>
      <c r="H1737" s="8">
        <f t="shared" si="368"/>
        <v>0</v>
      </c>
      <c r="I1737" s="38"/>
      <c r="J1737" s="540" t="s">
        <v>6</v>
      </c>
      <c r="K1737" s="540" t="s">
        <v>325</v>
      </c>
      <c r="L1737" s="540" t="s">
        <v>99</v>
      </c>
      <c r="N1737" s="523"/>
      <c r="P1737" s="541"/>
    </row>
    <row r="1738" spans="1:16" s="495" customFormat="1" ht="15.5">
      <c r="A1738" s="209" t="s">
        <v>8</v>
      </c>
      <c r="B1738" s="205" t="s">
        <v>1246</v>
      </c>
      <c r="C1738" s="206" t="s">
        <v>15</v>
      </c>
      <c r="D1738" s="553">
        <v>1</v>
      </c>
      <c r="E1738" s="2">
        <v>0</v>
      </c>
      <c r="F1738" s="550">
        <v>211</v>
      </c>
      <c r="G1738" s="8">
        <f t="shared" si="367"/>
        <v>211</v>
      </c>
      <c r="H1738" s="8">
        <f t="shared" si="368"/>
        <v>0</v>
      </c>
      <c r="I1738" s="38"/>
      <c r="J1738" s="540" t="s">
        <v>6</v>
      </c>
      <c r="K1738" s="540" t="s">
        <v>325</v>
      </c>
      <c r="L1738" s="540" t="s">
        <v>99</v>
      </c>
      <c r="N1738" s="523"/>
      <c r="P1738" s="541"/>
    </row>
    <row r="1739" spans="1:16" s="495" customFormat="1" ht="15.5">
      <c r="A1739" s="209" t="s">
        <v>8</v>
      </c>
      <c r="B1739" s="205" t="s">
        <v>1247</v>
      </c>
      <c r="C1739" s="206" t="s">
        <v>15</v>
      </c>
      <c r="D1739" s="553">
        <v>1</v>
      </c>
      <c r="E1739" s="2">
        <v>0</v>
      </c>
      <c r="F1739" s="550">
        <v>2987</v>
      </c>
      <c r="G1739" s="8">
        <f t="shared" si="367"/>
        <v>2987</v>
      </c>
      <c r="H1739" s="8">
        <f t="shared" si="368"/>
        <v>0</v>
      </c>
      <c r="I1739" s="38"/>
      <c r="J1739" s="540" t="s">
        <v>6</v>
      </c>
      <c r="K1739" s="540" t="s">
        <v>325</v>
      </c>
      <c r="L1739" s="540" t="s">
        <v>99</v>
      </c>
      <c r="N1739" s="523"/>
      <c r="P1739" s="541"/>
    </row>
    <row r="1740" spans="1:16" s="495" customFormat="1" ht="15.5">
      <c r="A1740" s="209" t="s">
        <v>8</v>
      </c>
      <c r="B1740" s="205" t="s">
        <v>1248</v>
      </c>
      <c r="C1740" s="206" t="s">
        <v>15</v>
      </c>
      <c r="D1740" s="553">
        <v>2</v>
      </c>
      <c r="E1740" s="2">
        <v>0</v>
      </c>
      <c r="F1740" s="550">
        <v>112</v>
      </c>
      <c r="G1740" s="8">
        <f t="shared" si="367"/>
        <v>224</v>
      </c>
      <c r="H1740" s="8">
        <f t="shared" si="368"/>
        <v>0</v>
      </c>
      <c r="I1740" s="38"/>
      <c r="J1740" s="540" t="s">
        <v>6</v>
      </c>
      <c r="K1740" s="540" t="s">
        <v>325</v>
      </c>
      <c r="L1740" s="540" t="s">
        <v>99</v>
      </c>
      <c r="N1740" s="523"/>
      <c r="P1740" s="541"/>
    </row>
    <row r="1741" spans="1:16" s="495" customFormat="1" ht="15.5">
      <c r="A1741" s="209" t="s">
        <v>8</v>
      </c>
      <c r="B1741" s="205" t="s">
        <v>1249</v>
      </c>
      <c r="C1741" s="206" t="s">
        <v>15</v>
      </c>
      <c r="D1741" s="553">
        <v>1</v>
      </c>
      <c r="E1741" s="2">
        <v>0</v>
      </c>
      <c r="F1741" s="550">
        <v>2327</v>
      </c>
      <c r="G1741" s="8">
        <f t="shared" si="367"/>
        <v>2327</v>
      </c>
      <c r="H1741" s="8">
        <f t="shared" si="368"/>
        <v>0</v>
      </c>
      <c r="I1741" s="38"/>
      <c r="J1741" s="540" t="s">
        <v>6</v>
      </c>
      <c r="K1741" s="540" t="s">
        <v>325</v>
      </c>
      <c r="L1741" s="540" t="s">
        <v>99</v>
      </c>
      <c r="N1741" s="523"/>
      <c r="P1741" s="541"/>
    </row>
    <row r="1742" spans="1:16" s="495" customFormat="1" ht="15.5">
      <c r="A1742" s="209" t="s">
        <v>8</v>
      </c>
      <c r="B1742" s="205" t="s">
        <v>1250</v>
      </c>
      <c r="C1742" s="206" t="s">
        <v>15</v>
      </c>
      <c r="D1742" s="553">
        <v>1</v>
      </c>
      <c r="E1742" s="2">
        <v>0</v>
      </c>
      <c r="F1742" s="550">
        <v>1576</v>
      </c>
      <c r="G1742" s="8">
        <f t="shared" si="367"/>
        <v>1576</v>
      </c>
      <c r="H1742" s="8">
        <f t="shared" si="368"/>
        <v>0</v>
      </c>
      <c r="I1742" s="38"/>
      <c r="J1742" s="540" t="s">
        <v>6</v>
      </c>
      <c r="K1742" s="540" t="s">
        <v>325</v>
      </c>
      <c r="L1742" s="540" t="s">
        <v>99</v>
      </c>
      <c r="N1742" s="523"/>
      <c r="P1742" s="541"/>
    </row>
    <row r="1743" spans="1:16" s="495" customFormat="1" ht="15.5">
      <c r="A1743" s="209" t="s">
        <v>8</v>
      </c>
      <c r="B1743" s="205" t="s">
        <v>1251</v>
      </c>
      <c r="C1743" s="206" t="s">
        <v>15</v>
      </c>
      <c r="D1743" s="553">
        <v>2</v>
      </c>
      <c r="E1743" s="2">
        <v>0</v>
      </c>
      <c r="F1743" s="550">
        <v>3110</v>
      </c>
      <c r="G1743" s="8">
        <f t="shared" si="367"/>
        <v>6220</v>
      </c>
      <c r="H1743" s="8">
        <f t="shared" si="368"/>
        <v>0</v>
      </c>
      <c r="I1743" s="38"/>
      <c r="J1743" s="540" t="s">
        <v>6</v>
      </c>
      <c r="K1743" s="540" t="s">
        <v>325</v>
      </c>
      <c r="L1743" s="540" t="s">
        <v>99</v>
      </c>
      <c r="N1743" s="523"/>
      <c r="P1743" s="541"/>
    </row>
    <row r="1744" spans="1:16" s="495" customFormat="1" ht="15.5">
      <c r="A1744" s="209" t="s">
        <v>8</v>
      </c>
      <c r="B1744" s="205" t="s">
        <v>1252</v>
      </c>
      <c r="C1744" s="206" t="s">
        <v>1253</v>
      </c>
      <c r="D1744" s="47">
        <v>1</v>
      </c>
      <c r="E1744" s="2">
        <v>0</v>
      </c>
      <c r="F1744" s="550">
        <v>6500</v>
      </c>
      <c r="G1744" s="8">
        <f t="shared" si="367"/>
        <v>6500</v>
      </c>
      <c r="H1744" s="8">
        <f t="shared" si="368"/>
        <v>0</v>
      </c>
      <c r="I1744" s="38"/>
      <c r="J1744" s="540" t="s">
        <v>6</v>
      </c>
      <c r="K1744" s="540" t="s">
        <v>325</v>
      </c>
      <c r="L1744" s="540" t="s">
        <v>99</v>
      </c>
      <c r="N1744" s="523"/>
      <c r="P1744" s="541"/>
    </row>
    <row r="1745" spans="1:16" s="495" customFormat="1" ht="15.5">
      <c r="A1745" s="548">
        <v>2.2000000000000002</v>
      </c>
      <c r="B1745" s="202" t="s">
        <v>1254</v>
      </c>
      <c r="C1745" s="206"/>
      <c r="D1745" s="47"/>
      <c r="E1745" s="2">
        <v>0</v>
      </c>
      <c r="F1745" s="550"/>
      <c r="G1745" s="8">
        <f t="shared" si="367"/>
        <v>0</v>
      </c>
      <c r="H1745" s="8">
        <f t="shared" si="368"/>
        <v>0</v>
      </c>
      <c r="I1745" s="38"/>
      <c r="J1745" s="540" t="s">
        <v>6</v>
      </c>
      <c r="K1745" s="540" t="s">
        <v>325</v>
      </c>
      <c r="L1745" s="540" t="s">
        <v>99</v>
      </c>
      <c r="N1745" s="523"/>
      <c r="P1745" s="541"/>
    </row>
    <row r="1746" spans="1:16" s="495" customFormat="1" ht="15.5">
      <c r="A1746" s="209" t="s">
        <v>8</v>
      </c>
      <c r="B1746" s="205" t="s">
        <v>1255</v>
      </c>
      <c r="C1746" s="206" t="s">
        <v>15</v>
      </c>
      <c r="D1746" s="47">
        <v>1</v>
      </c>
      <c r="E1746" s="2">
        <v>0</v>
      </c>
      <c r="F1746" s="550">
        <v>4500</v>
      </c>
      <c r="G1746" s="8">
        <f t="shared" si="367"/>
        <v>4500</v>
      </c>
      <c r="H1746" s="8">
        <f t="shared" si="368"/>
        <v>0</v>
      </c>
      <c r="I1746" s="38"/>
      <c r="J1746" s="540" t="s">
        <v>6</v>
      </c>
      <c r="K1746" s="540" t="s">
        <v>325</v>
      </c>
      <c r="L1746" s="540" t="s">
        <v>99</v>
      </c>
      <c r="N1746" s="523"/>
      <c r="P1746" s="541"/>
    </row>
    <row r="1747" spans="1:16" s="495" customFormat="1" ht="15.5">
      <c r="A1747" s="209" t="s">
        <v>8</v>
      </c>
      <c r="B1747" s="205" t="s">
        <v>1256</v>
      </c>
      <c r="C1747" s="206" t="s">
        <v>15</v>
      </c>
      <c r="D1747" s="47">
        <v>2</v>
      </c>
      <c r="E1747" s="2">
        <v>0</v>
      </c>
      <c r="F1747" s="550">
        <v>1500</v>
      </c>
      <c r="G1747" s="8">
        <f t="shared" si="367"/>
        <v>3000</v>
      </c>
      <c r="H1747" s="8">
        <f t="shared" si="368"/>
        <v>0</v>
      </c>
      <c r="I1747" s="38"/>
      <c r="J1747" s="540" t="s">
        <v>6</v>
      </c>
      <c r="K1747" s="540" t="s">
        <v>325</v>
      </c>
      <c r="L1747" s="540" t="s">
        <v>99</v>
      </c>
      <c r="N1747" s="523"/>
      <c r="P1747" s="541"/>
    </row>
    <row r="1748" spans="1:16" s="495" customFormat="1" ht="15.5">
      <c r="A1748" s="209" t="s">
        <v>8</v>
      </c>
      <c r="B1748" s="205" t="s">
        <v>1257</v>
      </c>
      <c r="C1748" s="206" t="s">
        <v>15</v>
      </c>
      <c r="D1748" s="47">
        <v>1</v>
      </c>
      <c r="E1748" s="2">
        <v>0</v>
      </c>
      <c r="F1748" s="550">
        <v>2500</v>
      </c>
      <c r="G1748" s="8">
        <f t="shared" si="367"/>
        <v>2500</v>
      </c>
      <c r="H1748" s="8">
        <f t="shared" si="368"/>
        <v>0</v>
      </c>
      <c r="I1748" s="38"/>
      <c r="J1748" s="540" t="s">
        <v>6</v>
      </c>
      <c r="K1748" s="540" t="s">
        <v>325</v>
      </c>
      <c r="L1748" s="540" t="s">
        <v>99</v>
      </c>
      <c r="N1748" s="523"/>
      <c r="P1748" s="541"/>
    </row>
    <row r="1749" spans="1:16" s="495" customFormat="1" ht="15.5">
      <c r="A1749" s="209" t="s">
        <v>8</v>
      </c>
      <c r="B1749" s="205" t="s">
        <v>1258</v>
      </c>
      <c r="C1749" s="206" t="s">
        <v>15</v>
      </c>
      <c r="D1749" s="47">
        <v>1</v>
      </c>
      <c r="E1749" s="2">
        <v>0</v>
      </c>
      <c r="F1749" s="550">
        <v>7582</v>
      </c>
      <c r="G1749" s="8">
        <f t="shared" si="367"/>
        <v>7582</v>
      </c>
      <c r="H1749" s="8">
        <f t="shared" si="368"/>
        <v>0</v>
      </c>
      <c r="I1749" s="38"/>
      <c r="J1749" s="540" t="s">
        <v>6</v>
      </c>
      <c r="K1749" s="540" t="s">
        <v>325</v>
      </c>
      <c r="L1749" s="540" t="s">
        <v>99</v>
      </c>
      <c r="N1749" s="523"/>
      <c r="P1749" s="541"/>
    </row>
    <row r="1750" spans="1:16" s="495" customFormat="1" ht="15.5">
      <c r="A1750" s="209" t="s">
        <v>8</v>
      </c>
      <c r="B1750" s="205" t="s">
        <v>1259</v>
      </c>
      <c r="C1750" s="206" t="s">
        <v>15</v>
      </c>
      <c r="D1750" s="47">
        <v>1</v>
      </c>
      <c r="E1750" s="2">
        <v>0</v>
      </c>
      <c r="F1750" s="550">
        <v>5000</v>
      </c>
      <c r="G1750" s="8">
        <f t="shared" si="367"/>
        <v>5000</v>
      </c>
      <c r="H1750" s="8">
        <f t="shared" si="368"/>
        <v>0</v>
      </c>
      <c r="I1750" s="38"/>
      <c r="J1750" s="540" t="s">
        <v>6</v>
      </c>
      <c r="K1750" s="540" t="s">
        <v>325</v>
      </c>
      <c r="L1750" s="540" t="s">
        <v>99</v>
      </c>
      <c r="N1750" s="523"/>
      <c r="P1750" s="541"/>
    </row>
    <row r="1751" spans="1:16" s="495" customFormat="1" ht="14">
      <c r="A1751" s="201" t="s">
        <v>502</v>
      </c>
      <c r="B1751" s="202" t="s">
        <v>496</v>
      </c>
      <c r="C1751" s="203"/>
      <c r="D1751" s="2"/>
      <c r="E1751" s="2">
        <v>0</v>
      </c>
      <c r="F1751" s="539"/>
      <c r="G1751" s="2"/>
      <c r="H1751" s="8"/>
      <c r="I1751" s="38"/>
      <c r="J1751" s="540"/>
      <c r="K1751" s="540"/>
      <c r="L1751" s="540"/>
      <c r="N1751" s="523"/>
      <c r="P1751" s="541"/>
    </row>
    <row r="1752" spans="1:16" s="495" customFormat="1" ht="14">
      <c r="A1752" s="209" t="s">
        <v>8</v>
      </c>
      <c r="B1752" s="208" t="s">
        <v>486</v>
      </c>
      <c r="C1752" s="210" t="s">
        <v>487</v>
      </c>
      <c r="D1752" s="2"/>
      <c r="E1752" s="2">
        <v>0</v>
      </c>
      <c r="F1752" s="10">
        <v>62500</v>
      </c>
      <c r="G1752" s="2">
        <f>D1752*$F1752</f>
        <v>0</v>
      </c>
      <c r="H1752" s="2">
        <f>E1752*$F1752</f>
        <v>0</v>
      </c>
      <c r="I1752" s="38"/>
      <c r="J1752" s="540"/>
      <c r="K1752" s="540"/>
      <c r="L1752" s="540"/>
      <c r="N1752" s="523"/>
      <c r="P1752" s="541"/>
    </row>
    <row r="1753" spans="1:16" s="495" customFormat="1" ht="14">
      <c r="A1753" s="502">
        <v>4</v>
      </c>
      <c r="B1753" s="522" t="s">
        <v>497</v>
      </c>
      <c r="C1753" s="210"/>
      <c r="D1753" s="2"/>
      <c r="E1753" s="2">
        <v>0</v>
      </c>
      <c r="F1753" s="539"/>
      <c r="G1753" s="2"/>
      <c r="H1753" s="8"/>
      <c r="I1753" s="38"/>
      <c r="J1753" s="540"/>
      <c r="K1753" s="540"/>
      <c r="L1753" s="540"/>
      <c r="N1753" s="523"/>
      <c r="P1753" s="541"/>
    </row>
    <row r="1754" spans="1:16" s="495" customFormat="1" ht="14">
      <c r="A1754" s="209" t="s">
        <v>8</v>
      </c>
      <c r="B1754" s="216" t="s">
        <v>498</v>
      </c>
      <c r="C1754" s="210" t="s">
        <v>10</v>
      </c>
      <c r="D1754" s="8"/>
      <c r="E1754" s="8">
        <v>2</v>
      </c>
      <c r="F1754" s="10">
        <v>30000</v>
      </c>
      <c r="G1754" s="8">
        <f>D1754*$F1754</f>
        <v>0</v>
      </c>
      <c r="H1754" s="8">
        <f>E1754*$F1754</f>
        <v>60000</v>
      </c>
      <c r="I1754" s="38"/>
      <c r="J1754" s="540" t="s">
        <v>6</v>
      </c>
      <c r="K1754" s="540" t="s">
        <v>128</v>
      </c>
      <c r="L1754" s="540" t="s">
        <v>99</v>
      </c>
      <c r="N1754" s="523"/>
      <c r="P1754" s="541"/>
    </row>
    <row r="1755" spans="1:16" s="495" customFormat="1" ht="14">
      <c r="A1755" s="209" t="s">
        <v>8</v>
      </c>
      <c r="B1755" s="216" t="s">
        <v>499</v>
      </c>
      <c r="C1755" s="210" t="s">
        <v>10</v>
      </c>
      <c r="D1755" s="8"/>
      <c r="E1755" s="8">
        <v>2</v>
      </c>
      <c r="F1755" s="10">
        <v>22500</v>
      </c>
      <c r="G1755" s="8">
        <f>D1755*$F1755</f>
        <v>0</v>
      </c>
      <c r="H1755" s="8">
        <f>E1755*$F1755</f>
        <v>45000</v>
      </c>
      <c r="I1755" s="38"/>
      <c r="J1755" s="540" t="s">
        <v>6</v>
      </c>
      <c r="K1755" s="540" t="s">
        <v>128</v>
      </c>
      <c r="L1755" s="540" t="s">
        <v>99</v>
      </c>
      <c r="N1755" s="523"/>
      <c r="P1755" s="541"/>
    </row>
    <row r="1756" spans="1:16" s="495" customFormat="1">
      <c r="A1756" s="554" t="s">
        <v>12</v>
      </c>
      <c r="B1756" s="555" t="s">
        <v>54</v>
      </c>
      <c r="C1756" s="556"/>
      <c r="D1756" s="557"/>
      <c r="E1756" s="557">
        <v>0</v>
      </c>
      <c r="F1756" s="558"/>
      <c r="G1756" s="559">
        <f>SUBTOTAL(9,G1757:G2053)</f>
        <v>7964601</v>
      </c>
      <c r="H1756" s="559">
        <f>SUBTOTAL(9,H1757:H2053)</f>
        <v>14226406.899999999</v>
      </c>
      <c r="I1756" s="560"/>
      <c r="J1756" s="561"/>
      <c r="K1756" s="562"/>
      <c r="L1756" s="562"/>
      <c r="N1756" s="523"/>
      <c r="P1756" s="562"/>
    </row>
    <row r="1757" spans="1:16" s="572" customFormat="1">
      <c r="A1757" s="563">
        <v>1</v>
      </c>
      <c r="B1757" s="564" t="s">
        <v>503</v>
      </c>
      <c r="C1757" s="565"/>
      <c r="D1757" s="566">
        <v>255</v>
      </c>
      <c r="E1757" s="566">
        <v>250</v>
      </c>
      <c r="F1757" s="567"/>
      <c r="G1757" s="566">
        <f t="shared" ref="G1757:H1757" si="369">SUBTOTAL(9,G1760:G1820)</f>
        <v>4334920.5</v>
      </c>
      <c r="H1757" s="566">
        <f t="shared" si="369"/>
        <v>4622539.9999999991</v>
      </c>
      <c r="I1757" s="568"/>
      <c r="J1757" s="569"/>
      <c r="K1757" s="569"/>
      <c r="L1757" s="569"/>
      <c r="N1757" s="571"/>
      <c r="P1757" s="570"/>
    </row>
    <row r="1758" spans="1:16" s="495" customFormat="1">
      <c r="A1758" s="563">
        <v>1.1000000000000001</v>
      </c>
      <c r="B1758" s="564" t="s">
        <v>504</v>
      </c>
      <c r="C1758" s="565"/>
      <c r="D1758" s="566">
        <v>58</v>
      </c>
      <c r="E1758" s="566">
        <v>23</v>
      </c>
      <c r="F1758" s="567"/>
      <c r="G1758" s="566">
        <f>SUBTOTAL(9,G1759:G1778)</f>
        <v>737649.8</v>
      </c>
      <c r="H1758" s="566">
        <f>SUBTOTAL(9,H1759:H1778)</f>
        <v>292516.3</v>
      </c>
      <c r="I1758" s="568"/>
      <c r="J1758" s="569"/>
      <c r="K1758" s="569"/>
      <c r="L1758" s="569"/>
      <c r="N1758" s="523"/>
      <c r="P1758" s="570"/>
    </row>
    <row r="1759" spans="1:16" s="497" customFormat="1" ht="14">
      <c r="A1759" s="218" t="s">
        <v>505</v>
      </c>
      <c r="B1759" s="219" t="s">
        <v>506</v>
      </c>
      <c r="C1759" s="220"/>
      <c r="D1759" s="573"/>
      <c r="E1759" s="573">
        <v>0</v>
      </c>
      <c r="F1759" s="574"/>
      <c r="G1759" s="89"/>
      <c r="H1759" s="89"/>
      <c r="I1759" s="501"/>
      <c r="J1759" s="575"/>
      <c r="K1759" s="575"/>
      <c r="L1759" s="575"/>
      <c r="N1759" s="494"/>
      <c r="P1759" s="576"/>
    </row>
    <row r="1760" spans="1:16" s="497" customFormat="1" ht="15.5">
      <c r="A1760" s="221" t="s">
        <v>8</v>
      </c>
      <c r="B1760" s="216" t="s">
        <v>507</v>
      </c>
      <c r="C1760" s="222" t="s">
        <v>133</v>
      </c>
      <c r="D1760" s="89">
        <v>232</v>
      </c>
      <c r="E1760" s="89">
        <v>92</v>
      </c>
      <c r="F1760" s="577">
        <v>523</v>
      </c>
      <c r="G1760" s="8">
        <f>D1760*$F1760</f>
        <v>121336</v>
      </c>
      <c r="H1760" s="8">
        <f>E1760*$F1760</f>
        <v>48116</v>
      </c>
      <c r="I1760" s="501"/>
      <c r="J1760" s="575" t="s">
        <v>6</v>
      </c>
      <c r="K1760" s="575" t="s">
        <v>112</v>
      </c>
      <c r="L1760" s="575" t="s">
        <v>99</v>
      </c>
      <c r="N1760" s="494"/>
      <c r="P1760" s="576"/>
    </row>
    <row r="1761" spans="1:16" s="497" customFormat="1" ht="15.5">
      <c r="A1761" s="221" t="s">
        <v>8</v>
      </c>
      <c r="B1761" s="216" t="s">
        <v>508</v>
      </c>
      <c r="C1761" s="222" t="s">
        <v>31</v>
      </c>
      <c r="D1761" s="89">
        <v>58</v>
      </c>
      <c r="E1761" s="89">
        <v>23</v>
      </c>
      <c r="F1761" s="577">
        <v>938</v>
      </c>
      <c r="G1761" s="8">
        <f>D1761*$F1761</f>
        <v>54404</v>
      </c>
      <c r="H1761" s="8">
        <f>E1761*$F1761</f>
        <v>21574</v>
      </c>
      <c r="I1761" s="501"/>
      <c r="J1761" s="575" t="s">
        <v>6</v>
      </c>
      <c r="K1761" s="575" t="s">
        <v>112</v>
      </c>
      <c r="L1761" s="575" t="s">
        <v>99</v>
      </c>
      <c r="N1761" s="494"/>
      <c r="P1761" s="576"/>
    </row>
    <row r="1762" spans="1:16" s="497" customFormat="1" ht="14">
      <c r="A1762" s="218" t="s">
        <v>509</v>
      </c>
      <c r="B1762" s="219" t="s">
        <v>510</v>
      </c>
      <c r="C1762" s="220"/>
      <c r="D1762" s="89"/>
      <c r="E1762" s="89">
        <v>0</v>
      </c>
      <c r="F1762" s="574"/>
      <c r="G1762" s="89"/>
      <c r="H1762" s="89"/>
      <c r="I1762" s="501"/>
      <c r="J1762" s="575"/>
      <c r="K1762" s="575"/>
      <c r="L1762" s="575"/>
      <c r="N1762" s="494"/>
      <c r="P1762" s="576"/>
    </row>
    <row r="1763" spans="1:16" s="497" customFormat="1" ht="15.5">
      <c r="A1763" s="221" t="s">
        <v>8</v>
      </c>
      <c r="B1763" s="216" t="s">
        <v>511</v>
      </c>
      <c r="C1763" s="222" t="s">
        <v>15</v>
      </c>
      <c r="D1763" s="89">
        <v>58</v>
      </c>
      <c r="E1763" s="89">
        <v>23</v>
      </c>
      <c r="F1763" s="577">
        <v>6000</v>
      </c>
      <c r="G1763" s="8">
        <f>D1763*$F1763</f>
        <v>348000</v>
      </c>
      <c r="H1763" s="8">
        <f>E1763*$F1763</f>
        <v>138000</v>
      </c>
      <c r="I1763" s="501"/>
      <c r="J1763" s="575" t="s">
        <v>6</v>
      </c>
      <c r="K1763" s="575" t="s">
        <v>112</v>
      </c>
      <c r="L1763" s="575" t="s">
        <v>99</v>
      </c>
      <c r="N1763" s="494"/>
      <c r="P1763" s="576"/>
    </row>
    <row r="1764" spans="1:16" s="497" customFormat="1" ht="14">
      <c r="A1764" s="218" t="s">
        <v>512</v>
      </c>
      <c r="B1764" s="219" t="s">
        <v>513</v>
      </c>
      <c r="C1764" s="220"/>
      <c r="D1764" s="89"/>
      <c r="E1764" s="89">
        <v>0</v>
      </c>
      <c r="F1764" s="574"/>
      <c r="G1764" s="89"/>
      <c r="H1764" s="89"/>
      <c r="I1764" s="501"/>
      <c r="J1764" s="575"/>
      <c r="K1764" s="575"/>
      <c r="L1764" s="575"/>
      <c r="N1764" s="494"/>
      <c r="P1764" s="576"/>
    </row>
    <row r="1765" spans="1:16" s="497" customFormat="1" ht="15.5">
      <c r="A1765" s="221" t="s">
        <v>8</v>
      </c>
      <c r="B1765" s="216" t="s">
        <v>514</v>
      </c>
      <c r="C1765" s="222" t="s">
        <v>24</v>
      </c>
      <c r="D1765" s="89">
        <v>58</v>
      </c>
      <c r="E1765" s="89">
        <v>23</v>
      </c>
      <c r="F1765" s="577">
        <v>1236</v>
      </c>
      <c r="G1765" s="8">
        <f>D1765*$F1765</f>
        <v>71688</v>
      </c>
      <c r="H1765" s="8">
        <f>E1765*$F1765</f>
        <v>28428</v>
      </c>
      <c r="I1765" s="501"/>
      <c r="J1765" s="575" t="s">
        <v>6</v>
      </c>
      <c r="K1765" s="575" t="s">
        <v>112</v>
      </c>
      <c r="L1765" s="575" t="s">
        <v>99</v>
      </c>
      <c r="N1765" s="494"/>
      <c r="P1765" s="576"/>
    </row>
    <row r="1766" spans="1:16" s="497" customFormat="1" ht="14">
      <c r="A1766" s="218" t="s">
        <v>515</v>
      </c>
      <c r="B1766" s="219" t="s">
        <v>516</v>
      </c>
      <c r="C1766" s="220"/>
      <c r="D1766" s="89"/>
      <c r="E1766" s="89">
        <v>0</v>
      </c>
      <c r="F1766" s="574"/>
      <c r="G1766" s="89"/>
      <c r="H1766" s="89"/>
      <c r="I1766" s="501"/>
      <c r="J1766" s="575"/>
      <c r="K1766" s="575"/>
      <c r="L1766" s="575"/>
      <c r="N1766" s="494"/>
      <c r="P1766" s="576"/>
    </row>
    <row r="1767" spans="1:16" s="497" customFormat="1" ht="14">
      <c r="A1767" s="218" t="s">
        <v>517</v>
      </c>
      <c r="B1767" s="219" t="s">
        <v>518</v>
      </c>
      <c r="C1767" s="220"/>
      <c r="D1767" s="89"/>
      <c r="E1767" s="89">
        <v>0</v>
      </c>
      <c r="F1767" s="574"/>
      <c r="G1767" s="89"/>
      <c r="H1767" s="89"/>
      <c r="I1767" s="501"/>
      <c r="J1767" s="575"/>
      <c r="K1767" s="575"/>
      <c r="L1767" s="575"/>
      <c r="N1767" s="494"/>
      <c r="P1767" s="576"/>
    </row>
    <row r="1768" spans="1:16" s="497" customFormat="1" ht="15.5">
      <c r="A1768" s="221" t="s">
        <v>8</v>
      </c>
      <c r="B1768" s="216" t="s">
        <v>519</v>
      </c>
      <c r="C1768" s="222" t="s">
        <v>31</v>
      </c>
      <c r="D1768" s="89">
        <v>58</v>
      </c>
      <c r="E1768" s="89">
        <v>23</v>
      </c>
      <c r="F1768" s="577">
        <v>2085.75</v>
      </c>
      <c r="G1768" s="8">
        <f t="shared" ref="G1768:H1770" si="370">D1768*$F1768</f>
        <v>120973.5</v>
      </c>
      <c r="H1768" s="8">
        <f t="shared" si="370"/>
        <v>47972.25</v>
      </c>
      <c r="I1768" s="501"/>
      <c r="J1768" s="575" t="s">
        <v>6</v>
      </c>
      <c r="K1768" s="575" t="s">
        <v>112</v>
      </c>
      <c r="L1768" s="575" t="s">
        <v>99</v>
      </c>
      <c r="N1768" s="494"/>
      <c r="P1768" s="576"/>
    </row>
    <row r="1769" spans="1:16" s="497" customFormat="1" ht="15.5">
      <c r="A1769" s="221" t="s">
        <v>8</v>
      </c>
      <c r="B1769" s="216" t="s">
        <v>520</v>
      </c>
      <c r="C1769" s="222" t="s">
        <v>15</v>
      </c>
      <c r="D1769" s="89">
        <v>116</v>
      </c>
      <c r="E1769" s="89">
        <v>46</v>
      </c>
      <c r="F1769" s="577">
        <v>180</v>
      </c>
      <c r="G1769" s="8">
        <f t="shared" si="370"/>
        <v>20880</v>
      </c>
      <c r="H1769" s="8">
        <f t="shared" si="370"/>
        <v>8280</v>
      </c>
      <c r="I1769" s="501"/>
      <c r="J1769" s="575" t="s">
        <v>6</v>
      </c>
      <c r="K1769" s="575" t="s">
        <v>112</v>
      </c>
      <c r="L1769" s="575" t="s">
        <v>99</v>
      </c>
      <c r="N1769" s="494"/>
      <c r="P1769" s="576"/>
    </row>
    <row r="1770" spans="1:16" s="497" customFormat="1" ht="15.5">
      <c r="A1770" s="221" t="s">
        <v>8</v>
      </c>
      <c r="B1770" s="216" t="s">
        <v>521</v>
      </c>
      <c r="C1770" s="222" t="s">
        <v>15</v>
      </c>
      <c r="D1770" s="89"/>
      <c r="E1770" s="89">
        <v>0</v>
      </c>
      <c r="F1770" s="578">
        <v>314</v>
      </c>
      <c r="G1770" s="8">
        <f t="shared" si="370"/>
        <v>0</v>
      </c>
      <c r="H1770" s="8">
        <f t="shared" si="370"/>
        <v>0</v>
      </c>
      <c r="I1770" s="501"/>
      <c r="J1770" s="575" t="s">
        <v>6</v>
      </c>
      <c r="K1770" s="575" t="s">
        <v>112</v>
      </c>
      <c r="L1770" s="575" t="s">
        <v>99</v>
      </c>
      <c r="N1770" s="494"/>
      <c r="P1770" s="576"/>
    </row>
    <row r="1771" spans="1:16" s="497" customFormat="1" ht="14">
      <c r="A1771" s="218" t="s">
        <v>522</v>
      </c>
      <c r="B1771" s="219" t="s">
        <v>523</v>
      </c>
      <c r="C1771" s="220"/>
      <c r="D1771" s="89"/>
      <c r="E1771" s="89">
        <v>0</v>
      </c>
      <c r="F1771" s="574"/>
      <c r="G1771" s="89"/>
      <c r="H1771" s="89"/>
      <c r="I1771" s="501"/>
      <c r="J1771" s="575"/>
      <c r="K1771" s="575"/>
      <c r="L1771" s="575"/>
      <c r="N1771" s="494"/>
      <c r="P1771" s="576"/>
    </row>
    <row r="1772" spans="1:16" s="497" customFormat="1" ht="15.5">
      <c r="A1772" s="221" t="s">
        <v>8</v>
      </c>
      <c r="B1772" s="216" t="s">
        <v>524</v>
      </c>
      <c r="C1772" s="222" t="s">
        <v>10</v>
      </c>
      <c r="D1772" s="89"/>
      <c r="E1772" s="89">
        <v>0</v>
      </c>
      <c r="F1772" s="579">
        <v>4000</v>
      </c>
      <c r="G1772" s="8">
        <f>D1772*$F1772</f>
        <v>0</v>
      </c>
      <c r="H1772" s="8">
        <f>E1772*$F1772</f>
        <v>0</v>
      </c>
      <c r="I1772" s="501"/>
      <c r="J1772" s="575" t="s">
        <v>6</v>
      </c>
      <c r="K1772" s="575" t="s">
        <v>112</v>
      </c>
      <c r="L1772" s="575" t="s">
        <v>99</v>
      </c>
      <c r="N1772" s="494"/>
      <c r="P1772" s="576"/>
    </row>
    <row r="1773" spans="1:16" s="497" customFormat="1" ht="15.5">
      <c r="A1773" s="221" t="s">
        <v>8</v>
      </c>
      <c r="B1773" s="216" t="s">
        <v>525</v>
      </c>
      <c r="C1773" s="222" t="s">
        <v>10</v>
      </c>
      <c r="D1773" s="89"/>
      <c r="E1773" s="89">
        <v>0</v>
      </c>
      <c r="F1773" s="579">
        <v>6000</v>
      </c>
      <c r="G1773" s="8">
        <f>D1773*$F1773</f>
        <v>0</v>
      </c>
      <c r="H1773" s="8">
        <f>E1773*$F1773</f>
        <v>0</v>
      </c>
      <c r="I1773" s="501"/>
      <c r="J1773" s="575" t="s">
        <v>6</v>
      </c>
      <c r="K1773" s="575" t="s">
        <v>112</v>
      </c>
      <c r="L1773" s="575" t="s">
        <v>99</v>
      </c>
      <c r="N1773" s="494"/>
      <c r="P1773" s="576"/>
    </row>
    <row r="1774" spans="1:16" s="497" customFormat="1" ht="14">
      <c r="A1774" s="218" t="s">
        <v>526</v>
      </c>
      <c r="B1774" s="219" t="s">
        <v>527</v>
      </c>
      <c r="C1774" s="220"/>
      <c r="D1774" s="89"/>
      <c r="E1774" s="89">
        <v>0</v>
      </c>
      <c r="F1774" s="574"/>
      <c r="G1774" s="89"/>
      <c r="H1774" s="89"/>
      <c r="I1774" s="501"/>
      <c r="J1774" s="575"/>
      <c r="K1774" s="575"/>
      <c r="L1774" s="575"/>
      <c r="N1774" s="494"/>
      <c r="P1774" s="576"/>
    </row>
    <row r="1775" spans="1:16" s="497" customFormat="1" ht="15.5">
      <c r="A1775" s="221" t="s">
        <v>8</v>
      </c>
      <c r="B1775" s="216" t="s">
        <v>528</v>
      </c>
      <c r="C1775" s="222" t="s">
        <v>15</v>
      </c>
      <c r="D1775" s="89">
        <v>58</v>
      </c>
      <c r="E1775" s="89">
        <v>23</v>
      </c>
      <c r="F1775" s="577">
        <v>6.35</v>
      </c>
      <c r="G1775" s="8">
        <f t="shared" ref="G1775:H1778" si="371">D1775*$F1775</f>
        <v>368.29999999999995</v>
      </c>
      <c r="H1775" s="8">
        <f t="shared" si="371"/>
        <v>146.04999999999998</v>
      </c>
      <c r="I1775" s="501"/>
      <c r="J1775" s="575" t="s">
        <v>6</v>
      </c>
      <c r="K1775" s="575" t="s">
        <v>112</v>
      </c>
      <c r="L1775" s="575" t="s">
        <v>99</v>
      </c>
      <c r="N1775" s="494"/>
      <c r="P1775" s="576"/>
    </row>
    <row r="1776" spans="1:16" s="497" customFormat="1" ht="15.5">
      <c r="A1776" s="221" t="s">
        <v>8</v>
      </c>
      <c r="B1776" s="216" t="s">
        <v>529</v>
      </c>
      <c r="C1776" s="222" t="s">
        <v>15</v>
      </c>
      <c r="D1776" s="89"/>
      <c r="E1776" s="89">
        <v>0</v>
      </c>
      <c r="F1776" s="577">
        <v>147</v>
      </c>
      <c r="G1776" s="8">
        <f t="shared" si="371"/>
        <v>0</v>
      </c>
      <c r="H1776" s="8">
        <f t="shared" si="371"/>
        <v>0</v>
      </c>
      <c r="I1776" s="501"/>
      <c r="J1776" s="575" t="s">
        <v>6</v>
      </c>
      <c r="K1776" s="575" t="s">
        <v>112</v>
      </c>
      <c r="L1776" s="575" t="s">
        <v>99</v>
      </c>
      <c r="N1776" s="494"/>
      <c r="P1776" s="580" t="s">
        <v>1260</v>
      </c>
    </row>
    <row r="1777" spans="1:16" s="497" customFormat="1" ht="14">
      <c r="A1777" s="204" t="s">
        <v>8</v>
      </c>
      <c r="B1777" s="205" t="s">
        <v>530</v>
      </c>
      <c r="C1777" s="206" t="s">
        <v>15</v>
      </c>
      <c r="D1777" s="89"/>
      <c r="E1777" s="89">
        <v>0</v>
      </c>
      <c r="F1777" s="205">
        <v>15</v>
      </c>
      <c r="G1777" s="8">
        <f t="shared" si="371"/>
        <v>0</v>
      </c>
      <c r="H1777" s="8">
        <f t="shared" si="371"/>
        <v>0</v>
      </c>
      <c r="I1777" s="501"/>
      <c r="J1777" s="575" t="s">
        <v>6</v>
      </c>
      <c r="K1777" s="575" t="s">
        <v>112</v>
      </c>
      <c r="L1777" s="575" t="s">
        <v>99</v>
      </c>
      <c r="N1777" s="494"/>
      <c r="P1777" s="580" t="s">
        <v>1261</v>
      </c>
    </row>
    <row r="1778" spans="1:16" s="497" customFormat="1" ht="14">
      <c r="A1778" s="204" t="s">
        <v>8</v>
      </c>
      <c r="B1778" s="205" t="s">
        <v>531</v>
      </c>
      <c r="C1778" s="206" t="s">
        <v>15</v>
      </c>
      <c r="D1778" s="89"/>
      <c r="E1778" s="89">
        <v>0</v>
      </c>
      <c r="F1778" s="205">
        <v>15</v>
      </c>
      <c r="G1778" s="8">
        <f t="shared" si="371"/>
        <v>0</v>
      </c>
      <c r="H1778" s="8">
        <f t="shared" si="371"/>
        <v>0</v>
      </c>
      <c r="I1778" s="501"/>
      <c r="J1778" s="575" t="s">
        <v>6</v>
      </c>
      <c r="K1778" s="575" t="s">
        <v>112</v>
      </c>
      <c r="L1778" s="575" t="s">
        <v>99</v>
      </c>
      <c r="N1778" s="494"/>
      <c r="P1778" s="580" t="s">
        <v>1261</v>
      </c>
    </row>
    <row r="1779" spans="1:16" s="572" customFormat="1" ht="14">
      <c r="A1779" s="223" t="s">
        <v>479</v>
      </c>
      <c r="B1779" s="224" t="s">
        <v>532</v>
      </c>
      <c r="C1779" s="225"/>
      <c r="D1779" s="566">
        <v>143</v>
      </c>
      <c r="E1779" s="566">
        <v>189</v>
      </c>
      <c r="F1779" s="567"/>
      <c r="G1779" s="566">
        <f>SUBTOTAL(9,G1780:G1799)</f>
        <v>2910493.3</v>
      </c>
      <c r="H1779" s="566">
        <f>SUBTOTAL(9,H1780:H1799)</f>
        <v>3846735.9</v>
      </c>
      <c r="I1779" s="568"/>
      <c r="J1779" s="569"/>
      <c r="K1779" s="569"/>
      <c r="L1779" s="569"/>
      <c r="N1779" s="571"/>
      <c r="P1779" s="570"/>
    </row>
    <row r="1780" spans="1:16" s="497" customFormat="1" ht="14">
      <c r="A1780" s="218" t="s">
        <v>533</v>
      </c>
      <c r="B1780" s="219" t="s">
        <v>506</v>
      </c>
      <c r="C1780" s="220"/>
      <c r="D1780" s="573"/>
      <c r="E1780" s="573">
        <v>0</v>
      </c>
      <c r="F1780" s="574"/>
      <c r="G1780" s="89"/>
      <c r="H1780" s="89"/>
      <c r="I1780" s="501"/>
      <c r="J1780" s="575"/>
      <c r="K1780" s="575"/>
      <c r="L1780" s="575"/>
      <c r="N1780" s="494"/>
      <c r="P1780" s="576"/>
    </row>
    <row r="1781" spans="1:16" s="497" customFormat="1" ht="15.5">
      <c r="A1781" s="221" t="s">
        <v>8</v>
      </c>
      <c r="B1781" s="216" t="s">
        <v>507</v>
      </c>
      <c r="C1781" s="222" t="s">
        <v>133</v>
      </c>
      <c r="D1781" s="89">
        <v>1001</v>
      </c>
      <c r="E1781" s="89">
        <v>1323</v>
      </c>
      <c r="F1781" s="577">
        <v>523</v>
      </c>
      <c r="G1781" s="8">
        <f>D1781*$F1781</f>
        <v>523523</v>
      </c>
      <c r="H1781" s="8">
        <f>E1781*$F1781</f>
        <v>691929</v>
      </c>
      <c r="I1781" s="501"/>
      <c r="J1781" s="575" t="s">
        <v>6</v>
      </c>
      <c r="K1781" s="575" t="s">
        <v>112</v>
      </c>
      <c r="L1781" s="575" t="s">
        <v>99</v>
      </c>
      <c r="N1781" s="494"/>
      <c r="P1781" s="580" t="s">
        <v>1262</v>
      </c>
    </row>
    <row r="1782" spans="1:16" s="497" customFormat="1" ht="15.5">
      <c r="A1782" s="221" t="s">
        <v>8</v>
      </c>
      <c r="B1782" s="216" t="s">
        <v>508</v>
      </c>
      <c r="C1782" s="222" t="s">
        <v>31</v>
      </c>
      <c r="D1782" s="89">
        <v>143</v>
      </c>
      <c r="E1782" s="89">
        <v>189</v>
      </c>
      <c r="F1782" s="577">
        <v>938</v>
      </c>
      <c r="G1782" s="8">
        <f>D1782*$F1782</f>
        <v>134134</v>
      </c>
      <c r="H1782" s="8">
        <f>E1782*$F1782</f>
        <v>177282</v>
      </c>
      <c r="I1782" s="501"/>
      <c r="J1782" s="575" t="s">
        <v>6</v>
      </c>
      <c r="K1782" s="575" t="s">
        <v>112</v>
      </c>
      <c r="L1782" s="575" t="s">
        <v>99</v>
      </c>
      <c r="N1782" s="494"/>
      <c r="P1782" s="580" t="s">
        <v>1262</v>
      </c>
    </row>
    <row r="1783" spans="1:16" s="497" customFormat="1" ht="14">
      <c r="A1783" s="218" t="s">
        <v>534</v>
      </c>
      <c r="B1783" s="219" t="s">
        <v>510</v>
      </c>
      <c r="C1783" s="220"/>
      <c r="D1783" s="573"/>
      <c r="E1783" s="573">
        <v>0</v>
      </c>
      <c r="F1783" s="574"/>
      <c r="G1783" s="89"/>
      <c r="H1783" s="89"/>
      <c r="I1783" s="501"/>
      <c r="J1783" s="575"/>
      <c r="K1783" s="575"/>
      <c r="L1783" s="575"/>
      <c r="N1783" s="494"/>
      <c r="P1783" s="576"/>
    </row>
    <row r="1784" spans="1:16" s="497" customFormat="1" ht="15.5">
      <c r="A1784" s="221" t="s">
        <v>8</v>
      </c>
      <c r="B1784" s="216" t="s">
        <v>511</v>
      </c>
      <c r="C1784" s="222" t="s">
        <v>15</v>
      </c>
      <c r="D1784" s="89">
        <v>143</v>
      </c>
      <c r="E1784" s="89">
        <v>189</v>
      </c>
      <c r="F1784" s="577">
        <v>6000</v>
      </c>
      <c r="G1784" s="8">
        <f>D1784*$F1784</f>
        <v>858000</v>
      </c>
      <c r="H1784" s="8">
        <f>E1784*$F1784</f>
        <v>1134000</v>
      </c>
      <c r="I1784" s="501"/>
      <c r="J1784" s="575" t="s">
        <v>6</v>
      </c>
      <c r="K1784" s="575" t="s">
        <v>112</v>
      </c>
      <c r="L1784" s="575" t="s">
        <v>99</v>
      </c>
      <c r="N1784" s="494"/>
      <c r="P1784" s="580" t="s">
        <v>1262</v>
      </c>
    </row>
    <row r="1785" spans="1:16" s="497" customFormat="1" ht="14">
      <c r="A1785" s="218" t="s">
        <v>535</v>
      </c>
      <c r="B1785" s="219" t="s">
        <v>516</v>
      </c>
      <c r="C1785" s="220"/>
      <c r="D1785" s="89"/>
      <c r="E1785" s="89">
        <v>0</v>
      </c>
      <c r="F1785" s="574"/>
      <c r="G1785" s="89"/>
      <c r="H1785" s="89"/>
      <c r="I1785" s="501"/>
      <c r="J1785" s="575"/>
      <c r="K1785" s="575"/>
      <c r="L1785" s="575"/>
      <c r="N1785" s="494"/>
      <c r="P1785" s="576"/>
    </row>
    <row r="1786" spans="1:16" s="497" customFormat="1" ht="14">
      <c r="A1786" s="218" t="s">
        <v>536</v>
      </c>
      <c r="B1786" s="219" t="s">
        <v>518</v>
      </c>
      <c r="C1786" s="220"/>
      <c r="D1786" s="89"/>
      <c r="E1786" s="89">
        <v>0</v>
      </c>
      <c r="F1786" s="574"/>
      <c r="G1786" s="89"/>
      <c r="H1786" s="89"/>
      <c r="I1786" s="501"/>
      <c r="J1786" s="575"/>
      <c r="K1786" s="575"/>
      <c r="L1786" s="575"/>
      <c r="N1786" s="494"/>
      <c r="P1786" s="576"/>
    </row>
    <row r="1787" spans="1:16" s="497" customFormat="1" ht="15.5">
      <c r="A1787" s="221" t="s">
        <v>8</v>
      </c>
      <c r="B1787" s="216" t="s">
        <v>519</v>
      </c>
      <c r="C1787" s="222" t="s">
        <v>31</v>
      </c>
      <c r="D1787" s="89">
        <v>143</v>
      </c>
      <c r="E1787" s="89">
        <v>189</v>
      </c>
      <c r="F1787" s="577">
        <v>2085.75</v>
      </c>
      <c r="G1787" s="8">
        <f t="shared" ref="G1787:H1789" si="372">D1787*$F1787</f>
        <v>298262.25</v>
      </c>
      <c r="H1787" s="8">
        <f t="shared" si="372"/>
        <v>394206.75</v>
      </c>
      <c r="I1787" s="501"/>
      <c r="J1787" s="575" t="s">
        <v>6</v>
      </c>
      <c r="K1787" s="575" t="s">
        <v>112</v>
      </c>
      <c r="L1787" s="575" t="s">
        <v>99</v>
      </c>
      <c r="N1787" s="494"/>
      <c r="P1787" s="580" t="s">
        <v>1262</v>
      </c>
    </row>
    <row r="1788" spans="1:16" s="497" customFormat="1" ht="15.5">
      <c r="A1788" s="221" t="s">
        <v>8</v>
      </c>
      <c r="B1788" s="216" t="s">
        <v>520</v>
      </c>
      <c r="C1788" s="222" t="s">
        <v>15</v>
      </c>
      <c r="D1788" s="89">
        <v>572</v>
      </c>
      <c r="E1788" s="89">
        <v>756</v>
      </c>
      <c r="F1788" s="577">
        <v>180</v>
      </c>
      <c r="G1788" s="8">
        <f t="shared" si="372"/>
        <v>102960</v>
      </c>
      <c r="H1788" s="8">
        <f t="shared" si="372"/>
        <v>136080</v>
      </c>
      <c r="I1788" s="501"/>
      <c r="J1788" s="575" t="s">
        <v>6</v>
      </c>
      <c r="K1788" s="575" t="s">
        <v>112</v>
      </c>
      <c r="L1788" s="575" t="s">
        <v>99</v>
      </c>
      <c r="N1788" s="494"/>
      <c r="P1788" s="580" t="s">
        <v>1262</v>
      </c>
    </row>
    <row r="1789" spans="1:16" s="497" customFormat="1" ht="15.5">
      <c r="A1789" s="221" t="s">
        <v>8</v>
      </c>
      <c r="B1789" s="216" t="s">
        <v>521</v>
      </c>
      <c r="C1789" s="222" t="s">
        <v>15</v>
      </c>
      <c r="D1789" s="89">
        <v>429</v>
      </c>
      <c r="E1789" s="89">
        <v>567</v>
      </c>
      <c r="F1789" s="578">
        <v>314</v>
      </c>
      <c r="G1789" s="8">
        <f t="shared" si="372"/>
        <v>134706</v>
      </c>
      <c r="H1789" s="8">
        <f t="shared" si="372"/>
        <v>178038</v>
      </c>
      <c r="I1789" s="501"/>
      <c r="J1789" s="575" t="s">
        <v>6</v>
      </c>
      <c r="K1789" s="575" t="s">
        <v>112</v>
      </c>
      <c r="L1789" s="575" t="s">
        <v>99</v>
      </c>
      <c r="N1789" s="494"/>
      <c r="P1789" s="580" t="s">
        <v>1262</v>
      </c>
    </row>
    <row r="1790" spans="1:16" s="497" customFormat="1" ht="14">
      <c r="A1790" s="218" t="s">
        <v>537</v>
      </c>
      <c r="B1790" s="219" t="s">
        <v>523</v>
      </c>
      <c r="C1790" s="220"/>
      <c r="D1790" s="89"/>
      <c r="E1790" s="89">
        <v>0</v>
      </c>
      <c r="F1790" s="574"/>
      <c r="G1790" s="89"/>
      <c r="H1790" s="89"/>
      <c r="I1790" s="501"/>
      <c r="J1790" s="575"/>
      <c r="K1790" s="575"/>
      <c r="L1790" s="575"/>
      <c r="N1790" s="494"/>
      <c r="P1790" s="576"/>
    </row>
    <row r="1791" spans="1:16" s="497" customFormat="1" ht="15.5">
      <c r="A1791" s="221" t="s">
        <v>8</v>
      </c>
      <c r="B1791" s="216" t="s">
        <v>524</v>
      </c>
      <c r="C1791" s="222" t="s">
        <v>10</v>
      </c>
      <c r="D1791" s="89"/>
      <c r="E1791" s="89">
        <v>0</v>
      </c>
      <c r="F1791" s="579">
        <v>4000</v>
      </c>
      <c r="G1791" s="8">
        <f t="shared" ref="G1791:H1794" si="373">D1791*$F1791</f>
        <v>0</v>
      </c>
      <c r="H1791" s="8">
        <f t="shared" si="373"/>
        <v>0</v>
      </c>
      <c r="I1791" s="501"/>
      <c r="J1791" s="575" t="s">
        <v>6</v>
      </c>
      <c r="K1791" s="575" t="s">
        <v>112</v>
      </c>
      <c r="L1791" s="575" t="s">
        <v>99</v>
      </c>
      <c r="N1791" s="494"/>
      <c r="P1791" s="580" t="s">
        <v>1262</v>
      </c>
    </row>
    <row r="1792" spans="1:16" s="497" customFormat="1" ht="15.5">
      <c r="A1792" s="221" t="s">
        <v>8</v>
      </c>
      <c r="B1792" s="216" t="s">
        <v>525</v>
      </c>
      <c r="C1792" s="222" t="s">
        <v>10</v>
      </c>
      <c r="D1792" s="89">
        <v>143</v>
      </c>
      <c r="E1792" s="89">
        <v>189</v>
      </c>
      <c r="F1792" s="579">
        <v>6000</v>
      </c>
      <c r="G1792" s="8">
        <f t="shared" si="373"/>
        <v>858000</v>
      </c>
      <c r="H1792" s="8">
        <f t="shared" si="373"/>
        <v>1134000</v>
      </c>
      <c r="I1792" s="501"/>
      <c r="J1792" s="575" t="s">
        <v>6</v>
      </c>
      <c r="K1792" s="575" t="s">
        <v>112</v>
      </c>
      <c r="L1792" s="575" t="s">
        <v>99</v>
      </c>
      <c r="N1792" s="494"/>
      <c r="P1792" s="580" t="s">
        <v>1262</v>
      </c>
    </row>
    <row r="1793" spans="1:16" s="497" customFormat="1" ht="15.5">
      <c r="A1793" s="221" t="s">
        <v>8</v>
      </c>
      <c r="B1793" s="216" t="s">
        <v>538</v>
      </c>
      <c r="C1793" s="222" t="s">
        <v>10</v>
      </c>
      <c r="D1793" s="89"/>
      <c r="E1793" s="89">
        <v>0</v>
      </c>
      <c r="F1793" s="579">
        <v>8000</v>
      </c>
      <c r="G1793" s="8">
        <f t="shared" si="373"/>
        <v>0</v>
      </c>
      <c r="H1793" s="8">
        <f t="shared" si="373"/>
        <v>0</v>
      </c>
      <c r="I1793" s="501"/>
      <c r="J1793" s="575" t="s">
        <v>6</v>
      </c>
      <c r="K1793" s="575" t="s">
        <v>112</v>
      </c>
      <c r="L1793" s="575" t="s">
        <v>99</v>
      </c>
      <c r="N1793" s="494"/>
      <c r="P1793" s="580" t="s">
        <v>1262</v>
      </c>
    </row>
    <row r="1794" spans="1:16" s="497" customFormat="1" ht="15.5">
      <c r="A1794" s="221" t="s">
        <v>8</v>
      </c>
      <c r="B1794" s="216" t="s">
        <v>539</v>
      </c>
      <c r="C1794" s="222" t="s">
        <v>10</v>
      </c>
      <c r="D1794" s="89"/>
      <c r="E1794" s="89">
        <v>0</v>
      </c>
      <c r="F1794" s="579">
        <v>12000</v>
      </c>
      <c r="G1794" s="8">
        <f t="shared" si="373"/>
        <v>0</v>
      </c>
      <c r="H1794" s="8">
        <f t="shared" si="373"/>
        <v>0</v>
      </c>
      <c r="I1794" s="501"/>
      <c r="J1794" s="575" t="s">
        <v>6</v>
      </c>
      <c r="K1794" s="575" t="s">
        <v>112</v>
      </c>
      <c r="L1794" s="575" t="s">
        <v>99</v>
      </c>
      <c r="N1794" s="494"/>
      <c r="P1794" s="580" t="s">
        <v>1262</v>
      </c>
    </row>
    <row r="1795" spans="1:16" s="497" customFormat="1" ht="14">
      <c r="A1795" s="218" t="s">
        <v>540</v>
      </c>
      <c r="B1795" s="219" t="s">
        <v>527</v>
      </c>
      <c r="C1795" s="220"/>
      <c r="D1795" s="573"/>
      <c r="E1795" s="573">
        <v>0</v>
      </c>
      <c r="F1795" s="574"/>
      <c r="G1795" s="89"/>
      <c r="H1795" s="89"/>
      <c r="I1795" s="501"/>
      <c r="J1795" s="575"/>
      <c r="K1795" s="575"/>
      <c r="L1795" s="575"/>
      <c r="N1795" s="494"/>
      <c r="P1795" s="576"/>
    </row>
    <row r="1796" spans="1:16" s="497" customFormat="1" ht="15.5">
      <c r="A1796" s="221" t="s">
        <v>8</v>
      </c>
      <c r="B1796" s="216" t="s">
        <v>528</v>
      </c>
      <c r="C1796" s="222" t="s">
        <v>15</v>
      </c>
      <c r="D1796" s="89">
        <v>143</v>
      </c>
      <c r="E1796" s="89">
        <v>189</v>
      </c>
      <c r="F1796" s="577">
        <v>6.35</v>
      </c>
      <c r="G1796" s="8">
        <f t="shared" ref="G1796:H1799" si="374">D1796*$F1796</f>
        <v>908.05</v>
      </c>
      <c r="H1796" s="8">
        <f t="shared" si="374"/>
        <v>1200.1499999999999</v>
      </c>
      <c r="I1796" s="501"/>
      <c r="J1796" s="575" t="s">
        <v>6</v>
      </c>
      <c r="K1796" s="575" t="s">
        <v>112</v>
      </c>
      <c r="L1796" s="575" t="s">
        <v>99</v>
      </c>
      <c r="N1796" s="494"/>
      <c r="P1796" s="580" t="s">
        <v>1262</v>
      </c>
    </row>
    <row r="1797" spans="1:16" s="497" customFormat="1" ht="15.5">
      <c r="A1797" s="221" t="s">
        <v>8</v>
      </c>
      <c r="B1797" s="216" t="s">
        <v>529</v>
      </c>
      <c r="C1797" s="222" t="s">
        <v>15</v>
      </c>
      <c r="D1797" s="89"/>
      <c r="E1797" s="89">
        <v>0</v>
      </c>
      <c r="F1797" s="577">
        <v>147</v>
      </c>
      <c r="G1797" s="8">
        <f t="shared" si="374"/>
        <v>0</v>
      </c>
      <c r="H1797" s="8">
        <f t="shared" si="374"/>
        <v>0</v>
      </c>
      <c r="I1797" s="501"/>
      <c r="J1797" s="575" t="s">
        <v>6</v>
      </c>
      <c r="K1797" s="575" t="s">
        <v>112</v>
      </c>
      <c r="L1797" s="575" t="s">
        <v>99</v>
      </c>
      <c r="N1797" s="494"/>
      <c r="P1797" s="580" t="s">
        <v>1260</v>
      </c>
    </row>
    <row r="1798" spans="1:16" s="497" customFormat="1" ht="14">
      <c r="A1798" s="204" t="s">
        <v>8</v>
      </c>
      <c r="B1798" s="205" t="s">
        <v>530</v>
      </c>
      <c r="C1798" s="206" t="s">
        <v>15</v>
      </c>
      <c r="D1798" s="89"/>
      <c r="E1798" s="89">
        <v>0</v>
      </c>
      <c r="F1798" s="205">
        <v>15</v>
      </c>
      <c r="G1798" s="8">
        <f t="shared" si="374"/>
        <v>0</v>
      </c>
      <c r="H1798" s="8">
        <f t="shared" si="374"/>
        <v>0</v>
      </c>
      <c r="I1798" s="501"/>
      <c r="J1798" s="575" t="s">
        <v>6</v>
      </c>
      <c r="K1798" s="575" t="s">
        <v>112</v>
      </c>
      <c r="L1798" s="575" t="s">
        <v>99</v>
      </c>
      <c r="N1798" s="494"/>
      <c r="P1798" s="580" t="s">
        <v>1261</v>
      </c>
    </row>
    <row r="1799" spans="1:16" s="497" customFormat="1" ht="14">
      <c r="A1799" s="204" t="s">
        <v>8</v>
      </c>
      <c r="B1799" s="205" t="s">
        <v>531</v>
      </c>
      <c r="C1799" s="206" t="s">
        <v>15</v>
      </c>
      <c r="D1799" s="89"/>
      <c r="E1799" s="89">
        <v>0</v>
      </c>
      <c r="F1799" s="205">
        <v>15</v>
      </c>
      <c r="G1799" s="8">
        <f t="shared" si="374"/>
        <v>0</v>
      </c>
      <c r="H1799" s="8">
        <f t="shared" si="374"/>
        <v>0</v>
      </c>
      <c r="I1799" s="501"/>
      <c r="J1799" s="575" t="s">
        <v>6</v>
      </c>
      <c r="K1799" s="575" t="s">
        <v>112</v>
      </c>
      <c r="L1799" s="575" t="s">
        <v>99</v>
      </c>
      <c r="N1799" s="494"/>
      <c r="P1799" s="580" t="s">
        <v>1261</v>
      </c>
    </row>
    <row r="1800" spans="1:16" s="495" customFormat="1">
      <c r="A1800" s="563">
        <v>1.3</v>
      </c>
      <c r="B1800" s="564" t="s">
        <v>1371</v>
      </c>
      <c r="C1800" s="565"/>
      <c r="D1800" s="566">
        <v>54</v>
      </c>
      <c r="E1800" s="566">
        <v>38</v>
      </c>
      <c r="F1800" s="567"/>
      <c r="G1800" s="566">
        <f>SUBTOTAL(9,G1801:G1820)</f>
        <v>686777.4</v>
      </c>
      <c r="H1800" s="566">
        <f>SUBTOTAL(9,H1801:H1820)</f>
        <v>483287.8</v>
      </c>
      <c r="I1800" s="568"/>
      <c r="J1800" s="569"/>
      <c r="K1800" s="569"/>
      <c r="L1800" s="569"/>
      <c r="N1800" s="523"/>
      <c r="P1800" s="570"/>
    </row>
    <row r="1801" spans="1:16" s="497" customFormat="1" ht="14">
      <c r="A1801" s="218" t="s">
        <v>1372</v>
      </c>
      <c r="B1801" s="219" t="s">
        <v>506</v>
      </c>
      <c r="C1801" s="220"/>
      <c r="D1801" s="573"/>
      <c r="E1801" s="573">
        <v>0</v>
      </c>
      <c r="F1801" s="574"/>
      <c r="G1801" s="89"/>
      <c r="H1801" s="89"/>
      <c r="I1801" s="501"/>
      <c r="J1801" s="575"/>
      <c r="K1801" s="575"/>
      <c r="L1801" s="575"/>
      <c r="N1801" s="494"/>
      <c r="P1801" s="576"/>
    </row>
    <row r="1802" spans="1:16" s="497" customFormat="1" ht="15.5">
      <c r="A1802" s="221" t="s">
        <v>8</v>
      </c>
      <c r="B1802" s="216" t="s">
        <v>507</v>
      </c>
      <c r="C1802" s="222" t="s">
        <v>133</v>
      </c>
      <c r="D1802" s="89">
        <v>216</v>
      </c>
      <c r="E1802" s="89">
        <v>152</v>
      </c>
      <c r="F1802" s="577">
        <v>523</v>
      </c>
      <c r="G1802" s="8">
        <f>D1802*$F1802</f>
        <v>112968</v>
      </c>
      <c r="H1802" s="8">
        <f>E1802*$F1802</f>
        <v>79496</v>
      </c>
      <c r="I1802" s="501"/>
      <c r="J1802" s="575" t="s">
        <v>6</v>
      </c>
      <c r="K1802" s="575" t="s">
        <v>112</v>
      </c>
      <c r="L1802" s="575" t="s">
        <v>99</v>
      </c>
      <c r="N1802" s="494"/>
      <c r="P1802" s="576"/>
    </row>
    <row r="1803" spans="1:16" s="497" customFormat="1" ht="15.5">
      <c r="A1803" s="221" t="s">
        <v>8</v>
      </c>
      <c r="B1803" s="216" t="s">
        <v>508</v>
      </c>
      <c r="C1803" s="222" t="s">
        <v>31</v>
      </c>
      <c r="D1803" s="89">
        <v>54</v>
      </c>
      <c r="E1803" s="89">
        <v>38</v>
      </c>
      <c r="F1803" s="577">
        <v>938</v>
      </c>
      <c r="G1803" s="8">
        <f>D1803*$F1803</f>
        <v>50652</v>
      </c>
      <c r="H1803" s="8">
        <f>E1803*$F1803</f>
        <v>35644</v>
      </c>
      <c r="I1803" s="501"/>
      <c r="J1803" s="575" t="s">
        <v>6</v>
      </c>
      <c r="K1803" s="575" t="s">
        <v>112</v>
      </c>
      <c r="L1803" s="575" t="s">
        <v>99</v>
      </c>
      <c r="N1803" s="494"/>
      <c r="P1803" s="576"/>
    </row>
    <row r="1804" spans="1:16" s="497" customFormat="1" ht="14">
      <c r="A1804" s="218" t="s">
        <v>1373</v>
      </c>
      <c r="B1804" s="219" t="s">
        <v>510</v>
      </c>
      <c r="C1804" s="220"/>
      <c r="D1804" s="89"/>
      <c r="E1804" s="89">
        <v>0</v>
      </c>
      <c r="F1804" s="574"/>
      <c r="G1804" s="89"/>
      <c r="H1804" s="89"/>
      <c r="I1804" s="501"/>
      <c r="J1804" s="575"/>
      <c r="K1804" s="575"/>
      <c r="L1804" s="575"/>
      <c r="N1804" s="494"/>
      <c r="P1804" s="576"/>
    </row>
    <row r="1805" spans="1:16" s="497" customFormat="1" ht="15.5">
      <c r="A1805" s="221" t="s">
        <v>8</v>
      </c>
      <c r="B1805" s="216" t="s">
        <v>511</v>
      </c>
      <c r="C1805" s="222" t="s">
        <v>15</v>
      </c>
      <c r="D1805" s="89">
        <v>54</v>
      </c>
      <c r="E1805" s="89">
        <v>38</v>
      </c>
      <c r="F1805" s="577">
        <v>6000</v>
      </c>
      <c r="G1805" s="8">
        <f>D1805*$F1805</f>
        <v>324000</v>
      </c>
      <c r="H1805" s="8">
        <f>E1805*$F1805</f>
        <v>228000</v>
      </c>
      <c r="I1805" s="501"/>
      <c r="J1805" s="575" t="s">
        <v>6</v>
      </c>
      <c r="K1805" s="575" t="s">
        <v>112</v>
      </c>
      <c r="L1805" s="575" t="s">
        <v>99</v>
      </c>
      <c r="N1805" s="494"/>
      <c r="P1805" s="576"/>
    </row>
    <row r="1806" spans="1:16" s="497" customFormat="1" ht="14">
      <c r="A1806" s="218" t="s">
        <v>1374</v>
      </c>
      <c r="B1806" s="219" t="s">
        <v>513</v>
      </c>
      <c r="C1806" s="220"/>
      <c r="D1806" s="89"/>
      <c r="E1806" s="89">
        <v>0</v>
      </c>
      <c r="F1806" s="574"/>
      <c r="G1806" s="89"/>
      <c r="H1806" s="89"/>
      <c r="I1806" s="501"/>
      <c r="J1806" s="575"/>
      <c r="K1806" s="575"/>
      <c r="L1806" s="575"/>
      <c r="N1806" s="494"/>
      <c r="P1806" s="576"/>
    </row>
    <row r="1807" spans="1:16" s="497" customFormat="1" ht="15.5">
      <c r="A1807" s="221" t="s">
        <v>8</v>
      </c>
      <c r="B1807" s="216" t="s">
        <v>514</v>
      </c>
      <c r="C1807" s="222" t="s">
        <v>24</v>
      </c>
      <c r="D1807" s="89">
        <v>54</v>
      </c>
      <c r="E1807" s="89">
        <v>38</v>
      </c>
      <c r="F1807" s="577">
        <v>1236</v>
      </c>
      <c r="G1807" s="8">
        <f>D1807*$F1807</f>
        <v>66744</v>
      </c>
      <c r="H1807" s="8">
        <f>E1807*$F1807</f>
        <v>46968</v>
      </c>
      <c r="I1807" s="501"/>
      <c r="J1807" s="575" t="s">
        <v>6</v>
      </c>
      <c r="K1807" s="575" t="s">
        <v>112</v>
      </c>
      <c r="L1807" s="575" t="s">
        <v>99</v>
      </c>
      <c r="N1807" s="494"/>
      <c r="P1807" s="576"/>
    </row>
    <row r="1808" spans="1:16" s="497" customFormat="1" ht="14">
      <c r="A1808" s="218" t="s">
        <v>1375</v>
      </c>
      <c r="B1808" s="219" t="s">
        <v>516</v>
      </c>
      <c r="C1808" s="220"/>
      <c r="D1808" s="89"/>
      <c r="E1808" s="89">
        <v>0</v>
      </c>
      <c r="F1808" s="574"/>
      <c r="G1808" s="89"/>
      <c r="H1808" s="89"/>
      <c r="I1808" s="501"/>
      <c r="J1808" s="575"/>
      <c r="K1808" s="575"/>
      <c r="L1808" s="575"/>
      <c r="N1808" s="494"/>
      <c r="P1808" s="576"/>
    </row>
    <row r="1809" spans="1:16" s="497" customFormat="1" ht="14">
      <c r="A1809" s="218" t="s">
        <v>1376</v>
      </c>
      <c r="B1809" s="219" t="s">
        <v>518</v>
      </c>
      <c r="C1809" s="220"/>
      <c r="D1809" s="89"/>
      <c r="E1809" s="89">
        <v>0</v>
      </c>
      <c r="F1809" s="574"/>
      <c r="G1809" s="89"/>
      <c r="H1809" s="89"/>
      <c r="I1809" s="501"/>
      <c r="J1809" s="575"/>
      <c r="K1809" s="575"/>
      <c r="L1809" s="575"/>
      <c r="N1809" s="494"/>
      <c r="P1809" s="576"/>
    </row>
    <row r="1810" spans="1:16" s="497" customFormat="1" ht="15.5">
      <c r="A1810" s="221" t="s">
        <v>8</v>
      </c>
      <c r="B1810" s="216" t="s">
        <v>519</v>
      </c>
      <c r="C1810" s="222" t="s">
        <v>31</v>
      </c>
      <c r="D1810" s="89">
        <v>54</v>
      </c>
      <c r="E1810" s="89">
        <v>38</v>
      </c>
      <c r="F1810" s="577">
        <v>2085.75</v>
      </c>
      <c r="G1810" s="8">
        <f t="shared" ref="G1810:H1812" si="375">D1810*$F1810</f>
        <v>112630.5</v>
      </c>
      <c r="H1810" s="8">
        <f t="shared" si="375"/>
        <v>79258.5</v>
      </c>
      <c r="I1810" s="501"/>
      <c r="J1810" s="575" t="s">
        <v>6</v>
      </c>
      <c r="K1810" s="575" t="s">
        <v>112</v>
      </c>
      <c r="L1810" s="575" t="s">
        <v>99</v>
      </c>
      <c r="N1810" s="494"/>
      <c r="P1810" s="576"/>
    </row>
    <row r="1811" spans="1:16" s="497" customFormat="1" ht="15.5">
      <c r="A1811" s="221" t="s">
        <v>8</v>
      </c>
      <c r="B1811" s="216" t="s">
        <v>520</v>
      </c>
      <c r="C1811" s="222" t="s">
        <v>15</v>
      </c>
      <c r="D1811" s="89">
        <v>108</v>
      </c>
      <c r="E1811" s="89">
        <v>76</v>
      </c>
      <c r="F1811" s="577">
        <v>180</v>
      </c>
      <c r="G1811" s="8">
        <f t="shared" si="375"/>
        <v>19440</v>
      </c>
      <c r="H1811" s="8">
        <f t="shared" si="375"/>
        <v>13680</v>
      </c>
      <c r="I1811" s="501"/>
      <c r="J1811" s="575" t="s">
        <v>6</v>
      </c>
      <c r="K1811" s="575" t="s">
        <v>112</v>
      </c>
      <c r="L1811" s="575" t="s">
        <v>99</v>
      </c>
      <c r="N1811" s="494"/>
      <c r="P1811" s="576"/>
    </row>
    <row r="1812" spans="1:16" s="497" customFormat="1" ht="15.5">
      <c r="A1812" s="221" t="s">
        <v>8</v>
      </c>
      <c r="B1812" s="216" t="s">
        <v>521</v>
      </c>
      <c r="C1812" s="222" t="s">
        <v>15</v>
      </c>
      <c r="D1812" s="89"/>
      <c r="E1812" s="89">
        <v>0</v>
      </c>
      <c r="F1812" s="578">
        <v>314</v>
      </c>
      <c r="G1812" s="8">
        <f t="shared" si="375"/>
        <v>0</v>
      </c>
      <c r="H1812" s="8">
        <f t="shared" si="375"/>
        <v>0</v>
      </c>
      <c r="I1812" s="501"/>
      <c r="J1812" s="575" t="s">
        <v>6</v>
      </c>
      <c r="K1812" s="575" t="s">
        <v>112</v>
      </c>
      <c r="L1812" s="575" t="s">
        <v>99</v>
      </c>
      <c r="N1812" s="494"/>
      <c r="P1812" s="576"/>
    </row>
    <row r="1813" spans="1:16" s="497" customFormat="1" ht="14">
      <c r="A1813" s="218" t="s">
        <v>1377</v>
      </c>
      <c r="B1813" s="219" t="s">
        <v>523</v>
      </c>
      <c r="C1813" s="220"/>
      <c r="D1813" s="89"/>
      <c r="E1813" s="89">
        <v>0</v>
      </c>
      <c r="F1813" s="574"/>
      <c r="G1813" s="89"/>
      <c r="H1813" s="89"/>
      <c r="I1813" s="501"/>
      <c r="J1813" s="575"/>
      <c r="K1813" s="575"/>
      <c r="L1813" s="575"/>
      <c r="N1813" s="494"/>
      <c r="P1813" s="576"/>
    </row>
    <row r="1814" spans="1:16" s="497" customFormat="1" ht="15.5">
      <c r="A1814" s="221" t="s">
        <v>8</v>
      </c>
      <c r="B1814" s="216" t="s">
        <v>524</v>
      </c>
      <c r="C1814" s="222" t="s">
        <v>10</v>
      </c>
      <c r="D1814" s="89"/>
      <c r="E1814" s="89">
        <v>0</v>
      </c>
      <c r="F1814" s="579">
        <v>4000</v>
      </c>
      <c r="G1814" s="8">
        <f>D1814*$F1814</f>
        <v>0</v>
      </c>
      <c r="H1814" s="8">
        <f>E1814*$F1814</f>
        <v>0</v>
      </c>
      <c r="I1814" s="501"/>
      <c r="J1814" s="575" t="s">
        <v>6</v>
      </c>
      <c r="K1814" s="575" t="s">
        <v>112</v>
      </c>
      <c r="L1814" s="575" t="s">
        <v>99</v>
      </c>
      <c r="N1814" s="494"/>
      <c r="P1814" s="576"/>
    </row>
    <row r="1815" spans="1:16" s="497" customFormat="1" ht="15.5">
      <c r="A1815" s="221" t="s">
        <v>8</v>
      </c>
      <c r="B1815" s="216" t="s">
        <v>525</v>
      </c>
      <c r="C1815" s="222" t="s">
        <v>10</v>
      </c>
      <c r="D1815" s="89"/>
      <c r="E1815" s="89">
        <v>0</v>
      </c>
      <c r="F1815" s="579">
        <v>6000</v>
      </c>
      <c r="G1815" s="8">
        <f>D1815*$F1815</f>
        <v>0</v>
      </c>
      <c r="H1815" s="8">
        <f>E1815*$F1815</f>
        <v>0</v>
      </c>
      <c r="I1815" s="501"/>
      <c r="J1815" s="575" t="s">
        <v>6</v>
      </c>
      <c r="K1815" s="575" t="s">
        <v>112</v>
      </c>
      <c r="L1815" s="575" t="s">
        <v>99</v>
      </c>
      <c r="N1815" s="494"/>
      <c r="P1815" s="576"/>
    </row>
    <row r="1816" spans="1:16" s="497" customFormat="1" ht="14">
      <c r="A1816" s="218" t="s">
        <v>1378</v>
      </c>
      <c r="B1816" s="219" t="s">
        <v>527</v>
      </c>
      <c r="C1816" s="220"/>
      <c r="D1816" s="89"/>
      <c r="E1816" s="89">
        <v>0</v>
      </c>
      <c r="F1816" s="574"/>
      <c r="G1816" s="89"/>
      <c r="H1816" s="89"/>
      <c r="I1816" s="501"/>
      <c r="J1816" s="575"/>
      <c r="K1816" s="575"/>
      <c r="L1816" s="575"/>
      <c r="N1816" s="494"/>
      <c r="P1816" s="576"/>
    </row>
    <row r="1817" spans="1:16" s="497" customFormat="1" ht="15.5">
      <c r="A1817" s="221" t="s">
        <v>8</v>
      </c>
      <c r="B1817" s="216" t="s">
        <v>528</v>
      </c>
      <c r="C1817" s="222" t="s">
        <v>15</v>
      </c>
      <c r="D1817" s="89">
        <v>54</v>
      </c>
      <c r="E1817" s="89">
        <v>38</v>
      </c>
      <c r="F1817" s="577">
        <v>6.35</v>
      </c>
      <c r="G1817" s="8">
        <f t="shared" ref="G1817:H1820" si="376">D1817*$F1817</f>
        <v>342.9</v>
      </c>
      <c r="H1817" s="8">
        <f t="shared" si="376"/>
        <v>241.29999999999998</v>
      </c>
      <c r="I1817" s="501"/>
      <c r="J1817" s="575" t="s">
        <v>6</v>
      </c>
      <c r="K1817" s="575" t="s">
        <v>112</v>
      </c>
      <c r="L1817" s="575" t="s">
        <v>99</v>
      </c>
      <c r="N1817" s="494"/>
      <c r="P1817" s="576"/>
    </row>
    <row r="1818" spans="1:16" s="497" customFormat="1" ht="15.5">
      <c r="A1818" s="221" t="s">
        <v>8</v>
      </c>
      <c r="B1818" s="216" t="s">
        <v>529</v>
      </c>
      <c r="C1818" s="222" t="s">
        <v>15</v>
      </c>
      <c r="D1818" s="89"/>
      <c r="E1818" s="89">
        <v>0</v>
      </c>
      <c r="F1818" s="577">
        <v>147</v>
      </c>
      <c r="G1818" s="8">
        <f t="shared" si="376"/>
        <v>0</v>
      </c>
      <c r="H1818" s="8">
        <f t="shared" si="376"/>
        <v>0</v>
      </c>
      <c r="I1818" s="501"/>
      <c r="J1818" s="575" t="s">
        <v>6</v>
      </c>
      <c r="K1818" s="575" t="s">
        <v>112</v>
      </c>
      <c r="L1818" s="575" t="s">
        <v>99</v>
      </c>
      <c r="N1818" s="494"/>
      <c r="P1818" s="580" t="s">
        <v>1260</v>
      </c>
    </row>
    <row r="1819" spans="1:16" s="497" customFormat="1" ht="14">
      <c r="A1819" s="204" t="s">
        <v>8</v>
      </c>
      <c r="B1819" s="205" t="s">
        <v>530</v>
      </c>
      <c r="C1819" s="206" t="s">
        <v>15</v>
      </c>
      <c r="D1819" s="89"/>
      <c r="E1819" s="89">
        <v>0</v>
      </c>
      <c r="F1819" s="205">
        <v>15</v>
      </c>
      <c r="G1819" s="8">
        <f t="shared" si="376"/>
        <v>0</v>
      </c>
      <c r="H1819" s="8">
        <f t="shared" si="376"/>
        <v>0</v>
      </c>
      <c r="I1819" s="501"/>
      <c r="J1819" s="575" t="s">
        <v>6</v>
      </c>
      <c r="K1819" s="575" t="s">
        <v>112</v>
      </c>
      <c r="L1819" s="575" t="s">
        <v>99</v>
      </c>
      <c r="N1819" s="494"/>
      <c r="P1819" s="580" t="s">
        <v>1261</v>
      </c>
    </row>
    <row r="1820" spans="1:16" s="497" customFormat="1" ht="14">
      <c r="A1820" s="204" t="s">
        <v>8</v>
      </c>
      <c r="B1820" s="205" t="s">
        <v>531</v>
      </c>
      <c r="C1820" s="206" t="s">
        <v>15</v>
      </c>
      <c r="D1820" s="89"/>
      <c r="E1820" s="89">
        <v>0</v>
      </c>
      <c r="F1820" s="205">
        <v>15</v>
      </c>
      <c r="G1820" s="8">
        <f t="shared" si="376"/>
        <v>0</v>
      </c>
      <c r="H1820" s="8">
        <f t="shared" si="376"/>
        <v>0</v>
      </c>
      <c r="I1820" s="501"/>
      <c r="J1820" s="575" t="s">
        <v>6</v>
      </c>
      <c r="K1820" s="575" t="s">
        <v>112</v>
      </c>
      <c r="L1820" s="575" t="s">
        <v>99</v>
      </c>
      <c r="N1820" s="494"/>
      <c r="P1820" s="580" t="s">
        <v>1261</v>
      </c>
    </row>
    <row r="1821" spans="1:16" s="572" customFormat="1">
      <c r="A1821" s="563">
        <v>2</v>
      </c>
      <c r="B1821" s="564" t="s">
        <v>541</v>
      </c>
      <c r="C1821" s="565"/>
      <c r="D1821" s="566"/>
      <c r="E1821" s="566">
        <v>0</v>
      </c>
      <c r="F1821" s="567"/>
      <c r="G1821" s="566">
        <f>SUBTOTAL(9,G1822:G1863)</f>
        <v>0</v>
      </c>
      <c r="H1821" s="566">
        <f>SUBTOTAL(9,H1822:H1863)</f>
        <v>178053.4</v>
      </c>
      <c r="I1821" s="568"/>
      <c r="J1821" s="569"/>
      <c r="K1821" s="569"/>
      <c r="L1821" s="569"/>
      <c r="N1821" s="571"/>
      <c r="P1821" s="570"/>
    </row>
    <row r="1822" spans="1:16" s="572" customFormat="1">
      <c r="A1822" s="563">
        <v>2.1</v>
      </c>
      <c r="B1822" s="564" t="s">
        <v>542</v>
      </c>
      <c r="C1822" s="565"/>
      <c r="D1822" s="566">
        <v>0</v>
      </c>
      <c r="E1822" s="566">
        <v>14</v>
      </c>
      <c r="F1822" s="567"/>
      <c r="G1822" s="566">
        <f>SUBTOTAL(9,G1823:G1842)</f>
        <v>0</v>
      </c>
      <c r="H1822" s="566">
        <f>SUBTOTAL(9,H1823:H1842)</f>
        <v>178053.4</v>
      </c>
      <c r="I1822" s="568"/>
      <c r="J1822" s="569"/>
      <c r="K1822" s="569"/>
      <c r="L1822" s="569"/>
      <c r="N1822" s="571"/>
      <c r="P1822" s="570"/>
    </row>
    <row r="1823" spans="1:16" s="497" customFormat="1" ht="14">
      <c r="A1823" s="218" t="s">
        <v>441</v>
      </c>
      <c r="B1823" s="219" t="s">
        <v>506</v>
      </c>
      <c r="C1823" s="220"/>
      <c r="D1823" s="573"/>
      <c r="E1823" s="573">
        <v>0</v>
      </c>
      <c r="F1823" s="574"/>
      <c r="G1823" s="89"/>
      <c r="H1823" s="89"/>
      <c r="I1823" s="501"/>
      <c r="J1823" s="575"/>
      <c r="K1823" s="575"/>
      <c r="L1823" s="575"/>
      <c r="N1823" s="494"/>
      <c r="P1823" s="576"/>
    </row>
    <row r="1824" spans="1:16" s="497" customFormat="1" ht="15.5">
      <c r="A1824" s="221" t="s">
        <v>8</v>
      </c>
      <c r="B1824" s="216" t="s">
        <v>507</v>
      </c>
      <c r="C1824" s="222" t="s">
        <v>133</v>
      </c>
      <c r="D1824" s="89">
        <v>0</v>
      </c>
      <c r="E1824" s="89">
        <v>56</v>
      </c>
      <c r="F1824" s="577">
        <v>523</v>
      </c>
      <c r="G1824" s="8">
        <f>D1824*$F1824</f>
        <v>0</v>
      </c>
      <c r="H1824" s="8">
        <f>E1824*$F1824</f>
        <v>29288</v>
      </c>
      <c r="I1824" s="501"/>
      <c r="J1824" s="575" t="s">
        <v>6</v>
      </c>
      <c r="K1824" s="575" t="s">
        <v>113</v>
      </c>
      <c r="L1824" s="575" t="s">
        <v>99</v>
      </c>
      <c r="N1824" s="494"/>
      <c r="P1824" s="576"/>
    </row>
    <row r="1825" spans="1:16" s="497" customFormat="1" ht="15.5">
      <c r="A1825" s="221" t="s">
        <v>8</v>
      </c>
      <c r="B1825" s="216" t="s">
        <v>508</v>
      </c>
      <c r="C1825" s="222" t="s">
        <v>31</v>
      </c>
      <c r="D1825" s="89">
        <v>0</v>
      </c>
      <c r="E1825" s="89">
        <v>14</v>
      </c>
      <c r="F1825" s="577">
        <v>938</v>
      </c>
      <c r="G1825" s="8">
        <f>D1825*$F1825</f>
        <v>0</v>
      </c>
      <c r="H1825" s="8">
        <f>E1825*$F1825</f>
        <v>13132</v>
      </c>
      <c r="I1825" s="501"/>
      <c r="J1825" s="575" t="s">
        <v>6</v>
      </c>
      <c r="K1825" s="575" t="s">
        <v>113</v>
      </c>
      <c r="L1825" s="575" t="s">
        <v>99</v>
      </c>
      <c r="N1825" s="494"/>
      <c r="P1825" s="576"/>
    </row>
    <row r="1826" spans="1:16" s="497" customFormat="1" ht="14">
      <c r="A1826" s="218" t="s">
        <v>442</v>
      </c>
      <c r="B1826" s="219" t="s">
        <v>510</v>
      </c>
      <c r="C1826" s="220"/>
      <c r="D1826" s="89"/>
      <c r="E1826" s="89">
        <v>0</v>
      </c>
      <c r="F1826" s="574"/>
      <c r="G1826" s="89"/>
      <c r="H1826" s="89"/>
      <c r="I1826" s="501"/>
      <c r="J1826" s="575"/>
      <c r="K1826" s="575"/>
      <c r="L1826" s="575"/>
      <c r="N1826" s="494"/>
      <c r="P1826" s="576"/>
    </row>
    <row r="1827" spans="1:16" s="497" customFormat="1" ht="15.5">
      <c r="A1827" s="221" t="s">
        <v>8</v>
      </c>
      <c r="B1827" s="216" t="s">
        <v>511</v>
      </c>
      <c r="C1827" s="222" t="s">
        <v>15</v>
      </c>
      <c r="D1827" s="89"/>
      <c r="E1827" s="89">
        <v>14</v>
      </c>
      <c r="F1827" s="577">
        <v>6000</v>
      </c>
      <c r="G1827" s="8">
        <f>D1827*$F1827</f>
        <v>0</v>
      </c>
      <c r="H1827" s="8">
        <f>E1827*$F1827</f>
        <v>84000</v>
      </c>
      <c r="I1827" s="501"/>
      <c r="J1827" s="575" t="s">
        <v>6</v>
      </c>
      <c r="K1827" s="575" t="s">
        <v>113</v>
      </c>
      <c r="L1827" s="575" t="s">
        <v>99</v>
      </c>
      <c r="N1827" s="494"/>
      <c r="P1827" s="580" t="s">
        <v>1263</v>
      </c>
    </row>
    <row r="1828" spans="1:16" s="497" customFormat="1" ht="14">
      <c r="A1828" s="218" t="s">
        <v>443</v>
      </c>
      <c r="B1828" s="219" t="s">
        <v>513</v>
      </c>
      <c r="C1828" s="220"/>
      <c r="D1828" s="89"/>
      <c r="E1828" s="89">
        <v>0</v>
      </c>
      <c r="F1828" s="574"/>
      <c r="G1828" s="89"/>
      <c r="H1828" s="89"/>
      <c r="I1828" s="501"/>
      <c r="J1828" s="575"/>
      <c r="K1828" s="575"/>
      <c r="L1828" s="575"/>
      <c r="N1828" s="494"/>
      <c r="P1828" s="576"/>
    </row>
    <row r="1829" spans="1:16" s="497" customFormat="1" ht="15.5">
      <c r="A1829" s="221" t="s">
        <v>8</v>
      </c>
      <c r="B1829" s="216" t="s">
        <v>514</v>
      </c>
      <c r="C1829" s="222" t="s">
        <v>24</v>
      </c>
      <c r="D1829" s="89"/>
      <c r="E1829" s="89">
        <v>14</v>
      </c>
      <c r="F1829" s="577">
        <v>1236</v>
      </c>
      <c r="G1829" s="8">
        <f>D1829*$F1829</f>
        <v>0</v>
      </c>
      <c r="H1829" s="8">
        <f>E1829*$F1829</f>
        <v>17304</v>
      </c>
      <c r="I1829" s="501"/>
      <c r="J1829" s="575" t="s">
        <v>6</v>
      </c>
      <c r="K1829" s="575" t="s">
        <v>113</v>
      </c>
      <c r="L1829" s="575" t="s">
        <v>99</v>
      </c>
      <c r="N1829" s="494"/>
      <c r="P1829" s="576"/>
    </row>
    <row r="1830" spans="1:16" s="497" customFormat="1" ht="14">
      <c r="A1830" s="218" t="s">
        <v>543</v>
      </c>
      <c r="B1830" s="219" t="s">
        <v>516</v>
      </c>
      <c r="C1830" s="220"/>
      <c r="D1830" s="89"/>
      <c r="E1830" s="89">
        <v>0</v>
      </c>
      <c r="F1830" s="574"/>
      <c r="G1830" s="89"/>
      <c r="H1830" s="89"/>
      <c r="I1830" s="501"/>
      <c r="J1830" s="575"/>
      <c r="K1830" s="575"/>
      <c r="L1830" s="575"/>
      <c r="N1830" s="494"/>
      <c r="P1830" s="576"/>
    </row>
    <row r="1831" spans="1:16" s="497" customFormat="1" ht="14">
      <c r="A1831" s="218" t="s">
        <v>544</v>
      </c>
      <c r="B1831" s="219" t="s">
        <v>518</v>
      </c>
      <c r="C1831" s="220"/>
      <c r="D1831" s="89"/>
      <c r="E1831" s="89">
        <v>0</v>
      </c>
      <c r="F1831" s="574"/>
      <c r="G1831" s="89"/>
      <c r="H1831" s="89"/>
      <c r="I1831" s="501"/>
      <c r="J1831" s="575"/>
      <c r="K1831" s="575"/>
      <c r="L1831" s="575"/>
      <c r="N1831" s="494"/>
      <c r="P1831" s="576"/>
    </row>
    <row r="1832" spans="1:16" s="497" customFormat="1" ht="15.5">
      <c r="A1832" s="221" t="s">
        <v>8</v>
      </c>
      <c r="B1832" s="216" t="s">
        <v>519</v>
      </c>
      <c r="C1832" s="222" t="s">
        <v>31</v>
      </c>
      <c r="D1832" s="89">
        <v>0</v>
      </c>
      <c r="E1832" s="89">
        <v>14</v>
      </c>
      <c r="F1832" s="577">
        <v>2085.75</v>
      </c>
      <c r="G1832" s="8">
        <f t="shared" ref="G1832:H1834" si="377">D1832*$F1832</f>
        <v>0</v>
      </c>
      <c r="H1832" s="8">
        <f t="shared" si="377"/>
        <v>29200.5</v>
      </c>
      <c r="I1832" s="501"/>
      <c r="J1832" s="575" t="s">
        <v>6</v>
      </c>
      <c r="K1832" s="575" t="s">
        <v>113</v>
      </c>
      <c r="L1832" s="575" t="s">
        <v>99</v>
      </c>
      <c r="N1832" s="494"/>
      <c r="P1832" s="576"/>
    </row>
    <row r="1833" spans="1:16" s="497" customFormat="1" ht="15.5">
      <c r="A1833" s="221" t="s">
        <v>8</v>
      </c>
      <c r="B1833" s="216" t="s">
        <v>520</v>
      </c>
      <c r="C1833" s="222" t="s">
        <v>15</v>
      </c>
      <c r="D1833" s="89">
        <v>0</v>
      </c>
      <c r="E1833" s="89">
        <v>28</v>
      </c>
      <c r="F1833" s="577">
        <v>180</v>
      </c>
      <c r="G1833" s="8">
        <f t="shared" si="377"/>
        <v>0</v>
      </c>
      <c r="H1833" s="8">
        <f t="shared" si="377"/>
        <v>5040</v>
      </c>
      <c r="I1833" s="501"/>
      <c r="J1833" s="575" t="s">
        <v>6</v>
      </c>
      <c r="K1833" s="575" t="s">
        <v>113</v>
      </c>
      <c r="L1833" s="575" t="s">
        <v>99</v>
      </c>
      <c r="N1833" s="494"/>
      <c r="P1833" s="576"/>
    </row>
    <row r="1834" spans="1:16" s="497" customFormat="1" ht="15.5">
      <c r="A1834" s="221" t="s">
        <v>8</v>
      </c>
      <c r="B1834" s="216" t="s">
        <v>521</v>
      </c>
      <c r="C1834" s="222" t="s">
        <v>15</v>
      </c>
      <c r="D1834" s="89"/>
      <c r="E1834" s="89">
        <v>0</v>
      </c>
      <c r="F1834" s="578">
        <v>314</v>
      </c>
      <c r="G1834" s="8">
        <f t="shared" si="377"/>
        <v>0</v>
      </c>
      <c r="H1834" s="8">
        <f t="shared" si="377"/>
        <v>0</v>
      </c>
      <c r="I1834" s="501"/>
      <c r="J1834" s="575" t="s">
        <v>6</v>
      </c>
      <c r="K1834" s="575" t="s">
        <v>113</v>
      </c>
      <c r="L1834" s="575" t="s">
        <v>99</v>
      </c>
      <c r="N1834" s="494"/>
      <c r="P1834" s="576"/>
    </row>
    <row r="1835" spans="1:16" s="497" customFormat="1" ht="14">
      <c r="A1835" s="218" t="s">
        <v>545</v>
      </c>
      <c r="B1835" s="219" t="s">
        <v>523</v>
      </c>
      <c r="C1835" s="220"/>
      <c r="D1835" s="89"/>
      <c r="E1835" s="89">
        <v>0</v>
      </c>
      <c r="F1835" s="574"/>
      <c r="G1835" s="89"/>
      <c r="H1835" s="89"/>
      <c r="I1835" s="501"/>
      <c r="J1835" s="575"/>
      <c r="K1835" s="575"/>
      <c r="L1835" s="575"/>
      <c r="N1835" s="494"/>
      <c r="P1835" s="576"/>
    </row>
    <row r="1836" spans="1:16" s="497" customFormat="1" ht="15.5">
      <c r="A1836" s="221" t="s">
        <v>8</v>
      </c>
      <c r="B1836" s="216" t="s">
        <v>524</v>
      </c>
      <c r="C1836" s="222" t="s">
        <v>10</v>
      </c>
      <c r="D1836" s="89"/>
      <c r="E1836" s="89">
        <v>0</v>
      </c>
      <c r="F1836" s="579">
        <v>4000</v>
      </c>
      <c r="G1836" s="8">
        <f>D1836*$F1836</f>
        <v>0</v>
      </c>
      <c r="H1836" s="8">
        <f>E1836*$F1836</f>
        <v>0</v>
      </c>
      <c r="I1836" s="501"/>
      <c r="J1836" s="575" t="s">
        <v>6</v>
      </c>
      <c r="K1836" s="575" t="s">
        <v>113</v>
      </c>
      <c r="L1836" s="575" t="s">
        <v>99</v>
      </c>
      <c r="N1836" s="494"/>
      <c r="P1836" s="576"/>
    </row>
    <row r="1837" spans="1:16" s="497" customFormat="1" ht="15.5">
      <c r="A1837" s="221" t="s">
        <v>8</v>
      </c>
      <c r="B1837" s="216" t="s">
        <v>525</v>
      </c>
      <c r="C1837" s="222" t="s">
        <v>10</v>
      </c>
      <c r="D1837" s="89"/>
      <c r="E1837" s="89">
        <v>0</v>
      </c>
      <c r="F1837" s="579">
        <v>6000</v>
      </c>
      <c r="G1837" s="8">
        <f>D1837*$F1837</f>
        <v>0</v>
      </c>
      <c r="H1837" s="8">
        <f>E1837*$F1837</f>
        <v>0</v>
      </c>
      <c r="I1837" s="501"/>
      <c r="J1837" s="575" t="s">
        <v>6</v>
      </c>
      <c r="K1837" s="575" t="s">
        <v>113</v>
      </c>
      <c r="L1837" s="575" t="s">
        <v>99</v>
      </c>
      <c r="N1837" s="494"/>
      <c r="P1837" s="576"/>
    </row>
    <row r="1838" spans="1:16" s="497" customFormat="1" ht="14">
      <c r="A1838" s="218" t="s">
        <v>546</v>
      </c>
      <c r="B1838" s="219" t="s">
        <v>527</v>
      </c>
      <c r="C1838" s="220"/>
      <c r="D1838" s="89"/>
      <c r="E1838" s="89">
        <v>0</v>
      </c>
      <c r="F1838" s="574"/>
      <c r="G1838" s="89"/>
      <c r="H1838" s="89"/>
      <c r="I1838" s="501"/>
      <c r="J1838" s="575"/>
      <c r="K1838" s="575"/>
      <c r="L1838" s="575"/>
      <c r="N1838" s="494"/>
      <c r="P1838" s="576"/>
    </row>
    <row r="1839" spans="1:16" s="497" customFormat="1" ht="15.5">
      <c r="A1839" s="221" t="s">
        <v>8</v>
      </c>
      <c r="B1839" s="216" t="s">
        <v>528</v>
      </c>
      <c r="C1839" s="222" t="s">
        <v>15</v>
      </c>
      <c r="D1839" s="89">
        <v>0</v>
      </c>
      <c r="E1839" s="89">
        <v>14</v>
      </c>
      <c r="F1839" s="577">
        <v>6.35</v>
      </c>
      <c r="G1839" s="8">
        <f t="shared" ref="G1839:H1842" si="378">D1839*$F1839</f>
        <v>0</v>
      </c>
      <c r="H1839" s="8">
        <f t="shared" si="378"/>
        <v>88.899999999999991</v>
      </c>
      <c r="I1839" s="501"/>
      <c r="J1839" s="575" t="s">
        <v>6</v>
      </c>
      <c r="K1839" s="575" t="s">
        <v>113</v>
      </c>
      <c r="L1839" s="575" t="s">
        <v>99</v>
      </c>
      <c r="N1839" s="494"/>
      <c r="P1839" s="576"/>
    </row>
    <row r="1840" spans="1:16" s="497" customFormat="1" ht="15.5">
      <c r="A1840" s="221" t="s">
        <v>8</v>
      </c>
      <c r="B1840" s="216" t="s">
        <v>529</v>
      </c>
      <c r="C1840" s="222" t="s">
        <v>15</v>
      </c>
      <c r="D1840" s="89"/>
      <c r="E1840" s="89">
        <v>0</v>
      </c>
      <c r="F1840" s="577">
        <v>147</v>
      </c>
      <c r="G1840" s="8">
        <f t="shared" si="378"/>
        <v>0</v>
      </c>
      <c r="H1840" s="8">
        <f t="shared" si="378"/>
        <v>0</v>
      </c>
      <c r="I1840" s="501"/>
      <c r="J1840" s="575" t="s">
        <v>6</v>
      </c>
      <c r="K1840" s="575" t="s">
        <v>113</v>
      </c>
      <c r="L1840" s="575" t="s">
        <v>99</v>
      </c>
      <c r="N1840" s="494"/>
      <c r="P1840" s="580" t="s">
        <v>1260</v>
      </c>
    </row>
    <row r="1841" spans="1:16" s="497" customFormat="1" ht="14">
      <c r="A1841" s="204" t="s">
        <v>8</v>
      </c>
      <c r="B1841" s="205" t="s">
        <v>530</v>
      </c>
      <c r="C1841" s="206" t="s">
        <v>15</v>
      </c>
      <c r="D1841" s="89"/>
      <c r="E1841" s="89">
        <v>0</v>
      </c>
      <c r="F1841" s="205">
        <v>15</v>
      </c>
      <c r="G1841" s="8">
        <f t="shared" si="378"/>
        <v>0</v>
      </c>
      <c r="H1841" s="8">
        <f t="shared" si="378"/>
        <v>0</v>
      </c>
      <c r="I1841" s="501"/>
      <c r="J1841" s="575" t="s">
        <v>6</v>
      </c>
      <c r="K1841" s="575" t="s">
        <v>113</v>
      </c>
      <c r="L1841" s="575" t="s">
        <v>99</v>
      </c>
      <c r="N1841" s="494"/>
      <c r="P1841" s="580" t="s">
        <v>1261</v>
      </c>
    </row>
    <row r="1842" spans="1:16" s="497" customFormat="1" ht="14">
      <c r="A1842" s="204" t="s">
        <v>8</v>
      </c>
      <c r="B1842" s="205" t="s">
        <v>531</v>
      </c>
      <c r="C1842" s="206" t="s">
        <v>15</v>
      </c>
      <c r="D1842" s="89"/>
      <c r="E1842" s="89">
        <v>0</v>
      </c>
      <c r="F1842" s="205">
        <v>15</v>
      </c>
      <c r="G1842" s="8">
        <f t="shared" si="378"/>
        <v>0</v>
      </c>
      <c r="H1842" s="8">
        <f t="shared" si="378"/>
        <v>0</v>
      </c>
      <c r="I1842" s="501"/>
      <c r="J1842" s="575" t="s">
        <v>6</v>
      </c>
      <c r="K1842" s="575" t="s">
        <v>113</v>
      </c>
      <c r="L1842" s="575" t="s">
        <v>99</v>
      </c>
      <c r="N1842" s="494"/>
      <c r="P1842" s="580" t="s">
        <v>1261</v>
      </c>
    </row>
    <row r="1843" spans="1:16" s="572" customFormat="1">
      <c r="A1843" s="563" t="s">
        <v>547</v>
      </c>
      <c r="B1843" s="564" t="s">
        <v>548</v>
      </c>
      <c r="C1843" s="565"/>
      <c r="D1843" s="566"/>
      <c r="E1843" s="566">
        <v>0</v>
      </c>
      <c r="F1843" s="567"/>
      <c r="G1843" s="566">
        <f>SUBTOTAL(9,G1844:G1863)</f>
        <v>0</v>
      </c>
      <c r="H1843" s="566">
        <f>SUBTOTAL(9,H1844:H1863)</f>
        <v>0</v>
      </c>
      <c r="I1843" s="568"/>
      <c r="J1843" s="569"/>
      <c r="K1843" s="569"/>
      <c r="L1843" s="569"/>
      <c r="N1843" s="571"/>
      <c r="P1843" s="570"/>
    </row>
    <row r="1844" spans="1:16" s="497" customFormat="1" ht="14">
      <c r="A1844" s="218" t="s">
        <v>444</v>
      </c>
      <c r="B1844" s="219" t="s">
        <v>506</v>
      </c>
      <c r="C1844" s="220"/>
      <c r="D1844" s="573"/>
      <c r="E1844" s="573">
        <v>0</v>
      </c>
      <c r="F1844" s="574"/>
      <c r="G1844" s="89"/>
      <c r="H1844" s="89"/>
      <c r="I1844" s="501"/>
      <c r="J1844" s="575"/>
      <c r="K1844" s="575"/>
      <c r="L1844" s="575"/>
      <c r="N1844" s="494"/>
      <c r="P1844" s="576"/>
    </row>
    <row r="1845" spans="1:16" s="497" customFormat="1" ht="15.5">
      <c r="A1845" s="221" t="s">
        <v>8</v>
      </c>
      <c r="B1845" s="216" t="s">
        <v>507</v>
      </c>
      <c r="C1845" s="222" t="s">
        <v>133</v>
      </c>
      <c r="D1845" s="573"/>
      <c r="E1845" s="573">
        <v>0</v>
      </c>
      <c r="F1845" s="577">
        <v>523</v>
      </c>
      <c r="G1845" s="2">
        <f>D1845*$F1845</f>
        <v>0</v>
      </c>
      <c r="H1845" s="2">
        <f>E1845*$F1845</f>
        <v>0</v>
      </c>
      <c r="I1845" s="501"/>
      <c r="J1845" s="575" t="s">
        <v>6</v>
      </c>
      <c r="K1845" s="575" t="s">
        <v>113</v>
      </c>
      <c r="L1845" s="575" t="s">
        <v>99</v>
      </c>
      <c r="N1845" s="494"/>
      <c r="P1845" s="576"/>
    </row>
    <row r="1846" spans="1:16" s="497" customFormat="1" ht="15.5">
      <c r="A1846" s="221" t="s">
        <v>8</v>
      </c>
      <c r="B1846" s="216" t="s">
        <v>508</v>
      </c>
      <c r="C1846" s="222" t="s">
        <v>31</v>
      </c>
      <c r="D1846" s="573"/>
      <c r="E1846" s="573">
        <v>0</v>
      </c>
      <c r="F1846" s="577">
        <v>938</v>
      </c>
      <c r="G1846" s="2">
        <f>D1846*$F1846</f>
        <v>0</v>
      </c>
      <c r="H1846" s="2">
        <f>E1846*$F1846</f>
        <v>0</v>
      </c>
      <c r="I1846" s="501"/>
      <c r="J1846" s="575" t="s">
        <v>6</v>
      </c>
      <c r="K1846" s="575" t="s">
        <v>113</v>
      </c>
      <c r="L1846" s="575" t="s">
        <v>99</v>
      </c>
      <c r="N1846" s="494"/>
      <c r="P1846" s="576"/>
    </row>
    <row r="1847" spans="1:16" s="497" customFormat="1" ht="14">
      <c r="A1847" s="218" t="s">
        <v>445</v>
      </c>
      <c r="B1847" s="219" t="s">
        <v>510</v>
      </c>
      <c r="C1847" s="220"/>
      <c r="D1847" s="573"/>
      <c r="E1847" s="573">
        <v>0</v>
      </c>
      <c r="F1847" s="574"/>
      <c r="G1847" s="89"/>
      <c r="H1847" s="89"/>
      <c r="I1847" s="501"/>
      <c r="J1847" s="575"/>
      <c r="K1847" s="575"/>
      <c r="L1847" s="575"/>
      <c r="N1847" s="494"/>
      <c r="P1847" s="576"/>
    </row>
    <row r="1848" spans="1:16" s="497" customFormat="1" ht="15.5">
      <c r="A1848" s="221" t="s">
        <v>8</v>
      </c>
      <c r="B1848" s="216" t="s">
        <v>511</v>
      </c>
      <c r="C1848" s="222" t="s">
        <v>15</v>
      </c>
      <c r="D1848" s="573"/>
      <c r="E1848" s="573">
        <v>0</v>
      </c>
      <c r="F1848" s="577">
        <v>6000</v>
      </c>
      <c r="G1848" s="2">
        <f>D1848*$F1848</f>
        <v>0</v>
      </c>
      <c r="H1848" s="2">
        <f>E1848*$F1848</f>
        <v>0</v>
      </c>
      <c r="I1848" s="501"/>
      <c r="J1848" s="575" t="s">
        <v>6</v>
      </c>
      <c r="K1848" s="575" t="s">
        <v>113</v>
      </c>
      <c r="L1848" s="575" t="s">
        <v>99</v>
      </c>
      <c r="N1848" s="494"/>
      <c r="P1848" s="576"/>
    </row>
    <row r="1849" spans="1:16" s="497" customFormat="1" ht="14">
      <c r="A1849" s="218" t="s">
        <v>446</v>
      </c>
      <c r="B1849" s="219" t="s">
        <v>516</v>
      </c>
      <c r="C1849" s="220"/>
      <c r="D1849" s="573"/>
      <c r="E1849" s="573">
        <v>0</v>
      </c>
      <c r="F1849" s="574"/>
      <c r="G1849" s="89"/>
      <c r="H1849" s="89"/>
      <c r="I1849" s="501"/>
      <c r="J1849" s="575"/>
      <c r="K1849" s="575"/>
      <c r="L1849" s="575"/>
      <c r="N1849" s="494"/>
      <c r="P1849" s="576"/>
    </row>
    <row r="1850" spans="1:16" s="497" customFormat="1" ht="14">
      <c r="A1850" s="218" t="s">
        <v>549</v>
      </c>
      <c r="B1850" s="219" t="s">
        <v>518</v>
      </c>
      <c r="C1850" s="220"/>
      <c r="D1850" s="573"/>
      <c r="E1850" s="573">
        <v>0</v>
      </c>
      <c r="F1850" s="574"/>
      <c r="G1850" s="89"/>
      <c r="H1850" s="89"/>
      <c r="I1850" s="501"/>
      <c r="J1850" s="575"/>
      <c r="K1850" s="575"/>
      <c r="L1850" s="575"/>
      <c r="N1850" s="494"/>
      <c r="P1850" s="576"/>
    </row>
    <row r="1851" spans="1:16" s="497" customFormat="1" ht="15.5">
      <c r="A1851" s="221" t="s">
        <v>8</v>
      </c>
      <c r="B1851" s="216" t="s">
        <v>519</v>
      </c>
      <c r="C1851" s="222" t="s">
        <v>31</v>
      </c>
      <c r="D1851" s="573"/>
      <c r="E1851" s="573">
        <v>0</v>
      </c>
      <c r="F1851" s="577">
        <v>2085.75</v>
      </c>
      <c r="G1851" s="2">
        <f t="shared" ref="G1851:H1853" si="379">D1851*$F1851</f>
        <v>0</v>
      </c>
      <c r="H1851" s="2">
        <f t="shared" si="379"/>
        <v>0</v>
      </c>
      <c r="I1851" s="501"/>
      <c r="J1851" s="575" t="s">
        <v>6</v>
      </c>
      <c r="K1851" s="575" t="s">
        <v>113</v>
      </c>
      <c r="L1851" s="575" t="s">
        <v>99</v>
      </c>
      <c r="N1851" s="494"/>
      <c r="P1851" s="576"/>
    </row>
    <row r="1852" spans="1:16" s="497" customFormat="1" ht="15.5">
      <c r="A1852" s="221" t="s">
        <v>8</v>
      </c>
      <c r="B1852" s="216" t="s">
        <v>520</v>
      </c>
      <c r="C1852" s="222" t="s">
        <v>15</v>
      </c>
      <c r="D1852" s="573"/>
      <c r="E1852" s="573">
        <v>0</v>
      </c>
      <c r="F1852" s="577">
        <v>180</v>
      </c>
      <c r="G1852" s="2">
        <f t="shared" si="379"/>
        <v>0</v>
      </c>
      <c r="H1852" s="2">
        <f t="shared" si="379"/>
        <v>0</v>
      </c>
      <c r="I1852" s="501"/>
      <c r="J1852" s="575" t="s">
        <v>6</v>
      </c>
      <c r="K1852" s="575" t="s">
        <v>113</v>
      </c>
      <c r="L1852" s="575" t="s">
        <v>99</v>
      </c>
      <c r="N1852" s="494"/>
      <c r="P1852" s="576"/>
    </row>
    <row r="1853" spans="1:16" s="497" customFormat="1" ht="15.5">
      <c r="A1853" s="221" t="s">
        <v>8</v>
      </c>
      <c r="B1853" s="216" t="s">
        <v>521</v>
      </c>
      <c r="C1853" s="222" t="s">
        <v>15</v>
      </c>
      <c r="D1853" s="573"/>
      <c r="E1853" s="573">
        <v>0</v>
      </c>
      <c r="F1853" s="578">
        <v>314</v>
      </c>
      <c r="G1853" s="2">
        <f t="shared" si="379"/>
        <v>0</v>
      </c>
      <c r="H1853" s="2">
        <f t="shared" si="379"/>
        <v>0</v>
      </c>
      <c r="I1853" s="501"/>
      <c r="J1853" s="575" t="s">
        <v>6</v>
      </c>
      <c r="K1853" s="575" t="s">
        <v>113</v>
      </c>
      <c r="L1853" s="575" t="s">
        <v>99</v>
      </c>
      <c r="N1853" s="494"/>
      <c r="P1853" s="576"/>
    </row>
    <row r="1854" spans="1:16" s="497" customFormat="1" ht="14">
      <c r="A1854" s="218" t="s">
        <v>550</v>
      </c>
      <c r="B1854" s="219" t="s">
        <v>523</v>
      </c>
      <c r="C1854" s="220"/>
      <c r="D1854" s="573"/>
      <c r="E1854" s="573">
        <v>0</v>
      </c>
      <c r="F1854" s="574"/>
      <c r="G1854" s="89"/>
      <c r="H1854" s="89"/>
      <c r="I1854" s="501"/>
      <c r="J1854" s="575"/>
      <c r="K1854" s="575"/>
      <c r="L1854" s="575"/>
      <c r="N1854" s="494"/>
      <c r="P1854" s="576"/>
    </row>
    <row r="1855" spans="1:16" s="497" customFormat="1" ht="15.5">
      <c r="A1855" s="221" t="s">
        <v>8</v>
      </c>
      <c r="B1855" s="216" t="s">
        <v>524</v>
      </c>
      <c r="C1855" s="222" t="s">
        <v>10</v>
      </c>
      <c r="D1855" s="573"/>
      <c r="E1855" s="573">
        <v>0</v>
      </c>
      <c r="F1855" s="579">
        <v>4000</v>
      </c>
      <c r="G1855" s="2">
        <f t="shared" ref="G1855:H1858" si="380">D1855*$F1855</f>
        <v>0</v>
      </c>
      <c r="H1855" s="2">
        <f t="shared" si="380"/>
        <v>0</v>
      </c>
      <c r="I1855" s="501"/>
      <c r="J1855" s="575" t="s">
        <v>6</v>
      </c>
      <c r="K1855" s="575" t="s">
        <v>113</v>
      </c>
      <c r="L1855" s="575" t="s">
        <v>99</v>
      </c>
      <c r="N1855" s="494"/>
      <c r="P1855" s="576"/>
    </row>
    <row r="1856" spans="1:16" s="497" customFormat="1" ht="15.5">
      <c r="A1856" s="221" t="s">
        <v>8</v>
      </c>
      <c r="B1856" s="216" t="s">
        <v>525</v>
      </c>
      <c r="C1856" s="222" t="s">
        <v>10</v>
      </c>
      <c r="D1856" s="573"/>
      <c r="E1856" s="573">
        <v>0</v>
      </c>
      <c r="F1856" s="579">
        <v>6000</v>
      </c>
      <c r="G1856" s="2">
        <f t="shared" si="380"/>
        <v>0</v>
      </c>
      <c r="H1856" s="2">
        <f t="shared" si="380"/>
        <v>0</v>
      </c>
      <c r="I1856" s="501"/>
      <c r="J1856" s="575" t="s">
        <v>6</v>
      </c>
      <c r="K1856" s="575" t="s">
        <v>113</v>
      </c>
      <c r="L1856" s="575" t="s">
        <v>99</v>
      </c>
      <c r="N1856" s="494"/>
      <c r="P1856" s="576"/>
    </row>
    <row r="1857" spans="1:16" s="497" customFormat="1" ht="15.5">
      <c r="A1857" s="221" t="s">
        <v>8</v>
      </c>
      <c r="B1857" s="216" t="s">
        <v>538</v>
      </c>
      <c r="C1857" s="222" t="s">
        <v>10</v>
      </c>
      <c r="D1857" s="573"/>
      <c r="E1857" s="573">
        <v>0</v>
      </c>
      <c r="F1857" s="579">
        <v>8000</v>
      </c>
      <c r="G1857" s="2">
        <f t="shared" si="380"/>
        <v>0</v>
      </c>
      <c r="H1857" s="2">
        <f t="shared" si="380"/>
        <v>0</v>
      </c>
      <c r="I1857" s="501"/>
      <c r="J1857" s="575" t="s">
        <v>6</v>
      </c>
      <c r="K1857" s="575" t="s">
        <v>113</v>
      </c>
      <c r="L1857" s="575" t="s">
        <v>99</v>
      </c>
      <c r="N1857" s="494"/>
      <c r="P1857" s="576"/>
    </row>
    <row r="1858" spans="1:16" s="497" customFormat="1" ht="15.5">
      <c r="A1858" s="221" t="s">
        <v>8</v>
      </c>
      <c r="B1858" s="216" t="s">
        <v>539</v>
      </c>
      <c r="C1858" s="222" t="s">
        <v>10</v>
      </c>
      <c r="D1858" s="573"/>
      <c r="E1858" s="573">
        <v>0</v>
      </c>
      <c r="F1858" s="579">
        <v>12000</v>
      </c>
      <c r="G1858" s="2">
        <f t="shared" si="380"/>
        <v>0</v>
      </c>
      <c r="H1858" s="2">
        <f t="shared" si="380"/>
        <v>0</v>
      </c>
      <c r="I1858" s="501"/>
      <c r="J1858" s="575" t="s">
        <v>6</v>
      </c>
      <c r="K1858" s="575" t="s">
        <v>113</v>
      </c>
      <c r="L1858" s="575" t="s">
        <v>99</v>
      </c>
      <c r="N1858" s="494"/>
      <c r="P1858" s="576"/>
    </row>
    <row r="1859" spans="1:16" s="497" customFormat="1" ht="14">
      <c r="A1859" s="218" t="s">
        <v>551</v>
      </c>
      <c r="B1859" s="219" t="s">
        <v>527</v>
      </c>
      <c r="C1859" s="220"/>
      <c r="D1859" s="573"/>
      <c r="E1859" s="573">
        <v>0</v>
      </c>
      <c r="F1859" s="574"/>
      <c r="G1859" s="89"/>
      <c r="H1859" s="89"/>
      <c r="I1859" s="501"/>
      <c r="J1859" s="575"/>
      <c r="K1859" s="575"/>
      <c r="L1859" s="575"/>
      <c r="N1859" s="494"/>
      <c r="P1859" s="576"/>
    </row>
    <row r="1860" spans="1:16" s="497" customFormat="1" ht="15.5">
      <c r="A1860" s="221" t="s">
        <v>8</v>
      </c>
      <c r="B1860" s="216" t="s">
        <v>528</v>
      </c>
      <c r="C1860" s="222" t="s">
        <v>15</v>
      </c>
      <c r="D1860" s="573"/>
      <c r="E1860" s="573">
        <v>0</v>
      </c>
      <c r="F1860" s="577">
        <v>6.35</v>
      </c>
      <c r="G1860" s="2">
        <f t="shared" ref="G1860:H1863" si="381">D1860*$F1860</f>
        <v>0</v>
      </c>
      <c r="H1860" s="2">
        <f t="shared" si="381"/>
        <v>0</v>
      </c>
      <c r="I1860" s="501"/>
      <c r="J1860" s="575" t="s">
        <v>6</v>
      </c>
      <c r="K1860" s="575" t="s">
        <v>113</v>
      </c>
      <c r="L1860" s="575" t="s">
        <v>99</v>
      </c>
      <c r="N1860" s="494"/>
      <c r="P1860" s="576"/>
    </row>
    <row r="1861" spans="1:16" s="497" customFormat="1" ht="15.5">
      <c r="A1861" s="221" t="s">
        <v>8</v>
      </c>
      <c r="B1861" s="216" t="s">
        <v>529</v>
      </c>
      <c r="C1861" s="222" t="s">
        <v>15</v>
      </c>
      <c r="D1861" s="573"/>
      <c r="E1861" s="573">
        <v>0</v>
      </c>
      <c r="F1861" s="577">
        <v>147</v>
      </c>
      <c r="G1861" s="2">
        <f t="shared" si="381"/>
        <v>0</v>
      </c>
      <c r="H1861" s="2">
        <f t="shared" si="381"/>
        <v>0</v>
      </c>
      <c r="I1861" s="501"/>
      <c r="J1861" s="575" t="s">
        <v>6</v>
      </c>
      <c r="K1861" s="575" t="s">
        <v>113</v>
      </c>
      <c r="L1861" s="575" t="s">
        <v>99</v>
      </c>
      <c r="N1861" s="494"/>
      <c r="P1861" s="576"/>
    </row>
    <row r="1862" spans="1:16" s="497" customFormat="1" ht="14">
      <c r="A1862" s="204" t="s">
        <v>8</v>
      </c>
      <c r="B1862" s="205" t="s">
        <v>530</v>
      </c>
      <c r="C1862" s="206" t="s">
        <v>15</v>
      </c>
      <c r="D1862" s="573"/>
      <c r="E1862" s="573">
        <v>0</v>
      </c>
      <c r="F1862" s="205">
        <v>15</v>
      </c>
      <c r="G1862" s="2">
        <f t="shared" si="381"/>
        <v>0</v>
      </c>
      <c r="H1862" s="2">
        <f t="shared" si="381"/>
        <v>0</v>
      </c>
      <c r="I1862" s="501"/>
      <c r="J1862" s="575" t="s">
        <v>6</v>
      </c>
      <c r="K1862" s="575" t="s">
        <v>113</v>
      </c>
      <c r="L1862" s="575" t="s">
        <v>99</v>
      </c>
      <c r="N1862" s="494"/>
      <c r="P1862" s="576"/>
    </row>
    <row r="1863" spans="1:16" s="497" customFormat="1" ht="14">
      <c r="A1863" s="204" t="s">
        <v>8</v>
      </c>
      <c r="B1863" s="205" t="s">
        <v>531</v>
      </c>
      <c r="C1863" s="206" t="s">
        <v>15</v>
      </c>
      <c r="D1863" s="573"/>
      <c r="E1863" s="573">
        <v>0</v>
      </c>
      <c r="F1863" s="205">
        <v>15</v>
      </c>
      <c r="G1863" s="2">
        <f t="shared" si="381"/>
        <v>0</v>
      </c>
      <c r="H1863" s="2">
        <f t="shared" si="381"/>
        <v>0</v>
      </c>
      <c r="I1863" s="501"/>
      <c r="J1863" s="575" t="s">
        <v>6</v>
      </c>
      <c r="K1863" s="575" t="s">
        <v>113</v>
      </c>
      <c r="L1863" s="575" t="s">
        <v>99</v>
      </c>
      <c r="N1863" s="494"/>
      <c r="P1863" s="576"/>
    </row>
    <row r="1864" spans="1:16" s="572" customFormat="1" ht="14">
      <c r="A1864" s="223" t="s">
        <v>502</v>
      </c>
      <c r="B1864" s="224" t="s">
        <v>552</v>
      </c>
      <c r="C1864" s="226"/>
      <c r="D1864" s="566"/>
      <c r="E1864" s="566">
        <v>0</v>
      </c>
      <c r="F1864" s="567"/>
      <c r="G1864" s="581"/>
      <c r="H1864" s="581"/>
      <c r="I1864" s="568"/>
      <c r="J1864" s="569"/>
      <c r="K1864" s="569"/>
      <c r="L1864" s="569"/>
      <c r="N1864" s="571"/>
      <c r="P1864" s="570"/>
    </row>
    <row r="1865" spans="1:16" s="497" customFormat="1" ht="14">
      <c r="A1865" s="218" t="s">
        <v>119</v>
      </c>
      <c r="B1865" s="219" t="s">
        <v>553</v>
      </c>
      <c r="C1865" s="220"/>
      <c r="D1865" s="573"/>
      <c r="E1865" s="573">
        <v>0</v>
      </c>
      <c r="F1865" s="574"/>
      <c r="G1865" s="89"/>
      <c r="H1865" s="89"/>
      <c r="I1865" s="501"/>
      <c r="J1865" s="575"/>
      <c r="K1865" s="575"/>
      <c r="L1865" s="575"/>
      <c r="N1865" s="494"/>
      <c r="P1865" s="576"/>
    </row>
    <row r="1866" spans="1:16" s="497" customFormat="1" ht="15.5">
      <c r="A1866" s="221" t="s">
        <v>8</v>
      </c>
      <c r="B1866" s="216" t="s">
        <v>554</v>
      </c>
      <c r="C1866" s="222" t="s">
        <v>24</v>
      </c>
      <c r="D1866" s="573"/>
      <c r="E1866" s="573">
        <v>0</v>
      </c>
      <c r="F1866" s="577">
        <v>738</v>
      </c>
      <c r="G1866" s="2">
        <f t="shared" ref="G1866:H1868" si="382">D1866*$F1866</f>
        <v>0</v>
      </c>
      <c r="H1866" s="2">
        <f t="shared" si="382"/>
        <v>0</v>
      </c>
      <c r="I1866" s="501"/>
      <c r="J1866" s="575" t="s">
        <v>6</v>
      </c>
      <c r="K1866" s="575" t="s">
        <v>113</v>
      </c>
      <c r="L1866" s="575" t="s">
        <v>99</v>
      </c>
      <c r="N1866" s="494"/>
      <c r="P1866" s="576"/>
    </row>
    <row r="1867" spans="1:16" s="497" customFormat="1" ht="15.5">
      <c r="A1867" s="221" t="s">
        <v>8</v>
      </c>
      <c r="B1867" s="216" t="s">
        <v>520</v>
      </c>
      <c r="C1867" s="222" t="s">
        <v>15</v>
      </c>
      <c r="D1867" s="573"/>
      <c r="E1867" s="573">
        <v>0</v>
      </c>
      <c r="F1867" s="577">
        <v>180</v>
      </c>
      <c r="G1867" s="2">
        <f t="shared" si="382"/>
        <v>0</v>
      </c>
      <c r="H1867" s="2">
        <f t="shared" si="382"/>
        <v>0</v>
      </c>
      <c r="I1867" s="501"/>
      <c r="J1867" s="575" t="s">
        <v>6</v>
      </c>
      <c r="K1867" s="575" t="s">
        <v>113</v>
      </c>
      <c r="L1867" s="575" t="s">
        <v>99</v>
      </c>
      <c r="N1867" s="494"/>
      <c r="P1867" s="576"/>
    </row>
    <row r="1868" spans="1:16" s="497" customFormat="1" ht="15.5">
      <c r="A1868" s="221" t="s">
        <v>8</v>
      </c>
      <c r="B1868" s="216" t="s">
        <v>555</v>
      </c>
      <c r="C1868" s="222" t="s">
        <v>15</v>
      </c>
      <c r="D1868" s="573"/>
      <c r="E1868" s="573">
        <v>0</v>
      </c>
      <c r="F1868" s="578">
        <v>314</v>
      </c>
      <c r="G1868" s="2">
        <f t="shared" si="382"/>
        <v>0</v>
      </c>
      <c r="H1868" s="2">
        <f t="shared" si="382"/>
        <v>0</v>
      </c>
      <c r="I1868" s="501"/>
      <c r="J1868" s="575" t="s">
        <v>6</v>
      </c>
      <c r="K1868" s="575" t="s">
        <v>113</v>
      </c>
      <c r="L1868" s="575" t="s">
        <v>99</v>
      </c>
      <c r="N1868" s="494"/>
      <c r="P1868" s="576"/>
    </row>
    <row r="1869" spans="1:16" s="497" customFormat="1" ht="14">
      <c r="A1869" s="218" t="s">
        <v>120</v>
      </c>
      <c r="B1869" s="219" t="s">
        <v>510</v>
      </c>
      <c r="C1869" s="220"/>
      <c r="D1869" s="573"/>
      <c r="E1869" s="573">
        <v>0</v>
      </c>
      <c r="F1869" s="574"/>
      <c r="G1869" s="89"/>
      <c r="H1869" s="89"/>
      <c r="I1869" s="501"/>
      <c r="J1869" s="575"/>
      <c r="K1869" s="575"/>
      <c r="L1869" s="575"/>
      <c r="N1869" s="494"/>
      <c r="P1869" s="576"/>
    </row>
    <row r="1870" spans="1:16" s="497" customFormat="1" ht="15.5">
      <c r="A1870" s="221" t="s">
        <v>8</v>
      </c>
      <c r="B1870" s="216" t="s">
        <v>511</v>
      </c>
      <c r="C1870" s="222" t="s">
        <v>15</v>
      </c>
      <c r="D1870" s="573"/>
      <c r="E1870" s="573">
        <v>0</v>
      </c>
      <c r="F1870" s="577">
        <v>6000</v>
      </c>
      <c r="G1870" s="2">
        <f>D1870*$F1870</f>
        <v>0</v>
      </c>
      <c r="H1870" s="2">
        <f>E1870*$F1870</f>
        <v>0</v>
      </c>
      <c r="I1870" s="501"/>
      <c r="J1870" s="575" t="s">
        <v>6</v>
      </c>
      <c r="K1870" s="575" t="s">
        <v>113</v>
      </c>
      <c r="L1870" s="575" t="s">
        <v>99</v>
      </c>
      <c r="N1870" s="494"/>
      <c r="P1870" s="576"/>
    </row>
    <row r="1871" spans="1:16" s="497" customFormat="1" ht="15.5">
      <c r="A1871" s="221" t="s">
        <v>8</v>
      </c>
      <c r="B1871" s="216" t="s">
        <v>556</v>
      </c>
      <c r="C1871" s="222" t="s">
        <v>15</v>
      </c>
      <c r="D1871" s="573"/>
      <c r="E1871" s="573">
        <v>0</v>
      </c>
      <c r="F1871" s="577">
        <v>9000</v>
      </c>
      <c r="G1871" s="2">
        <f>D1871*$F1871</f>
        <v>0</v>
      </c>
      <c r="H1871" s="2">
        <f>E1871*$F1871</f>
        <v>0</v>
      </c>
      <c r="I1871" s="501"/>
      <c r="J1871" s="575" t="s">
        <v>6</v>
      </c>
      <c r="K1871" s="575" t="s">
        <v>113</v>
      </c>
      <c r="L1871" s="575" t="s">
        <v>99</v>
      </c>
      <c r="N1871" s="494"/>
      <c r="P1871" s="576"/>
    </row>
    <row r="1872" spans="1:16" s="497" customFormat="1" ht="14">
      <c r="A1872" s="218" t="s">
        <v>557</v>
      </c>
      <c r="B1872" s="219" t="s">
        <v>506</v>
      </c>
      <c r="C1872" s="220"/>
      <c r="D1872" s="573"/>
      <c r="E1872" s="573">
        <v>0</v>
      </c>
      <c r="F1872" s="574"/>
      <c r="G1872" s="89"/>
      <c r="H1872" s="89"/>
      <c r="I1872" s="501"/>
      <c r="J1872" s="575"/>
      <c r="K1872" s="575"/>
      <c r="L1872" s="575"/>
      <c r="N1872" s="494"/>
      <c r="P1872" s="576"/>
    </row>
    <row r="1873" spans="1:16" s="497" customFormat="1" ht="15.5">
      <c r="A1873" s="221" t="s">
        <v>8</v>
      </c>
      <c r="B1873" s="216" t="s">
        <v>507</v>
      </c>
      <c r="C1873" s="222" t="s">
        <v>133</v>
      </c>
      <c r="D1873" s="573"/>
      <c r="E1873" s="573">
        <v>0</v>
      </c>
      <c r="F1873" s="577">
        <v>523</v>
      </c>
      <c r="G1873" s="2">
        <f>D1873*$F1873</f>
        <v>0</v>
      </c>
      <c r="H1873" s="2">
        <f>E1873*$F1873</f>
        <v>0</v>
      </c>
      <c r="I1873" s="501"/>
      <c r="J1873" s="575" t="s">
        <v>6</v>
      </c>
      <c r="K1873" s="575" t="s">
        <v>113</v>
      </c>
      <c r="L1873" s="575" t="s">
        <v>99</v>
      </c>
      <c r="N1873" s="494"/>
      <c r="P1873" s="576"/>
    </row>
    <row r="1874" spans="1:16" s="497" customFormat="1" ht="15.5">
      <c r="A1874" s="221" t="s">
        <v>8</v>
      </c>
      <c r="B1874" s="216" t="s">
        <v>558</v>
      </c>
      <c r="C1874" s="222" t="s">
        <v>559</v>
      </c>
      <c r="D1874" s="573"/>
      <c r="E1874" s="573">
        <v>0</v>
      </c>
      <c r="F1874" s="577">
        <v>372</v>
      </c>
      <c r="G1874" s="2">
        <f>D1874*$F1874</f>
        <v>0</v>
      </c>
      <c r="H1874" s="2">
        <f>E1874*$F1874</f>
        <v>0</v>
      </c>
      <c r="I1874" s="501"/>
      <c r="J1874" s="575" t="s">
        <v>6</v>
      </c>
      <c r="K1874" s="575" t="s">
        <v>113</v>
      </c>
      <c r="L1874" s="575" t="s">
        <v>99</v>
      </c>
      <c r="N1874" s="494"/>
      <c r="P1874" s="576"/>
    </row>
    <row r="1875" spans="1:16" s="497" customFormat="1" ht="14">
      <c r="A1875" s="218" t="s">
        <v>560</v>
      </c>
      <c r="B1875" s="219" t="s">
        <v>513</v>
      </c>
      <c r="C1875" s="220"/>
      <c r="D1875" s="573"/>
      <c r="E1875" s="573">
        <v>0</v>
      </c>
      <c r="F1875" s="574"/>
      <c r="G1875" s="89"/>
      <c r="H1875" s="89"/>
      <c r="I1875" s="501"/>
      <c r="J1875" s="575"/>
      <c r="K1875" s="575"/>
      <c r="L1875" s="575"/>
      <c r="N1875" s="494"/>
      <c r="P1875" s="576"/>
    </row>
    <row r="1876" spans="1:16" s="497" customFormat="1" ht="15.5">
      <c r="A1876" s="221" t="s">
        <v>8</v>
      </c>
      <c r="B1876" s="216" t="s">
        <v>561</v>
      </c>
      <c r="C1876" s="222" t="s">
        <v>24</v>
      </c>
      <c r="D1876" s="573"/>
      <c r="E1876" s="573">
        <v>0</v>
      </c>
      <c r="F1876" s="577">
        <v>1032</v>
      </c>
      <c r="G1876" s="2">
        <f>D1876*$F1876</f>
        <v>0</v>
      </c>
      <c r="H1876" s="2">
        <f>E1876*$F1876</f>
        <v>0</v>
      </c>
      <c r="I1876" s="501"/>
      <c r="J1876" s="575" t="s">
        <v>6</v>
      </c>
      <c r="K1876" s="575" t="s">
        <v>113</v>
      </c>
      <c r="L1876" s="575" t="s">
        <v>99</v>
      </c>
      <c r="N1876" s="494"/>
      <c r="P1876" s="576"/>
    </row>
    <row r="1877" spans="1:16" s="497" customFormat="1" ht="14">
      <c r="A1877" s="218" t="s">
        <v>562</v>
      </c>
      <c r="B1877" s="219" t="s">
        <v>563</v>
      </c>
      <c r="C1877" s="220"/>
      <c r="D1877" s="573"/>
      <c r="E1877" s="573">
        <v>0</v>
      </c>
      <c r="F1877" s="574"/>
      <c r="G1877" s="89"/>
      <c r="H1877" s="89"/>
      <c r="I1877" s="501"/>
      <c r="J1877" s="575"/>
      <c r="K1877" s="575"/>
      <c r="L1877" s="575"/>
      <c r="N1877" s="494"/>
      <c r="P1877" s="576"/>
    </row>
    <row r="1878" spans="1:16" s="497" customFormat="1" ht="15.5">
      <c r="A1878" s="221" t="s">
        <v>8</v>
      </c>
      <c r="B1878" s="216" t="s">
        <v>564</v>
      </c>
      <c r="C1878" s="222" t="s">
        <v>31</v>
      </c>
      <c r="D1878" s="573"/>
      <c r="E1878" s="573">
        <v>0</v>
      </c>
      <c r="F1878" s="577">
        <v>381</v>
      </c>
      <c r="G1878" s="2">
        <f>D1878*$F1878</f>
        <v>0</v>
      </c>
      <c r="H1878" s="2">
        <f>E1878*$F1878</f>
        <v>0</v>
      </c>
      <c r="I1878" s="501"/>
      <c r="J1878" s="575" t="s">
        <v>6</v>
      </c>
      <c r="K1878" s="575" t="s">
        <v>113</v>
      </c>
      <c r="L1878" s="575" t="s">
        <v>99</v>
      </c>
      <c r="N1878" s="494"/>
      <c r="P1878" s="576"/>
    </row>
    <row r="1879" spans="1:16" s="497" customFormat="1" ht="14">
      <c r="A1879" s="218" t="s">
        <v>565</v>
      </c>
      <c r="B1879" s="219" t="s">
        <v>527</v>
      </c>
      <c r="C1879" s="220"/>
      <c r="D1879" s="573"/>
      <c r="E1879" s="573">
        <v>0</v>
      </c>
      <c r="F1879" s="574"/>
      <c r="G1879" s="89"/>
      <c r="H1879" s="89"/>
      <c r="I1879" s="501"/>
      <c r="J1879" s="575"/>
      <c r="K1879" s="575"/>
      <c r="L1879" s="575"/>
      <c r="N1879" s="494"/>
      <c r="P1879" s="576"/>
    </row>
    <row r="1880" spans="1:16" s="497" customFormat="1" ht="15.5">
      <c r="A1880" s="221" t="s">
        <v>8</v>
      </c>
      <c r="B1880" s="216" t="s">
        <v>528</v>
      </c>
      <c r="C1880" s="222" t="s">
        <v>15</v>
      </c>
      <c r="D1880" s="573"/>
      <c r="E1880" s="573">
        <v>0</v>
      </c>
      <c r="F1880" s="577">
        <v>6.35</v>
      </c>
      <c r="G1880" s="2">
        <f t="shared" ref="G1880:H1885" si="383">D1880*$F1880</f>
        <v>0</v>
      </c>
      <c r="H1880" s="2">
        <f t="shared" si="383"/>
        <v>0</v>
      </c>
      <c r="I1880" s="501"/>
      <c r="J1880" s="575" t="s">
        <v>6</v>
      </c>
      <c r="K1880" s="575" t="s">
        <v>113</v>
      </c>
      <c r="L1880" s="575" t="s">
        <v>99</v>
      </c>
      <c r="N1880" s="494"/>
      <c r="P1880" s="576"/>
    </row>
    <row r="1881" spans="1:16" s="497" customFormat="1" ht="15.5">
      <c r="A1881" s="221" t="s">
        <v>8</v>
      </c>
      <c r="B1881" s="216" t="s">
        <v>529</v>
      </c>
      <c r="C1881" s="222" t="s">
        <v>15</v>
      </c>
      <c r="D1881" s="573"/>
      <c r="E1881" s="573">
        <v>0</v>
      </c>
      <c r="F1881" s="577">
        <v>147</v>
      </c>
      <c r="G1881" s="2">
        <f t="shared" si="383"/>
        <v>0</v>
      </c>
      <c r="H1881" s="2">
        <f t="shared" si="383"/>
        <v>0</v>
      </c>
      <c r="I1881" s="501"/>
      <c r="J1881" s="575" t="s">
        <v>6</v>
      </c>
      <c r="K1881" s="575" t="s">
        <v>113</v>
      </c>
      <c r="L1881" s="575" t="s">
        <v>99</v>
      </c>
      <c r="N1881" s="494"/>
      <c r="P1881" s="576"/>
    </row>
    <row r="1882" spans="1:16" s="497" customFormat="1" ht="15.5">
      <c r="A1882" s="221" t="s">
        <v>8</v>
      </c>
      <c r="B1882" s="216" t="s">
        <v>566</v>
      </c>
      <c r="C1882" s="222" t="s">
        <v>15</v>
      </c>
      <c r="D1882" s="573"/>
      <c r="E1882" s="573">
        <v>0</v>
      </c>
      <c r="F1882" s="577">
        <v>14.4</v>
      </c>
      <c r="G1882" s="2">
        <f t="shared" si="383"/>
        <v>0</v>
      </c>
      <c r="H1882" s="2">
        <f t="shared" si="383"/>
        <v>0</v>
      </c>
      <c r="I1882" s="501"/>
      <c r="J1882" s="575" t="s">
        <v>6</v>
      </c>
      <c r="K1882" s="575" t="s">
        <v>113</v>
      </c>
      <c r="L1882" s="575" t="s">
        <v>99</v>
      </c>
      <c r="N1882" s="494"/>
      <c r="P1882" s="576"/>
    </row>
    <row r="1883" spans="1:16" s="497" customFormat="1" ht="15.5">
      <c r="A1883" s="221" t="s">
        <v>8</v>
      </c>
      <c r="B1883" s="216" t="s">
        <v>567</v>
      </c>
      <c r="C1883" s="222" t="s">
        <v>15</v>
      </c>
      <c r="D1883" s="573"/>
      <c r="E1883" s="573">
        <v>0</v>
      </c>
      <c r="F1883" s="577">
        <v>4.25</v>
      </c>
      <c r="G1883" s="2">
        <f t="shared" si="383"/>
        <v>0</v>
      </c>
      <c r="H1883" s="2">
        <f t="shared" si="383"/>
        <v>0</v>
      </c>
      <c r="I1883" s="501"/>
      <c r="J1883" s="575" t="s">
        <v>6</v>
      </c>
      <c r="K1883" s="575" t="s">
        <v>113</v>
      </c>
      <c r="L1883" s="575" t="s">
        <v>99</v>
      </c>
      <c r="N1883" s="494"/>
      <c r="P1883" s="576"/>
    </row>
    <row r="1884" spans="1:16" s="497" customFormat="1" ht="14">
      <c r="A1884" s="204" t="s">
        <v>8</v>
      </c>
      <c r="B1884" s="205" t="s">
        <v>530</v>
      </c>
      <c r="C1884" s="206" t="s">
        <v>15</v>
      </c>
      <c r="D1884" s="573"/>
      <c r="E1884" s="573">
        <v>0</v>
      </c>
      <c r="F1884" s="205">
        <v>15</v>
      </c>
      <c r="G1884" s="2">
        <f t="shared" si="383"/>
        <v>0</v>
      </c>
      <c r="H1884" s="2">
        <f t="shared" si="383"/>
        <v>0</v>
      </c>
      <c r="I1884" s="501"/>
      <c r="J1884" s="575" t="s">
        <v>6</v>
      </c>
      <c r="K1884" s="575" t="s">
        <v>113</v>
      </c>
      <c r="L1884" s="575" t="s">
        <v>99</v>
      </c>
      <c r="N1884" s="494"/>
      <c r="P1884" s="576"/>
    </row>
    <row r="1885" spans="1:16" s="497" customFormat="1" ht="14">
      <c r="A1885" s="204" t="s">
        <v>8</v>
      </c>
      <c r="B1885" s="205" t="s">
        <v>531</v>
      </c>
      <c r="C1885" s="206" t="s">
        <v>15</v>
      </c>
      <c r="D1885" s="573"/>
      <c r="E1885" s="573">
        <v>0</v>
      </c>
      <c r="F1885" s="205">
        <v>15</v>
      </c>
      <c r="G1885" s="2">
        <f t="shared" si="383"/>
        <v>0</v>
      </c>
      <c r="H1885" s="2">
        <f t="shared" si="383"/>
        <v>0</v>
      </c>
      <c r="I1885" s="501"/>
      <c r="J1885" s="575" t="s">
        <v>6</v>
      </c>
      <c r="K1885" s="575" t="s">
        <v>113</v>
      </c>
      <c r="L1885" s="575" t="s">
        <v>99</v>
      </c>
      <c r="N1885" s="494"/>
      <c r="P1885" s="576"/>
    </row>
    <row r="1886" spans="1:16" s="497" customFormat="1" ht="14">
      <c r="A1886" s="218" t="s">
        <v>568</v>
      </c>
      <c r="B1886" s="219" t="s">
        <v>569</v>
      </c>
      <c r="C1886" s="220"/>
      <c r="D1886" s="573"/>
      <c r="E1886" s="573">
        <v>0</v>
      </c>
      <c r="F1886" s="574"/>
      <c r="G1886" s="89"/>
      <c r="H1886" s="89"/>
      <c r="I1886" s="501"/>
      <c r="J1886" s="575"/>
      <c r="K1886" s="575"/>
      <c r="L1886" s="575"/>
      <c r="N1886" s="494"/>
      <c r="P1886" s="576"/>
    </row>
    <row r="1887" spans="1:16" s="497" customFormat="1" ht="14">
      <c r="A1887" s="221" t="s">
        <v>8</v>
      </c>
      <c r="B1887" s="216" t="s">
        <v>570</v>
      </c>
      <c r="C1887" s="222" t="s">
        <v>15</v>
      </c>
      <c r="D1887" s="573"/>
      <c r="E1887" s="573">
        <v>0</v>
      </c>
      <c r="F1887" s="205">
        <v>1250</v>
      </c>
      <c r="G1887" s="2">
        <f>D1887*$F1887</f>
        <v>0</v>
      </c>
      <c r="H1887" s="2">
        <f>E1887*$F1887</f>
        <v>0</v>
      </c>
      <c r="I1887" s="501"/>
      <c r="J1887" s="575" t="s">
        <v>6</v>
      </c>
      <c r="K1887" s="575" t="s">
        <v>113</v>
      </c>
      <c r="L1887" s="575" t="s">
        <v>99</v>
      </c>
      <c r="N1887" s="494"/>
      <c r="P1887" s="576"/>
    </row>
    <row r="1888" spans="1:16" s="497" customFormat="1" ht="14">
      <c r="A1888" s="223" t="s">
        <v>571</v>
      </c>
      <c r="B1888" s="564" t="s">
        <v>1379</v>
      </c>
      <c r="C1888" s="226"/>
      <c r="D1888" s="566"/>
      <c r="E1888" s="566">
        <v>0</v>
      </c>
      <c r="F1888" s="567"/>
      <c r="G1888" s="566">
        <f>SUBTOTAL(9,G1889:G1913)</f>
        <v>1521412</v>
      </c>
      <c r="H1888" s="566">
        <f>SUBTOTAL(9,H1889:H1913)</f>
        <v>394672</v>
      </c>
      <c r="I1888" s="568"/>
      <c r="J1888" s="569"/>
      <c r="K1888" s="569"/>
      <c r="L1888" s="569"/>
      <c r="N1888" s="494"/>
      <c r="P1888" s="570"/>
    </row>
    <row r="1889" spans="1:16" s="497" customFormat="1" ht="15.5">
      <c r="A1889" s="204" t="s">
        <v>572</v>
      </c>
      <c r="B1889" s="205" t="s">
        <v>507</v>
      </c>
      <c r="C1889" s="206" t="s">
        <v>133</v>
      </c>
      <c r="D1889" s="89">
        <v>1824</v>
      </c>
      <c r="E1889" s="89">
        <v>316</v>
      </c>
      <c r="F1889" s="577">
        <v>523</v>
      </c>
      <c r="G1889" s="8">
        <f>D1889*$F1889</f>
        <v>953952</v>
      </c>
      <c r="H1889" s="8">
        <f>E1889*$F1889</f>
        <v>165268</v>
      </c>
      <c r="I1889" s="501"/>
      <c r="J1889" s="575" t="s">
        <v>6</v>
      </c>
      <c r="K1889" s="575" t="s">
        <v>113</v>
      </c>
      <c r="L1889" s="575" t="s">
        <v>99</v>
      </c>
      <c r="N1889" s="494"/>
      <c r="P1889" s="576"/>
    </row>
    <row r="1890" spans="1:16" s="497" customFormat="1" ht="14">
      <c r="A1890" s="204" t="s">
        <v>573</v>
      </c>
      <c r="B1890" s="205" t="s">
        <v>574</v>
      </c>
      <c r="C1890" s="203"/>
      <c r="D1890" s="573"/>
      <c r="E1890" s="89">
        <v>0</v>
      </c>
      <c r="F1890" s="574"/>
      <c r="G1890" s="89"/>
      <c r="H1890" s="89"/>
      <c r="I1890" s="501"/>
      <c r="J1890" s="575"/>
      <c r="K1890" s="575"/>
      <c r="L1890" s="575"/>
      <c r="N1890" s="494"/>
      <c r="P1890" s="576"/>
    </row>
    <row r="1891" spans="1:16" s="497" customFormat="1" ht="15.5">
      <c r="A1891" s="221" t="s">
        <v>8</v>
      </c>
      <c r="B1891" s="227" t="s">
        <v>575</v>
      </c>
      <c r="C1891" s="222" t="s">
        <v>15</v>
      </c>
      <c r="D1891" s="89"/>
      <c r="E1891" s="89">
        <v>0</v>
      </c>
      <c r="F1891" s="577">
        <v>246</v>
      </c>
      <c r="G1891" s="8">
        <f t="shared" ref="G1891:H1897" si="384">D1891*$F1891</f>
        <v>0</v>
      </c>
      <c r="H1891" s="8">
        <f t="shared" si="384"/>
        <v>0</v>
      </c>
      <c r="I1891" s="501"/>
      <c r="J1891" s="575" t="s">
        <v>6</v>
      </c>
      <c r="K1891" s="575" t="s">
        <v>113</v>
      </c>
      <c r="L1891" s="575" t="s">
        <v>99</v>
      </c>
      <c r="N1891" s="494"/>
      <c r="P1891" s="580" t="s">
        <v>576</v>
      </c>
    </row>
    <row r="1892" spans="1:16" s="497" customFormat="1" ht="15.5">
      <c r="A1892" s="221" t="s">
        <v>8</v>
      </c>
      <c r="B1892" s="205" t="s">
        <v>577</v>
      </c>
      <c r="C1892" s="222" t="s">
        <v>15</v>
      </c>
      <c r="D1892" s="89">
        <v>26</v>
      </c>
      <c r="E1892" s="89">
        <v>19</v>
      </c>
      <c r="F1892" s="577">
        <v>180</v>
      </c>
      <c r="G1892" s="8">
        <f t="shared" si="384"/>
        <v>4680</v>
      </c>
      <c r="H1892" s="8">
        <f t="shared" si="384"/>
        <v>3420</v>
      </c>
      <c r="I1892" s="501"/>
      <c r="J1892" s="575" t="s">
        <v>6</v>
      </c>
      <c r="K1892" s="575" t="s">
        <v>113</v>
      </c>
      <c r="L1892" s="575" t="s">
        <v>99</v>
      </c>
      <c r="N1892" s="494"/>
      <c r="P1892" s="580"/>
    </row>
    <row r="1893" spans="1:16" s="497" customFormat="1" ht="15.5">
      <c r="A1893" s="221" t="s">
        <v>8</v>
      </c>
      <c r="B1893" s="205" t="s">
        <v>578</v>
      </c>
      <c r="C1893" s="222" t="s">
        <v>15</v>
      </c>
      <c r="D1893" s="89">
        <v>75</v>
      </c>
      <c r="E1893" s="89">
        <v>3</v>
      </c>
      <c r="F1893" s="577">
        <v>192</v>
      </c>
      <c r="G1893" s="8">
        <f t="shared" si="384"/>
        <v>14400</v>
      </c>
      <c r="H1893" s="8">
        <f t="shared" si="384"/>
        <v>576</v>
      </c>
      <c r="I1893" s="501"/>
      <c r="J1893" s="575" t="s">
        <v>6</v>
      </c>
      <c r="K1893" s="575" t="s">
        <v>113</v>
      </c>
      <c r="L1893" s="575" t="s">
        <v>99</v>
      </c>
      <c r="N1893" s="494"/>
      <c r="P1893" s="580"/>
    </row>
    <row r="1894" spans="1:16" s="497" customFormat="1" ht="15.5">
      <c r="A1894" s="221" t="s">
        <v>8</v>
      </c>
      <c r="B1894" s="205" t="s">
        <v>579</v>
      </c>
      <c r="C1894" s="222" t="s">
        <v>15</v>
      </c>
      <c r="D1894" s="89">
        <v>133</v>
      </c>
      <c r="E1894" s="89">
        <v>25</v>
      </c>
      <c r="F1894" s="577">
        <v>180</v>
      </c>
      <c r="G1894" s="8">
        <f t="shared" si="384"/>
        <v>23940</v>
      </c>
      <c r="H1894" s="8">
        <f t="shared" si="384"/>
        <v>4500</v>
      </c>
      <c r="I1894" s="501"/>
      <c r="J1894" s="575" t="s">
        <v>6</v>
      </c>
      <c r="K1894" s="575" t="s">
        <v>113</v>
      </c>
      <c r="L1894" s="575" t="s">
        <v>99</v>
      </c>
      <c r="N1894" s="494"/>
      <c r="P1894" s="580"/>
    </row>
    <row r="1895" spans="1:16" s="497" customFormat="1" ht="15.5">
      <c r="A1895" s="221" t="s">
        <v>8</v>
      </c>
      <c r="B1895" s="227" t="s">
        <v>580</v>
      </c>
      <c r="C1895" s="222" t="s">
        <v>15</v>
      </c>
      <c r="D1895" s="89">
        <v>102</v>
      </c>
      <c r="E1895" s="89">
        <v>8</v>
      </c>
      <c r="F1895" s="577">
        <v>228</v>
      </c>
      <c r="G1895" s="8">
        <f t="shared" si="384"/>
        <v>23256</v>
      </c>
      <c r="H1895" s="8">
        <f t="shared" si="384"/>
        <v>1824</v>
      </c>
      <c r="I1895" s="501"/>
      <c r="J1895" s="575" t="s">
        <v>6</v>
      </c>
      <c r="K1895" s="575" t="s">
        <v>113</v>
      </c>
      <c r="L1895" s="575" t="s">
        <v>99</v>
      </c>
      <c r="N1895" s="494"/>
      <c r="P1895" s="580"/>
    </row>
    <row r="1896" spans="1:16" s="497" customFormat="1" ht="15.5">
      <c r="A1896" s="221" t="s">
        <v>8</v>
      </c>
      <c r="B1896" s="227" t="s">
        <v>581</v>
      </c>
      <c r="C1896" s="222" t="s">
        <v>15</v>
      </c>
      <c r="D1896" s="89">
        <v>15</v>
      </c>
      <c r="E1896" s="89">
        <v>1</v>
      </c>
      <c r="F1896" s="577">
        <v>200</v>
      </c>
      <c r="G1896" s="8">
        <f t="shared" si="384"/>
        <v>3000</v>
      </c>
      <c r="H1896" s="8">
        <f t="shared" si="384"/>
        <v>200</v>
      </c>
      <c r="I1896" s="501"/>
      <c r="J1896" s="575" t="s">
        <v>6</v>
      </c>
      <c r="K1896" s="575" t="s">
        <v>113</v>
      </c>
      <c r="L1896" s="575" t="s">
        <v>99</v>
      </c>
      <c r="N1896" s="494"/>
      <c r="P1896" s="580"/>
    </row>
    <row r="1897" spans="1:16" s="497" customFormat="1" ht="15.5">
      <c r="A1897" s="221" t="s">
        <v>8</v>
      </c>
      <c r="B1897" s="216" t="s">
        <v>582</v>
      </c>
      <c r="C1897" s="222" t="s">
        <v>15</v>
      </c>
      <c r="D1897" s="89"/>
      <c r="E1897" s="573">
        <v>0</v>
      </c>
      <c r="F1897" s="578">
        <v>314</v>
      </c>
      <c r="G1897" s="8">
        <f t="shared" si="384"/>
        <v>0</v>
      </c>
      <c r="H1897" s="8">
        <f t="shared" si="384"/>
        <v>0</v>
      </c>
      <c r="I1897" s="501"/>
      <c r="J1897" s="575" t="s">
        <v>6</v>
      </c>
      <c r="K1897" s="575" t="s">
        <v>113</v>
      </c>
      <c r="L1897" s="575" t="s">
        <v>99</v>
      </c>
      <c r="N1897" s="494"/>
      <c r="P1897" s="580"/>
    </row>
    <row r="1898" spans="1:16" s="497" customFormat="1" ht="15.5">
      <c r="A1898" s="221" t="s">
        <v>583</v>
      </c>
      <c r="B1898" s="219" t="s">
        <v>553</v>
      </c>
      <c r="C1898" s="220"/>
      <c r="D1898" s="89"/>
      <c r="E1898" s="573">
        <v>0</v>
      </c>
      <c r="F1898" s="578"/>
      <c r="G1898" s="8"/>
      <c r="H1898" s="8"/>
      <c r="I1898" s="501"/>
      <c r="J1898" s="575"/>
      <c r="K1898" s="575"/>
      <c r="L1898" s="575"/>
      <c r="N1898" s="494"/>
      <c r="P1898" s="580"/>
    </row>
    <row r="1899" spans="1:16" s="497" customFormat="1" ht="15.5">
      <c r="A1899" s="221" t="s">
        <v>8</v>
      </c>
      <c r="B1899" s="216" t="s">
        <v>554</v>
      </c>
      <c r="C1899" s="222" t="s">
        <v>24</v>
      </c>
      <c r="D1899" s="89">
        <v>107</v>
      </c>
      <c r="E1899" s="89">
        <v>41</v>
      </c>
      <c r="F1899" s="577">
        <v>738</v>
      </c>
      <c r="G1899" s="8">
        <f t="shared" ref="G1899:H1901" si="385">D1899*$F1899</f>
        <v>78966</v>
      </c>
      <c r="H1899" s="8">
        <f t="shared" si="385"/>
        <v>30258</v>
      </c>
      <c r="I1899" s="501"/>
      <c r="J1899" s="575" t="s">
        <v>6</v>
      </c>
      <c r="K1899" s="575" t="s">
        <v>113</v>
      </c>
      <c r="L1899" s="575" t="s">
        <v>99</v>
      </c>
      <c r="N1899" s="494"/>
      <c r="P1899" s="580" t="s">
        <v>1380</v>
      </c>
    </row>
    <row r="1900" spans="1:16" s="497" customFormat="1" ht="15.5">
      <c r="A1900" s="221" t="s">
        <v>8</v>
      </c>
      <c r="B1900" s="216" t="s">
        <v>520</v>
      </c>
      <c r="C1900" s="222" t="s">
        <v>15</v>
      </c>
      <c r="D1900" s="89">
        <v>321</v>
      </c>
      <c r="E1900" s="89">
        <v>271</v>
      </c>
      <c r="F1900" s="577">
        <v>180</v>
      </c>
      <c r="G1900" s="8">
        <f t="shared" si="385"/>
        <v>57780</v>
      </c>
      <c r="H1900" s="8">
        <f t="shared" si="385"/>
        <v>48780</v>
      </c>
      <c r="I1900" s="501"/>
      <c r="J1900" s="575" t="s">
        <v>6</v>
      </c>
      <c r="K1900" s="575" t="s">
        <v>113</v>
      </c>
      <c r="L1900" s="575" t="s">
        <v>99</v>
      </c>
      <c r="N1900" s="494"/>
      <c r="P1900" s="580" t="s">
        <v>1380</v>
      </c>
    </row>
    <row r="1901" spans="1:16" s="497" customFormat="1" ht="15.5">
      <c r="A1901" s="221" t="s">
        <v>8</v>
      </c>
      <c r="B1901" s="216" t="s">
        <v>555</v>
      </c>
      <c r="C1901" s="222" t="s">
        <v>15</v>
      </c>
      <c r="D1901" s="89"/>
      <c r="E1901" s="573">
        <v>0</v>
      </c>
      <c r="F1901" s="578">
        <v>314</v>
      </c>
      <c r="G1901" s="8">
        <f t="shared" si="385"/>
        <v>0</v>
      </c>
      <c r="H1901" s="8">
        <f t="shared" si="385"/>
        <v>0</v>
      </c>
      <c r="I1901" s="501"/>
      <c r="J1901" s="575" t="s">
        <v>6</v>
      </c>
      <c r="K1901" s="575" t="s">
        <v>113</v>
      </c>
      <c r="L1901" s="575" t="s">
        <v>99</v>
      </c>
      <c r="N1901" s="494"/>
      <c r="P1901" s="580" t="s">
        <v>1380</v>
      </c>
    </row>
    <row r="1902" spans="1:16" s="497" customFormat="1" ht="14">
      <c r="A1902" s="204" t="s">
        <v>584</v>
      </c>
      <c r="B1902" s="205" t="s">
        <v>523</v>
      </c>
      <c r="C1902" s="203"/>
      <c r="D1902" s="573"/>
      <c r="E1902" s="573">
        <v>0</v>
      </c>
      <c r="F1902" s="574"/>
      <c r="G1902" s="89"/>
      <c r="H1902" s="89"/>
      <c r="I1902" s="501"/>
      <c r="J1902" s="575"/>
      <c r="K1902" s="575"/>
      <c r="L1902" s="575"/>
      <c r="N1902" s="494"/>
      <c r="P1902" s="576"/>
    </row>
    <row r="1903" spans="1:16" s="497" customFormat="1" ht="15.5">
      <c r="A1903" s="221" t="s">
        <v>8</v>
      </c>
      <c r="B1903" s="216" t="s">
        <v>524</v>
      </c>
      <c r="C1903" s="222" t="s">
        <v>10</v>
      </c>
      <c r="D1903" s="573"/>
      <c r="E1903" s="573">
        <v>0</v>
      </c>
      <c r="F1903" s="579">
        <v>4000</v>
      </c>
      <c r="G1903" s="8">
        <f>D1903*$F1903</f>
        <v>0</v>
      </c>
      <c r="H1903" s="8">
        <f>E1903*$F1903</f>
        <v>0</v>
      </c>
      <c r="I1903" s="501"/>
      <c r="J1903" s="575" t="s">
        <v>6</v>
      </c>
      <c r="K1903" s="575" t="s">
        <v>113</v>
      </c>
      <c r="L1903" s="575" t="s">
        <v>99</v>
      </c>
      <c r="N1903" s="494"/>
      <c r="P1903" s="576"/>
    </row>
    <row r="1904" spans="1:16" s="497" customFormat="1" ht="15.5">
      <c r="A1904" s="221" t="s">
        <v>8</v>
      </c>
      <c r="B1904" s="216" t="s">
        <v>525</v>
      </c>
      <c r="C1904" s="222" t="s">
        <v>10</v>
      </c>
      <c r="D1904" s="573"/>
      <c r="E1904" s="573">
        <v>0</v>
      </c>
      <c r="F1904" s="579">
        <v>6000</v>
      </c>
      <c r="G1904" s="8">
        <f>D1904*$F1904</f>
        <v>0</v>
      </c>
      <c r="H1904" s="8">
        <f>E1904*$F1904</f>
        <v>0</v>
      </c>
      <c r="I1904" s="501"/>
      <c r="J1904" s="575" t="s">
        <v>6</v>
      </c>
      <c r="K1904" s="575" t="s">
        <v>113</v>
      </c>
      <c r="L1904" s="575" t="s">
        <v>99</v>
      </c>
      <c r="N1904" s="494"/>
      <c r="P1904" s="576"/>
    </row>
    <row r="1905" spans="1:16" s="497" customFormat="1" ht="14">
      <c r="A1905" s="221" t="s">
        <v>585</v>
      </c>
      <c r="B1905" s="216" t="s">
        <v>563</v>
      </c>
      <c r="C1905" s="220"/>
      <c r="D1905" s="573"/>
      <c r="E1905" s="573">
        <v>0</v>
      </c>
      <c r="F1905" s="574"/>
      <c r="G1905" s="89"/>
      <c r="H1905" s="89"/>
      <c r="I1905" s="501"/>
      <c r="J1905" s="575"/>
      <c r="K1905" s="575"/>
      <c r="L1905" s="575"/>
      <c r="N1905" s="494"/>
      <c r="P1905" s="576"/>
    </row>
    <row r="1906" spans="1:16" s="497" customFormat="1" ht="15.5">
      <c r="A1906" s="221" t="s">
        <v>8</v>
      </c>
      <c r="B1906" s="216" t="s">
        <v>564</v>
      </c>
      <c r="C1906" s="222" t="s">
        <v>31</v>
      </c>
      <c r="D1906" s="89">
        <v>326</v>
      </c>
      <c r="E1906" s="89">
        <v>22</v>
      </c>
      <c r="F1906" s="577">
        <v>381</v>
      </c>
      <c r="G1906" s="8">
        <f>D1906*$F1906</f>
        <v>124206</v>
      </c>
      <c r="H1906" s="8">
        <f>E1906*$F1906</f>
        <v>8382</v>
      </c>
      <c r="I1906" s="501"/>
      <c r="J1906" s="575" t="s">
        <v>6</v>
      </c>
      <c r="K1906" s="575" t="s">
        <v>113</v>
      </c>
      <c r="L1906" s="575" t="s">
        <v>99</v>
      </c>
      <c r="N1906" s="494"/>
      <c r="P1906" s="208" t="s">
        <v>1381</v>
      </c>
    </row>
    <row r="1907" spans="1:16" s="497" customFormat="1" ht="14">
      <c r="A1907" s="221" t="s">
        <v>586</v>
      </c>
      <c r="B1907" s="216" t="s">
        <v>513</v>
      </c>
      <c r="C1907" s="220"/>
      <c r="D1907" s="573"/>
      <c r="E1907" s="573">
        <v>0</v>
      </c>
      <c r="F1907" s="574"/>
      <c r="G1907" s="89"/>
      <c r="H1907" s="89"/>
      <c r="I1907" s="501"/>
      <c r="J1907" s="575"/>
      <c r="K1907" s="575"/>
      <c r="L1907" s="575"/>
      <c r="N1907" s="494"/>
      <c r="P1907" s="576"/>
    </row>
    <row r="1908" spans="1:16" s="497" customFormat="1" ht="15.5">
      <c r="A1908" s="204" t="s">
        <v>8</v>
      </c>
      <c r="B1908" s="205" t="s">
        <v>587</v>
      </c>
      <c r="C1908" s="206" t="s">
        <v>24</v>
      </c>
      <c r="D1908" s="89">
        <v>226</v>
      </c>
      <c r="E1908" s="89">
        <v>122</v>
      </c>
      <c r="F1908" s="577">
        <v>1032</v>
      </c>
      <c r="G1908" s="8">
        <f>D1908*$F1908</f>
        <v>233232</v>
      </c>
      <c r="H1908" s="8">
        <f>E1908*$F1908</f>
        <v>125904</v>
      </c>
      <c r="I1908" s="501"/>
      <c r="J1908" s="575" t="s">
        <v>6</v>
      </c>
      <c r="K1908" s="575" t="s">
        <v>113</v>
      </c>
      <c r="L1908" s="575" t="s">
        <v>99</v>
      </c>
      <c r="N1908" s="494"/>
      <c r="P1908" s="208" t="s">
        <v>1381</v>
      </c>
    </row>
    <row r="1909" spans="1:16" s="497" customFormat="1" ht="14">
      <c r="A1909" s="221" t="s">
        <v>588</v>
      </c>
      <c r="B1909" s="216" t="s">
        <v>510</v>
      </c>
      <c r="C1909" s="206"/>
      <c r="D1909" s="573"/>
      <c r="E1909" s="573">
        <v>0</v>
      </c>
      <c r="F1909" s="574"/>
      <c r="G1909" s="89"/>
      <c r="H1909" s="89"/>
      <c r="I1909" s="501"/>
      <c r="J1909" s="575"/>
      <c r="K1909" s="575"/>
      <c r="L1909" s="575"/>
      <c r="N1909" s="494"/>
      <c r="P1909" s="576"/>
    </row>
    <row r="1910" spans="1:16" s="497" customFormat="1" ht="15.5">
      <c r="A1910" s="221" t="s">
        <v>8</v>
      </c>
      <c r="B1910" s="216" t="s">
        <v>511</v>
      </c>
      <c r="C1910" s="222" t="s">
        <v>15</v>
      </c>
      <c r="D1910" s="573"/>
      <c r="E1910" s="573">
        <v>0</v>
      </c>
      <c r="F1910" s="577">
        <v>6000</v>
      </c>
      <c r="G1910" s="8">
        <f t="shared" ref="G1910:H1913" si="386">D1910*$F1910</f>
        <v>0</v>
      </c>
      <c r="H1910" s="8">
        <f t="shared" si="386"/>
        <v>0</v>
      </c>
      <c r="I1910" s="501"/>
      <c r="J1910" s="575" t="s">
        <v>6</v>
      </c>
      <c r="K1910" s="575" t="s">
        <v>113</v>
      </c>
      <c r="L1910" s="575" t="s">
        <v>99</v>
      </c>
      <c r="N1910" s="494"/>
      <c r="P1910" s="576"/>
    </row>
    <row r="1911" spans="1:16" s="497" customFormat="1" ht="15.5">
      <c r="A1911" s="204" t="s">
        <v>8</v>
      </c>
      <c r="B1911" s="205" t="s">
        <v>556</v>
      </c>
      <c r="C1911" s="206" t="s">
        <v>15</v>
      </c>
      <c r="D1911" s="573"/>
      <c r="E1911" s="573">
        <v>0</v>
      </c>
      <c r="F1911" s="577">
        <v>9000</v>
      </c>
      <c r="G1911" s="8">
        <f t="shared" si="386"/>
        <v>0</v>
      </c>
      <c r="H1911" s="8">
        <f t="shared" si="386"/>
        <v>0</v>
      </c>
      <c r="I1911" s="501"/>
      <c r="J1911" s="575" t="s">
        <v>6</v>
      </c>
      <c r="K1911" s="575" t="s">
        <v>113</v>
      </c>
      <c r="L1911" s="575" t="s">
        <v>99</v>
      </c>
      <c r="N1911" s="494"/>
      <c r="P1911" s="576"/>
    </row>
    <row r="1912" spans="1:16" s="497" customFormat="1" ht="15.5">
      <c r="A1912" s="204" t="s">
        <v>8</v>
      </c>
      <c r="B1912" s="205" t="s">
        <v>589</v>
      </c>
      <c r="C1912" s="206" t="s">
        <v>15</v>
      </c>
      <c r="D1912" s="573"/>
      <c r="E1912" s="573">
        <v>0</v>
      </c>
      <c r="F1912" s="577">
        <v>10600</v>
      </c>
      <c r="G1912" s="8">
        <f t="shared" si="386"/>
        <v>0</v>
      </c>
      <c r="H1912" s="8">
        <f t="shared" si="386"/>
        <v>0</v>
      </c>
      <c r="I1912" s="501"/>
      <c r="J1912" s="575" t="s">
        <v>6</v>
      </c>
      <c r="K1912" s="575" t="s">
        <v>113</v>
      </c>
      <c r="L1912" s="575" t="s">
        <v>99</v>
      </c>
      <c r="N1912" s="494"/>
      <c r="P1912" s="576"/>
    </row>
    <row r="1913" spans="1:16" s="497" customFormat="1" ht="15.5">
      <c r="A1913" s="221" t="s">
        <v>590</v>
      </c>
      <c r="B1913" s="216" t="s">
        <v>591</v>
      </c>
      <c r="C1913" s="222" t="s">
        <v>15</v>
      </c>
      <c r="D1913" s="89">
        <v>200</v>
      </c>
      <c r="E1913" s="89">
        <v>278</v>
      </c>
      <c r="F1913" s="577">
        <v>20</v>
      </c>
      <c r="G1913" s="8">
        <f t="shared" si="386"/>
        <v>4000</v>
      </c>
      <c r="H1913" s="8">
        <f t="shared" si="386"/>
        <v>5560</v>
      </c>
      <c r="I1913" s="501"/>
      <c r="J1913" s="575" t="s">
        <v>6</v>
      </c>
      <c r="K1913" s="575" t="s">
        <v>113</v>
      </c>
      <c r="L1913" s="575" t="s">
        <v>99</v>
      </c>
      <c r="N1913" s="494"/>
      <c r="P1913" s="576"/>
    </row>
    <row r="1914" spans="1:16" s="495" customFormat="1" ht="14">
      <c r="A1914" s="223" t="s">
        <v>592</v>
      </c>
      <c r="B1914" s="224" t="s">
        <v>96</v>
      </c>
      <c r="C1914" s="226"/>
      <c r="D1914" s="566"/>
      <c r="E1914" s="566">
        <v>0</v>
      </c>
      <c r="F1914" s="567"/>
      <c r="G1914" s="566">
        <f>SUBTOTAL(9,G1916:G2017)</f>
        <v>1640984</v>
      </c>
      <c r="H1914" s="566">
        <f>SUBTOTAL(9,H1916:H2017)</f>
        <v>8219407</v>
      </c>
      <c r="I1914" s="568"/>
      <c r="J1914" s="569"/>
      <c r="K1914" s="569"/>
      <c r="L1914" s="569"/>
      <c r="N1914" s="523"/>
      <c r="P1914" s="570"/>
    </row>
    <row r="1915" spans="1:16" s="495" customFormat="1" ht="14">
      <c r="A1915" s="223" t="s">
        <v>593</v>
      </c>
      <c r="B1915" s="224" t="s">
        <v>602</v>
      </c>
      <c r="C1915" s="226"/>
      <c r="D1915" s="566"/>
      <c r="E1915" s="566">
        <v>0</v>
      </c>
      <c r="F1915" s="567"/>
      <c r="G1915" s="566">
        <f>SUBTOTAL(9,G1916:G1941)</f>
        <v>585684</v>
      </c>
      <c r="H1915" s="566">
        <f>SUBTOTAL(9,H1916:H1941)</f>
        <v>609596</v>
      </c>
      <c r="I1915" s="568"/>
      <c r="J1915" s="569"/>
      <c r="K1915" s="569"/>
      <c r="L1915" s="569"/>
      <c r="N1915" s="523"/>
      <c r="P1915" s="570"/>
    </row>
    <row r="1916" spans="1:16" s="497" customFormat="1" ht="14">
      <c r="A1916" s="218" t="s">
        <v>1382</v>
      </c>
      <c r="B1916" s="219" t="s">
        <v>506</v>
      </c>
      <c r="C1916" s="220"/>
      <c r="D1916" s="573"/>
      <c r="E1916" s="573">
        <v>0</v>
      </c>
      <c r="F1916" s="574"/>
      <c r="G1916" s="89"/>
      <c r="H1916" s="89"/>
      <c r="I1916" s="501"/>
      <c r="J1916" s="575"/>
      <c r="K1916" s="575"/>
      <c r="L1916" s="575"/>
      <c r="N1916" s="494"/>
      <c r="P1916" s="576"/>
    </row>
    <row r="1917" spans="1:16" s="497" customFormat="1" ht="15.5">
      <c r="A1917" s="221" t="s">
        <v>8</v>
      </c>
      <c r="B1917" s="216" t="s">
        <v>507</v>
      </c>
      <c r="C1917" s="222" t="s">
        <v>133</v>
      </c>
      <c r="D1917" s="573"/>
      <c r="E1917" s="573">
        <v>0</v>
      </c>
      <c r="F1917" s="577">
        <v>523</v>
      </c>
      <c r="G1917" s="2">
        <f>D1917*$F1917</f>
        <v>0</v>
      </c>
      <c r="H1917" s="2">
        <f>E1917*$F1917</f>
        <v>0</v>
      </c>
      <c r="I1917" s="501"/>
      <c r="J1917" s="575" t="s">
        <v>6</v>
      </c>
      <c r="K1917" s="540" t="s">
        <v>211</v>
      </c>
      <c r="L1917" s="540" t="s">
        <v>99</v>
      </c>
      <c r="N1917" s="494"/>
      <c r="P1917" s="576"/>
    </row>
    <row r="1918" spans="1:16" s="497" customFormat="1" ht="15.5">
      <c r="A1918" s="221" t="s">
        <v>8</v>
      </c>
      <c r="B1918" s="216" t="s">
        <v>558</v>
      </c>
      <c r="C1918" s="222" t="s">
        <v>559</v>
      </c>
      <c r="D1918" s="573"/>
      <c r="E1918" s="573">
        <v>0</v>
      </c>
      <c r="F1918" s="577">
        <v>372</v>
      </c>
      <c r="G1918" s="2">
        <f>D1918*$F1918</f>
        <v>0</v>
      </c>
      <c r="H1918" s="2">
        <f>E1918*$F1918</f>
        <v>0</v>
      </c>
      <c r="I1918" s="501"/>
      <c r="J1918" s="575" t="s">
        <v>6</v>
      </c>
      <c r="K1918" s="540" t="s">
        <v>211</v>
      </c>
      <c r="L1918" s="540" t="s">
        <v>99</v>
      </c>
      <c r="N1918" s="494"/>
      <c r="P1918" s="576"/>
    </row>
    <row r="1919" spans="1:16" s="497" customFormat="1" ht="14">
      <c r="A1919" s="218" t="s">
        <v>1383</v>
      </c>
      <c r="B1919" s="219" t="s">
        <v>516</v>
      </c>
      <c r="C1919" s="220"/>
      <c r="D1919" s="573"/>
      <c r="E1919" s="573">
        <v>0</v>
      </c>
      <c r="F1919" s="574"/>
      <c r="G1919" s="89"/>
      <c r="H1919" s="89"/>
      <c r="I1919" s="501"/>
      <c r="J1919" s="575"/>
      <c r="K1919" s="575"/>
      <c r="L1919" s="575"/>
      <c r="N1919" s="494"/>
      <c r="P1919" s="576"/>
    </row>
    <row r="1920" spans="1:16" s="497" customFormat="1" ht="14">
      <c r="A1920" s="218" t="s">
        <v>1384</v>
      </c>
      <c r="B1920" s="219" t="s">
        <v>606</v>
      </c>
      <c r="C1920" s="220"/>
      <c r="D1920" s="573"/>
      <c r="E1920" s="573">
        <v>0</v>
      </c>
      <c r="F1920" s="574"/>
      <c r="G1920" s="89"/>
      <c r="H1920" s="89"/>
      <c r="I1920" s="501"/>
      <c r="J1920" s="575"/>
      <c r="K1920" s="575"/>
      <c r="L1920" s="575"/>
      <c r="N1920" s="494"/>
      <c r="P1920" s="576"/>
    </row>
    <row r="1921" spans="1:16" s="497" customFormat="1" ht="15.5">
      <c r="A1921" s="221" t="s">
        <v>8</v>
      </c>
      <c r="B1921" s="216" t="s">
        <v>607</v>
      </c>
      <c r="C1921" s="222" t="s">
        <v>24</v>
      </c>
      <c r="D1921" s="573"/>
      <c r="E1921" s="573">
        <v>0</v>
      </c>
      <c r="F1921" s="577">
        <v>738</v>
      </c>
      <c r="G1921" s="2">
        <f>D1921*$F1921</f>
        <v>0</v>
      </c>
      <c r="H1921" s="2">
        <f>E1921*$F1921</f>
        <v>0</v>
      </c>
      <c r="I1921" s="501"/>
      <c r="J1921" s="575" t="s">
        <v>6</v>
      </c>
      <c r="K1921" s="540" t="s">
        <v>211</v>
      </c>
      <c r="L1921" s="540" t="s">
        <v>99</v>
      </c>
      <c r="N1921" s="494"/>
      <c r="P1921" s="576"/>
    </row>
    <row r="1922" spans="1:16" s="497" customFormat="1" ht="15.5">
      <c r="A1922" s="221" t="s">
        <v>8</v>
      </c>
      <c r="B1922" s="216" t="s">
        <v>520</v>
      </c>
      <c r="C1922" s="222" t="s">
        <v>15</v>
      </c>
      <c r="D1922" s="573"/>
      <c r="E1922" s="573">
        <v>0</v>
      </c>
      <c r="F1922" s="577">
        <v>180</v>
      </c>
      <c r="G1922" s="2">
        <f>D1922*$F1922</f>
        <v>0</v>
      </c>
      <c r="H1922" s="2">
        <f>E1922*$F1922</f>
        <v>0</v>
      </c>
      <c r="I1922" s="501"/>
      <c r="J1922" s="575" t="s">
        <v>6</v>
      </c>
      <c r="K1922" s="540" t="s">
        <v>211</v>
      </c>
      <c r="L1922" s="540" t="s">
        <v>99</v>
      </c>
      <c r="N1922" s="494"/>
      <c r="P1922" s="576"/>
    </row>
    <row r="1923" spans="1:16" s="497" customFormat="1" ht="14">
      <c r="A1923" s="218" t="s">
        <v>1385</v>
      </c>
      <c r="B1923" s="219" t="s">
        <v>553</v>
      </c>
      <c r="C1923" s="220"/>
      <c r="D1923" s="573"/>
      <c r="E1923" s="573">
        <v>0</v>
      </c>
      <c r="F1923" s="574"/>
      <c r="G1923" s="89"/>
      <c r="H1923" s="89"/>
      <c r="I1923" s="501"/>
      <c r="J1923" s="575"/>
      <c r="K1923" s="575"/>
      <c r="L1923" s="575"/>
      <c r="N1923" s="494"/>
      <c r="P1923" s="576"/>
    </row>
    <row r="1924" spans="1:16" s="497" customFormat="1" ht="15.5">
      <c r="A1924" s="221" t="s">
        <v>8</v>
      </c>
      <c r="B1924" s="216" t="s">
        <v>554</v>
      </c>
      <c r="C1924" s="222" t="s">
        <v>24</v>
      </c>
      <c r="D1924" s="89">
        <v>78</v>
      </c>
      <c r="E1924" s="573">
        <v>0</v>
      </c>
      <c r="F1924" s="577">
        <v>738</v>
      </c>
      <c r="G1924" s="8">
        <f t="shared" ref="G1924:H1926" si="387">D1924*$F1924</f>
        <v>57564</v>
      </c>
      <c r="H1924" s="2">
        <f t="shared" si="387"/>
        <v>0</v>
      </c>
      <c r="I1924" s="501"/>
      <c r="J1924" s="575" t="s">
        <v>6</v>
      </c>
      <c r="K1924" s="540" t="s">
        <v>211</v>
      </c>
      <c r="L1924" s="540" t="s">
        <v>99</v>
      </c>
      <c r="N1924" s="494"/>
      <c r="P1924" s="580" t="s">
        <v>609</v>
      </c>
    </row>
    <row r="1925" spans="1:16" s="497" customFormat="1" ht="15.5">
      <c r="A1925" s="221" t="s">
        <v>8</v>
      </c>
      <c r="B1925" s="216" t="s">
        <v>520</v>
      </c>
      <c r="C1925" s="222" t="s">
        <v>15</v>
      </c>
      <c r="D1925" s="89">
        <v>234</v>
      </c>
      <c r="E1925" s="573">
        <v>234</v>
      </c>
      <c r="F1925" s="577">
        <v>180</v>
      </c>
      <c r="G1925" s="8">
        <f t="shared" si="387"/>
        <v>42120</v>
      </c>
      <c r="H1925" s="2">
        <f t="shared" si="387"/>
        <v>42120</v>
      </c>
      <c r="I1925" s="501"/>
      <c r="J1925" s="575" t="s">
        <v>6</v>
      </c>
      <c r="K1925" s="540" t="s">
        <v>211</v>
      </c>
      <c r="L1925" s="540" t="s">
        <v>99</v>
      </c>
      <c r="N1925" s="494"/>
      <c r="P1925" s="580" t="s">
        <v>609</v>
      </c>
    </row>
    <row r="1926" spans="1:16" s="497" customFormat="1" ht="15.5">
      <c r="A1926" s="221" t="s">
        <v>8</v>
      </c>
      <c r="B1926" s="216" t="s">
        <v>555</v>
      </c>
      <c r="C1926" s="222" t="s">
        <v>15</v>
      </c>
      <c r="D1926" s="89"/>
      <c r="E1926" s="573">
        <v>234</v>
      </c>
      <c r="F1926" s="578">
        <v>314</v>
      </c>
      <c r="G1926" s="8">
        <f t="shared" si="387"/>
        <v>0</v>
      </c>
      <c r="H1926" s="2">
        <f t="shared" si="387"/>
        <v>73476</v>
      </c>
      <c r="I1926" s="501"/>
      <c r="J1926" s="575" t="s">
        <v>6</v>
      </c>
      <c r="K1926" s="540" t="s">
        <v>211</v>
      </c>
      <c r="L1926" s="540" t="s">
        <v>99</v>
      </c>
      <c r="N1926" s="494"/>
      <c r="P1926" s="580" t="s">
        <v>609</v>
      </c>
    </row>
    <row r="1927" spans="1:16" s="497" customFormat="1" ht="14">
      <c r="A1927" s="218" t="s">
        <v>1386</v>
      </c>
      <c r="B1927" s="219" t="s">
        <v>510</v>
      </c>
      <c r="C1927" s="220"/>
      <c r="D1927" s="573"/>
      <c r="E1927" s="573">
        <v>0</v>
      </c>
      <c r="F1927" s="574"/>
      <c r="G1927" s="89"/>
      <c r="H1927" s="89"/>
      <c r="I1927" s="501"/>
      <c r="J1927" s="575"/>
      <c r="K1927" s="575"/>
      <c r="L1927" s="575"/>
      <c r="N1927" s="494"/>
      <c r="P1927" s="576"/>
    </row>
    <row r="1928" spans="1:16" s="497" customFormat="1" ht="15.5">
      <c r="A1928" s="221" t="s">
        <v>8</v>
      </c>
      <c r="B1928" s="216" t="s">
        <v>511</v>
      </c>
      <c r="C1928" s="222" t="s">
        <v>15</v>
      </c>
      <c r="D1928" s="573"/>
      <c r="E1928" s="573">
        <v>0</v>
      </c>
      <c r="F1928" s="577">
        <v>6000</v>
      </c>
      <c r="G1928" s="8">
        <f t="shared" ref="G1928:H1930" si="388">D1928*$F1928</f>
        <v>0</v>
      </c>
      <c r="H1928" s="2">
        <f t="shared" si="388"/>
        <v>0</v>
      </c>
      <c r="I1928" s="501"/>
      <c r="J1928" s="575" t="s">
        <v>6</v>
      </c>
      <c r="K1928" s="540" t="s">
        <v>211</v>
      </c>
      <c r="L1928" s="540" t="s">
        <v>99</v>
      </c>
      <c r="N1928" s="494"/>
      <c r="P1928" s="576"/>
    </row>
    <row r="1929" spans="1:16" s="497" customFormat="1" ht="15.5">
      <c r="A1929" s="221" t="s">
        <v>8</v>
      </c>
      <c r="B1929" s="216" t="s">
        <v>556</v>
      </c>
      <c r="C1929" s="222" t="s">
        <v>15</v>
      </c>
      <c r="D1929" s="89">
        <v>54</v>
      </c>
      <c r="E1929" s="573">
        <v>0</v>
      </c>
      <c r="F1929" s="577">
        <v>9000</v>
      </c>
      <c r="G1929" s="8">
        <f t="shared" si="388"/>
        <v>486000</v>
      </c>
      <c r="H1929" s="2">
        <f t="shared" si="388"/>
        <v>0</v>
      </c>
      <c r="I1929" s="501"/>
      <c r="J1929" s="575" t="s">
        <v>6</v>
      </c>
      <c r="K1929" s="540" t="s">
        <v>211</v>
      </c>
      <c r="L1929" s="540" t="s">
        <v>99</v>
      </c>
      <c r="N1929" s="494"/>
      <c r="P1929" s="580" t="s">
        <v>611</v>
      </c>
    </row>
    <row r="1930" spans="1:16" s="497" customFormat="1" ht="15.5">
      <c r="A1930" s="221" t="s">
        <v>8</v>
      </c>
      <c r="B1930" s="216" t="s">
        <v>589</v>
      </c>
      <c r="C1930" s="222" t="s">
        <v>15</v>
      </c>
      <c r="D1930" s="573"/>
      <c r="E1930" s="573">
        <v>0</v>
      </c>
      <c r="F1930" s="577">
        <v>10600</v>
      </c>
      <c r="G1930" s="8">
        <f t="shared" si="388"/>
        <v>0</v>
      </c>
      <c r="H1930" s="2">
        <f t="shared" si="388"/>
        <v>0</v>
      </c>
      <c r="I1930" s="501"/>
      <c r="J1930" s="575" t="s">
        <v>6</v>
      </c>
      <c r="K1930" s="540" t="s">
        <v>211</v>
      </c>
      <c r="L1930" s="540" t="s">
        <v>99</v>
      </c>
      <c r="N1930" s="494"/>
      <c r="P1930" s="576"/>
    </row>
    <row r="1931" spans="1:16" s="497" customFormat="1" ht="14">
      <c r="A1931" s="218" t="s">
        <v>1387</v>
      </c>
      <c r="B1931" s="219" t="s">
        <v>613</v>
      </c>
      <c r="C1931" s="220"/>
      <c r="D1931" s="573"/>
      <c r="E1931" s="573">
        <v>0</v>
      </c>
      <c r="F1931" s="574"/>
      <c r="G1931" s="89"/>
      <c r="H1931" s="89"/>
      <c r="I1931" s="501"/>
      <c r="J1931" s="575"/>
      <c r="K1931" s="575"/>
      <c r="L1931" s="575"/>
      <c r="N1931" s="494"/>
      <c r="P1931" s="576"/>
    </row>
    <row r="1932" spans="1:16" s="497" customFormat="1" ht="15.5">
      <c r="A1932" s="221" t="s">
        <v>8</v>
      </c>
      <c r="B1932" s="216" t="s">
        <v>524</v>
      </c>
      <c r="C1932" s="222" t="s">
        <v>10</v>
      </c>
      <c r="D1932" s="573"/>
      <c r="E1932" s="573">
        <v>0</v>
      </c>
      <c r="F1932" s="579">
        <v>4000</v>
      </c>
      <c r="G1932" s="8">
        <f t="shared" ref="G1932:H1934" si="389">D1932*$F1932</f>
        <v>0</v>
      </c>
      <c r="H1932" s="2">
        <f t="shared" si="389"/>
        <v>0</v>
      </c>
      <c r="I1932" s="501"/>
      <c r="J1932" s="575" t="s">
        <v>6</v>
      </c>
      <c r="K1932" s="540" t="s">
        <v>211</v>
      </c>
      <c r="L1932" s="540" t="s">
        <v>99</v>
      </c>
      <c r="N1932" s="494"/>
      <c r="P1932" s="576"/>
    </row>
    <row r="1933" spans="1:16" s="497" customFormat="1" ht="15.5">
      <c r="A1933" s="221" t="s">
        <v>8</v>
      </c>
      <c r="B1933" s="216" t="s">
        <v>525</v>
      </c>
      <c r="C1933" s="222" t="s">
        <v>10</v>
      </c>
      <c r="D1933" s="89"/>
      <c r="E1933" s="573">
        <v>78</v>
      </c>
      <c r="F1933" s="579">
        <v>6000</v>
      </c>
      <c r="G1933" s="8">
        <f t="shared" si="389"/>
        <v>0</v>
      </c>
      <c r="H1933" s="2">
        <f t="shared" si="389"/>
        <v>468000</v>
      </c>
      <c r="I1933" s="501"/>
      <c r="J1933" s="575" t="s">
        <v>6</v>
      </c>
      <c r="K1933" s="540" t="s">
        <v>211</v>
      </c>
      <c r="L1933" s="540" t="s">
        <v>99</v>
      </c>
      <c r="N1933" s="494"/>
      <c r="P1933" s="580" t="s">
        <v>614</v>
      </c>
    </row>
    <row r="1934" spans="1:16" s="497" customFormat="1" ht="15.5">
      <c r="A1934" s="221" t="s">
        <v>8</v>
      </c>
      <c r="B1934" s="216" t="s">
        <v>538</v>
      </c>
      <c r="C1934" s="222" t="s">
        <v>10</v>
      </c>
      <c r="D1934" s="89"/>
      <c r="E1934" s="573">
        <v>0</v>
      </c>
      <c r="F1934" s="579">
        <v>8000</v>
      </c>
      <c r="G1934" s="8">
        <f t="shared" si="389"/>
        <v>0</v>
      </c>
      <c r="H1934" s="2">
        <f t="shared" si="389"/>
        <v>0</v>
      </c>
      <c r="I1934" s="501"/>
      <c r="J1934" s="575" t="s">
        <v>6</v>
      </c>
      <c r="K1934" s="540" t="s">
        <v>211</v>
      </c>
      <c r="L1934" s="540" t="s">
        <v>99</v>
      </c>
      <c r="N1934" s="494"/>
      <c r="P1934" s="580"/>
    </row>
    <row r="1935" spans="1:16" s="497" customFormat="1" ht="14">
      <c r="A1935" s="218" t="s">
        <v>1388</v>
      </c>
      <c r="B1935" s="219" t="s">
        <v>616</v>
      </c>
      <c r="C1935" s="220"/>
      <c r="D1935" s="573"/>
      <c r="E1935" s="573">
        <v>0</v>
      </c>
      <c r="F1935" s="574"/>
      <c r="G1935" s="89"/>
      <c r="H1935" s="89"/>
      <c r="I1935" s="501"/>
      <c r="J1935" s="575"/>
      <c r="K1935" s="575"/>
      <c r="L1935" s="575"/>
      <c r="N1935" s="494"/>
      <c r="P1935" s="576"/>
    </row>
    <row r="1936" spans="1:16" s="497" customFormat="1" ht="14">
      <c r="A1936" s="221" t="s">
        <v>8</v>
      </c>
      <c r="B1936" s="216" t="s">
        <v>617</v>
      </c>
      <c r="C1936" s="222" t="s">
        <v>15</v>
      </c>
      <c r="D1936" s="573"/>
      <c r="E1936" s="573">
        <v>0</v>
      </c>
      <c r="F1936" s="574"/>
      <c r="G1936" s="2">
        <f>D1936*$F1936</f>
        <v>0</v>
      </c>
      <c r="H1936" s="2">
        <f>E1936*$F1936</f>
        <v>0</v>
      </c>
      <c r="I1936" s="501"/>
      <c r="J1936" s="575" t="s">
        <v>6</v>
      </c>
      <c r="K1936" s="540" t="s">
        <v>211</v>
      </c>
      <c r="L1936" s="540" t="s">
        <v>99</v>
      </c>
      <c r="N1936" s="494"/>
      <c r="P1936" s="576"/>
    </row>
    <row r="1937" spans="1:16" s="497" customFormat="1" ht="15.5">
      <c r="A1937" s="221" t="s">
        <v>8</v>
      </c>
      <c r="B1937" s="216" t="s">
        <v>618</v>
      </c>
      <c r="C1937" s="222" t="s">
        <v>24</v>
      </c>
      <c r="D1937" s="573"/>
      <c r="E1937" s="573">
        <v>0</v>
      </c>
      <c r="F1937" s="577">
        <v>880</v>
      </c>
      <c r="G1937" s="2">
        <f>D1937*$F1937</f>
        <v>0</v>
      </c>
      <c r="H1937" s="2">
        <f>E1937*$F1937</f>
        <v>0</v>
      </c>
      <c r="I1937" s="501"/>
      <c r="J1937" s="575" t="s">
        <v>6</v>
      </c>
      <c r="K1937" s="540" t="s">
        <v>211</v>
      </c>
      <c r="L1937" s="540" t="s">
        <v>99</v>
      </c>
      <c r="N1937" s="494"/>
      <c r="P1937" s="576"/>
    </row>
    <row r="1938" spans="1:16" s="497" customFormat="1" ht="14">
      <c r="A1938" s="218" t="s">
        <v>1389</v>
      </c>
      <c r="B1938" s="219" t="s">
        <v>620</v>
      </c>
      <c r="C1938" s="220"/>
      <c r="D1938" s="573"/>
      <c r="E1938" s="573">
        <v>0</v>
      </c>
      <c r="F1938" s="574"/>
      <c r="G1938" s="89"/>
      <c r="H1938" s="89"/>
      <c r="I1938" s="501"/>
      <c r="J1938" s="575"/>
      <c r="K1938" s="540"/>
      <c r="L1938" s="540"/>
      <c r="N1938" s="494"/>
      <c r="P1938" s="576"/>
    </row>
    <row r="1939" spans="1:16" s="497" customFormat="1" ht="15.5">
      <c r="A1939" s="221" t="s">
        <v>8</v>
      </c>
      <c r="B1939" s="216" t="s">
        <v>564</v>
      </c>
      <c r="C1939" s="222" t="s">
        <v>31</v>
      </c>
      <c r="D1939" s="573"/>
      <c r="E1939" s="573">
        <v>0</v>
      </c>
      <c r="F1939" s="577">
        <v>381</v>
      </c>
      <c r="G1939" s="2">
        <f t="shared" ref="G1939:H1941" si="390">D1939*$F1939</f>
        <v>0</v>
      </c>
      <c r="H1939" s="2">
        <f t="shared" si="390"/>
        <v>0</v>
      </c>
      <c r="I1939" s="501"/>
      <c r="J1939" s="575" t="s">
        <v>6</v>
      </c>
      <c r="K1939" s="540" t="s">
        <v>211</v>
      </c>
      <c r="L1939" s="540" t="s">
        <v>99</v>
      </c>
      <c r="N1939" s="494"/>
      <c r="P1939" s="576"/>
    </row>
    <row r="1940" spans="1:16" s="497" customFormat="1" ht="15.5">
      <c r="A1940" s="221" t="s">
        <v>8</v>
      </c>
      <c r="B1940" s="216" t="s">
        <v>561</v>
      </c>
      <c r="C1940" s="222" t="s">
        <v>24</v>
      </c>
      <c r="D1940" s="573"/>
      <c r="E1940" s="573">
        <v>0</v>
      </c>
      <c r="F1940" s="577">
        <v>1236</v>
      </c>
      <c r="G1940" s="2">
        <f t="shared" si="390"/>
        <v>0</v>
      </c>
      <c r="H1940" s="2">
        <f t="shared" si="390"/>
        <v>0</v>
      </c>
      <c r="I1940" s="501"/>
      <c r="J1940" s="575" t="s">
        <v>6</v>
      </c>
      <c r="K1940" s="540" t="s">
        <v>211</v>
      </c>
      <c r="L1940" s="540" t="s">
        <v>99</v>
      </c>
      <c r="N1940" s="494"/>
      <c r="P1940" s="576"/>
    </row>
    <row r="1941" spans="1:16" s="497" customFormat="1" ht="15.5">
      <c r="A1941" s="221" t="s">
        <v>8</v>
      </c>
      <c r="B1941" s="216" t="s">
        <v>621</v>
      </c>
      <c r="C1941" s="222" t="s">
        <v>24</v>
      </c>
      <c r="D1941" s="89"/>
      <c r="E1941" s="573">
        <v>65</v>
      </c>
      <c r="F1941" s="577">
        <v>400</v>
      </c>
      <c r="G1941" s="8">
        <f t="shared" si="390"/>
        <v>0</v>
      </c>
      <c r="H1941" s="2">
        <f t="shared" si="390"/>
        <v>26000</v>
      </c>
      <c r="I1941" s="501"/>
      <c r="J1941" s="575" t="s">
        <v>6</v>
      </c>
      <c r="K1941" s="540" t="s">
        <v>211</v>
      </c>
      <c r="L1941" s="540" t="s">
        <v>99</v>
      </c>
      <c r="N1941" s="494"/>
      <c r="P1941" s="580" t="s">
        <v>622</v>
      </c>
    </row>
    <row r="1942" spans="1:16" s="495" customFormat="1" ht="14">
      <c r="A1942" s="223" t="s">
        <v>594</v>
      </c>
      <c r="B1942" s="224" t="s">
        <v>624</v>
      </c>
      <c r="C1942" s="226"/>
      <c r="D1942" s="566"/>
      <c r="E1942" s="566">
        <v>0</v>
      </c>
      <c r="F1942" s="567"/>
      <c r="G1942" s="566">
        <f>SUBTOTAL(9,G1943:G2017)</f>
        <v>1055300</v>
      </c>
      <c r="H1942" s="566">
        <f>SUBTOTAL(9,H1943:H2017)</f>
        <v>7609811</v>
      </c>
      <c r="I1942" s="568"/>
      <c r="J1942" s="569"/>
      <c r="K1942" s="569"/>
      <c r="L1942" s="569"/>
      <c r="N1942" s="523"/>
      <c r="P1942" s="570"/>
    </row>
    <row r="1943" spans="1:16" s="497" customFormat="1" ht="14">
      <c r="A1943" s="218" t="s">
        <v>1390</v>
      </c>
      <c r="B1943" s="219" t="s">
        <v>506</v>
      </c>
      <c r="C1943" s="220"/>
      <c r="D1943" s="573"/>
      <c r="E1943" s="573">
        <v>0</v>
      </c>
      <c r="F1943" s="574"/>
      <c r="G1943" s="89"/>
      <c r="H1943" s="89"/>
      <c r="I1943" s="501"/>
      <c r="J1943" s="575"/>
      <c r="K1943" s="540"/>
      <c r="L1943" s="540"/>
      <c r="N1943" s="494"/>
      <c r="P1943" s="576"/>
    </row>
    <row r="1944" spans="1:16" s="497" customFormat="1" ht="15.5">
      <c r="A1944" s="221" t="s">
        <v>8</v>
      </c>
      <c r="B1944" s="216" t="s">
        <v>507</v>
      </c>
      <c r="C1944" s="222" t="s">
        <v>133</v>
      </c>
      <c r="D1944" s="89">
        <v>900</v>
      </c>
      <c r="E1944" s="89">
        <v>2100</v>
      </c>
      <c r="F1944" s="577">
        <v>523</v>
      </c>
      <c r="G1944" s="8">
        <f>D1944*$F1944</f>
        <v>470700</v>
      </c>
      <c r="H1944" s="8">
        <f>E1944*$F1944</f>
        <v>1098300</v>
      </c>
      <c r="I1944" s="501"/>
      <c r="J1944" s="575" t="s">
        <v>6</v>
      </c>
      <c r="K1944" s="540" t="s">
        <v>211</v>
      </c>
      <c r="L1944" s="540" t="s">
        <v>99</v>
      </c>
      <c r="N1944" s="494"/>
      <c r="P1944" s="580" t="s">
        <v>625</v>
      </c>
    </row>
    <row r="1945" spans="1:16" s="497" customFormat="1" ht="28">
      <c r="A1945" s="221" t="s">
        <v>8</v>
      </c>
      <c r="B1945" s="216" t="s">
        <v>626</v>
      </c>
      <c r="C1945" s="222" t="s">
        <v>24</v>
      </c>
      <c r="D1945" s="89"/>
      <c r="E1945" s="573">
        <v>400</v>
      </c>
      <c r="F1945" s="577">
        <v>855</v>
      </c>
      <c r="G1945" s="8">
        <f>D1945*$F1945</f>
        <v>0</v>
      </c>
      <c r="H1945" s="8">
        <f>E1945*$F1945</f>
        <v>342000</v>
      </c>
      <c r="I1945" s="501"/>
      <c r="J1945" s="575" t="s">
        <v>6</v>
      </c>
      <c r="K1945" s="540" t="s">
        <v>211</v>
      </c>
      <c r="L1945" s="540" t="s">
        <v>99</v>
      </c>
      <c r="N1945" s="494">
        <f>11*10*4+2*20*4</f>
        <v>600</v>
      </c>
      <c r="P1945" s="208" t="s">
        <v>627</v>
      </c>
    </row>
    <row r="1946" spans="1:16" s="497" customFormat="1" ht="14">
      <c r="A1946" s="218" t="s">
        <v>1391</v>
      </c>
      <c r="B1946" s="219" t="s">
        <v>510</v>
      </c>
      <c r="C1946" s="220"/>
      <c r="D1946" s="573"/>
      <c r="E1946" s="573">
        <v>0</v>
      </c>
      <c r="F1946" s="574"/>
      <c r="G1946" s="89"/>
      <c r="H1946" s="89"/>
      <c r="I1946" s="501"/>
      <c r="J1946" s="575"/>
      <c r="K1946" s="575"/>
      <c r="L1946" s="575"/>
      <c r="N1946" s="494"/>
      <c r="P1946" s="576"/>
    </row>
    <row r="1947" spans="1:16" s="497" customFormat="1" ht="14">
      <c r="A1947" s="221" t="s">
        <v>8</v>
      </c>
      <c r="B1947" s="216" t="s">
        <v>628</v>
      </c>
      <c r="C1947" s="222" t="s">
        <v>15</v>
      </c>
      <c r="D1947" s="573"/>
      <c r="E1947" s="573">
        <v>0</v>
      </c>
      <c r="F1947" s="228">
        <v>2400</v>
      </c>
      <c r="G1947" s="2">
        <f>D1947*$F1947</f>
        <v>0</v>
      </c>
      <c r="H1947" s="2">
        <f>E1947*$F1947</f>
        <v>0</v>
      </c>
      <c r="I1947" s="501"/>
      <c r="J1947" s="575" t="s">
        <v>6</v>
      </c>
      <c r="K1947" s="540" t="s">
        <v>211</v>
      </c>
      <c r="L1947" s="540" t="s">
        <v>99</v>
      </c>
      <c r="N1947" s="494"/>
      <c r="P1947" s="576"/>
    </row>
    <row r="1948" spans="1:16" s="497" customFormat="1" ht="14">
      <c r="A1948" s="679" t="s">
        <v>1390</v>
      </c>
      <c r="B1948" s="216" t="s">
        <v>630</v>
      </c>
      <c r="C1948" s="222"/>
      <c r="D1948" s="573"/>
      <c r="E1948" s="573">
        <v>0</v>
      </c>
      <c r="F1948" s="574"/>
      <c r="G1948" s="89"/>
      <c r="H1948" s="89"/>
      <c r="I1948" s="501"/>
      <c r="J1948" s="575"/>
      <c r="K1948" s="575"/>
      <c r="L1948" s="575"/>
      <c r="N1948" s="494"/>
      <c r="P1948" s="576"/>
    </row>
    <row r="1949" spans="1:16" s="497" customFormat="1" ht="15.5">
      <c r="A1949" s="221" t="s">
        <v>8</v>
      </c>
      <c r="B1949" s="216" t="s">
        <v>511</v>
      </c>
      <c r="C1949" s="222" t="s">
        <v>15</v>
      </c>
      <c r="D1949" s="89">
        <v>50</v>
      </c>
      <c r="E1949" s="89">
        <v>150</v>
      </c>
      <c r="F1949" s="577">
        <v>6000</v>
      </c>
      <c r="G1949" s="8">
        <f>D1949*$F1949</f>
        <v>300000</v>
      </c>
      <c r="H1949" s="8">
        <f>E1949*$F1949</f>
        <v>900000</v>
      </c>
      <c r="I1949" s="501"/>
      <c r="J1949" s="575" t="s">
        <v>6</v>
      </c>
      <c r="K1949" s="540" t="s">
        <v>211</v>
      </c>
      <c r="L1949" s="540" t="s">
        <v>99</v>
      </c>
      <c r="N1949" s="494"/>
      <c r="P1949" s="208" t="s">
        <v>631</v>
      </c>
    </row>
    <row r="1950" spans="1:16" s="497" customFormat="1" ht="14">
      <c r="A1950" s="679" t="s">
        <v>1391</v>
      </c>
      <c r="B1950" s="216" t="s">
        <v>633</v>
      </c>
      <c r="C1950" s="222"/>
      <c r="D1950" s="89"/>
      <c r="E1950" s="89">
        <v>0</v>
      </c>
      <c r="F1950" s="574"/>
      <c r="G1950" s="89"/>
      <c r="H1950" s="89"/>
      <c r="I1950" s="501"/>
      <c r="J1950" s="575"/>
      <c r="K1950" s="575"/>
      <c r="L1950" s="575"/>
      <c r="N1950" s="494"/>
      <c r="P1950" s="208"/>
    </row>
    <row r="1951" spans="1:16" s="497" customFormat="1" ht="42">
      <c r="A1951" s="221" t="s">
        <v>8</v>
      </c>
      <c r="B1951" s="216" t="s">
        <v>511</v>
      </c>
      <c r="C1951" s="222" t="s">
        <v>15</v>
      </c>
      <c r="D1951" s="89"/>
      <c r="E1951" s="89">
        <v>224</v>
      </c>
      <c r="F1951" s="577">
        <v>6000</v>
      </c>
      <c r="G1951" s="8">
        <f>D1951*$F1951</f>
        <v>0</v>
      </c>
      <c r="H1951" s="8">
        <f>E1951*$F1951</f>
        <v>1344000</v>
      </c>
      <c r="I1951" s="501"/>
      <c r="J1951" s="575" t="s">
        <v>6</v>
      </c>
      <c r="K1951" s="540" t="s">
        <v>211</v>
      </c>
      <c r="L1951" s="540" t="s">
        <v>99</v>
      </c>
      <c r="N1951" s="494"/>
      <c r="P1951" s="208" t="s">
        <v>634</v>
      </c>
    </row>
    <row r="1952" spans="1:16" s="497" customFormat="1" ht="15.5">
      <c r="A1952" s="221" t="s">
        <v>8</v>
      </c>
      <c r="B1952" s="216" t="s">
        <v>556</v>
      </c>
      <c r="C1952" s="222" t="s">
        <v>15</v>
      </c>
      <c r="D1952" s="573"/>
      <c r="E1952" s="573">
        <v>0</v>
      </c>
      <c r="F1952" s="577">
        <v>9000</v>
      </c>
      <c r="G1952" s="2">
        <f>D1952*$F1952</f>
        <v>0</v>
      </c>
      <c r="H1952" s="2">
        <f>E1952*$F1952</f>
        <v>0</v>
      </c>
      <c r="I1952" s="501"/>
      <c r="J1952" s="575" t="s">
        <v>6</v>
      </c>
      <c r="K1952" s="540" t="s">
        <v>211</v>
      </c>
      <c r="L1952" s="540" t="s">
        <v>99</v>
      </c>
      <c r="N1952" s="494"/>
      <c r="P1952" s="576"/>
    </row>
    <row r="1953" spans="1:16" s="497" customFormat="1" ht="14">
      <c r="A1953" s="218" t="s">
        <v>1392</v>
      </c>
      <c r="B1953" s="219" t="s">
        <v>513</v>
      </c>
      <c r="C1953" s="220"/>
      <c r="D1953" s="573"/>
      <c r="E1953" s="573">
        <v>0</v>
      </c>
      <c r="F1953" s="574"/>
      <c r="G1953" s="89"/>
      <c r="H1953" s="89"/>
      <c r="I1953" s="501"/>
      <c r="J1953" s="575"/>
      <c r="K1953" s="575"/>
      <c r="L1953" s="575"/>
      <c r="N1953" s="494"/>
      <c r="P1953" s="576"/>
    </row>
    <row r="1954" spans="1:16" s="497" customFormat="1" ht="14">
      <c r="A1954" s="221" t="s">
        <v>8</v>
      </c>
      <c r="B1954" s="216" t="s">
        <v>636</v>
      </c>
      <c r="C1954" s="222" t="s">
        <v>24</v>
      </c>
      <c r="D1954" s="573"/>
      <c r="E1954" s="573">
        <v>0</v>
      </c>
      <c r="F1954" s="574"/>
      <c r="G1954" s="2">
        <f t="shared" ref="G1954:H1956" si="391">D1954*$F1954</f>
        <v>0</v>
      </c>
      <c r="H1954" s="2">
        <f t="shared" si="391"/>
        <v>0</v>
      </c>
      <c r="I1954" s="501"/>
      <c r="J1954" s="575" t="s">
        <v>6</v>
      </c>
      <c r="K1954" s="540" t="s">
        <v>211</v>
      </c>
      <c r="L1954" s="540" t="s">
        <v>99</v>
      </c>
      <c r="N1954" s="494"/>
      <c r="P1954" s="576"/>
    </row>
    <row r="1955" spans="1:16" s="497" customFormat="1" ht="15.5">
      <c r="A1955" s="221" t="s">
        <v>8</v>
      </c>
      <c r="B1955" s="216" t="s">
        <v>637</v>
      </c>
      <c r="C1955" s="222" t="s">
        <v>24</v>
      </c>
      <c r="D1955" s="89"/>
      <c r="E1955" s="89">
        <v>112</v>
      </c>
      <c r="F1955" s="577">
        <v>1032</v>
      </c>
      <c r="G1955" s="8">
        <f t="shared" si="391"/>
        <v>0</v>
      </c>
      <c r="H1955" s="8">
        <f t="shared" si="391"/>
        <v>115584</v>
      </c>
      <c r="I1955" s="501"/>
      <c r="J1955" s="575" t="s">
        <v>6</v>
      </c>
      <c r="K1955" s="540" t="s">
        <v>211</v>
      </c>
      <c r="L1955" s="540" t="s">
        <v>99</v>
      </c>
      <c r="N1955" s="494"/>
      <c r="P1955" s="580" t="s">
        <v>638</v>
      </c>
    </row>
    <row r="1956" spans="1:16" s="497" customFormat="1" ht="15.5">
      <c r="A1956" s="221" t="s">
        <v>8</v>
      </c>
      <c r="B1956" s="216" t="s">
        <v>639</v>
      </c>
      <c r="C1956" s="222" t="s">
        <v>24</v>
      </c>
      <c r="D1956" s="89"/>
      <c r="E1956" s="89">
        <v>112</v>
      </c>
      <c r="F1956" s="577">
        <v>1236</v>
      </c>
      <c r="G1956" s="8">
        <f t="shared" si="391"/>
        <v>0</v>
      </c>
      <c r="H1956" s="8">
        <f t="shared" si="391"/>
        <v>138432</v>
      </c>
      <c r="I1956" s="501"/>
      <c r="J1956" s="575" t="s">
        <v>6</v>
      </c>
      <c r="K1956" s="540" t="s">
        <v>211</v>
      </c>
      <c r="L1956" s="540" t="s">
        <v>99</v>
      </c>
      <c r="N1956" s="494"/>
      <c r="P1956" s="580" t="s">
        <v>640</v>
      </c>
    </row>
    <row r="1957" spans="1:16" s="497" customFormat="1" ht="14">
      <c r="A1957" s="218" t="s">
        <v>1393</v>
      </c>
      <c r="B1957" s="219" t="s">
        <v>516</v>
      </c>
      <c r="C1957" s="220"/>
      <c r="D1957" s="573"/>
      <c r="E1957" s="573">
        <v>0</v>
      </c>
      <c r="F1957" s="574"/>
      <c r="G1957" s="89"/>
      <c r="H1957" s="89"/>
      <c r="I1957" s="501"/>
      <c r="J1957" s="575"/>
      <c r="K1957" s="575"/>
      <c r="L1957" s="575"/>
      <c r="N1957" s="494"/>
      <c r="P1957" s="576"/>
    </row>
    <row r="1958" spans="1:16" s="497" customFormat="1" ht="14">
      <c r="A1958" s="218" t="s">
        <v>1394</v>
      </c>
      <c r="B1958" s="219" t="s">
        <v>606</v>
      </c>
      <c r="C1958" s="220"/>
      <c r="D1958" s="573"/>
      <c r="E1958" s="573">
        <v>0</v>
      </c>
      <c r="F1958" s="574"/>
      <c r="G1958" s="89"/>
      <c r="H1958" s="89"/>
      <c r="I1958" s="501"/>
      <c r="J1958" s="575"/>
      <c r="K1958" s="575"/>
      <c r="L1958" s="575"/>
      <c r="N1958" s="494"/>
      <c r="P1958" s="576"/>
    </row>
    <row r="1959" spans="1:16" s="497" customFormat="1" ht="15.5">
      <c r="A1959" s="221" t="s">
        <v>8</v>
      </c>
      <c r="B1959" s="216" t="s">
        <v>607</v>
      </c>
      <c r="C1959" s="222" t="s">
        <v>24</v>
      </c>
      <c r="D1959" s="573"/>
      <c r="E1959" s="573">
        <v>0</v>
      </c>
      <c r="F1959" s="577">
        <v>738</v>
      </c>
      <c r="G1959" s="2">
        <f>D1959*$F1959</f>
        <v>0</v>
      </c>
      <c r="H1959" s="2">
        <f>E1959*$F1959</f>
        <v>0</v>
      </c>
      <c r="I1959" s="501"/>
      <c r="J1959" s="575" t="s">
        <v>6</v>
      </c>
      <c r="K1959" s="540" t="s">
        <v>211</v>
      </c>
      <c r="L1959" s="540" t="s">
        <v>99</v>
      </c>
      <c r="N1959" s="494"/>
      <c r="P1959" s="208"/>
    </row>
    <row r="1960" spans="1:16" s="497" customFormat="1" ht="15.5">
      <c r="A1960" s="221" t="s">
        <v>8</v>
      </c>
      <c r="B1960" s="216" t="s">
        <v>520</v>
      </c>
      <c r="C1960" s="222" t="s">
        <v>15</v>
      </c>
      <c r="D1960" s="573"/>
      <c r="E1960" s="573">
        <v>0</v>
      </c>
      <c r="F1960" s="577">
        <v>180</v>
      </c>
      <c r="G1960" s="2">
        <f>D1960*$F1960</f>
        <v>0</v>
      </c>
      <c r="H1960" s="2">
        <f>E1960*$F1960</f>
        <v>0</v>
      </c>
      <c r="I1960" s="501"/>
      <c r="J1960" s="575" t="s">
        <v>6</v>
      </c>
      <c r="K1960" s="540" t="s">
        <v>211</v>
      </c>
      <c r="L1960" s="540" t="s">
        <v>99</v>
      </c>
      <c r="N1960" s="494"/>
      <c r="P1960" s="576"/>
    </row>
    <row r="1961" spans="1:16" s="497" customFormat="1" ht="14">
      <c r="A1961" s="218" t="s">
        <v>1395</v>
      </c>
      <c r="B1961" s="219" t="s">
        <v>553</v>
      </c>
      <c r="C1961" s="220"/>
      <c r="D1961" s="573"/>
      <c r="E1961" s="573">
        <v>0</v>
      </c>
      <c r="F1961" s="574"/>
      <c r="G1961" s="89"/>
      <c r="H1961" s="89"/>
      <c r="I1961" s="501"/>
      <c r="J1961" s="575"/>
      <c r="K1961" s="575"/>
      <c r="L1961" s="575"/>
      <c r="N1961" s="494"/>
      <c r="P1961" s="576"/>
    </row>
    <row r="1962" spans="1:16" s="497" customFormat="1" ht="15.5">
      <c r="A1962" s="221" t="s">
        <v>8</v>
      </c>
      <c r="B1962" s="216" t="s">
        <v>554</v>
      </c>
      <c r="C1962" s="222" t="s">
        <v>24</v>
      </c>
      <c r="D1962" s="89"/>
      <c r="E1962" s="89">
        <v>50</v>
      </c>
      <c r="F1962" s="577">
        <v>738</v>
      </c>
      <c r="G1962" s="8">
        <f t="shared" ref="G1962:H1964" si="392">D1962*$F1962</f>
        <v>0</v>
      </c>
      <c r="H1962" s="8">
        <f t="shared" si="392"/>
        <v>36900</v>
      </c>
      <c r="I1962" s="501"/>
      <c r="J1962" s="575" t="s">
        <v>6</v>
      </c>
      <c r="K1962" s="540" t="s">
        <v>211</v>
      </c>
      <c r="L1962" s="540" t="s">
        <v>99</v>
      </c>
      <c r="N1962" s="494"/>
      <c r="P1962" s="208" t="s">
        <v>1264</v>
      </c>
    </row>
    <row r="1963" spans="1:16" s="497" customFormat="1" ht="15.5">
      <c r="A1963" s="221" t="s">
        <v>8</v>
      </c>
      <c r="B1963" s="216" t="s">
        <v>520</v>
      </c>
      <c r="C1963" s="222" t="s">
        <v>15</v>
      </c>
      <c r="D1963" s="89"/>
      <c r="E1963" s="89">
        <v>200</v>
      </c>
      <c r="F1963" s="577">
        <v>180</v>
      </c>
      <c r="G1963" s="8">
        <f t="shared" si="392"/>
        <v>0</v>
      </c>
      <c r="H1963" s="8">
        <f t="shared" si="392"/>
        <v>36000</v>
      </c>
      <c r="I1963" s="501"/>
      <c r="J1963" s="575" t="s">
        <v>6</v>
      </c>
      <c r="K1963" s="540" t="s">
        <v>211</v>
      </c>
      <c r="L1963" s="540" t="s">
        <v>99</v>
      </c>
      <c r="N1963" s="494"/>
      <c r="P1963" s="208" t="s">
        <v>1264</v>
      </c>
    </row>
    <row r="1964" spans="1:16" s="497" customFormat="1" ht="15.5">
      <c r="A1964" s="221" t="s">
        <v>8</v>
      </c>
      <c r="B1964" s="216" t="s">
        <v>555</v>
      </c>
      <c r="C1964" s="222" t="s">
        <v>15</v>
      </c>
      <c r="D1964" s="573"/>
      <c r="E1964" s="573">
        <v>0</v>
      </c>
      <c r="F1964" s="578">
        <v>314</v>
      </c>
      <c r="G1964" s="2">
        <f t="shared" si="392"/>
        <v>0</v>
      </c>
      <c r="H1964" s="2">
        <f t="shared" si="392"/>
        <v>0</v>
      </c>
      <c r="I1964" s="501"/>
      <c r="J1964" s="575" t="s">
        <v>6</v>
      </c>
      <c r="K1964" s="540" t="s">
        <v>211</v>
      </c>
      <c r="L1964" s="540" t="s">
        <v>99</v>
      </c>
      <c r="N1964" s="494"/>
      <c r="P1964" s="208" t="s">
        <v>1264</v>
      </c>
    </row>
    <row r="1965" spans="1:16" s="497" customFormat="1" ht="14">
      <c r="A1965" s="680" t="s">
        <v>1396</v>
      </c>
      <c r="B1965" s="219" t="s">
        <v>563</v>
      </c>
      <c r="C1965" s="220"/>
      <c r="D1965" s="573"/>
      <c r="E1965" s="573">
        <v>0</v>
      </c>
      <c r="F1965" s="574"/>
      <c r="G1965" s="89"/>
      <c r="H1965" s="89"/>
      <c r="I1965" s="501"/>
      <c r="J1965" s="575"/>
      <c r="K1965" s="575"/>
      <c r="L1965" s="575"/>
      <c r="N1965" s="494"/>
      <c r="P1965" s="576"/>
    </row>
    <row r="1966" spans="1:16" s="497" customFormat="1" ht="15.5">
      <c r="A1966" s="221" t="s">
        <v>8</v>
      </c>
      <c r="B1966" s="216" t="s">
        <v>645</v>
      </c>
      <c r="C1966" s="222" t="s">
        <v>31</v>
      </c>
      <c r="D1966" s="573"/>
      <c r="E1966" s="573">
        <v>0</v>
      </c>
      <c r="F1966" s="577">
        <v>250</v>
      </c>
      <c r="G1966" s="2">
        <f>D1966*$F1966</f>
        <v>0</v>
      </c>
      <c r="H1966" s="2">
        <f>E1966*$F1966</f>
        <v>0</v>
      </c>
      <c r="I1966" s="501"/>
      <c r="J1966" s="575" t="s">
        <v>6</v>
      </c>
      <c r="K1966" s="540" t="s">
        <v>211</v>
      </c>
      <c r="L1966" s="540" t="s">
        <v>99</v>
      </c>
      <c r="N1966" s="494"/>
      <c r="P1966" s="576"/>
    </row>
    <row r="1967" spans="1:16" s="497" customFormat="1" ht="15.5">
      <c r="A1967" s="221" t="s">
        <v>8</v>
      </c>
      <c r="B1967" s="216" t="s">
        <v>564</v>
      </c>
      <c r="C1967" s="222" t="s">
        <v>31</v>
      </c>
      <c r="D1967" s="89"/>
      <c r="E1967" s="89">
        <v>0</v>
      </c>
      <c r="F1967" s="577">
        <v>381</v>
      </c>
      <c r="G1967" s="8">
        <f>D1967*$F1967</f>
        <v>0</v>
      </c>
      <c r="H1967" s="8">
        <f>E1967*$F1967</f>
        <v>0</v>
      </c>
      <c r="I1967" s="501"/>
      <c r="J1967" s="575" t="s">
        <v>6</v>
      </c>
      <c r="K1967" s="540" t="s">
        <v>211</v>
      </c>
      <c r="L1967" s="540" t="s">
        <v>99</v>
      </c>
      <c r="N1967" s="494"/>
      <c r="P1967" s="208"/>
    </row>
    <row r="1968" spans="1:16" s="497" customFormat="1" ht="14">
      <c r="A1968" s="680" t="s">
        <v>1397</v>
      </c>
      <c r="B1968" s="219" t="s">
        <v>647</v>
      </c>
      <c r="C1968" s="220"/>
      <c r="D1968" s="573"/>
      <c r="E1968" s="573">
        <v>0</v>
      </c>
      <c r="F1968" s="574"/>
      <c r="G1968" s="89"/>
      <c r="H1968" s="89"/>
      <c r="I1968" s="501"/>
      <c r="J1968" s="575"/>
      <c r="K1968" s="575"/>
      <c r="L1968" s="575"/>
      <c r="N1968" s="494"/>
      <c r="P1968" s="576"/>
    </row>
    <row r="1969" spans="1:16" s="497" customFormat="1" ht="14">
      <c r="A1969" s="680" t="s">
        <v>1398</v>
      </c>
      <c r="B1969" s="219" t="s">
        <v>553</v>
      </c>
      <c r="C1969" s="220"/>
      <c r="D1969" s="573"/>
      <c r="E1969" s="573">
        <v>0</v>
      </c>
      <c r="F1969" s="574"/>
      <c r="G1969" s="89"/>
      <c r="H1969" s="89"/>
      <c r="I1969" s="501"/>
      <c r="J1969" s="575"/>
      <c r="K1969" s="575"/>
      <c r="L1969" s="575"/>
      <c r="N1969" s="494"/>
      <c r="P1969" s="576"/>
    </row>
    <row r="1970" spans="1:16" s="497" customFormat="1" ht="15.5">
      <c r="A1970" s="221" t="s">
        <v>8</v>
      </c>
      <c r="B1970" s="216" t="s">
        <v>554</v>
      </c>
      <c r="C1970" s="222" t="s">
        <v>24</v>
      </c>
      <c r="D1970" s="573"/>
      <c r="E1970" s="573">
        <v>0</v>
      </c>
      <c r="F1970" s="577">
        <v>738</v>
      </c>
      <c r="G1970" s="2">
        <f t="shared" ref="G1970:H1972" si="393">D1970*$F1970</f>
        <v>0</v>
      </c>
      <c r="H1970" s="2">
        <f t="shared" si="393"/>
        <v>0</v>
      </c>
      <c r="I1970" s="501"/>
      <c r="J1970" s="575" t="s">
        <v>6</v>
      </c>
      <c r="K1970" s="540" t="s">
        <v>211</v>
      </c>
      <c r="L1970" s="540" t="s">
        <v>99</v>
      </c>
      <c r="N1970" s="494"/>
      <c r="P1970" s="576"/>
    </row>
    <row r="1971" spans="1:16" s="497" customFormat="1" ht="15.5">
      <c r="A1971" s="221" t="s">
        <v>8</v>
      </c>
      <c r="B1971" s="216" t="s">
        <v>520</v>
      </c>
      <c r="C1971" s="222" t="s">
        <v>15</v>
      </c>
      <c r="D1971" s="573"/>
      <c r="E1971" s="573">
        <v>0</v>
      </c>
      <c r="F1971" s="577">
        <v>180</v>
      </c>
      <c r="G1971" s="2">
        <f t="shared" si="393"/>
        <v>0</v>
      </c>
      <c r="H1971" s="2">
        <f t="shared" si="393"/>
        <v>0</v>
      </c>
      <c r="I1971" s="501"/>
      <c r="J1971" s="575" t="s">
        <v>6</v>
      </c>
      <c r="K1971" s="540" t="s">
        <v>211</v>
      </c>
      <c r="L1971" s="540" t="s">
        <v>99</v>
      </c>
      <c r="N1971" s="494"/>
      <c r="P1971" s="576"/>
    </row>
    <row r="1972" spans="1:16" s="497" customFormat="1" ht="15.5">
      <c r="A1972" s="221" t="s">
        <v>8</v>
      </c>
      <c r="B1972" s="216" t="s">
        <v>555</v>
      </c>
      <c r="C1972" s="222" t="s">
        <v>15</v>
      </c>
      <c r="D1972" s="573"/>
      <c r="E1972" s="573">
        <v>0</v>
      </c>
      <c r="F1972" s="578">
        <v>314</v>
      </c>
      <c r="G1972" s="2">
        <f t="shared" si="393"/>
        <v>0</v>
      </c>
      <c r="H1972" s="2">
        <f t="shared" si="393"/>
        <v>0</v>
      </c>
      <c r="I1972" s="501"/>
      <c r="J1972" s="575" t="s">
        <v>6</v>
      </c>
      <c r="K1972" s="540" t="s">
        <v>211</v>
      </c>
      <c r="L1972" s="540" t="s">
        <v>99</v>
      </c>
      <c r="N1972" s="494"/>
      <c r="P1972" s="576"/>
    </row>
    <row r="1973" spans="1:16" s="497" customFormat="1" ht="14">
      <c r="A1973" s="680" t="s">
        <v>1399</v>
      </c>
      <c r="B1973" s="219" t="s">
        <v>650</v>
      </c>
      <c r="C1973" s="220"/>
      <c r="D1973" s="573"/>
      <c r="E1973" s="573">
        <v>0</v>
      </c>
      <c r="F1973" s="574"/>
      <c r="G1973" s="89"/>
      <c r="H1973" s="89"/>
      <c r="I1973" s="501"/>
      <c r="J1973" s="575"/>
      <c r="K1973" s="575"/>
      <c r="L1973" s="575"/>
      <c r="N1973" s="494"/>
      <c r="P1973" s="576"/>
    </row>
    <row r="1974" spans="1:16" s="497" customFormat="1" ht="15.5">
      <c r="A1974" s="221" t="s">
        <v>8</v>
      </c>
      <c r="B1974" s="216" t="s">
        <v>524</v>
      </c>
      <c r="C1974" s="222" t="s">
        <v>10</v>
      </c>
      <c r="D1974" s="573"/>
      <c r="E1974" s="573">
        <v>0</v>
      </c>
      <c r="F1974" s="579">
        <v>4000</v>
      </c>
      <c r="G1974" s="2">
        <f>D1974*$F1974</f>
        <v>0</v>
      </c>
      <c r="H1974" s="2">
        <f>E1974*$F1974</f>
        <v>0</v>
      </c>
      <c r="I1974" s="501"/>
      <c r="J1974" s="575" t="s">
        <v>6</v>
      </c>
      <c r="K1974" s="540" t="s">
        <v>211</v>
      </c>
      <c r="L1974" s="540" t="s">
        <v>99</v>
      </c>
      <c r="N1974" s="494"/>
      <c r="P1974" s="576"/>
    </row>
    <row r="1975" spans="1:16" s="497" customFormat="1" ht="15.5">
      <c r="A1975" s="221" t="s">
        <v>8</v>
      </c>
      <c r="B1975" s="216" t="s">
        <v>525</v>
      </c>
      <c r="C1975" s="222" t="s">
        <v>10</v>
      </c>
      <c r="D1975" s="573"/>
      <c r="E1975" s="573">
        <v>0</v>
      </c>
      <c r="F1975" s="579">
        <v>6000</v>
      </c>
      <c r="G1975" s="2">
        <f>D1975*$F1975</f>
        <v>0</v>
      </c>
      <c r="H1975" s="2">
        <f>E1975*$F1975</f>
        <v>0</v>
      </c>
      <c r="I1975" s="501"/>
      <c r="J1975" s="575" t="s">
        <v>6</v>
      </c>
      <c r="K1975" s="540" t="s">
        <v>211</v>
      </c>
      <c r="L1975" s="540" t="s">
        <v>99</v>
      </c>
      <c r="N1975" s="494"/>
      <c r="P1975" s="576"/>
    </row>
    <row r="1976" spans="1:16" s="497" customFormat="1" ht="14">
      <c r="A1976" s="680" t="s">
        <v>1400</v>
      </c>
      <c r="B1976" s="219" t="s">
        <v>652</v>
      </c>
      <c r="C1976" s="220"/>
      <c r="D1976" s="573"/>
      <c r="E1976" s="573">
        <v>0</v>
      </c>
      <c r="F1976" s="574"/>
      <c r="G1976" s="89"/>
      <c r="H1976" s="89"/>
      <c r="I1976" s="501"/>
      <c r="J1976" s="575"/>
      <c r="K1976" s="575"/>
      <c r="L1976" s="575"/>
      <c r="N1976" s="494"/>
      <c r="P1976" s="576"/>
    </row>
    <row r="1977" spans="1:16" s="497" customFormat="1" ht="14">
      <c r="A1977" s="680" t="s">
        <v>1401</v>
      </c>
      <c r="B1977" s="219" t="s">
        <v>553</v>
      </c>
      <c r="C1977" s="220"/>
      <c r="D1977" s="573"/>
      <c r="E1977" s="573">
        <v>0</v>
      </c>
      <c r="F1977" s="574"/>
      <c r="G1977" s="89"/>
      <c r="H1977" s="89"/>
      <c r="I1977" s="501"/>
      <c r="J1977" s="575"/>
      <c r="K1977" s="575"/>
      <c r="L1977" s="575"/>
      <c r="N1977" s="494"/>
      <c r="P1977" s="576"/>
    </row>
    <row r="1978" spans="1:16" s="497" customFormat="1" ht="15.5">
      <c r="A1978" s="221" t="s">
        <v>8</v>
      </c>
      <c r="B1978" s="216" t="s">
        <v>554</v>
      </c>
      <c r="C1978" s="222" t="s">
        <v>24</v>
      </c>
      <c r="D1978" s="89"/>
      <c r="E1978" s="89">
        <v>274</v>
      </c>
      <c r="F1978" s="577">
        <v>738</v>
      </c>
      <c r="G1978" s="8">
        <f t="shared" ref="G1978:H1980" si="394">D1978*$F1978</f>
        <v>0</v>
      </c>
      <c r="H1978" s="8">
        <f t="shared" si="394"/>
        <v>202212</v>
      </c>
      <c r="I1978" s="501"/>
      <c r="J1978" s="575" t="s">
        <v>6</v>
      </c>
      <c r="K1978" s="540" t="s">
        <v>211</v>
      </c>
      <c r="L1978" s="540" t="s">
        <v>99</v>
      </c>
      <c r="N1978" s="494"/>
      <c r="P1978" s="208" t="s">
        <v>654</v>
      </c>
    </row>
    <row r="1979" spans="1:16" s="497" customFormat="1" ht="15.5">
      <c r="A1979" s="221" t="s">
        <v>8</v>
      </c>
      <c r="B1979" s="216" t="s">
        <v>520</v>
      </c>
      <c r="C1979" s="222" t="s">
        <v>15</v>
      </c>
      <c r="D1979" s="89"/>
      <c r="E1979" s="89">
        <v>1096</v>
      </c>
      <c r="F1979" s="577">
        <v>180</v>
      </c>
      <c r="G1979" s="8">
        <f t="shared" si="394"/>
        <v>0</v>
      </c>
      <c r="H1979" s="8">
        <f t="shared" si="394"/>
        <v>197280</v>
      </c>
      <c r="I1979" s="501"/>
      <c r="J1979" s="575" t="s">
        <v>6</v>
      </c>
      <c r="K1979" s="540" t="s">
        <v>211</v>
      </c>
      <c r="L1979" s="540" t="s">
        <v>99</v>
      </c>
      <c r="N1979" s="494"/>
      <c r="P1979" s="208" t="s">
        <v>654</v>
      </c>
    </row>
    <row r="1980" spans="1:16" s="497" customFormat="1" ht="15.5">
      <c r="A1980" s="221" t="s">
        <v>8</v>
      </c>
      <c r="B1980" s="216" t="s">
        <v>555</v>
      </c>
      <c r="C1980" s="222" t="s">
        <v>15</v>
      </c>
      <c r="D1980" s="89"/>
      <c r="E1980" s="89">
        <v>1370</v>
      </c>
      <c r="F1980" s="578">
        <v>314</v>
      </c>
      <c r="G1980" s="8">
        <f t="shared" si="394"/>
        <v>0</v>
      </c>
      <c r="H1980" s="8">
        <f t="shared" si="394"/>
        <v>430180</v>
      </c>
      <c r="I1980" s="501"/>
      <c r="J1980" s="575" t="s">
        <v>6</v>
      </c>
      <c r="K1980" s="540" t="s">
        <v>211</v>
      </c>
      <c r="L1980" s="540" t="s">
        <v>99</v>
      </c>
      <c r="N1980" s="494"/>
      <c r="P1980" s="208" t="s">
        <v>654</v>
      </c>
    </row>
    <row r="1981" spans="1:16" s="497" customFormat="1" ht="14">
      <c r="A1981" s="680" t="s">
        <v>1402</v>
      </c>
      <c r="B1981" s="219" t="s">
        <v>650</v>
      </c>
      <c r="C1981" s="220"/>
      <c r="D1981" s="573"/>
      <c r="E1981" s="573">
        <v>0</v>
      </c>
      <c r="F1981" s="574"/>
      <c r="G1981" s="89"/>
      <c r="H1981" s="89"/>
      <c r="I1981" s="501"/>
      <c r="J1981" s="575"/>
      <c r="K1981" s="575"/>
      <c r="L1981" s="575"/>
      <c r="N1981" s="494"/>
      <c r="P1981" s="576"/>
    </row>
    <row r="1982" spans="1:16" s="497" customFormat="1" ht="15.5">
      <c r="A1982" s="221" t="s">
        <v>8</v>
      </c>
      <c r="B1982" s="216" t="s">
        <v>524</v>
      </c>
      <c r="C1982" s="222" t="s">
        <v>10</v>
      </c>
      <c r="D1982" s="89"/>
      <c r="E1982" s="89">
        <v>274</v>
      </c>
      <c r="F1982" s="579">
        <v>4000</v>
      </c>
      <c r="G1982" s="8">
        <f>D1982*$F1982</f>
        <v>0</v>
      </c>
      <c r="H1982" s="8">
        <f>E1982*$F1982</f>
        <v>1096000</v>
      </c>
      <c r="I1982" s="501"/>
      <c r="J1982" s="575" t="s">
        <v>6</v>
      </c>
      <c r="K1982" s="540" t="s">
        <v>211</v>
      </c>
      <c r="L1982" s="540" t="s">
        <v>99</v>
      </c>
      <c r="N1982" s="494"/>
      <c r="P1982" s="208" t="s">
        <v>654</v>
      </c>
    </row>
    <row r="1983" spans="1:16" s="497" customFormat="1" ht="15.5">
      <c r="A1983" s="221" t="s">
        <v>8</v>
      </c>
      <c r="B1983" s="216" t="s">
        <v>525</v>
      </c>
      <c r="C1983" s="222" t="s">
        <v>10</v>
      </c>
      <c r="D1983" s="573"/>
      <c r="E1983" s="573">
        <v>0</v>
      </c>
      <c r="F1983" s="579">
        <v>6000</v>
      </c>
      <c r="G1983" s="2">
        <f>D1983*$F1983</f>
        <v>0</v>
      </c>
      <c r="H1983" s="2">
        <f>E1983*$F1983</f>
        <v>0</v>
      </c>
      <c r="I1983" s="501"/>
      <c r="J1983" s="575" t="s">
        <v>6</v>
      </c>
      <c r="K1983" s="540" t="s">
        <v>211</v>
      </c>
      <c r="L1983" s="540" t="s">
        <v>99</v>
      </c>
      <c r="N1983" s="494"/>
      <c r="P1983" s="576"/>
    </row>
    <row r="1984" spans="1:16" s="497" customFormat="1" ht="14">
      <c r="A1984" s="680" t="s">
        <v>1403</v>
      </c>
      <c r="B1984" s="219" t="s">
        <v>657</v>
      </c>
      <c r="C1984" s="220"/>
      <c r="D1984" s="573"/>
      <c r="E1984" s="573">
        <v>0</v>
      </c>
      <c r="F1984" s="574"/>
      <c r="G1984" s="89"/>
      <c r="H1984" s="89"/>
      <c r="I1984" s="501"/>
      <c r="J1984" s="575"/>
      <c r="K1984" s="575"/>
      <c r="L1984" s="575"/>
      <c r="N1984" s="494"/>
      <c r="P1984" s="576"/>
    </row>
    <row r="1985" spans="1:16" s="497" customFormat="1" ht="56">
      <c r="A1985" s="221" t="s">
        <v>8</v>
      </c>
      <c r="B1985" s="216" t="s">
        <v>618</v>
      </c>
      <c r="C1985" s="222" t="s">
        <v>24</v>
      </c>
      <c r="D1985" s="89">
        <v>0</v>
      </c>
      <c r="E1985" s="89">
        <v>1000</v>
      </c>
      <c r="F1985" s="577">
        <v>880</v>
      </c>
      <c r="G1985" s="8">
        <f t="shared" ref="G1985:G1999" si="395">D1985*$F1985</f>
        <v>0</v>
      </c>
      <c r="H1985" s="8">
        <f t="shared" ref="H1985:H1999" si="396">E1985*$F1985</f>
        <v>880000</v>
      </c>
      <c r="I1985" s="501"/>
      <c r="J1985" s="575" t="s">
        <v>6</v>
      </c>
      <c r="K1985" s="540" t="s">
        <v>211</v>
      </c>
      <c r="L1985" s="540" t="s">
        <v>99</v>
      </c>
      <c r="N1985" s="494"/>
      <c r="P1985" s="681" t="s">
        <v>658</v>
      </c>
    </row>
    <row r="1986" spans="1:16" s="497" customFormat="1" ht="15.5">
      <c r="A1986" s="221" t="s">
        <v>8</v>
      </c>
      <c r="B1986" s="216" t="s">
        <v>659</v>
      </c>
      <c r="C1986" s="222" t="s">
        <v>15</v>
      </c>
      <c r="D1986" s="573"/>
      <c r="E1986" s="573">
        <v>0</v>
      </c>
      <c r="F1986" s="577">
        <v>45</v>
      </c>
      <c r="G1986" s="2">
        <f t="shared" si="395"/>
        <v>0</v>
      </c>
      <c r="H1986" s="2">
        <f t="shared" si="396"/>
        <v>0</v>
      </c>
      <c r="I1986" s="501"/>
      <c r="J1986" s="575" t="s">
        <v>6</v>
      </c>
      <c r="K1986" s="540" t="s">
        <v>211</v>
      </c>
      <c r="L1986" s="540" t="s">
        <v>99</v>
      </c>
      <c r="N1986" s="494"/>
      <c r="P1986" s="576"/>
    </row>
    <row r="1987" spans="1:16" s="497" customFormat="1" ht="15.5">
      <c r="A1987" s="221" t="s">
        <v>8</v>
      </c>
      <c r="B1987" s="216" t="s">
        <v>660</v>
      </c>
      <c r="C1987" s="222" t="s">
        <v>133</v>
      </c>
      <c r="D1987" s="573"/>
      <c r="E1987" s="573">
        <v>0</v>
      </c>
      <c r="F1987" s="577">
        <v>50</v>
      </c>
      <c r="G1987" s="2">
        <f t="shared" si="395"/>
        <v>0</v>
      </c>
      <c r="H1987" s="2">
        <f t="shared" si="396"/>
        <v>0</v>
      </c>
      <c r="I1987" s="501"/>
      <c r="J1987" s="575" t="s">
        <v>6</v>
      </c>
      <c r="K1987" s="540" t="s">
        <v>211</v>
      </c>
      <c r="L1987" s="540" t="s">
        <v>99</v>
      </c>
      <c r="N1987" s="494"/>
      <c r="P1987" s="576"/>
    </row>
    <row r="1988" spans="1:16" s="497" customFormat="1" ht="15.5">
      <c r="A1988" s="221" t="s">
        <v>8</v>
      </c>
      <c r="B1988" s="216" t="s">
        <v>661</v>
      </c>
      <c r="C1988" s="222" t="s">
        <v>15</v>
      </c>
      <c r="D1988" s="573"/>
      <c r="E1988" s="573">
        <v>0</v>
      </c>
      <c r="F1988" s="577">
        <v>350</v>
      </c>
      <c r="G1988" s="2">
        <f t="shared" si="395"/>
        <v>0</v>
      </c>
      <c r="H1988" s="2">
        <f t="shared" si="396"/>
        <v>0</v>
      </c>
      <c r="I1988" s="501"/>
      <c r="J1988" s="575" t="s">
        <v>6</v>
      </c>
      <c r="K1988" s="540" t="s">
        <v>211</v>
      </c>
      <c r="L1988" s="540" t="s">
        <v>99</v>
      </c>
      <c r="N1988" s="494"/>
      <c r="P1988" s="576"/>
    </row>
    <row r="1989" spans="1:16" s="497" customFormat="1" ht="15.5">
      <c r="A1989" s="221" t="s">
        <v>8</v>
      </c>
      <c r="B1989" s="216" t="s">
        <v>662</v>
      </c>
      <c r="C1989" s="222" t="s">
        <v>15</v>
      </c>
      <c r="D1989" s="573"/>
      <c r="E1989" s="573">
        <v>0</v>
      </c>
      <c r="F1989" s="577">
        <v>90</v>
      </c>
      <c r="G1989" s="2">
        <f t="shared" si="395"/>
        <v>0</v>
      </c>
      <c r="H1989" s="2">
        <f t="shared" si="396"/>
        <v>0</v>
      </c>
      <c r="I1989" s="501"/>
      <c r="J1989" s="575" t="s">
        <v>6</v>
      </c>
      <c r="K1989" s="540" t="s">
        <v>211</v>
      </c>
      <c r="L1989" s="540" t="s">
        <v>99</v>
      </c>
      <c r="N1989" s="494"/>
      <c r="P1989" s="576"/>
    </row>
    <row r="1990" spans="1:16" s="497" customFormat="1" ht="15.5">
      <c r="A1990" s="221" t="s">
        <v>8</v>
      </c>
      <c r="B1990" s="216" t="s">
        <v>663</v>
      </c>
      <c r="C1990" s="222" t="s">
        <v>15</v>
      </c>
      <c r="D1990" s="573"/>
      <c r="E1990" s="573">
        <v>0</v>
      </c>
      <c r="F1990" s="577">
        <v>30</v>
      </c>
      <c r="G1990" s="2">
        <f t="shared" si="395"/>
        <v>0</v>
      </c>
      <c r="H1990" s="2">
        <f t="shared" si="396"/>
        <v>0</v>
      </c>
      <c r="I1990" s="501"/>
      <c r="J1990" s="575" t="s">
        <v>6</v>
      </c>
      <c r="K1990" s="540" t="s">
        <v>211</v>
      </c>
      <c r="L1990" s="540" t="s">
        <v>99</v>
      </c>
      <c r="N1990" s="494"/>
      <c r="P1990" s="576"/>
    </row>
    <row r="1991" spans="1:16" s="497" customFormat="1" ht="15.5">
      <c r="A1991" s="221" t="s">
        <v>8</v>
      </c>
      <c r="B1991" s="216" t="s">
        <v>664</v>
      </c>
      <c r="C1991" s="222" t="s">
        <v>24</v>
      </c>
      <c r="D1991" s="573"/>
      <c r="E1991" s="573">
        <v>0</v>
      </c>
      <c r="F1991" s="577">
        <v>2.5</v>
      </c>
      <c r="G1991" s="2">
        <f t="shared" si="395"/>
        <v>0</v>
      </c>
      <c r="H1991" s="2">
        <f t="shared" si="396"/>
        <v>0</v>
      </c>
      <c r="I1991" s="501"/>
      <c r="J1991" s="575" t="s">
        <v>6</v>
      </c>
      <c r="K1991" s="540" t="s">
        <v>211</v>
      </c>
      <c r="L1991" s="540" t="s">
        <v>99</v>
      </c>
      <c r="N1991" s="494"/>
      <c r="P1991" s="576"/>
    </row>
    <row r="1992" spans="1:16" s="497" customFormat="1" ht="15.5">
      <c r="A1992" s="221" t="s">
        <v>8</v>
      </c>
      <c r="B1992" s="216" t="s">
        <v>665</v>
      </c>
      <c r="C1992" s="222" t="s">
        <v>15</v>
      </c>
      <c r="D1992" s="573"/>
      <c r="E1992" s="573">
        <v>0</v>
      </c>
      <c r="F1992" s="577">
        <v>8</v>
      </c>
      <c r="G1992" s="2">
        <f t="shared" si="395"/>
        <v>0</v>
      </c>
      <c r="H1992" s="2">
        <f t="shared" si="396"/>
        <v>0</v>
      </c>
      <c r="I1992" s="501"/>
      <c r="J1992" s="575" t="s">
        <v>6</v>
      </c>
      <c r="K1992" s="540" t="s">
        <v>211</v>
      </c>
      <c r="L1992" s="540" t="s">
        <v>99</v>
      </c>
      <c r="N1992" s="494"/>
      <c r="P1992" s="576"/>
    </row>
    <row r="1993" spans="1:16" s="497" customFormat="1" ht="15.5">
      <c r="A1993" s="221" t="s">
        <v>8</v>
      </c>
      <c r="B1993" s="216" t="s">
        <v>154</v>
      </c>
      <c r="C1993" s="222" t="s">
        <v>15</v>
      </c>
      <c r="D1993" s="573"/>
      <c r="E1993" s="573">
        <v>0</v>
      </c>
      <c r="F1993" s="577">
        <v>4.25</v>
      </c>
      <c r="G1993" s="2">
        <f t="shared" si="395"/>
        <v>0</v>
      </c>
      <c r="H1993" s="2">
        <f t="shared" si="396"/>
        <v>0</v>
      </c>
      <c r="I1993" s="501"/>
      <c r="J1993" s="575" t="s">
        <v>6</v>
      </c>
      <c r="K1993" s="540" t="s">
        <v>211</v>
      </c>
      <c r="L1993" s="540" t="s">
        <v>99</v>
      </c>
      <c r="N1993" s="494"/>
      <c r="P1993" s="576"/>
    </row>
    <row r="1994" spans="1:16" s="497" customFormat="1" ht="15.5">
      <c r="A1994" s="221" t="s">
        <v>8</v>
      </c>
      <c r="B1994" s="216" t="s">
        <v>153</v>
      </c>
      <c r="C1994" s="222" t="s">
        <v>15</v>
      </c>
      <c r="D1994" s="573"/>
      <c r="E1994" s="573">
        <v>0</v>
      </c>
      <c r="F1994" s="577">
        <v>14.4</v>
      </c>
      <c r="G1994" s="2">
        <f t="shared" si="395"/>
        <v>0</v>
      </c>
      <c r="H1994" s="2">
        <f t="shared" si="396"/>
        <v>0</v>
      </c>
      <c r="I1994" s="501"/>
      <c r="J1994" s="575" t="s">
        <v>6</v>
      </c>
      <c r="K1994" s="540" t="s">
        <v>211</v>
      </c>
      <c r="L1994" s="540" t="s">
        <v>99</v>
      </c>
      <c r="N1994" s="494"/>
      <c r="P1994" s="576"/>
    </row>
    <row r="1995" spans="1:16" s="497" customFormat="1" ht="15.5">
      <c r="A1995" s="221" t="s">
        <v>8</v>
      </c>
      <c r="B1995" s="216" t="s">
        <v>666</v>
      </c>
      <c r="C1995" s="222" t="s">
        <v>9</v>
      </c>
      <c r="D1995" s="89">
        <v>1</v>
      </c>
      <c r="E1995" s="89">
        <v>1</v>
      </c>
      <c r="F1995" s="577">
        <v>200000</v>
      </c>
      <c r="G1995" s="8">
        <f t="shared" si="395"/>
        <v>200000</v>
      </c>
      <c r="H1995" s="8">
        <f t="shared" si="396"/>
        <v>200000</v>
      </c>
      <c r="I1995" s="501"/>
      <c r="J1995" s="575" t="s">
        <v>6</v>
      </c>
      <c r="K1995" s="540" t="s">
        <v>211</v>
      </c>
      <c r="L1995" s="540" t="s">
        <v>99</v>
      </c>
      <c r="N1995" s="494"/>
      <c r="P1995" s="580" t="s">
        <v>667</v>
      </c>
    </row>
    <row r="1996" spans="1:16" s="497" customFormat="1" ht="15.5">
      <c r="A1996" s="221" t="s">
        <v>8</v>
      </c>
      <c r="B1996" s="216" t="s">
        <v>501</v>
      </c>
      <c r="C1996" s="222" t="s">
        <v>668</v>
      </c>
      <c r="D1996" s="89">
        <v>30</v>
      </c>
      <c r="E1996" s="89">
        <v>30</v>
      </c>
      <c r="F1996" s="577">
        <v>2820</v>
      </c>
      <c r="G1996" s="8">
        <f t="shared" si="395"/>
        <v>84600</v>
      </c>
      <c r="H1996" s="8">
        <f t="shared" si="396"/>
        <v>84600</v>
      </c>
      <c r="I1996" s="501"/>
      <c r="J1996" s="575" t="s">
        <v>6</v>
      </c>
      <c r="K1996" s="540" t="s">
        <v>211</v>
      </c>
      <c r="L1996" s="540" t="s">
        <v>99</v>
      </c>
      <c r="N1996" s="494"/>
      <c r="P1996" s="580" t="s">
        <v>669</v>
      </c>
    </row>
    <row r="1997" spans="1:16" s="497" customFormat="1" ht="15.5">
      <c r="A1997" s="221" t="s">
        <v>8</v>
      </c>
      <c r="B1997" s="216" t="s">
        <v>670</v>
      </c>
      <c r="C1997" s="222" t="s">
        <v>24</v>
      </c>
      <c r="D1997" s="573"/>
      <c r="E1997" s="573">
        <v>0</v>
      </c>
      <c r="F1997" s="577">
        <v>300</v>
      </c>
      <c r="G1997" s="2">
        <f t="shared" si="395"/>
        <v>0</v>
      </c>
      <c r="H1997" s="2">
        <f t="shared" si="396"/>
        <v>0</v>
      </c>
      <c r="I1997" s="501"/>
      <c r="J1997" s="575" t="s">
        <v>6</v>
      </c>
      <c r="K1997" s="540" t="s">
        <v>211</v>
      </c>
      <c r="L1997" s="540" t="s">
        <v>99</v>
      </c>
      <c r="N1997" s="494"/>
      <c r="P1997" s="576"/>
    </row>
    <row r="1998" spans="1:16" s="497" customFormat="1" ht="15.5">
      <c r="A1998" s="221" t="s">
        <v>8</v>
      </c>
      <c r="B1998" s="216" t="s">
        <v>671</v>
      </c>
      <c r="C1998" s="222" t="s">
        <v>24</v>
      </c>
      <c r="D1998" s="89"/>
      <c r="E1998" s="573">
        <v>1000</v>
      </c>
      <c r="F1998" s="577">
        <v>200</v>
      </c>
      <c r="G1998" s="8">
        <f t="shared" si="395"/>
        <v>0</v>
      </c>
      <c r="H1998" s="2">
        <f t="shared" si="396"/>
        <v>200000</v>
      </c>
      <c r="I1998" s="501"/>
      <c r="J1998" s="575" t="s">
        <v>6</v>
      </c>
      <c r="K1998" s="540" t="s">
        <v>211</v>
      </c>
      <c r="L1998" s="540" t="s">
        <v>99</v>
      </c>
      <c r="N1998" s="494"/>
      <c r="P1998" s="580" t="s">
        <v>672</v>
      </c>
    </row>
    <row r="1999" spans="1:16" s="497" customFormat="1" ht="15.5">
      <c r="A1999" s="221" t="s">
        <v>8</v>
      </c>
      <c r="B1999" s="216" t="s">
        <v>673</v>
      </c>
      <c r="C1999" s="222" t="s">
        <v>24</v>
      </c>
      <c r="D1999" s="89"/>
      <c r="E1999" s="573">
        <v>26</v>
      </c>
      <c r="F1999" s="577">
        <v>400</v>
      </c>
      <c r="G1999" s="8">
        <f t="shared" si="395"/>
        <v>0</v>
      </c>
      <c r="H1999" s="2">
        <f t="shared" si="396"/>
        <v>10400</v>
      </c>
      <c r="I1999" s="501"/>
      <c r="J1999" s="575" t="s">
        <v>6</v>
      </c>
      <c r="K1999" s="540" t="s">
        <v>211</v>
      </c>
      <c r="L1999" s="540" t="s">
        <v>99</v>
      </c>
      <c r="N1999" s="494"/>
      <c r="P1999" s="580" t="s">
        <v>674</v>
      </c>
    </row>
    <row r="2000" spans="1:16" s="497" customFormat="1" ht="14">
      <c r="A2000" s="680" t="s">
        <v>1404</v>
      </c>
      <c r="B2000" s="219" t="s">
        <v>675</v>
      </c>
      <c r="C2000" s="222"/>
      <c r="D2000" s="573"/>
      <c r="E2000" s="573">
        <v>0</v>
      </c>
      <c r="F2000" s="574"/>
      <c r="G2000" s="573">
        <f t="shared" ref="G2000:H2000" si="397">SUBTOTAL(9,G2001:G2017)</f>
        <v>0</v>
      </c>
      <c r="H2000" s="573">
        <f t="shared" si="397"/>
        <v>297923</v>
      </c>
      <c r="I2000" s="501"/>
      <c r="J2000" s="575"/>
      <c r="K2000" s="540"/>
      <c r="L2000" s="540"/>
      <c r="N2000" s="494"/>
      <c r="P2000" s="576"/>
    </row>
    <row r="2001" spans="1:16" s="497" customFormat="1" ht="15.5">
      <c r="A2001" s="221" t="s">
        <v>8</v>
      </c>
      <c r="B2001" s="216" t="s">
        <v>676</v>
      </c>
      <c r="C2001" s="222" t="s">
        <v>9</v>
      </c>
      <c r="D2001" s="89"/>
      <c r="E2001" s="89">
        <v>1200</v>
      </c>
      <c r="F2001" s="577">
        <v>1.1100000000000001</v>
      </c>
      <c r="G2001" s="8">
        <f t="shared" ref="G2001:G2017" si="398">D2001*$F2001</f>
        <v>0</v>
      </c>
      <c r="H2001" s="8">
        <f t="shared" ref="H2001:H2017" si="399">E2001*$F2001</f>
        <v>1332.0000000000002</v>
      </c>
      <c r="I2001" s="501"/>
      <c r="J2001" s="575" t="s">
        <v>6</v>
      </c>
      <c r="K2001" s="540" t="s">
        <v>211</v>
      </c>
      <c r="L2001" s="540" t="s">
        <v>99</v>
      </c>
      <c r="N2001" s="494"/>
      <c r="P2001" s="580" t="s">
        <v>677</v>
      </c>
    </row>
    <row r="2002" spans="1:16" s="582" customFormat="1" ht="15.5">
      <c r="A2002" s="221" t="s">
        <v>8</v>
      </c>
      <c r="B2002" s="216" t="s">
        <v>678</v>
      </c>
      <c r="C2002" s="222" t="s">
        <v>9</v>
      </c>
      <c r="D2002" s="89"/>
      <c r="E2002" s="89">
        <v>1200</v>
      </c>
      <c r="F2002" s="577">
        <v>2.36</v>
      </c>
      <c r="G2002" s="8">
        <f t="shared" si="398"/>
        <v>0</v>
      </c>
      <c r="H2002" s="8">
        <f t="shared" si="399"/>
        <v>2832</v>
      </c>
      <c r="I2002" s="16"/>
      <c r="J2002" s="575" t="s">
        <v>6</v>
      </c>
      <c r="K2002" s="540" t="s">
        <v>211</v>
      </c>
      <c r="L2002" s="540" t="s">
        <v>99</v>
      </c>
      <c r="N2002" s="493"/>
      <c r="P2002" s="580" t="s">
        <v>677</v>
      </c>
    </row>
    <row r="2003" spans="1:16" s="582" customFormat="1" ht="15.5">
      <c r="A2003" s="221" t="s">
        <v>8</v>
      </c>
      <c r="B2003" s="216" t="s">
        <v>679</v>
      </c>
      <c r="C2003" s="222" t="s">
        <v>15</v>
      </c>
      <c r="D2003" s="89"/>
      <c r="E2003" s="89">
        <v>1200</v>
      </c>
      <c r="F2003" s="577">
        <v>1.47</v>
      </c>
      <c r="G2003" s="8">
        <f t="shared" si="398"/>
        <v>0</v>
      </c>
      <c r="H2003" s="8">
        <f t="shared" si="399"/>
        <v>1764</v>
      </c>
      <c r="I2003" s="16"/>
      <c r="J2003" s="575" t="s">
        <v>6</v>
      </c>
      <c r="K2003" s="540" t="s">
        <v>211</v>
      </c>
      <c r="L2003" s="540" t="s">
        <v>99</v>
      </c>
      <c r="N2003" s="493"/>
      <c r="P2003" s="580" t="s">
        <v>677</v>
      </c>
    </row>
    <row r="2004" spans="1:16" s="582" customFormat="1" ht="15.5">
      <c r="A2004" s="221" t="s">
        <v>8</v>
      </c>
      <c r="B2004" s="216" t="s">
        <v>680</v>
      </c>
      <c r="C2004" s="222" t="s">
        <v>15</v>
      </c>
      <c r="D2004" s="89"/>
      <c r="E2004" s="89">
        <v>500</v>
      </c>
      <c r="F2004" s="577">
        <v>1.39</v>
      </c>
      <c r="G2004" s="8">
        <f t="shared" si="398"/>
        <v>0</v>
      </c>
      <c r="H2004" s="8">
        <f t="shared" si="399"/>
        <v>695</v>
      </c>
      <c r="I2004" s="16"/>
      <c r="J2004" s="575" t="s">
        <v>6</v>
      </c>
      <c r="K2004" s="540" t="s">
        <v>211</v>
      </c>
      <c r="L2004" s="540" t="s">
        <v>99</v>
      </c>
      <c r="N2004" s="493"/>
      <c r="P2004" s="580" t="s">
        <v>677</v>
      </c>
    </row>
    <row r="2005" spans="1:16" s="582" customFormat="1" ht="15.5">
      <c r="A2005" s="221" t="s">
        <v>8</v>
      </c>
      <c r="B2005" s="216" t="s">
        <v>681</v>
      </c>
      <c r="C2005" s="222" t="s">
        <v>682</v>
      </c>
      <c r="D2005" s="89"/>
      <c r="E2005" s="89">
        <v>100</v>
      </c>
      <c r="F2005" s="577">
        <v>1.3</v>
      </c>
      <c r="G2005" s="8">
        <f t="shared" si="398"/>
        <v>0</v>
      </c>
      <c r="H2005" s="8">
        <f t="shared" si="399"/>
        <v>130</v>
      </c>
      <c r="I2005" s="16"/>
      <c r="J2005" s="575" t="s">
        <v>6</v>
      </c>
      <c r="K2005" s="540" t="s">
        <v>211</v>
      </c>
      <c r="L2005" s="540" t="s">
        <v>99</v>
      </c>
      <c r="N2005" s="493"/>
      <c r="P2005" s="580" t="s">
        <v>677</v>
      </c>
    </row>
    <row r="2006" spans="1:16" s="582" customFormat="1" ht="15.5">
      <c r="A2006" s="221" t="s">
        <v>8</v>
      </c>
      <c r="B2006" s="216" t="s">
        <v>683</v>
      </c>
      <c r="C2006" s="222" t="s">
        <v>380</v>
      </c>
      <c r="D2006" s="89"/>
      <c r="E2006" s="89">
        <v>20000</v>
      </c>
      <c r="F2006" s="577">
        <v>0.6</v>
      </c>
      <c r="G2006" s="8">
        <f t="shared" si="398"/>
        <v>0</v>
      </c>
      <c r="H2006" s="8">
        <f t="shared" si="399"/>
        <v>12000</v>
      </c>
      <c r="I2006" s="16"/>
      <c r="J2006" s="575" t="s">
        <v>6</v>
      </c>
      <c r="K2006" s="540" t="s">
        <v>211</v>
      </c>
      <c r="L2006" s="540" t="s">
        <v>99</v>
      </c>
      <c r="N2006" s="493"/>
      <c r="P2006" s="580" t="s">
        <v>677</v>
      </c>
    </row>
    <row r="2007" spans="1:16" s="582" customFormat="1" ht="15.5">
      <c r="A2007" s="221" t="s">
        <v>8</v>
      </c>
      <c r="B2007" s="216" t="s">
        <v>684</v>
      </c>
      <c r="C2007" s="222" t="s">
        <v>380</v>
      </c>
      <c r="D2007" s="89"/>
      <c r="E2007" s="89">
        <v>6000</v>
      </c>
      <c r="F2007" s="577">
        <v>6.01</v>
      </c>
      <c r="G2007" s="8">
        <f t="shared" si="398"/>
        <v>0</v>
      </c>
      <c r="H2007" s="8">
        <f t="shared" si="399"/>
        <v>36060</v>
      </c>
      <c r="I2007" s="16"/>
      <c r="J2007" s="575" t="s">
        <v>6</v>
      </c>
      <c r="K2007" s="540" t="s">
        <v>211</v>
      </c>
      <c r="L2007" s="540" t="s">
        <v>99</v>
      </c>
      <c r="N2007" s="493"/>
      <c r="P2007" s="580" t="s">
        <v>677</v>
      </c>
    </row>
    <row r="2008" spans="1:16" s="582" customFormat="1" ht="15.5">
      <c r="A2008" s="221" t="s">
        <v>8</v>
      </c>
      <c r="B2008" s="216" t="s">
        <v>685</v>
      </c>
      <c r="C2008" s="222" t="s">
        <v>380</v>
      </c>
      <c r="D2008" s="89"/>
      <c r="E2008" s="89">
        <v>6000</v>
      </c>
      <c r="F2008" s="577">
        <v>4.3899999999999997</v>
      </c>
      <c r="G2008" s="8">
        <f t="shared" si="398"/>
        <v>0</v>
      </c>
      <c r="H2008" s="8">
        <f t="shared" si="399"/>
        <v>26339.999999999996</v>
      </c>
      <c r="I2008" s="16"/>
      <c r="J2008" s="575" t="s">
        <v>6</v>
      </c>
      <c r="K2008" s="540" t="s">
        <v>211</v>
      </c>
      <c r="L2008" s="540" t="s">
        <v>99</v>
      </c>
      <c r="N2008" s="493"/>
      <c r="P2008" s="580" t="s">
        <v>677</v>
      </c>
    </row>
    <row r="2009" spans="1:16" s="582" customFormat="1" ht="15.5">
      <c r="A2009" s="221" t="s">
        <v>8</v>
      </c>
      <c r="B2009" s="216" t="s">
        <v>686</v>
      </c>
      <c r="C2009" s="222" t="s">
        <v>380</v>
      </c>
      <c r="D2009" s="89"/>
      <c r="E2009" s="89">
        <v>6000</v>
      </c>
      <c r="F2009" s="577">
        <v>0.7</v>
      </c>
      <c r="G2009" s="8">
        <f t="shared" si="398"/>
        <v>0</v>
      </c>
      <c r="H2009" s="8">
        <f t="shared" si="399"/>
        <v>4200</v>
      </c>
      <c r="I2009" s="16"/>
      <c r="J2009" s="575" t="s">
        <v>6</v>
      </c>
      <c r="K2009" s="540" t="s">
        <v>211</v>
      </c>
      <c r="L2009" s="540" t="s">
        <v>99</v>
      </c>
      <c r="N2009" s="493"/>
      <c r="P2009" s="580" t="s">
        <v>677</v>
      </c>
    </row>
    <row r="2010" spans="1:16" s="582" customFormat="1" ht="15.5">
      <c r="A2010" s="221" t="s">
        <v>8</v>
      </c>
      <c r="B2010" s="216" t="s">
        <v>687</v>
      </c>
      <c r="C2010" s="222" t="s">
        <v>380</v>
      </c>
      <c r="D2010" s="89"/>
      <c r="E2010" s="89">
        <v>26000</v>
      </c>
      <c r="F2010" s="577">
        <v>0.91</v>
      </c>
      <c r="G2010" s="8">
        <f t="shared" si="398"/>
        <v>0</v>
      </c>
      <c r="H2010" s="8">
        <f t="shared" si="399"/>
        <v>23660</v>
      </c>
      <c r="I2010" s="16"/>
      <c r="J2010" s="575" t="s">
        <v>6</v>
      </c>
      <c r="K2010" s="540" t="s">
        <v>211</v>
      </c>
      <c r="L2010" s="540" t="s">
        <v>99</v>
      </c>
      <c r="N2010" s="493"/>
      <c r="P2010" s="580" t="s">
        <v>677</v>
      </c>
    </row>
    <row r="2011" spans="1:16" s="591" customFormat="1" ht="15.5">
      <c r="A2011" s="221" t="s">
        <v>8</v>
      </c>
      <c r="B2011" s="583" t="s">
        <v>688</v>
      </c>
      <c r="C2011" s="229" t="s">
        <v>380</v>
      </c>
      <c r="D2011" s="584"/>
      <c r="E2011" s="584">
        <v>0</v>
      </c>
      <c r="F2011" s="585">
        <v>5</v>
      </c>
      <c r="G2011" s="586">
        <f t="shared" si="398"/>
        <v>0</v>
      </c>
      <c r="H2011" s="586">
        <f t="shared" si="399"/>
        <v>0</v>
      </c>
      <c r="I2011" s="587"/>
      <c r="J2011" s="587" t="s">
        <v>6</v>
      </c>
      <c r="K2011" s="588" t="s">
        <v>211</v>
      </c>
      <c r="L2011" s="588" t="s">
        <v>99</v>
      </c>
      <c r="N2011" s="590"/>
      <c r="P2011" s="589" t="s">
        <v>689</v>
      </c>
    </row>
    <row r="2012" spans="1:16" s="591" customFormat="1" ht="15.5">
      <c r="A2012" s="221" t="s">
        <v>8</v>
      </c>
      <c r="B2012" s="583" t="s">
        <v>690</v>
      </c>
      <c r="C2012" s="229" t="s">
        <v>380</v>
      </c>
      <c r="D2012" s="584"/>
      <c r="E2012" s="584">
        <v>0</v>
      </c>
      <c r="F2012" s="585">
        <v>3</v>
      </c>
      <c r="G2012" s="586">
        <f t="shared" si="398"/>
        <v>0</v>
      </c>
      <c r="H2012" s="586">
        <f t="shared" si="399"/>
        <v>0</v>
      </c>
      <c r="I2012" s="587"/>
      <c r="J2012" s="587" t="s">
        <v>6</v>
      </c>
      <c r="K2012" s="588" t="s">
        <v>211</v>
      </c>
      <c r="L2012" s="588" t="s">
        <v>99</v>
      </c>
      <c r="N2012" s="590"/>
      <c r="P2012" s="589" t="s">
        <v>689</v>
      </c>
    </row>
    <row r="2013" spans="1:16" s="582" customFormat="1" ht="15.5">
      <c r="A2013" s="221" t="s">
        <v>8</v>
      </c>
      <c r="B2013" s="216" t="s">
        <v>691</v>
      </c>
      <c r="C2013" s="222" t="s">
        <v>380</v>
      </c>
      <c r="D2013" s="89"/>
      <c r="E2013" s="89">
        <v>6000</v>
      </c>
      <c r="F2013" s="577">
        <v>4.33</v>
      </c>
      <c r="G2013" s="8">
        <f t="shared" si="398"/>
        <v>0</v>
      </c>
      <c r="H2013" s="8">
        <f t="shared" si="399"/>
        <v>25980</v>
      </c>
      <c r="I2013" s="16"/>
      <c r="J2013" s="575" t="s">
        <v>6</v>
      </c>
      <c r="K2013" s="540" t="s">
        <v>211</v>
      </c>
      <c r="L2013" s="540" t="s">
        <v>99</v>
      </c>
      <c r="N2013" s="493"/>
      <c r="P2013" s="580" t="s">
        <v>677</v>
      </c>
    </row>
    <row r="2014" spans="1:16" s="582" customFormat="1" ht="15.5">
      <c r="A2014" s="221" t="s">
        <v>8</v>
      </c>
      <c r="B2014" s="216" t="s">
        <v>692</v>
      </c>
      <c r="C2014" s="222" t="s">
        <v>380</v>
      </c>
      <c r="D2014" s="89"/>
      <c r="E2014" s="89">
        <v>6000</v>
      </c>
      <c r="F2014" s="577">
        <v>4.33</v>
      </c>
      <c r="G2014" s="8">
        <f t="shared" si="398"/>
        <v>0</v>
      </c>
      <c r="H2014" s="8">
        <f t="shared" si="399"/>
        <v>25980</v>
      </c>
      <c r="I2014" s="16"/>
      <c r="J2014" s="575" t="s">
        <v>6</v>
      </c>
      <c r="K2014" s="540" t="s">
        <v>211</v>
      </c>
      <c r="L2014" s="540" t="s">
        <v>99</v>
      </c>
      <c r="N2014" s="493"/>
      <c r="P2014" s="580" t="s">
        <v>677</v>
      </c>
    </row>
    <row r="2015" spans="1:16" s="582" customFormat="1" ht="15.5">
      <c r="A2015" s="221" t="s">
        <v>8</v>
      </c>
      <c r="B2015" s="216" t="s">
        <v>693</v>
      </c>
      <c r="C2015" s="222" t="s">
        <v>380</v>
      </c>
      <c r="D2015" s="89"/>
      <c r="E2015" s="89">
        <v>15000</v>
      </c>
      <c r="F2015" s="577">
        <v>0.56999999999999995</v>
      </c>
      <c r="G2015" s="8">
        <f t="shared" si="398"/>
        <v>0</v>
      </c>
      <c r="H2015" s="8">
        <f t="shared" si="399"/>
        <v>8550</v>
      </c>
      <c r="I2015" s="16"/>
      <c r="J2015" s="575" t="s">
        <v>6</v>
      </c>
      <c r="K2015" s="540" t="s">
        <v>211</v>
      </c>
      <c r="L2015" s="540" t="s">
        <v>99</v>
      </c>
      <c r="N2015" s="493"/>
      <c r="P2015" s="580" t="s">
        <v>677</v>
      </c>
    </row>
    <row r="2016" spans="1:16" s="582" customFormat="1" ht="15.5">
      <c r="A2016" s="221" t="s">
        <v>8</v>
      </c>
      <c r="B2016" s="216" t="s">
        <v>694</v>
      </c>
      <c r="C2016" s="222" t="s">
        <v>380</v>
      </c>
      <c r="D2016" s="89"/>
      <c r="E2016" s="89">
        <v>20000</v>
      </c>
      <c r="F2016" s="577">
        <v>6.07</v>
      </c>
      <c r="G2016" s="8">
        <f t="shared" si="398"/>
        <v>0</v>
      </c>
      <c r="H2016" s="8">
        <f t="shared" si="399"/>
        <v>121400</v>
      </c>
      <c r="I2016" s="16"/>
      <c r="J2016" s="575" t="s">
        <v>6</v>
      </c>
      <c r="K2016" s="540" t="s">
        <v>211</v>
      </c>
      <c r="L2016" s="540" t="s">
        <v>99</v>
      </c>
      <c r="N2016" s="493"/>
      <c r="P2016" s="580" t="s">
        <v>677</v>
      </c>
    </row>
    <row r="2017" spans="1:16" s="582" customFormat="1" ht="15.5">
      <c r="A2017" s="221" t="s">
        <v>8</v>
      </c>
      <c r="B2017" s="216" t="s">
        <v>695</v>
      </c>
      <c r="C2017" s="222" t="s">
        <v>15</v>
      </c>
      <c r="D2017" s="89"/>
      <c r="E2017" s="89">
        <v>20000</v>
      </c>
      <c r="F2017" s="577">
        <v>0.35</v>
      </c>
      <c r="G2017" s="8">
        <f t="shared" si="398"/>
        <v>0</v>
      </c>
      <c r="H2017" s="8">
        <f t="shared" si="399"/>
        <v>7000</v>
      </c>
      <c r="I2017" s="16"/>
      <c r="J2017" s="575" t="s">
        <v>6</v>
      </c>
      <c r="K2017" s="540" t="s">
        <v>211</v>
      </c>
      <c r="L2017" s="540" t="s">
        <v>99</v>
      </c>
      <c r="N2017" s="493"/>
      <c r="P2017" s="580" t="s">
        <v>677</v>
      </c>
    </row>
    <row r="2018" spans="1:16" s="594" customFormat="1" ht="16" customHeight="1">
      <c r="A2018" s="223" t="s">
        <v>600</v>
      </c>
      <c r="B2018" s="224" t="s">
        <v>696</v>
      </c>
      <c r="C2018" s="226"/>
      <c r="D2018" s="581"/>
      <c r="E2018" s="581">
        <v>0</v>
      </c>
      <c r="F2018" s="581"/>
      <c r="G2018" s="566">
        <f>SUBTOTAL(9,G2020:G2053)</f>
        <v>467284.5</v>
      </c>
      <c r="H2018" s="566">
        <f>SUBTOTAL(9,H2020:H2053)</f>
        <v>811734.5</v>
      </c>
      <c r="I2018" s="592"/>
      <c r="J2018" s="569"/>
      <c r="K2018" s="569"/>
      <c r="L2018" s="569"/>
      <c r="N2018" s="593"/>
      <c r="P2018" s="569"/>
    </row>
    <row r="2019" spans="1:16" s="582" customFormat="1" ht="14">
      <c r="A2019" s="680" t="s">
        <v>601</v>
      </c>
      <c r="B2019" s="219" t="s">
        <v>513</v>
      </c>
      <c r="C2019" s="222"/>
      <c r="D2019" s="89"/>
      <c r="E2019" s="89">
        <v>0</v>
      </c>
      <c r="F2019" s="89"/>
      <c r="G2019" s="89"/>
      <c r="H2019" s="89"/>
      <c r="I2019" s="16"/>
      <c r="J2019" s="575"/>
      <c r="K2019" s="575"/>
      <c r="L2019" s="575"/>
      <c r="N2019" s="493"/>
      <c r="P2019" s="575"/>
    </row>
    <row r="2020" spans="1:16" s="582" customFormat="1" ht="15.5">
      <c r="A2020" s="221" t="s">
        <v>8</v>
      </c>
      <c r="B2020" s="216" t="s">
        <v>636</v>
      </c>
      <c r="C2020" s="222" t="s">
        <v>24</v>
      </c>
      <c r="D2020" s="89"/>
      <c r="E2020" s="89">
        <v>0</v>
      </c>
      <c r="F2020" s="577">
        <v>1032</v>
      </c>
      <c r="G2020" s="2">
        <f t="shared" ref="G2020:H2022" si="400">D2020*$F2020</f>
        <v>0</v>
      </c>
      <c r="H2020" s="2">
        <f t="shared" si="400"/>
        <v>0</v>
      </c>
      <c r="I2020" s="16"/>
      <c r="J2020" s="16" t="s">
        <v>6</v>
      </c>
      <c r="K2020" s="540" t="s">
        <v>325</v>
      </c>
      <c r="L2020" s="540" t="s">
        <v>99</v>
      </c>
      <c r="N2020" s="493"/>
      <c r="P2020" s="575"/>
    </row>
    <row r="2021" spans="1:16" s="582" customFormat="1" ht="15.5">
      <c r="A2021" s="221" t="s">
        <v>8</v>
      </c>
      <c r="B2021" s="216" t="s">
        <v>637</v>
      </c>
      <c r="C2021" s="222" t="s">
        <v>24</v>
      </c>
      <c r="D2021" s="89"/>
      <c r="E2021" s="89">
        <v>160</v>
      </c>
      <c r="F2021" s="577">
        <v>1032</v>
      </c>
      <c r="G2021" s="8">
        <f t="shared" si="400"/>
        <v>0</v>
      </c>
      <c r="H2021" s="8">
        <f t="shared" si="400"/>
        <v>165120</v>
      </c>
      <c r="I2021" s="16"/>
      <c r="J2021" s="16" t="s">
        <v>6</v>
      </c>
      <c r="K2021" s="540" t="s">
        <v>325</v>
      </c>
      <c r="L2021" s="540" t="s">
        <v>99</v>
      </c>
      <c r="N2021" s="493"/>
      <c r="P2021" s="580" t="s">
        <v>697</v>
      </c>
    </row>
    <row r="2022" spans="1:16" s="582" customFormat="1" ht="15.5">
      <c r="A2022" s="221" t="s">
        <v>8</v>
      </c>
      <c r="B2022" s="216" t="s">
        <v>639</v>
      </c>
      <c r="C2022" s="222" t="s">
        <v>24</v>
      </c>
      <c r="D2022" s="89"/>
      <c r="E2022" s="89">
        <v>0</v>
      </c>
      <c r="F2022" s="577">
        <v>1236</v>
      </c>
      <c r="G2022" s="8">
        <f t="shared" si="400"/>
        <v>0</v>
      </c>
      <c r="H2022" s="8">
        <f t="shared" si="400"/>
        <v>0</v>
      </c>
      <c r="I2022" s="16"/>
      <c r="J2022" s="16" t="s">
        <v>6</v>
      </c>
      <c r="K2022" s="540" t="s">
        <v>325</v>
      </c>
      <c r="L2022" s="540" t="s">
        <v>99</v>
      </c>
      <c r="N2022" s="493"/>
      <c r="P2022" s="575"/>
    </row>
    <row r="2023" spans="1:16" s="582" customFormat="1" ht="14">
      <c r="A2023" s="680" t="s">
        <v>623</v>
      </c>
      <c r="B2023" s="219" t="s">
        <v>698</v>
      </c>
      <c r="C2023" s="220"/>
      <c r="D2023" s="89"/>
      <c r="E2023" s="89">
        <v>0</v>
      </c>
      <c r="F2023" s="89"/>
      <c r="G2023" s="89"/>
      <c r="H2023" s="89"/>
      <c r="I2023" s="16"/>
      <c r="J2023" s="575"/>
      <c r="K2023" s="575"/>
      <c r="L2023" s="575"/>
      <c r="N2023" s="493"/>
      <c r="P2023" s="575"/>
    </row>
    <row r="2024" spans="1:16" s="582" customFormat="1" ht="15.5">
      <c r="A2024" s="221" t="s">
        <v>8</v>
      </c>
      <c r="B2024" s="216" t="s">
        <v>699</v>
      </c>
      <c r="C2024" s="222" t="s">
        <v>15</v>
      </c>
      <c r="D2024" s="89">
        <v>39</v>
      </c>
      <c r="E2024" s="89">
        <v>39</v>
      </c>
      <c r="F2024" s="577">
        <v>100</v>
      </c>
      <c r="G2024" s="8">
        <f t="shared" ref="G2024:H2030" si="401">D2024*$F2024</f>
        <v>3900</v>
      </c>
      <c r="H2024" s="8">
        <f t="shared" si="401"/>
        <v>3900</v>
      </c>
      <c r="I2024" s="16"/>
      <c r="J2024" s="16" t="s">
        <v>6</v>
      </c>
      <c r="K2024" s="540" t="s">
        <v>325</v>
      </c>
      <c r="L2024" s="540" t="s">
        <v>99</v>
      </c>
      <c r="N2024" s="493"/>
      <c r="P2024" s="580" t="s">
        <v>697</v>
      </c>
    </row>
    <row r="2025" spans="1:16" s="582" customFormat="1" ht="15.5">
      <c r="A2025" s="221" t="s">
        <v>8</v>
      </c>
      <c r="B2025" s="216" t="s">
        <v>700</v>
      </c>
      <c r="C2025" s="222" t="s">
        <v>15</v>
      </c>
      <c r="D2025" s="89">
        <v>200</v>
      </c>
      <c r="E2025" s="89">
        <v>0</v>
      </c>
      <c r="F2025" s="577">
        <v>246</v>
      </c>
      <c r="G2025" s="8">
        <f t="shared" si="401"/>
        <v>49200</v>
      </c>
      <c r="H2025" s="8">
        <f t="shared" si="401"/>
        <v>0</v>
      </c>
      <c r="I2025" s="16"/>
      <c r="J2025" s="16" t="s">
        <v>6</v>
      </c>
      <c r="K2025" s="540" t="s">
        <v>325</v>
      </c>
      <c r="L2025" s="540" t="s">
        <v>99</v>
      </c>
      <c r="N2025" s="493"/>
      <c r="P2025" s="580" t="s">
        <v>701</v>
      </c>
    </row>
    <row r="2026" spans="1:16" s="582" customFormat="1" ht="15.5">
      <c r="A2026" s="221" t="s">
        <v>8</v>
      </c>
      <c r="B2026" s="216" t="s">
        <v>702</v>
      </c>
      <c r="C2026" s="222" t="s">
        <v>15</v>
      </c>
      <c r="D2026" s="89">
        <v>200</v>
      </c>
      <c r="E2026" s="89">
        <v>200</v>
      </c>
      <c r="F2026" s="577">
        <v>180</v>
      </c>
      <c r="G2026" s="8">
        <f t="shared" si="401"/>
        <v>36000</v>
      </c>
      <c r="H2026" s="8">
        <f t="shared" si="401"/>
        <v>36000</v>
      </c>
      <c r="I2026" s="16"/>
      <c r="J2026" s="16" t="s">
        <v>6</v>
      </c>
      <c r="K2026" s="540" t="s">
        <v>325</v>
      </c>
      <c r="L2026" s="540" t="s">
        <v>99</v>
      </c>
      <c r="N2026" s="493"/>
      <c r="P2026" s="580" t="s">
        <v>697</v>
      </c>
    </row>
    <row r="2027" spans="1:16" s="582" customFormat="1" ht="15.5">
      <c r="A2027" s="221" t="s">
        <v>8</v>
      </c>
      <c r="B2027" s="216" t="s">
        <v>578</v>
      </c>
      <c r="C2027" s="222" t="s">
        <v>15</v>
      </c>
      <c r="D2027" s="89">
        <v>100</v>
      </c>
      <c r="E2027" s="89">
        <v>100</v>
      </c>
      <c r="F2027" s="577">
        <v>192</v>
      </c>
      <c r="G2027" s="8">
        <f t="shared" si="401"/>
        <v>19200</v>
      </c>
      <c r="H2027" s="8">
        <f t="shared" si="401"/>
        <v>19200</v>
      </c>
      <c r="I2027" s="16"/>
      <c r="J2027" s="16" t="s">
        <v>6</v>
      </c>
      <c r="K2027" s="540" t="s">
        <v>325</v>
      </c>
      <c r="L2027" s="540" t="s">
        <v>99</v>
      </c>
      <c r="N2027" s="493"/>
      <c r="P2027" s="580" t="s">
        <v>697</v>
      </c>
    </row>
    <row r="2028" spans="1:16" s="582" customFormat="1" ht="15.5">
      <c r="A2028" s="221" t="s">
        <v>8</v>
      </c>
      <c r="B2028" s="216" t="s">
        <v>703</v>
      </c>
      <c r="C2028" s="222" t="s">
        <v>15</v>
      </c>
      <c r="D2028" s="89">
        <v>200</v>
      </c>
      <c r="E2028" s="89">
        <v>600</v>
      </c>
      <c r="F2028" s="577">
        <v>180</v>
      </c>
      <c r="G2028" s="8">
        <f t="shared" si="401"/>
        <v>36000</v>
      </c>
      <c r="H2028" s="8">
        <f t="shared" si="401"/>
        <v>108000</v>
      </c>
      <c r="I2028" s="16"/>
      <c r="J2028" s="16" t="s">
        <v>6</v>
      </c>
      <c r="K2028" s="540" t="s">
        <v>325</v>
      </c>
      <c r="L2028" s="540" t="s">
        <v>99</v>
      </c>
      <c r="N2028" s="493"/>
      <c r="P2028" s="580" t="s">
        <v>697</v>
      </c>
    </row>
    <row r="2029" spans="1:16" s="582" customFormat="1" ht="15.5">
      <c r="A2029" s="221" t="s">
        <v>8</v>
      </c>
      <c r="B2029" s="216" t="s">
        <v>704</v>
      </c>
      <c r="C2029" s="222" t="s">
        <v>15</v>
      </c>
      <c r="D2029" s="89">
        <v>50</v>
      </c>
      <c r="E2029" s="89">
        <v>150</v>
      </c>
      <c r="F2029" s="577">
        <v>250</v>
      </c>
      <c r="G2029" s="8">
        <f t="shared" si="401"/>
        <v>12500</v>
      </c>
      <c r="H2029" s="8">
        <f t="shared" si="401"/>
        <v>37500</v>
      </c>
      <c r="I2029" s="16"/>
      <c r="J2029" s="16" t="s">
        <v>6</v>
      </c>
      <c r="K2029" s="540" t="s">
        <v>325</v>
      </c>
      <c r="L2029" s="540" t="s">
        <v>99</v>
      </c>
      <c r="N2029" s="493"/>
      <c r="P2029" s="580" t="s">
        <v>697</v>
      </c>
    </row>
    <row r="2030" spans="1:16" s="582" customFormat="1" ht="15.5">
      <c r="A2030" s="221" t="s">
        <v>8</v>
      </c>
      <c r="B2030" s="216" t="s">
        <v>705</v>
      </c>
      <c r="C2030" s="222" t="s">
        <v>15</v>
      </c>
      <c r="D2030" s="89">
        <v>200</v>
      </c>
      <c r="E2030" s="89">
        <v>200</v>
      </c>
      <c r="F2030" s="577">
        <v>200</v>
      </c>
      <c r="G2030" s="8">
        <f t="shared" si="401"/>
        <v>40000</v>
      </c>
      <c r="H2030" s="8">
        <f t="shared" si="401"/>
        <v>40000</v>
      </c>
      <c r="I2030" s="16"/>
      <c r="J2030" s="16" t="s">
        <v>6</v>
      </c>
      <c r="K2030" s="540" t="s">
        <v>325</v>
      </c>
      <c r="L2030" s="540" t="s">
        <v>99</v>
      </c>
      <c r="N2030" s="493"/>
      <c r="P2030" s="580" t="s">
        <v>697</v>
      </c>
    </row>
    <row r="2031" spans="1:16" s="582" customFormat="1" ht="14">
      <c r="A2031" s="680" t="s">
        <v>635</v>
      </c>
      <c r="B2031" s="219" t="s">
        <v>706</v>
      </c>
      <c r="C2031" s="220"/>
      <c r="D2031" s="89"/>
      <c r="E2031" s="89">
        <v>0</v>
      </c>
      <c r="F2031" s="89"/>
      <c r="G2031" s="89"/>
      <c r="H2031" s="89"/>
      <c r="I2031" s="16"/>
      <c r="J2031" s="575"/>
      <c r="K2031" s="575"/>
      <c r="L2031" s="575"/>
      <c r="N2031" s="493"/>
      <c r="P2031" s="575"/>
    </row>
    <row r="2032" spans="1:16" s="582" customFormat="1" ht="15.5">
      <c r="A2032" s="221" t="s">
        <v>8</v>
      </c>
      <c r="B2032" s="216" t="s">
        <v>707</v>
      </c>
      <c r="C2032" s="222" t="s">
        <v>15</v>
      </c>
      <c r="D2032" s="89">
        <v>150</v>
      </c>
      <c r="E2032" s="89">
        <v>250</v>
      </c>
      <c r="F2032" s="577">
        <v>283.5</v>
      </c>
      <c r="G2032" s="8">
        <f t="shared" ref="G2032:H2035" si="402">D2032*$F2032</f>
        <v>42525</v>
      </c>
      <c r="H2032" s="8">
        <f t="shared" si="402"/>
        <v>70875</v>
      </c>
      <c r="I2032" s="16"/>
      <c r="J2032" s="16" t="s">
        <v>6</v>
      </c>
      <c r="K2032" s="540" t="s">
        <v>325</v>
      </c>
      <c r="L2032" s="540" t="s">
        <v>99</v>
      </c>
      <c r="N2032" s="493"/>
      <c r="P2032" s="580" t="s">
        <v>697</v>
      </c>
    </row>
    <row r="2033" spans="1:16" s="582" customFormat="1" ht="15.5">
      <c r="A2033" s="221" t="s">
        <v>8</v>
      </c>
      <c r="B2033" s="216" t="s">
        <v>708</v>
      </c>
      <c r="C2033" s="222" t="s">
        <v>15</v>
      </c>
      <c r="D2033" s="89">
        <v>150</v>
      </c>
      <c r="E2033" s="89">
        <v>150</v>
      </c>
      <c r="F2033" s="577">
        <v>283.5</v>
      </c>
      <c r="G2033" s="8">
        <f t="shared" si="402"/>
        <v>42525</v>
      </c>
      <c r="H2033" s="8">
        <f t="shared" si="402"/>
        <v>42525</v>
      </c>
      <c r="I2033" s="16"/>
      <c r="J2033" s="16" t="s">
        <v>6</v>
      </c>
      <c r="K2033" s="540" t="s">
        <v>325</v>
      </c>
      <c r="L2033" s="540" t="s">
        <v>99</v>
      </c>
      <c r="N2033" s="493"/>
      <c r="P2033" s="580" t="s">
        <v>697</v>
      </c>
    </row>
    <row r="2034" spans="1:16" s="582" customFormat="1" ht="15.5">
      <c r="A2034" s="221" t="s">
        <v>8</v>
      </c>
      <c r="B2034" s="216" t="s">
        <v>709</v>
      </c>
      <c r="C2034" s="222" t="s">
        <v>15</v>
      </c>
      <c r="D2034" s="89">
        <v>50</v>
      </c>
      <c r="E2034" s="89">
        <v>150</v>
      </c>
      <c r="F2034" s="577">
        <v>415</v>
      </c>
      <c r="G2034" s="8">
        <f t="shared" si="402"/>
        <v>20750</v>
      </c>
      <c r="H2034" s="8">
        <f t="shared" si="402"/>
        <v>62250</v>
      </c>
      <c r="I2034" s="16"/>
      <c r="J2034" s="16" t="s">
        <v>6</v>
      </c>
      <c r="K2034" s="540" t="s">
        <v>325</v>
      </c>
      <c r="L2034" s="540" t="s">
        <v>99</v>
      </c>
      <c r="N2034" s="493"/>
      <c r="P2034" s="580" t="s">
        <v>697</v>
      </c>
    </row>
    <row r="2035" spans="1:16" s="582" customFormat="1" ht="15.5">
      <c r="A2035" s="221" t="s">
        <v>8</v>
      </c>
      <c r="B2035" s="216" t="s">
        <v>710</v>
      </c>
      <c r="C2035" s="222" t="s">
        <v>15</v>
      </c>
      <c r="D2035" s="89">
        <v>30</v>
      </c>
      <c r="E2035" s="89">
        <v>30</v>
      </c>
      <c r="F2035" s="577">
        <v>415</v>
      </c>
      <c r="G2035" s="8">
        <f t="shared" si="402"/>
        <v>12450</v>
      </c>
      <c r="H2035" s="8">
        <f t="shared" si="402"/>
        <v>12450</v>
      </c>
      <c r="I2035" s="16"/>
      <c r="J2035" s="16" t="s">
        <v>6</v>
      </c>
      <c r="K2035" s="540" t="s">
        <v>325</v>
      </c>
      <c r="L2035" s="540" t="s">
        <v>99</v>
      </c>
      <c r="N2035" s="493"/>
      <c r="P2035" s="580" t="s">
        <v>697</v>
      </c>
    </row>
    <row r="2036" spans="1:16" s="582" customFormat="1" ht="14">
      <c r="A2036" s="680" t="s">
        <v>641</v>
      </c>
      <c r="B2036" s="219" t="s">
        <v>711</v>
      </c>
      <c r="C2036" s="220"/>
      <c r="D2036" s="89"/>
      <c r="E2036" s="89">
        <v>0</v>
      </c>
      <c r="F2036" s="89"/>
      <c r="G2036" s="89"/>
      <c r="H2036" s="89"/>
      <c r="I2036" s="16"/>
      <c r="J2036" s="575"/>
      <c r="K2036" s="575"/>
      <c r="L2036" s="575"/>
      <c r="N2036" s="493"/>
      <c r="P2036" s="575"/>
    </row>
    <row r="2037" spans="1:16" s="582" customFormat="1" ht="15.5">
      <c r="A2037" s="221" t="s">
        <v>8</v>
      </c>
      <c r="B2037" s="216" t="s">
        <v>712</v>
      </c>
      <c r="C2037" s="222" t="s">
        <v>15</v>
      </c>
      <c r="D2037" s="89">
        <v>0</v>
      </c>
      <c r="E2037" s="89">
        <v>0</v>
      </c>
      <c r="F2037" s="577">
        <v>201</v>
      </c>
      <c r="G2037" s="8">
        <f t="shared" ref="G2037:H2041" si="403">D2037*$F2037</f>
        <v>0</v>
      </c>
      <c r="H2037" s="8">
        <f t="shared" si="403"/>
        <v>0</v>
      </c>
      <c r="I2037" s="16"/>
      <c r="J2037" s="16" t="s">
        <v>6</v>
      </c>
      <c r="K2037" s="540" t="s">
        <v>325</v>
      </c>
      <c r="L2037" s="540" t="s">
        <v>99</v>
      </c>
      <c r="N2037" s="493"/>
      <c r="P2037" s="580" t="s">
        <v>713</v>
      </c>
    </row>
    <row r="2038" spans="1:16" s="582" customFormat="1" ht="15.5">
      <c r="A2038" s="221" t="s">
        <v>8</v>
      </c>
      <c r="B2038" s="216" t="s">
        <v>714</v>
      </c>
      <c r="C2038" s="222" t="s">
        <v>15</v>
      </c>
      <c r="D2038" s="89">
        <v>20</v>
      </c>
      <c r="E2038" s="89">
        <v>20</v>
      </c>
      <c r="F2038" s="577">
        <v>250</v>
      </c>
      <c r="G2038" s="8">
        <f t="shared" si="403"/>
        <v>5000</v>
      </c>
      <c r="H2038" s="8">
        <f t="shared" si="403"/>
        <v>5000</v>
      </c>
      <c r="I2038" s="16"/>
      <c r="J2038" s="16" t="s">
        <v>6</v>
      </c>
      <c r="K2038" s="540" t="s">
        <v>325</v>
      </c>
      <c r="L2038" s="540" t="s">
        <v>99</v>
      </c>
      <c r="N2038" s="493"/>
      <c r="P2038" s="580" t="s">
        <v>697</v>
      </c>
    </row>
    <row r="2039" spans="1:16" s="582" customFormat="1" ht="15.5">
      <c r="A2039" s="221" t="s">
        <v>8</v>
      </c>
      <c r="B2039" s="216" t="s">
        <v>715</v>
      </c>
      <c r="C2039" s="222" t="s">
        <v>15</v>
      </c>
      <c r="D2039" s="89">
        <v>100</v>
      </c>
      <c r="E2039" s="89">
        <v>100</v>
      </c>
      <c r="F2039" s="577">
        <v>65.569999999999993</v>
      </c>
      <c r="G2039" s="8">
        <f t="shared" si="403"/>
        <v>6556.9999999999991</v>
      </c>
      <c r="H2039" s="8">
        <f t="shared" si="403"/>
        <v>6556.9999999999991</v>
      </c>
      <c r="I2039" s="16"/>
      <c r="J2039" s="16" t="s">
        <v>6</v>
      </c>
      <c r="K2039" s="540" t="s">
        <v>325</v>
      </c>
      <c r="L2039" s="540" t="s">
        <v>99</v>
      </c>
      <c r="N2039" s="493"/>
      <c r="P2039" s="580" t="s">
        <v>697</v>
      </c>
    </row>
    <row r="2040" spans="1:16" s="582" customFormat="1" ht="15.5">
      <c r="A2040" s="221" t="s">
        <v>8</v>
      </c>
      <c r="B2040" s="216" t="s">
        <v>716</v>
      </c>
      <c r="C2040" s="222" t="s">
        <v>15</v>
      </c>
      <c r="D2040" s="89">
        <v>50</v>
      </c>
      <c r="E2040" s="89">
        <v>50</v>
      </c>
      <c r="F2040" s="577">
        <v>65.569999999999993</v>
      </c>
      <c r="G2040" s="8">
        <f t="shared" si="403"/>
        <v>3278.4999999999995</v>
      </c>
      <c r="H2040" s="8">
        <f t="shared" si="403"/>
        <v>3278.4999999999995</v>
      </c>
      <c r="I2040" s="16"/>
      <c r="J2040" s="16" t="s">
        <v>6</v>
      </c>
      <c r="K2040" s="540" t="s">
        <v>325</v>
      </c>
      <c r="L2040" s="540" t="s">
        <v>99</v>
      </c>
      <c r="N2040" s="493"/>
      <c r="P2040" s="580" t="s">
        <v>697</v>
      </c>
    </row>
    <row r="2041" spans="1:16" s="582" customFormat="1" ht="15.5">
      <c r="A2041" s="221" t="s">
        <v>8</v>
      </c>
      <c r="B2041" s="216" t="s">
        <v>717</v>
      </c>
      <c r="C2041" s="222" t="s">
        <v>15</v>
      </c>
      <c r="D2041" s="89">
        <v>12</v>
      </c>
      <c r="E2041" s="89">
        <v>12</v>
      </c>
      <c r="F2041" s="577">
        <v>250</v>
      </c>
      <c r="G2041" s="8">
        <f t="shared" si="403"/>
        <v>3000</v>
      </c>
      <c r="H2041" s="8">
        <f t="shared" si="403"/>
        <v>3000</v>
      </c>
      <c r="I2041" s="16"/>
      <c r="J2041" s="16" t="s">
        <v>6</v>
      </c>
      <c r="K2041" s="540" t="s">
        <v>325</v>
      </c>
      <c r="L2041" s="540" t="s">
        <v>99</v>
      </c>
      <c r="N2041" s="493"/>
      <c r="P2041" s="580" t="s">
        <v>697</v>
      </c>
    </row>
    <row r="2042" spans="1:16" s="582" customFormat="1" ht="14">
      <c r="A2042" s="680" t="s">
        <v>644</v>
      </c>
      <c r="B2042" s="219" t="s">
        <v>563</v>
      </c>
      <c r="C2042" s="220"/>
      <c r="D2042" s="89"/>
      <c r="E2042" s="89">
        <v>0</v>
      </c>
      <c r="F2042" s="89"/>
      <c r="G2042" s="89"/>
      <c r="H2042" s="89"/>
      <c r="I2042" s="16"/>
      <c r="J2042" s="575"/>
      <c r="K2042" s="575"/>
      <c r="L2042" s="575"/>
      <c r="N2042" s="493"/>
      <c r="P2042" s="575"/>
    </row>
    <row r="2043" spans="1:16" s="582" customFormat="1" ht="14">
      <c r="A2043" s="221" t="s">
        <v>8</v>
      </c>
      <c r="B2043" s="216" t="s">
        <v>645</v>
      </c>
      <c r="C2043" s="222" t="s">
        <v>31</v>
      </c>
      <c r="D2043" s="89"/>
      <c r="E2043" s="89">
        <v>0</v>
      </c>
      <c r="F2043" s="89"/>
      <c r="G2043" s="8">
        <f>D2043*$F2043</f>
        <v>0</v>
      </c>
      <c r="H2043" s="8">
        <f>E2043*$F2043</f>
        <v>0</v>
      </c>
      <c r="I2043" s="16"/>
      <c r="J2043" s="16" t="s">
        <v>6</v>
      </c>
      <c r="K2043" s="540" t="s">
        <v>325</v>
      </c>
      <c r="L2043" s="540" t="s">
        <v>99</v>
      </c>
      <c r="N2043" s="493"/>
      <c r="P2043" s="580" t="s">
        <v>697</v>
      </c>
    </row>
    <row r="2044" spans="1:16" s="582" customFormat="1" ht="15.5">
      <c r="A2044" s="221" t="s">
        <v>8</v>
      </c>
      <c r="B2044" s="216" t="s">
        <v>564</v>
      </c>
      <c r="C2044" s="222" t="s">
        <v>31</v>
      </c>
      <c r="D2044" s="89">
        <v>64</v>
      </c>
      <c r="E2044" s="89">
        <v>64</v>
      </c>
      <c r="F2044" s="577">
        <v>381</v>
      </c>
      <c r="G2044" s="8">
        <f>D2044*$F2044</f>
        <v>24384</v>
      </c>
      <c r="H2044" s="8">
        <f>E2044*$F2044</f>
        <v>24384</v>
      </c>
      <c r="I2044" s="16"/>
      <c r="J2044" s="16" t="s">
        <v>6</v>
      </c>
      <c r="K2044" s="540" t="s">
        <v>325</v>
      </c>
      <c r="L2044" s="540" t="s">
        <v>99</v>
      </c>
      <c r="N2044" s="493"/>
      <c r="P2044" s="580" t="s">
        <v>697</v>
      </c>
    </row>
    <row r="2045" spans="1:16" s="582" customFormat="1" ht="14">
      <c r="A2045" s="680" t="s">
        <v>646</v>
      </c>
      <c r="B2045" s="219" t="s">
        <v>616</v>
      </c>
      <c r="C2045" s="222"/>
      <c r="D2045" s="89"/>
      <c r="E2045" s="89">
        <v>0</v>
      </c>
      <c r="F2045" s="89"/>
      <c r="G2045" s="89"/>
      <c r="H2045" s="89"/>
      <c r="I2045" s="16"/>
      <c r="J2045" s="575"/>
      <c r="K2045" s="575"/>
      <c r="L2045" s="575"/>
      <c r="N2045" s="493"/>
      <c r="P2045" s="575"/>
    </row>
    <row r="2046" spans="1:16" s="582" customFormat="1" ht="15.5">
      <c r="A2046" s="221" t="s">
        <v>8</v>
      </c>
      <c r="B2046" s="216" t="s">
        <v>662</v>
      </c>
      <c r="C2046" s="222" t="s">
        <v>15</v>
      </c>
      <c r="D2046" s="89">
        <v>300</v>
      </c>
      <c r="E2046" s="89">
        <v>300</v>
      </c>
      <c r="F2046" s="577">
        <v>90</v>
      </c>
      <c r="G2046" s="8">
        <f t="shared" ref="G2046:H2053" si="404">D2046*$F2046</f>
        <v>27000</v>
      </c>
      <c r="H2046" s="8">
        <f t="shared" si="404"/>
        <v>27000</v>
      </c>
      <c r="I2046" s="16"/>
      <c r="J2046" s="16" t="s">
        <v>6</v>
      </c>
      <c r="K2046" s="540" t="s">
        <v>325</v>
      </c>
      <c r="L2046" s="540" t="s">
        <v>99</v>
      </c>
      <c r="N2046" s="493"/>
      <c r="P2046" s="580" t="s">
        <v>697</v>
      </c>
    </row>
    <row r="2047" spans="1:16" s="582" customFormat="1" ht="15.5">
      <c r="A2047" s="221" t="s">
        <v>8</v>
      </c>
      <c r="B2047" s="216" t="s">
        <v>663</v>
      </c>
      <c r="C2047" s="222" t="s">
        <v>15</v>
      </c>
      <c r="D2047" s="89"/>
      <c r="E2047" s="89">
        <v>0</v>
      </c>
      <c r="F2047" s="577">
        <v>30</v>
      </c>
      <c r="G2047" s="8">
        <f t="shared" si="404"/>
        <v>0</v>
      </c>
      <c r="H2047" s="8">
        <f t="shared" si="404"/>
        <v>0</v>
      </c>
      <c r="I2047" s="16"/>
      <c r="J2047" s="16" t="s">
        <v>6</v>
      </c>
      <c r="K2047" s="540" t="s">
        <v>325</v>
      </c>
      <c r="L2047" s="540" t="s">
        <v>99</v>
      </c>
      <c r="N2047" s="493"/>
      <c r="P2047" s="580" t="s">
        <v>697</v>
      </c>
    </row>
    <row r="2048" spans="1:16" s="582" customFormat="1" ht="15.5">
      <c r="A2048" s="221" t="s">
        <v>8</v>
      </c>
      <c r="B2048" s="216" t="s">
        <v>664</v>
      </c>
      <c r="C2048" s="222" t="s">
        <v>24</v>
      </c>
      <c r="D2048" s="89"/>
      <c r="E2048" s="89">
        <v>0</v>
      </c>
      <c r="F2048" s="577">
        <v>2.5</v>
      </c>
      <c r="G2048" s="8">
        <f t="shared" si="404"/>
        <v>0</v>
      </c>
      <c r="H2048" s="8">
        <f t="shared" si="404"/>
        <v>0</v>
      </c>
      <c r="I2048" s="16"/>
      <c r="J2048" s="16" t="s">
        <v>6</v>
      </c>
      <c r="K2048" s="540" t="s">
        <v>325</v>
      </c>
      <c r="L2048" s="540" t="s">
        <v>99</v>
      </c>
      <c r="N2048" s="493"/>
      <c r="P2048" s="580" t="s">
        <v>697</v>
      </c>
    </row>
    <row r="2049" spans="1:17" s="582" customFormat="1" ht="15.5">
      <c r="A2049" s="221" t="s">
        <v>8</v>
      </c>
      <c r="B2049" s="216" t="s">
        <v>665</v>
      </c>
      <c r="C2049" s="222" t="s">
        <v>15</v>
      </c>
      <c r="D2049" s="584">
        <v>700</v>
      </c>
      <c r="E2049" s="584">
        <v>700</v>
      </c>
      <c r="F2049" s="577">
        <v>8</v>
      </c>
      <c r="G2049" s="8">
        <f t="shared" si="404"/>
        <v>5600</v>
      </c>
      <c r="H2049" s="8">
        <f t="shared" si="404"/>
        <v>5600</v>
      </c>
      <c r="I2049" s="16"/>
      <c r="J2049" s="16" t="s">
        <v>6</v>
      </c>
      <c r="K2049" s="540" t="s">
        <v>325</v>
      </c>
      <c r="L2049" s="540" t="s">
        <v>99</v>
      </c>
      <c r="N2049" s="493"/>
      <c r="P2049" s="580" t="s">
        <v>697</v>
      </c>
    </row>
    <row r="2050" spans="1:17" s="582" customFormat="1" ht="15.5">
      <c r="A2050" s="221" t="s">
        <v>8</v>
      </c>
      <c r="B2050" s="216" t="s">
        <v>154</v>
      </c>
      <c r="C2050" s="222" t="s">
        <v>15</v>
      </c>
      <c r="D2050" s="584">
        <v>300</v>
      </c>
      <c r="E2050" s="584">
        <v>300</v>
      </c>
      <c r="F2050" s="577">
        <v>4.25</v>
      </c>
      <c r="G2050" s="8">
        <f t="shared" si="404"/>
        <v>1275</v>
      </c>
      <c r="H2050" s="8">
        <f t="shared" si="404"/>
        <v>1275</v>
      </c>
      <c r="I2050" s="16"/>
      <c r="J2050" s="16" t="s">
        <v>6</v>
      </c>
      <c r="K2050" s="540" t="s">
        <v>325</v>
      </c>
      <c r="L2050" s="540" t="s">
        <v>99</v>
      </c>
      <c r="N2050" s="493"/>
      <c r="P2050" s="580" t="s">
        <v>697</v>
      </c>
    </row>
    <row r="2051" spans="1:17" s="582" customFormat="1" ht="15.5">
      <c r="A2051" s="221" t="s">
        <v>8</v>
      </c>
      <c r="B2051" s="216" t="s">
        <v>153</v>
      </c>
      <c r="C2051" s="222" t="s">
        <v>15</v>
      </c>
      <c r="D2051" s="89"/>
      <c r="E2051" s="89">
        <v>200</v>
      </c>
      <c r="F2051" s="577">
        <v>14.4</v>
      </c>
      <c r="G2051" s="8">
        <f t="shared" si="404"/>
        <v>0</v>
      </c>
      <c r="H2051" s="8">
        <f t="shared" si="404"/>
        <v>2880</v>
      </c>
      <c r="I2051" s="16"/>
      <c r="J2051" s="16" t="s">
        <v>6</v>
      </c>
      <c r="K2051" s="540" t="s">
        <v>325</v>
      </c>
      <c r="L2051" s="540" t="s">
        <v>99</v>
      </c>
      <c r="N2051" s="493"/>
      <c r="P2051" s="580" t="s">
        <v>697</v>
      </c>
    </row>
    <row r="2052" spans="1:17" s="582" customFormat="1" ht="15.5">
      <c r="A2052" s="221" t="s">
        <v>8</v>
      </c>
      <c r="B2052" s="216" t="s">
        <v>529</v>
      </c>
      <c r="C2052" s="222" t="s">
        <v>15</v>
      </c>
      <c r="D2052" s="89"/>
      <c r="E2052" s="89">
        <v>400</v>
      </c>
      <c r="F2052" s="577">
        <v>147</v>
      </c>
      <c r="G2052" s="8">
        <f t="shared" si="404"/>
        <v>0</v>
      </c>
      <c r="H2052" s="8">
        <f t="shared" si="404"/>
        <v>58800</v>
      </c>
      <c r="I2052" s="16"/>
      <c r="J2052" s="16" t="s">
        <v>6</v>
      </c>
      <c r="K2052" s="540" t="s">
        <v>325</v>
      </c>
      <c r="L2052" s="540" t="s">
        <v>99</v>
      </c>
      <c r="N2052" s="493"/>
      <c r="P2052" s="580" t="s">
        <v>697</v>
      </c>
    </row>
    <row r="2053" spans="1:17" s="582" customFormat="1" ht="15.5">
      <c r="A2053" s="221" t="s">
        <v>8</v>
      </c>
      <c r="B2053" s="216" t="s">
        <v>501</v>
      </c>
      <c r="C2053" s="222" t="s">
        <v>668</v>
      </c>
      <c r="D2053" s="89">
        <v>27</v>
      </c>
      <c r="E2053" s="89">
        <v>27</v>
      </c>
      <c r="F2053" s="577">
        <v>2820</v>
      </c>
      <c r="G2053" s="8">
        <f t="shared" si="404"/>
        <v>76140</v>
      </c>
      <c r="H2053" s="8">
        <f t="shared" si="404"/>
        <v>76140</v>
      </c>
      <c r="I2053" s="501"/>
      <c r="J2053" s="16" t="s">
        <v>6</v>
      </c>
      <c r="K2053" s="540" t="s">
        <v>325</v>
      </c>
      <c r="L2053" s="540" t="s">
        <v>99</v>
      </c>
      <c r="N2053" s="493"/>
      <c r="P2053" s="580" t="s">
        <v>697</v>
      </c>
    </row>
    <row r="2054" spans="1:17" s="279" customFormat="1" ht="14">
      <c r="A2054" s="389" t="s">
        <v>98</v>
      </c>
      <c r="B2054" s="390" t="s">
        <v>57</v>
      </c>
      <c r="C2054" s="391"/>
      <c r="D2054" s="392"/>
      <c r="E2054" s="392"/>
      <c r="F2054" s="393"/>
      <c r="G2054" s="392">
        <f>SUBTOTAL(9,G2055:G2592)</f>
        <v>10606753.847763658</v>
      </c>
      <c r="H2054" s="392">
        <f>SUBTOTAL(9,H2055:H2592)</f>
        <v>6151061.3611146621</v>
      </c>
      <c r="I2054" s="394"/>
      <c r="J2054" s="255"/>
      <c r="K2054" s="276"/>
      <c r="L2054" s="276"/>
      <c r="N2054" s="395"/>
      <c r="O2054" s="396"/>
      <c r="P2054" s="276"/>
      <c r="Q2054" s="277"/>
    </row>
    <row r="2055" spans="1:17" s="277" customFormat="1" ht="14">
      <c r="A2055" s="398" t="s">
        <v>4</v>
      </c>
      <c r="B2055" s="399" t="s">
        <v>28</v>
      </c>
      <c r="C2055" s="273"/>
      <c r="D2055" s="274"/>
      <c r="E2055" s="274"/>
      <c r="F2055" s="400"/>
      <c r="G2055" s="401">
        <f>SUBTOTAL(9,G2056:G2263)</f>
        <v>10606753.847763658</v>
      </c>
      <c r="H2055" s="402">
        <f>SUBTOTAL(9,H2056:H2263)</f>
        <v>6151061.3611146621</v>
      </c>
      <c r="I2055" s="274"/>
      <c r="J2055" s="254"/>
      <c r="K2055" s="276"/>
      <c r="L2055" s="276"/>
      <c r="N2055" s="395"/>
      <c r="O2055" s="396"/>
      <c r="P2055" s="276"/>
    </row>
    <row r="2056" spans="1:17" s="277" customFormat="1" ht="14" outlineLevel="1">
      <c r="A2056" s="280">
        <v>1</v>
      </c>
      <c r="B2056" s="430" t="s">
        <v>1099</v>
      </c>
      <c r="C2056" s="295"/>
      <c r="D2056" s="283"/>
      <c r="E2056" s="283"/>
      <c r="F2056" s="301"/>
      <c r="G2056" s="283">
        <f>SUBTOTAL(9,G2057:G2075)</f>
        <v>2321681.6771667479</v>
      </c>
      <c r="H2056" s="283">
        <f>SUBTOTAL(9,H2057:H2075)</f>
        <v>1940269.4614343238</v>
      </c>
      <c r="I2056" s="284"/>
      <c r="J2056" s="254"/>
      <c r="K2056" s="254"/>
      <c r="L2056" s="254"/>
      <c r="N2056" s="371"/>
      <c r="O2056" s="396"/>
      <c r="P2056" s="275"/>
    </row>
    <row r="2057" spans="1:17" s="264" customFormat="1" ht="14" outlineLevel="2">
      <c r="A2057" s="297" t="s">
        <v>8</v>
      </c>
      <c r="B2057" s="307" t="s">
        <v>1078</v>
      </c>
      <c r="C2057" s="289" t="s">
        <v>48</v>
      </c>
      <c r="D2057" s="290"/>
      <c r="E2057" s="290"/>
      <c r="F2057" s="290">
        <v>1153</v>
      </c>
      <c r="G2057" s="290">
        <f t="shared" ref="G2057:G2065" si="405">F2057*D2057</f>
        <v>0</v>
      </c>
      <c r="H2057" s="290">
        <f t="shared" ref="H2057:H2065" si="406">F2057*E2057</f>
        <v>0</v>
      </c>
      <c r="I2057" s="291"/>
      <c r="J2057" s="254" t="s">
        <v>10</v>
      </c>
      <c r="K2057" s="254" t="s">
        <v>112</v>
      </c>
      <c r="L2057" s="254" t="s">
        <v>58</v>
      </c>
      <c r="N2057" s="371"/>
      <c r="O2057" s="396"/>
      <c r="P2057" s="254"/>
    </row>
    <row r="2058" spans="1:17" s="264" customFormat="1" ht="14" outlineLevel="2">
      <c r="A2058" s="297" t="s">
        <v>8</v>
      </c>
      <c r="B2058" s="307" t="s">
        <v>1079</v>
      </c>
      <c r="C2058" s="289" t="s">
        <v>48</v>
      </c>
      <c r="D2058" s="290"/>
      <c r="E2058" s="290"/>
      <c r="F2058" s="290"/>
      <c r="G2058" s="290">
        <f t="shared" si="405"/>
        <v>0</v>
      </c>
      <c r="H2058" s="290">
        <f t="shared" si="406"/>
        <v>0</v>
      </c>
      <c r="I2058" s="291"/>
      <c r="J2058" s="254" t="s">
        <v>10</v>
      </c>
      <c r="K2058" s="254" t="s">
        <v>112</v>
      </c>
      <c r="L2058" s="254" t="s">
        <v>58</v>
      </c>
      <c r="N2058" s="371"/>
      <c r="O2058" s="396"/>
      <c r="P2058" s="254"/>
    </row>
    <row r="2059" spans="1:17" s="264" customFormat="1" ht="14" outlineLevel="2">
      <c r="A2059" s="297" t="s">
        <v>8</v>
      </c>
      <c r="B2059" s="307" t="s">
        <v>1080</v>
      </c>
      <c r="C2059" s="289" t="s">
        <v>48</v>
      </c>
      <c r="D2059" s="290"/>
      <c r="E2059" s="290"/>
      <c r="F2059" s="290">
        <v>2600</v>
      </c>
      <c r="G2059" s="290">
        <f t="shared" si="405"/>
        <v>0</v>
      </c>
      <c r="H2059" s="290">
        <f t="shared" si="406"/>
        <v>0</v>
      </c>
      <c r="I2059" s="291"/>
      <c r="J2059" s="254" t="s">
        <v>10</v>
      </c>
      <c r="K2059" s="254" t="s">
        <v>112</v>
      </c>
      <c r="L2059" s="254" t="s">
        <v>58</v>
      </c>
      <c r="N2059" s="371"/>
      <c r="O2059" s="396"/>
      <c r="P2059" s="254"/>
    </row>
    <row r="2060" spans="1:17" s="264" customFormat="1" ht="14" outlineLevel="2">
      <c r="A2060" s="297" t="s">
        <v>8</v>
      </c>
      <c r="B2060" s="307" t="s">
        <v>1081</v>
      </c>
      <c r="C2060" s="289" t="s">
        <v>48</v>
      </c>
      <c r="D2060" s="290"/>
      <c r="E2060" s="290"/>
      <c r="F2060" s="290"/>
      <c r="G2060" s="290">
        <f t="shared" si="405"/>
        <v>0</v>
      </c>
      <c r="H2060" s="290">
        <f t="shared" si="406"/>
        <v>0</v>
      </c>
      <c r="I2060" s="291"/>
      <c r="J2060" s="254" t="s">
        <v>10</v>
      </c>
      <c r="K2060" s="254" t="s">
        <v>112</v>
      </c>
      <c r="L2060" s="254" t="s">
        <v>58</v>
      </c>
      <c r="N2060" s="371"/>
      <c r="O2060" s="396"/>
      <c r="P2060" s="254"/>
    </row>
    <row r="2061" spans="1:17" s="264" customFormat="1" ht="14" outlineLevel="2">
      <c r="A2061" s="297" t="s">
        <v>8</v>
      </c>
      <c r="B2061" s="307" t="s">
        <v>1082</v>
      </c>
      <c r="C2061" s="289" t="s">
        <v>48</v>
      </c>
      <c r="D2061" s="290"/>
      <c r="E2061" s="290"/>
      <c r="F2061" s="290">
        <v>4600</v>
      </c>
      <c r="G2061" s="290">
        <f t="shared" si="405"/>
        <v>0</v>
      </c>
      <c r="H2061" s="290">
        <f t="shared" si="406"/>
        <v>0</v>
      </c>
      <c r="I2061" s="291"/>
      <c r="J2061" s="254" t="s">
        <v>10</v>
      </c>
      <c r="K2061" s="254" t="s">
        <v>112</v>
      </c>
      <c r="L2061" s="254" t="s">
        <v>58</v>
      </c>
      <c r="N2061" s="371"/>
      <c r="O2061" s="396"/>
      <c r="P2061" s="254"/>
    </row>
    <row r="2062" spans="1:17" s="264" customFormat="1" ht="14" outlineLevel="2">
      <c r="A2062" s="297" t="s">
        <v>8</v>
      </c>
      <c r="B2062" s="307" t="s">
        <v>1083</v>
      </c>
      <c r="C2062" s="289" t="s">
        <v>48</v>
      </c>
      <c r="D2062" s="290"/>
      <c r="E2062" s="290"/>
      <c r="F2062" s="290">
        <v>5800.3354333495727</v>
      </c>
      <c r="G2062" s="290">
        <f t="shared" si="405"/>
        <v>0</v>
      </c>
      <c r="H2062" s="290">
        <f t="shared" si="406"/>
        <v>0</v>
      </c>
      <c r="I2062" s="291"/>
      <c r="J2062" s="254" t="s">
        <v>10</v>
      </c>
      <c r="K2062" s="254" t="s">
        <v>112</v>
      </c>
      <c r="L2062" s="254" t="s">
        <v>58</v>
      </c>
      <c r="N2062" s="371"/>
      <c r="O2062" s="396"/>
      <c r="P2062" s="254"/>
    </row>
    <row r="2063" spans="1:17" s="264" customFormat="1" ht="14" outlineLevel="2">
      <c r="A2063" s="297" t="s">
        <v>8</v>
      </c>
      <c r="B2063" s="307" t="s">
        <v>1084</v>
      </c>
      <c r="C2063" s="289" t="s">
        <v>48</v>
      </c>
      <c r="D2063" s="290">
        <v>27</v>
      </c>
      <c r="E2063" s="290">
        <v>2</v>
      </c>
      <c r="F2063" s="290">
        <v>6134</v>
      </c>
      <c r="G2063" s="290">
        <f t="shared" si="405"/>
        <v>165618</v>
      </c>
      <c r="H2063" s="290">
        <f t="shared" si="406"/>
        <v>12268</v>
      </c>
      <c r="I2063" s="291"/>
      <c r="J2063" s="254" t="s">
        <v>10</v>
      </c>
      <c r="K2063" s="254" t="s">
        <v>112</v>
      </c>
      <c r="L2063" s="254" t="s">
        <v>58</v>
      </c>
      <c r="N2063" s="371"/>
      <c r="O2063" s="396"/>
      <c r="P2063" s="254"/>
    </row>
    <row r="2064" spans="1:17" s="264" customFormat="1" ht="14" outlineLevel="2">
      <c r="A2064" s="297" t="s">
        <v>8</v>
      </c>
      <c r="B2064" s="307" t="s">
        <v>1085</v>
      </c>
      <c r="C2064" s="289" t="s">
        <v>48</v>
      </c>
      <c r="D2064" s="290">
        <v>3</v>
      </c>
      <c r="E2064" s="290">
        <v>1</v>
      </c>
      <c r="F2064" s="290">
        <v>6737</v>
      </c>
      <c r="G2064" s="290">
        <f t="shared" si="405"/>
        <v>20211</v>
      </c>
      <c r="H2064" s="290">
        <f t="shared" si="406"/>
        <v>6737</v>
      </c>
      <c r="I2064" s="291"/>
      <c r="J2064" s="254" t="s">
        <v>10</v>
      </c>
      <c r="K2064" s="254" t="s">
        <v>112</v>
      </c>
      <c r="L2064" s="254" t="s">
        <v>58</v>
      </c>
      <c r="N2064" s="371"/>
      <c r="O2064" s="396"/>
      <c r="P2064" s="254"/>
    </row>
    <row r="2065" spans="1:16" s="264" customFormat="1" ht="14" outlineLevel="2">
      <c r="A2065" s="297"/>
      <c r="B2065" s="307" t="s">
        <v>1086</v>
      </c>
      <c r="C2065" s="289" t="s">
        <v>48</v>
      </c>
      <c r="D2065" s="290"/>
      <c r="E2065" s="290"/>
      <c r="F2065" s="290">
        <v>7685</v>
      </c>
      <c r="G2065" s="290">
        <f t="shared" si="405"/>
        <v>0</v>
      </c>
      <c r="H2065" s="290">
        <f t="shared" si="406"/>
        <v>0</v>
      </c>
      <c r="I2065" s="291"/>
      <c r="J2065" s="254" t="s">
        <v>10</v>
      </c>
      <c r="K2065" s="254" t="s">
        <v>112</v>
      </c>
      <c r="L2065" s="254" t="s">
        <v>58</v>
      </c>
      <c r="N2065" s="371"/>
      <c r="O2065" s="396"/>
      <c r="P2065" s="254"/>
    </row>
    <row r="2066" spans="1:16" s="264" customFormat="1" ht="14" outlineLevel="2">
      <c r="A2066" s="297" t="s">
        <v>8</v>
      </c>
      <c r="B2066" s="307" t="s">
        <v>1087</v>
      </c>
      <c r="C2066" s="289" t="s">
        <v>48</v>
      </c>
      <c r="D2066" s="290">
        <v>148</v>
      </c>
      <c r="E2066" s="290">
        <v>147</v>
      </c>
      <c r="F2066" s="290">
        <v>8309</v>
      </c>
      <c r="G2066" s="290">
        <f t="shared" ref="G2066:G2074" si="407">F2066*D2066</f>
        <v>1229732</v>
      </c>
      <c r="H2066" s="290">
        <f t="shared" ref="H2066:H2074" si="408">F2066*E2066</f>
        <v>1221423</v>
      </c>
      <c r="I2066" s="291"/>
      <c r="J2066" s="254" t="s">
        <v>10</v>
      </c>
      <c r="K2066" s="254" t="s">
        <v>112</v>
      </c>
      <c r="L2066" s="254" t="s">
        <v>58</v>
      </c>
      <c r="N2066" s="371"/>
      <c r="O2066" s="396"/>
      <c r="P2066" s="254"/>
    </row>
    <row r="2067" spans="1:16" s="264" customFormat="1" ht="14" outlineLevel="2">
      <c r="A2067" s="297" t="s">
        <v>8</v>
      </c>
      <c r="B2067" s="307" t="s">
        <v>1088</v>
      </c>
      <c r="C2067" s="289" t="s">
        <v>48</v>
      </c>
      <c r="D2067" s="290">
        <v>5</v>
      </c>
      <c r="E2067" s="290">
        <v>61</v>
      </c>
      <c r="F2067" s="290">
        <v>7900.3354333495718</v>
      </c>
      <c r="G2067" s="290">
        <f t="shared" si="407"/>
        <v>39501.677166747861</v>
      </c>
      <c r="H2067" s="290">
        <f t="shared" si="408"/>
        <v>481920.46143432386</v>
      </c>
      <c r="I2067" s="291"/>
      <c r="J2067" s="254" t="s">
        <v>10</v>
      </c>
      <c r="K2067" s="254" t="s">
        <v>112</v>
      </c>
      <c r="L2067" s="254" t="s">
        <v>58</v>
      </c>
      <c r="N2067" s="371"/>
      <c r="O2067" s="396"/>
      <c r="P2067" s="254"/>
    </row>
    <row r="2068" spans="1:16" s="264" customFormat="1" ht="14" outlineLevel="2">
      <c r="A2068" s="297" t="s">
        <v>8</v>
      </c>
      <c r="B2068" s="307" t="s">
        <v>1089</v>
      </c>
      <c r="C2068" s="289" t="s">
        <v>48</v>
      </c>
      <c r="D2068" s="290"/>
      <c r="E2068" s="290"/>
      <c r="F2068" s="290">
        <v>8250.3354333495718</v>
      </c>
      <c r="G2068" s="290">
        <f t="shared" si="407"/>
        <v>0</v>
      </c>
      <c r="H2068" s="290">
        <f t="shared" si="408"/>
        <v>0</v>
      </c>
      <c r="I2068" s="291"/>
      <c r="J2068" s="254" t="s">
        <v>10</v>
      </c>
      <c r="K2068" s="254" t="s">
        <v>112</v>
      </c>
      <c r="L2068" s="254" t="s">
        <v>58</v>
      </c>
      <c r="N2068" s="371"/>
      <c r="O2068" s="396"/>
      <c r="P2068" s="254"/>
    </row>
    <row r="2069" spans="1:16" s="264" customFormat="1" ht="14" outlineLevel="2">
      <c r="A2069" s="297" t="s">
        <v>8</v>
      </c>
      <c r="B2069" s="307" t="s">
        <v>1090</v>
      </c>
      <c r="C2069" s="289" t="s">
        <v>48</v>
      </c>
      <c r="D2069" s="290"/>
      <c r="E2069" s="290"/>
      <c r="F2069" s="290">
        <v>9874</v>
      </c>
      <c r="G2069" s="290">
        <f t="shared" si="407"/>
        <v>0</v>
      </c>
      <c r="H2069" s="290">
        <f t="shared" si="408"/>
        <v>0</v>
      </c>
      <c r="I2069" s="291"/>
      <c r="J2069" s="254" t="s">
        <v>10</v>
      </c>
      <c r="K2069" s="254" t="s">
        <v>112</v>
      </c>
      <c r="L2069" s="254" t="s">
        <v>58</v>
      </c>
      <c r="N2069" s="371"/>
      <c r="O2069" s="396"/>
      <c r="P2069" s="254"/>
    </row>
    <row r="2070" spans="1:16" s="264" customFormat="1" ht="14" outlineLevel="2">
      <c r="A2070" s="297" t="s">
        <v>8</v>
      </c>
      <c r="B2070" s="307" t="s">
        <v>1091</v>
      </c>
      <c r="C2070" s="289" t="s">
        <v>48</v>
      </c>
      <c r="D2070" s="290">
        <v>63</v>
      </c>
      <c r="E2070" s="290">
        <v>17</v>
      </c>
      <c r="F2070" s="290">
        <v>12163</v>
      </c>
      <c r="G2070" s="290">
        <f t="shared" si="407"/>
        <v>766269</v>
      </c>
      <c r="H2070" s="290">
        <f t="shared" si="408"/>
        <v>206771</v>
      </c>
      <c r="I2070" s="291"/>
      <c r="J2070" s="254" t="s">
        <v>10</v>
      </c>
      <c r="K2070" s="254" t="s">
        <v>112</v>
      </c>
      <c r="L2070" s="254" t="s">
        <v>58</v>
      </c>
      <c r="N2070" s="371"/>
      <c r="O2070" s="396"/>
      <c r="P2070" s="254"/>
    </row>
    <row r="2071" spans="1:16" s="264" customFormat="1" ht="14" outlineLevel="2">
      <c r="A2071" s="297" t="s">
        <v>8</v>
      </c>
      <c r="B2071" s="307" t="s">
        <v>1092</v>
      </c>
      <c r="C2071" s="289" t="s">
        <v>48</v>
      </c>
      <c r="D2071" s="290"/>
      <c r="E2071" s="290"/>
      <c r="F2071" s="290">
        <v>19500</v>
      </c>
      <c r="G2071" s="290">
        <f t="shared" si="407"/>
        <v>0</v>
      </c>
      <c r="H2071" s="290">
        <f t="shared" si="408"/>
        <v>0</v>
      </c>
      <c r="I2071" s="291"/>
      <c r="J2071" s="254" t="s">
        <v>10</v>
      </c>
      <c r="K2071" s="254" t="s">
        <v>112</v>
      </c>
      <c r="L2071" s="254" t="s">
        <v>58</v>
      </c>
      <c r="N2071" s="371"/>
      <c r="O2071" s="396"/>
      <c r="P2071" s="254"/>
    </row>
    <row r="2072" spans="1:16" s="264" customFormat="1" ht="14" outlineLevel="2">
      <c r="A2072" s="297" t="s">
        <v>8</v>
      </c>
      <c r="B2072" s="307" t="s">
        <v>1093</v>
      </c>
      <c r="C2072" s="289" t="s">
        <v>48</v>
      </c>
      <c r="D2072" s="290">
        <v>9</v>
      </c>
      <c r="E2072" s="290">
        <v>1</v>
      </c>
      <c r="F2072" s="290">
        <v>11150</v>
      </c>
      <c r="G2072" s="290">
        <f t="shared" si="407"/>
        <v>100350</v>
      </c>
      <c r="H2072" s="290">
        <f t="shared" si="408"/>
        <v>11150</v>
      </c>
      <c r="I2072" s="291"/>
      <c r="J2072" s="254" t="s">
        <v>10</v>
      </c>
      <c r="K2072" s="254" t="s">
        <v>112</v>
      </c>
      <c r="L2072" s="254" t="s">
        <v>58</v>
      </c>
      <c r="M2072" s="254"/>
      <c r="N2072" s="371"/>
      <c r="O2072" s="396"/>
      <c r="P2072" s="397"/>
    </row>
    <row r="2073" spans="1:16" s="264" customFormat="1" ht="14" outlineLevel="2">
      <c r="A2073" s="297" t="s">
        <v>8</v>
      </c>
      <c r="B2073" s="307" t="s">
        <v>1094</v>
      </c>
      <c r="C2073" s="289" t="s">
        <v>48</v>
      </c>
      <c r="D2073" s="290"/>
      <c r="E2073" s="290"/>
      <c r="F2073" s="290"/>
      <c r="G2073" s="290">
        <f t="shared" si="407"/>
        <v>0</v>
      </c>
      <c r="H2073" s="290">
        <f t="shared" si="408"/>
        <v>0</v>
      </c>
      <c r="I2073" s="291"/>
      <c r="J2073" s="254" t="s">
        <v>10</v>
      </c>
      <c r="K2073" s="254" t="s">
        <v>112</v>
      </c>
      <c r="L2073" s="254" t="s">
        <v>58</v>
      </c>
      <c r="M2073" s="254"/>
      <c r="N2073" s="371"/>
      <c r="O2073" s="396"/>
      <c r="P2073" s="397"/>
    </row>
    <row r="2074" spans="1:16" s="264" customFormat="1" ht="14" outlineLevel="2">
      <c r="A2074" s="297"/>
      <c r="B2074" s="307" t="s">
        <v>1095</v>
      </c>
      <c r="C2074" s="289" t="s">
        <v>1097</v>
      </c>
      <c r="D2074" s="290"/>
      <c r="E2074" s="290"/>
      <c r="F2074" s="290"/>
      <c r="G2074" s="290">
        <f t="shared" si="407"/>
        <v>0</v>
      </c>
      <c r="H2074" s="290">
        <f t="shared" si="408"/>
        <v>0</v>
      </c>
      <c r="I2074" s="291"/>
      <c r="J2074" s="254" t="s">
        <v>10</v>
      </c>
      <c r="K2074" s="254" t="s">
        <v>112</v>
      </c>
      <c r="L2074" s="254" t="s">
        <v>58</v>
      </c>
      <c r="M2074" s="254"/>
      <c r="N2074" s="371"/>
      <c r="O2074" s="396"/>
      <c r="P2074" s="397"/>
    </row>
    <row r="2075" spans="1:16" s="264" customFormat="1" ht="14" outlineLevel="2">
      <c r="A2075" s="297" t="s">
        <v>8</v>
      </c>
      <c r="B2075" s="307" t="s">
        <v>1096</v>
      </c>
      <c r="C2075" s="289" t="s">
        <v>1098</v>
      </c>
      <c r="D2075" s="290"/>
      <c r="E2075" s="290"/>
      <c r="F2075" s="290"/>
      <c r="G2075" s="290">
        <f t="shared" ref="G2075" si="409">F2075*D2075</f>
        <v>0</v>
      </c>
      <c r="H2075" s="290">
        <f t="shared" ref="H2075" si="410">F2075*E2075</f>
        <v>0</v>
      </c>
      <c r="I2075" s="291"/>
      <c r="J2075" s="254" t="s">
        <v>10</v>
      </c>
      <c r="K2075" s="254" t="s">
        <v>112</v>
      </c>
      <c r="L2075" s="254" t="s">
        <v>58</v>
      </c>
      <c r="M2075" s="254"/>
      <c r="N2075" s="371"/>
      <c r="O2075" s="396"/>
      <c r="P2075" s="397"/>
    </row>
    <row r="2076" spans="1:16" s="277" customFormat="1" ht="14" outlineLevel="1">
      <c r="A2076" s="280">
        <v>2</v>
      </c>
      <c r="B2076" s="430" t="s">
        <v>1100</v>
      </c>
      <c r="C2076" s="295"/>
      <c r="D2076" s="283"/>
      <c r="E2076" s="283"/>
      <c r="F2076" s="301"/>
      <c r="G2076" s="283">
        <f>SUBTOTAL(9,G2077:G2095)</f>
        <v>0</v>
      </c>
      <c r="H2076" s="283">
        <f>SUBTOTAL(9,H2077:H2095)</f>
        <v>0</v>
      </c>
      <c r="I2076" s="284"/>
      <c r="J2076" s="254"/>
      <c r="K2076" s="254"/>
      <c r="L2076" s="254"/>
      <c r="M2076" s="275"/>
      <c r="N2076" s="371"/>
      <c r="O2076" s="396"/>
      <c r="P2076" s="397"/>
    </row>
    <row r="2077" spans="1:16" s="264" customFormat="1" ht="14" outlineLevel="2">
      <c r="A2077" s="297" t="s">
        <v>8</v>
      </c>
      <c r="B2077" s="307" t="s">
        <v>1078</v>
      </c>
      <c r="C2077" s="289" t="s">
        <v>48</v>
      </c>
      <c r="D2077" s="290"/>
      <c r="E2077" s="290"/>
      <c r="F2077" s="290"/>
      <c r="G2077" s="290">
        <f t="shared" ref="G2077:G2095" si="411">F2077*D2077</f>
        <v>0</v>
      </c>
      <c r="H2077" s="290">
        <f t="shared" ref="H2077:H2095" si="412">F2077*E2077</f>
        <v>0</v>
      </c>
      <c r="I2077" s="291"/>
      <c r="J2077" s="254" t="s">
        <v>10</v>
      </c>
      <c r="K2077" s="254" t="s">
        <v>113</v>
      </c>
      <c r="L2077" s="254" t="s">
        <v>58</v>
      </c>
      <c r="M2077" s="254"/>
      <c r="N2077" s="371"/>
      <c r="O2077" s="396"/>
      <c r="P2077" s="397"/>
    </row>
    <row r="2078" spans="1:16" s="264" customFormat="1" ht="14" outlineLevel="2">
      <c r="A2078" s="297" t="s">
        <v>8</v>
      </c>
      <c r="B2078" s="307" t="s">
        <v>1079</v>
      </c>
      <c r="C2078" s="289" t="s">
        <v>48</v>
      </c>
      <c r="D2078" s="290"/>
      <c r="E2078" s="290"/>
      <c r="F2078" s="290"/>
      <c r="G2078" s="290">
        <f t="shared" si="411"/>
        <v>0</v>
      </c>
      <c r="H2078" s="290">
        <f t="shared" si="412"/>
        <v>0</v>
      </c>
      <c r="I2078" s="291"/>
      <c r="J2078" s="254" t="s">
        <v>10</v>
      </c>
      <c r="K2078" s="254" t="s">
        <v>113</v>
      </c>
      <c r="L2078" s="254" t="s">
        <v>58</v>
      </c>
      <c r="M2078" s="254"/>
      <c r="N2078" s="371"/>
      <c r="O2078" s="396"/>
      <c r="P2078" s="397"/>
    </row>
    <row r="2079" spans="1:16" s="264" customFormat="1" ht="14" outlineLevel="2">
      <c r="A2079" s="297" t="s">
        <v>8</v>
      </c>
      <c r="B2079" s="307" t="s">
        <v>1080</v>
      </c>
      <c r="C2079" s="289" t="s">
        <v>48</v>
      </c>
      <c r="D2079" s="290"/>
      <c r="E2079" s="290"/>
      <c r="F2079" s="290"/>
      <c r="G2079" s="290">
        <f t="shared" si="411"/>
        <v>0</v>
      </c>
      <c r="H2079" s="290">
        <f t="shared" si="412"/>
        <v>0</v>
      </c>
      <c r="I2079" s="291"/>
      <c r="J2079" s="254" t="s">
        <v>10</v>
      </c>
      <c r="K2079" s="254" t="s">
        <v>113</v>
      </c>
      <c r="L2079" s="254" t="s">
        <v>58</v>
      </c>
      <c r="M2079" s="254"/>
      <c r="N2079" s="371"/>
      <c r="O2079" s="396"/>
      <c r="P2079" s="397"/>
    </row>
    <row r="2080" spans="1:16" s="264" customFormat="1" ht="14" outlineLevel="2">
      <c r="A2080" s="297" t="s">
        <v>8</v>
      </c>
      <c r="B2080" s="307" t="s">
        <v>1081</v>
      </c>
      <c r="C2080" s="289" t="s">
        <v>48</v>
      </c>
      <c r="D2080" s="290"/>
      <c r="E2080" s="290"/>
      <c r="F2080" s="290"/>
      <c r="G2080" s="290">
        <f t="shared" si="411"/>
        <v>0</v>
      </c>
      <c r="H2080" s="290">
        <f t="shared" si="412"/>
        <v>0</v>
      </c>
      <c r="I2080" s="291"/>
      <c r="J2080" s="254" t="s">
        <v>10</v>
      </c>
      <c r="K2080" s="254" t="s">
        <v>113</v>
      </c>
      <c r="L2080" s="254" t="s">
        <v>58</v>
      </c>
      <c r="M2080" s="254"/>
      <c r="N2080" s="371"/>
      <c r="O2080" s="396"/>
      <c r="P2080" s="397"/>
    </row>
    <row r="2081" spans="1:16" s="264" customFormat="1" ht="14" outlineLevel="2">
      <c r="A2081" s="297" t="s">
        <v>8</v>
      </c>
      <c r="B2081" s="307" t="s">
        <v>1082</v>
      </c>
      <c r="C2081" s="289" t="s">
        <v>48</v>
      </c>
      <c r="D2081" s="290"/>
      <c r="E2081" s="290"/>
      <c r="F2081" s="290"/>
      <c r="G2081" s="290">
        <f t="shared" si="411"/>
        <v>0</v>
      </c>
      <c r="H2081" s="290">
        <f t="shared" si="412"/>
        <v>0</v>
      </c>
      <c r="I2081" s="291"/>
      <c r="J2081" s="254" t="s">
        <v>10</v>
      </c>
      <c r="K2081" s="254" t="s">
        <v>113</v>
      </c>
      <c r="L2081" s="254" t="s">
        <v>58</v>
      </c>
      <c r="M2081" s="254"/>
      <c r="N2081" s="371"/>
      <c r="O2081" s="396"/>
      <c r="P2081" s="397"/>
    </row>
    <row r="2082" spans="1:16" s="264" customFormat="1" ht="14" outlineLevel="2">
      <c r="A2082" s="297" t="s">
        <v>8</v>
      </c>
      <c r="B2082" s="307" t="s">
        <v>1083</v>
      </c>
      <c r="C2082" s="289" t="s">
        <v>48</v>
      </c>
      <c r="D2082" s="290"/>
      <c r="E2082" s="290"/>
      <c r="F2082" s="290"/>
      <c r="G2082" s="290">
        <f t="shared" si="411"/>
        <v>0</v>
      </c>
      <c r="H2082" s="290">
        <f t="shared" si="412"/>
        <v>0</v>
      </c>
      <c r="I2082" s="291"/>
      <c r="J2082" s="254" t="s">
        <v>10</v>
      </c>
      <c r="K2082" s="254" t="s">
        <v>113</v>
      </c>
      <c r="L2082" s="254" t="s">
        <v>58</v>
      </c>
      <c r="M2082" s="254"/>
      <c r="N2082" s="371"/>
      <c r="O2082" s="396"/>
      <c r="P2082" s="397"/>
    </row>
    <row r="2083" spans="1:16" s="264" customFormat="1" ht="14" outlineLevel="2">
      <c r="A2083" s="297" t="s">
        <v>8</v>
      </c>
      <c r="B2083" s="307" t="s">
        <v>1084</v>
      </c>
      <c r="C2083" s="289" t="s">
        <v>48</v>
      </c>
      <c r="D2083" s="290"/>
      <c r="E2083" s="290"/>
      <c r="F2083" s="290"/>
      <c r="G2083" s="290">
        <f t="shared" si="411"/>
        <v>0</v>
      </c>
      <c r="H2083" s="290">
        <f t="shared" si="412"/>
        <v>0</v>
      </c>
      <c r="I2083" s="291"/>
      <c r="J2083" s="254" t="s">
        <v>10</v>
      </c>
      <c r="K2083" s="254" t="s">
        <v>113</v>
      </c>
      <c r="L2083" s="254" t="s">
        <v>58</v>
      </c>
      <c r="M2083" s="254"/>
      <c r="N2083" s="371"/>
      <c r="O2083" s="396"/>
      <c r="P2083" s="397"/>
    </row>
    <row r="2084" spans="1:16" s="264" customFormat="1" ht="14" outlineLevel="2">
      <c r="A2084" s="297" t="s">
        <v>8</v>
      </c>
      <c r="B2084" s="307" t="s">
        <v>1085</v>
      </c>
      <c r="C2084" s="289" t="s">
        <v>48</v>
      </c>
      <c r="D2084" s="290"/>
      <c r="E2084" s="290"/>
      <c r="F2084" s="290"/>
      <c r="G2084" s="290">
        <f t="shared" si="411"/>
        <v>0</v>
      </c>
      <c r="H2084" s="290">
        <f t="shared" si="412"/>
        <v>0</v>
      </c>
      <c r="I2084" s="291"/>
      <c r="J2084" s="254" t="s">
        <v>10</v>
      </c>
      <c r="K2084" s="254" t="s">
        <v>113</v>
      </c>
      <c r="L2084" s="254" t="s">
        <v>58</v>
      </c>
      <c r="M2084" s="254"/>
      <c r="N2084" s="371"/>
      <c r="O2084" s="396"/>
      <c r="P2084" s="397"/>
    </row>
    <row r="2085" spans="1:16" s="264" customFormat="1" ht="14" outlineLevel="2">
      <c r="A2085" s="297"/>
      <c r="B2085" s="307" t="s">
        <v>1086</v>
      </c>
      <c r="C2085" s="289" t="s">
        <v>48</v>
      </c>
      <c r="D2085" s="290"/>
      <c r="E2085" s="290"/>
      <c r="F2085" s="290"/>
      <c r="G2085" s="290">
        <f t="shared" si="411"/>
        <v>0</v>
      </c>
      <c r="H2085" s="290">
        <f t="shared" si="412"/>
        <v>0</v>
      </c>
      <c r="I2085" s="291"/>
      <c r="J2085" s="254" t="s">
        <v>10</v>
      </c>
      <c r="K2085" s="254" t="s">
        <v>113</v>
      </c>
      <c r="L2085" s="254" t="s">
        <v>58</v>
      </c>
      <c r="M2085" s="254"/>
      <c r="N2085" s="371"/>
      <c r="O2085" s="396"/>
      <c r="P2085" s="397"/>
    </row>
    <row r="2086" spans="1:16" s="264" customFormat="1" ht="14" outlineLevel="2">
      <c r="A2086" s="297" t="s">
        <v>8</v>
      </c>
      <c r="B2086" s="307" t="s">
        <v>1087</v>
      </c>
      <c r="C2086" s="289" t="s">
        <v>48</v>
      </c>
      <c r="D2086" s="290"/>
      <c r="E2086" s="290"/>
      <c r="F2086" s="290"/>
      <c r="G2086" s="290">
        <f t="shared" si="411"/>
        <v>0</v>
      </c>
      <c r="H2086" s="290">
        <f t="shared" si="412"/>
        <v>0</v>
      </c>
      <c r="I2086" s="291"/>
      <c r="J2086" s="254" t="s">
        <v>10</v>
      </c>
      <c r="K2086" s="254" t="s">
        <v>113</v>
      </c>
      <c r="L2086" s="254" t="s">
        <v>58</v>
      </c>
      <c r="M2086" s="254"/>
      <c r="N2086" s="371"/>
      <c r="O2086" s="396"/>
      <c r="P2086" s="397"/>
    </row>
    <row r="2087" spans="1:16" s="264" customFormat="1" ht="14" outlineLevel="2">
      <c r="A2087" s="297" t="s">
        <v>8</v>
      </c>
      <c r="B2087" s="307" t="s">
        <v>1088</v>
      </c>
      <c r="C2087" s="289" t="s">
        <v>48</v>
      </c>
      <c r="D2087" s="290"/>
      <c r="E2087" s="290"/>
      <c r="F2087" s="290"/>
      <c r="G2087" s="290">
        <f t="shared" si="411"/>
        <v>0</v>
      </c>
      <c r="H2087" s="290">
        <f t="shared" si="412"/>
        <v>0</v>
      </c>
      <c r="I2087" s="291"/>
      <c r="J2087" s="254" t="s">
        <v>10</v>
      </c>
      <c r="K2087" s="254" t="s">
        <v>113</v>
      </c>
      <c r="L2087" s="254" t="s">
        <v>58</v>
      </c>
      <c r="M2087" s="254"/>
      <c r="N2087" s="371"/>
      <c r="O2087" s="396"/>
      <c r="P2087" s="397"/>
    </row>
    <row r="2088" spans="1:16" s="264" customFormat="1" ht="14" outlineLevel="2">
      <c r="A2088" s="297" t="s">
        <v>8</v>
      </c>
      <c r="B2088" s="307" t="s">
        <v>1089</v>
      </c>
      <c r="C2088" s="289" t="s">
        <v>48</v>
      </c>
      <c r="D2088" s="290"/>
      <c r="E2088" s="290"/>
      <c r="F2088" s="290"/>
      <c r="G2088" s="290">
        <f t="shared" si="411"/>
        <v>0</v>
      </c>
      <c r="H2088" s="290">
        <f t="shared" si="412"/>
        <v>0</v>
      </c>
      <c r="I2088" s="291"/>
      <c r="J2088" s="254" t="s">
        <v>10</v>
      </c>
      <c r="K2088" s="254" t="s">
        <v>113</v>
      </c>
      <c r="L2088" s="254" t="s">
        <v>58</v>
      </c>
      <c r="M2088" s="254"/>
      <c r="N2088" s="371"/>
      <c r="O2088" s="396"/>
      <c r="P2088" s="397"/>
    </row>
    <row r="2089" spans="1:16" s="264" customFormat="1" ht="14" outlineLevel="2">
      <c r="A2089" s="297" t="s">
        <v>8</v>
      </c>
      <c r="B2089" s="307" t="s">
        <v>1090</v>
      </c>
      <c r="C2089" s="289" t="s">
        <v>48</v>
      </c>
      <c r="D2089" s="290"/>
      <c r="E2089" s="290"/>
      <c r="F2089" s="290"/>
      <c r="G2089" s="290">
        <f t="shared" si="411"/>
        <v>0</v>
      </c>
      <c r="H2089" s="290">
        <f t="shared" si="412"/>
        <v>0</v>
      </c>
      <c r="I2089" s="291"/>
      <c r="J2089" s="254" t="s">
        <v>10</v>
      </c>
      <c r="K2089" s="254" t="s">
        <v>113</v>
      </c>
      <c r="L2089" s="254" t="s">
        <v>58</v>
      </c>
      <c r="M2089" s="254"/>
      <c r="N2089" s="371"/>
      <c r="O2089" s="396"/>
      <c r="P2089" s="397"/>
    </row>
    <row r="2090" spans="1:16" s="264" customFormat="1" ht="14" outlineLevel="2">
      <c r="A2090" s="297" t="s">
        <v>8</v>
      </c>
      <c r="B2090" s="307" t="s">
        <v>1091</v>
      </c>
      <c r="C2090" s="289" t="s">
        <v>48</v>
      </c>
      <c r="D2090" s="290"/>
      <c r="E2090" s="290"/>
      <c r="F2090" s="290"/>
      <c r="G2090" s="290">
        <f t="shared" si="411"/>
        <v>0</v>
      </c>
      <c r="H2090" s="290">
        <f t="shared" si="412"/>
        <v>0</v>
      </c>
      <c r="I2090" s="291"/>
      <c r="J2090" s="254" t="s">
        <v>10</v>
      </c>
      <c r="K2090" s="254" t="s">
        <v>113</v>
      </c>
      <c r="L2090" s="254" t="s">
        <v>58</v>
      </c>
      <c r="M2090" s="254"/>
      <c r="N2090" s="371"/>
      <c r="O2090" s="396"/>
      <c r="P2090" s="397"/>
    </row>
    <row r="2091" spans="1:16" s="264" customFormat="1" ht="14" outlineLevel="2">
      <c r="A2091" s="297" t="s">
        <v>8</v>
      </c>
      <c r="B2091" s="307" t="s">
        <v>1092</v>
      </c>
      <c r="C2091" s="289" t="s">
        <v>48</v>
      </c>
      <c r="D2091" s="290"/>
      <c r="E2091" s="290"/>
      <c r="F2091" s="290"/>
      <c r="G2091" s="290">
        <f t="shared" si="411"/>
        <v>0</v>
      </c>
      <c r="H2091" s="290">
        <f t="shared" si="412"/>
        <v>0</v>
      </c>
      <c r="I2091" s="291"/>
      <c r="J2091" s="254" t="s">
        <v>10</v>
      </c>
      <c r="K2091" s="254" t="s">
        <v>113</v>
      </c>
      <c r="L2091" s="254" t="s">
        <v>58</v>
      </c>
      <c r="M2091" s="254"/>
      <c r="N2091" s="371"/>
      <c r="O2091" s="396"/>
      <c r="P2091" s="397"/>
    </row>
    <row r="2092" spans="1:16" s="264" customFormat="1" ht="14" outlineLevel="2">
      <c r="A2092" s="297" t="s">
        <v>8</v>
      </c>
      <c r="B2092" s="307" t="s">
        <v>1093</v>
      </c>
      <c r="C2092" s="289" t="s">
        <v>48</v>
      </c>
      <c r="D2092" s="290"/>
      <c r="E2092" s="290"/>
      <c r="F2092" s="290"/>
      <c r="G2092" s="290">
        <f t="shared" si="411"/>
        <v>0</v>
      </c>
      <c r="H2092" s="290">
        <f t="shared" si="412"/>
        <v>0</v>
      </c>
      <c r="I2092" s="291"/>
      <c r="J2092" s="254" t="s">
        <v>10</v>
      </c>
      <c r="K2092" s="254" t="s">
        <v>113</v>
      </c>
      <c r="L2092" s="254" t="s">
        <v>58</v>
      </c>
      <c r="M2092" s="254"/>
      <c r="N2092" s="371"/>
      <c r="O2092" s="396"/>
      <c r="P2092" s="397"/>
    </row>
    <row r="2093" spans="1:16" s="264" customFormat="1" ht="14" outlineLevel="2">
      <c r="A2093" s="297" t="s">
        <v>8</v>
      </c>
      <c r="B2093" s="307" t="s">
        <v>1094</v>
      </c>
      <c r="C2093" s="289" t="s">
        <v>48</v>
      </c>
      <c r="D2093" s="290"/>
      <c r="E2093" s="290"/>
      <c r="F2093" s="290"/>
      <c r="G2093" s="290">
        <f t="shared" si="411"/>
        <v>0</v>
      </c>
      <c r="H2093" s="290">
        <f t="shared" si="412"/>
        <v>0</v>
      </c>
      <c r="I2093" s="291"/>
      <c r="J2093" s="254" t="s">
        <v>10</v>
      </c>
      <c r="K2093" s="254" t="s">
        <v>113</v>
      </c>
      <c r="L2093" s="254" t="s">
        <v>58</v>
      </c>
      <c r="M2093" s="254"/>
      <c r="N2093" s="371"/>
      <c r="O2093" s="396"/>
      <c r="P2093" s="397"/>
    </row>
    <row r="2094" spans="1:16" s="264" customFormat="1" ht="14" outlineLevel="2">
      <c r="A2094" s="297"/>
      <c r="B2094" s="307" t="s">
        <v>1095</v>
      </c>
      <c r="C2094" s="289" t="s">
        <v>1097</v>
      </c>
      <c r="D2094" s="290"/>
      <c r="E2094" s="290"/>
      <c r="F2094" s="290"/>
      <c r="G2094" s="290">
        <f t="shared" si="411"/>
        <v>0</v>
      </c>
      <c r="H2094" s="290">
        <f t="shared" si="412"/>
        <v>0</v>
      </c>
      <c r="I2094" s="291"/>
      <c r="J2094" s="254" t="s">
        <v>10</v>
      </c>
      <c r="K2094" s="254" t="s">
        <v>113</v>
      </c>
      <c r="L2094" s="254" t="s">
        <v>58</v>
      </c>
      <c r="M2094" s="254"/>
      <c r="N2094" s="371"/>
      <c r="O2094" s="396"/>
      <c r="P2094" s="397"/>
    </row>
    <row r="2095" spans="1:16" s="264" customFormat="1" ht="14" outlineLevel="2">
      <c r="A2095" s="297" t="s">
        <v>8</v>
      </c>
      <c r="B2095" s="307" t="s">
        <v>1096</v>
      </c>
      <c r="C2095" s="289" t="s">
        <v>1098</v>
      </c>
      <c r="D2095" s="290"/>
      <c r="E2095" s="290"/>
      <c r="F2095" s="290"/>
      <c r="G2095" s="290">
        <f t="shared" si="411"/>
        <v>0</v>
      </c>
      <c r="H2095" s="290">
        <f t="shared" si="412"/>
        <v>0</v>
      </c>
      <c r="I2095" s="291"/>
      <c r="J2095" s="254" t="s">
        <v>10</v>
      </c>
      <c r="K2095" s="254" t="s">
        <v>113</v>
      </c>
      <c r="L2095" s="254" t="s">
        <v>58</v>
      </c>
      <c r="M2095" s="254"/>
      <c r="N2095" s="371"/>
      <c r="O2095" s="396"/>
      <c r="P2095" s="397"/>
    </row>
    <row r="2096" spans="1:16" s="277" customFormat="1" ht="14" outlineLevel="1">
      <c r="A2096" s="280">
        <v>3</v>
      </c>
      <c r="B2096" s="430" t="s">
        <v>1101</v>
      </c>
      <c r="C2096" s="295"/>
      <c r="D2096" s="283"/>
      <c r="E2096" s="283"/>
      <c r="F2096" s="301"/>
      <c r="G2096" s="283">
        <f>SUBTOTAL(9,G2097:G2098)</f>
        <v>0</v>
      </c>
      <c r="H2096" s="283">
        <f>SUBTOTAL(9,H2097:H2098)</f>
        <v>0</v>
      </c>
      <c r="I2096" s="284"/>
      <c r="J2096" s="254"/>
      <c r="K2096" s="254"/>
      <c r="L2096" s="254"/>
      <c r="M2096" s="275"/>
      <c r="N2096" s="371"/>
      <c r="O2096" s="396"/>
      <c r="P2096" s="397"/>
    </row>
    <row r="2097" spans="1:16" s="264" customFormat="1" ht="14" outlineLevel="2">
      <c r="A2097" s="297" t="s">
        <v>8</v>
      </c>
      <c r="B2097" s="307" t="s">
        <v>1102</v>
      </c>
      <c r="C2097" s="289" t="s">
        <v>48</v>
      </c>
      <c r="D2097" s="290"/>
      <c r="E2097" s="290"/>
      <c r="F2097" s="290"/>
      <c r="G2097" s="290">
        <f t="shared" ref="G2097:G2098" si="413">F2097*D2097</f>
        <v>0</v>
      </c>
      <c r="H2097" s="290">
        <f t="shared" ref="H2097:H2098" si="414">F2097*E2097</f>
        <v>0</v>
      </c>
      <c r="I2097" s="291"/>
      <c r="J2097" s="254" t="s">
        <v>10</v>
      </c>
      <c r="K2097" s="254" t="s">
        <v>211</v>
      </c>
      <c r="L2097" s="254" t="s">
        <v>58</v>
      </c>
      <c r="M2097" s="254"/>
      <c r="N2097" s="371"/>
      <c r="O2097" s="396"/>
      <c r="P2097" s="397"/>
    </row>
    <row r="2098" spans="1:16" s="264" customFormat="1" ht="14" outlineLevel="2">
      <c r="A2098" s="297" t="s">
        <v>8</v>
      </c>
      <c r="B2098" s="307" t="s">
        <v>1103</v>
      </c>
      <c r="C2098" s="289" t="s">
        <v>48</v>
      </c>
      <c r="D2098" s="290"/>
      <c r="E2098" s="290"/>
      <c r="F2098" s="290"/>
      <c r="G2098" s="290">
        <f t="shared" si="413"/>
        <v>0</v>
      </c>
      <c r="H2098" s="290">
        <f t="shared" si="414"/>
        <v>0</v>
      </c>
      <c r="I2098" s="291"/>
      <c r="J2098" s="254" t="s">
        <v>10</v>
      </c>
      <c r="K2098" s="254" t="s">
        <v>211</v>
      </c>
      <c r="L2098" s="254" t="s">
        <v>58</v>
      </c>
      <c r="M2098" s="254"/>
      <c r="N2098" s="371"/>
      <c r="O2098" s="396"/>
      <c r="P2098" s="397"/>
    </row>
    <row r="2099" spans="1:16" s="277" customFormat="1" ht="14" outlineLevel="1">
      <c r="A2099" s="280">
        <v>4</v>
      </c>
      <c r="B2099" s="430" t="s">
        <v>1104</v>
      </c>
      <c r="C2099" s="295"/>
      <c r="D2099" s="283"/>
      <c r="E2099" s="283"/>
      <c r="F2099" s="301"/>
      <c r="G2099" s="283">
        <f>SUBTOTAL(9,G2100:G2120)</f>
        <v>3532422.1220621928</v>
      </c>
      <c r="H2099" s="283">
        <f>SUBTOTAL(9,H2100:H2120)</f>
        <v>3032939.368122573</v>
      </c>
      <c r="I2099" s="284"/>
      <c r="J2099" s="254"/>
      <c r="K2099" s="254"/>
      <c r="L2099" s="254"/>
      <c r="M2099" s="275"/>
      <c r="N2099" s="371"/>
      <c r="O2099" s="396"/>
      <c r="P2099" s="397"/>
    </row>
    <row r="2100" spans="1:16" s="264" customFormat="1" ht="14" outlineLevel="2">
      <c r="A2100" s="297" t="s">
        <v>8</v>
      </c>
      <c r="B2100" s="307" t="s">
        <v>1078</v>
      </c>
      <c r="C2100" s="289" t="s">
        <v>1107</v>
      </c>
      <c r="D2100" s="290">
        <v>0</v>
      </c>
      <c r="E2100" s="290">
        <v>0</v>
      </c>
      <c r="F2100" s="290">
        <v>3260.3912859375</v>
      </c>
      <c r="G2100" s="290">
        <f t="shared" ref="G2100:G2118" si="415">F2100*D2100</f>
        <v>0</v>
      </c>
      <c r="H2100" s="290">
        <f t="shared" ref="H2100:H2118" si="416">F2100*E2100</f>
        <v>0</v>
      </c>
      <c r="I2100" s="291"/>
      <c r="J2100" s="254" t="s">
        <v>10</v>
      </c>
      <c r="K2100" s="254" t="s">
        <v>112</v>
      </c>
      <c r="L2100" s="254" t="s">
        <v>58</v>
      </c>
      <c r="M2100" s="254"/>
      <c r="N2100" s="371"/>
      <c r="O2100" s="396"/>
      <c r="P2100" s="397"/>
    </row>
    <row r="2101" spans="1:16" s="264" customFormat="1" ht="14" outlineLevel="2">
      <c r="A2101" s="297" t="s">
        <v>8</v>
      </c>
      <c r="B2101" s="307" t="s">
        <v>1079</v>
      </c>
      <c r="C2101" s="289" t="s">
        <v>1107</v>
      </c>
      <c r="D2101" s="290">
        <v>0</v>
      </c>
      <c r="E2101" s="290">
        <v>0</v>
      </c>
      <c r="F2101" s="290"/>
      <c r="G2101" s="290">
        <f t="shared" si="415"/>
        <v>0</v>
      </c>
      <c r="H2101" s="290">
        <f t="shared" si="416"/>
        <v>0</v>
      </c>
      <c r="I2101" s="291"/>
      <c r="J2101" s="254" t="s">
        <v>10</v>
      </c>
      <c r="K2101" s="254" t="s">
        <v>112</v>
      </c>
      <c r="L2101" s="254" t="s">
        <v>58</v>
      </c>
      <c r="M2101" s="254"/>
      <c r="N2101" s="371"/>
      <c r="O2101" s="396"/>
      <c r="P2101" s="397"/>
    </row>
    <row r="2102" spans="1:16" s="264" customFormat="1" ht="14" outlineLevel="2">
      <c r="A2102" s="297" t="s">
        <v>8</v>
      </c>
      <c r="B2102" s="307" t="s">
        <v>1080</v>
      </c>
      <c r="C2102" s="289" t="s">
        <v>1107</v>
      </c>
      <c r="D2102" s="290">
        <v>0</v>
      </c>
      <c r="E2102" s="290">
        <v>0</v>
      </c>
      <c r="F2102" s="290">
        <v>3224.725324862769</v>
      </c>
      <c r="G2102" s="290">
        <f t="shared" si="415"/>
        <v>0</v>
      </c>
      <c r="H2102" s="290">
        <f t="shared" si="416"/>
        <v>0</v>
      </c>
      <c r="I2102" s="291"/>
      <c r="J2102" s="254" t="s">
        <v>10</v>
      </c>
      <c r="K2102" s="254" t="s">
        <v>112</v>
      </c>
      <c r="L2102" s="254" t="s">
        <v>58</v>
      </c>
      <c r="M2102" s="254"/>
      <c r="N2102" s="371"/>
      <c r="O2102" s="396"/>
      <c r="P2102" s="397"/>
    </row>
    <row r="2103" spans="1:16" s="264" customFormat="1" ht="14" outlineLevel="2">
      <c r="A2103" s="297" t="s">
        <v>8</v>
      </c>
      <c r="B2103" s="307" t="s">
        <v>1081</v>
      </c>
      <c r="C2103" s="289" t="s">
        <v>1107</v>
      </c>
      <c r="D2103" s="290">
        <v>0</v>
      </c>
      <c r="E2103" s="290">
        <v>0</v>
      </c>
      <c r="F2103" s="290"/>
      <c r="G2103" s="290">
        <f t="shared" si="415"/>
        <v>0</v>
      </c>
      <c r="H2103" s="290">
        <f t="shared" si="416"/>
        <v>0</v>
      </c>
      <c r="I2103" s="291"/>
      <c r="J2103" s="254" t="s">
        <v>10</v>
      </c>
      <c r="K2103" s="254" t="s">
        <v>112</v>
      </c>
      <c r="L2103" s="254" t="s">
        <v>58</v>
      </c>
      <c r="M2103" s="254"/>
      <c r="N2103" s="371"/>
      <c r="O2103" s="396"/>
      <c r="P2103" s="397"/>
    </row>
    <row r="2104" spans="1:16" s="264" customFormat="1" ht="14" outlineLevel="2">
      <c r="A2104" s="297" t="s">
        <v>8</v>
      </c>
      <c r="B2104" s="307" t="s">
        <v>1082</v>
      </c>
      <c r="C2104" s="289" t="s">
        <v>1107</v>
      </c>
      <c r="D2104" s="290">
        <v>0</v>
      </c>
      <c r="E2104" s="290">
        <v>0</v>
      </c>
      <c r="F2104" s="290">
        <v>4580.0526910166873</v>
      </c>
      <c r="G2104" s="290">
        <f t="shared" si="415"/>
        <v>0</v>
      </c>
      <c r="H2104" s="290">
        <f t="shared" si="416"/>
        <v>0</v>
      </c>
      <c r="I2104" s="291"/>
      <c r="J2104" s="254" t="s">
        <v>10</v>
      </c>
      <c r="K2104" s="254" t="s">
        <v>112</v>
      </c>
      <c r="L2104" s="254" t="s">
        <v>58</v>
      </c>
      <c r="M2104" s="254"/>
      <c r="N2104" s="371"/>
      <c r="O2104" s="396"/>
      <c r="P2104" s="397"/>
    </row>
    <row r="2105" spans="1:16" s="264" customFormat="1" ht="14" outlineLevel="2">
      <c r="A2105" s="297" t="s">
        <v>8</v>
      </c>
      <c r="B2105" s="307" t="s">
        <v>1083</v>
      </c>
      <c r="C2105" s="289" t="s">
        <v>1107</v>
      </c>
      <c r="D2105" s="290">
        <v>0</v>
      </c>
      <c r="E2105" s="290">
        <v>0</v>
      </c>
      <c r="F2105" s="290">
        <v>4974.8535456571108</v>
      </c>
      <c r="G2105" s="290">
        <f t="shared" si="415"/>
        <v>0</v>
      </c>
      <c r="H2105" s="290">
        <f t="shared" si="416"/>
        <v>0</v>
      </c>
      <c r="I2105" s="291"/>
      <c r="J2105" s="254" t="s">
        <v>10</v>
      </c>
      <c r="K2105" s="254" t="s">
        <v>112</v>
      </c>
      <c r="L2105" s="254" t="s">
        <v>58</v>
      </c>
      <c r="M2105" s="254"/>
      <c r="N2105" s="371"/>
      <c r="O2105" s="396"/>
      <c r="P2105" s="397"/>
    </row>
    <row r="2106" spans="1:16" s="264" customFormat="1" ht="14" outlineLevel="2">
      <c r="A2106" s="297" t="s">
        <v>8</v>
      </c>
      <c r="B2106" s="307" t="s">
        <v>1084</v>
      </c>
      <c r="C2106" s="289" t="s">
        <v>1107</v>
      </c>
      <c r="D2106" s="290">
        <v>27</v>
      </c>
      <c r="E2106" s="290">
        <v>2</v>
      </c>
      <c r="F2106" s="290">
        <v>6647.231303823648</v>
      </c>
      <c r="G2106" s="290">
        <f t="shared" si="415"/>
        <v>179475.2452032385</v>
      </c>
      <c r="H2106" s="290">
        <f t="shared" si="416"/>
        <v>13294.462607647296</v>
      </c>
      <c r="I2106" s="291"/>
      <c r="J2106" s="254" t="s">
        <v>10</v>
      </c>
      <c r="K2106" s="254" t="s">
        <v>112</v>
      </c>
      <c r="L2106" s="254" t="s">
        <v>58</v>
      </c>
      <c r="M2106" s="254"/>
      <c r="N2106" s="371"/>
      <c r="O2106" s="396"/>
      <c r="P2106" s="397"/>
    </row>
    <row r="2107" spans="1:16" s="264" customFormat="1" ht="14" outlineLevel="2">
      <c r="A2107" s="297" t="s">
        <v>8</v>
      </c>
      <c r="B2107" s="307" t="s">
        <v>1085</v>
      </c>
      <c r="C2107" s="289" t="s">
        <v>1107</v>
      </c>
      <c r="D2107" s="290">
        <v>3</v>
      </c>
      <c r="E2107" s="290">
        <v>1</v>
      </c>
      <c r="F2107" s="290">
        <v>7830.4143173837501</v>
      </c>
      <c r="G2107" s="290">
        <f t="shared" si="415"/>
        <v>23491.242952151249</v>
      </c>
      <c r="H2107" s="290">
        <f t="shared" si="416"/>
        <v>7830.4143173837501</v>
      </c>
      <c r="I2107" s="291"/>
      <c r="J2107" s="254" t="s">
        <v>10</v>
      </c>
      <c r="K2107" s="254" t="s">
        <v>112</v>
      </c>
      <c r="L2107" s="254" t="s">
        <v>58</v>
      </c>
      <c r="M2107" s="254"/>
      <c r="N2107" s="371"/>
      <c r="O2107" s="396"/>
      <c r="P2107" s="397"/>
    </row>
    <row r="2108" spans="1:16" s="264" customFormat="1" ht="14" outlineLevel="2">
      <c r="A2108" s="297"/>
      <c r="B2108" s="307" t="s">
        <v>1086</v>
      </c>
      <c r="C2108" s="289" t="s">
        <v>1107</v>
      </c>
      <c r="D2108" s="290">
        <v>0</v>
      </c>
      <c r="E2108" s="290">
        <v>0</v>
      </c>
      <c r="F2108" s="290">
        <v>9082.1672110875061</v>
      </c>
      <c r="G2108" s="290">
        <f t="shared" si="415"/>
        <v>0</v>
      </c>
      <c r="H2108" s="290">
        <f t="shared" si="416"/>
        <v>0</v>
      </c>
      <c r="I2108" s="291"/>
      <c r="J2108" s="254" t="s">
        <v>10</v>
      </c>
      <c r="K2108" s="254" t="s">
        <v>112</v>
      </c>
      <c r="L2108" s="254" t="s">
        <v>58</v>
      </c>
      <c r="M2108" s="254"/>
      <c r="N2108" s="371"/>
      <c r="O2108" s="396"/>
      <c r="P2108" s="397"/>
    </row>
    <row r="2109" spans="1:16" s="264" customFormat="1" ht="14" outlineLevel="2">
      <c r="A2109" s="297" t="s">
        <v>8</v>
      </c>
      <c r="B2109" s="307" t="s">
        <v>1087</v>
      </c>
      <c r="C2109" s="289" t="s">
        <v>1107</v>
      </c>
      <c r="D2109" s="290">
        <v>148</v>
      </c>
      <c r="E2109" s="290">
        <v>147</v>
      </c>
      <c r="F2109" s="290">
        <v>9082.1672110875061</v>
      </c>
      <c r="G2109" s="290">
        <f t="shared" si="415"/>
        <v>1344160.7472409508</v>
      </c>
      <c r="H2109" s="290">
        <f t="shared" si="416"/>
        <v>1335078.5800298634</v>
      </c>
      <c r="I2109" s="291"/>
      <c r="J2109" s="254" t="s">
        <v>10</v>
      </c>
      <c r="K2109" s="254" t="s">
        <v>112</v>
      </c>
      <c r="L2109" s="254" t="s">
        <v>58</v>
      </c>
      <c r="M2109" s="254"/>
      <c r="N2109" s="371"/>
      <c r="O2109" s="396"/>
      <c r="P2109" s="397"/>
    </row>
    <row r="2110" spans="1:16" s="264" customFormat="1" ht="14" outlineLevel="2">
      <c r="A2110" s="297" t="s">
        <v>8</v>
      </c>
      <c r="B2110" s="307" t="s">
        <v>1088</v>
      </c>
      <c r="C2110" s="289" t="s">
        <v>1107</v>
      </c>
      <c r="D2110" s="290">
        <v>5</v>
      </c>
      <c r="E2110" s="290">
        <v>61</v>
      </c>
      <c r="F2110" s="290">
        <v>8156.4223604843337</v>
      </c>
      <c r="G2110" s="290">
        <f t="shared" si="415"/>
        <v>40782.11180242167</v>
      </c>
      <c r="H2110" s="290">
        <f t="shared" si="416"/>
        <v>497541.76398954436</v>
      </c>
      <c r="I2110" s="291"/>
      <c r="J2110" s="254" t="s">
        <v>10</v>
      </c>
      <c r="K2110" s="254" t="s">
        <v>112</v>
      </c>
      <c r="L2110" s="254" t="s">
        <v>58</v>
      </c>
      <c r="M2110" s="254"/>
      <c r="N2110" s="371"/>
      <c r="O2110" s="396"/>
      <c r="P2110" s="397"/>
    </row>
    <row r="2111" spans="1:16" s="264" customFormat="1" ht="14" outlineLevel="2">
      <c r="A2111" s="297" t="s">
        <v>8</v>
      </c>
      <c r="B2111" s="307" t="s">
        <v>1089</v>
      </c>
      <c r="C2111" s="289" t="s">
        <v>1107</v>
      </c>
      <c r="D2111" s="290">
        <v>0</v>
      </c>
      <c r="E2111" s="290">
        <v>0</v>
      </c>
      <c r="F2111" s="290">
        <v>9376.0229251326564</v>
      </c>
      <c r="G2111" s="290">
        <f t="shared" si="415"/>
        <v>0</v>
      </c>
      <c r="H2111" s="290">
        <f t="shared" si="416"/>
        <v>0</v>
      </c>
      <c r="I2111" s="291"/>
      <c r="J2111" s="254" t="s">
        <v>10</v>
      </c>
      <c r="K2111" s="254" t="s">
        <v>112</v>
      </c>
      <c r="L2111" s="254" t="s">
        <v>58</v>
      </c>
      <c r="M2111" s="254"/>
      <c r="N2111" s="371"/>
      <c r="O2111" s="396"/>
      <c r="P2111" s="397"/>
    </row>
    <row r="2112" spans="1:16" s="264" customFormat="1" ht="14" outlineLevel="2">
      <c r="A2112" s="297" t="s">
        <v>8</v>
      </c>
      <c r="B2112" s="307" t="s">
        <v>1090</v>
      </c>
      <c r="C2112" s="289" t="s">
        <v>48</v>
      </c>
      <c r="D2112" s="290">
        <v>0</v>
      </c>
      <c r="E2112" s="290">
        <v>0</v>
      </c>
      <c r="F2112" s="290">
        <v>10204.783889057286</v>
      </c>
      <c r="G2112" s="290">
        <f t="shared" si="415"/>
        <v>0</v>
      </c>
      <c r="H2112" s="290">
        <f t="shared" si="416"/>
        <v>0</v>
      </c>
      <c r="I2112" s="291"/>
      <c r="J2112" s="254" t="s">
        <v>10</v>
      </c>
      <c r="K2112" s="254" t="s">
        <v>112</v>
      </c>
      <c r="L2112" s="254" t="s">
        <v>58</v>
      </c>
      <c r="M2112" s="254"/>
      <c r="N2112" s="371"/>
      <c r="O2112" s="396"/>
      <c r="P2112" s="397"/>
    </row>
    <row r="2113" spans="1:16" s="264" customFormat="1" ht="14" outlineLevel="2">
      <c r="A2113" s="297" t="s">
        <v>8</v>
      </c>
      <c r="B2113" s="307" t="s">
        <v>1091</v>
      </c>
      <c r="C2113" s="289" t="s">
        <v>48</v>
      </c>
      <c r="D2113" s="290">
        <v>63</v>
      </c>
      <c r="E2113" s="290">
        <v>17</v>
      </c>
      <c r="F2113" s="290">
        <v>13601.074406787684</v>
      </c>
      <c r="G2113" s="290">
        <f t="shared" si="415"/>
        <v>856867.68762762414</v>
      </c>
      <c r="H2113" s="290">
        <f t="shared" si="416"/>
        <v>231218.26491539064</v>
      </c>
      <c r="I2113" s="291"/>
      <c r="J2113" s="254" t="s">
        <v>10</v>
      </c>
      <c r="K2113" s="254" t="s">
        <v>112</v>
      </c>
      <c r="L2113" s="254" t="s">
        <v>58</v>
      </c>
      <c r="M2113" s="254"/>
      <c r="N2113" s="371"/>
      <c r="O2113" s="396"/>
      <c r="P2113" s="397"/>
    </row>
    <row r="2114" spans="1:16" s="264" customFormat="1" ht="14" outlineLevel="2">
      <c r="A2114" s="297" t="s">
        <v>8</v>
      </c>
      <c r="B2114" s="307" t="s">
        <v>1092</v>
      </c>
      <c r="C2114" s="289" t="s">
        <v>48</v>
      </c>
      <c r="D2114" s="290">
        <v>0</v>
      </c>
      <c r="E2114" s="290">
        <v>0</v>
      </c>
      <c r="F2114" s="290">
        <v>18864.545431390296</v>
      </c>
      <c r="G2114" s="290">
        <f t="shared" si="415"/>
        <v>0</v>
      </c>
      <c r="H2114" s="290">
        <f t="shared" si="416"/>
        <v>0</v>
      </c>
      <c r="I2114" s="291"/>
      <c r="J2114" s="254" t="s">
        <v>10</v>
      </c>
      <c r="K2114" s="254" t="s">
        <v>112</v>
      </c>
      <c r="L2114" s="254" t="s">
        <v>58</v>
      </c>
      <c r="M2114" s="254"/>
      <c r="N2114" s="371"/>
      <c r="O2114" s="396"/>
      <c r="P2114" s="397"/>
    </row>
    <row r="2115" spans="1:16" s="264" customFormat="1" ht="14" outlineLevel="2">
      <c r="A2115" s="297" t="s">
        <v>8</v>
      </c>
      <c r="B2115" s="307" t="s">
        <v>1093</v>
      </c>
      <c r="C2115" s="289" t="s">
        <v>1107</v>
      </c>
      <c r="D2115" s="290">
        <v>9</v>
      </c>
      <c r="E2115" s="290">
        <v>1</v>
      </c>
      <c r="F2115" s="290">
        <v>4062.5</v>
      </c>
      <c r="G2115" s="290">
        <f t="shared" si="415"/>
        <v>36562.5</v>
      </c>
      <c r="H2115" s="290">
        <f t="shared" si="416"/>
        <v>4062.5</v>
      </c>
      <c r="I2115" s="291"/>
      <c r="J2115" s="254" t="s">
        <v>10</v>
      </c>
      <c r="K2115" s="254" t="s">
        <v>112</v>
      </c>
      <c r="L2115" s="254" t="s">
        <v>58</v>
      </c>
      <c r="M2115" s="254"/>
      <c r="N2115" s="371"/>
      <c r="O2115" s="396"/>
      <c r="P2115" s="397"/>
    </row>
    <row r="2116" spans="1:16" s="264" customFormat="1" ht="14" outlineLevel="2">
      <c r="A2116" s="297" t="s">
        <v>8</v>
      </c>
      <c r="B2116" s="307" t="s">
        <v>1094</v>
      </c>
      <c r="C2116" s="289" t="s">
        <v>1107</v>
      </c>
      <c r="D2116" s="290">
        <v>0</v>
      </c>
      <c r="E2116" s="290">
        <v>0</v>
      </c>
      <c r="F2116" s="290">
        <v>5468.75</v>
      </c>
      <c r="G2116" s="290">
        <f t="shared" si="415"/>
        <v>0</v>
      </c>
      <c r="H2116" s="290">
        <f t="shared" si="416"/>
        <v>0</v>
      </c>
      <c r="I2116" s="291"/>
      <c r="J2116" s="254" t="s">
        <v>10</v>
      </c>
      <c r="K2116" s="254" t="s">
        <v>112</v>
      </c>
      <c r="L2116" s="254" t="s">
        <v>58</v>
      </c>
      <c r="M2116" s="254"/>
      <c r="N2116" s="371"/>
      <c r="O2116" s="396"/>
      <c r="P2116" s="397"/>
    </row>
    <row r="2117" spans="1:16" s="264" customFormat="1" ht="14" outlineLevel="2">
      <c r="A2117" s="297"/>
      <c r="B2117" s="307" t="s">
        <v>1095</v>
      </c>
      <c r="C2117" s="289" t="s">
        <v>1097</v>
      </c>
      <c r="D2117" s="290">
        <v>0</v>
      </c>
      <c r="E2117" s="290">
        <v>0</v>
      </c>
      <c r="F2117" s="290">
        <v>933.45783088948247</v>
      </c>
      <c r="G2117" s="290">
        <f t="shared" si="415"/>
        <v>0</v>
      </c>
      <c r="H2117" s="290">
        <f t="shared" si="416"/>
        <v>0</v>
      </c>
      <c r="I2117" s="291"/>
      <c r="J2117" s="254" t="s">
        <v>10</v>
      </c>
      <c r="K2117" s="254" t="s">
        <v>112</v>
      </c>
      <c r="L2117" s="254" t="s">
        <v>58</v>
      </c>
      <c r="M2117" s="254"/>
      <c r="N2117" s="371"/>
      <c r="O2117" s="396"/>
      <c r="P2117" s="397"/>
    </row>
    <row r="2118" spans="1:16" s="264" customFormat="1" ht="14" outlineLevel="2">
      <c r="A2118" s="297" t="s">
        <v>8</v>
      </c>
      <c r="B2118" s="307" t="s">
        <v>1105</v>
      </c>
      <c r="C2118" s="289" t="s">
        <v>1107</v>
      </c>
      <c r="D2118" s="290">
        <v>255</v>
      </c>
      <c r="E2118" s="290">
        <v>229</v>
      </c>
      <c r="F2118" s="290">
        <v>761.56142384286716</v>
      </c>
      <c r="G2118" s="290">
        <f t="shared" si="415"/>
        <v>194198.16307993114</v>
      </c>
      <c r="H2118" s="290">
        <f t="shared" si="416"/>
        <v>174397.56606001657</v>
      </c>
      <c r="I2118" s="291"/>
      <c r="J2118" s="254" t="s">
        <v>10</v>
      </c>
      <c r="K2118" s="254" t="s">
        <v>112</v>
      </c>
      <c r="L2118" s="254" t="s">
        <v>58</v>
      </c>
      <c r="M2118" s="254"/>
      <c r="N2118" s="371"/>
      <c r="O2118" s="396"/>
      <c r="P2118" s="397"/>
    </row>
    <row r="2119" spans="1:16" s="264" customFormat="1" ht="14" outlineLevel="2">
      <c r="A2119" s="297"/>
      <c r="B2119" s="307" t="s">
        <v>1096</v>
      </c>
      <c r="C2119" s="289" t="s">
        <v>1098</v>
      </c>
      <c r="D2119" s="290">
        <v>255</v>
      </c>
      <c r="E2119" s="290">
        <v>229</v>
      </c>
      <c r="F2119" s="290">
        <v>2506.8937796816995</v>
      </c>
      <c r="G2119" s="290">
        <f t="shared" ref="G2119:G2120" si="417">F2119*D2119</f>
        <v>639257.91381883342</v>
      </c>
      <c r="H2119" s="290">
        <f t="shared" ref="H2119:H2120" si="418">F2119*E2119</f>
        <v>574078.67554710922</v>
      </c>
      <c r="I2119" s="291"/>
      <c r="J2119" s="254" t="s">
        <v>10</v>
      </c>
      <c r="K2119" s="254" t="s">
        <v>112</v>
      </c>
      <c r="L2119" s="254" t="s">
        <v>58</v>
      </c>
      <c r="M2119" s="254"/>
      <c r="N2119" s="371"/>
      <c r="O2119" s="396"/>
      <c r="P2119" s="397"/>
    </row>
    <row r="2120" spans="1:16" s="264" customFormat="1" ht="14" outlineLevel="2">
      <c r="A2120" s="297" t="s">
        <v>8</v>
      </c>
      <c r="B2120" s="307" t="s">
        <v>1106</v>
      </c>
      <c r="C2120" s="289" t="s">
        <v>1098</v>
      </c>
      <c r="D2120" s="290">
        <v>255</v>
      </c>
      <c r="E2120" s="290">
        <v>229</v>
      </c>
      <c r="F2120" s="290">
        <v>853.4372954393807</v>
      </c>
      <c r="G2120" s="290">
        <f t="shared" si="417"/>
        <v>217626.51033704207</v>
      </c>
      <c r="H2120" s="290">
        <f t="shared" si="418"/>
        <v>195437.14065561819</v>
      </c>
      <c r="I2120" s="291"/>
      <c r="J2120" s="254" t="s">
        <v>10</v>
      </c>
      <c r="K2120" s="254" t="s">
        <v>112</v>
      </c>
      <c r="L2120" s="254" t="s">
        <v>58</v>
      </c>
      <c r="M2120" s="254"/>
      <c r="N2120" s="371"/>
      <c r="O2120" s="396"/>
      <c r="P2120" s="397"/>
    </row>
    <row r="2121" spans="1:16" s="277" customFormat="1" ht="14" outlineLevel="1">
      <c r="A2121" s="280">
        <v>5</v>
      </c>
      <c r="B2121" s="430" t="s">
        <v>1108</v>
      </c>
      <c r="C2121" s="295"/>
      <c r="D2121" s="283"/>
      <c r="E2121" s="283"/>
      <c r="F2121" s="301"/>
      <c r="G2121" s="283">
        <f>SUBTOTAL(9,G2122:G2142)</f>
        <v>0</v>
      </c>
      <c r="H2121" s="283">
        <f>SUBTOTAL(9,H2122:H2142)</f>
        <v>0</v>
      </c>
      <c r="I2121" s="284"/>
      <c r="J2121" s="254"/>
      <c r="K2121" s="254"/>
      <c r="L2121" s="254"/>
      <c r="M2121" s="275"/>
      <c r="N2121" s="371"/>
      <c r="O2121" s="396"/>
      <c r="P2121" s="397"/>
    </row>
    <row r="2122" spans="1:16" s="264" customFormat="1" ht="14" outlineLevel="2">
      <c r="A2122" s="297" t="s">
        <v>8</v>
      </c>
      <c r="B2122" s="307" t="s">
        <v>1078</v>
      </c>
      <c r="C2122" s="289" t="s">
        <v>1107</v>
      </c>
      <c r="D2122" s="290"/>
      <c r="E2122" s="290"/>
      <c r="F2122" s="290"/>
      <c r="G2122" s="290">
        <f t="shared" ref="G2122:G2142" si="419">F2122*D2122</f>
        <v>0</v>
      </c>
      <c r="H2122" s="290">
        <f t="shared" ref="H2122:H2142" si="420">F2122*E2122</f>
        <v>0</v>
      </c>
      <c r="I2122" s="291"/>
      <c r="J2122" s="254" t="s">
        <v>10</v>
      </c>
      <c r="K2122" s="254" t="s">
        <v>113</v>
      </c>
      <c r="L2122" s="254" t="s">
        <v>58</v>
      </c>
      <c r="M2122" s="254"/>
      <c r="N2122" s="371"/>
      <c r="O2122" s="396"/>
      <c r="P2122" s="397"/>
    </row>
    <row r="2123" spans="1:16" s="264" customFormat="1" ht="14" outlineLevel="2">
      <c r="A2123" s="297" t="s">
        <v>8</v>
      </c>
      <c r="B2123" s="307" t="s">
        <v>1079</v>
      </c>
      <c r="C2123" s="289" t="s">
        <v>1107</v>
      </c>
      <c r="D2123" s="290"/>
      <c r="E2123" s="290"/>
      <c r="F2123" s="290"/>
      <c r="G2123" s="290">
        <f t="shared" si="419"/>
        <v>0</v>
      </c>
      <c r="H2123" s="290">
        <f t="shared" si="420"/>
        <v>0</v>
      </c>
      <c r="I2123" s="291"/>
      <c r="J2123" s="254" t="s">
        <v>10</v>
      </c>
      <c r="K2123" s="254" t="s">
        <v>113</v>
      </c>
      <c r="L2123" s="254" t="s">
        <v>58</v>
      </c>
      <c r="M2123" s="254"/>
      <c r="N2123" s="371"/>
      <c r="O2123" s="396"/>
      <c r="P2123" s="397"/>
    </row>
    <row r="2124" spans="1:16" s="264" customFormat="1" ht="14" outlineLevel="2">
      <c r="A2124" s="297" t="s">
        <v>8</v>
      </c>
      <c r="B2124" s="307" t="s">
        <v>1080</v>
      </c>
      <c r="C2124" s="289" t="s">
        <v>1107</v>
      </c>
      <c r="D2124" s="290"/>
      <c r="E2124" s="290"/>
      <c r="F2124" s="290"/>
      <c r="G2124" s="290">
        <f t="shared" si="419"/>
        <v>0</v>
      </c>
      <c r="H2124" s="290">
        <f t="shared" si="420"/>
        <v>0</v>
      </c>
      <c r="I2124" s="291"/>
      <c r="J2124" s="254" t="s">
        <v>10</v>
      </c>
      <c r="K2124" s="254" t="s">
        <v>113</v>
      </c>
      <c r="L2124" s="254" t="s">
        <v>58</v>
      </c>
      <c r="M2124" s="254"/>
      <c r="N2124" s="371"/>
      <c r="O2124" s="396"/>
      <c r="P2124" s="397"/>
    </row>
    <row r="2125" spans="1:16" s="264" customFormat="1" ht="14" outlineLevel="2">
      <c r="A2125" s="297" t="s">
        <v>8</v>
      </c>
      <c r="B2125" s="307" t="s">
        <v>1081</v>
      </c>
      <c r="C2125" s="289" t="s">
        <v>1107</v>
      </c>
      <c r="D2125" s="290"/>
      <c r="E2125" s="290"/>
      <c r="F2125" s="290"/>
      <c r="G2125" s="290">
        <f t="shared" si="419"/>
        <v>0</v>
      </c>
      <c r="H2125" s="290">
        <f t="shared" si="420"/>
        <v>0</v>
      </c>
      <c r="I2125" s="291"/>
      <c r="J2125" s="254" t="s">
        <v>10</v>
      </c>
      <c r="K2125" s="254" t="s">
        <v>113</v>
      </c>
      <c r="L2125" s="254" t="s">
        <v>58</v>
      </c>
      <c r="M2125" s="254"/>
      <c r="N2125" s="371"/>
      <c r="O2125" s="396"/>
      <c r="P2125" s="397"/>
    </row>
    <row r="2126" spans="1:16" s="264" customFormat="1" ht="14" outlineLevel="2">
      <c r="A2126" s="297" t="s">
        <v>8</v>
      </c>
      <c r="B2126" s="307" t="s">
        <v>1082</v>
      </c>
      <c r="C2126" s="289" t="s">
        <v>1107</v>
      </c>
      <c r="D2126" s="290"/>
      <c r="E2126" s="290"/>
      <c r="F2126" s="290"/>
      <c r="G2126" s="290">
        <f t="shared" si="419"/>
        <v>0</v>
      </c>
      <c r="H2126" s="290">
        <f t="shared" si="420"/>
        <v>0</v>
      </c>
      <c r="I2126" s="291"/>
      <c r="J2126" s="254" t="s">
        <v>10</v>
      </c>
      <c r="K2126" s="254" t="s">
        <v>113</v>
      </c>
      <c r="L2126" s="254" t="s">
        <v>58</v>
      </c>
      <c r="M2126" s="254"/>
      <c r="N2126" s="371"/>
      <c r="O2126" s="396"/>
      <c r="P2126" s="397"/>
    </row>
    <row r="2127" spans="1:16" s="264" customFormat="1" ht="14" outlineLevel="2">
      <c r="A2127" s="297" t="s">
        <v>8</v>
      </c>
      <c r="B2127" s="307" t="s">
        <v>1083</v>
      </c>
      <c r="C2127" s="289" t="s">
        <v>1107</v>
      </c>
      <c r="D2127" s="290"/>
      <c r="E2127" s="290"/>
      <c r="F2127" s="290"/>
      <c r="G2127" s="290">
        <f t="shared" si="419"/>
        <v>0</v>
      </c>
      <c r="H2127" s="290">
        <f t="shared" si="420"/>
        <v>0</v>
      </c>
      <c r="I2127" s="291"/>
      <c r="J2127" s="254" t="s">
        <v>10</v>
      </c>
      <c r="K2127" s="254" t="s">
        <v>113</v>
      </c>
      <c r="L2127" s="254" t="s">
        <v>58</v>
      </c>
      <c r="M2127" s="254"/>
      <c r="N2127" s="371"/>
      <c r="O2127" s="396"/>
      <c r="P2127" s="397"/>
    </row>
    <row r="2128" spans="1:16" s="264" customFormat="1" ht="14" outlineLevel="2">
      <c r="A2128" s="297" t="s">
        <v>8</v>
      </c>
      <c r="B2128" s="307" t="s">
        <v>1084</v>
      </c>
      <c r="C2128" s="289" t="s">
        <v>1107</v>
      </c>
      <c r="D2128" s="290"/>
      <c r="E2128" s="290"/>
      <c r="F2128" s="290"/>
      <c r="G2128" s="290">
        <f t="shared" si="419"/>
        <v>0</v>
      </c>
      <c r="H2128" s="290">
        <f t="shared" si="420"/>
        <v>0</v>
      </c>
      <c r="I2128" s="291"/>
      <c r="J2128" s="254" t="s">
        <v>10</v>
      </c>
      <c r="K2128" s="254" t="s">
        <v>113</v>
      </c>
      <c r="L2128" s="254" t="s">
        <v>58</v>
      </c>
      <c r="M2128" s="254"/>
      <c r="N2128" s="371"/>
      <c r="O2128" s="396"/>
      <c r="P2128" s="397"/>
    </row>
    <row r="2129" spans="1:16" s="264" customFormat="1" ht="14" outlineLevel="2">
      <c r="A2129" s="297" t="s">
        <v>8</v>
      </c>
      <c r="B2129" s="307" t="s">
        <v>1085</v>
      </c>
      <c r="C2129" s="289" t="s">
        <v>1107</v>
      </c>
      <c r="D2129" s="290"/>
      <c r="E2129" s="290"/>
      <c r="F2129" s="290"/>
      <c r="G2129" s="290">
        <f t="shared" si="419"/>
        <v>0</v>
      </c>
      <c r="H2129" s="290">
        <f t="shared" si="420"/>
        <v>0</v>
      </c>
      <c r="I2129" s="291"/>
      <c r="J2129" s="254" t="s">
        <v>10</v>
      </c>
      <c r="K2129" s="254" t="s">
        <v>113</v>
      </c>
      <c r="L2129" s="254" t="s">
        <v>58</v>
      </c>
      <c r="M2129" s="254"/>
      <c r="N2129" s="371"/>
      <c r="O2129" s="396"/>
      <c r="P2129" s="397"/>
    </row>
    <row r="2130" spans="1:16" s="264" customFormat="1" ht="14" outlineLevel="2">
      <c r="A2130" s="297"/>
      <c r="B2130" s="307" t="s">
        <v>1086</v>
      </c>
      <c r="C2130" s="289" t="s">
        <v>1107</v>
      </c>
      <c r="D2130" s="290"/>
      <c r="E2130" s="290"/>
      <c r="F2130" s="290"/>
      <c r="G2130" s="290">
        <f t="shared" si="419"/>
        <v>0</v>
      </c>
      <c r="H2130" s="290">
        <f t="shared" si="420"/>
        <v>0</v>
      </c>
      <c r="I2130" s="291"/>
      <c r="J2130" s="254" t="s">
        <v>10</v>
      </c>
      <c r="K2130" s="254" t="s">
        <v>113</v>
      </c>
      <c r="L2130" s="254" t="s">
        <v>58</v>
      </c>
      <c r="M2130" s="254"/>
      <c r="N2130" s="371"/>
      <c r="O2130" s="396"/>
      <c r="P2130" s="397"/>
    </row>
    <row r="2131" spans="1:16" s="264" customFormat="1" ht="14" outlineLevel="2">
      <c r="A2131" s="297" t="s">
        <v>8</v>
      </c>
      <c r="B2131" s="307" t="s">
        <v>1087</v>
      </c>
      <c r="C2131" s="289" t="s">
        <v>1107</v>
      </c>
      <c r="D2131" s="290"/>
      <c r="E2131" s="290"/>
      <c r="F2131" s="290"/>
      <c r="G2131" s="290">
        <f t="shared" si="419"/>
        <v>0</v>
      </c>
      <c r="H2131" s="290">
        <f t="shared" si="420"/>
        <v>0</v>
      </c>
      <c r="I2131" s="291"/>
      <c r="J2131" s="254" t="s">
        <v>10</v>
      </c>
      <c r="K2131" s="254" t="s">
        <v>113</v>
      </c>
      <c r="L2131" s="254" t="s">
        <v>58</v>
      </c>
      <c r="M2131" s="254"/>
      <c r="N2131" s="371"/>
      <c r="O2131" s="396"/>
      <c r="P2131" s="397"/>
    </row>
    <row r="2132" spans="1:16" s="264" customFormat="1" ht="14" outlineLevel="2">
      <c r="A2132" s="297" t="s">
        <v>8</v>
      </c>
      <c r="B2132" s="307" t="s">
        <v>1088</v>
      </c>
      <c r="C2132" s="289" t="s">
        <v>1107</v>
      </c>
      <c r="D2132" s="290"/>
      <c r="E2132" s="290"/>
      <c r="F2132" s="290"/>
      <c r="G2132" s="290">
        <f t="shared" si="419"/>
        <v>0</v>
      </c>
      <c r="H2132" s="290">
        <f t="shared" si="420"/>
        <v>0</v>
      </c>
      <c r="I2132" s="291"/>
      <c r="J2132" s="254" t="s">
        <v>10</v>
      </c>
      <c r="K2132" s="254" t="s">
        <v>113</v>
      </c>
      <c r="L2132" s="254" t="s">
        <v>58</v>
      </c>
      <c r="M2132" s="254"/>
      <c r="N2132" s="371"/>
      <c r="O2132" s="396"/>
      <c r="P2132" s="397"/>
    </row>
    <row r="2133" spans="1:16" s="264" customFormat="1" ht="14" outlineLevel="2">
      <c r="A2133" s="297" t="s">
        <v>8</v>
      </c>
      <c r="B2133" s="307" t="s">
        <v>1089</v>
      </c>
      <c r="C2133" s="289" t="s">
        <v>1107</v>
      </c>
      <c r="D2133" s="290"/>
      <c r="E2133" s="290"/>
      <c r="F2133" s="290"/>
      <c r="G2133" s="290">
        <f t="shared" si="419"/>
        <v>0</v>
      </c>
      <c r="H2133" s="290">
        <f t="shared" si="420"/>
        <v>0</v>
      </c>
      <c r="I2133" s="291"/>
      <c r="J2133" s="254" t="s">
        <v>10</v>
      </c>
      <c r="K2133" s="254" t="s">
        <v>113</v>
      </c>
      <c r="L2133" s="254" t="s">
        <v>58</v>
      </c>
      <c r="M2133" s="254"/>
      <c r="N2133" s="371"/>
      <c r="O2133" s="396"/>
      <c r="P2133" s="397"/>
    </row>
    <row r="2134" spans="1:16" s="264" customFormat="1" ht="14" outlineLevel="2">
      <c r="A2134" s="297" t="s">
        <v>8</v>
      </c>
      <c r="B2134" s="307" t="s">
        <v>1090</v>
      </c>
      <c r="C2134" s="289" t="s">
        <v>48</v>
      </c>
      <c r="D2134" s="290"/>
      <c r="E2134" s="290"/>
      <c r="F2134" s="290"/>
      <c r="G2134" s="290">
        <f t="shared" si="419"/>
        <v>0</v>
      </c>
      <c r="H2134" s="290">
        <f t="shared" si="420"/>
        <v>0</v>
      </c>
      <c r="I2134" s="291"/>
      <c r="J2134" s="254" t="s">
        <v>10</v>
      </c>
      <c r="K2134" s="254" t="s">
        <v>113</v>
      </c>
      <c r="L2134" s="254" t="s">
        <v>58</v>
      </c>
      <c r="M2134" s="254"/>
      <c r="N2134" s="371"/>
      <c r="O2134" s="396"/>
      <c r="P2134" s="397"/>
    </row>
    <row r="2135" spans="1:16" s="264" customFormat="1" ht="14" outlineLevel="2">
      <c r="A2135" s="297" t="s">
        <v>8</v>
      </c>
      <c r="B2135" s="307" t="s">
        <v>1091</v>
      </c>
      <c r="C2135" s="289" t="s">
        <v>48</v>
      </c>
      <c r="D2135" s="290"/>
      <c r="E2135" s="290"/>
      <c r="F2135" s="290"/>
      <c r="G2135" s="290">
        <f t="shared" si="419"/>
        <v>0</v>
      </c>
      <c r="H2135" s="290">
        <f t="shared" si="420"/>
        <v>0</v>
      </c>
      <c r="I2135" s="291"/>
      <c r="J2135" s="254" t="s">
        <v>10</v>
      </c>
      <c r="K2135" s="254" t="s">
        <v>113</v>
      </c>
      <c r="L2135" s="254" t="s">
        <v>58</v>
      </c>
      <c r="M2135" s="254"/>
      <c r="N2135" s="371"/>
      <c r="O2135" s="396"/>
      <c r="P2135" s="397"/>
    </row>
    <row r="2136" spans="1:16" s="264" customFormat="1" ht="14" outlineLevel="2">
      <c r="A2136" s="297" t="s">
        <v>8</v>
      </c>
      <c r="B2136" s="307" t="s">
        <v>1092</v>
      </c>
      <c r="C2136" s="289" t="s">
        <v>48</v>
      </c>
      <c r="D2136" s="290"/>
      <c r="E2136" s="290"/>
      <c r="F2136" s="290"/>
      <c r="G2136" s="290">
        <f t="shared" si="419"/>
        <v>0</v>
      </c>
      <c r="H2136" s="290">
        <f t="shared" si="420"/>
        <v>0</v>
      </c>
      <c r="I2136" s="291"/>
      <c r="J2136" s="254" t="s">
        <v>10</v>
      </c>
      <c r="K2136" s="254" t="s">
        <v>113</v>
      </c>
      <c r="L2136" s="254" t="s">
        <v>58</v>
      </c>
      <c r="M2136" s="254"/>
      <c r="N2136" s="371"/>
      <c r="O2136" s="396"/>
      <c r="P2136" s="397"/>
    </row>
    <row r="2137" spans="1:16" s="264" customFormat="1" ht="14" outlineLevel="2">
      <c r="A2137" s="297" t="s">
        <v>8</v>
      </c>
      <c r="B2137" s="307" t="s">
        <v>1093</v>
      </c>
      <c r="C2137" s="289" t="s">
        <v>1107</v>
      </c>
      <c r="D2137" s="290"/>
      <c r="E2137" s="290"/>
      <c r="F2137" s="290"/>
      <c r="G2137" s="290">
        <f t="shared" si="419"/>
        <v>0</v>
      </c>
      <c r="H2137" s="290">
        <f t="shared" si="420"/>
        <v>0</v>
      </c>
      <c r="I2137" s="291"/>
      <c r="J2137" s="254" t="s">
        <v>10</v>
      </c>
      <c r="K2137" s="254" t="s">
        <v>113</v>
      </c>
      <c r="L2137" s="254" t="s">
        <v>58</v>
      </c>
      <c r="M2137" s="254"/>
      <c r="N2137" s="371"/>
      <c r="O2137" s="396"/>
      <c r="P2137" s="397"/>
    </row>
    <row r="2138" spans="1:16" s="264" customFormat="1" ht="14" outlineLevel="2">
      <c r="A2138" s="297" t="s">
        <v>8</v>
      </c>
      <c r="B2138" s="307" t="s">
        <v>1094</v>
      </c>
      <c r="C2138" s="289" t="s">
        <v>1107</v>
      </c>
      <c r="D2138" s="290"/>
      <c r="E2138" s="290"/>
      <c r="F2138" s="290"/>
      <c r="G2138" s="290">
        <f t="shared" si="419"/>
        <v>0</v>
      </c>
      <c r="H2138" s="290">
        <f t="shared" si="420"/>
        <v>0</v>
      </c>
      <c r="I2138" s="291"/>
      <c r="J2138" s="254" t="s">
        <v>10</v>
      </c>
      <c r="K2138" s="254" t="s">
        <v>113</v>
      </c>
      <c r="L2138" s="254" t="s">
        <v>58</v>
      </c>
      <c r="M2138" s="254"/>
      <c r="N2138" s="371"/>
      <c r="O2138" s="396"/>
      <c r="P2138" s="397"/>
    </row>
    <row r="2139" spans="1:16" s="264" customFormat="1" ht="14" outlineLevel="2">
      <c r="A2139" s="297"/>
      <c r="B2139" s="307" t="s">
        <v>1095</v>
      </c>
      <c r="C2139" s="289" t="s">
        <v>1097</v>
      </c>
      <c r="D2139" s="290"/>
      <c r="E2139" s="290"/>
      <c r="F2139" s="290"/>
      <c r="G2139" s="290">
        <f t="shared" si="419"/>
        <v>0</v>
      </c>
      <c r="H2139" s="290">
        <f t="shared" si="420"/>
        <v>0</v>
      </c>
      <c r="I2139" s="291"/>
      <c r="J2139" s="254" t="s">
        <v>10</v>
      </c>
      <c r="K2139" s="254" t="s">
        <v>113</v>
      </c>
      <c r="L2139" s="254" t="s">
        <v>58</v>
      </c>
      <c r="M2139" s="254"/>
      <c r="N2139" s="371"/>
      <c r="O2139" s="396"/>
      <c r="P2139" s="397"/>
    </row>
    <row r="2140" spans="1:16" s="264" customFormat="1" ht="14" outlineLevel="2">
      <c r="A2140" s="297" t="s">
        <v>8</v>
      </c>
      <c r="B2140" s="307" t="s">
        <v>1105</v>
      </c>
      <c r="C2140" s="289" t="s">
        <v>1107</v>
      </c>
      <c r="D2140" s="290"/>
      <c r="E2140" s="290"/>
      <c r="F2140" s="290"/>
      <c r="G2140" s="290">
        <f t="shared" si="419"/>
        <v>0</v>
      </c>
      <c r="H2140" s="290">
        <f t="shared" si="420"/>
        <v>0</v>
      </c>
      <c r="I2140" s="291"/>
      <c r="J2140" s="254" t="s">
        <v>10</v>
      </c>
      <c r="K2140" s="254" t="s">
        <v>113</v>
      </c>
      <c r="L2140" s="254" t="s">
        <v>58</v>
      </c>
      <c r="M2140" s="254"/>
      <c r="N2140" s="371"/>
      <c r="O2140" s="396"/>
      <c r="P2140" s="397"/>
    </row>
    <row r="2141" spans="1:16" s="264" customFormat="1" ht="14" outlineLevel="2">
      <c r="A2141" s="297"/>
      <c r="B2141" s="307" t="s">
        <v>1096</v>
      </c>
      <c r="C2141" s="289" t="s">
        <v>1098</v>
      </c>
      <c r="D2141" s="290"/>
      <c r="E2141" s="290"/>
      <c r="F2141" s="290"/>
      <c r="G2141" s="290">
        <f t="shared" si="419"/>
        <v>0</v>
      </c>
      <c r="H2141" s="290">
        <f t="shared" si="420"/>
        <v>0</v>
      </c>
      <c r="I2141" s="291"/>
      <c r="J2141" s="254" t="s">
        <v>10</v>
      </c>
      <c r="K2141" s="254" t="s">
        <v>113</v>
      </c>
      <c r="L2141" s="254" t="s">
        <v>58</v>
      </c>
      <c r="M2141" s="254"/>
      <c r="N2141" s="371"/>
      <c r="O2141" s="396"/>
      <c r="P2141" s="397"/>
    </row>
    <row r="2142" spans="1:16" s="264" customFormat="1" ht="14" outlineLevel="2">
      <c r="A2142" s="297" t="s">
        <v>8</v>
      </c>
      <c r="B2142" s="307" t="s">
        <v>1106</v>
      </c>
      <c r="C2142" s="289" t="s">
        <v>1098</v>
      </c>
      <c r="D2142" s="290"/>
      <c r="E2142" s="290"/>
      <c r="F2142" s="290"/>
      <c r="G2142" s="290">
        <f t="shared" si="419"/>
        <v>0</v>
      </c>
      <c r="H2142" s="290">
        <f t="shared" si="420"/>
        <v>0</v>
      </c>
      <c r="I2142" s="291"/>
      <c r="J2142" s="254" t="s">
        <v>10</v>
      </c>
      <c r="K2142" s="254" t="s">
        <v>113</v>
      </c>
      <c r="L2142" s="254" t="s">
        <v>58</v>
      </c>
      <c r="M2142" s="254"/>
      <c r="N2142" s="371"/>
      <c r="O2142" s="396"/>
      <c r="P2142" s="397"/>
    </row>
    <row r="2143" spans="1:16" s="277" customFormat="1" ht="14" outlineLevel="1">
      <c r="A2143" s="280">
        <v>6</v>
      </c>
      <c r="B2143" s="430" t="s">
        <v>1109</v>
      </c>
      <c r="C2143" s="295"/>
      <c r="D2143" s="283"/>
      <c r="E2143" s="283"/>
      <c r="F2143" s="301"/>
      <c r="G2143" s="283">
        <f>SUBTOTAL(9,G2144:G2164)</f>
        <v>860731.14084760752</v>
      </c>
      <c r="H2143" s="283">
        <f>SUBTOTAL(9,H2144:H2164)</f>
        <v>743500.79580035259</v>
      </c>
      <c r="I2143" s="284"/>
      <c r="J2143" s="254"/>
      <c r="K2143" s="254"/>
      <c r="L2143" s="254"/>
      <c r="M2143" s="275"/>
      <c r="N2143" s="371"/>
      <c r="O2143" s="396"/>
      <c r="P2143" s="397"/>
    </row>
    <row r="2144" spans="1:16" s="264" customFormat="1" ht="14" outlineLevel="2">
      <c r="A2144" s="297" t="s">
        <v>8</v>
      </c>
      <c r="B2144" s="307" t="s">
        <v>1078</v>
      </c>
      <c r="C2144" s="289" t="s">
        <v>1107</v>
      </c>
      <c r="D2144" s="290">
        <v>0</v>
      </c>
      <c r="E2144" s="290">
        <v>0</v>
      </c>
      <c r="F2144" s="290">
        <v>300</v>
      </c>
      <c r="G2144" s="290">
        <f t="shared" ref="G2144:G2164" si="421">F2144*D2144</f>
        <v>0</v>
      </c>
      <c r="H2144" s="290">
        <f t="shared" ref="H2144:H2164" si="422">F2144*E2144</f>
        <v>0</v>
      </c>
      <c r="I2144" s="291"/>
      <c r="J2144" s="254" t="s">
        <v>10</v>
      </c>
      <c r="K2144" s="254" t="s">
        <v>112</v>
      </c>
      <c r="L2144" s="254" t="s">
        <v>58</v>
      </c>
      <c r="M2144" s="254"/>
      <c r="N2144" s="371"/>
      <c r="O2144" s="396"/>
      <c r="P2144" s="397"/>
    </row>
    <row r="2145" spans="1:16" s="264" customFormat="1" ht="14" outlineLevel="2">
      <c r="A2145" s="297" t="s">
        <v>8</v>
      </c>
      <c r="B2145" s="307" t="s">
        <v>1079</v>
      </c>
      <c r="C2145" s="289" t="s">
        <v>1107</v>
      </c>
      <c r="D2145" s="290">
        <v>0</v>
      </c>
      <c r="E2145" s="290">
        <v>0</v>
      </c>
      <c r="F2145" s="290"/>
      <c r="G2145" s="290">
        <f t="shared" si="421"/>
        <v>0</v>
      </c>
      <c r="H2145" s="290">
        <f t="shared" si="422"/>
        <v>0</v>
      </c>
      <c r="I2145" s="291"/>
      <c r="J2145" s="254" t="s">
        <v>10</v>
      </c>
      <c r="K2145" s="254" t="s">
        <v>112</v>
      </c>
      <c r="L2145" s="254" t="s">
        <v>58</v>
      </c>
      <c r="M2145" s="254"/>
      <c r="N2145" s="371"/>
      <c r="O2145" s="396"/>
      <c r="P2145" s="397"/>
    </row>
    <row r="2146" spans="1:16" s="264" customFormat="1" ht="14" outlineLevel="2">
      <c r="A2146" s="297" t="s">
        <v>8</v>
      </c>
      <c r="B2146" s="307" t="s">
        <v>1080</v>
      </c>
      <c r="C2146" s="289" t="s">
        <v>1107</v>
      </c>
      <c r="D2146" s="290">
        <v>0</v>
      </c>
      <c r="E2146" s="290">
        <v>0</v>
      </c>
      <c r="F2146" s="290">
        <v>560</v>
      </c>
      <c r="G2146" s="290">
        <f t="shared" si="421"/>
        <v>0</v>
      </c>
      <c r="H2146" s="290">
        <f t="shared" si="422"/>
        <v>0</v>
      </c>
      <c r="I2146" s="291"/>
      <c r="J2146" s="254" t="s">
        <v>10</v>
      </c>
      <c r="K2146" s="254" t="s">
        <v>112</v>
      </c>
      <c r="L2146" s="254" t="s">
        <v>58</v>
      </c>
      <c r="M2146" s="254"/>
      <c r="N2146" s="371"/>
      <c r="O2146" s="396"/>
      <c r="P2146" s="397"/>
    </row>
    <row r="2147" spans="1:16" s="264" customFormat="1" ht="14" outlineLevel="2">
      <c r="A2147" s="297" t="s">
        <v>8</v>
      </c>
      <c r="B2147" s="307" t="s">
        <v>1081</v>
      </c>
      <c r="C2147" s="289" t="s">
        <v>1107</v>
      </c>
      <c r="D2147" s="290">
        <v>0</v>
      </c>
      <c r="E2147" s="290">
        <v>0</v>
      </c>
      <c r="F2147" s="290"/>
      <c r="G2147" s="290">
        <f t="shared" si="421"/>
        <v>0</v>
      </c>
      <c r="H2147" s="290">
        <f t="shared" si="422"/>
        <v>0</v>
      </c>
      <c r="I2147" s="291"/>
      <c r="J2147" s="254" t="s">
        <v>10</v>
      </c>
      <c r="K2147" s="254" t="s">
        <v>112</v>
      </c>
      <c r="L2147" s="254" t="s">
        <v>58</v>
      </c>
      <c r="M2147" s="254"/>
      <c r="N2147" s="371"/>
      <c r="O2147" s="396"/>
      <c r="P2147" s="397"/>
    </row>
    <row r="2148" spans="1:16" s="264" customFormat="1" ht="14" outlineLevel="2">
      <c r="A2148" s="297" t="s">
        <v>8</v>
      </c>
      <c r="B2148" s="307" t="s">
        <v>1082</v>
      </c>
      <c r="C2148" s="289" t="s">
        <v>1107</v>
      </c>
      <c r="D2148" s="290">
        <v>0</v>
      </c>
      <c r="E2148" s="290">
        <v>0</v>
      </c>
      <c r="F2148" s="290">
        <v>717.90004747951389</v>
      </c>
      <c r="G2148" s="290">
        <f t="shared" si="421"/>
        <v>0</v>
      </c>
      <c r="H2148" s="290">
        <f t="shared" si="422"/>
        <v>0</v>
      </c>
      <c r="I2148" s="291"/>
      <c r="J2148" s="254" t="s">
        <v>10</v>
      </c>
      <c r="K2148" s="254" t="s">
        <v>112</v>
      </c>
      <c r="L2148" s="254" t="s">
        <v>58</v>
      </c>
      <c r="M2148" s="254"/>
      <c r="N2148" s="371"/>
      <c r="O2148" s="396"/>
      <c r="P2148" s="397"/>
    </row>
    <row r="2149" spans="1:16" s="264" customFormat="1" ht="14" outlineLevel="2">
      <c r="A2149" s="297" t="s">
        <v>8</v>
      </c>
      <c r="B2149" s="307" t="s">
        <v>1083</v>
      </c>
      <c r="C2149" s="289" t="s">
        <v>1107</v>
      </c>
      <c r="D2149" s="290">
        <v>0</v>
      </c>
      <c r="E2149" s="290">
        <v>0</v>
      </c>
      <c r="F2149" s="290">
        <v>810.54013795531046</v>
      </c>
      <c r="G2149" s="290">
        <f t="shared" si="421"/>
        <v>0</v>
      </c>
      <c r="H2149" s="290">
        <f t="shared" si="422"/>
        <v>0</v>
      </c>
      <c r="I2149" s="291"/>
      <c r="J2149" s="254" t="s">
        <v>10</v>
      </c>
      <c r="K2149" s="254" t="s">
        <v>112</v>
      </c>
      <c r="L2149" s="254" t="s">
        <v>58</v>
      </c>
      <c r="M2149" s="254"/>
      <c r="N2149" s="371"/>
      <c r="O2149" s="396"/>
      <c r="P2149" s="397"/>
    </row>
    <row r="2150" spans="1:16" s="264" customFormat="1" ht="14" outlineLevel="2">
      <c r="A2150" s="297" t="s">
        <v>8</v>
      </c>
      <c r="B2150" s="307" t="s">
        <v>1084</v>
      </c>
      <c r="C2150" s="289" t="s">
        <v>1107</v>
      </c>
      <c r="D2150" s="290">
        <v>27</v>
      </c>
      <c r="E2150" s="290">
        <v>2</v>
      </c>
      <c r="F2150" s="290">
        <v>1051.5325043493126</v>
      </c>
      <c r="G2150" s="290">
        <f t="shared" si="421"/>
        <v>28391.377617431441</v>
      </c>
      <c r="H2150" s="290">
        <f t="shared" si="422"/>
        <v>2103.0650086986252</v>
      </c>
      <c r="I2150" s="291"/>
      <c r="J2150" s="254" t="s">
        <v>10</v>
      </c>
      <c r="K2150" s="254" t="s">
        <v>112</v>
      </c>
      <c r="L2150" s="254" t="s">
        <v>58</v>
      </c>
      <c r="M2150" s="254"/>
      <c r="N2150" s="371"/>
      <c r="O2150" s="396"/>
      <c r="P2150" s="397"/>
    </row>
    <row r="2151" spans="1:16" s="264" customFormat="1" ht="14" outlineLevel="2">
      <c r="A2151" s="297" t="s">
        <v>8</v>
      </c>
      <c r="B2151" s="307" t="s">
        <v>1085</v>
      </c>
      <c r="C2151" s="289" t="s">
        <v>1107</v>
      </c>
      <c r="D2151" s="290">
        <v>3</v>
      </c>
      <c r="E2151" s="290">
        <v>1</v>
      </c>
      <c r="F2151" s="290">
        <v>1200.1367064681876</v>
      </c>
      <c r="G2151" s="290">
        <f t="shared" si="421"/>
        <v>3600.4101194045629</v>
      </c>
      <c r="H2151" s="290">
        <f t="shared" si="422"/>
        <v>1200.1367064681876</v>
      </c>
      <c r="I2151" s="291"/>
      <c r="J2151" s="254" t="s">
        <v>10</v>
      </c>
      <c r="K2151" s="254" t="s">
        <v>112</v>
      </c>
      <c r="L2151" s="254" t="s">
        <v>58</v>
      </c>
      <c r="M2151" s="254"/>
      <c r="N2151" s="371"/>
      <c r="O2151" s="396"/>
      <c r="P2151" s="397"/>
    </row>
    <row r="2152" spans="1:16" s="264" customFormat="1" ht="14" outlineLevel="2">
      <c r="A2152" s="297"/>
      <c r="B2152" s="307" t="s">
        <v>1086</v>
      </c>
      <c r="C2152" s="289" t="s">
        <v>1107</v>
      </c>
      <c r="D2152" s="290">
        <v>0</v>
      </c>
      <c r="E2152" s="290">
        <v>0</v>
      </c>
      <c r="F2152" s="290">
        <v>1447.7015021765001</v>
      </c>
      <c r="G2152" s="290">
        <f t="shared" si="421"/>
        <v>0</v>
      </c>
      <c r="H2152" s="290">
        <f t="shared" si="422"/>
        <v>0</v>
      </c>
      <c r="I2152" s="291"/>
      <c r="J2152" s="254" t="s">
        <v>10</v>
      </c>
      <c r="K2152" s="254" t="s">
        <v>112</v>
      </c>
      <c r="L2152" s="254" t="s">
        <v>58</v>
      </c>
      <c r="M2152" s="254"/>
      <c r="N2152" s="371"/>
      <c r="O2152" s="396"/>
      <c r="P2152" s="397"/>
    </row>
    <row r="2153" spans="1:16" s="264" customFormat="1" ht="14" outlineLevel="2">
      <c r="A2153" s="297" t="s">
        <v>8</v>
      </c>
      <c r="B2153" s="307" t="s">
        <v>1087</v>
      </c>
      <c r="C2153" s="289" t="s">
        <v>1107</v>
      </c>
      <c r="D2153" s="290">
        <v>148</v>
      </c>
      <c r="E2153" s="290">
        <v>147</v>
      </c>
      <c r="F2153" s="290">
        <v>1447.7015021765001</v>
      </c>
      <c r="G2153" s="290">
        <f t="shared" si="421"/>
        <v>214259.822322122</v>
      </c>
      <c r="H2153" s="290">
        <f t="shared" si="422"/>
        <v>212812.1208199455</v>
      </c>
      <c r="I2153" s="291"/>
      <c r="J2153" s="254" t="s">
        <v>10</v>
      </c>
      <c r="K2153" s="254" t="s">
        <v>112</v>
      </c>
      <c r="L2153" s="254" t="s">
        <v>58</v>
      </c>
      <c r="M2153" s="254"/>
      <c r="N2153" s="371"/>
      <c r="O2153" s="396"/>
      <c r="P2153" s="397"/>
    </row>
    <row r="2154" spans="1:16" s="264" customFormat="1" ht="14" outlineLevel="2">
      <c r="A2154" s="297" t="s">
        <v>8</v>
      </c>
      <c r="B2154" s="307" t="s">
        <v>1088</v>
      </c>
      <c r="C2154" s="289" t="s">
        <v>1107</v>
      </c>
      <c r="D2154" s="290">
        <v>5</v>
      </c>
      <c r="E2154" s="290">
        <v>61</v>
      </c>
      <c r="F2154" s="290">
        <v>1667.3282152749377</v>
      </c>
      <c r="G2154" s="290">
        <f t="shared" si="421"/>
        <v>8336.6410763746881</v>
      </c>
      <c r="H2154" s="290">
        <f t="shared" si="422"/>
        <v>101707.02113177121</v>
      </c>
      <c r="I2154" s="291"/>
      <c r="J2154" s="254" t="s">
        <v>10</v>
      </c>
      <c r="K2154" s="254" t="s">
        <v>112</v>
      </c>
      <c r="L2154" s="254" t="s">
        <v>58</v>
      </c>
      <c r="M2154" s="254"/>
      <c r="N2154" s="371"/>
      <c r="O2154" s="396"/>
      <c r="P2154" s="397"/>
    </row>
    <row r="2155" spans="1:16" s="264" customFormat="1" ht="14" outlineLevel="2">
      <c r="A2155" s="297" t="s">
        <v>8</v>
      </c>
      <c r="B2155" s="307" t="s">
        <v>1089</v>
      </c>
      <c r="C2155" s="289" t="s">
        <v>1107</v>
      </c>
      <c r="D2155" s="290">
        <v>0</v>
      </c>
      <c r="E2155" s="290">
        <v>0</v>
      </c>
      <c r="F2155" s="290">
        <v>2038.1519262801319</v>
      </c>
      <c r="G2155" s="290">
        <f t="shared" si="421"/>
        <v>0</v>
      </c>
      <c r="H2155" s="290">
        <f t="shared" si="422"/>
        <v>0</v>
      </c>
      <c r="I2155" s="291"/>
      <c r="J2155" s="254" t="s">
        <v>10</v>
      </c>
      <c r="K2155" s="254" t="s">
        <v>112</v>
      </c>
      <c r="L2155" s="254" t="s">
        <v>58</v>
      </c>
      <c r="M2155" s="254"/>
      <c r="N2155" s="371"/>
      <c r="O2155" s="396"/>
      <c r="P2155" s="397"/>
    </row>
    <row r="2156" spans="1:16" s="264" customFormat="1" ht="14" outlineLevel="2">
      <c r="A2156" s="297" t="s">
        <v>8</v>
      </c>
      <c r="B2156" s="307" t="s">
        <v>1090</v>
      </c>
      <c r="C2156" s="289" t="s">
        <v>48</v>
      </c>
      <c r="D2156" s="290">
        <v>0</v>
      </c>
      <c r="E2156" s="290">
        <v>0</v>
      </c>
      <c r="F2156" s="290">
        <v>2188.780257007641</v>
      </c>
      <c r="G2156" s="290">
        <f t="shared" si="421"/>
        <v>0</v>
      </c>
      <c r="H2156" s="290">
        <f t="shared" si="422"/>
        <v>0</v>
      </c>
      <c r="I2156" s="291"/>
      <c r="J2156" s="254" t="s">
        <v>10</v>
      </c>
      <c r="K2156" s="254" t="s">
        <v>112</v>
      </c>
      <c r="L2156" s="254" t="s">
        <v>58</v>
      </c>
      <c r="M2156" s="254"/>
      <c r="N2156" s="371"/>
      <c r="O2156" s="396"/>
      <c r="P2156" s="397"/>
    </row>
    <row r="2157" spans="1:16" s="264" customFormat="1" ht="14" outlineLevel="2">
      <c r="A2157" s="297" t="s">
        <v>8</v>
      </c>
      <c r="B2157" s="307" t="s">
        <v>1091</v>
      </c>
      <c r="C2157" s="289" t="s">
        <v>48</v>
      </c>
      <c r="D2157" s="290">
        <v>63</v>
      </c>
      <c r="E2157" s="290">
        <v>17</v>
      </c>
      <c r="F2157" s="290">
        <v>2830.5183759489009</v>
      </c>
      <c r="G2157" s="290">
        <f t="shared" si="421"/>
        <v>178322.65768478077</v>
      </c>
      <c r="H2157" s="290">
        <f t="shared" si="422"/>
        <v>48118.812391131316</v>
      </c>
      <c r="I2157" s="291"/>
      <c r="J2157" s="254" t="s">
        <v>10</v>
      </c>
      <c r="K2157" s="254" t="s">
        <v>112</v>
      </c>
      <c r="L2157" s="254" t="s">
        <v>58</v>
      </c>
      <c r="M2157" s="254"/>
      <c r="N2157" s="371"/>
      <c r="O2157" s="396"/>
      <c r="P2157" s="397"/>
    </row>
    <row r="2158" spans="1:16" s="264" customFormat="1" ht="14" outlineLevel="2">
      <c r="A2158" s="297" t="s">
        <v>8</v>
      </c>
      <c r="B2158" s="307" t="s">
        <v>1092</v>
      </c>
      <c r="C2158" s="289" t="s">
        <v>48</v>
      </c>
      <c r="D2158" s="290">
        <v>0</v>
      </c>
      <c r="E2158" s="290">
        <v>0</v>
      </c>
      <c r="F2158" s="290">
        <v>3750</v>
      </c>
      <c r="G2158" s="290">
        <f t="shared" si="421"/>
        <v>0</v>
      </c>
      <c r="H2158" s="290">
        <f t="shared" si="422"/>
        <v>0</v>
      </c>
      <c r="I2158" s="291"/>
      <c r="J2158" s="254" t="s">
        <v>10</v>
      </c>
      <c r="K2158" s="254" t="s">
        <v>112</v>
      </c>
      <c r="L2158" s="254" t="s">
        <v>58</v>
      </c>
      <c r="M2158" s="254"/>
      <c r="N2158" s="371"/>
      <c r="O2158" s="396"/>
      <c r="P2158" s="397"/>
    </row>
    <row r="2159" spans="1:16" s="264" customFormat="1" ht="14" outlineLevel="2">
      <c r="A2159" s="297" t="s">
        <v>8</v>
      </c>
      <c r="B2159" s="307" t="s">
        <v>1093</v>
      </c>
      <c r="C2159" s="289" t="s">
        <v>1107</v>
      </c>
      <c r="D2159" s="290">
        <v>9</v>
      </c>
      <c r="E2159" s="290">
        <v>1</v>
      </c>
      <c r="F2159" s="290">
        <v>937.5</v>
      </c>
      <c r="G2159" s="290">
        <f t="shared" si="421"/>
        <v>8437.5</v>
      </c>
      <c r="H2159" s="290">
        <f t="shared" si="422"/>
        <v>937.5</v>
      </c>
      <c r="I2159" s="291"/>
      <c r="J2159" s="254" t="s">
        <v>10</v>
      </c>
      <c r="K2159" s="254" t="s">
        <v>112</v>
      </c>
      <c r="L2159" s="254" t="s">
        <v>58</v>
      </c>
      <c r="M2159" s="254"/>
      <c r="N2159" s="371"/>
      <c r="O2159" s="396"/>
      <c r="P2159" s="397"/>
    </row>
    <row r="2160" spans="1:16" s="264" customFormat="1" ht="14" outlineLevel="2">
      <c r="A2160" s="297" t="s">
        <v>8</v>
      </c>
      <c r="B2160" s="307" t="s">
        <v>1094</v>
      </c>
      <c r="C2160" s="289" t="s">
        <v>1107</v>
      </c>
      <c r="D2160" s="290">
        <v>0</v>
      </c>
      <c r="E2160" s="290">
        <v>0</v>
      </c>
      <c r="F2160" s="290">
        <v>1250</v>
      </c>
      <c r="G2160" s="290">
        <f t="shared" si="421"/>
        <v>0</v>
      </c>
      <c r="H2160" s="290">
        <f t="shared" si="422"/>
        <v>0</v>
      </c>
      <c r="I2160" s="291"/>
      <c r="J2160" s="254" t="s">
        <v>10</v>
      </c>
      <c r="K2160" s="254" t="s">
        <v>112</v>
      </c>
      <c r="L2160" s="254" t="s">
        <v>58</v>
      </c>
      <c r="M2160" s="254"/>
      <c r="N2160" s="371"/>
      <c r="O2160" s="396"/>
      <c r="P2160" s="397"/>
    </row>
    <row r="2161" spans="1:16" s="264" customFormat="1" ht="14" outlineLevel="2">
      <c r="A2161" s="297"/>
      <c r="B2161" s="307" t="s">
        <v>1095</v>
      </c>
      <c r="C2161" s="289" t="s">
        <v>1097</v>
      </c>
      <c r="D2161" s="290">
        <v>0</v>
      </c>
      <c r="E2161" s="290">
        <v>0</v>
      </c>
      <c r="F2161" s="290">
        <v>855.66967831535908</v>
      </c>
      <c r="G2161" s="290">
        <f t="shared" si="421"/>
        <v>0</v>
      </c>
      <c r="H2161" s="290">
        <f t="shared" si="422"/>
        <v>0</v>
      </c>
      <c r="I2161" s="291"/>
      <c r="J2161" s="254" t="s">
        <v>10</v>
      </c>
      <c r="K2161" s="254" t="s">
        <v>112</v>
      </c>
      <c r="L2161" s="254" t="s">
        <v>58</v>
      </c>
      <c r="M2161" s="254"/>
      <c r="N2161" s="371"/>
      <c r="O2161" s="396"/>
      <c r="P2161" s="397"/>
    </row>
    <row r="2162" spans="1:16" s="264" customFormat="1" ht="14" outlineLevel="2">
      <c r="A2162" s="297" t="s">
        <v>8</v>
      </c>
      <c r="B2162" s="307" t="s">
        <v>1105</v>
      </c>
      <c r="C2162" s="289" t="s">
        <v>1107</v>
      </c>
      <c r="D2162" s="290">
        <v>255</v>
      </c>
      <c r="E2162" s="290">
        <v>229</v>
      </c>
      <c r="F2162" s="290">
        <v>676.92307692307691</v>
      </c>
      <c r="G2162" s="290">
        <f t="shared" si="421"/>
        <v>172615.38461538462</v>
      </c>
      <c r="H2162" s="290">
        <f t="shared" si="422"/>
        <v>155015.38461538462</v>
      </c>
      <c r="I2162" s="291"/>
      <c r="J2162" s="254" t="s">
        <v>10</v>
      </c>
      <c r="K2162" s="254" t="s">
        <v>112</v>
      </c>
      <c r="L2162" s="254" t="s">
        <v>58</v>
      </c>
      <c r="M2162" s="254"/>
      <c r="N2162" s="371"/>
      <c r="O2162" s="396"/>
      <c r="P2162" s="397"/>
    </row>
    <row r="2163" spans="1:16" s="264" customFormat="1" ht="14" outlineLevel="2">
      <c r="A2163" s="297"/>
      <c r="B2163" s="307" t="s">
        <v>1096</v>
      </c>
      <c r="C2163" s="289" t="s">
        <v>1098</v>
      </c>
      <c r="D2163" s="290">
        <v>255</v>
      </c>
      <c r="E2163" s="290">
        <v>229</v>
      </c>
      <c r="F2163" s="290">
        <v>737</v>
      </c>
      <c r="G2163" s="290">
        <f t="shared" si="421"/>
        <v>187935</v>
      </c>
      <c r="H2163" s="290">
        <f t="shared" si="422"/>
        <v>168773</v>
      </c>
      <c r="I2163" s="291"/>
      <c r="J2163" s="254" t="s">
        <v>10</v>
      </c>
      <c r="K2163" s="254" t="s">
        <v>112</v>
      </c>
      <c r="L2163" s="254" t="s">
        <v>58</v>
      </c>
      <c r="M2163" s="254"/>
      <c r="N2163" s="371"/>
      <c r="O2163" s="396"/>
      <c r="P2163" s="397"/>
    </row>
    <row r="2164" spans="1:16" s="264" customFormat="1" ht="14" outlineLevel="2">
      <c r="A2164" s="297" t="s">
        <v>8</v>
      </c>
      <c r="B2164" s="307" t="s">
        <v>1106</v>
      </c>
      <c r="C2164" s="289" t="s">
        <v>1098</v>
      </c>
      <c r="D2164" s="290">
        <v>255</v>
      </c>
      <c r="E2164" s="290">
        <v>229</v>
      </c>
      <c r="F2164" s="290">
        <v>230.715087890625</v>
      </c>
      <c r="G2164" s="290">
        <f t="shared" si="421"/>
        <v>58832.347412109375</v>
      </c>
      <c r="H2164" s="290">
        <f t="shared" si="422"/>
        <v>52833.755126953125</v>
      </c>
      <c r="I2164" s="291"/>
      <c r="J2164" s="254" t="s">
        <v>10</v>
      </c>
      <c r="K2164" s="254" t="s">
        <v>112</v>
      </c>
      <c r="L2164" s="254" t="s">
        <v>58</v>
      </c>
      <c r="M2164" s="254"/>
      <c r="N2164" s="371"/>
      <c r="O2164" s="396"/>
      <c r="P2164" s="397"/>
    </row>
    <row r="2165" spans="1:16" s="277" customFormat="1" ht="14" outlineLevel="1">
      <c r="A2165" s="280">
        <v>7</v>
      </c>
      <c r="B2165" s="430" t="s">
        <v>1110</v>
      </c>
      <c r="C2165" s="295"/>
      <c r="D2165" s="283"/>
      <c r="E2165" s="283"/>
      <c r="F2165" s="301"/>
      <c r="G2165" s="283">
        <f>SUBTOTAL(9,G2166:G2186)</f>
        <v>0</v>
      </c>
      <c r="H2165" s="283">
        <f>SUBTOTAL(9,H2166:H2186)</f>
        <v>0</v>
      </c>
      <c r="I2165" s="284"/>
      <c r="J2165" s="254"/>
      <c r="K2165" s="254"/>
      <c r="L2165" s="254"/>
      <c r="M2165" s="275"/>
      <c r="N2165" s="371"/>
      <c r="O2165" s="396"/>
      <c r="P2165" s="397"/>
    </row>
    <row r="2166" spans="1:16" s="264" customFormat="1" ht="14" outlineLevel="2">
      <c r="A2166" s="297" t="s">
        <v>8</v>
      </c>
      <c r="B2166" s="307" t="s">
        <v>1078</v>
      </c>
      <c r="C2166" s="289" t="s">
        <v>1107</v>
      </c>
      <c r="D2166" s="290"/>
      <c r="E2166" s="290"/>
      <c r="F2166" s="290"/>
      <c r="G2166" s="290">
        <f t="shared" ref="G2166:G2186" si="423">F2166*D2166</f>
        <v>0</v>
      </c>
      <c r="H2166" s="290">
        <f t="shared" ref="H2166:H2186" si="424">F2166*E2166</f>
        <v>0</v>
      </c>
      <c r="I2166" s="291"/>
      <c r="J2166" s="254" t="s">
        <v>10</v>
      </c>
      <c r="K2166" s="254" t="s">
        <v>113</v>
      </c>
      <c r="L2166" s="254" t="s">
        <v>58</v>
      </c>
      <c r="M2166" s="254"/>
      <c r="N2166" s="371"/>
      <c r="O2166" s="396"/>
      <c r="P2166" s="397"/>
    </row>
    <row r="2167" spans="1:16" s="264" customFormat="1" ht="14" outlineLevel="2">
      <c r="A2167" s="297" t="s">
        <v>8</v>
      </c>
      <c r="B2167" s="307" t="s">
        <v>1079</v>
      </c>
      <c r="C2167" s="289" t="s">
        <v>1107</v>
      </c>
      <c r="D2167" s="290"/>
      <c r="E2167" s="290"/>
      <c r="F2167" s="290"/>
      <c r="G2167" s="290">
        <f t="shared" si="423"/>
        <v>0</v>
      </c>
      <c r="H2167" s="290">
        <f t="shared" si="424"/>
        <v>0</v>
      </c>
      <c r="I2167" s="291"/>
      <c r="J2167" s="254" t="s">
        <v>10</v>
      </c>
      <c r="K2167" s="254" t="s">
        <v>113</v>
      </c>
      <c r="L2167" s="254" t="s">
        <v>58</v>
      </c>
      <c r="M2167" s="254"/>
      <c r="N2167" s="371"/>
      <c r="O2167" s="396"/>
      <c r="P2167" s="397"/>
    </row>
    <row r="2168" spans="1:16" s="264" customFormat="1" ht="14" outlineLevel="2">
      <c r="A2168" s="297" t="s">
        <v>8</v>
      </c>
      <c r="B2168" s="307" t="s">
        <v>1080</v>
      </c>
      <c r="C2168" s="289" t="s">
        <v>1107</v>
      </c>
      <c r="D2168" s="290"/>
      <c r="E2168" s="290"/>
      <c r="F2168" s="290"/>
      <c r="G2168" s="290">
        <f t="shared" si="423"/>
        <v>0</v>
      </c>
      <c r="H2168" s="290">
        <f t="shared" si="424"/>
        <v>0</v>
      </c>
      <c r="I2168" s="291"/>
      <c r="J2168" s="254" t="s">
        <v>10</v>
      </c>
      <c r="K2168" s="254" t="s">
        <v>113</v>
      </c>
      <c r="L2168" s="254" t="s">
        <v>58</v>
      </c>
      <c r="M2168" s="254"/>
      <c r="N2168" s="371"/>
      <c r="O2168" s="396"/>
      <c r="P2168" s="397"/>
    </row>
    <row r="2169" spans="1:16" s="264" customFormat="1" ht="14" outlineLevel="2">
      <c r="A2169" s="297" t="s">
        <v>8</v>
      </c>
      <c r="B2169" s="307" t="s">
        <v>1081</v>
      </c>
      <c r="C2169" s="289" t="s">
        <v>1107</v>
      </c>
      <c r="D2169" s="290"/>
      <c r="E2169" s="290"/>
      <c r="F2169" s="290"/>
      <c r="G2169" s="290">
        <f t="shared" si="423"/>
        <v>0</v>
      </c>
      <c r="H2169" s="290">
        <f t="shared" si="424"/>
        <v>0</v>
      </c>
      <c r="I2169" s="291"/>
      <c r="J2169" s="254" t="s">
        <v>10</v>
      </c>
      <c r="K2169" s="254" t="s">
        <v>113</v>
      </c>
      <c r="L2169" s="254" t="s">
        <v>58</v>
      </c>
      <c r="M2169" s="254"/>
      <c r="N2169" s="371"/>
      <c r="O2169" s="396"/>
      <c r="P2169" s="397"/>
    </row>
    <row r="2170" spans="1:16" s="264" customFormat="1" ht="14" outlineLevel="2">
      <c r="A2170" s="297" t="s">
        <v>8</v>
      </c>
      <c r="B2170" s="307" t="s">
        <v>1082</v>
      </c>
      <c r="C2170" s="289" t="s">
        <v>1107</v>
      </c>
      <c r="D2170" s="290"/>
      <c r="E2170" s="290"/>
      <c r="F2170" s="290"/>
      <c r="G2170" s="290">
        <f t="shared" si="423"/>
        <v>0</v>
      </c>
      <c r="H2170" s="290">
        <f t="shared" si="424"/>
        <v>0</v>
      </c>
      <c r="I2170" s="291"/>
      <c r="J2170" s="254" t="s">
        <v>10</v>
      </c>
      <c r="K2170" s="254" t="s">
        <v>113</v>
      </c>
      <c r="L2170" s="254" t="s">
        <v>58</v>
      </c>
      <c r="M2170" s="254"/>
      <c r="N2170" s="371"/>
      <c r="O2170" s="396"/>
      <c r="P2170" s="397"/>
    </row>
    <row r="2171" spans="1:16" s="264" customFormat="1" ht="14" outlineLevel="2">
      <c r="A2171" s="297" t="s">
        <v>8</v>
      </c>
      <c r="B2171" s="307" t="s">
        <v>1083</v>
      </c>
      <c r="C2171" s="289" t="s">
        <v>1107</v>
      </c>
      <c r="D2171" s="290"/>
      <c r="E2171" s="290"/>
      <c r="F2171" s="290"/>
      <c r="G2171" s="290">
        <f t="shared" si="423"/>
        <v>0</v>
      </c>
      <c r="H2171" s="290">
        <f t="shared" si="424"/>
        <v>0</v>
      </c>
      <c r="I2171" s="291"/>
      <c r="J2171" s="254" t="s">
        <v>10</v>
      </c>
      <c r="K2171" s="254" t="s">
        <v>113</v>
      </c>
      <c r="L2171" s="254" t="s">
        <v>58</v>
      </c>
      <c r="M2171" s="254"/>
      <c r="N2171" s="371"/>
      <c r="O2171" s="396"/>
      <c r="P2171" s="397"/>
    </row>
    <row r="2172" spans="1:16" s="264" customFormat="1" ht="14" outlineLevel="2">
      <c r="A2172" s="297" t="s">
        <v>8</v>
      </c>
      <c r="B2172" s="307" t="s">
        <v>1084</v>
      </c>
      <c r="C2172" s="289" t="s">
        <v>1107</v>
      </c>
      <c r="D2172" s="290"/>
      <c r="E2172" s="290"/>
      <c r="F2172" s="290"/>
      <c r="G2172" s="290">
        <f t="shared" si="423"/>
        <v>0</v>
      </c>
      <c r="H2172" s="290">
        <f t="shared" si="424"/>
        <v>0</v>
      </c>
      <c r="I2172" s="291"/>
      <c r="J2172" s="254" t="s">
        <v>10</v>
      </c>
      <c r="K2172" s="254" t="s">
        <v>113</v>
      </c>
      <c r="L2172" s="254" t="s">
        <v>58</v>
      </c>
      <c r="M2172" s="254"/>
      <c r="N2172" s="371"/>
      <c r="O2172" s="396"/>
      <c r="P2172" s="397"/>
    </row>
    <row r="2173" spans="1:16" s="264" customFormat="1" ht="14" outlineLevel="2">
      <c r="A2173" s="297" t="s">
        <v>8</v>
      </c>
      <c r="B2173" s="307" t="s">
        <v>1085</v>
      </c>
      <c r="C2173" s="289" t="s">
        <v>1107</v>
      </c>
      <c r="D2173" s="290"/>
      <c r="E2173" s="290"/>
      <c r="F2173" s="290"/>
      <c r="G2173" s="290">
        <f t="shared" si="423"/>
        <v>0</v>
      </c>
      <c r="H2173" s="290">
        <f t="shared" si="424"/>
        <v>0</v>
      </c>
      <c r="I2173" s="291"/>
      <c r="J2173" s="254" t="s">
        <v>10</v>
      </c>
      <c r="K2173" s="254" t="s">
        <v>113</v>
      </c>
      <c r="L2173" s="254" t="s">
        <v>58</v>
      </c>
      <c r="M2173" s="254"/>
      <c r="N2173" s="371"/>
      <c r="O2173" s="396"/>
      <c r="P2173" s="397"/>
    </row>
    <row r="2174" spans="1:16" s="264" customFormat="1" ht="14" outlineLevel="2">
      <c r="A2174" s="297"/>
      <c r="B2174" s="307" t="s">
        <v>1086</v>
      </c>
      <c r="C2174" s="289" t="s">
        <v>1107</v>
      </c>
      <c r="D2174" s="290"/>
      <c r="E2174" s="290"/>
      <c r="F2174" s="290"/>
      <c r="G2174" s="290">
        <f t="shared" si="423"/>
        <v>0</v>
      </c>
      <c r="H2174" s="290">
        <f t="shared" si="424"/>
        <v>0</v>
      </c>
      <c r="I2174" s="291"/>
      <c r="J2174" s="254" t="s">
        <v>10</v>
      </c>
      <c r="K2174" s="254" t="s">
        <v>113</v>
      </c>
      <c r="L2174" s="254" t="s">
        <v>58</v>
      </c>
      <c r="M2174" s="254"/>
      <c r="N2174" s="371"/>
      <c r="O2174" s="396"/>
      <c r="P2174" s="397"/>
    </row>
    <row r="2175" spans="1:16" s="264" customFormat="1" ht="14" outlineLevel="2">
      <c r="A2175" s="297" t="s">
        <v>8</v>
      </c>
      <c r="B2175" s="307" t="s">
        <v>1087</v>
      </c>
      <c r="C2175" s="289" t="s">
        <v>1107</v>
      </c>
      <c r="D2175" s="290"/>
      <c r="E2175" s="290"/>
      <c r="F2175" s="290"/>
      <c r="G2175" s="290">
        <f t="shared" si="423"/>
        <v>0</v>
      </c>
      <c r="H2175" s="290">
        <f t="shared" si="424"/>
        <v>0</v>
      </c>
      <c r="I2175" s="291"/>
      <c r="J2175" s="254" t="s">
        <v>10</v>
      </c>
      <c r="K2175" s="254" t="s">
        <v>113</v>
      </c>
      <c r="L2175" s="254" t="s">
        <v>58</v>
      </c>
      <c r="M2175" s="254"/>
      <c r="N2175" s="371"/>
      <c r="O2175" s="396"/>
      <c r="P2175" s="397"/>
    </row>
    <row r="2176" spans="1:16" s="264" customFormat="1" ht="14" outlineLevel="2">
      <c r="A2176" s="297" t="s">
        <v>8</v>
      </c>
      <c r="B2176" s="307" t="s">
        <v>1088</v>
      </c>
      <c r="C2176" s="289" t="s">
        <v>1107</v>
      </c>
      <c r="D2176" s="290"/>
      <c r="E2176" s="290"/>
      <c r="F2176" s="290"/>
      <c r="G2176" s="290">
        <f t="shared" si="423"/>
        <v>0</v>
      </c>
      <c r="H2176" s="290">
        <f t="shared" si="424"/>
        <v>0</v>
      </c>
      <c r="I2176" s="291"/>
      <c r="J2176" s="254" t="s">
        <v>10</v>
      </c>
      <c r="K2176" s="254" t="s">
        <v>113</v>
      </c>
      <c r="L2176" s="254" t="s">
        <v>58</v>
      </c>
      <c r="M2176" s="254"/>
      <c r="N2176" s="371"/>
      <c r="O2176" s="396"/>
      <c r="P2176" s="397"/>
    </row>
    <row r="2177" spans="1:16" s="264" customFormat="1" ht="14" outlineLevel="2">
      <c r="A2177" s="297" t="s">
        <v>8</v>
      </c>
      <c r="B2177" s="307" t="s">
        <v>1089</v>
      </c>
      <c r="C2177" s="289" t="s">
        <v>1107</v>
      </c>
      <c r="D2177" s="290"/>
      <c r="E2177" s="290"/>
      <c r="F2177" s="290"/>
      <c r="G2177" s="290">
        <f t="shared" si="423"/>
        <v>0</v>
      </c>
      <c r="H2177" s="290">
        <f t="shared" si="424"/>
        <v>0</v>
      </c>
      <c r="I2177" s="291"/>
      <c r="J2177" s="254" t="s">
        <v>10</v>
      </c>
      <c r="K2177" s="254" t="s">
        <v>113</v>
      </c>
      <c r="L2177" s="254" t="s">
        <v>58</v>
      </c>
      <c r="M2177" s="254"/>
      <c r="N2177" s="371"/>
      <c r="O2177" s="396"/>
      <c r="P2177" s="397"/>
    </row>
    <row r="2178" spans="1:16" s="264" customFormat="1" ht="14" outlineLevel="2">
      <c r="A2178" s="297" t="s">
        <v>8</v>
      </c>
      <c r="B2178" s="307" t="s">
        <v>1090</v>
      </c>
      <c r="C2178" s="289" t="s">
        <v>48</v>
      </c>
      <c r="D2178" s="290"/>
      <c r="E2178" s="290"/>
      <c r="F2178" s="290"/>
      <c r="G2178" s="290">
        <f t="shared" si="423"/>
        <v>0</v>
      </c>
      <c r="H2178" s="290">
        <f t="shared" si="424"/>
        <v>0</v>
      </c>
      <c r="I2178" s="291"/>
      <c r="J2178" s="254" t="s">
        <v>10</v>
      </c>
      <c r="K2178" s="254" t="s">
        <v>113</v>
      </c>
      <c r="L2178" s="254" t="s">
        <v>58</v>
      </c>
      <c r="M2178" s="254"/>
      <c r="N2178" s="371"/>
      <c r="O2178" s="396"/>
      <c r="P2178" s="397"/>
    </row>
    <row r="2179" spans="1:16" s="264" customFormat="1" ht="14" outlineLevel="2">
      <c r="A2179" s="297" t="s">
        <v>8</v>
      </c>
      <c r="B2179" s="307" t="s">
        <v>1091</v>
      </c>
      <c r="C2179" s="289" t="s">
        <v>48</v>
      </c>
      <c r="D2179" s="290"/>
      <c r="E2179" s="290"/>
      <c r="F2179" s="290"/>
      <c r="G2179" s="290">
        <f t="shared" si="423"/>
        <v>0</v>
      </c>
      <c r="H2179" s="290">
        <f t="shared" si="424"/>
        <v>0</v>
      </c>
      <c r="I2179" s="291"/>
      <c r="J2179" s="254" t="s">
        <v>10</v>
      </c>
      <c r="K2179" s="254" t="s">
        <v>113</v>
      </c>
      <c r="L2179" s="254" t="s">
        <v>58</v>
      </c>
      <c r="M2179" s="254"/>
      <c r="N2179" s="371"/>
      <c r="O2179" s="396"/>
      <c r="P2179" s="397"/>
    </row>
    <row r="2180" spans="1:16" s="264" customFormat="1" ht="14" outlineLevel="2">
      <c r="A2180" s="297" t="s">
        <v>8</v>
      </c>
      <c r="B2180" s="307" t="s">
        <v>1092</v>
      </c>
      <c r="C2180" s="289" t="s">
        <v>48</v>
      </c>
      <c r="D2180" s="290"/>
      <c r="E2180" s="290"/>
      <c r="F2180" s="290"/>
      <c r="G2180" s="290">
        <f t="shared" si="423"/>
        <v>0</v>
      </c>
      <c r="H2180" s="290">
        <f t="shared" si="424"/>
        <v>0</v>
      </c>
      <c r="I2180" s="291"/>
      <c r="J2180" s="254" t="s">
        <v>10</v>
      </c>
      <c r="K2180" s="254" t="s">
        <v>113</v>
      </c>
      <c r="L2180" s="254" t="s">
        <v>58</v>
      </c>
      <c r="M2180" s="254"/>
      <c r="N2180" s="371"/>
      <c r="O2180" s="396"/>
      <c r="P2180" s="397"/>
    </row>
    <row r="2181" spans="1:16" s="264" customFormat="1" ht="14" outlineLevel="2">
      <c r="A2181" s="297" t="s">
        <v>8</v>
      </c>
      <c r="B2181" s="307" t="s">
        <v>1093</v>
      </c>
      <c r="C2181" s="289" t="s">
        <v>1107</v>
      </c>
      <c r="D2181" s="290"/>
      <c r="E2181" s="290"/>
      <c r="F2181" s="290"/>
      <c r="G2181" s="290">
        <f t="shared" si="423"/>
        <v>0</v>
      </c>
      <c r="H2181" s="290">
        <f t="shared" si="424"/>
        <v>0</v>
      </c>
      <c r="I2181" s="291"/>
      <c r="J2181" s="254" t="s">
        <v>10</v>
      </c>
      <c r="K2181" s="254" t="s">
        <v>113</v>
      </c>
      <c r="L2181" s="254" t="s">
        <v>58</v>
      </c>
      <c r="M2181" s="254"/>
      <c r="N2181" s="371"/>
      <c r="O2181" s="396"/>
      <c r="P2181" s="397"/>
    </row>
    <row r="2182" spans="1:16" s="264" customFormat="1" ht="14" outlineLevel="2">
      <c r="A2182" s="297" t="s">
        <v>8</v>
      </c>
      <c r="B2182" s="307" t="s">
        <v>1094</v>
      </c>
      <c r="C2182" s="289" t="s">
        <v>1107</v>
      </c>
      <c r="D2182" s="290"/>
      <c r="E2182" s="290"/>
      <c r="F2182" s="290"/>
      <c r="G2182" s="290">
        <f t="shared" si="423"/>
        <v>0</v>
      </c>
      <c r="H2182" s="290">
        <f t="shared" si="424"/>
        <v>0</v>
      </c>
      <c r="I2182" s="291"/>
      <c r="J2182" s="254" t="s">
        <v>10</v>
      </c>
      <c r="K2182" s="254" t="s">
        <v>113</v>
      </c>
      <c r="L2182" s="254" t="s">
        <v>58</v>
      </c>
      <c r="M2182" s="254"/>
      <c r="N2182" s="371"/>
      <c r="O2182" s="396"/>
      <c r="P2182" s="397"/>
    </row>
    <row r="2183" spans="1:16" s="264" customFormat="1" ht="14" outlineLevel="2">
      <c r="A2183" s="297"/>
      <c r="B2183" s="307" t="s">
        <v>1095</v>
      </c>
      <c r="C2183" s="289" t="s">
        <v>1097</v>
      </c>
      <c r="D2183" s="290"/>
      <c r="E2183" s="290"/>
      <c r="F2183" s="290"/>
      <c r="G2183" s="290">
        <f t="shared" si="423"/>
        <v>0</v>
      </c>
      <c r="H2183" s="290">
        <f t="shared" si="424"/>
        <v>0</v>
      </c>
      <c r="I2183" s="291"/>
      <c r="J2183" s="254" t="s">
        <v>10</v>
      </c>
      <c r="K2183" s="254" t="s">
        <v>113</v>
      </c>
      <c r="L2183" s="254" t="s">
        <v>58</v>
      </c>
      <c r="M2183" s="254"/>
      <c r="N2183" s="371"/>
      <c r="O2183" s="396"/>
      <c r="P2183" s="397"/>
    </row>
    <row r="2184" spans="1:16" s="264" customFormat="1" ht="14" outlineLevel="2">
      <c r="A2184" s="297" t="s">
        <v>8</v>
      </c>
      <c r="B2184" s="307" t="s">
        <v>1105</v>
      </c>
      <c r="C2184" s="289" t="s">
        <v>1107</v>
      </c>
      <c r="D2184" s="290"/>
      <c r="E2184" s="290"/>
      <c r="F2184" s="290"/>
      <c r="G2184" s="290">
        <f t="shared" si="423"/>
        <v>0</v>
      </c>
      <c r="H2184" s="290">
        <f t="shared" si="424"/>
        <v>0</v>
      </c>
      <c r="I2184" s="291"/>
      <c r="J2184" s="254" t="s">
        <v>10</v>
      </c>
      <c r="K2184" s="254" t="s">
        <v>113</v>
      </c>
      <c r="L2184" s="254" t="s">
        <v>58</v>
      </c>
      <c r="M2184" s="254"/>
      <c r="N2184" s="371"/>
      <c r="O2184" s="396"/>
      <c r="P2184" s="397"/>
    </row>
    <row r="2185" spans="1:16" s="264" customFormat="1" ht="14" outlineLevel="2">
      <c r="A2185" s="297"/>
      <c r="B2185" s="307" t="s">
        <v>1096</v>
      </c>
      <c r="C2185" s="289" t="s">
        <v>1098</v>
      </c>
      <c r="D2185" s="290"/>
      <c r="E2185" s="290"/>
      <c r="F2185" s="290"/>
      <c r="G2185" s="290">
        <f t="shared" si="423"/>
        <v>0</v>
      </c>
      <c r="H2185" s="290">
        <f t="shared" si="424"/>
        <v>0</v>
      </c>
      <c r="I2185" s="291"/>
      <c r="J2185" s="254" t="s">
        <v>10</v>
      </c>
      <c r="K2185" s="254" t="s">
        <v>113</v>
      </c>
      <c r="L2185" s="254" t="s">
        <v>58</v>
      </c>
      <c r="M2185" s="254"/>
      <c r="N2185" s="371"/>
      <c r="O2185" s="396"/>
      <c r="P2185" s="397"/>
    </row>
    <row r="2186" spans="1:16" s="264" customFormat="1" ht="14" outlineLevel="2">
      <c r="A2186" s="297" t="s">
        <v>8</v>
      </c>
      <c r="B2186" s="307" t="s">
        <v>1106</v>
      </c>
      <c r="C2186" s="289" t="s">
        <v>1098</v>
      </c>
      <c r="D2186" s="290"/>
      <c r="E2186" s="290"/>
      <c r="F2186" s="290"/>
      <c r="G2186" s="290">
        <f t="shared" si="423"/>
        <v>0</v>
      </c>
      <c r="H2186" s="290">
        <f t="shared" si="424"/>
        <v>0</v>
      </c>
      <c r="I2186" s="291"/>
      <c r="J2186" s="254" t="s">
        <v>10</v>
      </c>
      <c r="K2186" s="254" t="s">
        <v>113</v>
      </c>
      <c r="L2186" s="254" t="s">
        <v>58</v>
      </c>
      <c r="M2186" s="254"/>
      <c r="N2186" s="371"/>
      <c r="O2186" s="396"/>
      <c r="P2186" s="397"/>
    </row>
    <row r="2187" spans="1:16" s="277" customFormat="1" ht="14" outlineLevel="1">
      <c r="A2187" s="280">
        <v>6</v>
      </c>
      <c r="B2187" s="430" t="s">
        <v>1111</v>
      </c>
      <c r="C2187" s="295"/>
      <c r="D2187" s="283"/>
      <c r="E2187" s="283"/>
      <c r="F2187" s="301"/>
      <c r="G2187" s="283">
        <f>SUBTOTAL(9,G2188:G2201)</f>
        <v>150775.00668710814</v>
      </c>
      <c r="H2187" s="283">
        <f>SUBTOTAL(9,H2188:H2201)</f>
        <v>138392.37425740727</v>
      </c>
      <c r="I2187" s="284"/>
      <c r="J2187" s="254"/>
      <c r="K2187" s="254"/>
      <c r="L2187" s="254"/>
      <c r="M2187" s="275"/>
      <c r="N2187" s="371"/>
      <c r="O2187" s="396"/>
      <c r="P2187" s="397"/>
    </row>
    <row r="2188" spans="1:16" s="264" customFormat="1" ht="14" outlineLevel="2">
      <c r="A2188" s="297" t="s">
        <v>8</v>
      </c>
      <c r="B2188" s="307" t="s">
        <v>1113</v>
      </c>
      <c r="C2188" s="289" t="s">
        <v>1107</v>
      </c>
      <c r="D2188" s="290">
        <v>9</v>
      </c>
      <c r="E2188" s="290">
        <v>1</v>
      </c>
      <c r="F2188" s="290">
        <v>528.25172683479718</v>
      </c>
      <c r="G2188" s="290">
        <f t="shared" ref="G2188:G2201" si="425">F2188*D2188</f>
        <v>4754.2655415131749</v>
      </c>
      <c r="H2188" s="290">
        <f t="shared" ref="H2188:H2201" si="426">F2188*E2188</f>
        <v>528.25172683479718</v>
      </c>
      <c r="I2188" s="291"/>
      <c r="J2188" s="254" t="s">
        <v>10</v>
      </c>
      <c r="K2188" s="254" t="s">
        <v>112</v>
      </c>
      <c r="L2188" s="254" t="s">
        <v>58</v>
      </c>
      <c r="M2188" s="254"/>
      <c r="N2188" s="371"/>
      <c r="O2188" s="396"/>
      <c r="P2188" s="397"/>
    </row>
    <row r="2189" spans="1:16" s="264" customFormat="1" ht="14" outlineLevel="2">
      <c r="A2189" s="297" t="s">
        <v>8</v>
      </c>
      <c r="B2189" s="307" t="s">
        <v>1114</v>
      </c>
      <c r="C2189" s="289" t="s">
        <v>1107</v>
      </c>
      <c r="D2189" s="290"/>
      <c r="E2189" s="290"/>
      <c r="F2189" s="290">
        <v>570.53059373772396</v>
      </c>
      <c r="G2189" s="290">
        <f t="shared" si="425"/>
        <v>0</v>
      </c>
      <c r="H2189" s="290">
        <f t="shared" si="426"/>
        <v>0</v>
      </c>
      <c r="I2189" s="291"/>
      <c r="J2189" s="254" t="s">
        <v>10</v>
      </c>
      <c r="K2189" s="254" t="s">
        <v>112</v>
      </c>
      <c r="L2189" s="254" t="s">
        <v>58</v>
      </c>
      <c r="M2189" s="254"/>
      <c r="N2189" s="371"/>
      <c r="O2189" s="396"/>
      <c r="P2189" s="397"/>
    </row>
    <row r="2190" spans="1:16" s="264" customFormat="1" ht="14" outlineLevel="2">
      <c r="A2190" s="297" t="s">
        <v>8</v>
      </c>
      <c r="B2190" s="307" t="s">
        <v>1115</v>
      </c>
      <c r="C2190" s="289" t="s">
        <v>1107</v>
      </c>
      <c r="D2190" s="290">
        <v>63</v>
      </c>
      <c r="E2190" s="290">
        <v>17</v>
      </c>
      <c r="F2190" s="290">
        <v>572.09512312619222</v>
      </c>
      <c r="G2190" s="290">
        <f t="shared" si="425"/>
        <v>36041.992756950109</v>
      </c>
      <c r="H2190" s="290">
        <f t="shared" si="426"/>
        <v>9725.6170931452671</v>
      </c>
      <c r="I2190" s="291"/>
      <c r="J2190" s="254" t="s">
        <v>10</v>
      </c>
      <c r="K2190" s="254" t="s">
        <v>112</v>
      </c>
      <c r="L2190" s="254" t="s">
        <v>58</v>
      </c>
      <c r="M2190" s="254"/>
      <c r="N2190" s="371"/>
      <c r="O2190" s="396"/>
      <c r="P2190" s="397"/>
    </row>
    <row r="2191" spans="1:16" s="264" customFormat="1" ht="14" outlineLevel="2">
      <c r="A2191" s="297" t="s">
        <v>8</v>
      </c>
      <c r="B2191" s="307" t="s">
        <v>1116</v>
      </c>
      <c r="C2191" s="289" t="s">
        <v>1107</v>
      </c>
      <c r="D2191" s="290">
        <v>27</v>
      </c>
      <c r="E2191" s="290">
        <v>2</v>
      </c>
      <c r="F2191" s="290">
        <v>573.65965251466082</v>
      </c>
      <c r="G2191" s="290">
        <f t="shared" si="425"/>
        <v>15488.810617895842</v>
      </c>
      <c r="H2191" s="290">
        <f t="shared" si="426"/>
        <v>1147.3193050293216</v>
      </c>
      <c r="I2191" s="291"/>
      <c r="J2191" s="254" t="s">
        <v>10</v>
      </c>
      <c r="K2191" s="254" t="s">
        <v>112</v>
      </c>
      <c r="L2191" s="254" t="s">
        <v>58</v>
      </c>
      <c r="M2191" s="254"/>
      <c r="N2191" s="371"/>
      <c r="O2191" s="396"/>
      <c r="P2191" s="397"/>
    </row>
    <row r="2192" spans="1:16" s="264" customFormat="1" ht="14" outlineLevel="2">
      <c r="A2192" s="297" t="s">
        <v>8</v>
      </c>
      <c r="B2192" s="307" t="s">
        <v>1117</v>
      </c>
      <c r="C2192" s="289" t="s">
        <v>1107</v>
      </c>
      <c r="D2192" s="290">
        <v>3</v>
      </c>
      <c r="E2192" s="290">
        <v>1</v>
      </c>
      <c r="F2192" s="290">
        <v>575.22418190312953</v>
      </c>
      <c r="G2192" s="290">
        <f t="shared" si="425"/>
        <v>1725.6725457093885</v>
      </c>
      <c r="H2192" s="290">
        <f t="shared" si="426"/>
        <v>575.22418190312953</v>
      </c>
      <c r="I2192" s="291"/>
      <c r="J2192" s="254" t="s">
        <v>10</v>
      </c>
      <c r="K2192" s="254" t="s">
        <v>112</v>
      </c>
      <c r="L2192" s="254" t="s">
        <v>58</v>
      </c>
      <c r="M2192" s="254"/>
      <c r="N2192" s="371"/>
      <c r="O2192" s="396"/>
      <c r="P2192" s="397"/>
    </row>
    <row r="2193" spans="1:16" s="264" customFormat="1" ht="14" outlineLevel="2">
      <c r="A2193" s="297" t="s">
        <v>8</v>
      </c>
      <c r="B2193" s="307" t="s">
        <v>1118</v>
      </c>
      <c r="C2193" s="289" t="s">
        <v>1107</v>
      </c>
      <c r="D2193" s="290"/>
      <c r="E2193" s="290"/>
      <c r="F2193" s="290">
        <v>580.12095570340114</v>
      </c>
      <c r="G2193" s="290">
        <f t="shared" si="425"/>
        <v>0</v>
      </c>
      <c r="H2193" s="290">
        <f t="shared" si="426"/>
        <v>0</v>
      </c>
      <c r="I2193" s="291"/>
      <c r="J2193" s="254" t="s">
        <v>10</v>
      </c>
      <c r="K2193" s="254" t="s">
        <v>112</v>
      </c>
      <c r="L2193" s="254" t="s">
        <v>58</v>
      </c>
      <c r="M2193" s="254"/>
      <c r="N2193" s="371"/>
      <c r="O2193" s="396"/>
      <c r="P2193" s="397"/>
    </row>
    <row r="2194" spans="1:16" s="264" customFormat="1" ht="14" outlineLevel="2">
      <c r="A2194" s="297" t="s">
        <v>8</v>
      </c>
      <c r="B2194" s="307" t="s">
        <v>1119</v>
      </c>
      <c r="C2194" s="289" t="s">
        <v>1107</v>
      </c>
      <c r="D2194" s="290"/>
      <c r="E2194" s="290"/>
      <c r="F2194" s="290">
        <v>604.55392822336603</v>
      </c>
      <c r="G2194" s="290">
        <f t="shared" si="425"/>
        <v>0</v>
      </c>
      <c r="H2194" s="290">
        <f t="shared" si="426"/>
        <v>0</v>
      </c>
      <c r="I2194" s="291"/>
      <c r="J2194" s="254" t="s">
        <v>10</v>
      </c>
      <c r="K2194" s="254" t="s">
        <v>112</v>
      </c>
      <c r="L2194" s="254" t="s">
        <v>58</v>
      </c>
      <c r="M2194" s="254"/>
      <c r="N2194" s="371"/>
      <c r="O2194" s="396"/>
      <c r="P2194" s="397"/>
    </row>
    <row r="2195" spans="1:16" s="264" customFormat="1" ht="14" outlineLevel="2">
      <c r="A2195" s="297" t="s">
        <v>8</v>
      </c>
      <c r="B2195" s="307" t="s">
        <v>1120</v>
      </c>
      <c r="C2195" s="289" t="s">
        <v>1107</v>
      </c>
      <c r="D2195" s="290">
        <v>148</v>
      </c>
      <c r="E2195" s="290">
        <v>147</v>
      </c>
      <c r="F2195" s="290">
        <v>606.11845761183463</v>
      </c>
      <c r="G2195" s="290">
        <f t="shared" si="425"/>
        <v>89705.531726551519</v>
      </c>
      <c r="H2195" s="290">
        <f t="shared" si="426"/>
        <v>89099.413268939694</v>
      </c>
      <c r="I2195" s="291"/>
      <c r="J2195" s="254" t="s">
        <v>10</v>
      </c>
      <c r="K2195" s="254" t="s">
        <v>112</v>
      </c>
      <c r="L2195" s="254" t="s">
        <v>58</v>
      </c>
      <c r="M2195" s="254"/>
      <c r="N2195" s="371"/>
      <c r="O2195" s="396"/>
      <c r="P2195" s="397"/>
    </row>
    <row r="2196" spans="1:16" s="264" customFormat="1" ht="14" outlineLevel="2">
      <c r="A2196" s="297"/>
      <c r="B2196" s="307" t="s">
        <v>1121</v>
      </c>
      <c r="C2196" s="289" t="s">
        <v>1107</v>
      </c>
      <c r="D2196" s="290">
        <v>5</v>
      </c>
      <c r="E2196" s="290">
        <v>61</v>
      </c>
      <c r="F2196" s="290">
        <v>611.74669969762397</v>
      </c>
      <c r="G2196" s="290">
        <f t="shared" si="425"/>
        <v>3058.7334984881199</v>
      </c>
      <c r="H2196" s="290">
        <f t="shared" si="426"/>
        <v>37316.548681555061</v>
      </c>
      <c r="I2196" s="291"/>
      <c r="J2196" s="254" t="s">
        <v>10</v>
      </c>
      <c r="K2196" s="254" t="s">
        <v>112</v>
      </c>
      <c r="L2196" s="254" t="s">
        <v>58</v>
      </c>
      <c r="M2196" s="254"/>
      <c r="N2196" s="371"/>
      <c r="O2196" s="396"/>
      <c r="P2196" s="397"/>
    </row>
    <row r="2197" spans="1:16" s="264" customFormat="1" ht="14" outlineLevel="2">
      <c r="A2197" s="297" t="s">
        <v>8</v>
      </c>
      <c r="B2197" s="307" t="s">
        <v>1122</v>
      </c>
      <c r="C2197" s="289" t="s">
        <v>1107</v>
      </c>
      <c r="D2197" s="290"/>
      <c r="E2197" s="290"/>
      <c r="F2197" s="290">
        <v>613.31122908609245</v>
      </c>
      <c r="G2197" s="290">
        <f t="shared" si="425"/>
        <v>0</v>
      </c>
      <c r="H2197" s="290">
        <f t="shared" si="426"/>
        <v>0</v>
      </c>
      <c r="I2197" s="291"/>
      <c r="J2197" s="254" t="s">
        <v>10</v>
      </c>
      <c r="K2197" s="254" t="s">
        <v>112</v>
      </c>
      <c r="L2197" s="254" t="s">
        <v>58</v>
      </c>
      <c r="M2197" s="254"/>
      <c r="N2197" s="371"/>
      <c r="O2197" s="396"/>
      <c r="P2197" s="397"/>
    </row>
    <row r="2198" spans="1:16" s="264" customFormat="1" ht="14" outlineLevel="2">
      <c r="A2198" s="297" t="s">
        <v>8</v>
      </c>
      <c r="B2198" s="307" t="s">
        <v>1123</v>
      </c>
      <c r="C2198" s="289" t="s">
        <v>1107</v>
      </c>
      <c r="D2198" s="290"/>
      <c r="E2198" s="290"/>
      <c r="F2198" s="290"/>
      <c r="G2198" s="290">
        <f t="shared" si="425"/>
        <v>0</v>
      </c>
      <c r="H2198" s="290">
        <f t="shared" si="426"/>
        <v>0</v>
      </c>
      <c r="I2198" s="291"/>
      <c r="J2198" s="254" t="s">
        <v>10</v>
      </c>
      <c r="K2198" s="254" t="s">
        <v>112</v>
      </c>
      <c r="L2198" s="254" t="s">
        <v>58</v>
      </c>
      <c r="M2198" s="254"/>
      <c r="N2198" s="371"/>
      <c r="O2198" s="396"/>
      <c r="P2198" s="397"/>
    </row>
    <row r="2199" spans="1:16" s="264" customFormat="1" ht="14" outlineLevel="2">
      <c r="A2199" s="297" t="s">
        <v>8</v>
      </c>
      <c r="B2199" s="307" t="s">
        <v>1124</v>
      </c>
      <c r="C2199" s="289" t="s">
        <v>1107</v>
      </c>
      <c r="D2199" s="290"/>
      <c r="E2199" s="290"/>
      <c r="F2199" s="290">
        <v>2876.9230769230771</v>
      </c>
      <c r="G2199" s="290">
        <f t="shared" si="425"/>
        <v>0</v>
      </c>
      <c r="H2199" s="290">
        <f t="shared" si="426"/>
        <v>0</v>
      </c>
      <c r="I2199" s="291"/>
      <c r="J2199" s="254" t="s">
        <v>10</v>
      </c>
      <c r="K2199" s="254" t="s">
        <v>112</v>
      </c>
      <c r="L2199" s="254" t="s">
        <v>58</v>
      </c>
      <c r="M2199" s="254"/>
      <c r="N2199" s="371"/>
      <c r="O2199" s="396"/>
      <c r="P2199" s="397"/>
    </row>
    <row r="2200" spans="1:16" s="264" customFormat="1" ht="14" outlineLevel="2">
      <c r="A2200" s="297" t="s">
        <v>8</v>
      </c>
      <c r="B2200" s="307" t="s">
        <v>1125</v>
      </c>
      <c r="C2200" s="289" t="s">
        <v>48</v>
      </c>
      <c r="D2200" s="290"/>
      <c r="E2200" s="290"/>
      <c r="F2200" s="290">
        <v>737.00000000000011</v>
      </c>
      <c r="G2200" s="290">
        <f t="shared" si="425"/>
        <v>0</v>
      </c>
      <c r="H2200" s="290">
        <f t="shared" si="426"/>
        <v>0</v>
      </c>
      <c r="I2200" s="291"/>
      <c r="J2200" s="254" t="s">
        <v>10</v>
      </c>
      <c r="K2200" s="254" t="s">
        <v>112</v>
      </c>
      <c r="L2200" s="254" t="s">
        <v>58</v>
      </c>
      <c r="M2200" s="254"/>
      <c r="N2200" s="371"/>
      <c r="O2200" s="396"/>
      <c r="P2200" s="397"/>
    </row>
    <row r="2201" spans="1:16" s="264" customFormat="1" ht="14" outlineLevel="2">
      <c r="A2201" s="297" t="s">
        <v>8</v>
      </c>
      <c r="B2201" s="307" t="s">
        <v>1126</v>
      </c>
      <c r="C2201" s="289" t="s">
        <v>48</v>
      </c>
      <c r="D2201" s="290"/>
      <c r="E2201" s="290"/>
      <c r="F2201" s="290">
        <v>1184.6153846153848</v>
      </c>
      <c r="G2201" s="290">
        <f t="shared" si="425"/>
        <v>0</v>
      </c>
      <c r="H2201" s="290">
        <f t="shared" si="426"/>
        <v>0</v>
      </c>
      <c r="I2201" s="291"/>
      <c r="J2201" s="254" t="s">
        <v>10</v>
      </c>
      <c r="K2201" s="254" t="s">
        <v>112</v>
      </c>
      <c r="L2201" s="254" t="s">
        <v>58</v>
      </c>
      <c r="M2201" s="254"/>
      <c r="N2201" s="371"/>
      <c r="O2201" s="396"/>
      <c r="P2201" s="397"/>
    </row>
    <row r="2202" spans="1:16" s="277" customFormat="1" ht="14" outlineLevel="1">
      <c r="A2202" s="280">
        <v>7</v>
      </c>
      <c r="B2202" s="430" t="s">
        <v>1112</v>
      </c>
      <c r="C2202" s="295"/>
      <c r="D2202" s="283"/>
      <c r="E2202" s="283"/>
      <c r="F2202" s="301"/>
      <c r="G2202" s="283">
        <f>SUBTOTAL(9,G2203:G2216)</f>
        <v>0</v>
      </c>
      <c r="H2202" s="283">
        <f>SUBTOTAL(9,H2203:H2216)</f>
        <v>0</v>
      </c>
      <c r="I2202" s="284"/>
      <c r="J2202" s="254"/>
      <c r="K2202" s="254"/>
      <c r="L2202" s="254"/>
      <c r="M2202" s="275"/>
      <c r="N2202" s="371"/>
      <c r="O2202" s="396"/>
      <c r="P2202" s="397"/>
    </row>
    <row r="2203" spans="1:16" s="264" customFormat="1" ht="14" outlineLevel="2">
      <c r="A2203" s="297" t="s">
        <v>8</v>
      </c>
      <c r="B2203" s="307" t="s">
        <v>1113</v>
      </c>
      <c r="C2203" s="289" t="s">
        <v>1107</v>
      </c>
      <c r="D2203" s="290"/>
      <c r="E2203" s="290"/>
      <c r="F2203" s="290"/>
      <c r="G2203" s="290">
        <f t="shared" ref="G2203:G2216" si="427">F2203*D2203</f>
        <v>0</v>
      </c>
      <c r="H2203" s="290">
        <f t="shared" ref="H2203:H2216" si="428">F2203*E2203</f>
        <v>0</v>
      </c>
      <c r="I2203" s="291"/>
      <c r="J2203" s="254" t="s">
        <v>10</v>
      </c>
      <c r="K2203" s="254" t="s">
        <v>113</v>
      </c>
      <c r="L2203" s="254" t="s">
        <v>58</v>
      </c>
      <c r="M2203" s="254"/>
      <c r="N2203" s="371"/>
      <c r="O2203" s="396"/>
      <c r="P2203" s="397"/>
    </row>
    <row r="2204" spans="1:16" s="264" customFormat="1" ht="14" outlineLevel="2">
      <c r="A2204" s="297" t="s">
        <v>8</v>
      </c>
      <c r="B2204" s="307" t="s">
        <v>1114</v>
      </c>
      <c r="C2204" s="289" t="s">
        <v>1107</v>
      </c>
      <c r="D2204" s="290"/>
      <c r="E2204" s="290"/>
      <c r="F2204" s="290"/>
      <c r="G2204" s="290">
        <f t="shared" si="427"/>
        <v>0</v>
      </c>
      <c r="H2204" s="290">
        <f t="shared" si="428"/>
        <v>0</v>
      </c>
      <c r="I2204" s="291"/>
      <c r="J2204" s="254" t="s">
        <v>10</v>
      </c>
      <c r="K2204" s="254" t="s">
        <v>113</v>
      </c>
      <c r="L2204" s="254" t="s">
        <v>58</v>
      </c>
      <c r="M2204" s="254"/>
      <c r="N2204" s="371"/>
      <c r="O2204" s="396"/>
      <c r="P2204" s="397"/>
    </row>
    <row r="2205" spans="1:16" s="264" customFormat="1" ht="14" outlineLevel="2">
      <c r="A2205" s="297" t="s">
        <v>8</v>
      </c>
      <c r="B2205" s="307" t="s">
        <v>1115</v>
      </c>
      <c r="C2205" s="289" t="s">
        <v>1107</v>
      </c>
      <c r="D2205" s="290"/>
      <c r="E2205" s="290"/>
      <c r="F2205" s="290"/>
      <c r="G2205" s="290">
        <f t="shared" si="427"/>
        <v>0</v>
      </c>
      <c r="H2205" s="290">
        <f t="shared" si="428"/>
        <v>0</v>
      </c>
      <c r="I2205" s="291"/>
      <c r="J2205" s="254" t="s">
        <v>10</v>
      </c>
      <c r="K2205" s="254" t="s">
        <v>113</v>
      </c>
      <c r="L2205" s="254" t="s">
        <v>58</v>
      </c>
      <c r="M2205" s="254"/>
      <c r="N2205" s="371"/>
      <c r="O2205" s="396"/>
      <c r="P2205" s="397"/>
    </row>
    <row r="2206" spans="1:16" s="264" customFormat="1" ht="14" outlineLevel="2">
      <c r="A2206" s="297" t="s">
        <v>8</v>
      </c>
      <c r="B2206" s="307" t="s">
        <v>1116</v>
      </c>
      <c r="C2206" s="289" t="s">
        <v>1107</v>
      </c>
      <c r="D2206" s="290"/>
      <c r="E2206" s="290"/>
      <c r="F2206" s="290"/>
      <c r="G2206" s="290">
        <f t="shared" si="427"/>
        <v>0</v>
      </c>
      <c r="H2206" s="290">
        <f t="shared" si="428"/>
        <v>0</v>
      </c>
      <c r="I2206" s="291"/>
      <c r="J2206" s="254" t="s">
        <v>10</v>
      </c>
      <c r="K2206" s="254" t="s">
        <v>113</v>
      </c>
      <c r="L2206" s="254" t="s">
        <v>58</v>
      </c>
      <c r="M2206" s="254"/>
      <c r="N2206" s="371"/>
      <c r="O2206" s="396"/>
      <c r="P2206" s="397"/>
    </row>
    <row r="2207" spans="1:16" s="264" customFormat="1" ht="14" outlineLevel="2">
      <c r="A2207" s="297" t="s">
        <v>8</v>
      </c>
      <c r="B2207" s="307" t="s">
        <v>1117</v>
      </c>
      <c r="C2207" s="289" t="s">
        <v>1107</v>
      </c>
      <c r="D2207" s="290"/>
      <c r="E2207" s="290"/>
      <c r="F2207" s="290"/>
      <c r="G2207" s="290">
        <f t="shared" si="427"/>
        <v>0</v>
      </c>
      <c r="H2207" s="290">
        <f t="shared" si="428"/>
        <v>0</v>
      </c>
      <c r="I2207" s="291"/>
      <c r="J2207" s="254" t="s">
        <v>10</v>
      </c>
      <c r="K2207" s="254" t="s">
        <v>113</v>
      </c>
      <c r="L2207" s="254" t="s">
        <v>58</v>
      </c>
      <c r="M2207" s="254"/>
      <c r="N2207" s="371"/>
      <c r="O2207" s="396"/>
      <c r="P2207" s="397"/>
    </row>
    <row r="2208" spans="1:16" s="264" customFormat="1" ht="14" outlineLevel="2">
      <c r="A2208" s="297" t="s">
        <v>8</v>
      </c>
      <c r="B2208" s="307" t="s">
        <v>1118</v>
      </c>
      <c r="C2208" s="289" t="s">
        <v>1107</v>
      </c>
      <c r="D2208" s="290"/>
      <c r="E2208" s="290"/>
      <c r="F2208" s="290"/>
      <c r="G2208" s="290">
        <f t="shared" si="427"/>
        <v>0</v>
      </c>
      <c r="H2208" s="290">
        <f t="shared" si="428"/>
        <v>0</v>
      </c>
      <c r="I2208" s="291"/>
      <c r="J2208" s="254" t="s">
        <v>10</v>
      </c>
      <c r="K2208" s="254" t="s">
        <v>113</v>
      </c>
      <c r="L2208" s="254" t="s">
        <v>58</v>
      </c>
      <c r="M2208" s="254"/>
      <c r="N2208" s="371"/>
      <c r="O2208" s="396"/>
      <c r="P2208" s="397"/>
    </row>
    <row r="2209" spans="1:16" s="264" customFormat="1" ht="14" outlineLevel="2">
      <c r="A2209" s="297" t="s">
        <v>8</v>
      </c>
      <c r="B2209" s="307" t="s">
        <v>1119</v>
      </c>
      <c r="C2209" s="289" t="s">
        <v>1107</v>
      </c>
      <c r="D2209" s="290"/>
      <c r="E2209" s="290"/>
      <c r="F2209" s="290"/>
      <c r="G2209" s="290">
        <f t="shared" si="427"/>
        <v>0</v>
      </c>
      <c r="H2209" s="290">
        <f t="shared" si="428"/>
        <v>0</v>
      </c>
      <c r="I2209" s="291"/>
      <c r="J2209" s="254" t="s">
        <v>10</v>
      </c>
      <c r="K2209" s="254" t="s">
        <v>113</v>
      </c>
      <c r="L2209" s="254" t="s">
        <v>58</v>
      </c>
      <c r="M2209" s="254"/>
      <c r="N2209" s="371"/>
      <c r="O2209" s="396"/>
      <c r="P2209" s="397"/>
    </row>
    <row r="2210" spans="1:16" s="264" customFormat="1" ht="14" outlineLevel="2">
      <c r="A2210" s="297" t="s">
        <v>8</v>
      </c>
      <c r="B2210" s="307" t="s">
        <v>1120</v>
      </c>
      <c r="C2210" s="289" t="s">
        <v>1107</v>
      </c>
      <c r="D2210" s="290"/>
      <c r="E2210" s="290"/>
      <c r="F2210" s="290"/>
      <c r="G2210" s="290">
        <f t="shared" si="427"/>
        <v>0</v>
      </c>
      <c r="H2210" s="290">
        <f t="shared" si="428"/>
        <v>0</v>
      </c>
      <c r="I2210" s="291"/>
      <c r="J2210" s="254" t="s">
        <v>10</v>
      </c>
      <c r="K2210" s="254" t="s">
        <v>113</v>
      </c>
      <c r="L2210" s="254" t="s">
        <v>58</v>
      </c>
      <c r="M2210" s="254"/>
      <c r="N2210" s="371"/>
      <c r="O2210" s="396"/>
      <c r="P2210" s="397"/>
    </row>
    <row r="2211" spans="1:16" s="264" customFormat="1" ht="14" outlineLevel="2">
      <c r="A2211" s="297"/>
      <c r="B2211" s="307" t="s">
        <v>1121</v>
      </c>
      <c r="C2211" s="289" t="s">
        <v>1107</v>
      </c>
      <c r="D2211" s="290"/>
      <c r="E2211" s="290"/>
      <c r="F2211" s="290"/>
      <c r="G2211" s="290">
        <f t="shared" si="427"/>
        <v>0</v>
      </c>
      <c r="H2211" s="290">
        <f t="shared" si="428"/>
        <v>0</v>
      </c>
      <c r="I2211" s="291"/>
      <c r="J2211" s="254" t="s">
        <v>10</v>
      </c>
      <c r="K2211" s="254" t="s">
        <v>113</v>
      </c>
      <c r="L2211" s="254" t="s">
        <v>58</v>
      </c>
      <c r="M2211" s="254"/>
      <c r="N2211" s="371"/>
      <c r="O2211" s="396"/>
      <c r="P2211" s="397"/>
    </row>
    <row r="2212" spans="1:16" s="264" customFormat="1" ht="14" outlineLevel="2">
      <c r="A2212" s="297" t="s">
        <v>8</v>
      </c>
      <c r="B2212" s="307" t="s">
        <v>1122</v>
      </c>
      <c r="C2212" s="289" t="s">
        <v>1107</v>
      </c>
      <c r="D2212" s="290"/>
      <c r="E2212" s="290"/>
      <c r="F2212" s="290"/>
      <c r="G2212" s="290">
        <f t="shared" si="427"/>
        <v>0</v>
      </c>
      <c r="H2212" s="290">
        <f t="shared" si="428"/>
        <v>0</v>
      </c>
      <c r="I2212" s="291"/>
      <c r="J2212" s="254" t="s">
        <v>10</v>
      </c>
      <c r="K2212" s="254" t="s">
        <v>113</v>
      </c>
      <c r="L2212" s="254" t="s">
        <v>58</v>
      </c>
      <c r="M2212" s="254"/>
      <c r="N2212" s="371"/>
      <c r="O2212" s="396"/>
      <c r="P2212" s="397"/>
    </row>
    <row r="2213" spans="1:16" s="264" customFormat="1" ht="14" outlineLevel="2">
      <c r="A2213" s="297" t="s">
        <v>8</v>
      </c>
      <c r="B2213" s="307" t="s">
        <v>1123</v>
      </c>
      <c r="C2213" s="289" t="s">
        <v>1107</v>
      </c>
      <c r="D2213" s="290"/>
      <c r="E2213" s="290"/>
      <c r="F2213" s="290"/>
      <c r="G2213" s="290">
        <f t="shared" si="427"/>
        <v>0</v>
      </c>
      <c r="H2213" s="290">
        <f t="shared" si="428"/>
        <v>0</v>
      </c>
      <c r="I2213" s="291"/>
      <c r="J2213" s="254" t="s">
        <v>10</v>
      </c>
      <c r="K2213" s="254" t="s">
        <v>113</v>
      </c>
      <c r="L2213" s="254" t="s">
        <v>58</v>
      </c>
      <c r="M2213" s="254"/>
      <c r="N2213" s="371"/>
      <c r="O2213" s="396"/>
      <c r="P2213" s="397"/>
    </row>
    <row r="2214" spans="1:16" s="264" customFormat="1" ht="14" outlineLevel="2">
      <c r="A2214" s="297" t="s">
        <v>8</v>
      </c>
      <c r="B2214" s="307" t="s">
        <v>1124</v>
      </c>
      <c r="C2214" s="289" t="s">
        <v>1107</v>
      </c>
      <c r="D2214" s="290"/>
      <c r="E2214" s="290"/>
      <c r="F2214" s="290"/>
      <c r="G2214" s="290">
        <f t="shared" si="427"/>
        <v>0</v>
      </c>
      <c r="H2214" s="290">
        <f t="shared" si="428"/>
        <v>0</v>
      </c>
      <c r="I2214" s="291"/>
      <c r="J2214" s="254" t="s">
        <v>10</v>
      </c>
      <c r="K2214" s="254" t="s">
        <v>113</v>
      </c>
      <c r="L2214" s="254" t="s">
        <v>58</v>
      </c>
      <c r="M2214" s="254"/>
      <c r="N2214" s="371"/>
      <c r="O2214" s="396"/>
      <c r="P2214" s="397"/>
    </row>
    <row r="2215" spans="1:16" s="264" customFormat="1" ht="14" outlineLevel="2">
      <c r="A2215" s="297" t="s">
        <v>8</v>
      </c>
      <c r="B2215" s="307" t="s">
        <v>1125</v>
      </c>
      <c r="C2215" s="289" t="s">
        <v>48</v>
      </c>
      <c r="D2215" s="290"/>
      <c r="E2215" s="290"/>
      <c r="F2215" s="290"/>
      <c r="G2215" s="290">
        <f t="shared" si="427"/>
        <v>0</v>
      </c>
      <c r="H2215" s="290">
        <f t="shared" si="428"/>
        <v>0</v>
      </c>
      <c r="I2215" s="291"/>
      <c r="J2215" s="254" t="s">
        <v>10</v>
      </c>
      <c r="K2215" s="254" t="s">
        <v>113</v>
      </c>
      <c r="L2215" s="254" t="s">
        <v>58</v>
      </c>
      <c r="M2215" s="254"/>
      <c r="N2215" s="371"/>
      <c r="O2215" s="396"/>
      <c r="P2215" s="397"/>
    </row>
    <row r="2216" spans="1:16" s="264" customFormat="1" ht="14" outlineLevel="2">
      <c r="A2216" s="297" t="s">
        <v>8</v>
      </c>
      <c r="B2216" s="307" t="s">
        <v>1126</v>
      </c>
      <c r="C2216" s="289" t="s">
        <v>48</v>
      </c>
      <c r="D2216" s="290"/>
      <c r="E2216" s="290"/>
      <c r="F2216" s="290"/>
      <c r="G2216" s="290">
        <f t="shared" si="427"/>
        <v>0</v>
      </c>
      <c r="H2216" s="290">
        <f t="shared" si="428"/>
        <v>0</v>
      </c>
      <c r="I2216" s="291"/>
      <c r="J2216" s="254" t="s">
        <v>10</v>
      </c>
      <c r="K2216" s="254" t="s">
        <v>113</v>
      </c>
      <c r="L2216" s="254" t="s">
        <v>58</v>
      </c>
      <c r="M2216" s="254"/>
      <c r="N2216" s="371"/>
      <c r="O2216" s="396"/>
      <c r="P2216" s="397"/>
    </row>
    <row r="2217" spans="1:16" s="277" customFormat="1" ht="14" outlineLevel="1">
      <c r="A2217" s="280">
        <v>8</v>
      </c>
      <c r="B2217" s="430" t="s">
        <v>1127</v>
      </c>
      <c r="C2217" s="295"/>
      <c r="D2217" s="283"/>
      <c r="E2217" s="283"/>
      <c r="F2217" s="301"/>
      <c r="G2217" s="283">
        <f>SUBTOTAL(9,G2218:G2227)</f>
        <v>911731.65600000008</v>
      </c>
      <c r="H2217" s="283">
        <f>SUBTOTAL(9,H2218:H2227)</f>
        <v>37383.901500000007</v>
      </c>
      <c r="I2217" s="284"/>
      <c r="J2217" s="254"/>
      <c r="K2217" s="254"/>
      <c r="L2217" s="254"/>
      <c r="M2217" s="275"/>
      <c r="N2217" s="371"/>
      <c r="O2217" s="396"/>
      <c r="P2217" s="397"/>
    </row>
    <row r="2218" spans="1:16" s="264" customFormat="1" ht="14" outlineLevel="2">
      <c r="A2218" s="297" t="s">
        <v>8</v>
      </c>
      <c r="B2218" s="307" t="s">
        <v>1113</v>
      </c>
      <c r="C2218" s="289" t="s">
        <v>387</v>
      </c>
      <c r="D2218" s="290">
        <v>50.24</v>
      </c>
      <c r="E2218" s="290">
        <v>2.06</v>
      </c>
      <c r="F2218" s="290">
        <v>291.5</v>
      </c>
      <c r="G2218" s="290">
        <f t="shared" ref="G2218:G2227" si="429">F2218*D2218</f>
        <v>14644.960000000001</v>
      </c>
      <c r="H2218" s="290">
        <f t="shared" ref="H2218:H2227" si="430">F2218*E2218</f>
        <v>600.49</v>
      </c>
      <c r="I2218" s="291"/>
      <c r="J2218" s="254" t="s">
        <v>10</v>
      </c>
      <c r="K2218" s="254" t="s">
        <v>113</v>
      </c>
      <c r="L2218" s="254" t="s">
        <v>58</v>
      </c>
      <c r="M2218" s="254"/>
      <c r="N2218" s="371"/>
      <c r="O2218" s="396"/>
      <c r="P2218" s="397"/>
    </row>
    <row r="2219" spans="1:16" s="264" customFormat="1" ht="14" outlineLevel="2">
      <c r="A2219" s="297" t="s">
        <v>8</v>
      </c>
      <c r="B2219" s="307" t="s">
        <v>1114</v>
      </c>
      <c r="C2219" s="289" t="s">
        <v>387</v>
      </c>
      <c r="D2219" s="290">
        <v>75.36</v>
      </c>
      <c r="E2219" s="290">
        <v>3.09</v>
      </c>
      <c r="F2219" s="290">
        <v>313.5</v>
      </c>
      <c r="G2219" s="290">
        <f t="shared" si="429"/>
        <v>23625.360000000001</v>
      </c>
      <c r="H2219" s="290">
        <f t="shared" si="430"/>
        <v>968.71499999999992</v>
      </c>
      <c r="I2219" s="291"/>
      <c r="J2219" s="254" t="s">
        <v>10</v>
      </c>
      <c r="K2219" s="254" t="s">
        <v>113</v>
      </c>
      <c r="L2219" s="254" t="s">
        <v>58</v>
      </c>
      <c r="M2219" s="254"/>
      <c r="N2219" s="371"/>
      <c r="O2219" s="396"/>
      <c r="P2219" s="397"/>
    </row>
    <row r="2220" spans="1:16" s="264" customFormat="1" ht="14" outlineLevel="2">
      <c r="A2220" s="297" t="s">
        <v>8</v>
      </c>
      <c r="B2220" s="307" t="s">
        <v>1115</v>
      </c>
      <c r="C2220" s="289" t="s">
        <v>387</v>
      </c>
      <c r="D2220" s="290">
        <v>125.60000000000001</v>
      </c>
      <c r="E2220" s="290">
        <v>5.15</v>
      </c>
      <c r="F2220" s="290">
        <v>313.5</v>
      </c>
      <c r="G2220" s="290">
        <f t="shared" si="429"/>
        <v>39375.600000000006</v>
      </c>
      <c r="H2220" s="290">
        <f t="shared" si="430"/>
        <v>1614.5250000000001</v>
      </c>
      <c r="I2220" s="291"/>
      <c r="J2220" s="254" t="s">
        <v>10</v>
      </c>
      <c r="K2220" s="254" t="s">
        <v>113</v>
      </c>
      <c r="L2220" s="254" t="s">
        <v>58</v>
      </c>
      <c r="M2220" s="254"/>
      <c r="N2220" s="371"/>
      <c r="O2220" s="396"/>
      <c r="P2220" s="397"/>
    </row>
    <row r="2221" spans="1:16" s="264" customFormat="1" ht="14" outlineLevel="2">
      <c r="A2221" s="297" t="s">
        <v>8</v>
      </c>
      <c r="B2221" s="307" t="s">
        <v>1116</v>
      </c>
      <c r="C2221" s="289" t="s">
        <v>387</v>
      </c>
      <c r="D2221" s="290">
        <v>150.72</v>
      </c>
      <c r="E2221" s="290">
        <v>6.18</v>
      </c>
      <c r="F2221" s="290">
        <v>335.5</v>
      </c>
      <c r="G2221" s="290">
        <f t="shared" si="429"/>
        <v>50566.559999999998</v>
      </c>
      <c r="H2221" s="290">
        <f t="shared" si="430"/>
        <v>2073.39</v>
      </c>
      <c r="I2221" s="291"/>
      <c r="J2221" s="254" t="s">
        <v>10</v>
      </c>
      <c r="K2221" s="254" t="s">
        <v>113</v>
      </c>
      <c r="L2221" s="254" t="s">
        <v>58</v>
      </c>
      <c r="M2221" s="254"/>
      <c r="N2221" s="371"/>
      <c r="O2221" s="396"/>
      <c r="P2221" s="397"/>
    </row>
    <row r="2222" spans="1:16" s="264" customFormat="1" ht="14" outlineLevel="2">
      <c r="A2222" s="297" t="s">
        <v>8</v>
      </c>
      <c r="B2222" s="307" t="s">
        <v>1117</v>
      </c>
      <c r="C2222" s="289" t="s">
        <v>387</v>
      </c>
      <c r="D2222" s="290">
        <v>251.20000000000002</v>
      </c>
      <c r="E2222" s="290">
        <v>10.3</v>
      </c>
      <c r="F2222" s="290">
        <v>341</v>
      </c>
      <c r="G2222" s="290">
        <f t="shared" si="429"/>
        <v>85659.200000000012</v>
      </c>
      <c r="H2222" s="290">
        <f t="shared" si="430"/>
        <v>3512.3</v>
      </c>
      <c r="I2222" s="291"/>
      <c r="J2222" s="254" t="s">
        <v>10</v>
      </c>
      <c r="K2222" s="254" t="s">
        <v>113</v>
      </c>
      <c r="L2222" s="254" t="s">
        <v>58</v>
      </c>
      <c r="M2222" s="254"/>
      <c r="N2222" s="371"/>
      <c r="O2222" s="396"/>
      <c r="P2222" s="397"/>
    </row>
    <row r="2223" spans="1:16" s="264" customFormat="1" ht="14" outlineLevel="2">
      <c r="A2223" s="297" t="s">
        <v>8</v>
      </c>
      <c r="B2223" s="307" t="s">
        <v>1118</v>
      </c>
      <c r="C2223" s="289" t="s">
        <v>387</v>
      </c>
      <c r="D2223" s="290">
        <v>351.68</v>
      </c>
      <c r="E2223" s="290">
        <v>14.420000000000002</v>
      </c>
      <c r="F2223" s="290">
        <v>357.50000000000006</v>
      </c>
      <c r="G2223" s="290">
        <f t="shared" si="429"/>
        <v>125725.60000000002</v>
      </c>
      <c r="H2223" s="290">
        <f t="shared" si="430"/>
        <v>5155.1500000000015</v>
      </c>
      <c r="I2223" s="291"/>
      <c r="J2223" s="254" t="s">
        <v>10</v>
      </c>
      <c r="K2223" s="254" t="s">
        <v>113</v>
      </c>
      <c r="L2223" s="254" t="s">
        <v>58</v>
      </c>
      <c r="M2223" s="254"/>
      <c r="N2223" s="371"/>
      <c r="O2223" s="396"/>
      <c r="P2223" s="397"/>
    </row>
    <row r="2224" spans="1:16" s="264" customFormat="1" ht="14" outlineLevel="2">
      <c r="A2224" s="297" t="s">
        <v>8</v>
      </c>
      <c r="B2224" s="307" t="s">
        <v>1119</v>
      </c>
      <c r="C2224" s="289" t="s">
        <v>387</v>
      </c>
      <c r="D2224" s="290">
        <v>678.24</v>
      </c>
      <c r="E2224" s="290">
        <v>27.810000000000002</v>
      </c>
      <c r="F2224" s="290">
        <v>375.65000000000003</v>
      </c>
      <c r="G2224" s="290">
        <f t="shared" si="429"/>
        <v>254780.85600000003</v>
      </c>
      <c r="H2224" s="290">
        <f t="shared" si="430"/>
        <v>10446.826500000001</v>
      </c>
      <c r="I2224" s="291"/>
      <c r="J2224" s="254" t="s">
        <v>10</v>
      </c>
      <c r="K2224" s="254" t="s">
        <v>113</v>
      </c>
      <c r="L2224" s="254" t="s">
        <v>58</v>
      </c>
      <c r="M2224" s="254"/>
      <c r="N2224" s="371"/>
      <c r="O2224" s="396"/>
      <c r="P2224" s="397"/>
    </row>
    <row r="2225" spans="1:16" s="264" customFormat="1" ht="14" outlineLevel="2">
      <c r="A2225" s="297" t="s">
        <v>8</v>
      </c>
      <c r="B2225" s="307" t="s">
        <v>1120</v>
      </c>
      <c r="C2225" s="289" t="s">
        <v>387</v>
      </c>
      <c r="D2225" s="290">
        <v>577.76</v>
      </c>
      <c r="E2225" s="290">
        <v>23.69</v>
      </c>
      <c r="F2225" s="290">
        <v>379.50000000000006</v>
      </c>
      <c r="G2225" s="290">
        <f t="shared" si="429"/>
        <v>219259.92000000004</v>
      </c>
      <c r="H2225" s="290">
        <f t="shared" si="430"/>
        <v>8990.3550000000014</v>
      </c>
      <c r="I2225" s="291"/>
      <c r="J2225" s="254" t="s">
        <v>10</v>
      </c>
      <c r="K2225" s="254" t="s">
        <v>113</v>
      </c>
      <c r="L2225" s="254" t="s">
        <v>58</v>
      </c>
      <c r="M2225" s="254"/>
      <c r="N2225" s="371"/>
      <c r="O2225" s="396"/>
      <c r="P2225" s="397"/>
    </row>
    <row r="2226" spans="1:16" s="264" customFormat="1" ht="14" outlineLevel="2">
      <c r="A2226" s="297"/>
      <c r="B2226" s="307" t="s">
        <v>1121</v>
      </c>
      <c r="C2226" s="289" t="s">
        <v>387</v>
      </c>
      <c r="D2226" s="290">
        <v>175.84</v>
      </c>
      <c r="E2226" s="290">
        <v>7.2100000000000009</v>
      </c>
      <c r="F2226" s="290">
        <v>388.85</v>
      </c>
      <c r="G2226" s="290">
        <f t="shared" si="429"/>
        <v>68375.384000000005</v>
      </c>
      <c r="H2226" s="290">
        <f t="shared" si="430"/>
        <v>2803.6085000000003</v>
      </c>
      <c r="I2226" s="291"/>
      <c r="J2226" s="254" t="s">
        <v>10</v>
      </c>
      <c r="K2226" s="254" t="s">
        <v>113</v>
      </c>
      <c r="L2226" s="254" t="s">
        <v>58</v>
      </c>
      <c r="M2226" s="254"/>
      <c r="N2226" s="371"/>
      <c r="O2226" s="396"/>
      <c r="P2226" s="397"/>
    </row>
    <row r="2227" spans="1:16" s="264" customFormat="1" ht="14" outlineLevel="2">
      <c r="A2227" s="297" t="s">
        <v>8</v>
      </c>
      <c r="B2227" s="307" t="s">
        <v>1122</v>
      </c>
      <c r="C2227" s="289" t="s">
        <v>387</v>
      </c>
      <c r="D2227" s="290">
        <v>75.36</v>
      </c>
      <c r="E2227" s="290">
        <v>3.09</v>
      </c>
      <c r="F2227" s="290">
        <v>394.35</v>
      </c>
      <c r="G2227" s="290">
        <f t="shared" si="429"/>
        <v>29718.216</v>
      </c>
      <c r="H2227" s="290">
        <f t="shared" si="430"/>
        <v>1218.5415</v>
      </c>
      <c r="I2227" s="291"/>
      <c r="J2227" s="254" t="s">
        <v>10</v>
      </c>
      <c r="K2227" s="254" t="s">
        <v>113</v>
      </c>
      <c r="L2227" s="254" t="s">
        <v>58</v>
      </c>
      <c r="M2227" s="254"/>
      <c r="N2227" s="371"/>
      <c r="O2227" s="396"/>
      <c r="P2227" s="397"/>
    </row>
    <row r="2228" spans="1:16" s="277" customFormat="1" ht="14" outlineLevel="1">
      <c r="A2228" s="280">
        <v>9</v>
      </c>
      <c r="B2228" s="430" t="s">
        <v>1131</v>
      </c>
      <c r="C2228" s="295"/>
      <c r="D2228" s="283"/>
      <c r="E2228" s="283"/>
      <c r="F2228" s="301"/>
      <c r="G2228" s="283">
        <f>SUBTOTAL(9,G2229:G2239)</f>
        <v>686882.50399999996</v>
      </c>
      <c r="H2228" s="283">
        <f>SUBTOTAL(9,H2229:H2268)</f>
        <v>258575.46000000005</v>
      </c>
      <c r="I2228" s="284"/>
      <c r="J2228" s="254"/>
      <c r="K2228" s="254"/>
      <c r="L2228" s="254"/>
      <c r="M2228" s="275"/>
      <c r="N2228" s="371"/>
      <c r="O2228" s="396"/>
      <c r="P2228" s="397"/>
    </row>
    <row r="2229" spans="1:16" s="264" customFormat="1" ht="14" outlineLevel="2">
      <c r="A2229" s="297" t="s">
        <v>8</v>
      </c>
      <c r="B2229" s="307" t="s">
        <v>1128</v>
      </c>
      <c r="C2229" s="289" t="s">
        <v>387</v>
      </c>
      <c r="D2229" s="290">
        <v>41.44</v>
      </c>
      <c r="E2229" s="290">
        <v>3.02</v>
      </c>
      <c r="F2229" s="290">
        <v>265</v>
      </c>
      <c r="G2229" s="290">
        <f t="shared" ref="G2229:G2238" si="431">F2229*D2229</f>
        <v>10981.599999999999</v>
      </c>
      <c r="H2229" s="290">
        <f t="shared" ref="H2229:H2238" si="432">F2229*E2229</f>
        <v>800.3</v>
      </c>
      <c r="I2229" s="291"/>
      <c r="J2229" s="254" t="s">
        <v>10</v>
      </c>
      <c r="K2229" s="254" t="s">
        <v>113</v>
      </c>
      <c r="L2229" s="254" t="s">
        <v>58</v>
      </c>
      <c r="M2229" s="254"/>
      <c r="N2229" s="371"/>
      <c r="O2229" s="396"/>
      <c r="P2229" s="397"/>
    </row>
    <row r="2230" spans="1:16" s="264" customFormat="1" ht="14" outlineLevel="2">
      <c r="A2230" s="297" t="s">
        <v>8</v>
      </c>
      <c r="B2230" s="307" t="s">
        <v>1129</v>
      </c>
      <c r="C2230" s="289" t="s">
        <v>387</v>
      </c>
      <c r="D2230" s="290">
        <v>62.16</v>
      </c>
      <c r="E2230" s="290">
        <v>4.53</v>
      </c>
      <c r="F2230" s="290">
        <v>285</v>
      </c>
      <c r="G2230" s="290">
        <f t="shared" si="431"/>
        <v>17715.599999999999</v>
      </c>
      <c r="H2230" s="290">
        <f t="shared" si="432"/>
        <v>1291.0500000000002</v>
      </c>
      <c r="I2230" s="291"/>
      <c r="J2230" s="254" t="s">
        <v>10</v>
      </c>
      <c r="K2230" s="254" t="s">
        <v>113</v>
      </c>
      <c r="L2230" s="254" t="s">
        <v>58</v>
      </c>
      <c r="M2230" s="254"/>
      <c r="N2230" s="371"/>
      <c r="O2230" s="396"/>
      <c r="P2230" s="397"/>
    </row>
    <row r="2231" spans="1:16" s="264" customFormat="1" ht="14" outlineLevel="2">
      <c r="A2231" s="297" t="s">
        <v>8</v>
      </c>
      <c r="B2231" s="307" t="s">
        <v>1130</v>
      </c>
      <c r="C2231" s="289" t="s">
        <v>387</v>
      </c>
      <c r="D2231" s="290">
        <v>103.60000000000001</v>
      </c>
      <c r="E2231" s="290">
        <v>7.5500000000000007</v>
      </c>
      <c r="F2231" s="290">
        <v>285</v>
      </c>
      <c r="G2231" s="290">
        <f t="shared" si="431"/>
        <v>29526.000000000004</v>
      </c>
      <c r="H2231" s="290">
        <f t="shared" si="432"/>
        <v>2151.75</v>
      </c>
      <c r="I2231" s="291"/>
      <c r="J2231" s="254" t="s">
        <v>10</v>
      </c>
      <c r="K2231" s="254" t="s">
        <v>113</v>
      </c>
      <c r="L2231" s="254" t="s">
        <v>58</v>
      </c>
      <c r="M2231" s="254"/>
      <c r="N2231" s="371"/>
      <c r="O2231" s="396"/>
      <c r="P2231" s="397"/>
    </row>
    <row r="2232" spans="1:16" s="264" customFormat="1" ht="14" outlineLevel="2">
      <c r="A2232" s="297" t="s">
        <v>8</v>
      </c>
      <c r="B2232" s="307" t="s">
        <v>1114</v>
      </c>
      <c r="C2232" s="289" t="s">
        <v>387</v>
      </c>
      <c r="D2232" s="290">
        <v>124.32</v>
      </c>
      <c r="E2232" s="290">
        <v>9.06</v>
      </c>
      <c r="F2232" s="290">
        <v>305</v>
      </c>
      <c r="G2232" s="290">
        <f t="shared" si="431"/>
        <v>37917.599999999999</v>
      </c>
      <c r="H2232" s="290">
        <f t="shared" si="432"/>
        <v>2763.3</v>
      </c>
      <c r="I2232" s="291"/>
      <c r="J2232" s="254" t="s">
        <v>10</v>
      </c>
      <c r="K2232" s="254" t="s">
        <v>113</v>
      </c>
      <c r="L2232" s="254" t="s">
        <v>58</v>
      </c>
      <c r="M2232" s="254"/>
      <c r="N2232" s="371"/>
      <c r="O2232" s="396"/>
      <c r="P2232" s="397"/>
    </row>
    <row r="2233" spans="1:16" s="264" customFormat="1" ht="14" outlineLevel="2">
      <c r="A2233" s="297" t="s">
        <v>8</v>
      </c>
      <c r="B2233" s="307" t="s">
        <v>1115</v>
      </c>
      <c r="C2233" s="289" t="s">
        <v>387</v>
      </c>
      <c r="D2233" s="290">
        <v>207.20000000000002</v>
      </c>
      <c r="E2233" s="290">
        <v>15.100000000000001</v>
      </c>
      <c r="F2233" s="290">
        <v>310</v>
      </c>
      <c r="G2233" s="290">
        <f t="shared" si="431"/>
        <v>64232.000000000007</v>
      </c>
      <c r="H2233" s="290">
        <f t="shared" si="432"/>
        <v>4681</v>
      </c>
      <c r="I2233" s="291"/>
      <c r="J2233" s="254" t="s">
        <v>10</v>
      </c>
      <c r="K2233" s="254" t="s">
        <v>113</v>
      </c>
      <c r="L2233" s="254" t="s">
        <v>58</v>
      </c>
      <c r="M2233" s="254"/>
      <c r="N2233" s="371"/>
      <c r="O2233" s="396"/>
      <c r="P2233" s="397"/>
    </row>
    <row r="2234" spans="1:16" s="264" customFormat="1" ht="14" outlineLevel="2">
      <c r="A2234" s="297" t="s">
        <v>8</v>
      </c>
      <c r="B2234" s="307" t="s">
        <v>1116</v>
      </c>
      <c r="C2234" s="289" t="s">
        <v>387</v>
      </c>
      <c r="D2234" s="290">
        <v>290.08000000000004</v>
      </c>
      <c r="E2234" s="290">
        <v>21.14</v>
      </c>
      <c r="F2234" s="290">
        <v>325</v>
      </c>
      <c r="G2234" s="290">
        <f t="shared" si="431"/>
        <v>94276.000000000015</v>
      </c>
      <c r="H2234" s="290">
        <f t="shared" si="432"/>
        <v>6870.5</v>
      </c>
      <c r="I2234" s="291"/>
      <c r="J2234" s="254" t="s">
        <v>10</v>
      </c>
      <c r="K2234" s="254" t="s">
        <v>113</v>
      </c>
      <c r="L2234" s="254" t="s">
        <v>58</v>
      </c>
      <c r="M2234" s="254"/>
      <c r="N2234" s="371"/>
      <c r="O2234" s="396"/>
      <c r="P2234" s="397"/>
    </row>
    <row r="2235" spans="1:16" s="264" customFormat="1" ht="14" outlineLevel="2">
      <c r="A2235" s="297" t="s">
        <v>8</v>
      </c>
      <c r="B2235" s="307" t="s">
        <v>1118</v>
      </c>
      <c r="C2235" s="289" t="s">
        <v>387</v>
      </c>
      <c r="D2235" s="290">
        <v>518</v>
      </c>
      <c r="E2235" s="290">
        <v>37.75</v>
      </c>
      <c r="F2235" s="290">
        <v>341.5</v>
      </c>
      <c r="G2235" s="290">
        <f t="shared" si="431"/>
        <v>176897</v>
      </c>
      <c r="H2235" s="290">
        <f t="shared" si="432"/>
        <v>12891.625</v>
      </c>
      <c r="I2235" s="291"/>
      <c r="J2235" s="254" t="s">
        <v>10</v>
      </c>
      <c r="K2235" s="254" t="s">
        <v>113</v>
      </c>
      <c r="L2235" s="254" t="s">
        <v>58</v>
      </c>
      <c r="M2235" s="254"/>
      <c r="N2235" s="371"/>
      <c r="O2235" s="396"/>
      <c r="P2235" s="397"/>
    </row>
    <row r="2236" spans="1:16" s="264" customFormat="1" ht="14" outlineLevel="2">
      <c r="A2236" s="297" t="s">
        <v>8</v>
      </c>
      <c r="B2236" s="307" t="s">
        <v>1119</v>
      </c>
      <c r="C2236" s="289" t="s">
        <v>387</v>
      </c>
      <c r="D2236" s="290">
        <v>476.56</v>
      </c>
      <c r="E2236" s="290">
        <v>34.730000000000004</v>
      </c>
      <c r="F2236" s="290">
        <v>345</v>
      </c>
      <c r="G2236" s="290">
        <f t="shared" si="431"/>
        <v>164413.20000000001</v>
      </c>
      <c r="H2236" s="290">
        <f t="shared" si="432"/>
        <v>11981.850000000002</v>
      </c>
      <c r="I2236" s="291"/>
      <c r="J2236" s="254" t="s">
        <v>10</v>
      </c>
      <c r="K2236" s="254" t="s">
        <v>113</v>
      </c>
      <c r="L2236" s="254" t="s">
        <v>58</v>
      </c>
      <c r="M2236" s="254"/>
      <c r="N2236" s="371"/>
      <c r="O2236" s="396"/>
      <c r="P2236" s="397"/>
    </row>
    <row r="2237" spans="1:16" s="264" customFormat="1" ht="14" outlineLevel="2">
      <c r="A2237" s="297"/>
      <c r="B2237" s="307" t="s">
        <v>1120</v>
      </c>
      <c r="C2237" s="289" t="s">
        <v>387</v>
      </c>
      <c r="D2237" s="290">
        <v>145.04000000000002</v>
      </c>
      <c r="E2237" s="290">
        <v>10.57</v>
      </c>
      <c r="F2237" s="290">
        <v>353.5</v>
      </c>
      <c r="G2237" s="290">
        <f t="shared" si="431"/>
        <v>51271.640000000007</v>
      </c>
      <c r="H2237" s="290">
        <f t="shared" si="432"/>
        <v>3736.4949999999999</v>
      </c>
      <c r="I2237" s="291"/>
      <c r="J2237" s="254" t="s">
        <v>10</v>
      </c>
      <c r="K2237" s="254" t="s">
        <v>113</v>
      </c>
      <c r="L2237" s="254" t="s">
        <v>58</v>
      </c>
      <c r="M2237" s="254"/>
      <c r="N2237" s="371"/>
      <c r="O2237" s="396"/>
      <c r="P2237" s="397"/>
    </row>
    <row r="2238" spans="1:16" s="264" customFormat="1" ht="14" outlineLevel="2">
      <c r="A2238" s="297" t="s">
        <v>8</v>
      </c>
      <c r="B2238" s="307" t="s">
        <v>1121</v>
      </c>
      <c r="C2238" s="289" t="s">
        <v>387</v>
      </c>
      <c r="D2238" s="290">
        <v>62.16</v>
      </c>
      <c r="E2238" s="290">
        <v>4.53</v>
      </c>
      <c r="F2238" s="290">
        <v>375</v>
      </c>
      <c r="G2238" s="290">
        <f t="shared" si="431"/>
        <v>23310</v>
      </c>
      <c r="H2238" s="290">
        <f t="shared" si="432"/>
        <v>1698.75</v>
      </c>
      <c r="I2238" s="291"/>
      <c r="J2238" s="254" t="s">
        <v>10</v>
      </c>
      <c r="K2238" s="254" t="s">
        <v>113</v>
      </c>
      <c r="L2238" s="254" t="s">
        <v>58</v>
      </c>
      <c r="M2238" s="254"/>
      <c r="N2238" s="371"/>
      <c r="O2238" s="396"/>
      <c r="P2238" s="397"/>
    </row>
    <row r="2239" spans="1:16" s="264" customFormat="1" ht="14" outlineLevel="2">
      <c r="A2239" s="297" t="s">
        <v>8</v>
      </c>
      <c r="B2239" s="307" t="s">
        <v>1122</v>
      </c>
      <c r="C2239" s="289" t="s">
        <v>387</v>
      </c>
      <c r="D2239" s="290">
        <v>41.44</v>
      </c>
      <c r="E2239" s="290">
        <v>3.02</v>
      </c>
      <c r="F2239" s="290">
        <v>394.35</v>
      </c>
      <c r="G2239" s="290">
        <f t="shared" ref="G2239" si="433">F2239*D2239</f>
        <v>16341.864</v>
      </c>
      <c r="H2239" s="290">
        <f t="shared" ref="H2239" si="434">F2239*E2239</f>
        <v>1190.9370000000001</v>
      </c>
      <c r="I2239" s="291"/>
      <c r="J2239" s="254" t="s">
        <v>10</v>
      </c>
      <c r="K2239" s="254" t="s">
        <v>113</v>
      </c>
      <c r="L2239" s="254" t="s">
        <v>58</v>
      </c>
      <c r="M2239" s="254"/>
      <c r="N2239" s="371"/>
      <c r="O2239" s="396"/>
      <c r="P2239" s="397"/>
    </row>
    <row r="2240" spans="1:16" s="277" customFormat="1" ht="14" outlineLevel="1">
      <c r="A2240" s="280">
        <v>10</v>
      </c>
      <c r="B2240" s="430" t="s">
        <v>1132</v>
      </c>
      <c r="C2240" s="295"/>
      <c r="D2240" s="283"/>
      <c r="E2240" s="283"/>
      <c r="F2240" s="301"/>
      <c r="G2240" s="283">
        <f>SUBTOTAL(9,G2241:G2251)</f>
        <v>2142529.7409999999</v>
      </c>
      <c r="H2240" s="283">
        <f>SUBTOTAL(9,H2241:H2251)</f>
        <v>208517.90300000002</v>
      </c>
      <c r="I2240" s="284"/>
      <c r="J2240" s="254"/>
      <c r="K2240" s="254"/>
      <c r="L2240" s="254"/>
      <c r="M2240" s="275"/>
      <c r="N2240" s="371"/>
      <c r="O2240" s="396"/>
      <c r="P2240" s="397"/>
    </row>
    <row r="2241" spans="1:16" s="264" customFormat="1" ht="14" outlineLevel="2">
      <c r="A2241" s="297" t="s">
        <v>8</v>
      </c>
      <c r="B2241" s="307" t="s">
        <v>1128</v>
      </c>
      <c r="C2241" s="289" t="s">
        <v>387</v>
      </c>
      <c r="D2241" s="290">
        <v>129.26</v>
      </c>
      <c r="E2241" s="290">
        <v>12.58</v>
      </c>
      <c r="F2241" s="290">
        <v>265</v>
      </c>
      <c r="G2241" s="290">
        <f t="shared" ref="G2241:G2251" si="435">F2241*D2241</f>
        <v>34253.899999999994</v>
      </c>
      <c r="H2241" s="290">
        <f t="shared" ref="H2241:H2251" si="436">F2241*E2241</f>
        <v>3333.7</v>
      </c>
      <c r="I2241" s="291"/>
      <c r="J2241" s="254" t="s">
        <v>10</v>
      </c>
      <c r="K2241" s="254" t="s">
        <v>113</v>
      </c>
      <c r="L2241" s="254" t="s">
        <v>58</v>
      </c>
      <c r="M2241" s="254"/>
      <c r="N2241" s="371"/>
      <c r="O2241" s="396"/>
      <c r="P2241" s="397"/>
    </row>
    <row r="2242" spans="1:16" s="264" customFormat="1" ht="14" outlineLevel="2">
      <c r="A2242" s="297" t="s">
        <v>8</v>
      </c>
      <c r="B2242" s="307" t="s">
        <v>1129</v>
      </c>
      <c r="C2242" s="289" t="s">
        <v>387</v>
      </c>
      <c r="D2242" s="290">
        <v>193.89</v>
      </c>
      <c r="E2242" s="290">
        <v>18.87</v>
      </c>
      <c r="F2242" s="290">
        <v>285</v>
      </c>
      <c r="G2242" s="290">
        <f t="shared" si="435"/>
        <v>55258.649999999994</v>
      </c>
      <c r="H2242" s="290">
        <f t="shared" si="436"/>
        <v>5377.9500000000007</v>
      </c>
      <c r="I2242" s="291"/>
      <c r="J2242" s="254" t="s">
        <v>10</v>
      </c>
      <c r="K2242" s="254" t="s">
        <v>113</v>
      </c>
      <c r="L2242" s="254" t="s">
        <v>58</v>
      </c>
      <c r="M2242" s="254"/>
      <c r="N2242" s="371"/>
      <c r="O2242" s="396"/>
      <c r="P2242" s="397"/>
    </row>
    <row r="2243" spans="1:16" s="264" customFormat="1" ht="14" outlineLevel="2">
      <c r="A2243" s="297" t="s">
        <v>8</v>
      </c>
      <c r="B2243" s="307" t="s">
        <v>1130</v>
      </c>
      <c r="C2243" s="289" t="s">
        <v>387</v>
      </c>
      <c r="D2243" s="290">
        <v>323.15000000000003</v>
      </c>
      <c r="E2243" s="290">
        <v>31.450000000000003</v>
      </c>
      <c r="F2243" s="290">
        <v>285</v>
      </c>
      <c r="G2243" s="290">
        <f t="shared" si="435"/>
        <v>92097.750000000015</v>
      </c>
      <c r="H2243" s="290">
        <f t="shared" si="436"/>
        <v>8963.25</v>
      </c>
      <c r="I2243" s="291"/>
      <c r="J2243" s="254" t="s">
        <v>10</v>
      </c>
      <c r="K2243" s="254" t="s">
        <v>113</v>
      </c>
      <c r="L2243" s="254" t="s">
        <v>58</v>
      </c>
      <c r="M2243" s="254"/>
      <c r="N2243" s="371"/>
      <c r="O2243" s="396"/>
      <c r="P2243" s="397"/>
    </row>
    <row r="2244" spans="1:16" s="264" customFormat="1" ht="14" outlineLevel="2">
      <c r="A2244" s="297" t="s">
        <v>8</v>
      </c>
      <c r="B2244" s="307" t="s">
        <v>1114</v>
      </c>
      <c r="C2244" s="289" t="s">
        <v>387</v>
      </c>
      <c r="D2244" s="290">
        <v>387.78</v>
      </c>
      <c r="E2244" s="290">
        <v>37.74</v>
      </c>
      <c r="F2244" s="290">
        <v>305</v>
      </c>
      <c r="G2244" s="290">
        <f t="shared" si="435"/>
        <v>118272.9</v>
      </c>
      <c r="H2244" s="290">
        <f t="shared" si="436"/>
        <v>11510.7</v>
      </c>
      <c r="I2244" s="291"/>
      <c r="J2244" s="254" t="s">
        <v>10</v>
      </c>
      <c r="K2244" s="254" t="s">
        <v>113</v>
      </c>
      <c r="L2244" s="254" t="s">
        <v>58</v>
      </c>
      <c r="M2244" s="254"/>
      <c r="N2244" s="371"/>
      <c r="O2244" s="396"/>
      <c r="P2244" s="397"/>
    </row>
    <row r="2245" spans="1:16" s="264" customFormat="1" ht="14" outlineLevel="2">
      <c r="A2245" s="297" t="s">
        <v>8</v>
      </c>
      <c r="B2245" s="307" t="s">
        <v>1115</v>
      </c>
      <c r="C2245" s="289" t="s">
        <v>387</v>
      </c>
      <c r="D2245" s="290">
        <v>646.30000000000007</v>
      </c>
      <c r="E2245" s="290">
        <v>62.900000000000006</v>
      </c>
      <c r="F2245" s="290">
        <v>310</v>
      </c>
      <c r="G2245" s="290">
        <f t="shared" si="435"/>
        <v>200353.00000000003</v>
      </c>
      <c r="H2245" s="290">
        <f t="shared" si="436"/>
        <v>19499</v>
      </c>
      <c r="I2245" s="291"/>
      <c r="J2245" s="254" t="s">
        <v>10</v>
      </c>
      <c r="K2245" s="254" t="s">
        <v>113</v>
      </c>
      <c r="L2245" s="254" t="s">
        <v>58</v>
      </c>
      <c r="M2245" s="254"/>
      <c r="N2245" s="371"/>
      <c r="O2245" s="396"/>
      <c r="P2245" s="397"/>
    </row>
    <row r="2246" spans="1:16" s="264" customFormat="1" ht="14" outlineLevel="2">
      <c r="A2246" s="297" t="s">
        <v>8</v>
      </c>
      <c r="B2246" s="307" t="s">
        <v>1116</v>
      </c>
      <c r="C2246" s="289" t="s">
        <v>387</v>
      </c>
      <c r="D2246" s="290">
        <v>904.82</v>
      </c>
      <c r="E2246" s="290">
        <v>88.06</v>
      </c>
      <c r="F2246" s="290">
        <v>325</v>
      </c>
      <c r="G2246" s="290">
        <f t="shared" si="435"/>
        <v>294066.5</v>
      </c>
      <c r="H2246" s="290">
        <f t="shared" si="436"/>
        <v>28619.5</v>
      </c>
      <c r="I2246" s="291"/>
      <c r="J2246" s="254" t="s">
        <v>10</v>
      </c>
      <c r="K2246" s="254" t="s">
        <v>113</v>
      </c>
      <c r="L2246" s="254" t="s">
        <v>58</v>
      </c>
      <c r="M2246" s="254"/>
      <c r="N2246" s="371"/>
      <c r="O2246" s="396"/>
      <c r="P2246" s="397"/>
    </row>
    <row r="2247" spans="1:16" s="264" customFormat="1" ht="14" outlineLevel="2">
      <c r="A2247" s="297" t="s">
        <v>8</v>
      </c>
      <c r="B2247" s="307" t="s">
        <v>1118</v>
      </c>
      <c r="C2247" s="289" t="s">
        <v>387</v>
      </c>
      <c r="D2247" s="290">
        <v>1615.75</v>
      </c>
      <c r="E2247" s="290">
        <v>157.25</v>
      </c>
      <c r="F2247" s="290">
        <v>341.5</v>
      </c>
      <c r="G2247" s="290">
        <f t="shared" si="435"/>
        <v>551778.625</v>
      </c>
      <c r="H2247" s="290">
        <f t="shared" si="436"/>
        <v>53700.875</v>
      </c>
      <c r="I2247" s="291"/>
      <c r="J2247" s="254" t="s">
        <v>10</v>
      </c>
      <c r="K2247" s="254" t="s">
        <v>113</v>
      </c>
      <c r="L2247" s="254" t="s">
        <v>58</v>
      </c>
      <c r="M2247" s="254"/>
      <c r="N2247" s="371"/>
      <c r="O2247" s="396"/>
      <c r="P2247" s="397"/>
    </row>
    <row r="2248" spans="1:16" s="264" customFormat="1" ht="14" outlineLevel="2">
      <c r="A2248" s="297" t="s">
        <v>8</v>
      </c>
      <c r="B2248" s="307" t="s">
        <v>1119</v>
      </c>
      <c r="C2248" s="289" t="s">
        <v>387</v>
      </c>
      <c r="D2248" s="290">
        <v>1486.49</v>
      </c>
      <c r="E2248" s="290">
        <v>144.67000000000002</v>
      </c>
      <c r="F2248" s="290">
        <v>345</v>
      </c>
      <c r="G2248" s="290">
        <f t="shared" si="435"/>
        <v>512839.05</v>
      </c>
      <c r="H2248" s="290">
        <f t="shared" si="436"/>
        <v>49911.150000000009</v>
      </c>
      <c r="I2248" s="291"/>
      <c r="J2248" s="254" t="s">
        <v>10</v>
      </c>
      <c r="K2248" s="254" t="s">
        <v>113</v>
      </c>
      <c r="L2248" s="254" t="s">
        <v>58</v>
      </c>
      <c r="M2248" s="254"/>
      <c r="N2248" s="371"/>
      <c r="O2248" s="396"/>
      <c r="P2248" s="397"/>
    </row>
    <row r="2249" spans="1:16" s="264" customFormat="1" ht="14" outlineLevel="2">
      <c r="A2249" s="297"/>
      <c r="B2249" s="307" t="s">
        <v>1120</v>
      </c>
      <c r="C2249" s="289" t="s">
        <v>387</v>
      </c>
      <c r="D2249" s="290">
        <v>452.41</v>
      </c>
      <c r="E2249" s="290">
        <v>44.03</v>
      </c>
      <c r="F2249" s="290">
        <v>353.5</v>
      </c>
      <c r="G2249" s="290">
        <f t="shared" si="435"/>
        <v>159926.935</v>
      </c>
      <c r="H2249" s="290">
        <f t="shared" si="436"/>
        <v>15564.605</v>
      </c>
      <c r="I2249" s="291"/>
      <c r="J2249" s="254" t="s">
        <v>10</v>
      </c>
      <c r="K2249" s="254" t="s">
        <v>113</v>
      </c>
      <c r="L2249" s="254" t="s">
        <v>58</v>
      </c>
      <c r="M2249" s="254"/>
      <c r="N2249" s="371"/>
      <c r="O2249" s="396"/>
      <c r="P2249" s="397"/>
    </row>
    <row r="2250" spans="1:16" s="264" customFormat="1" ht="14" outlineLevel="2">
      <c r="A2250" s="297" t="s">
        <v>8</v>
      </c>
      <c r="B2250" s="307" t="s">
        <v>1121</v>
      </c>
      <c r="C2250" s="289" t="s">
        <v>387</v>
      </c>
      <c r="D2250" s="290">
        <v>193.89</v>
      </c>
      <c r="E2250" s="290">
        <v>18.87</v>
      </c>
      <c r="F2250" s="290">
        <v>375</v>
      </c>
      <c r="G2250" s="290">
        <f t="shared" si="435"/>
        <v>72708.75</v>
      </c>
      <c r="H2250" s="290">
        <f t="shared" si="436"/>
        <v>7076.25</v>
      </c>
      <c r="I2250" s="291"/>
      <c r="J2250" s="254" t="s">
        <v>10</v>
      </c>
      <c r="K2250" s="254" t="s">
        <v>113</v>
      </c>
      <c r="L2250" s="254" t="s">
        <v>58</v>
      </c>
      <c r="M2250" s="254"/>
      <c r="N2250" s="371"/>
      <c r="O2250" s="396"/>
      <c r="P2250" s="397"/>
    </row>
    <row r="2251" spans="1:16" s="264" customFormat="1" ht="14" outlineLevel="2">
      <c r="A2251" s="297" t="s">
        <v>8</v>
      </c>
      <c r="B2251" s="307" t="s">
        <v>1122</v>
      </c>
      <c r="C2251" s="289" t="s">
        <v>387</v>
      </c>
      <c r="D2251" s="290">
        <v>129.26</v>
      </c>
      <c r="E2251" s="290">
        <v>12.58</v>
      </c>
      <c r="F2251" s="290">
        <v>394.35</v>
      </c>
      <c r="G2251" s="290">
        <f t="shared" si="435"/>
        <v>50973.680999999997</v>
      </c>
      <c r="H2251" s="290">
        <f t="shared" si="436"/>
        <v>4960.9230000000007</v>
      </c>
      <c r="I2251" s="291"/>
      <c r="J2251" s="254" t="s">
        <v>10</v>
      </c>
      <c r="K2251" s="254" t="s">
        <v>113</v>
      </c>
      <c r="L2251" s="254" t="s">
        <v>58</v>
      </c>
      <c r="M2251" s="254"/>
      <c r="N2251" s="371"/>
      <c r="O2251" s="396"/>
      <c r="P2251" s="397"/>
    </row>
    <row r="2252" spans="1:16" s="277" customFormat="1" ht="14" outlineLevel="1">
      <c r="A2252" s="280">
        <v>11</v>
      </c>
      <c r="B2252" s="430" t="s">
        <v>1133</v>
      </c>
      <c r="C2252" s="295"/>
      <c r="D2252" s="283"/>
      <c r="E2252" s="283"/>
      <c r="F2252" s="301"/>
      <c r="G2252" s="283">
        <f>SUBTOTAL(9,G2253:G2292)</f>
        <v>0</v>
      </c>
      <c r="H2252" s="283">
        <f>SUBTOTAL(9,H2253:H2292)</f>
        <v>0</v>
      </c>
      <c r="I2252" s="284"/>
      <c r="J2252" s="254"/>
      <c r="K2252" s="254"/>
      <c r="L2252" s="254"/>
      <c r="M2252" s="275"/>
      <c r="N2252" s="371"/>
      <c r="O2252" s="396"/>
      <c r="P2252" s="397"/>
    </row>
    <row r="2253" spans="1:16" s="264" customFormat="1" ht="14" outlineLevel="2">
      <c r="A2253" s="297" t="s">
        <v>8</v>
      </c>
      <c r="B2253" s="307" t="s">
        <v>1128</v>
      </c>
      <c r="C2253" s="289" t="s">
        <v>387</v>
      </c>
      <c r="D2253" s="290"/>
      <c r="E2253" s="290"/>
      <c r="F2253" s="290"/>
      <c r="G2253" s="290">
        <f t="shared" ref="G2253:G2263" si="437">F2253*D2253</f>
        <v>0</v>
      </c>
      <c r="H2253" s="290">
        <f t="shared" ref="H2253:H2263" si="438">F2253*E2253</f>
        <v>0</v>
      </c>
      <c r="I2253" s="291"/>
      <c r="J2253" s="254" t="s">
        <v>10</v>
      </c>
      <c r="K2253" s="254" t="s">
        <v>113</v>
      </c>
      <c r="L2253" s="254" t="s">
        <v>58</v>
      </c>
      <c r="M2253" s="254"/>
      <c r="N2253" s="371"/>
      <c r="O2253" s="396"/>
      <c r="P2253" s="397"/>
    </row>
    <row r="2254" spans="1:16" s="264" customFormat="1" ht="14" outlineLevel="2">
      <c r="A2254" s="297" t="s">
        <v>8</v>
      </c>
      <c r="B2254" s="307" t="s">
        <v>1129</v>
      </c>
      <c r="C2254" s="289" t="s">
        <v>387</v>
      </c>
      <c r="D2254" s="290"/>
      <c r="E2254" s="290"/>
      <c r="F2254" s="290"/>
      <c r="G2254" s="290">
        <f t="shared" si="437"/>
        <v>0</v>
      </c>
      <c r="H2254" s="290">
        <f t="shared" si="438"/>
        <v>0</v>
      </c>
      <c r="I2254" s="291"/>
      <c r="J2254" s="254" t="s">
        <v>10</v>
      </c>
      <c r="K2254" s="254" t="s">
        <v>113</v>
      </c>
      <c r="L2254" s="254" t="s">
        <v>58</v>
      </c>
      <c r="M2254" s="254"/>
      <c r="N2254" s="371"/>
      <c r="O2254" s="396"/>
      <c r="P2254" s="397"/>
    </row>
    <row r="2255" spans="1:16" s="264" customFormat="1" ht="14" outlineLevel="2">
      <c r="A2255" s="297" t="s">
        <v>8</v>
      </c>
      <c r="B2255" s="307" t="s">
        <v>1130</v>
      </c>
      <c r="C2255" s="289" t="s">
        <v>387</v>
      </c>
      <c r="D2255" s="290"/>
      <c r="E2255" s="290"/>
      <c r="F2255" s="290"/>
      <c r="G2255" s="290">
        <f t="shared" si="437"/>
        <v>0</v>
      </c>
      <c r="H2255" s="290">
        <f t="shared" si="438"/>
        <v>0</v>
      </c>
      <c r="I2255" s="291"/>
      <c r="J2255" s="254" t="s">
        <v>10</v>
      </c>
      <c r="K2255" s="254" t="s">
        <v>113</v>
      </c>
      <c r="L2255" s="254" t="s">
        <v>58</v>
      </c>
      <c r="M2255" s="254"/>
      <c r="N2255" s="371"/>
      <c r="O2255" s="396"/>
      <c r="P2255" s="397"/>
    </row>
    <row r="2256" spans="1:16" s="264" customFormat="1" ht="14" outlineLevel="2">
      <c r="A2256" s="297" t="s">
        <v>8</v>
      </c>
      <c r="B2256" s="307" t="s">
        <v>1114</v>
      </c>
      <c r="C2256" s="289" t="s">
        <v>387</v>
      </c>
      <c r="D2256" s="290"/>
      <c r="E2256" s="290"/>
      <c r="F2256" s="290"/>
      <c r="G2256" s="290">
        <f t="shared" si="437"/>
        <v>0</v>
      </c>
      <c r="H2256" s="290">
        <f t="shared" si="438"/>
        <v>0</v>
      </c>
      <c r="I2256" s="291"/>
      <c r="J2256" s="254" t="s">
        <v>10</v>
      </c>
      <c r="K2256" s="254" t="s">
        <v>113</v>
      </c>
      <c r="L2256" s="254" t="s">
        <v>58</v>
      </c>
      <c r="M2256" s="254"/>
      <c r="N2256" s="371"/>
      <c r="O2256" s="396"/>
      <c r="P2256" s="397"/>
    </row>
    <row r="2257" spans="1:17" s="264" customFormat="1" ht="14" outlineLevel="2">
      <c r="A2257" s="297" t="s">
        <v>8</v>
      </c>
      <c r="B2257" s="307" t="s">
        <v>1115</v>
      </c>
      <c r="C2257" s="289" t="s">
        <v>387</v>
      </c>
      <c r="D2257" s="290"/>
      <c r="E2257" s="290"/>
      <c r="F2257" s="290"/>
      <c r="G2257" s="290">
        <f t="shared" si="437"/>
        <v>0</v>
      </c>
      <c r="H2257" s="290">
        <f t="shared" si="438"/>
        <v>0</v>
      </c>
      <c r="I2257" s="291"/>
      <c r="J2257" s="254" t="s">
        <v>10</v>
      </c>
      <c r="K2257" s="254" t="s">
        <v>113</v>
      </c>
      <c r="L2257" s="254" t="s">
        <v>58</v>
      </c>
      <c r="M2257" s="254"/>
      <c r="N2257" s="371"/>
      <c r="O2257" s="396"/>
      <c r="P2257" s="397"/>
    </row>
    <row r="2258" spans="1:17" s="264" customFormat="1" ht="14" outlineLevel="2">
      <c r="A2258" s="297" t="s">
        <v>8</v>
      </c>
      <c r="B2258" s="307" t="s">
        <v>1116</v>
      </c>
      <c r="C2258" s="289" t="s">
        <v>387</v>
      </c>
      <c r="D2258" s="290"/>
      <c r="E2258" s="290"/>
      <c r="F2258" s="290"/>
      <c r="G2258" s="290">
        <f t="shared" si="437"/>
        <v>0</v>
      </c>
      <c r="H2258" s="290">
        <f t="shared" si="438"/>
        <v>0</v>
      </c>
      <c r="I2258" s="291"/>
      <c r="J2258" s="254" t="s">
        <v>10</v>
      </c>
      <c r="K2258" s="254" t="s">
        <v>113</v>
      </c>
      <c r="L2258" s="254" t="s">
        <v>58</v>
      </c>
      <c r="M2258" s="254"/>
      <c r="N2258" s="371"/>
      <c r="O2258" s="396"/>
      <c r="P2258" s="397"/>
    </row>
    <row r="2259" spans="1:17" s="264" customFormat="1" ht="14" outlineLevel="2">
      <c r="A2259" s="297" t="s">
        <v>8</v>
      </c>
      <c r="B2259" s="307" t="s">
        <v>1118</v>
      </c>
      <c r="C2259" s="289" t="s">
        <v>387</v>
      </c>
      <c r="D2259" s="290"/>
      <c r="E2259" s="290"/>
      <c r="F2259" s="290"/>
      <c r="G2259" s="290">
        <f t="shared" si="437"/>
        <v>0</v>
      </c>
      <c r="H2259" s="290">
        <f t="shared" si="438"/>
        <v>0</v>
      </c>
      <c r="I2259" s="291"/>
      <c r="J2259" s="254" t="s">
        <v>10</v>
      </c>
      <c r="K2259" s="254" t="s">
        <v>113</v>
      </c>
      <c r="L2259" s="254" t="s">
        <v>58</v>
      </c>
      <c r="M2259" s="254"/>
      <c r="N2259" s="371"/>
      <c r="O2259" s="396"/>
      <c r="P2259" s="397"/>
    </row>
    <row r="2260" spans="1:17" s="264" customFormat="1" ht="14" outlineLevel="2">
      <c r="A2260" s="297" t="s">
        <v>8</v>
      </c>
      <c r="B2260" s="307" t="s">
        <v>1119</v>
      </c>
      <c r="C2260" s="289" t="s">
        <v>387</v>
      </c>
      <c r="D2260" s="290"/>
      <c r="E2260" s="290"/>
      <c r="F2260" s="290"/>
      <c r="G2260" s="290">
        <f t="shared" si="437"/>
        <v>0</v>
      </c>
      <c r="H2260" s="290">
        <f t="shared" si="438"/>
        <v>0</v>
      </c>
      <c r="I2260" s="291"/>
      <c r="J2260" s="254" t="s">
        <v>10</v>
      </c>
      <c r="K2260" s="254" t="s">
        <v>113</v>
      </c>
      <c r="L2260" s="254" t="s">
        <v>58</v>
      </c>
      <c r="M2260" s="254"/>
      <c r="N2260" s="371"/>
      <c r="O2260" s="396"/>
      <c r="P2260" s="397"/>
    </row>
    <row r="2261" spans="1:17" s="264" customFormat="1" ht="14" outlineLevel="2">
      <c r="A2261" s="297"/>
      <c r="B2261" s="307" t="s">
        <v>1120</v>
      </c>
      <c r="C2261" s="289" t="s">
        <v>387</v>
      </c>
      <c r="D2261" s="290"/>
      <c r="E2261" s="290"/>
      <c r="F2261" s="290"/>
      <c r="G2261" s="290">
        <f t="shared" si="437"/>
        <v>0</v>
      </c>
      <c r="H2261" s="290">
        <f t="shared" si="438"/>
        <v>0</v>
      </c>
      <c r="I2261" s="291"/>
      <c r="J2261" s="254" t="s">
        <v>10</v>
      </c>
      <c r="K2261" s="254" t="s">
        <v>113</v>
      </c>
      <c r="L2261" s="254" t="s">
        <v>58</v>
      </c>
      <c r="M2261" s="254"/>
      <c r="N2261" s="371"/>
      <c r="O2261" s="396"/>
      <c r="P2261" s="397"/>
    </row>
    <row r="2262" spans="1:17" s="264" customFormat="1" ht="14" outlineLevel="2">
      <c r="A2262" s="297" t="s">
        <v>8</v>
      </c>
      <c r="B2262" s="307" t="s">
        <v>1121</v>
      </c>
      <c r="C2262" s="289" t="s">
        <v>387</v>
      </c>
      <c r="D2262" s="290"/>
      <c r="E2262" s="290"/>
      <c r="F2262" s="290"/>
      <c r="G2262" s="290">
        <f t="shared" si="437"/>
        <v>0</v>
      </c>
      <c r="H2262" s="290">
        <f t="shared" si="438"/>
        <v>0</v>
      </c>
      <c r="I2262" s="291"/>
      <c r="J2262" s="254" t="s">
        <v>10</v>
      </c>
      <c r="K2262" s="254" t="s">
        <v>113</v>
      </c>
      <c r="L2262" s="254" t="s">
        <v>58</v>
      </c>
      <c r="M2262" s="254"/>
      <c r="N2262" s="371"/>
      <c r="O2262" s="396"/>
      <c r="P2262" s="397"/>
    </row>
    <row r="2263" spans="1:17" s="264" customFormat="1" ht="14" outlineLevel="2">
      <c r="A2263" s="297" t="s">
        <v>8</v>
      </c>
      <c r="B2263" s="307" t="s">
        <v>1122</v>
      </c>
      <c r="C2263" s="289" t="s">
        <v>387</v>
      </c>
      <c r="D2263" s="290"/>
      <c r="E2263" s="290"/>
      <c r="F2263" s="290"/>
      <c r="G2263" s="290">
        <f t="shared" si="437"/>
        <v>0</v>
      </c>
      <c r="H2263" s="290">
        <f t="shared" si="438"/>
        <v>0</v>
      </c>
      <c r="I2263" s="291"/>
      <c r="J2263" s="254" t="s">
        <v>10</v>
      </c>
      <c r="K2263" s="254" t="s">
        <v>113</v>
      </c>
      <c r="L2263" s="254" t="s">
        <v>58</v>
      </c>
      <c r="M2263" s="254"/>
      <c r="N2263" s="371"/>
      <c r="O2263" s="396"/>
      <c r="P2263" s="397"/>
    </row>
    <row r="2264" spans="1:17" s="305" customFormat="1" ht="14">
      <c r="A2264" s="317" t="s">
        <v>12</v>
      </c>
      <c r="B2264" s="318" t="s">
        <v>68</v>
      </c>
      <c r="C2264" s="319"/>
      <c r="D2264" s="320"/>
      <c r="E2264" s="320"/>
      <c r="F2264" s="321"/>
      <c r="G2264" s="403">
        <f>SUBTOTAL(9,G2265:G2269)</f>
        <v>0</v>
      </c>
      <c r="H2264" s="403">
        <f>SUBTOTAL(9,H2265:H2269)</f>
        <v>0</v>
      </c>
      <c r="I2264" s="320"/>
      <c r="J2264" s="303"/>
      <c r="K2264" s="311"/>
      <c r="L2264" s="311"/>
      <c r="M2264" s="302"/>
      <c r="N2264" s="404"/>
      <c r="O2264" s="326"/>
      <c r="P2264" s="327"/>
    </row>
    <row r="2265" spans="1:17" s="305" customFormat="1" ht="14" outlineLevel="1">
      <c r="A2265" s="280">
        <v>1</v>
      </c>
      <c r="B2265" s="405" t="s">
        <v>16</v>
      </c>
      <c r="C2265" s="341"/>
      <c r="D2265" s="331"/>
      <c r="E2265" s="331"/>
      <c r="F2265" s="301"/>
      <c r="G2265" s="331">
        <f>SUBTOTAL(9,G2266:G2267)</f>
        <v>0</v>
      </c>
      <c r="H2265" s="331">
        <f>SUBTOTAL(9,H2266:H2267)</f>
        <v>0</v>
      </c>
      <c r="I2265" s="406"/>
      <c r="J2265" s="303"/>
      <c r="K2265" s="304"/>
      <c r="L2265" s="308"/>
      <c r="M2265" s="325"/>
      <c r="N2265" s="326"/>
      <c r="O2265" s="330"/>
      <c r="P2265" s="306"/>
    </row>
    <row r="2266" spans="1:17" s="308" customFormat="1" ht="14" outlineLevel="2">
      <c r="A2266" s="280" t="s">
        <v>8</v>
      </c>
      <c r="B2266" s="407" t="s">
        <v>145</v>
      </c>
      <c r="C2266" s="289" t="s">
        <v>94</v>
      </c>
      <c r="D2266" s="290"/>
      <c r="E2266" s="290"/>
      <c r="F2266" s="290"/>
      <c r="G2266" s="290">
        <f t="shared" ref="G2266:G2267" si="439">F2266*D2266</f>
        <v>0</v>
      </c>
      <c r="H2266" s="290">
        <f t="shared" ref="H2266:H2267" si="440">F2266*E2266</f>
        <v>0</v>
      </c>
      <c r="I2266" s="291"/>
      <c r="J2266" s="254" t="s">
        <v>10</v>
      </c>
      <c r="K2266" s="303" t="s">
        <v>114</v>
      </c>
      <c r="L2266" s="303" t="s">
        <v>58</v>
      </c>
      <c r="M2266" s="325"/>
      <c r="N2266" s="326"/>
      <c r="O2266" s="330"/>
      <c r="P2266" s="309"/>
    </row>
    <row r="2267" spans="1:17" s="308" customFormat="1" ht="14" outlineLevel="2">
      <c r="A2267" s="280" t="s">
        <v>8</v>
      </c>
      <c r="B2267" s="407" t="s">
        <v>146</v>
      </c>
      <c r="C2267" s="289" t="s">
        <v>94</v>
      </c>
      <c r="D2267" s="290"/>
      <c r="E2267" s="290"/>
      <c r="F2267" s="290"/>
      <c r="G2267" s="290">
        <f t="shared" si="439"/>
        <v>0</v>
      </c>
      <c r="H2267" s="290">
        <f t="shared" si="440"/>
        <v>0</v>
      </c>
      <c r="I2267" s="291"/>
      <c r="J2267" s="254" t="s">
        <v>10</v>
      </c>
      <c r="K2267" s="303" t="s">
        <v>114</v>
      </c>
      <c r="L2267" s="303" t="s">
        <v>58</v>
      </c>
      <c r="M2267" s="325"/>
      <c r="N2267" s="326"/>
      <c r="O2267" s="330"/>
      <c r="P2267" s="309"/>
    </row>
    <row r="2268" spans="1:17" s="308" customFormat="1" ht="14" outlineLevel="1">
      <c r="A2268" s="280">
        <v>2</v>
      </c>
      <c r="B2268" s="405" t="s">
        <v>96</v>
      </c>
      <c r="C2268" s="341"/>
      <c r="D2268" s="331"/>
      <c r="E2268" s="331"/>
      <c r="F2268" s="301"/>
      <c r="G2268" s="331">
        <f>SUBTOTAL(9,G2269:G2269)</f>
        <v>0</v>
      </c>
      <c r="H2268" s="331">
        <f>SUBTOTAL(9,H2269:H2269)</f>
        <v>0</v>
      </c>
      <c r="I2268" s="406"/>
      <c r="J2268" s="303"/>
      <c r="K2268" s="303"/>
      <c r="M2268" s="325"/>
      <c r="N2268" s="326"/>
      <c r="O2268" s="330"/>
      <c r="P2268" s="309"/>
    </row>
    <row r="2269" spans="1:17" s="308" customFormat="1" ht="14" outlineLevel="2">
      <c r="A2269" s="297" t="s">
        <v>8</v>
      </c>
      <c r="B2269" s="407" t="s">
        <v>199</v>
      </c>
      <c r="C2269" s="289" t="s">
        <v>30</v>
      </c>
      <c r="D2269" s="290"/>
      <c r="E2269" s="290"/>
      <c r="F2269" s="290"/>
      <c r="G2269" s="290">
        <f>F2269*D2269</f>
        <v>0</v>
      </c>
      <c r="H2269" s="290">
        <f>F2269*E2269</f>
        <v>0</v>
      </c>
      <c r="I2269" s="291"/>
      <c r="J2269" s="254" t="s">
        <v>10</v>
      </c>
      <c r="K2269" s="303" t="s">
        <v>211</v>
      </c>
      <c r="L2269" s="303" t="s">
        <v>58</v>
      </c>
      <c r="M2269" s="325"/>
      <c r="N2269" s="326"/>
      <c r="O2269" s="330"/>
      <c r="P2269" s="309"/>
    </row>
    <row r="2270" spans="1:17" s="305" customFormat="1" ht="14">
      <c r="A2270" s="342" t="s">
        <v>19</v>
      </c>
      <c r="B2270" s="343" t="s">
        <v>59</v>
      </c>
      <c r="C2270" s="344"/>
      <c r="D2270" s="345"/>
      <c r="E2270" s="345"/>
      <c r="F2270" s="346"/>
      <c r="G2270" s="345">
        <f>SUBTOTAL(9,G2271:G2355)</f>
        <v>0</v>
      </c>
      <c r="H2270" s="408">
        <f>SUBTOTAL(9,H2271:H2355)</f>
        <v>0</v>
      </c>
      <c r="I2270" s="345"/>
      <c r="J2270" s="303"/>
      <c r="K2270" s="409"/>
      <c r="L2270" s="409"/>
      <c r="M2270" s="311"/>
      <c r="N2270" s="404"/>
      <c r="O2270" s="326"/>
      <c r="P2270" s="327"/>
    </row>
    <row r="2271" spans="1:17" s="308" customFormat="1" ht="14" outlineLevel="1">
      <c r="A2271" s="280">
        <v>1</v>
      </c>
      <c r="B2271" s="242" t="s">
        <v>272</v>
      </c>
      <c r="C2271" s="341"/>
      <c r="D2271" s="331"/>
      <c r="E2271" s="331"/>
      <c r="F2271" s="331"/>
      <c r="G2271" s="331">
        <f>SUBTOTAL(9,G2272:G2287)</f>
        <v>0</v>
      </c>
      <c r="H2271" s="283">
        <f>SUBTOTAL(9,H2272:H2287)</f>
        <v>0</v>
      </c>
      <c r="I2271" s="291"/>
      <c r="J2271" s="303"/>
      <c r="K2271" s="303"/>
      <c r="L2271" s="303"/>
      <c r="M2271" s="303"/>
      <c r="N2271" s="308" t="s">
        <v>112</v>
      </c>
      <c r="P2271" s="309"/>
      <c r="Q2271" s="348" t="s">
        <v>147</v>
      </c>
    </row>
    <row r="2272" spans="1:17" s="308" customFormat="1" ht="14" outlineLevel="2">
      <c r="A2272" s="280">
        <v>1.1000000000000001</v>
      </c>
      <c r="B2272" s="242" t="s">
        <v>60</v>
      </c>
      <c r="C2272" s="291"/>
      <c r="D2272" s="289"/>
      <c r="E2272" s="289"/>
      <c r="F2272" s="289"/>
      <c r="G2272" s="290">
        <f>F2272*D2272</f>
        <v>0</v>
      </c>
      <c r="H2272" s="290">
        <f>F2272*E2272</f>
        <v>0</v>
      </c>
      <c r="I2272" s="291"/>
      <c r="J2272" s="303"/>
      <c r="K2272" s="303"/>
      <c r="L2272" s="303"/>
      <c r="M2272" s="303"/>
      <c r="N2272" s="308" t="s">
        <v>112</v>
      </c>
      <c r="P2272" s="309"/>
      <c r="Q2272" s="348" t="s">
        <v>147</v>
      </c>
    </row>
    <row r="2273" spans="1:17" s="308" customFormat="1" ht="14" outlineLevel="3">
      <c r="A2273" s="292" t="s">
        <v>8</v>
      </c>
      <c r="B2273" s="340" t="s">
        <v>158</v>
      </c>
      <c r="C2273" s="289" t="s">
        <v>25</v>
      </c>
      <c r="D2273" s="290"/>
      <c r="E2273" s="290"/>
      <c r="F2273" s="290"/>
      <c r="G2273" s="290">
        <f t="shared" ref="G2273:G2274" si="441">F2273*D2273</f>
        <v>0</v>
      </c>
      <c r="H2273" s="290">
        <f t="shared" ref="H2273:H2274" si="442">F2273*E2273</f>
        <v>0</v>
      </c>
      <c r="I2273" s="291"/>
      <c r="J2273" s="254" t="s">
        <v>10</v>
      </c>
      <c r="K2273" s="303" t="s">
        <v>112</v>
      </c>
      <c r="L2273" s="303"/>
      <c r="M2273" s="303" t="s">
        <v>147</v>
      </c>
      <c r="N2273" s="325" t="s">
        <v>112</v>
      </c>
      <c r="P2273" s="309"/>
      <c r="Q2273" s="348" t="s">
        <v>147</v>
      </c>
    </row>
    <row r="2274" spans="1:17" s="308" customFormat="1" ht="14" outlineLevel="3">
      <c r="A2274" s="292" t="s">
        <v>8</v>
      </c>
      <c r="B2274" s="307" t="s">
        <v>130</v>
      </c>
      <c r="C2274" s="289" t="s">
        <v>25</v>
      </c>
      <c r="D2274" s="290"/>
      <c r="E2274" s="290"/>
      <c r="F2274" s="290"/>
      <c r="G2274" s="290">
        <f t="shared" si="441"/>
        <v>0</v>
      </c>
      <c r="H2274" s="290">
        <f t="shared" si="442"/>
        <v>0</v>
      </c>
      <c r="I2274" s="291"/>
      <c r="J2274" s="254" t="s">
        <v>10</v>
      </c>
      <c r="K2274" s="303" t="s">
        <v>112</v>
      </c>
      <c r="L2274" s="303"/>
      <c r="M2274" s="303" t="s">
        <v>147</v>
      </c>
      <c r="N2274" s="325" t="s">
        <v>112</v>
      </c>
      <c r="P2274" s="309"/>
      <c r="Q2274" s="348" t="s">
        <v>147</v>
      </c>
    </row>
    <row r="2275" spans="1:17" s="308" customFormat="1" ht="14" outlineLevel="3">
      <c r="A2275" s="292" t="s">
        <v>8</v>
      </c>
      <c r="B2275" s="242" t="s">
        <v>63</v>
      </c>
      <c r="C2275" s="291"/>
      <c r="D2275" s="289"/>
      <c r="E2275" s="289"/>
      <c r="F2275" s="289"/>
      <c r="G2275" s="290"/>
      <c r="H2275" s="290">
        <f>F2275*E2275</f>
        <v>0</v>
      </c>
      <c r="I2275" s="291"/>
      <c r="J2275" s="303"/>
      <c r="K2275" s="303"/>
      <c r="L2275" s="303"/>
      <c r="M2275" s="303"/>
      <c r="N2275" s="308" t="s">
        <v>112</v>
      </c>
      <c r="P2275" s="309"/>
      <c r="Q2275" s="348" t="s">
        <v>147</v>
      </c>
    </row>
    <row r="2276" spans="1:17" s="308" customFormat="1" ht="14" outlineLevel="3">
      <c r="A2276" s="280" t="s">
        <v>8</v>
      </c>
      <c r="B2276" s="340" t="s">
        <v>159</v>
      </c>
      <c r="C2276" s="289" t="s">
        <v>25</v>
      </c>
      <c r="D2276" s="290"/>
      <c r="E2276" s="290"/>
      <c r="F2276" s="290"/>
      <c r="G2276" s="290">
        <f>F2276*D2276</f>
        <v>0</v>
      </c>
      <c r="H2276" s="290">
        <f>F2276*E2276</f>
        <v>0</v>
      </c>
      <c r="I2276" s="291"/>
      <c r="J2276" s="254" t="s">
        <v>10</v>
      </c>
      <c r="K2276" s="303" t="s">
        <v>112</v>
      </c>
      <c r="L2276" s="303"/>
      <c r="M2276" s="303" t="s">
        <v>147</v>
      </c>
      <c r="N2276" s="325" t="s">
        <v>112</v>
      </c>
      <c r="P2276" s="309"/>
      <c r="Q2276" s="348" t="s">
        <v>147</v>
      </c>
    </row>
    <row r="2277" spans="1:17" s="308" customFormat="1" ht="14" outlineLevel="2">
      <c r="A2277" s="275">
        <v>1.2</v>
      </c>
      <c r="B2277" s="242" t="s">
        <v>64</v>
      </c>
      <c r="C2277" s="291"/>
      <c r="D2277" s="289"/>
      <c r="E2277" s="289"/>
      <c r="F2277" s="289"/>
      <c r="G2277" s="290">
        <f>F2277*D2277</f>
        <v>0</v>
      </c>
      <c r="H2277" s="290">
        <f>F2277*E2277</f>
        <v>0</v>
      </c>
      <c r="I2277" s="291"/>
      <c r="J2277" s="303"/>
      <c r="K2277" s="303"/>
      <c r="L2277" s="303"/>
      <c r="M2277" s="303"/>
      <c r="N2277" s="308" t="s">
        <v>112</v>
      </c>
      <c r="P2277" s="309"/>
      <c r="Q2277" s="348" t="s">
        <v>147</v>
      </c>
    </row>
    <row r="2278" spans="1:17" s="308" customFormat="1" ht="14" outlineLevel="3">
      <c r="A2278" s="292" t="s">
        <v>8</v>
      </c>
      <c r="B2278" s="307" t="s">
        <v>131</v>
      </c>
      <c r="C2278" s="289" t="s">
        <v>25</v>
      </c>
      <c r="D2278" s="290"/>
      <c r="E2278" s="290"/>
      <c r="F2278" s="290"/>
      <c r="G2278" s="290">
        <f>F2278*D2278</f>
        <v>0</v>
      </c>
      <c r="H2278" s="290">
        <f>F2278*E2278</f>
        <v>0</v>
      </c>
      <c r="I2278" s="291"/>
      <c r="J2278" s="254" t="s">
        <v>10</v>
      </c>
      <c r="K2278" s="303"/>
      <c r="L2278" s="303"/>
      <c r="M2278" s="303"/>
      <c r="N2278" s="308" t="s">
        <v>112</v>
      </c>
      <c r="P2278" s="309"/>
      <c r="Q2278" s="348" t="s">
        <v>147</v>
      </c>
    </row>
    <row r="2279" spans="1:17" s="308" customFormat="1" ht="14" outlineLevel="3">
      <c r="A2279" s="292" t="s">
        <v>8</v>
      </c>
      <c r="B2279" s="340" t="s">
        <v>160</v>
      </c>
      <c r="C2279" s="289" t="s">
        <v>25</v>
      </c>
      <c r="D2279" s="290"/>
      <c r="E2279" s="290"/>
      <c r="F2279" s="290"/>
      <c r="G2279" s="290">
        <f t="shared" ref="G2279:G2284" si="443">F2279*D2279</f>
        <v>0</v>
      </c>
      <c r="H2279" s="290">
        <f t="shared" ref="H2279:H2284" si="444">F2279*E2279</f>
        <v>0</v>
      </c>
      <c r="I2279" s="291"/>
      <c r="J2279" s="254" t="s">
        <v>10</v>
      </c>
      <c r="K2279" s="303" t="s">
        <v>112</v>
      </c>
      <c r="L2279" s="303"/>
      <c r="M2279" s="303" t="s">
        <v>147</v>
      </c>
      <c r="N2279" s="325" t="s">
        <v>112</v>
      </c>
      <c r="P2279" s="309"/>
      <c r="Q2279" s="348" t="s">
        <v>147</v>
      </c>
    </row>
    <row r="2280" spans="1:17" s="308" customFormat="1" ht="14" outlineLevel="3">
      <c r="A2280" s="292" t="s">
        <v>8</v>
      </c>
      <c r="B2280" s="340" t="s">
        <v>161</v>
      </c>
      <c r="C2280" s="289" t="s">
        <v>25</v>
      </c>
      <c r="D2280" s="290"/>
      <c r="E2280" s="290"/>
      <c r="F2280" s="290"/>
      <c r="G2280" s="290">
        <f t="shared" si="443"/>
        <v>0</v>
      </c>
      <c r="H2280" s="290">
        <f t="shared" si="444"/>
        <v>0</v>
      </c>
      <c r="I2280" s="291"/>
      <c r="J2280" s="254" t="s">
        <v>10</v>
      </c>
      <c r="K2280" s="303" t="s">
        <v>112</v>
      </c>
      <c r="L2280" s="303"/>
      <c r="M2280" s="303" t="s">
        <v>147</v>
      </c>
      <c r="N2280" s="325" t="s">
        <v>112</v>
      </c>
      <c r="P2280" s="309"/>
      <c r="Q2280" s="348" t="s">
        <v>147</v>
      </c>
    </row>
    <row r="2281" spans="1:17" s="308" customFormat="1" ht="14" outlineLevel="3">
      <c r="A2281" s="292" t="s">
        <v>8</v>
      </c>
      <c r="B2281" s="340" t="s">
        <v>162</v>
      </c>
      <c r="C2281" s="289" t="s">
        <v>25</v>
      </c>
      <c r="D2281" s="290"/>
      <c r="E2281" s="290"/>
      <c r="F2281" s="290"/>
      <c r="G2281" s="290">
        <f t="shared" si="443"/>
        <v>0</v>
      </c>
      <c r="H2281" s="290">
        <f t="shared" si="444"/>
        <v>0</v>
      </c>
      <c r="I2281" s="291"/>
      <c r="J2281" s="254" t="s">
        <v>10</v>
      </c>
      <c r="K2281" s="303" t="s">
        <v>112</v>
      </c>
      <c r="L2281" s="303"/>
      <c r="M2281" s="303" t="s">
        <v>147</v>
      </c>
      <c r="N2281" s="325" t="s">
        <v>112</v>
      </c>
      <c r="P2281" s="309"/>
      <c r="Q2281" s="348" t="s">
        <v>147</v>
      </c>
    </row>
    <row r="2282" spans="1:17" s="308" customFormat="1" ht="14" outlineLevel="3">
      <c r="A2282" s="292" t="s">
        <v>8</v>
      </c>
      <c r="B2282" s="340" t="s">
        <v>163</v>
      </c>
      <c r="C2282" s="289" t="s">
        <v>25</v>
      </c>
      <c r="D2282" s="290"/>
      <c r="E2282" s="290"/>
      <c r="F2282" s="290"/>
      <c r="G2282" s="290">
        <f t="shared" si="443"/>
        <v>0</v>
      </c>
      <c r="H2282" s="290">
        <f t="shared" si="444"/>
        <v>0</v>
      </c>
      <c r="I2282" s="291"/>
      <c r="J2282" s="254" t="s">
        <v>10</v>
      </c>
      <c r="K2282" s="303" t="s">
        <v>112</v>
      </c>
      <c r="L2282" s="303"/>
      <c r="M2282" s="303" t="s">
        <v>147</v>
      </c>
      <c r="N2282" s="325" t="s">
        <v>112</v>
      </c>
      <c r="P2282" s="309"/>
      <c r="Q2282" s="348" t="s">
        <v>147</v>
      </c>
    </row>
    <row r="2283" spans="1:17" s="308" customFormat="1" ht="14" outlineLevel="3">
      <c r="A2283" s="292" t="s">
        <v>8</v>
      </c>
      <c r="B2283" s="340" t="s">
        <v>164</v>
      </c>
      <c r="C2283" s="289" t="s">
        <v>25</v>
      </c>
      <c r="D2283" s="290"/>
      <c r="E2283" s="290"/>
      <c r="F2283" s="290"/>
      <c r="G2283" s="290">
        <f t="shared" si="443"/>
        <v>0</v>
      </c>
      <c r="H2283" s="290">
        <f t="shared" si="444"/>
        <v>0</v>
      </c>
      <c r="I2283" s="291"/>
      <c r="J2283" s="254" t="s">
        <v>10</v>
      </c>
      <c r="K2283" s="303" t="s">
        <v>112</v>
      </c>
      <c r="L2283" s="303"/>
      <c r="M2283" s="303" t="s">
        <v>147</v>
      </c>
      <c r="N2283" s="325"/>
      <c r="P2283" s="309"/>
      <c r="Q2283" s="348" t="s">
        <v>147</v>
      </c>
    </row>
    <row r="2284" spans="1:17" s="308" customFormat="1" ht="14" outlineLevel="3">
      <c r="A2284" s="292" t="s">
        <v>8</v>
      </c>
      <c r="B2284" s="340" t="s">
        <v>165</v>
      </c>
      <c r="C2284" s="289" t="s">
        <v>25</v>
      </c>
      <c r="D2284" s="290"/>
      <c r="E2284" s="290"/>
      <c r="F2284" s="290"/>
      <c r="G2284" s="290">
        <f t="shared" si="443"/>
        <v>0</v>
      </c>
      <c r="H2284" s="290">
        <f t="shared" si="444"/>
        <v>0</v>
      </c>
      <c r="I2284" s="291"/>
      <c r="J2284" s="254" t="s">
        <v>10</v>
      </c>
      <c r="K2284" s="303" t="s">
        <v>112</v>
      </c>
      <c r="L2284" s="303"/>
      <c r="M2284" s="303" t="s">
        <v>147</v>
      </c>
      <c r="N2284" s="325" t="s">
        <v>117</v>
      </c>
      <c r="P2284" s="309"/>
      <c r="Q2284" s="348" t="s">
        <v>147</v>
      </c>
    </row>
    <row r="2285" spans="1:17" s="308" customFormat="1" ht="14" outlineLevel="2">
      <c r="A2285" s="280">
        <v>1.3</v>
      </c>
      <c r="B2285" s="242" t="s">
        <v>65</v>
      </c>
      <c r="C2285" s="291"/>
      <c r="D2285" s="289"/>
      <c r="E2285" s="289"/>
      <c r="F2285" s="289"/>
      <c r="G2285" s="290">
        <f>F2285*D2285</f>
        <v>0</v>
      </c>
      <c r="H2285" s="290">
        <f>F2285*E2285</f>
        <v>0</v>
      </c>
      <c r="I2285" s="291"/>
      <c r="J2285" s="303"/>
      <c r="K2285" s="303"/>
      <c r="L2285" s="303"/>
      <c r="M2285" s="303"/>
      <c r="N2285" s="308" t="s">
        <v>117</v>
      </c>
      <c r="P2285" s="309"/>
      <c r="Q2285" s="348" t="s">
        <v>147</v>
      </c>
    </row>
    <row r="2286" spans="1:17" s="308" customFormat="1" ht="14" outlineLevel="3">
      <c r="A2286" s="292" t="s">
        <v>8</v>
      </c>
      <c r="B2286" s="307" t="s">
        <v>49</v>
      </c>
      <c r="C2286" s="289" t="s">
        <v>48</v>
      </c>
      <c r="D2286" s="290"/>
      <c r="E2286" s="290"/>
      <c r="F2286" s="290"/>
      <c r="G2286" s="290">
        <f t="shared" ref="G2286:G2287" si="445">F2286*D2286</f>
        <v>0</v>
      </c>
      <c r="H2286" s="290">
        <f t="shared" ref="H2286:H2287" si="446">F2286*E2286</f>
        <v>0</v>
      </c>
      <c r="I2286" s="291"/>
      <c r="J2286" s="254" t="s">
        <v>10</v>
      </c>
      <c r="K2286" s="303" t="s">
        <v>112</v>
      </c>
      <c r="L2286" s="303"/>
      <c r="M2286" s="303" t="s">
        <v>147</v>
      </c>
      <c r="N2286" s="325" t="s">
        <v>117</v>
      </c>
      <c r="P2286" s="309"/>
      <c r="Q2286" s="348" t="s">
        <v>147</v>
      </c>
    </row>
    <row r="2287" spans="1:17" s="308" customFormat="1" ht="14" outlineLevel="3">
      <c r="A2287" s="292" t="s">
        <v>8</v>
      </c>
      <c r="B2287" s="307" t="s">
        <v>50</v>
      </c>
      <c r="C2287" s="289" t="s">
        <v>48</v>
      </c>
      <c r="D2287" s="290"/>
      <c r="E2287" s="290"/>
      <c r="F2287" s="290"/>
      <c r="G2287" s="290">
        <f t="shared" si="445"/>
        <v>0</v>
      </c>
      <c r="H2287" s="290">
        <f t="shared" si="446"/>
        <v>0</v>
      </c>
      <c r="I2287" s="291"/>
      <c r="J2287" s="254" t="s">
        <v>10</v>
      </c>
      <c r="K2287" s="303" t="s">
        <v>112</v>
      </c>
      <c r="L2287" s="303"/>
      <c r="M2287" s="303" t="s">
        <v>147</v>
      </c>
      <c r="N2287" s="325" t="s">
        <v>117</v>
      </c>
      <c r="P2287" s="309"/>
      <c r="Q2287" s="348" t="s">
        <v>147</v>
      </c>
    </row>
    <row r="2288" spans="1:17" s="305" customFormat="1" ht="14" outlineLevel="1">
      <c r="A2288" s="328">
        <v>2</v>
      </c>
      <c r="B2288" s="242" t="s">
        <v>129</v>
      </c>
      <c r="C2288" s="341"/>
      <c r="D2288" s="331"/>
      <c r="E2288" s="331"/>
      <c r="F2288" s="331"/>
      <c r="G2288" s="331">
        <f>SUBTOTAL(9,G2290:G2306)</f>
        <v>0</v>
      </c>
      <c r="H2288" s="283">
        <f>SUBTOTAL(9,H2290:H2306)</f>
        <v>0</v>
      </c>
      <c r="I2288" s="284"/>
      <c r="J2288" s="303"/>
      <c r="K2288" s="410"/>
      <c r="L2288" s="303"/>
      <c r="M2288" s="304"/>
      <c r="N2288" s="305" t="s">
        <v>117</v>
      </c>
      <c r="P2288" s="306"/>
      <c r="Q2288" s="348" t="s">
        <v>147</v>
      </c>
    </row>
    <row r="2289" spans="1:17" s="308" customFormat="1" ht="14" outlineLevel="2">
      <c r="A2289" s="292">
        <v>2.1</v>
      </c>
      <c r="B2289" s="242" t="s">
        <v>61</v>
      </c>
      <c r="C2289" s="291"/>
      <c r="D2289" s="289"/>
      <c r="E2289" s="289"/>
      <c r="F2289" s="289"/>
      <c r="G2289" s="290"/>
      <c r="H2289" s="290"/>
      <c r="I2289" s="291"/>
      <c r="J2289" s="303"/>
      <c r="K2289" s="410"/>
      <c r="L2289" s="303"/>
      <c r="M2289" s="303"/>
      <c r="N2289" s="308" t="s">
        <v>117</v>
      </c>
      <c r="P2289" s="309"/>
      <c r="Q2289" s="348" t="s">
        <v>147</v>
      </c>
    </row>
    <row r="2290" spans="1:17" s="308" customFormat="1" ht="14" outlineLevel="3">
      <c r="A2290" s="292"/>
      <c r="B2290" s="411" t="s">
        <v>62</v>
      </c>
      <c r="C2290" s="291"/>
      <c r="D2290" s="289"/>
      <c r="E2290" s="289"/>
      <c r="F2290" s="289"/>
      <c r="G2290" s="290"/>
      <c r="H2290" s="290"/>
      <c r="I2290" s="291"/>
      <c r="J2290" s="303"/>
      <c r="K2290" s="410"/>
      <c r="L2290" s="303"/>
      <c r="M2290" s="303"/>
      <c r="N2290" s="308" t="s">
        <v>117</v>
      </c>
      <c r="P2290" s="309"/>
      <c r="Q2290" s="348" t="s">
        <v>147</v>
      </c>
    </row>
    <row r="2291" spans="1:17" s="308" customFormat="1" ht="14" outlineLevel="3">
      <c r="A2291" s="292"/>
      <c r="B2291" s="340" t="s">
        <v>158</v>
      </c>
      <c r="C2291" s="289" t="s">
        <v>25</v>
      </c>
      <c r="D2291" s="290"/>
      <c r="E2291" s="290"/>
      <c r="F2291" s="290"/>
      <c r="G2291" s="290">
        <f t="shared" ref="G2291:G2293" si="447">F2291*D2291</f>
        <v>0</v>
      </c>
      <c r="H2291" s="290">
        <f t="shared" ref="H2291:H2293" si="448">F2291*E2291</f>
        <v>0</v>
      </c>
      <c r="I2291" s="291"/>
      <c r="J2291" s="254" t="s">
        <v>10</v>
      </c>
      <c r="K2291" s="303" t="s">
        <v>82</v>
      </c>
      <c r="L2291" s="303"/>
      <c r="M2291" s="303" t="s">
        <v>147</v>
      </c>
      <c r="N2291" s="325" t="s">
        <v>117</v>
      </c>
      <c r="P2291" s="309"/>
      <c r="Q2291" s="348" t="s">
        <v>147</v>
      </c>
    </row>
    <row r="2292" spans="1:17" s="308" customFormat="1" ht="14" outlineLevel="3">
      <c r="A2292" s="292"/>
      <c r="B2292" s="340" t="s">
        <v>171</v>
      </c>
      <c r="C2292" s="289" t="s">
        <v>25</v>
      </c>
      <c r="D2292" s="290"/>
      <c r="E2292" s="290"/>
      <c r="F2292" s="290"/>
      <c r="G2292" s="290">
        <f t="shared" si="447"/>
        <v>0</v>
      </c>
      <c r="H2292" s="290">
        <f t="shared" si="448"/>
        <v>0</v>
      </c>
      <c r="I2292" s="291"/>
      <c r="J2292" s="254" t="s">
        <v>10</v>
      </c>
      <c r="K2292" s="303" t="s">
        <v>82</v>
      </c>
      <c r="L2292" s="303"/>
      <c r="M2292" s="303"/>
      <c r="N2292" s="325" t="s">
        <v>117</v>
      </c>
      <c r="P2292" s="309"/>
      <c r="Q2292" s="348" t="s">
        <v>147</v>
      </c>
    </row>
    <row r="2293" spans="1:17" s="308" customFormat="1" ht="14" outlineLevel="3">
      <c r="A2293" s="292"/>
      <c r="B2293" s="307" t="s">
        <v>130</v>
      </c>
      <c r="C2293" s="289" t="s">
        <v>25</v>
      </c>
      <c r="D2293" s="290"/>
      <c r="E2293" s="290"/>
      <c r="F2293" s="289"/>
      <c r="G2293" s="290">
        <f t="shared" si="447"/>
        <v>0</v>
      </c>
      <c r="H2293" s="290">
        <f t="shared" si="448"/>
        <v>0</v>
      </c>
      <c r="I2293" s="291"/>
      <c r="J2293" s="254" t="s">
        <v>10</v>
      </c>
      <c r="K2293" s="303" t="s">
        <v>82</v>
      </c>
      <c r="L2293" s="303"/>
      <c r="M2293" s="303" t="s">
        <v>147</v>
      </c>
      <c r="N2293" s="325" t="s">
        <v>117</v>
      </c>
      <c r="P2293" s="309"/>
      <c r="Q2293" s="348" t="s">
        <v>147</v>
      </c>
    </row>
    <row r="2294" spans="1:17" s="308" customFormat="1" ht="14" outlineLevel="3">
      <c r="A2294" s="292"/>
      <c r="B2294" s="411" t="s">
        <v>63</v>
      </c>
      <c r="C2294" s="291"/>
      <c r="D2294" s="289"/>
      <c r="E2294" s="289"/>
      <c r="F2294" s="289"/>
      <c r="G2294" s="290"/>
      <c r="H2294" s="290"/>
      <c r="I2294" s="291"/>
      <c r="J2294" s="303"/>
      <c r="K2294" s="410"/>
      <c r="L2294" s="303"/>
      <c r="M2294" s="303"/>
      <c r="N2294" s="308" t="s">
        <v>117</v>
      </c>
      <c r="P2294" s="309"/>
      <c r="Q2294" s="348" t="s">
        <v>147</v>
      </c>
    </row>
    <row r="2295" spans="1:17" s="308" customFormat="1" ht="14" outlineLevel="3">
      <c r="A2295" s="292"/>
      <c r="B2295" s="340" t="s">
        <v>159</v>
      </c>
      <c r="C2295" s="289" t="s">
        <v>25</v>
      </c>
      <c r="D2295" s="290"/>
      <c r="E2295" s="290"/>
      <c r="F2295" s="290"/>
      <c r="G2295" s="290">
        <f>F2295*D2295</f>
        <v>0</v>
      </c>
      <c r="H2295" s="290">
        <f>F2295*E2295</f>
        <v>0</v>
      </c>
      <c r="I2295" s="291"/>
      <c r="J2295" s="254" t="s">
        <v>10</v>
      </c>
      <c r="K2295" s="303" t="s">
        <v>82</v>
      </c>
      <c r="L2295" s="303"/>
      <c r="M2295" s="303" t="s">
        <v>147</v>
      </c>
      <c r="N2295" s="325"/>
      <c r="P2295" s="309"/>
      <c r="Q2295" s="348" t="s">
        <v>147</v>
      </c>
    </row>
    <row r="2296" spans="1:17" s="308" customFormat="1" ht="14" outlineLevel="2">
      <c r="A2296" s="292">
        <v>2.2000000000000002</v>
      </c>
      <c r="B2296" s="242" t="s">
        <v>64</v>
      </c>
      <c r="C2296" s="284"/>
      <c r="D2296" s="289"/>
      <c r="E2296" s="289"/>
      <c r="F2296" s="289"/>
      <c r="G2296" s="290"/>
      <c r="H2296" s="290"/>
      <c r="I2296" s="291"/>
      <c r="J2296" s="303"/>
      <c r="K2296" s="410"/>
      <c r="L2296" s="303"/>
      <c r="M2296" s="303"/>
      <c r="N2296" s="308" t="s">
        <v>187</v>
      </c>
      <c r="P2296" s="309"/>
      <c r="Q2296" s="348" t="s">
        <v>147</v>
      </c>
    </row>
    <row r="2297" spans="1:17" s="308" customFormat="1" ht="14" outlineLevel="3">
      <c r="A2297" s="292"/>
      <c r="B2297" s="340" t="s">
        <v>172</v>
      </c>
      <c r="C2297" s="289" t="s">
        <v>25</v>
      </c>
      <c r="D2297" s="290"/>
      <c r="E2297" s="290"/>
      <c r="F2297" s="290"/>
      <c r="G2297" s="290">
        <f t="shared" ref="G2297:G2303" si="449">F2297*D2297</f>
        <v>0</v>
      </c>
      <c r="H2297" s="290">
        <f t="shared" ref="H2297:H2303" si="450">F2297*E2297</f>
        <v>0</v>
      </c>
      <c r="I2297" s="291"/>
      <c r="J2297" s="254" t="s">
        <v>10</v>
      </c>
      <c r="K2297" s="303" t="s">
        <v>82</v>
      </c>
      <c r="L2297" s="303"/>
      <c r="M2297" s="303"/>
      <c r="N2297" s="325" t="s">
        <v>187</v>
      </c>
      <c r="P2297" s="309"/>
      <c r="Q2297" s="348" t="s">
        <v>147</v>
      </c>
    </row>
    <row r="2298" spans="1:17" s="308" customFormat="1" ht="14" outlineLevel="3">
      <c r="A2298" s="292"/>
      <c r="B2298" s="340" t="s">
        <v>160</v>
      </c>
      <c r="C2298" s="289" t="s">
        <v>25</v>
      </c>
      <c r="D2298" s="290"/>
      <c r="E2298" s="290"/>
      <c r="F2298" s="290"/>
      <c r="G2298" s="290">
        <f t="shared" si="449"/>
        <v>0</v>
      </c>
      <c r="H2298" s="290">
        <f t="shared" si="450"/>
        <v>0</v>
      </c>
      <c r="I2298" s="291"/>
      <c r="J2298" s="254" t="s">
        <v>10</v>
      </c>
      <c r="K2298" s="303" t="s">
        <v>82</v>
      </c>
      <c r="L2298" s="303"/>
      <c r="M2298" s="303" t="s">
        <v>147</v>
      </c>
      <c r="N2298" s="325" t="s">
        <v>187</v>
      </c>
      <c r="P2298" s="309"/>
      <c r="Q2298" s="348" t="s">
        <v>147</v>
      </c>
    </row>
    <row r="2299" spans="1:17" s="308" customFormat="1" ht="14" outlineLevel="3">
      <c r="A2299" s="292"/>
      <c r="B2299" s="340" t="s">
        <v>161</v>
      </c>
      <c r="C2299" s="289" t="s">
        <v>25</v>
      </c>
      <c r="D2299" s="290"/>
      <c r="E2299" s="290"/>
      <c r="F2299" s="290"/>
      <c r="G2299" s="290">
        <f t="shared" si="449"/>
        <v>0</v>
      </c>
      <c r="H2299" s="290">
        <f t="shared" si="450"/>
        <v>0</v>
      </c>
      <c r="I2299" s="291"/>
      <c r="J2299" s="254" t="s">
        <v>10</v>
      </c>
      <c r="K2299" s="303" t="s">
        <v>82</v>
      </c>
      <c r="L2299" s="303"/>
      <c r="M2299" s="303" t="s">
        <v>147</v>
      </c>
      <c r="N2299" s="325" t="s">
        <v>187</v>
      </c>
      <c r="P2299" s="309"/>
      <c r="Q2299" s="348" t="s">
        <v>147</v>
      </c>
    </row>
    <row r="2300" spans="1:17" s="308" customFormat="1" ht="14" outlineLevel="3">
      <c r="A2300" s="292"/>
      <c r="B2300" s="340" t="s">
        <v>162</v>
      </c>
      <c r="C2300" s="289" t="s">
        <v>25</v>
      </c>
      <c r="D2300" s="290"/>
      <c r="E2300" s="290"/>
      <c r="F2300" s="290"/>
      <c r="G2300" s="290">
        <f t="shared" si="449"/>
        <v>0</v>
      </c>
      <c r="H2300" s="290">
        <f t="shared" si="450"/>
        <v>0</v>
      </c>
      <c r="I2300" s="291"/>
      <c r="J2300" s="254" t="s">
        <v>10</v>
      </c>
      <c r="K2300" s="303" t="s">
        <v>82</v>
      </c>
      <c r="L2300" s="303"/>
      <c r="M2300" s="303" t="s">
        <v>147</v>
      </c>
      <c r="N2300" s="325" t="s">
        <v>187</v>
      </c>
      <c r="P2300" s="309"/>
      <c r="Q2300" s="348" t="s">
        <v>147</v>
      </c>
    </row>
    <row r="2301" spans="1:17" s="308" customFormat="1" ht="14" outlineLevel="3">
      <c r="A2301" s="292"/>
      <c r="B2301" s="340" t="s">
        <v>163</v>
      </c>
      <c r="C2301" s="289" t="s">
        <v>25</v>
      </c>
      <c r="D2301" s="290"/>
      <c r="E2301" s="290"/>
      <c r="F2301" s="290"/>
      <c r="G2301" s="290">
        <f t="shared" si="449"/>
        <v>0</v>
      </c>
      <c r="H2301" s="290">
        <f t="shared" si="450"/>
        <v>0</v>
      </c>
      <c r="I2301" s="291"/>
      <c r="J2301" s="254" t="s">
        <v>10</v>
      </c>
      <c r="K2301" s="303" t="s">
        <v>82</v>
      </c>
      <c r="L2301" s="303"/>
      <c r="M2301" s="303" t="s">
        <v>147</v>
      </c>
      <c r="N2301" s="325"/>
      <c r="P2301" s="309"/>
      <c r="Q2301" s="348" t="s">
        <v>147</v>
      </c>
    </row>
    <row r="2302" spans="1:17" s="308" customFormat="1" ht="14" outlineLevel="3">
      <c r="A2302" s="292"/>
      <c r="B2302" s="340" t="s">
        <v>164</v>
      </c>
      <c r="C2302" s="289" t="s">
        <v>25</v>
      </c>
      <c r="D2302" s="290"/>
      <c r="E2302" s="290"/>
      <c r="F2302" s="290"/>
      <c r="G2302" s="290">
        <f t="shared" si="449"/>
        <v>0</v>
      </c>
      <c r="H2302" s="290">
        <f t="shared" si="450"/>
        <v>0</v>
      </c>
      <c r="I2302" s="291"/>
      <c r="J2302" s="254" t="s">
        <v>10</v>
      </c>
      <c r="K2302" s="303" t="s">
        <v>82</v>
      </c>
      <c r="L2302" s="303"/>
      <c r="M2302" s="303" t="s">
        <v>147</v>
      </c>
      <c r="N2302" s="325" t="s">
        <v>117</v>
      </c>
      <c r="P2302" s="309"/>
      <c r="Q2302" s="348" t="s">
        <v>147</v>
      </c>
    </row>
    <row r="2303" spans="1:17" s="308" customFormat="1" ht="14" outlineLevel="3">
      <c r="A2303" s="292"/>
      <c r="B2303" s="340" t="s">
        <v>165</v>
      </c>
      <c r="C2303" s="289" t="s">
        <v>25</v>
      </c>
      <c r="D2303" s="290"/>
      <c r="E2303" s="290"/>
      <c r="F2303" s="290"/>
      <c r="G2303" s="290">
        <f t="shared" si="449"/>
        <v>0</v>
      </c>
      <c r="H2303" s="290">
        <f t="shared" si="450"/>
        <v>0</v>
      </c>
      <c r="I2303" s="291"/>
      <c r="J2303" s="254" t="s">
        <v>10</v>
      </c>
      <c r="K2303" s="303" t="s">
        <v>82</v>
      </c>
      <c r="L2303" s="303"/>
      <c r="M2303" s="303" t="s">
        <v>147</v>
      </c>
      <c r="N2303" s="325" t="s">
        <v>117</v>
      </c>
      <c r="P2303" s="309"/>
      <c r="Q2303" s="348" t="s">
        <v>147</v>
      </c>
    </row>
    <row r="2304" spans="1:17" s="308" customFormat="1" ht="14" outlineLevel="2">
      <c r="A2304" s="292">
        <v>2.2999999999999998</v>
      </c>
      <c r="B2304" s="242" t="s">
        <v>65</v>
      </c>
      <c r="C2304" s="284"/>
      <c r="D2304" s="289"/>
      <c r="E2304" s="289"/>
      <c r="F2304" s="289"/>
      <c r="G2304" s="290"/>
      <c r="H2304" s="290"/>
      <c r="I2304" s="291"/>
      <c r="J2304" s="303"/>
      <c r="K2304" s="410"/>
      <c r="L2304" s="303"/>
      <c r="M2304" s="303"/>
      <c r="P2304" s="309"/>
      <c r="Q2304" s="348" t="s">
        <v>147</v>
      </c>
    </row>
    <row r="2305" spans="1:17" s="308" customFormat="1" ht="14" outlineLevel="3">
      <c r="A2305" s="292"/>
      <c r="B2305" s="307" t="s">
        <v>49</v>
      </c>
      <c r="C2305" s="289" t="s">
        <v>48</v>
      </c>
      <c r="D2305" s="290"/>
      <c r="E2305" s="290"/>
      <c r="F2305" s="290"/>
      <c r="G2305" s="290">
        <f t="shared" ref="G2305:G2306" si="451">F2305*D2305</f>
        <v>0</v>
      </c>
      <c r="H2305" s="290">
        <f t="shared" ref="H2305:H2306" si="452">F2305*E2305</f>
        <v>0</v>
      </c>
      <c r="I2305" s="291"/>
      <c r="J2305" s="254" t="s">
        <v>10</v>
      </c>
      <c r="K2305" s="303" t="s">
        <v>82</v>
      </c>
      <c r="L2305" s="303"/>
      <c r="M2305" s="303"/>
      <c r="N2305" s="325" t="s">
        <v>82</v>
      </c>
      <c r="P2305" s="309"/>
      <c r="Q2305" s="348" t="s">
        <v>147</v>
      </c>
    </row>
    <row r="2306" spans="1:17" s="308" customFormat="1" ht="14" outlineLevel="3">
      <c r="A2306" s="292"/>
      <c r="B2306" s="307" t="s">
        <v>50</v>
      </c>
      <c r="C2306" s="289" t="s">
        <v>48</v>
      </c>
      <c r="D2306" s="290"/>
      <c r="E2306" s="290"/>
      <c r="F2306" s="290"/>
      <c r="G2306" s="290">
        <f t="shared" si="451"/>
        <v>0</v>
      </c>
      <c r="H2306" s="290">
        <f t="shared" si="452"/>
        <v>0</v>
      </c>
      <c r="I2306" s="291"/>
      <c r="J2306" s="254" t="s">
        <v>10</v>
      </c>
      <c r="K2306" s="303" t="s">
        <v>82</v>
      </c>
      <c r="L2306" s="303"/>
      <c r="M2306" s="303"/>
      <c r="N2306" s="325" t="s">
        <v>82</v>
      </c>
      <c r="P2306" s="309"/>
      <c r="Q2306" s="348" t="s">
        <v>147</v>
      </c>
    </row>
    <row r="2307" spans="1:17" s="308" customFormat="1" ht="14" outlineLevel="1">
      <c r="A2307" s="280">
        <v>3</v>
      </c>
      <c r="B2307" s="242" t="s">
        <v>273</v>
      </c>
      <c r="C2307" s="341"/>
      <c r="D2307" s="331"/>
      <c r="E2307" s="331"/>
      <c r="F2307" s="331"/>
      <c r="G2307" s="331">
        <f>SUBTOTAL(9,G2309:G2323)</f>
        <v>0</v>
      </c>
      <c r="H2307" s="283">
        <f>+SUBTOTAL(9,H2308:H2323)</f>
        <v>0</v>
      </c>
      <c r="I2307" s="291"/>
      <c r="J2307" s="303"/>
      <c r="K2307" s="303"/>
      <c r="L2307" s="303"/>
      <c r="M2307" s="303"/>
      <c r="N2307" s="308" t="s">
        <v>82</v>
      </c>
      <c r="P2307" s="309"/>
      <c r="Q2307" s="348" t="s">
        <v>147</v>
      </c>
    </row>
    <row r="2308" spans="1:17" s="308" customFormat="1" ht="14" outlineLevel="2">
      <c r="A2308" s="280"/>
      <c r="B2308" s="411" t="s">
        <v>62</v>
      </c>
      <c r="C2308" s="291"/>
      <c r="D2308" s="289"/>
      <c r="E2308" s="289"/>
      <c r="F2308" s="289"/>
      <c r="G2308" s="290"/>
      <c r="H2308" s="290"/>
      <c r="I2308" s="291"/>
      <c r="J2308" s="303"/>
      <c r="K2308" s="303"/>
      <c r="L2308" s="303"/>
      <c r="M2308" s="303"/>
      <c r="N2308" s="308" t="s">
        <v>82</v>
      </c>
      <c r="P2308" s="309"/>
      <c r="Q2308" s="348" t="s">
        <v>147</v>
      </c>
    </row>
    <row r="2309" spans="1:17" s="308" customFormat="1" ht="14" outlineLevel="3">
      <c r="A2309" s="280"/>
      <c r="B2309" s="307" t="s">
        <v>263</v>
      </c>
      <c r="C2309" s="291" t="s">
        <v>25</v>
      </c>
      <c r="D2309" s="290"/>
      <c r="E2309" s="290"/>
      <c r="F2309" s="290"/>
      <c r="G2309" s="290">
        <f t="shared" ref="G2309:G2310" si="453">F2309*D2309</f>
        <v>0</v>
      </c>
      <c r="H2309" s="290">
        <f t="shared" ref="H2309:H2310" si="454">F2309*E2309</f>
        <v>0</v>
      </c>
      <c r="I2309" s="291"/>
      <c r="J2309" s="254" t="s">
        <v>10</v>
      </c>
      <c r="K2309" s="303" t="s">
        <v>128</v>
      </c>
      <c r="L2309" s="303"/>
      <c r="M2309" s="303" t="s">
        <v>147</v>
      </c>
      <c r="N2309" s="325" t="s">
        <v>82</v>
      </c>
      <c r="P2309" s="309"/>
      <c r="Q2309" s="348" t="s">
        <v>147</v>
      </c>
    </row>
    <row r="2310" spans="1:17" s="308" customFormat="1" ht="14" outlineLevel="3">
      <c r="A2310" s="280"/>
      <c r="B2310" s="307" t="s">
        <v>130</v>
      </c>
      <c r="C2310" s="291" t="s">
        <v>25</v>
      </c>
      <c r="D2310" s="290"/>
      <c r="E2310" s="290"/>
      <c r="F2310" s="290"/>
      <c r="G2310" s="290">
        <f t="shared" si="453"/>
        <v>0</v>
      </c>
      <c r="H2310" s="290">
        <f t="shared" si="454"/>
        <v>0</v>
      </c>
      <c r="I2310" s="291"/>
      <c r="J2310" s="254" t="s">
        <v>10</v>
      </c>
      <c r="K2310" s="303" t="s">
        <v>128</v>
      </c>
      <c r="L2310" s="303"/>
      <c r="M2310" s="303" t="s">
        <v>147</v>
      </c>
      <c r="N2310" s="325" t="s">
        <v>82</v>
      </c>
      <c r="P2310" s="309"/>
      <c r="Q2310" s="348" t="s">
        <v>147</v>
      </c>
    </row>
    <row r="2311" spans="1:17" s="308" customFormat="1" ht="14" outlineLevel="3">
      <c r="A2311" s="280"/>
      <c r="B2311" s="411" t="s">
        <v>63</v>
      </c>
      <c r="C2311" s="291"/>
      <c r="D2311" s="289"/>
      <c r="E2311" s="289"/>
      <c r="F2311" s="289"/>
      <c r="G2311" s="290"/>
      <c r="H2311" s="290"/>
      <c r="I2311" s="291"/>
      <c r="J2311" s="303"/>
      <c r="K2311" s="303"/>
      <c r="L2311" s="303"/>
      <c r="M2311" s="303"/>
      <c r="N2311" s="308" t="s">
        <v>82</v>
      </c>
      <c r="P2311" s="309"/>
      <c r="Q2311" s="348" t="s">
        <v>147</v>
      </c>
    </row>
    <row r="2312" spans="1:17" s="308" customFormat="1" ht="14" outlineLevel="3">
      <c r="A2312" s="280"/>
      <c r="B2312" s="307" t="s">
        <v>274</v>
      </c>
      <c r="C2312" s="291" t="s">
        <v>25</v>
      </c>
      <c r="D2312" s="290"/>
      <c r="E2312" s="290"/>
      <c r="F2312" s="290"/>
      <c r="G2312" s="290">
        <f>F2312*D2312</f>
        <v>0</v>
      </c>
      <c r="H2312" s="290">
        <f>F2312*E2312</f>
        <v>0</v>
      </c>
      <c r="I2312" s="291"/>
      <c r="J2312" s="254" t="s">
        <v>10</v>
      </c>
      <c r="K2312" s="303" t="s">
        <v>128</v>
      </c>
      <c r="L2312" s="303"/>
      <c r="M2312" s="303" t="s">
        <v>147</v>
      </c>
      <c r="N2312" s="325" t="s">
        <v>82</v>
      </c>
      <c r="P2312" s="309"/>
      <c r="Q2312" s="348" t="s">
        <v>147</v>
      </c>
    </row>
    <row r="2313" spans="1:17" s="308" customFormat="1" ht="14" outlineLevel="2">
      <c r="A2313" s="280"/>
      <c r="B2313" s="242" t="s">
        <v>64</v>
      </c>
      <c r="C2313" s="284"/>
      <c r="D2313" s="289"/>
      <c r="E2313" s="289"/>
      <c r="F2313" s="289"/>
      <c r="G2313" s="290"/>
      <c r="H2313" s="290"/>
      <c r="I2313" s="291"/>
      <c r="J2313" s="303"/>
      <c r="K2313" s="303"/>
      <c r="L2313" s="303"/>
      <c r="M2313" s="303"/>
      <c r="N2313" s="308" t="s">
        <v>82</v>
      </c>
      <c r="P2313" s="309"/>
      <c r="Q2313" s="348" t="s">
        <v>147</v>
      </c>
    </row>
    <row r="2314" spans="1:17" s="308" customFormat="1" ht="13.15" customHeight="1" outlineLevel="3">
      <c r="A2314" s="280"/>
      <c r="B2314" s="307" t="s">
        <v>152</v>
      </c>
      <c r="C2314" s="291" t="s">
        <v>25</v>
      </c>
      <c r="D2314" s="290"/>
      <c r="E2314" s="290"/>
      <c r="F2314" s="290"/>
      <c r="G2314" s="290">
        <f t="shared" ref="G2314:G2320" si="455">F2314*D2314</f>
        <v>0</v>
      </c>
      <c r="H2314" s="290">
        <f t="shared" ref="H2314:H2320" si="456">F2314*E2314</f>
        <v>0</v>
      </c>
      <c r="I2314" s="291"/>
      <c r="J2314" s="254" t="s">
        <v>10</v>
      </c>
      <c r="K2314" s="303" t="s">
        <v>128</v>
      </c>
      <c r="L2314" s="303"/>
      <c r="M2314" s="303"/>
      <c r="N2314" s="325" t="s">
        <v>82</v>
      </c>
      <c r="P2314" s="309"/>
      <c r="Q2314" s="348" t="s">
        <v>147</v>
      </c>
    </row>
    <row r="2315" spans="1:17" s="308" customFormat="1" ht="14" outlineLevel="3">
      <c r="A2315" s="280"/>
      <c r="B2315" s="307" t="s">
        <v>223</v>
      </c>
      <c r="C2315" s="291" t="s">
        <v>25</v>
      </c>
      <c r="D2315" s="290"/>
      <c r="E2315" s="290"/>
      <c r="F2315" s="290"/>
      <c r="G2315" s="290">
        <f t="shared" si="455"/>
        <v>0</v>
      </c>
      <c r="H2315" s="290">
        <f t="shared" si="456"/>
        <v>0</v>
      </c>
      <c r="I2315" s="291"/>
      <c r="J2315" s="254" t="s">
        <v>10</v>
      </c>
      <c r="K2315" s="303" t="s">
        <v>128</v>
      </c>
      <c r="L2315" s="303"/>
      <c r="M2315" s="303"/>
      <c r="N2315" s="325"/>
      <c r="P2315" s="309"/>
      <c r="Q2315" s="348" t="s">
        <v>147</v>
      </c>
    </row>
    <row r="2316" spans="1:17" s="308" customFormat="1" ht="14" outlineLevel="3">
      <c r="A2316" s="280"/>
      <c r="B2316" s="307" t="s">
        <v>224</v>
      </c>
      <c r="C2316" s="291" t="s">
        <v>25</v>
      </c>
      <c r="D2316" s="290"/>
      <c r="E2316" s="290"/>
      <c r="F2316" s="290"/>
      <c r="G2316" s="290">
        <f t="shared" si="455"/>
        <v>0</v>
      </c>
      <c r="H2316" s="290">
        <f t="shared" si="456"/>
        <v>0</v>
      </c>
      <c r="I2316" s="291"/>
      <c r="J2316" s="254" t="s">
        <v>10</v>
      </c>
      <c r="K2316" s="303" t="s">
        <v>128</v>
      </c>
      <c r="L2316" s="303"/>
      <c r="M2316" s="303" t="s">
        <v>147</v>
      </c>
      <c r="N2316" s="325"/>
      <c r="P2316" s="309"/>
      <c r="Q2316" s="348" t="s">
        <v>147</v>
      </c>
    </row>
    <row r="2317" spans="1:17" s="308" customFormat="1" ht="14" outlineLevel="3">
      <c r="A2317" s="280"/>
      <c r="B2317" s="307" t="s">
        <v>265</v>
      </c>
      <c r="C2317" s="291" t="s">
        <v>25</v>
      </c>
      <c r="D2317" s="290"/>
      <c r="E2317" s="290"/>
      <c r="F2317" s="290"/>
      <c r="G2317" s="290">
        <f t="shared" si="455"/>
        <v>0</v>
      </c>
      <c r="H2317" s="290">
        <f t="shared" si="456"/>
        <v>0</v>
      </c>
      <c r="I2317" s="291"/>
      <c r="J2317" s="254" t="s">
        <v>10</v>
      </c>
      <c r="K2317" s="303" t="s">
        <v>128</v>
      </c>
      <c r="L2317" s="303"/>
      <c r="M2317" s="303" t="s">
        <v>147</v>
      </c>
      <c r="N2317" s="325"/>
      <c r="P2317" s="309"/>
      <c r="Q2317" s="348" t="s">
        <v>147</v>
      </c>
    </row>
    <row r="2318" spans="1:17" s="308" customFormat="1" ht="13.15" customHeight="1" outlineLevel="3">
      <c r="A2318" s="280"/>
      <c r="B2318" s="307" t="s">
        <v>226</v>
      </c>
      <c r="C2318" s="291" t="s">
        <v>25</v>
      </c>
      <c r="D2318" s="290"/>
      <c r="E2318" s="290"/>
      <c r="F2318" s="290"/>
      <c r="G2318" s="290">
        <f t="shared" si="455"/>
        <v>0</v>
      </c>
      <c r="H2318" s="290">
        <f t="shared" si="456"/>
        <v>0</v>
      </c>
      <c r="I2318" s="291"/>
      <c r="J2318" s="254" t="s">
        <v>10</v>
      </c>
      <c r="K2318" s="303" t="s">
        <v>128</v>
      </c>
      <c r="L2318" s="303"/>
      <c r="M2318" s="303"/>
      <c r="N2318" s="325"/>
      <c r="P2318" s="309"/>
      <c r="Q2318" s="348" t="s">
        <v>147</v>
      </c>
    </row>
    <row r="2319" spans="1:17" s="308" customFormat="1" ht="14" outlineLevel="3">
      <c r="A2319" s="280"/>
      <c r="B2319" s="307" t="s">
        <v>227</v>
      </c>
      <c r="C2319" s="291" t="s">
        <v>25</v>
      </c>
      <c r="D2319" s="290"/>
      <c r="E2319" s="290"/>
      <c r="F2319" s="290"/>
      <c r="G2319" s="290">
        <f t="shared" si="455"/>
        <v>0</v>
      </c>
      <c r="H2319" s="290">
        <f t="shared" si="456"/>
        <v>0</v>
      </c>
      <c r="I2319" s="291"/>
      <c r="J2319" s="254" t="s">
        <v>10</v>
      </c>
      <c r="K2319" s="303" t="s">
        <v>128</v>
      </c>
      <c r="L2319" s="303"/>
      <c r="M2319" s="303"/>
      <c r="N2319" s="325"/>
      <c r="P2319" s="309"/>
      <c r="Q2319" s="348" t="s">
        <v>147</v>
      </c>
    </row>
    <row r="2320" spans="1:17" s="308" customFormat="1" ht="14" outlineLevel="3">
      <c r="A2320" s="280"/>
      <c r="B2320" s="307" t="s">
        <v>228</v>
      </c>
      <c r="C2320" s="291" t="s">
        <v>25</v>
      </c>
      <c r="D2320" s="290"/>
      <c r="E2320" s="290"/>
      <c r="F2320" s="290"/>
      <c r="G2320" s="290">
        <f t="shared" si="455"/>
        <v>0</v>
      </c>
      <c r="H2320" s="290">
        <f t="shared" si="456"/>
        <v>0</v>
      </c>
      <c r="I2320" s="291"/>
      <c r="J2320" s="254" t="s">
        <v>10</v>
      </c>
      <c r="K2320" s="303" t="s">
        <v>128</v>
      </c>
      <c r="L2320" s="303"/>
      <c r="M2320" s="303"/>
      <c r="N2320" s="325"/>
      <c r="P2320" s="309"/>
      <c r="Q2320" s="348" t="s">
        <v>147</v>
      </c>
    </row>
    <row r="2321" spans="1:17" s="308" customFormat="1" ht="14" outlineLevel="3">
      <c r="A2321" s="280"/>
      <c r="B2321" s="242" t="s">
        <v>65</v>
      </c>
      <c r="C2321" s="284"/>
      <c r="D2321" s="289"/>
      <c r="E2321" s="289"/>
      <c r="F2321" s="289"/>
      <c r="G2321" s="290"/>
      <c r="H2321" s="290"/>
      <c r="I2321" s="291"/>
      <c r="J2321" s="303"/>
      <c r="K2321" s="303"/>
      <c r="L2321" s="303"/>
      <c r="M2321" s="303"/>
      <c r="P2321" s="309"/>
      <c r="Q2321" s="348" t="s">
        <v>147</v>
      </c>
    </row>
    <row r="2322" spans="1:17" s="308" customFormat="1" ht="14" outlineLevel="3">
      <c r="A2322" s="297"/>
      <c r="B2322" s="307" t="s">
        <v>49</v>
      </c>
      <c r="C2322" s="291" t="s">
        <v>48</v>
      </c>
      <c r="D2322" s="290"/>
      <c r="E2322" s="290"/>
      <c r="F2322" s="290"/>
      <c r="G2322" s="290">
        <f t="shared" ref="G2322:G2323" si="457">F2322*D2322</f>
        <v>0</v>
      </c>
      <c r="H2322" s="290">
        <f t="shared" ref="H2322:H2323" si="458">F2322*E2322</f>
        <v>0</v>
      </c>
      <c r="I2322" s="291"/>
      <c r="J2322" s="254" t="s">
        <v>10</v>
      </c>
      <c r="K2322" s="303" t="s">
        <v>128</v>
      </c>
      <c r="L2322" s="303"/>
      <c r="M2322" s="303"/>
      <c r="N2322" s="325"/>
      <c r="P2322" s="309"/>
      <c r="Q2322" s="348" t="s">
        <v>147</v>
      </c>
    </row>
    <row r="2323" spans="1:17" s="308" customFormat="1" ht="14" outlineLevel="3">
      <c r="A2323" s="297"/>
      <c r="B2323" s="307" t="s">
        <v>50</v>
      </c>
      <c r="C2323" s="291" t="s">
        <v>48</v>
      </c>
      <c r="D2323" s="290"/>
      <c r="E2323" s="290"/>
      <c r="F2323" s="290"/>
      <c r="G2323" s="290">
        <f t="shared" si="457"/>
        <v>0</v>
      </c>
      <c r="H2323" s="290">
        <f t="shared" si="458"/>
        <v>0</v>
      </c>
      <c r="I2323" s="291"/>
      <c r="J2323" s="254" t="s">
        <v>10</v>
      </c>
      <c r="K2323" s="303" t="s">
        <v>128</v>
      </c>
      <c r="L2323" s="303"/>
      <c r="M2323" s="303" t="s">
        <v>147</v>
      </c>
      <c r="N2323" s="325"/>
      <c r="P2323" s="309"/>
      <c r="Q2323" s="348" t="s">
        <v>147</v>
      </c>
    </row>
    <row r="2324" spans="1:17" s="308" customFormat="1" ht="14" outlineLevel="1">
      <c r="A2324" s="280">
        <v>4</v>
      </c>
      <c r="B2324" s="242" t="s">
        <v>275</v>
      </c>
      <c r="C2324" s="291"/>
      <c r="D2324" s="264"/>
      <c r="E2324" s="283"/>
      <c r="F2324" s="291"/>
      <c r="G2324" s="283">
        <f>SUBTOTAL(9,G2326:G2340)</f>
        <v>0</v>
      </c>
      <c r="H2324" s="283">
        <f>SUBTOTAL(9,H2326:H2346)</f>
        <v>0</v>
      </c>
      <c r="I2324" s="291"/>
      <c r="J2324" s="303"/>
      <c r="K2324" s="303"/>
      <c r="L2324" s="303"/>
      <c r="M2324" s="303"/>
      <c r="P2324" s="309"/>
      <c r="Q2324" s="348" t="s">
        <v>147</v>
      </c>
    </row>
    <row r="2325" spans="1:17" s="308" customFormat="1" ht="14" outlineLevel="2">
      <c r="A2325" s="280"/>
      <c r="B2325" s="242" t="s">
        <v>61</v>
      </c>
      <c r="C2325" s="291"/>
      <c r="D2325" s="289"/>
      <c r="E2325" s="289"/>
      <c r="F2325" s="289"/>
      <c r="G2325" s="290"/>
      <c r="H2325" s="290"/>
      <c r="I2325" s="291"/>
      <c r="J2325" s="303"/>
      <c r="K2325" s="303"/>
      <c r="L2325" s="303"/>
      <c r="M2325" s="303"/>
      <c r="P2325" s="309"/>
      <c r="Q2325" s="348" t="s">
        <v>147</v>
      </c>
    </row>
    <row r="2326" spans="1:17" s="308" customFormat="1" ht="14" outlineLevel="2">
      <c r="A2326" s="280"/>
      <c r="B2326" s="411" t="s">
        <v>62</v>
      </c>
      <c r="C2326" s="291"/>
      <c r="D2326" s="290"/>
      <c r="E2326" s="290"/>
      <c r="F2326" s="290"/>
      <c r="G2326" s="290"/>
      <c r="H2326" s="290"/>
      <c r="I2326" s="291"/>
      <c r="J2326" s="303"/>
      <c r="K2326" s="303"/>
      <c r="L2326" s="303"/>
      <c r="M2326" s="303"/>
      <c r="P2326" s="309"/>
      <c r="Q2326" s="348" t="s">
        <v>147</v>
      </c>
    </row>
    <row r="2327" spans="1:17" s="308" customFormat="1" ht="14" outlineLevel="2">
      <c r="A2327" s="280"/>
      <c r="B2327" s="307" t="s">
        <v>221</v>
      </c>
      <c r="C2327" s="291" t="s">
        <v>25</v>
      </c>
      <c r="D2327" s="290"/>
      <c r="E2327" s="290"/>
      <c r="F2327" s="290"/>
      <c r="G2327" s="290">
        <f t="shared" ref="G2327:G2331" si="459">F2327*D2327</f>
        <v>0</v>
      </c>
      <c r="H2327" s="290">
        <f t="shared" ref="H2327:H2331" si="460">F2327*E2327</f>
        <v>0</v>
      </c>
      <c r="I2327" s="291"/>
      <c r="J2327" s="254" t="s">
        <v>10</v>
      </c>
      <c r="K2327" s="303" t="s">
        <v>187</v>
      </c>
      <c r="L2327" s="303"/>
      <c r="M2327" s="303" t="s">
        <v>147</v>
      </c>
      <c r="N2327" s="325"/>
      <c r="P2327" s="309"/>
      <c r="Q2327" s="348" t="s">
        <v>147</v>
      </c>
    </row>
    <row r="2328" spans="1:17" s="308" customFormat="1" ht="14" outlineLevel="2">
      <c r="A2328" s="280"/>
      <c r="B2328" s="307" t="s">
        <v>263</v>
      </c>
      <c r="C2328" s="291" t="s">
        <v>25</v>
      </c>
      <c r="D2328" s="290"/>
      <c r="E2328" s="290"/>
      <c r="F2328" s="289"/>
      <c r="G2328" s="290">
        <f t="shared" si="459"/>
        <v>0</v>
      </c>
      <c r="H2328" s="290">
        <f t="shared" si="460"/>
        <v>0</v>
      </c>
      <c r="I2328" s="291"/>
      <c r="J2328" s="254" t="s">
        <v>10</v>
      </c>
      <c r="K2328" s="303" t="s">
        <v>187</v>
      </c>
      <c r="L2328" s="303"/>
      <c r="M2328" s="303" t="s">
        <v>147</v>
      </c>
      <c r="N2328" s="325"/>
      <c r="P2328" s="309"/>
      <c r="Q2328" s="348" t="s">
        <v>147</v>
      </c>
    </row>
    <row r="2329" spans="1:17" s="308" customFormat="1" ht="14" outlineLevel="2">
      <c r="A2329" s="280"/>
      <c r="B2329" s="307" t="s">
        <v>276</v>
      </c>
      <c r="C2329" s="291" t="s">
        <v>25</v>
      </c>
      <c r="D2329" s="290"/>
      <c r="E2329" s="290"/>
      <c r="F2329" s="290"/>
      <c r="G2329" s="290">
        <f t="shared" si="459"/>
        <v>0</v>
      </c>
      <c r="H2329" s="290">
        <f t="shared" si="460"/>
        <v>0</v>
      </c>
      <c r="I2329" s="291"/>
      <c r="J2329" s="254" t="s">
        <v>10</v>
      </c>
      <c r="K2329" s="303" t="s">
        <v>187</v>
      </c>
      <c r="L2329" s="303"/>
      <c r="M2329" s="303" t="s">
        <v>147</v>
      </c>
      <c r="N2329" s="325"/>
      <c r="P2329" s="309"/>
      <c r="Q2329" s="348" t="s">
        <v>147</v>
      </c>
    </row>
    <row r="2330" spans="1:17" s="418" customFormat="1" ht="14" outlineLevel="2">
      <c r="A2330" s="342"/>
      <c r="B2330" s="412" t="s">
        <v>277</v>
      </c>
      <c r="C2330" s="413" t="s">
        <v>25</v>
      </c>
      <c r="D2330" s="414"/>
      <c r="E2330" s="414"/>
      <c r="F2330" s="415"/>
      <c r="G2330" s="290">
        <f t="shared" si="459"/>
        <v>0</v>
      </c>
      <c r="H2330" s="290">
        <f t="shared" si="460"/>
        <v>0</v>
      </c>
      <c r="I2330" s="413"/>
      <c r="J2330" s="254" t="s">
        <v>10</v>
      </c>
      <c r="K2330" s="416" t="s">
        <v>187</v>
      </c>
      <c r="L2330" s="416"/>
      <c r="M2330" s="416" t="s">
        <v>147</v>
      </c>
      <c r="N2330" s="417"/>
      <c r="P2330" s="309"/>
      <c r="Q2330" s="419" t="s">
        <v>147</v>
      </c>
    </row>
    <row r="2331" spans="1:17" s="418" customFormat="1" ht="13.15" customHeight="1" outlineLevel="2">
      <c r="A2331" s="342"/>
      <c r="B2331" s="412" t="s">
        <v>278</v>
      </c>
      <c r="C2331" s="413" t="s">
        <v>25</v>
      </c>
      <c r="D2331" s="414"/>
      <c r="E2331" s="414"/>
      <c r="F2331" s="420"/>
      <c r="G2331" s="290">
        <f t="shared" si="459"/>
        <v>0</v>
      </c>
      <c r="H2331" s="290">
        <f t="shared" si="460"/>
        <v>0</v>
      </c>
      <c r="I2331" s="413"/>
      <c r="J2331" s="254" t="s">
        <v>10</v>
      </c>
      <c r="K2331" s="416" t="s">
        <v>187</v>
      </c>
      <c r="L2331" s="416"/>
      <c r="M2331" s="416" t="s">
        <v>147</v>
      </c>
      <c r="N2331" s="417"/>
      <c r="P2331" s="309"/>
      <c r="Q2331" s="419" t="s">
        <v>147</v>
      </c>
    </row>
    <row r="2332" spans="1:17" s="308" customFormat="1" ht="14" outlineLevel="2">
      <c r="A2332" s="280"/>
      <c r="B2332" s="411" t="s">
        <v>63</v>
      </c>
      <c r="C2332" s="291"/>
      <c r="D2332" s="290"/>
      <c r="E2332" s="290"/>
      <c r="F2332" s="290"/>
      <c r="G2332" s="290"/>
      <c r="H2332" s="290"/>
      <c r="I2332" s="291"/>
      <c r="J2332" s="303"/>
      <c r="K2332" s="421"/>
      <c r="L2332" s="303"/>
      <c r="M2332" s="303"/>
      <c r="P2332" s="309"/>
      <c r="Q2332" s="348" t="s">
        <v>147</v>
      </c>
    </row>
    <row r="2333" spans="1:17" s="308" customFormat="1" ht="14" outlineLevel="2">
      <c r="A2333" s="280"/>
      <c r="B2333" s="307" t="s">
        <v>274</v>
      </c>
      <c r="C2333" s="291" t="s">
        <v>25</v>
      </c>
      <c r="D2333" s="290"/>
      <c r="E2333" s="290"/>
      <c r="F2333" s="290"/>
      <c r="G2333" s="290">
        <f>F2333*D2333</f>
        <v>0</v>
      </c>
      <c r="H2333" s="290">
        <f>F2333*E2333</f>
        <v>0</v>
      </c>
      <c r="I2333" s="291"/>
      <c r="J2333" s="254" t="s">
        <v>10</v>
      </c>
      <c r="K2333" s="303" t="s">
        <v>187</v>
      </c>
      <c r="L2333" s="303"/>
      <c r="M2333" s="303" t="s">
        <v>147</v>
      </c>
      <c r="N2333" s="325"/>
      <c r="P2333" s="309"/>
      <c r="Q2333" s="348" t="s">
        <v>147</v>
      </c>
    </row>
    <row r="2334" spans="1:17" s="308" customFormat="1" ht="14" outlineLevel="2">
      <c r="A2334" s="280"/>
      <c r="B2334" s="242" t="s">
        <v>64</v>
      </c>
      <c r="C2334" s="284"/>
      <c r="D2334" s="290"/>
      <c r="E2334" s="290"/>
      <c r="F2334" s="290"/>
      <c r="G2334" s="290"/>
      <c r="H2334" s="290"/>
      <c r="I2334" s="291"/>
      <c r="J2334" s="303"/>
      <c r="K2334" s="421"/>
      <c r="L2334" s="303"/>
      <c r="M2334" s="303"/>
      <c r="P2334" s="309"/>
      <c r="Q2334" s="348" t="s">
        <v>147</v>
      </c>
    </row>
    <row r="2335" spans="1:17" s="308" customFormat="1" ht="13.15" customHeight="1" outlineLevel="2">
      <c r="A2335" s="280"/>
      <c r="B2335" s="307" t="s">
        <v>152</v>
      </c>
      <c r="C2335" s="291" t="s">
        <v>25</v>
      </c>
      <c r="D2335" s="290"/>
      <c r="E2335" s="290"/>
      <c r="F2335" s="290"/>
      <c r="G2335" s="290">
        <f t="shared" ref="G2335:G2343" si="461">F2335*D2335</f>
        <v>0</v>
      </c>
      <c r="H2335" s="290">
        <f t="shared" ref="H2335:H2343" si="462">F2335*E2335</f>
        <v>0</v>
      </c>
      <c r="I2335" s="291"/>
      <c r="J2335" s="254" t="s">
        <v>10</v>
      </c>
      <c r="K2335" s="303" t="s">
        <v>187</v>
      </c>
      <c r="L2335" s="303"/>
      <c r="M2335" s="303"/>
      <c r="N2335" s="325"/>
      <c r="P2335" s="309"/>
      <c r="Q2335" s="348" t="s">
        <v>147</v>
      </c>
    </row>
    <row r="2336" spans="1:17" s="308" customFormat="1" ht="14" outlineLevel="2">
      <c r="A2336" s="280"/>
      <c r="B2336" s="307" t="s">
        <v>223</v>
      </c>
      <c r="C2336" s="291" t="s">
        <v>25</v>
      </c>
      <c r="D2336" s="290"/>
      <c r="E2336" s="290"/>
      <c r="F2336" s="290"/>
      <c r="G2336" s="290">
        <f t="shared" si="461"/>
        <v>0</v>
      </c>
      <c r="H2336" s="290">
        <f t="shared" si="462"/>
        <v>0</v>
      </c>
      <c r="I2336" s="291"/>
      <c r="J2336" s="254" t="s">
        <v>10</v>
      </c>
      <c r="K2336" s="303" t="s">
        <v>187</v>
      </c>
      <c r="L2336" s="303"/>
      <c r="M2336" s="303"/>
      <c r="N2336" s="325"/>
      <c r="P2336" s="309"/>
      <c r="Q2336" s="348" t="s">
        <v>147</v>
      </c>
    </row>
    <row r="2337" spans="1:17" s="308" customFormat="1" ht="14" outlineLevel="2">
      <c r="A2337" s="280"/>
      <c r="B2337" s="307" t="s">
        <v>224</v>
      </c>
      <c r="C2337" s="291" t="s">
        <v>25</v>
      </c>
      <c r="D2337" s="290"/>
      <c r="E2337" s="290"/>
      <c r="F2337" s="290"/>
      <c r="G2337" s="290">
        <f t="shared" si="461"/>
        <v>0</v>
      </c>
      <c r="H2337" s="290">
        <f t="shared" si="462"/>
        <v>0</v>
      </c>
      <c r="I2337" s="291"/>
      <c r="J2337" s="254" t="s">
        <v>10</v>
      </c>
      <c r="K2337" s="303" t="s">
        <v>187</v>
      </c>
      <c r="L2337" s="303"/>
      <c r="M2337" s="303" t="s">
        <v>147</v>
      </c>
      <c r="N2337" s="325"/>
      <c r="P2337" s="309"/>
      <c r="Q2337" s="348" t="s">
        <v>147</v>
      </c>
    </row>
    <row r="2338" spans="1:17" s="308" customFormat="1" ht="14" outlineLevel="2">
      <c r="A2338" s="280"/>
      <c r="B2338" s="307" t="s">
        <v>225</v>
      </c>
      <c r="C2338" s="291" t="s">
        <v>25</v>
      </c>
      <c r="D2338" s="290"/>
      <c r="E2338" s="290"/>
      <c r="F2338" s="289"/>
      <c r="G2338" s="290">
        <f t="shared" si="461"/>
        <v>0</v>
      </c>
      <c r="H2338" s="290">
        <f t="shared" si="462"/>
        <v>0</v>
      </c>
      <c r="I2338" s="291"/>
      <c r="J2338" s="254" t="s">
        <v>10</v>
      </c>
      <c r="K2338" s="303" t="s">
        <v>187</v>
      </c>
      <c r="L2338" s="303"/>
      <c r="M2338" s="303" t="s">
        <v>147</v>
      </c>
      <c r="N2338" s="325"/>
      <c r="P2338" s="309"/>
      <c r="Q2338" s="348" t="s">
        <v>147</v>
      </c>
    </row>
    <row r="2339" spans="1:17" s="308" customFormat="1" ht="14" outlineLevel="2">
      <c r="A2339" s="280"/>
      <c r="B2339" s="307" t="s">
        <v>279</v>
      </c>
      <c r="C2339" s="291" t="s">
        <v>25</v>
      </c>
      <c r="D2339" s="290"/>
      <c r="E2339" s="290"/>
      <c r="F2339" s="290"/>
      <c r="G2339" s="290">
        <f t="shared" si="461"/>
        <v>0</v>
      </c>
      <c r="H2339" s="290">
        <f t="shared" si="462"/>
        <v>0</v>
      </c>
      <c r="I2339" s="291"/>
      <c r="J2339" s="254" t="s">
        <v>10</v>
      </c>
      <c r="K2339" s="303" t="s">
        <v>187</v>
      </c>
      <c r="L2339" s="303"/>
      <c r="M2339" s="303" t="s">
        <v>147</v>
      </c>
      <c r="N2339" s="325"/>
      <c r="P2339" s="309"/>
      <c r="Q2339" s="348" t="s">
        <v>147</v>
      </c>
    </row>
    <row r="2340" spans="1:17" s="308" customFormat="1" ht="14" outlineLevel="2">
      <c r="A2340" s="280"/>
      <c r="B2340" s="307" t="s">
        <v>280</v>
      </c>
      <c r="C2340" s="291" t="s">
        <v>25</v>
      </c>
      <c r="D2340" s="290"/>
      <c r="E2340" s="290"/>
      <c r="F2340" s="290"/>
      <c r="G2340" s="290">
        <f t="shared" si="461"/>
        <v>0</v>
      </c>
      <c r="H2340" s="290">
        <f t="shared" si="462"/>
        <v>0</v>
      </c>
      <c r="I2340" s="291"/>
      <c r="J2340" s="254" t="s">
        <v>10</v>
      </c>
      <c r="K2340" s="303" t="s">
        <v>187</v>
      </c>
      <c r="L2340" s="303"/>
      <c r="M2340" s="303" t="s">
        <v>147</v>
      </c>
      <c r="N2340" s="325"/>
      <c r="P2340" s="309"/>
      <c r="Q2340" s="348" t="s">
        <v>147</v>
      </c>
    </row>
    <row r="2341" spans="1:17" s="308" customFormat="1" ht="14" outlineLevel="2">
      <c r="A2341" s="280"/>
      <c r="B2341" s="307" t="s">
        <v>226</v>
      </c>
      <c r="C2341" s="291" t="s">
        <v>25</v>
      </c>
      <c r="D2341" s="290"/>
      <c r="E2341" s="290"/>
      <c r="F2341" s="290"/>
      <c r="G2341" s="290">
        <f t="shared" si="461"/>
        <v>0</v>
      </c>
      <c r="H2341" s="290">
        <f t="shared" si="462"/>
        <v>0</v>
      </c>
      <c r="I2341" s="291"/>
      <c r="J2341" s="254" t="s">
        <v>10</v>
      </c>
      <c r="K2341" s="303" t="s">
        <v>187</v>
      </c>
      <c r="L2341" s="303"/>
      <c r="M2341" s="303"/>
      <c r="N2341" s="325"/>
      <c r="P2341" s="309"/>
      <c r="Q2341" s="348"/>
    </row>
    <row r="2342" spans="1:17" s="308" customFormat="1" ht="14" outlineLevel="2">
      <c r="A2342" s="280"/>
      <c r="B2342" s="307" t="s">
        <v>227</v>
      </c>
      <c r="C2342" s="291" t="s">
        <v>25</v>
      </c>
      <c r="D2342" s="290"/>
      <c r="E2342" s="290"/>
      <c r="F2342" s="290"/>
      <c r="G2342" s="290">
        <f t="shared" si="461"/>
        <v>0</v>
      </c>
      <c r="H2342" s="290">
        <f t="shared" si="462"/>
        <v>0</v>
      </c>
      <c r="I2342" s="291"/>
      <c r="J2342" s="254" t="s">
        <v>10</v>
      </c>
      <c r="K2342" s="303" t="s">
        <v>187</v>
      </c>
      <c r="L2342" s="303"/>
      <c r="M2342" s="303"/>
      <c r="N2342" s="325"/>
      <c r="P2342" s="309"/>
      <c r="Q2342" s="348"/>
    </row>
    <row r="2343" spans="1:17" s="308" customFormat="1" ht="14" outlineLevel="2">
      <c r="A2343" s="280"/>
      <c r="B2343" s="307" t="s">
        <v>228</v>
      </c>
      <c r="C2343" s="291" t="s">
        <v>25</v>
      </c>
      <c r="D2343" s="290"/>
      <c r="E2343" s="290"/>
      <c r="F2343" s="290"/>
      <c r="G2343" s="290">
        <f t="shared" si="461"/>
        <v>0</v>
      </c>
      <c r="H2343" s="290">
        <f t="shared" si="462"/>
        <v>0</v>
      </c>
      <c r="I2343" s="291"/>
      <c r="J2343" s="254" t="s">
        <v>10</v>
      </c>
      <c r="K2343" s="303" t="s">
        <v>187</v>
      </c>
      <c r="L2343" s="303"/>
      <c r="M2343" s="303"/>
      <c r="N2343" s="325"/>
      <c r="P2343" s="309"/>
      <c r="Q2343" s="348"/>
    </row>
    <row r="2344" spans="1:17" s="308" customFormat="1" ht="14" outlineLevel="2">
      <c r="A2344" s="280"/>
      <c r="B2344" s="242" t="s">
        <v>65</v>
      </c>
      <c r="C2344" s="284"/>
      <c r="D2344" s="290"/>
      <c r="E2344" s="290"/>
      <c r="F2344" s="290"/>
      <c r="G2344" s="290"/>
      <c r="H2344" s="290"/>
      <c r="I2344" s="291"/>
      <c r="J2344" s="303"/>
      <c r="K2344" s="421"/>
      <c r="L2344" s="303"/>
      <c r="M2344" s="303"/>
      <c r="P2344" s="309"/>
      <c r="Q2344" s="348"/>
    </row>
    <row r="2345" spans="1:17" s="308" customFormat="1" ht="14" outlineLevel="2">
      <c r="A2345" s="297"/>
      <c r="B2345" s="307" t="s">
        <v>49</v>
      </c>
      <c r="C2345" s="291" t="s">
        <v>48</v>
      </c>
      <c r="D2345" s="290"/>
      <c r="E2345" s="290"/>
      <c r="F2345" s="290"/>
      <c r="G2345" s="290">
        <f t="shared" ref="G2345:G2346" si="463">F2345*D2345</f>
        <v>0</v>
      </c>
      <c r="H2345" s="290">
        <f t="shared" ref="H2345:H2346" si="464">F2345*E2345</f>
        <v>0</v>
      </c>
      <c r="I2345" s="291"/>
      <c r="J2345" s="254" t="s">
        <v>10</v>
      </c>
      <c r="K2345" s="303" t="s">
        <v>187</v>
      </c>
      <c r="L2345" s="303"/>
      <c r="M2345" s="303"/>
      <c r="N2345" s="325"/>
      <c r="P2345" s="309"/>
      <c r="Q2345" s="348"/>
    </row>
    <row r="2346" spans="1:17" s="308" customFormat="1" ht="14" outlineLevel="2">
      <c r="A2346" s="297"/>
      <c r="B2346" s="307" t="s">
        <v>50</v>
      </c>
      <c r="C2346" s="291" t="s">
        <v>48</v>
      </c>
      <c r="D2346" s="290"/>
      <c r="E2346" s="290"/>
      <c r="F2346" s="290"/>
      <c r="G2346" s="290">
        <f t="shared" si="463"/>
        <v>0</v>
      </c>
      <c r="H2346" s="290">
        <f t="shared" si="464"/>
        <v>0</v>
      </c>
      <c r="I2346" s="291"/>
      <c r="J2346" s="254" t="s">
        <v>10</v>
      </c>
      <c r="K2346" s="303" t="s">
        <v>187</v>
      </c>
      <c r="L2346" s="303"/>
      <c r="M2346" s="303" t="s">
        <v>147</v>
      </c>
      <c r="N2346" s="325"/>
      <c r="P2346" s="309"/>
      <c r="Q2346" s="348"/>
    </row>
    <row r="2347" spans="1:17" s="308" customFormat="1" ht="14" outlineLevel="1">
      <c r="A2347" s="280">
        <v>5</v>
      </c>
      <c r="B2347" s="242" t="s">
        <v>281</v>
      </c>
      <c r="C2347" s="291"/>
      <c r="D2347" s="290"/>
      <c r="E2347" s="290"/>
      <c r="F2347" s="290"/>
      <c r="G2347" s="283">
        <f>+SUBTOTAL(9,G2348:G2355)</f>
        <v>0</v>
      </c>
      <c r="H2347" s="283">
        <f>+SUBTOTAL(9,H2348:H2355)</f>
        <v>0</v>
      </c>
      <c r="I2347" s="291"/>
      <c r="J2347" s="303"/>
      <c r="K2347" s="421"/>
      <c r="L2347" s="303"/>
      <c r="M2347" s="303"/>
      <c r="P2347" s="309"/>
    </row>
    <row r="2348" spans="1:17" s="308" customFormat="1" ht="14" outlineLevel="3">
      <c r="A2348" s="297"/>
      <c r="B2348" s="411" t="s">
        <v>62</v>
      </c>
      <c r="C2348" s="291"/>
      <c r="D2348" s="290"/>
      <c r="E2348" s="290"/>
      <c r="F2348" s="290"/>
      <c r="G2348" s="290"/>
      <c r="H2348" s="290"/>
      <c r="I2348" s="291"/>
      <c r="J2348" s="303"/>
      <c r="K2348" s="421"/>
      <c r="L2348" s="303"/>
      <c r="M2348" s="303"/>
      <c r="P2348" s="309"/>
    </row>
    <row r="2349" spans="1:17" s="308" customFormat="1" ht="14" outlineLevel="3">
      <c r="A2349" s="297"/>
      <c r="B2349" s="307" t="s">
        <v>221</v>
      </c>
      <c r="C2349" s="291" t="s">
        <v>25</v>
      </c>
      <c r="D2349" s="290"/>
      <c r="E2349" s="290"/>
      <c r="F2349" s="290"/>
      <c r="G2349" s="290">
        <f t="shared" ref="G2349:G2355" si="465">F2349*D2349</f>
        <v>0</v>
      </c>
      <c r="H2349" s="290">
        <f t="shared" ref="H2349:H2355" si="466">F2349*E2349</f>
        <v>0</v>
      </c>
      <c r="I2349" s="291"/>
      <c r="J2349" s="254" t="s">
        <v>10</v>
      </c>
      <c r="K2349" s="303" t="s">
        <v>211</v>
      </c>
      <c r="L2349" s="303"/>
      <c r="M2349" s="303" t="s">
        <v>147</v>
      </c>
      <c r="N2349" s="325"/>
      <c r="P2349" s="309"/>
    </row>
    <row r="2350" spans="1:17" s="308" customFormat="1" ht="14" outlineLevel="3">
      <c r="A2350" s="297"/>
      <c r="B2350" s="307" t="s">
        <v>263</v>
      </c>
      <c r="C2350" s="291" t="s">
        <v>25</v>
      </c>
      <c r="D2350" s="290"/>
      <c r="E2350" s="290"/>
      <c r="F2350" s="290"/>
      <c r="G2350" s="290">
        <f t="shared" si="465"/>
        <v>0</v>
      </c>
      <c r="H2350" s="290">
        <f t="shared" si="466"/>
        <v>0</v>
      </c>
      <c r="I2350" s="291"/>
      <c r="J2350" s="254" t="s">
        <v>10</v>
      </c>
      <c r="K2350" s="303" t="s">
        <v>211</v>
      </c>
      <c r="L2350" s="303"/>
      <c r="M2350" s="303" t="s">
        <v>147</v>
      </c>
      <c r="N2350" s="325"/>
      <c r="P2350" s="309"/>
    </row>
    <row r="2351" spans="1:17" s="308" customFormat="1" ht="14" outlineLevel="3">
      <c r="A2351" s="297"/>
      <c r="B2351" s="307" t="s">
        <v>271</v>
      </c>
      <c r="C2351" s="291" t="s">
        <v>25</v>
      </c>
      <c r="D2351" s="290"/>
      <c r="E2351" s="290"/>
      <c r="F2351" s="290"/>
      <c r="G2351" s="290">
        <f t="shared" si="465"/>
        <v>0</v>
      </c>
      <c r="H2351" s="290">
        <f t="shared" si="466"/>
        <v>0</v>
      </c>
      <c r="I2351" s="291"/>
      <c r="J2351" s="254" t="s">
        <v>10</v>
      </c>
      <c r="K2351" s="303" t="s">
        <v>211</v>
      </c>
      <c r="L2351" s="303"/>
      <c r="M2351" s="303" t="s">
        <v>147</v>
      </c>
      <c r="N2351" s="325"/>
      <c r="P2351" s="309"/>
    </row>
    <row r="2352" spans="1:17" s="308" customFormat="1" ht="14" outlineLevel="3">
      <c r="A2352" s="297"/>
      <c r="B2352" s="307" t="s">
        <v>282</v>
      </c>
      <c r="C2352" s="291" t="s">
        <v>25</v>
      </c>
      <c r="D2352" s="290"/>
      <c r="E2352" s="290"/>
      <c r="F2352" s="290"/>
      <c r="G2352" s="290">
        <f t="shared" si="465"/>
        <v>0</v>
      </c>
      <c r="H2352" s="290">
        <f t="shared" si="466"/>
        <v>0</v>
      </c>
      <c r="I2352" s="291"/>
      <c r="J2352" s="254" t="s">
        <v>10</v>
      </c>
      <c r="K2352" s="303" t="s">
        <v>211</v>
      </c>
      <c r="L2352" s="303"/>
      <c r="M2352" s="303" t="s">
        <v>147</v>
      </c>
      <c r="N2352" s="325"/>
      <c r="P2352" s="309"/>
    </row>
    <row r="2353" spans="1:16" s="308" customFormat="1" ht="14" outlineLevel="3">
      <c r="A2353" s="297"/>
      <c r="B2353" s="307" t="s">
        <v>130</v>
      </c>
      <c r="C2353" s="291" t="s">
        <v>25</v>
      </c>
      <c r="D2353" s="290"/>
      <c r="E2353" s="290"/>
      <c r="F2353" s="290"/>
      <c r="G2353" s="290">
        <f t="shared" si="465"/>
        <v>0</v>
      </c>
      <c r="H2353" s="290">
        <f t="shared" si="466"/>
        <v>0</v>
      </c>
      <c r="I2353" s="291"/>
      <c r="J2353" s="254" t="s">
        <v>10</v>
      </c>
      <c r="K2353" s="303" t="s">
        <v>211</v>
      </c>
      <c r="L2353" s="303"/>
      <c r="M2353" s="303" t="s">
        <v>147</v>
      </c>
      <c r="N2353" s="325"/>
      <c r="P2353" s="309"/>
    </row>
    <row r="2354" spans="1:16" s="308" customFormat="1" ht="14" outlineLevel="3">
      <c r="A2354" s="297"/>
      <c r="B2354" s="307" t="s">
        <v>283</v>
      </c>
      <c r="C2354" s="291" t="s">
        <v>25</v>
      </c>
      <c r="D2354" s="290"/>
      <c r="E2354" s="290"/>
      <c r="F2354" s="290"/>
      <c r="G2354" s="290">
        <f t="shared" si="465"/>
        <v>0</v>
      </c>
      <c r="H2354" s="290">
        <f t="shared" si="466"/>
        <v>0</v>
      </c>
      <c r="I2354" s="291"/>
      <c r="J2354" s="254" t="s">
        <v>10</v>
      </c>
      <c r="K2354" s="303" t="s">
        <v>211</v>
      </c>
      <c r="L2354" s="303"/>
      <c r="M2354" s="303" t="s">
        <v>147</v>
      </c>
      <c r="N2354" s="325"/>
      <c r="P2354" s="309"/>
    </row>
    <row r="2355" spans="1:16" s="308" customFormat="1" ht="14" outlineLevel="3">
      <c r="A2355" s="297"/>
      <c r="B2355" s="307" t="s">
        <v>284</v>
      </c>
      <c r="C2355" s="291" t="s">
        <v>25</v>
      </c>
      <c r="D2355" s="290"/>
      <c r="E2355" s="290"/>
      <c r="F2355" s="290"/>
      <c r="G2355" s="290">
        <f t="shared" si="465"/>
        <v>0</v>
      </c>
      <c r="H2355" s="290">
        <f t="shared" si="466"/>
        <v>0</v>
      </c>
      <c r="I2355" s="291"/>
      <c r="J2355" s="254" t="s">
        <v>10</v>
      </c>
      <c r="K2355" s="303" t="s">
        <v>211</v>
      </c>
      <c r="L2355" s="303"/>
      <c r="M2355" s="303" t="s">
        <v>147</v>
      </c>
      <c r="N2355" s="325"/>
      <c r="P2355" s="309"/>
    </row>
    <row r="2356" spans="1:16" s="305" customFormat="1" ht="14">
      <c r="A2356" s="376" t="s">
        <v>26</v>
      </c>
      <c r="B2356" s="377" t="s">
        <v>66</v>
      </c>
      <c r="C2356" s="268"/>
      <c r="D2356" s="270"/>
      <c r="E2356" s="270"/>
      <c r="F2356" s="378"/>
      <c r="G2356" s="422">
        <f>SUBTOTAL(9,G2357:G2592)</f>
        <v>0</v>
      </c>
      <c r="H2356" s="422">
        <f>SUBTOTAL(9,H2357:H2592)</f>
        <v>0</v>
      </c>
      <c r="I2356" s="270"/>
      <c r="J2356" s="303"/>
      <c r="K2356" s="409"/>
      <c r="L2356" s="409"/>
      <c r="M2356" s="302"/>
      <c r="N2356" s="323"/>
      <c r="O2356" s="326"/>
      <c r="P2356" s="327"/>
    </row>
    <row r="2357" spans="1:16" s="388" customFormat="1" ht="14">
      <c r="A2357" s="280">
        <v>1</v>
      </c>
      <c r="B2357" s="242" t="s">
        <v>67</v>
      </c>
      <c r="C2357" s="423"/>
      <c r="D2357" s="294"/>
      <c r="E2357" s="294"/>
      <c r="F2357" s="424"/>
      <c r="G2357" s="425"/>
      <c r="H2357" s="425"/>
      <c r="I2357" s="294"/>
      <c r="J2357" s="387"/>
      <c r="K2357" s="426"/>
      <c r="L2357" s="426"/>
      <c r="M2357" s="387"/>
      <c r="N2357" s="404"/>
      <c r="O2357" s="427"/>
      <c r="P2357" s="327"/>
    </row>
    <row r="2358" spans="1:16" s="388" customFormat="1" ht="14">
      <c r="A2358" s="381">
        <v>1</v>
      </c>
      <c r="B2358" s="382" t="s">
        <v>952</v>
      </c>
      <c r="C2358" s="383"/>
      <c r="D2358" s="383"/>
      <c r="E2358" s="383"/>
      <c r="F2358" s="383"/>
      <c r="G2358" s="383"/>
      <c r="H2358" s="383"/>
      <c r="I2358" s="383"/>
      <c r="J2358" s="383"/>
      <c r="K2358" s="383"/>
      <c r="L2358" s="383"/>
      <c r="M2358" s="383"/>
      <c r="N2358" s="404"/>
      <c r="O2358" s="427"/>
      <c r="P2358" s="327"/>
    </row>
    <row r="2359" spans="1:16" s="388" customFormat="1" ht="14">
      <c r="A2359" s="381">
        <v>1.1000000000000001</v>
      </c>
      <c r="B2359" s="382" t="s">
        <v>953</v>
      </c>
      <c r="C2359" s="383"/>
      <c r="D2359" s="383"/>
      <c r="E2359" s="383"/>
      <c r="F2359" s="383"/>
      <c r="G2359" s="383"/>
      <c r="H2359" s="383"/>
      <c r="I2359" s="383"/>
      <c r="J2359" s="383"/>
      <c r="K2359" s="383"/>
      <c r="L2359" s="383"/>
      <c r="M2359" s="383"/>
      <c r="N2359" s="404"/>
      <c r="O2359" s="427"/>
      <c r="P2359" s="327"/>
    </row>
    <row r="2360" spans="1:16" s="388" customFormat="1" ht="14">
      <c r="A2360" s="218" t="s">
        <v>505</v>
      </c>
      <c r="B2360" s="238" t="s">
        <v>954</v>
      </c>
      <c r="C2360" s="220"/>
      <c r="D2360" s="294"/>
      <c r="E2360" s="294"/>
      <c r="F2360" s="424"/>
      <c r="G2360" s="425"/>
      <c r="H2360" s="425"/>
      <c r="I2360" s="294"/>
      <c r="J2360" s="387"/>
      <c r="K2360" s="426"/>
      <c r="L2360" s="426"/>
      <c r="M2360" s="387"/>
      <c r="N2360" s="404"/>
      <c r="O2360" s="427"/>
      <c r="P2360" s="327"/>
    </row>
    <row r="2361" spans="1:16" s="388" customFormat="1" ht="14">
      <c r="A2361" s="221" t="s">
        <v>8</v>
      </c>
      <c r="B2361" s="216" t="s">
        <v>955</v>
      </c>
      <c r="C2361" s="222" t="s">
        <v>133</v>
      </c>
      <c r="D2361" s="294"/>
      <c r="E2361" s="294"/>
      <c r="F2361" s="428">
        <v>8.7899999999999991</v>
      </c>
      <c r="G2361" s="290">
        <f t="shared" ref="G2361:H2362" si="467">D2361*$F2361</f>
        <v>0</v>
      </c>
      <c r="H2361" s="290">
        <f t="shared" si="467"/>
        <v>0</v>
      </c>
      <c r="I2361" s="294"/>
      <c r="J2361" s="387"/>
      <c r="K2361" s="387" t="s">
        <v>112</v>
      </c>
      <c r="L2361" s="379" t="s">
        <v>58</v>
      </c>
      <c r="M2361" s="387"/>
      <c r="N2361" s="404"/>
      <c r="O2361" s="427"/>
      <c r="P2361" s="327"/>
    </row>
    <row r="2362" spans="1:16" s="388" customFormat="1" ht="14">
      <c r="A2362" s="221" t="s">
        <v>8</v>
      </c>
      <c r="B2362" s="216" t="s">
        <v>956</v>
      </c>
      <c r="C2362" s="222" t="s">
        <v>31</v>
      </c>
      <c r="D2362" s="294"/>
      <c r="E2362" s="294"/>
      <c r="F2362" s="428">
        <v>30.19</v>
      </c>
      <c r="G2362" s="290">
        <f t="shared" si="467"/>
        <v>0</v>
      </c>
      <c r="H2362" s="290">
        <f t="shared" si="467"/>
        <v>0</v>
      </c>
      <c r="I2362" s="294"/>
      <c r="J2362" s="387"/>
      <c r="K2362" s="387" t="s">
        <v>112</v>
      </c>
      <c r="L2362" s="379" t="s">
        <v>58</v>
      </c>
      <c r="M2362" s="387"/>
      <c r="N2362" s="404"/>
      <c r="O2362" s="427"/>
      <c r="P2362" s="327"/>
    </row>
    <row r="2363" spans="1:16" s="388" customFormat="1" ht="14">
      <c r="A2363" s="218" t="s">
        <v>509</v>
      </c>
      <c r="B2363" s="219" t="s">
        <v>957</v>
      </c>
      <c r="C2363" s="220"/>
      <c r="D2363" s="294"/>
      <c r="E2363" s="294"/>
      <c r="F2363" s="424"/>
      <c r="G2363" s="425"/>
      <c r="H2363" s="425"/>
      <c r="I2363" s="294"/>
      <c r="J2363" s="387"/>
      <c r="K2363" s="387"/>
      <c r="L2363" s="426"/>
      <c r="M2363" s="387"/>
      <c r="N2363" s="404"/>
      <c r="O2363" s="427"/>
      <c r="P2363" s="327"/>
    </row>
    <row r="2364" spans="1:16" s="388" customFormat="1" ht="14">
      <c r="A2364" s="221" t="s">
        <v>8</v>
      </c>
      <c r="B2364" s="216" t="s">
        <v>958</v>
      </c>
      <c r="C2364" s="222" t="s">
        <v>15</v>
      </c>
      <c r="D2364" s="294"/>
      <c r="E2364" s="294"/>
      <c r="F2364" s="428">
        <v>352.98</v>
      </c>
      <c r="G2364" s="290">
        <f t="shared" ref="G2364:H2364" si="468">D2364*$F2364</f>
        <v>0</v>
      </c>
      <c r="H2364" s="290">
        <f t="shared" si="468"/>
        <v>0</v>
      </c>
      <c r="I2364" s="294"/>
      <c r="J2364" s="387"/>
      <c r="K2364" s="387" t="s">
        <v>112</v>
      </c>
      <c r="L2364" s="379" t="s">
        <v>58</v>
      </c>
      <c r="M2364" s="387"/>
      <c r="N2364" s="404"/>
      <c r="O2364" s="427"/>
      <c r="P2364" s="327"/>
    </row>
    <row r="2365" spans="1:16" s="388" customFormat="1" ht="14">
      <c r="A2365" s="218" t="s">
        <v>512</v>
      </c>
      <c r="B2365" s="219" t="s">
        <v>959</v>
      </c>
      <c r="C2365" s="220"/>
      <c r="D2365" s="294"/>
      <c r="E2365" s="294"/>
      <c r="F2365" s="424"/>
      <c r="G2365" s="425"/>
      <c r="H2365" s="425"/>
      <c r="I2365" s="294"/>
      <c r="J2365" s="387"/>
      <c r="K2365" s="387"/>
      <c r="L2365" s="426"/>
      <c r="M2365" s="387"/>
      <c r="N2365" s="404"/>
      <c r="O2365" s="427"/>
      <c r="P2365" s="327"/>
    </row>
    <row r="2366" spans="1:16" s="388" customFormat="1" ht="14">
      <c r="A2366" s="221" t="s">
        <v>8</v>
      </c>
      <c r="B2366" s="216" t="s">
        <v>960</v>
      </c>
      <c r="C2366" s="222" t="s">
        <v>24</v>
      </c>
      <c r="D2366" s="294"/>
      <c r="E2366" s="294"/>
      <c r="F2366" s="428">
        <v>182.42</v>
      </c>
      <c r="G2366" s="290">
        <f t="shared" ref="G2366:H2366" si="469">D2366*$F2366</f>
        <v>0</v>
      </c>
      <c r="H2366" s="290">
        <f t="shared" si="469"/>
        <v>0</v>
      </c>
      <c r="I2366" s="294"/>
      <c r="J2366" s="387"/>
      <c r="K2366" s="387" t="s">
        <v>112</v>
      </c>
      <c r="L2366" s="379" t="s">
        <v>58</v>
      </c>
      <c r="M2366" s="387"/>
      <c r="N2366" s="404"/>
      <c r="O2366" s="427"/>
      <c r="P2366" s="327"/>
    </row>
    <row r="2367" spans="1:16" s="388" customFormat="1" ht="14">
      <c r="A2367" s="218" t="s">
        <v>515</v>
      </c>
      <c r="B2367" s="219" t="s">
        <v>961</v>
      </c>
      <c r="C2367" s="220"/>
      <c r="D2367" s="294"/>
      <c r="E2367" s="294"/>
      <c r="F2367" s="424"/>
      <c r="G2367" s="425"/>
      <c r="H2367" s="425"/>
      <c r="I2367" s="294"/>
      <c r="J2367" s="387"/>
      <c r="K2367" s="387"/>
      <c r="L2367" s="426"/>
      <c r="M2367" s="387"/>
      <c r="N2367" s="404"/>
      <c r="O2367" s="427"/>
      <c r="P2367" s="327"/>
    </row>
    <row r="2368" spans="1:16" s="388" customFormat="1" ht="14">
      <c r="A2368" s="218" t="s">
        <v>517</v>
      </c>
      <c r="B2368" s="219" t="s">
        <v>962</v>
      </c>
      <c r="C2368" s="220"/>
      <c r="D2368" s="294"/>
      <c r="E2368" s="294"/>
      <c r="F2368" s="424"/>
      <c r="G2368" s="425"/>
      <c r="H2368" s="425"/>
      <c r="I2368" s="294"/>
      <c r="J2368" s="387"/>
      <c r="K2368" s="387"/>
      <c r="L2368" s="426"/>
      <c r="M2368" s="387"/>
      <c r="N2368" s="404"/>
      <c r="O2368" s="427"/>
      <c r="P2368" s="327"/>
    </row>
    <row r="2369" spans="1:16" s="388" customFormat="1" ht="14">
      <c r="A2369" s="221" t="s">
        <v>8</v>
      </c>
      <c r="B2369" s="216" t="s">
        <v>963</v>
      </c>
      <c r="C2369" s="222" t="s">
        <v>31</v>
      </c>
      <c r="D2369" s="294"/>
      <c r="E2369" s="294"/>
      <c r="F2369" s="428">
        <v>30.19</v>
      </c>
      <c r="G2369" s="290">
        <f t="shared" ref="G2369:H2371" si="470">D2369*$F2369</f>
        <v>0</v>
      </c>
      <c r="H2369" s="290">
        <f t="shared" si="470"/>
        <v>0</v>
      </c>
      <c r="I2369" s="294"/>
      <c r="J2369" s="387"/>
      <c r="K2369" s="387" t="s">
        <v>112</v>
      </c>
      <c r="L2369" s="379" t="s">
        <v>58</v>
      </c>
      <c r="M2369" s="387"/>
      <c r="N2369" s="404"/>
      <c r="O2369" s="427"/>
      <c r="P2369" s="327"/>
    </row>
    <row r="2370" spans="1:16" s="388" customFormat="1" ht="14">
      <c r="A2370" s="221" t="s">
        <v>8</v>
      </c>
      <c r="B2370" s="216" t="s">
        <v>964</v>
      </c>
      <c r="C2370" s="222" t="s">
        <v>15</v>
      </c>
      <c r="D2370" s="294"/>
      <c r="E2370" s="294"/>
      <c r="F2370" s="428">
        <v>0.61</v>
      </c>
      <c r="G2370" s="290">
        <f t="shared" si="470"/>
        <v>0</v>
      </c>
      <c r="H2370" s="290">
        <f t="shared" si="470"/>
        <v>0</v>
      </c>
      <c r="I2370" s="294"/>
      <c r="J2370" s="387"/>
      <c r="K2370" s="387" t="s">
        <v>112</v>
      </c>
      <c r="L2370" s="379" t="s">
        <v>58</v>
      </c>
      <c r="M2370" s="387"/>
      <c r="N2370" s="404"/>
      <c r="O2370" s="427"/>
      <c r="P2370" s="327"/>
    </row>
    <row r="2371" spans="1:16" s="388" customFormat="1" ht="14">
      <c r="A2371" s="221" t="s">
        <v>8</v>
      </c>
      <c r="B2371" s="216" t="s">
        <v>965</v>
      </c>
      <c r="C2371" s="222" t="s">
        <v>15</v>
      </c>
      <c r="D2371" s="294"/>
      <c r="E2371" s="294"/>
      <c r="F2371" s="429">
        <v>0.61</v>
      </c>
      <c r="G2371" s="290">
        <f t="shared" si="470"/>
        <v>0</v>
      </c>
      <c r="H2371" s="290">
        <f t="shared" si="470"/>
        <v>0</v>
      </c>
      <c r="I2371" s="294"/>
      <c r="J2371" s="387"/>
      <c r="K2371" s="387" t="s">
        <v>112</v>
      </c>
      <c r="L2371" s="379" t="s">
        <v>58</v>
      </c>
      <c r="M2371" s="387"/>
      <c r="N2371" s="404"/>
      <c r="O2371" s="427"/>
      <c r="P2371" s="327"/>
    </row>
    <row r="2372" spans="1:16" s="388" customFormat="1" ht="14">
      <c r="A2372" s="218" t="s">
        <v>522</v>
      </c>
      <c r="B2372" s="219" t="s">
        <v>966</v>
      </c>
      <c r="C2372" s="220"/>
      <c r="D2372" s="294"/>
      <c r="E2372" s="294"/>
      <c r="F2372" s="424"/>
      <c r="G2372" s="425"/>
      <c r="H2372" s="425"/>
      <c r="I2372" s="294"/>
      <c r="J2372" s="387"/>
      <c r="K2372" s="387"/>
      <c r="L2372" s="426"/>
      <c r="M2372" s="387"/>
      <c r="N2372" s="404"/>
      <c r="O2372" s="427"/>
      <c r="P2372" s="327"/>
    </row>
    <row r="2373" spans="1:16" s="388" customFormat="1" ht="14">
      <c r="A2373" s="221" t="s">
        <v>8</v>
      </c>
      <c r="B2373" s="216" t="s">
        <v>967</v>
      </c>
      <c r="C2373" s="222" t="s">
        <v>10</v>
      </c>
      <c r="D2373" s="294"/>
      <c r="E2373" s="294"/>
      <c r="F2373" s="424"/>
      <c r="G2373" s="290">
        <f t="shared" ref="G2373:H2374" si="471">D2373*$F2373</f>
        <v>0</v>
      </c>
      <c r="H2373" s="290">
        <f t="shared" si="471"/>
        <v>0</v>
      </c>
      <c r="I2373" s="294"/>
      <c r="J2373" s="387"/>
      <c r="K2373" s="387" t="s">
        <v>112</v>
      </c>
      <c r="L2373" s="379" t="s">
        <v>58</v>
      </c>
      <c r="M2373" s="387"/>
      <c r="N2373" s="404"/>
      <c r="O2373" s="427"/>
      <c r="P2373" s="327"/>
    </row>
    <row r="2374" spans="1:16" s="388" customFormat="1" ht="14">
      <c r="A2374" s="221" t="s">
        <v>8</v>
      </c>
      <c r="B2374" s="216" t="s">
        <v>968</v>
      </c>
      <c r="C2374" s="222" t="s">
        <v>10</v>
      </c>
      <c r="D2374" s="294"/>
      <c r="E2374" s="294"/>
      <c r="F2374" s="424"/>
      <c r="G2374" s="290">
        <f t="shared" si="471"/>
        <v>0</v>
      </c>
      <c r="H2374" s="290">
        <f t="shared" si="471"/>
        <v>0</v>
      </c>
      <c r="I2374" s="294"/>
      <c r="J2374" s="387"/>
      <c r="K2374" s="387" t="s">
        <v>112</v>
      </c>
      <c r="L2374" s="379" t="s">
        <v>58</v>
      </c>
      <c r="M2374" s="387"/>
      <c r="N2374" s="404"/>
      <c r="O2374" s="427"/>
      <c r="P2374" s="327"/>
    </row>
    <row r="2375" spans="1:16" s="388" customFormat="1" ht="14">
      <c r="A2375" s="218" t="s">
        <v>526</v>
      </c>
      <c r="B2375" s="219" t="s">
        <v>969</v>
      </c>
      <c r="C2375" s="220"/>
      <c r="D2375" s="294"/>
      <c r="E2375" s="294"/>
      <c r="F2375" s="424"/>
      <c r="G2375" s="425"/>
      <c r="H2375" s="425"/>
      <c r="I2375" s="294"/>
      <c r="J2375" s="387"/>
      <c r="K2375" s="387"/>
      <c r="L2375" s="426"/>
      <c r="M2375" s="387"/>
      <c r="N2375" s="404"/>
      <c r="O2375" s="427"/>
      <c r="P2375" s="327"/>
    </row>
    <row r="2376" spans="1:16" s="388" customFormat="1" ht="14">
      <c r="A2376" s="221" t="s">
        <v>8</v>
      </c>
      <c r="B2376" s="216" t="s">
        <v>970</v>
      </c>
      <c r="C2376" s="222" t="s">
        <v>15</v>
      </c>
      <c r="D2376" s="294"/>
      <c r="E2376" s="294"/>
      <c r="F2376" s="428">
        <v>3.0819999999999999</v>
      </c>
      <c r="G2376" s="290">
        <f t="shared" ref="G2376:H2379" si="472">D2376*$F2376</f>
        <v>0</v>
      </c>
      <c r="H2376" s="290">
        <f t="shared" si="472"/>
        <v>0</v>
      </c>
      <c r="I2376" s="294"/>
      <c r="J2376" s="387"/>
      <c r="K2376" s="387" t="s">
        <v>112</v>
      </c>
      <c r="L2376" s="379" t="s">
        <v>58</v>
      </c>
      <c r="M2376" s="387"/>
      <c r="N2376" s="404"/>
      <c r="O2376" s="427"/>
      <c r="P2376" s="327"/>
    </row>
    <row r="2377" spans="1:16" s="388" customFormat="1" ht="14">
      <c r="A2377" s="221" t="s">
        <v>8</v>
      </c>
      <c r="B2377" s="216" t="s">
        <v>971</v>
      </c>
      <c r="C2377" s="222" t="s">
        <v>15</v>
      </c>
      <c r="D2377" s="294"/>
      <c r="E2377" s="294"/>
      <c r="F2377" s="428">
        <v>3.71</v>
      </c>
      <c r="G2377" s="290">
        <f t="shared" si="472"/>
        <v>0</v>
      </c>
      <c r="H2377" s="290">
        <f t="shared" si="472"/>
        <v>0</v>
      </c>
      <c r="I2377" s="294"/>
      <c r="J2377" s="387"/>
      <c r="K2377" s="387" t="s">
        <v>112</v>
      </c>
      <c r="L2377" s="379" t="s">
        <v>58</v>
      </c>
      <c r="M2377" s="387"/>
      <c r="N2377" s="404"/>
      <c r="O2377" s="427"/>
      <c r="P2377" s="327"/>
    </row>
    <row r="2378" spans="1:16" s="388" customFormat="1" ht="14">
      <c r="A2378" s="204" t="s">
        <v>8</v>
      </c>
      <c r="B2378" s="205" t="s">
        <v>972</v>
      </c>
      <c r="C2378" s="206" t="s">
        <v>15</v>
      </c>
      <c r="D2378" s="294"/>
      <c r="E2378" s="294"/>
      <c r="F2378" s="428">
        <v>5.44</v>
      </c>
      <c r="G2378" s="290">
        <f t="shared" si="472"/>
        <v>0</v>
      </c>
      <c r="H2378" s="290">
        <f t="shared" si="472"/>
        <v>0</v>
      </c>
      <c r="I2378" s="294"/>
      <c r="J2378" s="387"/>
      <c r="K2378" s="387" t="s">
        <v>112</v>
      </c>
      <c r="L2378" s="379" t="s">
        <v>58</v>
      </c>
      <c r="M2378" s="387"/>
      <c r="N2378" s="404"/>
      <c r="O2378" s="427"/>
      <c r="P2378" s="327"/>
    </row>
    <row r="2379" spans="1:16" s="388" customFormat="1" ht="14">
      <c r="A2379" s="204" t="s">
        <v>8</v>
      </c>
      <c r="B2379" s="205" t="s">
        <v>973</v>
      </c>
      <c r="C2379" s="206" t="s">
        <v>15</v>
      </c>
      <c r="D2379" s="294"/>
      <c r="E2379" s="294"/>
      <c r="F2379" s="428">
        <v>0.62</v>
      </c>
      <c r="G2379" s="290">
        <f t="shared" si="472"/>
        <v>0</v>
      </c>
      <c r="H2379" s="290">
        <f t="shared" si="472"/>
        <v>0</v>
      </c>
      <c r="I2379" s="294"/>
      <c r="J2379" s="387"/>
      <c r="K2379" s="387" t="s">
        <v>112</v>
      </c>
      <c r="L2379" s="379" t="s">
        <v>58</v>
      </c>
      <c r="M2379" s="387"/>
      <c r="N2379" s="404"/>
      <c r="O2379" s="427"/>
      <c r="P2379" s="327"/>
    </row>
    <row r="2380" spans="1:16" s="388" customFormat="1" ht="14">
      <c r="A2380" s="223" t="s">
        <v>479</v>
      </c>
      <c r="B2380" s="224" t="s">
        <v>974</v>
      </c>
      <c r="C2380" s="225"/>
      <c r="D2380" s="225"/>
      <c r="E2380" s="225"/>
      <c r="F2380" s="225"/>
      <c r="G2380" s="225"/>
      <c r="H2380" s="225"/>
      <c r="I2380" s="225"/>
      <c r="J2380" s="384"/>
      <c r="K2380" s="384"/>
      <c r="L2380" s="225"/>
      <c r="M2380" s="225"/>
      <c r="N2380" s="404"/>
      <c r="O2380" s="427"/>
      <c r="P2380" s="327"/>
    </row>
    <row r="2381" spans="1:16" s="388" customFormat="1" ht="14">
      <c r="A2381" s="218" t="s">
        <v>533</v>
      </c>
      <c r="B2381" s="219" t="s">
        <v>975</v>
      </c>
      <c r="C2381" s="220"/>
      <c r="D2381" s="294"/>
      <c r="E2381" s="294"/>
      <c r="F2381" s="424"/>
      <c r="G2381" s="425"/>
      <c r="H2381" s="425"/>
      <c r="I2381" s="294"/>
      <c r="J2381" s="387"/>
      <c r="K2381" s="387"/>
      <c r="L2381" s="426"/>
      <c r="M2381" s="387"/>
      <c r="N2381" s="404"/>
      <c r="O2381" s="427"/>
      <c r="P2381" s="327"/>
    </row>
    <row r="2382" spans="1:16" s="388" customFormat="1" ht="14">
      <c r="A2382" s="221" t="s">
        <v>8</v>
      </c>
      <c r="B2382" s="216" t="s">
        <v>955</v>
      </c>
      <c r="C2382" s="222" t="s">
        <v>133</v>
      </c>
      <c r="D2382" s="294"/>
      <c r="E2382" s="294"/>
      <c r="F2382" s="428">
        <v>8.7899999999999991</v>
      </c>
      <c r="G2382" s="290">
        <f t="shared" ref="G2382:H2383" si="473">D2382*$F2382</f>
        <v>0</v>
      </c>
      <c r="H2382" s="290">
        <f t="shared" si="473"/>
        <v>0</v>
      </c>
      <c r="I2382" s="294"/>
      <c r="J2382" s="387"/>
      <c r="K2382" s="387" t="s">
        <v>112</v>
      </c>
      <c r="L2382" s="379" t="s">
        <v>58</v>
      </c>
      <c r="M2382" s="387"/>
      <c r="N2382" s="404"/>
      <c r="O2382" s="427"/>
      <c r="P2382" s="327"/>
    </row>
    <row r="2383" spans="1:16" s="388" customFormat="1" ht="14">
      <c r="A2383" s="221" t="s">
        <v>8</v>
      </c>
      <c r="B2383" s="216" t="s">
        <v>956</v>
      </c>
      <c r="C2383" s="222" t="s">
        <v>31</v>
      </c>
      <c r="D2383" s="294"/>
      <c r="E2383" s="294"/>
      <c r="F2383" s="428">
        <v>30.19</v>
      </c>
      <c r="G2383" s="290">
        <f t="shared" si="473"/>
        <v>0</v>
      </c>
      <c r="H2383" s="290">
        <f t="shared" si="473"/>
        <v>0</v>
      </c>
      <c r="I2383" s="294"/>
      <c r="J2383" s="387"/>
      <c r="K2383" s="387" t="s">
        <v>112</v>
      </c>
      <c r="L2383" s="379" t="s">
        <v>58</v>
      </c>
      <c r="M2383" s="387"/>
      <c r="N2383" s="404"/>
      <c r="O2383" s="427"/>
      <c r="P2383" s="327"/>
    </row>
    <row r="2384" spans="1:16" s="388" customFormat="1" ht="14">
      <c r="A2384" s="218" t="s">
        <v>534</v>
      </c>
      <c r="B2384" s="219" t="s">
        <v>957</v>
      </c>
      <c r="C2384" s="220"/>
      <c r="D2384" s="294"/>
      <c r="E2384" s="294"/>
      <c r="F2384" s="424"/>
      <c r="G2384" s="425"/>
      <c r="H2384" s="425"/>
      <c r="I2384" s="294"/>
      <c r="J2384" s="387"/>
      <c r="K2384" s="387"/>
      <c r="L2384" s="426"/>
      <c r="M2384" s="387"/>
      <c r="N2384" s="404"/>
      <c r="O2384" s="427"/>
      <c r="P2384" s="327"/>
    </row>
    <row r="2385" spans="1:16" s="388" customFormat="1" ht="14">
      <c r="A2385" s="221" t="s">
        <v>8</v>
      </c>
      <c r="B2385" s="216" t="s">
        <v>958</v>
      </c>
      <c r="C2385" s="222" t="s">
        <v>15</v>
      </c>
      <c r="D2385" s="294"/>
      <c r="E2385" s="294"/>
      <c r="F2385" s="428">
        <v>352.98</v>
      </c>
      <c r="G2385" s="290">
        <f t="shared" ref="G2385:H2385" si="474">D2385*$F2385</f>
        <v>0</v>
      </c>
      <c r="H2385" s="290">
        <f t="shared" si="474"/>
        <v>0</v>
      </c>
      <c r="I2385" s="294"/>
      <c r="J2385" s="387"/>
      <c r="K2385" s="387" t="s">
        <v>112</v>
      </c>
      <c r="L2385" s="379" t="s">
        <v>58</v>
      </c>
      <c r="M2385" s="387"/>
      <c r="N2385" s="404"/>
      <c r="O2385" s="427"/>
      <c r="P2385" s="327"/>
    </row>
    <row r="2386" spans="1:16" s="388" customFormat="1" ht="14">
      <c r="A2386" s="218" t="s">
        <v>535</v>
      </c>
      <c r="B2386" s="219" t="s">
        <v>961</v>
      </c>
      <c r="C2386" s="220"/>
      <c r="D2386" s="294"/>
      <c r="E2386" s="294"/>
      <c r="F2386" s="424"/>
      <c r="G2386" s="425"/>
      <c r="H2386" s="425"/>
      <c r="I2386" s="294"/>
      <c r="J2386" s="387"/>
      <c r="K2386" s="387"/>
      <c r="L2386" s="426"/>
      <c r="M2386" s="387"/>
      <c r="N2386" s="404"/>
      <c r="O2386" s="427"/>
      <c r="P2386" s="327"/>
    </row>
    <row r="2387" spans="1:16" s="388" customFormat="1" ht="14">
      <c r="A2387" s="218" t="s">
        <v>536</v>
      </c>
      <c r="B2387" s="219" t="s">
        <v>962</v>
      </c>
      <c r="C2387" s="220"/>
      <c r="D2387" s="294"/>
      <c r="E2387" s="294"/>
      <c r="F2387" s="424"/>
      <c r="G2387" s="425"/>
      <c r="H2387" s="425"/>
      <c r="I2387" s="294"/>
      <c r="J2387" s="387"/>
      <c r="K2387" s="387"/>
      <c r="L2387" s="426"/>
      <c r="M2387" s="387"/>
      <c r="N2387" s="404"/>
      <c r="O2387" s="427"/>
      <c r="P2387" s="327"/>
    </row>
    <row r="2388" spans="1:16" s="388" customFormat="1" ht="14">
      <c r="A2388" s="221" t="s">
        <v>8</v>
      </c>
      <c r="B2388" s="216" t="s">
        <v>963</v>
      </c>
      <c r="C2388" s="222" t="s">
        <v>31</v>
      </c>
      <c r="D2388" s="294"/>
      <c r="E2388" s="294"/>
      <c r="F2388" s="428">
        <v>30.19</v>
      </c>
      <c r="G2388" s="290">
        <f t="shared" ref="G2388:H2390" si="475">D2388*$F2388</f>
        <v>0</v>
      </c>
      <c r="H2388" s="290">
        <f t="shared" si="475"/>
        <v>0</v>
      </c>
      <c r="I2388" s="294"/>
      <c r="J2388" s="387"/>
      <c r="K2388" s="387" t="s">
        <v>112</v>
      </c>
      <c r="L2388" s="379" t="s">
        <v>58</v>
      </c>
      <c r="M2388" s="387"/>
      <c r="N2388" s="404"/>
      <c r="O2388" s="427"/>
      <c r="P2388" s="327"/>
    </row>
    <row r="2389" spans="1:16" s="388" customFormat="1" ht="14">
      <c r="A2389" s="221" t="s">
        <v>8</v>
      </c>
      <c r="B2389" s="216" t="s">
        <v>964</v>
      </c>
      <c r="C2389" s="222" t="s">
        <v>15</v>
      </c>
      <c r="D2389" s="294"/>
      <c r="E2389" s="294"/>
      <c r="F2389" s="428">
        <v>0.61</v>
      </c>
      <c r="G2389" s="290">
        <f t="shared" si="475"/>
        <v>0</v>
      </c>
      <c r="H2389" s="290">
        <f t="shared" si="475"/>
        <v>0</v>
      </c>
      <c r="I2389" s="294"/>
      <c r="J2389" s="387"/>
      <c r="K2389" s="387" t="s">
        <v>112</v>
      </c>
      <c r="L2389" s="379" t="s">
        <v>58</v>
      </c>
      <c r="M2389" s="387"/>
      <c r="N2389" s="404"/>
      <c r="O2389" s="427"/>
      <c r="P2389" s="327"/>
    </row>
    <row r="2390" spans="1:16" s="388" customFormat="1" ht="14">
      <c r="A2390" s="221" t="s">
        <v>8</v>
      </c>
      <c r="B2390" s="216" t="s">
        <v>965</v>
      </c>
      <c r="C2390" s="222" t="s">
        <v>15</v>
      </c>
      <c r="D2390" s="294"/>
      <c r="E2390" s="294"/>
      <c r="F2390" s="429">
        <v>0.61</v>
      </c>
      <c r="G2390" s="290">
        <f t="shared" si="475"/>
        <v>0</v>
      </c>
      <c r="H2390" s="290">
        <f t="shared" si="475"/>
        <v>0</v>
      </c>
      <c r="I2390" s="294"/>
      <c r="J2390" s="387"/>
      <c r="K2390" s="387" t="s">
        <v>112</v>
      </c>
      <c r="L2390" s="379" t="s">
        <v>58</v>
      </c>
      <c r="M2390" s="387"/>
      <c r="N2390" s="404"/>
      <c r="O2390" s="427"/>
      <c r="P2390" s="327"/>
    </row>
    <row r="2391" spans="1:16" s="388" customFormat="1" ht="14">
      <c r="A2391" s="218" t="s">
        <v>537</v>
      </c>
      <c r="B2391" s="219" t="s">
        <v>966</v>
      </c>
      <c r="C2391" s="220"/>
      <c r="D2391" s="294"/>
      <c r="E2391" s="294"/>
      <c r="F2391" s="424"/>
      <c r="G2391" s="425"/>
      <c r="H2391" s="425"/>
      <c r="I2391" s="294"/>
      <c r="J2391" s="387"/>
      <c r="K2391" s="387"/>
      <c r="L2391" s="426"/>
      <c r="M2391" s="387"/>
      <c r="N2391" s="404"/>
      <c r="O2391" s="427"/>
      <c r="P2391" s="327"/>
    </row>
    <row r="2392" spans="1:16" s="388" customFormat="1" ht="14">
      <c r="A2392" s="221" t="s">
        <v>8</v>
      </c>
      <c r="B2392" s="216" t="s">
        <v>967</v>
      </c>
      <c r="C2392" s="222" t="s">
        <v>10</v>
      </c>
      <c r="D2392" s="294"/>
      <c r="E2392" s="294"/>
      <c r="F2392" s="424"/>
      <c r="G2392" s="290">
        <f t="shared" ref="G2392:H2395" si="476">D2392*$F2392</f>
        <v>0</v>
      </c>
      <c r="H2392" s="290">
        <f t="shared" si="476"/>
        <v>0</v>
      </c>
      <c r="I2392" s="294"/>
      <c r="J2392" s="387"/>
      <c r="K2392" s="387" t="s">
        <v>112</v>
      </c>
      <c r="L2392" s="379" t="s">
        <v>58</v>
      </c>
      <c r="M2392" s="387"/>
      <c r="N2392" s="404"/>
      <c r="O2392" s="427"/>
      <c r="P2392" s="327"/>
    </row>
    <row r="2393" spans="1:16" s="388" customFormat="1" ht="14">
      <c r="A2393" s="221" t="s">
        <v>8</v>
      </c>
      <c r="B2393" s="216" t="s">
        <v>968</v>
      </c>
      <c r="C2393" s="222" t="s">
        <v>10</v>
      </c>
      <c r="D2393" s="294"/>
      <c r="E2393" s="294"/>
      <c r="F2393" s="424"/>
      <c r="G2393" s="290">
        <f t="shared" si="476"/>
        <v>0</v>
      </c>
      <c r="H2393" s="290">
        <f t="shared" si="476"/>
        <v>0</v>
      </c>
      <c r="I2393" s="294"/>
      <c r="J2393" s="387"/>
      <c r="K2393" s="387" t="s">
        <v>112</v>
      </c>
      <c r="L2393" s="379" t="s">
        <v>58</v>
      </c>
      <c r="M2393" s="387"/>
      <c r="N2393" s="404"/>
      <c r="O2393" s="427"/>
      <c r="P2393" s="327"/>
    </row>
    <row r="2394" spans="1:16" s="388" customFormat="1" ht="14">
      <c r="A2394" s="221" t="s">
        <v>8</v>
      </c>
      <c r="B2394" s="216" t="s">
        <v>976</v>
      </c>
      <c r="C2394" s="222" t="s">
        <v>10</v>
      </c>
      <c r="D2394" s="294"/>
      <c r="E2394" s="294"/>
      <c r="F2394" s="424"/>
      <c r="G2394" s="290">
        <f t="shared" si="476"/>
        <v>0</v>
      </c>
      <c r="H2394" s="290">
        <f t="shared" si="476"/>
        <v>0</v>
      </c>
      <c r="I2394" s="294"/>
      <c r="J2394" s="387"/>
      <c r="K2394" s="387" t="s">
        <v>112</v>
      </c>
      <c r="L2394" s="379" t="s">
        <v>58</v>
      </c>
      <c r="M2394" s="387"/>
      <c r="N2394" s="404"/>
      <c r="O2394" s="427"/>
      <c r="P2394" s="327"/>
    </row>
    <row r="2395" spans="1:16" s="388" customFormat="1" ht="14">
      <c r="A2395" s="221" t="s">
        <v>8</v>
      </c>
      <c r="B2395" s="216" t="s">
        <v>977</v>
      </c>
      <c r="C2395" s="222" t="s">
        <v>10</v>
      </c>
      <c r="D2395" s="294"/>
      <c r="E2395" s="294"/>
      <c r="F2395" s="424"/>
      <c r="G2395" s="290">
        <f t="shared" si="476"/>
        <v>0</v>
      </c>
      <c r="H2395" s="290">
        <f t="shared" si="476"/>
        <v>0</v>
      </c>
      <c r="I2395" s="294"/>
      <c r="J2395" s="387"/>
      <c r="K2395" s="387" t="s">
        <v>112</v>
      </c>
      <c r="L2395" s="379" t="s">
        <v>58</v>
      </c>
      <c r="M2395" s="387"/>
      <c r="N2395" s="404"/>
      <c r="O2395" s="427"/>
      <c r="P2395" s="327"/>
    </row>
    <row r="2396" spans="1:16" s="388" customFormat="1" ht="14">
      <c r="A2396" s="218" t="s">
        <v>540</v>
      </c>
      <c r="B2396" s="219" t="s">
        <v>969</v>
      </c>
      <c r="C2396" s="220"/>
      <c r="D2396" s="294"/>
      <c r="E2396" s="294"/>
      <c r="F2396" s="424"/>
      <c r="G2396" s="425"/>
      <c r="H2396" s="425"/>
      <c r="I2396" s="294"/>
      <c r="J2396" s="387"/>
      <c r="K2396" s="387"/>
      <c r="L2396" s="426"/>
      <c r="M2396" s="387"/>
      <c r="N2396" s="404"/>
      <c r="O2396" s="427"/>
      <c r="P2396" s="327"/>
    </row>
    <row r="2397" spans="1:16" s="388" customFormat="1" ht="14">
      <c r="A2397" s="221" t="s">
        <v>8</v>
      </c>
      <c r="B2397" s="216" t="s">
        <v>970</v>
      </c>
      <c r="C2397" s="222" t="s">
        <v>15</v>
      </c>
      <c r="D2397" s="294"/>
      <c r="E2397" s="294"/>
      <c r="F2397" s="428">
        <v>3.0819999999999999</v>
      </c>
      <c r="G2397" s="290">
        <f t="shared" ref="G2397:H2400" si="477">D2397*$F2397</f>
        <v>0</v>
      </c>
      <c r="H2397" s="290">
        <f t="shared" si="477"/>
        <v>0</v>
      </c>
      <c r="I2397" s="294"/>
      <c r="J2397" s="387"/>
      <c r="K2397" s="387" t="s">
        <v>112</v>
      </c>
      <c r="L2397" s="379" t="s">
        <v>58</v>
      </c>
      <c r="M2397" s="387"/>
      <c r="N2397" s="404"/>
      <c r="O2397" s="427"/>
      <c r="P2397" s="327"/>
    </row>
    <row r="2398" spans="1:16" s="388" customFormat="1" ht="14">
      <c r="A2398" s="221" t="s">
        <v>8</v>
      </c>
      <c r="B2398" s="216" t="s">
        <v>971</v>
      </c>
      <c r="C2398" s="222" t="s">
        <v>15</v>
      </c>
      <c r="D2398" s="294"/>
      <c r="E2398" s="294"/>
      <c r="F2398" s="428">
        <v>3.71</v>
      </c>
      <c r="G2398" s="290">
        <f t="shared" si="477"/>
        <v>0</v>
      </c>
      <c r="H2398" s="290">
        <f t="shared" si="477"/>
        <v>0</v>
      </c>
      <c r="I2398" s="294"/>
      <c r="J2398" s="387"/>
      <c r="K2398" s="387" t="s">
        <v>112</v>
      </c>
      <c r="L2398" s="379" t="s">
        <v>58</v>
      </c>
      <c r="M2398" s="387"/>
      <c r="N2398" s="404"/>
      <c r="O2398" s="427"/>
      <c r="P2398" s="327"/>
    </row>
    <row r="2399" spans="1:16" s="388" customFormat="1" ht="14">
      <c r="A2399" s="204" t="s">
        <v>8</v>
      </c>
      <c r="B2399" s="205" t="s">
        <v>972</v>
      </c>
      <c r="C2399" s="206" t="s">
        <v>15</v>
      </c>
      <c r="D2399" s="294"/>
      <c r="E2399" s="294"/>
      <c r="F2399" s="428">
        <v>5.44</v>
      </c>
      <c r="G2399" s="290">
        <f t="shared" si="477"/>
        <v>0</v>
      </c>
      <c r="H2399" s="290">
        <f t="shared" si="477"/>
        <v>0</v>
      </c>
      <c r="I2399" s="294"/>
      <c r="J2399" s="387"/>
      <c r="K2399" s="387" t="s">
        <v>112</v>
      </c>
      <c r="L2399" s="379" t="s">
        <v>58</v>
      </c>
      <c r="M2399" s="387"/>
      <c r="N2399" s="404"/>
      <c r="O2399" s="427"/>
      <c r="P2399" s="327"/>
    </row>
    <row r="2400" spans="1:16" s="388" customFormat="1" ht="14">
      <c r="A2400" s="204" t="s">
        <v>8</v>
      </c>
      <c r="B2400" s="205" t="s">
        <v>973</v>
      </c>
      <c r="C2400" s="206" t="s">
        <v>15</v>
      </c>
      <c r="D2400" s="294"/>
      <c r="E2400" s="294"/>
      <c r="F2400" s="428">
        <v>0.62</v>
      </c>
      <c r="G2400" s="290">
        <f t="shared" si="477"/>
        <v>0</v>
      </c>
      <c r="H2400" s="290">
        <f t="shared" si="477"/>
        <v>0</v>
      </c>
      <c r="I2400" s="294"/>
      <c r="J2400" s="387"/>
      <c r="K2400" s="387" t="s">
        <v>112</v>
      </c>
      <c r="L2400" s="379" t="s">
        <v>58</v>
      </c>
      <c r="M2400" s="387"/>
      <c r="N2400" s="404"/>
      <c r="O2400" s="427"/>
      <c r="P2400" s="327"/>
    </row>
    <row r="2401" spans="1:16" s="388" customFormat="1" ht="14">
      <c r="A2401" s="381">
        <v>2</v>
      </c>
      <c r="B2401" s="382" t="s">
        <v>978</v>
      </c>
      <c r="C2401" s="383"/>
      <c r="D2401" s="383"/>
      <c r="E2401" s="383"/>
      <c r="F2401" s="383"/>
      <c r="G2401" s="383"/>
      <c r="H2401" s="383"/>
      <c r="I2401" s="383"/>
      <c r="J2401" s="384"/>
      <c r="K2401" s="384"/>
      <c r="L2401" s="383"/>
      <c r="M2401" s="383"/>
      <c r="N2401" s="404"/>
      <c r="O2401" s="427"/>
      <c r="P2401" s="327"/>
    </row>
    <row r="2402" spans="1:16" s="388" customFormat="1" ht="14">
      <c r="A2402" s="381">
        <v>2.1</v>
      </c>
      <c r="B2402" s="382" t="s">
        <v>979</v>
      </c>
      <c r="C2402" s="383"/>
      <c r="D2402" s="383"/>
      <c r="E2402" s="383"/>
      <c r="F2402" s="383"/>
      <c r="G2402" s="383"/>
      <c r="H2402" s="383"/>
      <c r="I2402" s="383"/>
      <c r="J2402" s="384"/>
      <c r="K2402" s="384"/>
      <c r="L2402" s="383"/>
      <c r="M2402" s="383"/>
      <c r="N2402" s="404"/>
      <c r="O2402" s="427"/>
      <c r="P2402" s="327"/>
    </row>
    <row r="2403" spans="1:16" s="388" customFormat="1" ht="14">
      <c r="A2403" s="218" t="s">
        <v>441</v>
      </c>
      <c r="B2403" s="219" t="s">
        <v>975</v>
      </c>
      <c r="C2403" s="220"/>
      <c r="D2403" s="294"/>
      <c r="E2403" s="294"/>
      <c r="F2403" s="424"/>
      <c r="G2403" s="425"/>
      <c r="H2403" s="425"/>
      <c r="I2403" s="294"/>
      <c r="J2403" s="387"/>
      <c r="K2403" s="387"/>
      <c r="L2403" s="426"/>
      <c r="M2403" s="387"/>
      <c r="N2403" s="404"/>
      <c r="O2403" s="427"/>
      <c r="P2403" s="327"/>
    </row>
    <row r="2404" spans="1:16" s="388" customFormat="1" ht="14">
      <c r="A2404" s="221" t="s">
        <v>8</v>
      </c>
      <c r="B2404" s="216" t="s">
        <v>955</v>
      </c>
      <c r="C2404" s="222" t="s">
        <v>133</v>
      </c>
      <c r="D2404" s="294"/>
      <c r="E2404" s="294"/>
      <c r="F2404" s="428">
        <v>8.7899999999999991</v>
      </c>
      <c r="G2404" s="290">
        <f t="shared" ref="G2404:H2405" si="478">D2404*$F2404</f>
        <v>0</v>
      </c>
      <c r="H2404" s="290">
        <f t="shared" si="478"/>
        <v>0</v>
      </c>
      <c r="I2404" s="294"/>
      <c r="J2404" s="387"/>
      <c r="K2404" s="387" t="s">
        <v>113</v>
      </c>
      <c r="L2404" s="379" t="s">
        <v>58</v>
      </c>
      <c r="M2404" s="387"/>
      <c r="N2404" s="404"/>
      <c r="O2404" s="427"/>
      <c r="P2404" s="327"/>
    </row>
    <row r="2405" spans="1:16" s="388" customFormat="1" ht="14">
      <c r="A2405" s="221" t="s">
        <v>8</v>
      </c>
      <c r="B2405" s="216" t="s">
        <v>956</v>
      </c>
      <c r="C2405" s="222" t="s">
        <v>31</v>
      </c>
      <c r="D2405" s="294"/>
      <c r="E2405" s="294"/>
      <c r="F2405" s="428">
        <v>30.19</v>
      </c>
      <c r="G2405" s="290">
        <f t="shared" si="478"/>
        <v>0</v>
      </c>
      <c r="H2405" s="290">
        <f t="shared" si="478"/>
        <v>0</v>
      </c>
      <c r="I2405" s="294"/>
      <c r="J2405" s="387"/>
      <c r="K2405" s="387" t="s">
        <v>113</v>
      </c>
      <c r="L2405" s="379" t="s">
        <v>58</v>
      </c>
      <c r="M2405" s="387"/>
      <c r="N2405" s="404"/>
      <c r="O2405" s="427"/>
      <c r="P2405" s="327"/>
    </row>
    <row r="2406" spans="1:16" s="388" customFormat="1" ht="14">
      <c r="A2406" s="218" t="s">
        <v>442</v>
      </c>
      <c r="B2406" s="219" t="s">
        <v>957</v>
      </c>
      <c r="C2406" s="220"/>
      <c r="D2406" s="294"/>
      <c r="E2406" s="294"/>
      <c r="F2406" s="424"/>
      <c r="G2406" s="425"/>
      <c r="H2406" s="425"/>
      <c r="I2406" s="294"/>
      <c r="J2406" s="387"/>
      <c r="K2406" s="387"/>
      <c r="L2406" s="426"/>
      <c r="M2406" s="387"/>
      <c r="N2406" s="404"/>
      <c r="O2406" s="427"/>
      <c r="P2406" s="327"/>
    </row>
    <row r="2407" spans="1:16" s="388" customFormat="1" ht="14">
      <c r="A2407" s="221" t="s">
        <v>8</v>
      </c>
      <c r="B2407" s="216" t="s">
        <v>958</v>
      </c>
      <c r="C2407" s="222" t="s">
        <v>15</v>
      </c>
      <c r="D2407" s="294"/>
      <c r="E2407" s="294"/>
      <c r="F2407" s="428">
        <v>352.98</v>
      </c>
      <c r="G2407" s="290">
        <f t="shared" ref="G2407:H2407" si="479">D2407*$F2407</f>
        <v>0</v>
      </c>
      <c r="H2407" s="290">
        <f t="shared" si="479"/>
        <v>0</v>
      </c>
      <c r="I2407" s="294"/>
      <c r="J2407" s="387"/>
      <c r="K2407" s="387" t="s">
        <v>113</v>
      </c>
      <c r="L2407" s="379" t="s">
        <v>58</v>
      </c>
      <c r="M2407" s="387"/>
      <c r="N2407" s="404"/>
      <c r="O2407" s="427"/>
      <c r="P2407" s="327"/>
    </row>
    <row r="2408" spans="1:16" s="388" customFormat="1" ht="14">
      <c r="A2408" s="218" t="s">
        <v>443</v>
      </c>
      <c r="B2408" s="219" t="s">
        <v>959</v>
      </c>
      <c r="C2408" s="220"/>
      <c r="D2408" s="294"/>
      <c r="E2408" s="294"/>
      <c r="F2408" s="424"/>
      <c r="G2408" s="425"/>
      <c r="H2408" s="425"/>
      <c r="I2408" s="294"/>
      <c r="J2408" s="387"/>
      <c r="K2408" s="387"/>
      <c r="L2408" s="426"/>
      <c r="M2408" s="387"/>
      <c r="N2408" s="404"/>
      <c r="O2408" s="427"/>
      <c r="P2408" s="327"/>
    </row>
    <row r="2409" spans="1:16" s="388" customFormat="1" ht="14">
      <c r="A2409" s="221" t="s">
        <v>8</v>
      </c>
      <c r="B2409" s="216" t="s">
        <v>960</v>
      </c>
      <c r="C2409" s="222" t="s">
        <v>24</v>
      </c>
      <c r="D2409" s="294"/>
      <c r="E2409" s="294"/>
      <c r="F2409" s="428">
        <v>182.42</v>
      </c>
      <c r="G2409" s="290">
        <f t="shared" ref="G2409:H2409" si="480">D2409*$F2409</f>
        <v>0</v>
      </c>
      <c r="H2409" s="290">
        <f t="shared" si="480"/>
        <v>0</v>
      </c>
      <c r="I2409" s="294"/>
      <c r="J2409" s="387"/>
      <c r="K2409" s="387" t="s">
        <v>113</v>
      </c>
      <c r="L2409" s="379" t="s">
        <v>58</v>
      </c>
      <c r="M2409" s="387"/>
      <c r="N2409" s="404"/>
      <c r="O2409" s="427"/>
      <c r="P2409" s="327"/>
    </row>
    <row r="2410" spans="1:16" s="388" customFormat="1" ht="14">
      <c r="A2410" s="218" t="s">
        <v>543</v>
      </c>
      <c r="B2410" s="219" t="s">
        <v>961</v>
      </c>
      <c r="C2410" s="220"/>
      <c r="D2410" s="294"/>
      <c r="E2410" s="294"/>
      <c r="F2410" s="424"/>
      <c r="G2410" s="425"/>
      <c r="H2410" s="425"/>
      <c r="I2410" s="294"/>
      <c r="J2410" s="387"/>
      <c r="K2410" s="387"/>
      <c r="L2410" s="426"/>
      <c r="M2410" s="387"/>
      <c r="N2410" s="404"/>
      <c r="O2410" s="427"/>
      <c r="P2410" s="327"/>
    </row>
    <row r="2411" spans="1:16" s="388" customFormat="1" ht="14">
      <c r="A2411" s="218" t="s">
        <v>544</v>
      </c>
      <c r="B2411" s="219" t="s">
        <v>962</v>
      </c>
      <c r="C2411" s="220"/>
      <c r="D2411" s="294"/>
      <c r="E2411" s="294"/>
      <c r="F2411" s="424"/>
      <c r="G2411" s="425"/>
      <c r="H2411" s="425"/>
      <c r="I2411" s="294"/>
      <c r="J2411" s="387"/>
      <c r="K2411" s="387"/>
      <c r="L2411" s="426"/>
      <c r="M2411" s="387"/>
      <c r="N2411" s="404"/>
      <c r="O2411" s="427"/>
      <c r="P2411" s="327"/>
    </row>
    <row r="2412" spans="1:16" s="388" customFormat="1" ht="14">
      <c r="A2412" s="221" t="s">
        <v>8</v>
      </c>
      <c r="B2412" s="216" t="s">
        <v>963</v>
      </c>
      <c r="C2412" s="222" t="s">
        <v>31</v>
      </c>
      <c r="D2412" s="294"/>
      <c r="E2412" s="294"/>
      <c r="F2412" s="428">
        <v>30.19</v>
      </c>
      <c r="G2412" s="290">
        <f t="shared" ref="G2412:H2414" si="481">D2412*$F2412</f>
        <v>0</v>
      </c>
      <c r="H2412" s="290">
        <f t="shared" si="481"/>
        <v>0</v>
      </c>
      <c r="I2412" s="294"/>
      <c r="J2412" s="387"/>
      <c r="K2412" s="387" t="s">
        <v>113</v>
      </c>
      <c r="L2412" s="379" t="s">
        <v>58</v>
      </c>
      <c r="M2412" s="387"/>
      <c r="N2412" s="404"/>
      <c r="O2412" s="427"/>
      <c r="P2412" s="327"/>
    </row>
    <row r="2413" spans="1:16" s="388" customFormat="1" ht="14">
      <c r="A2413" s="221" t="s">
        <v>8</v>
      </c>
      <c r="B2413" s="216" t="s">
        <v>964</v>
      </c>
      <c r="C2413" s="222" t="s">
        <v>15</v>
      </c>
      <c r="D2413" s="294"/>
      <c r="E2413" s="294"/>
      <c r="F2413" s="428">
        <v>0.61</v>
      </c>
      <c r="G2413" s="290">
        <f t="shared" si="481"/>
        <v>0</v>
      </c>
      <c r="H2413" s="290">
        <f t="shared" si="481"/>
        <v>0</v>
      </c>
      <c r="I2413" s="294"/>
      <c r="J2413" s="387"/>
      <c r="K2413" s="387" t="s">
        <v>113</v>
      </c>
      <c r="L2413" s="379" t="s">
        <v>58</v>
      </c>
      <c r="M2413" s="387"/>
      <c r="N2413" s="404"/>
      <c r="O2413" s="427"/>
      <c r="P2413" s="327"/>
    </row>
    <row r="2414" spans="1:16" s="388" customFormat="1" ht="14">
      <c r="A2414" s="221" t="s">
        <v>8</v>
      </c>
      <c r="B2414" s="216" t="s">
        <v>965</v>
      </c>
      <c r="C2414" s="222" t="s">
        <v>15</v>
      </c>
      <c r="D2414" s="294"/>
      <c r="E2414" s="294"/>
      <c r="F2414" s="429">
        <v>0.61</v>
      </c>
      <c r="G2414" s="290">
        <f t="shared" si="481"/>
        <v>0</v>
      </c>
      <c r="H2414" s="290">
        <f t="shared" si="481"/>
        <v>0</v>
      </c>
      <c r="I2414" s="294"/>
      <c r="J2414" s="387"/>
      <c r="K2414" s="387" t="s">
        <v>113</v>
      </c>
      <c r="L2414" s="379" t="s">
        <v>58</v>
      </c>
      <c r="M2414" s="387"/>
      <c r="N2414" s="404"/>
      <c r="O2414" s="427"/>
      <c r="P2414" s="327"/>
    </row>
    <row r="2415" spans="1:16" s="388" customFormat="1" ht="14">
      <c r="A2415" s="218" t="s">
        <v>545</v>
      </c>
      <c r="B2415" s="219" t="s">
        <v>966</v>
      </c>
      <c r="C2415" s="220"/>
      <c r="D2415" s="294"/>
      <c r="E2415" s="294"/>
      <c r="F2415" s="424"/>
      <c r="G2415" s="425"/>
      <c r="H2415" s="425"/>
      <c r="I2415" s="294"/>
      <c r="J2415" s="387"/>
      <c r="K2415" s="387"/>
      <c r="L2415" s="426"/>
      <c r="M2415" s="387"/>
      <c r="N2415" s="404"/>
      <c r="O2415" s="427"/>
      <c r="P2415" s="327"/>
    </row>
    <row r="2416" spans="1:16" s="388" customFormat="1" ht="14">
      <c r="A2416" s="221" t="s">
        <v>8</v>
      </c>
      <c r="B2416" s="216" t="s">
        <v>967</v>
      </c>
      <c r="C2416" s="222" t="s">
        <v>10</v>
      </c>
      <c r="D2416" s="294"/>
      <c r="E2416" s="294"/>
      <c r="F2416" s="424"/>
      <c r="G2416" s="290">
        <f t="shared" ref="G2416:H2417" si="482">D2416*$F2416</f>
        <v>0</v>
      </c>
      <c r="H2416" s="290">
        <f t="shared" si="482"/>
        <v>0</v>
      </c>
      <c r="I2416" s="294"/>
      <c r="J2416" s="387"/>
      <c r="K2416" s="387" t="s">
        <v>113</v>
      </c>
      <c r="L2416" s="379" t="s">
        <v>58</v>
      </c>
      <c r="M2416" s="387"/>
      <c r="N2416" s="404"/>
      <c r="O2416" s="427"/>
      <c r="P2416" s="327"/>
    </row>
    <row r="2417" spans="1:16" s="388" customFormat="1" ht="14">
      <c r="A2417" s="221" t="s">
        <v>8</v>
      </c>
      <c r="B2417" s="216" t="s">
        <v>968</v>
      </c>
      <c r="C2417" s="222" t="s">
        <v>10</v>
      </c>
      <c r="D2417" s="294"/>
      <c r="E2417" s="294"/>
      <c r="F2417" s="424"/>
      <c r="G2417" s="290">
        <f t="shared" si="482"/>
        <v>0</v>
      </c>
      <c r="H2417" s="290">
        <f t="shared" si="482"/>
        <v>0</v>
      </c>
      <c r="I2417" s="294"/>
      <c r="J2417" s="387"/>
      <c r="K2417" s="387" t="s">
        <v>113</v>
      </c>
      <c r="L2417" s="379" t="s">
        <v>58</v>
      </c>
      <c r="M2417" s="387"/>
      <c r="N2417" s="404"/>
      <c r="O2417" s="427"/>
      <c r="P2417" s="327"/>
    </row>
    <row r="2418" spans="1:16" s="388" customFormat="1" ht="14">
      <c r="A2418" s="218" t="s">
        <v>546</v>
      </c>
      <c r="B2418" s="219" t="s">
        <v>969</v>
      </c>
      <c r="C2418" s="220"/>
      <c r="D2418" s="294"/>
      <c r="E2418" s="294"/>
      <c r="F2418" s="424"/>
      <c r="G2418" s="425"/>
      <c r="H2418" s="425"/>
      <c r="I2418" s="294"/>
      <c r="J2418" s="387"/>
      <c r="K2418" s="387"/>
      <c r="L2418" s="426"/>
      <c r="M2418" s="387"/>
      <c r="N2418" s="404"/>
      <c r="O2418" s="427"/>
      <c r="P2418" s="327"/>
    </row>
    <row r="2419" spans="1:16" s="388" customFormat="1" ht="14">
      <c r="A2419" s="221" t="s">
        <v>8</v>
      </c>
      <c r="B2419" s="216" t="s">
        <v>970</v>
      </c>
      <c r="C2419" s="222" t="s">
        <v>15</v>
      </c>
      <c r="D2419" s="294"/>
      <c r="E2419" s="294"/>
      <c r="F2419" s="428">
        <v>3.0819999999999999</v>
      </c>
      <c r="G2419" s="290">
        <f t="shared" ref="G2419:H2422" si="483">D2419*$F2419</f>
        <v>0</v>
      </c>
      <c r="H2419" s="290">
        <f t="shared" si="483"/>
        <v>0</v>
      </c>
      <c r="I2419" s="294"/>
      <c r="J2419" s="387"/>
      <c r="K2419" s="387" t="s">
        <v>113</v>
      </c>
      <c r="L2419" s="379" t="s">
        <v>58</v>
      </c>
      <c r="M2419" s="387"/>
      <c r="N2419" s="404"/>
      <c r="O2419" s="427"/>
      <c r="P2419" s="327"/>
    </row>
    <row r="2420" spans="1:16" s="388" customFormat="1" ht="14">
      <c r="A2420" s="221" t="s">
        <v>8</v>
      </c>
      <c r="B2420" s="216" t="s">
        <v>971</v>
      </c>
      <c r="C2420" s="222" t="s">
        <v>15</v>
      </c>
      <c r="D2420" s="294"/>
      <c r="E2420" s="294"/>
      <c r="F2420" s="428">
        <v>3.71</v>
      </c>
      <c r="G2420" s="290">
        <f t="shared" si="483"/>
        <v>0</v>
      </c>
      <c r="H2420" s="290">
        <f t="shared" si="483"/>
        <v>0</v>
      </c>
      <c r="I2420" s="294"/>
      <c r="J2420" s="387"/>
      <c r="K2420" s="387" t="s">
        <v>113</v>
      </c>
      <c r="L2420" s="379" t="s">
        <v>58</v>
      </c>
      <c r="M2420" s="387"/>
      <c r="N2420" s="404"/>
      <c r="O2420" s="427"/>
      <c r="P2420" s="327"/>
    </row>
    <row r="2421" spans="1:16" s="388" customFormat="1" ht="14">
      <c r="A2421" s="204" t="s">
        <v>8</v>
      </c>
      <c r="B2421" s="205" t="s">
        <v>972</v>
      </c>
      <c r="C2421" s="206" t="s">
        <v>15</v>
      </c>
      <c r="D2421" s="294"/>
      <c r="E2421" s="294"/>
      <c r="F2421" s="428">
        <v>5.44</v>
      </c>
      <c r="G2421" s="290">
        <f t="shared" si="483"/>
        <v>0</v>
      </c>
      <c r="H2421" s="290">
        <f t="shared" si="483"/>
        <v>0</v>
      </c>
      <c r="I2421" s="294"/>
      <c r="J2421" s="387"/>
      <c r="K2421" s="387" t="s">
        <v>113</v>
      </c>
      <c r="L2421" s="379" t="s">
        <v>58</v>
      </c>
      <c r="M2421" s="387"/>
      <c r="N2421" s="404"/>
      <c r="O2421" s="427"/>
      <c r="P2421" s="327"/>
    </row>
    <row r="2422" spans="1:16" s="388" customFormat="1" ht="14">
      <c r="A2422" s="204" t="s">
        <v>8</v>
      </c>
      <c r="B2422" s="205" t="s">
        <v>973</v>
      </c>
      <c r="C2422" s="206" t="s">
        <v>15</v>
      </c>
      <c r="D2422" s="294"/>
      <c r="E2422" s="294"/>
      <c r="F2422" s="428">
        <v>0.62</v>
      </c>
      <c r="G2422" s="290">
        <f t="shared" si="483"/>
        <v>0</v>
      </c>
      <c r="H2422" s="290">
        <f t="shared" si="483"/>
        <v>0</v>
      </c>
      <c r="I2422" s="294"/>
      <c r="J2422" s="387"/>
      <c r="K2422" s="387" t="s">
        <v>113</v>
      </c>
      <c r="L2422" s="379" t="s">
        <v>58</v>
      </c>
      <c r="M2422" s="387"/>
      <c r="N2422" s="404"/>
      <c r="O2422" s="427"/>
      <c r="P2422" s="327"/>
    </row>
    <row r="2423" spans="1:16" s="388" customFormat="1" ht="14">
      <c r="A2423" s="218" t="s">
        <v>547</v>
      </c>
      <c r="B2423" s="219" t="s">
        <v>980</v>
      </c>
      <c r="C2423" s="220"/>
      <c r="D2423" s="294"/>
      <c r="E2423" s="294"/>
      <c r="F2423" s="424"/>
      <c r="G2423" s="425"/>
      <c r="H2423" s="425"/>
      <c r="I2423" s="294"/>
      <c r="J2423" s="387"/>
      <c r="K2423" s="387"/>
      <c r="L2423" s="426"/>
      <c r="M2423" s="387"/>
      <c r="N2423" s="404"/>
      <c r="O2423" s="427"/>
      <c r="P2423" s="327"/>
    </row>
    <row r="2424" spans="1:16" s="388" customFormat="1" ht="14">
      <c r="A2424" s="218" t="s">
        <v>444</v>
      </c>
      <c r="B2424" s="219" t="s">
        <v>975</v>
      </c>
      <c r="C2424" s="220"/>
      <c r="D2424" s="294"/>
      <c r="E2424" s="294"/>
      <c r="F2424" s="424"/>
      <c r="G2424" s="425"/>
      <c r="H2424" s="425"/>
      <c r="I2424" s="294"/>
      <c r="J2424" s="387"/>
      <c r="K2424" s="387"/>
      <c r="L2424" s="426"/>
      <c r="M2424" s="387"/>
      <c r="N2424" s="404"/>
      <c r="O2424" s="427"/>
      <c r="P2424" s="327"/>
    </row>
    <row r="2425" spans="1:16" s="388" customFormat="1" ht="14">
      <c r="A2425" s="221" t="s">
        <v>8</v>
      </c>
      <c r="B2425" s="216" t="s">
        <v>955</v>
      </c>
      <c r="C2425" s="222" t="s">
        <v>133</v>
      </c>
      <c r="D2425" s="294"/>
      <c r="E2425" s="294"/>
      <c r="F2425" s="428">
        <v>8.7899999999999991</v>
      </c>
      <c r="G2425" s="290">
        <f t="shared" ref="G2425:H2426" si="484">D2425*$F2425</f>
        <v>0</v>
      </c>
      <c r="H2425" s="290">
        <f t="shared" si="484"/>
        <v>0</v>
      </c>
      <c r="I2425" s="294"/>
      <c r="J2425" s="387"/>
      <c r="K2425" s="387" t="s">
        <v>113</v>
      </c>
      <c r="L2425" s="379" t="s">
        <v>58</v>
      </c>
      <c r="M2425" s="387"/>
      <c r="N2425" s="404"/>
      <c r="O2425" s="427"/>
      <c r="P2425" s="327"/>
    </row>
    <row r="2426" spans="1:16" s="388" customFormat="1" ht="14">
      <c r="A2426" s="221" t="s">
        <v>8</v>
      </c>
      <c r="B2426" s="216" t="s">
        <v>956</v>
      </c>
      <c r="C2426" s="222" t="s">
        <v>31</v>
      </c>
      <c r="D2426" s="294"/>
      <c r="E2426" s="294"/>
      <c r="F2426" s="428">
        <v>30.19</v>
      </c>
      <c r="G2426" s="290">
        <f t="shared" si="484"/>
        <v>0</v>
      </c>
      <c r="H2426" s="290">
        <f t="shared" si="484"/>
        <v>0</v>
      </c>
      <c r="I2426" s="294"/>
      <c r="J2426" s="387"/>
      <c r="K2426" s="387" t="s">
        <v>113</v>
      </c>
      <c r="L2426" s="379" t="s">
        <v>58</v>
      </c>
      <c r="M2426" s="387"/>
      <c r="N2426" s="404"/>
      <c r="O2426" s="427"/>
      <c r="P2426" s="327"/>
    </row>
    <row r="2427" spans="1:16" s="388" customFormat="1" ht="14">
      <c r="A2427" s="218" t="s">
        <v>445</v>
      </c>
      <c r="B2427" s="219" t="s">
        <v>957</v>
      </c>
      <c r="C2427" s="220"/>
      <c r="D2427" s="294"/>
      <c r="E2427" s="294"/>
      <c r="F2427" s="424"/>
      <c r="G2427" s="425"/>
      <c r="H2427" s="425"/>
      <c r="I2427" s="294"/>
      <c r="J2427" s="387"/>
      <c r="K2427" s="387"/>
      <c r="L2427" s="426"/>
      <c r="M2427" s="387"/>
      <c r="N2427" s="404"/>
      <c r="O2427" s="427"/>
      <c r="P2427" s="327"/>
    </row>
    <row r="2428" spans="1:16" s="388" customFormat="1" ht="14">
      <c r="A2428" s="221" t="s">
        <v>8</v>
      </c>
      <c r="B2428" s="216" t="s">
        <v>958</v>
      </c>
      <c r="C2428" s="222" t="s">
        <v>15</v>
      </c>
      <c r="D2428" s="294"/>
      <c r="E2428" s="294"/>
      <c r="F2428" s="428">
        <v>352.98</v>
      </c>
      <c r="G2428" s="290">
        <f t="shared" ref="G2428:H2428" si="485">D2428*$F2428</f>
        <v>0</v>
      </c>
      <c r="H2428" s="290">
        <f t="shared" si="485"/>
        <v>0</v>
      </c>
      <c r="I2428" s="294"/>
      <c r="J2428" s="387"/>
      <c r="K2428" s="387" t="s">
        <v>113</v>
      </c>
      <c r="L2428" s="379" t="s">
        <v>58</v>
      </c>
      <c r="M2428" s="387"/>
      <c r="N2428" s="404"/>
      <c r="O2428" s="427"/>
      <c r="P2428" s="327"/>
    </row>
    <row r="2429" spans="1:16" s="388" customFormat="1" ht="14">
      <c r="A2429" s="218" t="s">
        <v>446</v>
      </c>
      <c r="B2429" s="219" t="s">
        <v>961</v>
      </c>
      <c r="C2429" s="220"/>
      <c r="D2429" s="294"/>
      <c r="E2429" s="294"/>
      <c r="F2429" s="424"/>
      <c r="G2429" s="425"/>
      <c r="H2429" s="425"/>
      <c r="I2429" s="294"/>
      <c r="J2429" s="387"/>
      <c r="K2429" s="387"/>
      <c r="L2429" s="426"/>
      <c r="M2429" s="387"/>
      <c r="N2429" s="404"/>
      <c r="O2429" s="427"/>
      <c r="P2429" s="327"/>
    </row>
    <row r="2430" spans="1:16" s="388" customFormat="1" ht="14">
      <c r="A2430" s="218" t="s">
        <v>549</v>
      </c>
      <c r="B2430" s="219" t="s">
        <v>962</v>
      </c>
      <c r="C2430" s="220"/>
      <c r="D2430" s="294"/>
      <c r="E2430" s="294"/>
      <c r="F2430" s="424"/>
      <c r="G2430" s="425"/>
      <c r="H2430" s="425"/>
      <c r="I2430" s="294"/>
      <c r="J2430" s="387"/>
      <c r="K2430" s="387"/>
      <c r="L2430" s="426"/>
      <c r="M2430" s="387"/>
      <c r="N2430" s="404"/>
      <c r="O2430" s="427"/>
      <c r="P2430" s="327"/>
    </row>
    <row r="2431" spans="1:16" s="388" customFormat="1" ht="14">
      <c r="A2431" s="221" t="s">
        <v>8</v>
      </c>
      <c r="B2431" s="216" t="s">
        <v>963</v>
      </c>
      <c r="C2431" s="222" t="s">
        <v>31</v>
      </c>
      <c r="D2431" s="294"/>
      <c r="E2431" s="294"/>
      <c r="F2431" s="428">
        <v>30.19</v>
      </c>
      <c r="G2431" s="290">
        <f t="shared" ref="G2431:H2433" si="486">D2431*$F2431</f>
        <v>0</v>
      </c>
      <c r="H2431" s="290">
        <f t="shared" si="486"/>
        <v>0</v>
      </c>
      <c r="I2431" s="294"/>
      <c r="J2431" s="387"/>
      <c r="K2431" s="387" t="s">
        <v>113</v>
      </c>
      <c r="L2431" s="379" t="s">
        <v>58</v>
      </c>
      <c r="M2431" s="387"/>
      <c r="N2431" s="404"/>
      <c r="O2431" s="427"/>
      <c r="P2431" s="327"/>
    </row>
    <row r="2432" spans="1:16" s="388" customFormat="1" ht="14">
      <c r="A2432" s="221" t="s">
        <v>8</v>
      </c>
      <c r="B2432" s="216" t="s">
        <v>964</v>
      </c>
      <c r="C2432" s="222" t="s">
        <v>15</v>
      </c>
      <c r="D2432" s="294"/>
      <c r="E2432" s="294"/>
      <c r="F2432" s="428">
        <v>0.61</v>
      </c>
      <c r="G2432" s="290">
        <f t="shared" si="486"/>
        <v>0</v>
      </c>
      <c r="H2432" s="290">
        <f t="shared" si="486"/>
        <v>0</v>
      </c>
      <c r="I2432" s="294"/>
      <c r="J2432" s="387"/>
      <c r="K2432" s="387" t="s">
        <v>113</v>
      </c>
      <c r="L2432" s="379" t="s">
        <v>58</v>
      </c>
      <c r="M2432" s="387"/>
      <c r="N2432" s="404"/>
      <c r="O2432" s="427"/>
      <c r="P2432" s="327"/>
    </row>
    <row r="2433" spans="1:16" s="388" customFormat="1" ht="14">
      <c r="A2433" s="221" t="s">
        <v>8</v>
      </c>
      <c r="B2433" s="216" t="s">
        <v>965</v>
      </c>
      <c r="C2433" s="222" t="s">
        <v>15</v>
      </c>
      <c r="D2433" s="294"/>
      <c r="E2433" s="294"/>
      <c r="F2433" s="429">
        <v>0.61</v>
      </c>
      <c r="G2433" s="290">
        <f t="shared" si="486"/>
        <v>0</v>
      </c>
      <c r="H2433" s="290">
        <f t="shared" si="486"/>
        <v>0</v>
      </c>
      <c r="I2433" s="294"/>
      <c r="J2433" s="387"/>
      <c r="K2433" s="387" t="s">
        <v>113</v>
      </c>
      <c r="L2433" s="379" t="s">
        <v>58</v>
      </c>
      <c r="M2433" s="387"/>
      <c r="N2433" s="404"/>
      <c r="O2433" s="427"/>
      <c r="P2433" s="327"/>
    </row>
    <row r="2434" spans="1:16" s="388" customFormat="1" ht="14">
      <c r="A2434" s="218" t="s">
        <v>550</v>
      </c>
      <c r="B2434" s="219" t="s">
        <v>966</v>
      </c>
      <c r="C2434" s="220"/>
      <c r="D2434" s="294"/>
      <c r="E2434" s="294"/>
      <c r="F2434" s="424"/>
      <c r="G2434" s="425"/>
      <c r="H2434" s="425"/>
      <c r="I2434" s="294"/>
      <c r="J2434" s="387"/>
      <c r="K2434" s="387"/>
      <c r="L2434" s="426"/>
      <c r="M2434" s="387"/>
      <c r="N2434" s="404"/>
      <c r="O2434" s="427"/>
      <c r="P2434" s="327"/>
    </row>
    <row r="2435" spans="1:16" s="388" customFormat="1" ht="14">
      <c r="A2435" s="221" t="s">
        <v>8</v>
      </c>
      <c r="B2435" s="216" t="s">
        <v>967</v>
      </c>
      <c r="C2435" s="222" t="s">
        <v>10</v>
      </c>
      <c r="D2435" s="294"/>
      <c r="E2435" s="294"/>
      <c r="F2435" s="424"/>
      <c r="G2435" s="290">
        <f t="shared" ref="G2435:H2438" si="487">D2435*$F2435</f>
        <v>0</v>
      </c>
      <c r="H2435" s="290">
        <f t="shared" si="487"/>
        <v>0</v>
      </c>
      <c r="I2435" s="294"/>
      <c r="J2435" s="387"/>
      <c r="K2435" s="387" t="s">
        <v>113</v>
      </c>
      <c r="L2435" s="379" t="s">
        <v>58</v>
      </c>
      <c r="M2435" s="387"/>
      <c r="N2435" s="404"/>
      <c r="O2435" s="427"/>
      <c r="P2435" s="327"/>
    </row>
    <row r="2436" spans="1:16" s="388" customFormat="1" ht="14">
      <c r="A2436" s="221" t="s">
        <v>8</v>
      </c>
      <c r="B2436" s="216" t="s">
        <v>968</v>
      </c>
      <c r="C2436" s="222" t="s">
        <v>10</v>
      </c>
      <c r="D2436" s="294"/>
      <c r="E2436" s="294"/>
      <c r="F2436" s="424"/>
      <c r="G2436" s="290">
        <f t="shared" si="487"/>
        <v>0</v>
      </c>
      <c r="H2436" s="290">
        <f t="shared" si="487"/>
        <v>0</v>
      </c>
      <c r="I2436" s="294"/>
      <c r="J2436" s="387"/>
      <c r="K2436" s="387" t="s">
        <v>113</v>
      </c>
      <c r="L2436" s="379" t="s">
        <v>58</v>
      </c>
      <c r="M2436" s="387"/>
      <c r="N2436" s="404"/>
      <c r="O2436" s="427"/>
      <c r="P2436" s="327"/>
    </row>
    <row r="2437" spans="1:16" s="388" customFormat="1" ht="14">
      <c r="A2437" s="221" t="s">
        <v>8</v>
      </c>
      <c r="B2437" s="216" t="s">
        <v>976</v>
      </c>
      <c r="C2437" s="222" t="s">
        <v>10</v>
      </c>
      <c r="D2437" s="294"/>
      <c r="E2437" s="294"/>
      <c r="F2437" s="424"/>
      <c r="G2437" s="290">
        <f t="shared" si="487"/>
        <v>0</v>
      </c>
      <c r="H2437" s="290">
        <f t="shared" si="487"/>
        <v>0</v>
      </c>
      <c r="I2437" s="294"/>
      <c r="J2437" s="387"/>
      <c r="K2437" s="387" t="s">
        <v>113</v>
      </c>
      <c r="L2437" s="379" t="s">
        <v>58</v>
      </c>
      <c r="M2437" s="387"/>
      <c r="N2437" s="404"/>
      <c r="O2437" s="427"/>
      <c r="P2437" s="327"/>
    </row>
    <row r="2438" spans="1:16" s="388" customFormat="1" ht="14">
      <c r="A2438" s="221" t="s">
        <v>8</v>
      </c>
      <c r="B2438" s="216" t="s">
        <v>977</v>
      </c>
      <c r="C2438" s="222" t="s">
        <v>10</v>
      </c>
      <c r="D2438" s="294"/>
      <c r="E2438" s="294"/>
      <c r="F2438" s="424"/>
      <c r="G2438" s="290">
        <f t="shared" si="487"/>
        <v>0</v>
      </c>
      <c r="H2438" s="290">
        <f t="shared" si="487"/>
        <v>0</v>
      </c>
      <c r="I2438" s="294"/>
      <c r="J2438" s="387"/>
      <c r="K2438" s="387" t="s">
        <v>113</v>
      </c>
      <c r="L2438" s="379" t="s">
        <v>58</v>
      </c>
      <c r="M2438" s="387"/>
      <c r="N2438" s="404"/>
      <c r="O2438" s="427"/>
      <c r="P2438" s="327"/>
    </row>
    <row r="2439" spans="1:16" s="388" customFormat="1" ht="14">
      <c r="A2439" s="218" t="s">
        <v>551</v>
      </c>
      <c r="B2439" s="219" t="s">
        <v>969</v>
      </c>
      <c r="C2439" s="220"/>
      <c r="D2439" s="294"/>
      <c r="E2439" s="294"/>
      <c r="F2439" s="424"/>
      <c r="G2439" s="425"/>
      <c r="H2439" s="425"/>
      <c r="I2439" s="294"/>
      <c r="J2439" s="387"/>
      <c r="K2439" s="387"/>
      <c r="L2439" s="426"/>
      <c r="M2439" s="387"/>
      <c r="N2439" s="404"/>
      <c r="O2439" s="427"/>
      <c r="P2439" s="327"/>
    </row>
    <row r="2440" spans="1:16" s="388" customFormat="1" ht="14">
      <c r="A2440" s="221" t="s">
        <v>8</v>
      </c>
      <c r="B2440" s="216" t="s">
        <v>970</v>
      </c>
      <c r="C2440" s="222" t="s">
        <v>15</v>
      </c>
      <c r="D2440" s="294"/>
      <c r="E2440" s="294"/>
      <c r="F2440" s="428">
        <v>3.0819999999999999</v>
      </c>
      <c r="G2440" s="290">
        <f t="shared" ref="G2440:H2443" si="488">D2440*$F2440</f>
        <v>0</v>
      </c>
      <c r="H2440" s="290">
        <f t="shared" si="488"/>
        <v>0</v>
      </c>
      <c r="I2440" s="294"/>
      <c r="J2440" s="387"/>
      <c r="K2440" s="387" t="s">
        <v>113</v>
      </c>
      <c r="L2440" s="379" t="s">
        <v>58</v>
      </c>
      <c r="M2440" s="387"/>
      <c r="N2440" s="404"/>
      <c r="O2440" s="427"/>
      <c r="P2440" s="327"/>
    </row>
    <row r="2441" spans="1:16" s="388" customFormat="1" ht="14">
      <c r="A2441" s="221" t="s">
        <v>8</v>
      </c>
      <c r="B2441" s="216" t="s">
        <v>971</v>
      </c>
      <c r="C2441" s="222" t="s">
        <v>15</v>
      </c>
      <c r="D2441" s="294"/>
      <c r="E2441" s="294"/>
      <c r="F2441" s="428">
        <v>3.71</v>
      </c>
      <c r="G2441" s="290">
        <f t="shared" si="488"/>
        <v>0</v>
      </c>
      <c r="H2441" s="290">
        <f t="shared" si="488"/>
        <v>0</v>
      </c>
      <c r="I2441" s="294"/>
      <c r="J2441" s="387"/>
      <c r="K2441" s="387" t="s">
        <v>113</v>
      </c>
      <c r="L2441" s="379" t="s">
        <v>58</v>
      </c>
      <c r="M2441" s="387"/>
      <c r="N2441" s="404"/>
      <c r="O2441" s="427"/>
      <c r="P2441" s="327"/>
    </row>
    <row r="2442" spans="1:16" s="388" customFormat="1" ht="14">
      <c r="A2442" s="204" t="s">
        <v>8</v>
      </c>
      <c r="B2442" s="205" t="s">
        <v>972</v>
      </c>
      <c r="C2442" s="206" t="s">
        <v>15</v>
      </c>
      <c r="D2442" s="294"/>
      <c r="E2442" s="294"/>
      <c r="F2442" s="428">
        <v>5.44</v>
      </c>
      <c r="G2442" s="290">
        <f t="shared" si="488"/>
        <v>0</v>
      </c>
      <c r="H2442" s="290">
        <f t="shared" si="488"/>
        <v>0</v>
      </c>
      <c r="I2442" s="294"/>
      <c r="J2442" s="387"/>
      <c r="K2442" s="387" t="s">
        <v>113</v>
      </c>
      <c r="L2442" s="379" t="s">
        <v>58</v>
      </c>
      <c r="M2442" s="387"/>
      <c r="N2442" s="404"/>
      <c r="O2442" s="427"/>
      <c r="P2442" s="327"/>
    </row>
    <row r="2443" spans="1:16" s="388" customFormat="1" ht="14">
      <c r="A2443" s="204" t="s">
        <v>8</v>
      </c>
      <c r="B2443" s="205" t="s">
        <v>973</v>
      </c>
      <c r="C2443" s="206" t="s">
        <v>15</v>
      </c>
      <c r="D2443" s="294"/>
      <c r="E2443" s="294"/>
      <c r="F2443" s="428">
        <v>0.62</v>
      </c>
      <c r="G2443" s="290">
        <f t="shared" si="488"/>
        <v>0</v>
      </c>
      <c r="H2443" s="290">
        <f t="shared" si="488"/>
        <v>0</v>
      </c>
      <c r="I2443" s="294"/>
      <c r="J2443" s="387"/>
      <c r="K2443" s="387" t="s">
        <v>113</v>
      </c>
      <c r="L2443" s="379" t="s">
        <v>58</v>
      </c>
      <c r="M2443" s="387"/>
      <c r="N2443" s="404"/>
      <c r="O2443" s="427"/>
      <c r="P2443" s="327"/>
    </row>
    <row r="2444" spans="1:16" s="388" customFormat="1" ht="14">
      <c r="A2444" s="223" t="s">
        <v>502</v>
      </c>
      <c r="B2444" s="224" t="s">
        <v>981</v>
      </c>
      <c r="C2444" s="226"/>
      <c r="D2444" s="226"/>
      <c r="E2444" s="226"/>
      <c r="F2444" s="226"/>
      <c r="G2444" s="226"/>
      <c r="H2444" s="226"/>
      <c r="I2444" s="226"/>
      <c r="J2444" s="384"/>
      <c r="K2444" s="384"/>
      <c r="L2444" s="226"/>
      <c r="M2444" s="226"/>
      <c r="N2444" s="404"/>
      <c r="O2444" s="427"/>
      <c r="P2444" s="327"/>
    </row>
    <row r="2445" spans="1:16" s="388" customFormat="1" ht="14">
      <c r="A2445" s="218" t="s">
        <v>119</v>
      </c>
      <c r="B2445" s="219" t="s">
        <v>982</v>
      </c>
      <c r="C2445" s="220"/>
      <c r="D2445" s="89"/>
      <c r="E2445" s="294"/>
      <c r="F2445" s="424"/>
      <c r="G2445" s="425"/>
      <c r="H2445" s="425"/>
      <c r="I2445" s="294"/>
      <c r="J2445" s="387"/>
      <c r="K2445" s="387"/>
      <c r="L2445" s="426"/>
      <c r="M2445" s="387"/>
      <c r="N2445" s="404"/>
      <c r="O2445" s="427"/>
      <c r="P2445" s="327"/>
    </row>
    <row r="2446" spans="1:16" s="388" customFormat="1" ht="14">
      <c r="A2446" s="221" t="s">
        <v>8</v>
      </c>
      <c r="B2446" s="216" t="s">
        <v>983</v>
      </c>
      <c r="C2446" s="222" t="s">
        <v>24</v>
      </c>
      <c r="D2446" s="89"/>
      <c r="E2446" s="294"/>
      <c r="F2446" s="428">
        <v>51.57</v>
      </c>
      <c r="G2446" s="283">
        <f t="shared" ref="G2446:H2448" si="489">D2446*$F2446</f>
        <v>0</v>
      </c>
      <c r="H2446" s="283">
        <f t="shared" si="489"/>
        <v>0</v>
      </c>
      <c r="I2446" s="294"/>
      <c r="J2446" s="387"/>
      <c r="K2446" s="387" t="s">
        <v>113</v>
      </c>
      <c r="L2446" s="379" t="s">
        <v>58</v>
      </c>
      <c r="M2446" s="387"/>
      <c r="N2446" s="404"/>
      <c r="O2446" s="427"/>
      <c r="P2446" s="327"/>
    </row>
    <row r="2447" spans="1:16" s="388" customFormat="1" ht="14">
      <c r="A2447" s="221" t="s">
        <v>8</v>
      </c>
      <c r="B2447" s="216" t="s">
        <v>964</v>
      </c>
      <c r="C2447" s="222" t="s">
        <v>15</v>
      </c>
      <c r="D2447" s="89"/>
      <c r="E2447" s="294"/>
      <c r="F2447" s="428">
        <v>0.61</v>
      </c>
      <c r="G2447" s="283">
        <f t="shared" si="489"/>
        <v>0</v>
      </c>
      <c r="H2447" s="283">
        <f t="shared" si="489"/>
        <v>0</v>
      </c>
      <c r="I2447" s="294"/>
      <c r="J2447" s="387"/>
      <c r="K2447" s="387" t="s">
        <v>113</v>
      </c>
      <c r="L2447" s="379" t="s">
        <v>58</v>
      </c>
      <c r="M2447" s="387"/>
      <c r="N2447" s="404"/>
      <c r="O2447" s="427"/>
      <c r="P2447" s="327"/>
    </row>
    <row r="2448" spans="1:16" s="388" customFormat="1" ht="14">
      <c r="A2448" s="221" t="s">
        <v>8</v>
      </c>
      <c r="B2448" s="216" t="s">
        <v>984</v>
      </c>
      <c r="C2448" s="222" t="s">
        <v>15</v>
      </c>
      <c r="D2448" s="89"/>
      <c r="E2448" s="294"/>
      <c r="F2448" s="429">
        <v>0.61</v>
      </c>
      <c r="G2448" s="283">
        <f t="shared" si="489"/>
        <v>0</v>
      </c>
      <c r="H2448" s="283">
        <f t="shared" si="489"/>
        <v>0</v>
      </c>
      <c r="I2448" s="294"/>
      <c r="J2448" s="387"/>
      <c r="K2448" s="387" t="s">
        <v>113</v>
      </c>
      <c r="L2448" s="379" t="s">
        <v>58</v>
      </c>
      <c r="M2448" s="387"/>
      <c r="N2448" s="404"/>
      <c r="O2448" s="427"/>
      <c r="P2448" s="327"/>
    </row>
    <row r="2449" spans="1:16" s="388" customFormat="1" ht="14">
      <c r="A2449" s="218" t="s">
        <v>120</v>
      </c>
      <c r="B2449" s="219" t="s">
        <v>957</v>
      </c>
      <c r="C2449" s="220"/>
      <c r="D2449" s="89"/>
      <c r="E2449" s="294"/>
      <c r="F2449" s="424"/>
      <c r="G2449" s="425"/>
      <c r="H2449" s="425"/>
      <c r="I2449" s="294"/>
      <c r="J2449" s="387"/>
      <c r="K2449" s="387"/>
      <c r="L2449" s="426"/>
      <c r="M2449" s="387"/>
      <c r="N2449" s="404"/>
      <c r="O2449" s="427"/>
      <c r="P2449" s="327"/>
    </row>
    <row r="2450" spans="1:16" s="388" customFormat="1" ht="14">
      <c r="A2450" s="221" t="s">
        <v>8</v>
      </c>
      <c r="B2450" s="216" t="s">
        <v>958</v>
      </c>
      <c r="C2450" s="222" t="s">
        <v>15</v>
      </c>
      <c r="D2450" s="89"/>
      <c r="E2450" s="294"/>
      <c r="F2450" s="428">
        <v>352.98</v>
      </c>
      <c r="G2450" s="283">
        <f t="shared" ref="G2450:H2451" si="490">D2450*$F2450</f>
        <v>0</v>
      </c>
      <c r="H2450" s="283">
        <f t="shared" si="490"/>
        <v>0</v>
      </c>
      <c r="I2450" s="294"/>
      <c r="J2450" s="387"/>
      <c r="K2450" s="387" t="s">
        <v>113</v>
      </c>
      <c r="L2450" s="379" t="s">
        <v>58</v>
      </c>
      <c r="M2450" s="387"/>
      <c r="N2450" s="404"/>
      <c r="O2450" s="427"/>
      <c r="P2450" s="327"/>
    </row>
    <row r="2451" spans="1:16" s="388" customFormat="1" ht="14">
      <c r="A2451" s="221" t="s">
        <v>8</v>
      </c>
      <c r="B2451" s="216" t="s">
        <v>985</v>
      </c>
      <c r="C2451" s="222" t="s">
        <v>15</v>
      </c>
      <c r="D2451" s="89"/>
      <c r="E2451" s="294"/>
      <c r="F2451" s="428">
        <v>501.97</v>
      </c>
      <c r="G2451" s="283">
        <f t="shared" si="490"/>
        <v>0</v>
      </c>
      <c r="H2451" s="283">
        <f t="shared" si="490"/>
        <v>0</v>
      </c>
      <c r="I2451" s="294"/>
      <c r="J2451" s="387"/>
      <c r="K2451" s="387" t="s">
        <v>113</v>
      </c>
      <c r="L2451" s="379" t="s">
        <v>58</v>
      </c>
      <c r="M2451" s="387"/>
      <c r="N2451" s="404"/>
      <c r="O2451" s="427"/>
      <c r="P2451" s="327"/>
    </row>
    <row r="2452" spans="1:16" s="388" customFormat="1" ht="14">
      <c r="A2452" s="218" t="s">
        <v>557</v>
      </c>
      <c r="B2452" s="219" t="s">
        <v>975</v>
      </c>
      <c r="C2452" s="220"/>
      <c r="D2452" s="89"/>
      <c r="E2452" s="294"/>
      <c r="F2452" s="424"/>
      <c r="G2452" s="425"/>
      <c r="H2452" s="425"/>
      <c r="I2452" s="294"/>
      <c r="J2452" s="387"/>
      <c r="K2452" s="387"/>
      <c r="L2452" s="426"/>
      <c r="M2452" s="387"/>
      <c r="N2452" s="404"/>
      <c r="O2452" s="427"/>
      <c r="P2452" s="327"/>
    </row>
    <row r="2453" spans="1:16" s="388" customFormat="1" ht="14">
      <c r="A2453" s="221" t="s">
        <v>8</v>
      </c>
      <c r="B2453" s="216" t="s">
        <v>955</v>
      </c>
      <c r="C2453" s="222" t="s">
        <v>133</v>
      </c>
      <c r="D2453" s="89"/>
      <c r="E2453" s="294"/>
      <c r="F2453" s="428">
        <v>8.7899999999999991</v>
      </c>
      <c r="G2453" s="283">
        <f t="shared" ref="G2453:H2454" si="491">D2453*$F2453</f>
        <v>0</v>
      </c>
      <c r="H2453" s="283">
        <f t="shared" si="491"/>
        <v>0</v>
      </c>
      <c r="I2453" s="294"/>
      <c r="J2453" s="387"/>
      <c r="K2453" s="387" t="s">
        <v>113</v>
      </c>
      <c r="L2453" s="379" t="s">
        <v>58</v>
      </c>
      <c r="M2453" s="387"/>
      <c r="N2453" s="404"/>
      <c r="O2453" s="427"/>
      <c r="P2453" s="327"/>
    </row>
    <row r="2454" spans="1:16" s="388" customFormat="1" ht="14">
      <c r="A2454" s="221" t="s">
        <v>8</v>
      </c>
      <c r="B2454" s="216" t="s">
        <v>986</v>
      </c>
      <c r="C2454" s="222" t="s">
        <v>559</v>
      </c>
      <c r="D2454" s="89"/>
      <c r="E2454" s="294"/>
      <c r="F2454" s="428">
        <v>6.28</v>
      </c>
      <c r="G2454" s="283">
        <f t="shared" si="491"/>
        <v>0</v>
      </c>
      <c r="H2454" s="283">
        <f t="shared" si="491"/>
        <v>0</v>
      </c>
      <c r="I2454" s="294"/>
      <c r="J2454" s="387"/>
      <c r="K2454" s="387" t="s">
        <v>113</v>
      </c>
      <c r="L2454" s="379" t="s">
        <v>58</v>
      </c>
      <c r="M2454" s="387"/>
      <c r="N2454" s="404"/>
      <c r="O2454" s="427"/>
      <c r="P2454" s="327"/>
    </row>
    <row r="2455" spans="1:16" s="388" customFormat="1" ht="14">
      <c r="A2455" s="218" t="s">
        <v>560</v>
      </c>
      <c r="B2455" s="219" t="s">
        <v>959</v>
      </c>
      <c r="C2455" s="220"/>
      <c r="D2455" s="89"/>
      <c r="E2455" s="294"/>
      <c r="F2455" s="424"/>
      <c r="G2455" s="425"/>
      <c r="H2455" s="425"/>
      <c r="I2455" s="294"/>
      <c r="J2455" s="387"/>
      <c r="K2455" s="387"/>
      <c r="L2455" s="426"/>
      <c r="M2455" s="387"/>
      <c r="N2455" s="404"/>
      <c r="O2455" s="427"/>
      <c r="P2455" s="327"/>
    </row>
    <row r="2456" spans="1:16" s="388" customFormat="1" ht="14">
      <c r="A2456" s="221" t="s">
        <v>8</v>
      </c>
      <c r="B2456" s="216" t="s">
        <v>987</v>
      </c>
      <c r="C2456" s="222" t="s">
        <v>24</v>
      </c>
      <c r="D2456" s="89"/>
      <c r="E2456" s="294"/>
      <c r="F2456" s="428">
        <v>182.42</v>
      </c>
      <c r="G2456" s="283">
        <f t="shared" ref="G2456:H2456" si="492">D2456*$F2456</f>
        <v>0</v>
      </c>
      <c r="H2456" s="283">
        <f t="shared" si="492"/>
        <v>0</v>
      </c>
      <c r="I2456" s="294"/>
      <c r="J2456" s="387"/>
      <c r="K2456" s="387" t="s">
        <v>113</v>
      </c>
      <c r="L2456" s="379" t="s">
        <v>58</v>
      </c>
      <c r="M2456" s="387"/>
      <c r="N2456" s="404"/>
      <c r="O2456" s="427"/>
      <c r="P2456" s="327"/>
    </row>
    <row r="2457" spans="1:16" s="388" customFormat="1" ht="14">
      <c r="A2457" s="218" t="s">
        <v>562</v>
      </c>
      <c r="B2457" s="219" t="s">
        <v>988</v>
      </c>
      <c r="C2457" s="220"/>
      <c r="D2457" s="89"/>
      <c r="E2457" s="294"/>
      <c r="F2457" s="424"/>
      <c r="G2457" s="425"/>
      <c r="H2457" s="425"/>
      <c r="I2457" s="294"/>
      <c r="J2457" s="387"/>
      <c r="K2457" s="387"/>
      <c r="L2457" s="426"/>
      <c r="M2457" s="387"/>
      <c r="N2457" s="404"/>
      <c r="O2457" s="427"/>
      <c r="P2457" s="327"/>
    </row>
    <row r="2458" spans="1:16" s="388" customFormat="1" ht="14">
      <c r="A2458" s="221" t="s">
        <v>8</v>
      </c>
      <c r="B2458" s="216" t="s">
        <v>989</v>
      </c>
      <c r="C2458" s="222" t="s">
        <v>31</v>
      </c>
      <c r="D2458" s="89"/>
      <c r="E2458" s="294"/>
      <c r="F2458" s="428">
        <v>134.19</v>
      </c>
      <c r="G2458" s="283">
        <f t="shared" ref="G2458:H2458" si="493">D2458*$F2458</f>
        <v>0</v>
      </c>
      <c r="H2458" s="283">
        <f t="shared" si="493"/>
        <v>0</v>
      </c>
      <c r="I2458" s="294"/>
      <c r="J2458" s="387"/>
      <c r="K2458" s="387" t="s">
        <v>113</v>
      </c>
      <c r="L2458" s="379" t="s">
        <v>58</v>
      </c>
      <c r="M2458" s="387"/>
      <c r="N2458" s="404"/>
      <c r="O2458" s="427"/>
      <c r="P2458" s="327"/>
    </row>
    <row r="2459" spans="1:16" s="388" customFormat="1" ht="14">
      <c r="A2459" s="218" t="s">
        <v>565</v>
      </c>
      <c r="B2459" s="219" t="s">
        <v>969</v>
      </c>
      <c r="C2459" s="220"/>
      <c r="D2459" s="89"/>
      <c r="E2459" s="294"/>
      <c r="F2459" s="424"/>
      <c r="G2459" s="425"/>
      <c r="H2459" s="425"/>
      <c r="I2459" s="294"/>
      <c r="J2459" s="387"/>
      <c r="K2459" s="387"/>
      <c r="L2459" s="426"/>
      <c r="M2459" s="387"/>
      <c r="N2459" s="404"/>
      <c r="O2459" s="427"/>
      <c r="P2459" s="327"/>
    </row>
    <row r="2460" spans="1:16" s="388" customFormat="1" ht="14">
      <c r="A2460" s="221" t="s">
        <v>8</v>
      </c>
      <c r="B2460" s="216" t="s">
        <v>970</v>
      </c>
      <c r="C2460" s="222" t="s">
        <v>15</v>
      </c>
      <c r="D2460" s="89"/>
      <c r="E2460" s="294"/>
      <c r="F2460" s="428">
        <v>3.08</v>
      </c>
      <c r="G2460" s="283">
        <f t="shared" ref="G2460:H2465" si="494">D2460*$F2460</f>
        <v>0</v>
      </c>
      <c r="H2460" s="283">
        <f t="shared" si="494"/>
        <v>0</v>
      </c>
      <c r="I2460" s="294"/>
      <c r="J2460" s="387"/>
      <c r="K2460" s="387" t="s">
        <v>113</v>
      </c>
      <c r="L2460" s="379" t="s">
        <v>58</v>
      </c>
      <c r="M2460" s="387"/>
      <c r="N2460" s="404"/>
      <c r="O2460" s="427"/>
      <c r="P2460" s="327"/>
    </row>
    <row r="2461" spans="1:16" s="388" customFormat="1" ht="14">
      <c r="A2461" s="221" t="s">
        <v>8</v>
      </c>
      <c r="B2461" s="216" t="s">
        <v>971</v>
      </c>
      <c r="C2461" s="222" t="s">
        <v>15</v>
      </c>
      <c r="D2461" s="89"/>
      <c r="E2461" s="294"/>
      <c r="F2461" s="428">
        <v>3.71</v>
      </c>
      <c r="G2461" s="283">
        <f t="shared" si="494"/>
        <v>0</v>
      </c>
      <c r="H2461" s="283">
        <f t="shared" si="494"/>
        <v>0</v>
      </c>
      <c r="I2461" s="294"/>
      <c r="J2461" s="387"/>
      <c r="K2461" s="387" t="s">
        <v>113</v>
      </c>
      <c r="L2461" s="379" t="s">
        <v>58</v>
      </c>
      <c r="M2461" s="387"/>
      <c r="N2461" s="404"/>
      <c r="O2461" s="427"/>
      <c r="P2461" s="327"/>
    </row>
    <row r="2462" spans="1:16" s="388" customFormat="1" ht="14">
      <c r="A2462" s="221" t="s">
        <v>8</v>
      </c>
      <c r="B2462" s="216" t="s">
        <v>990</v>
      </c>
      <c r="C2462" s="222" t="s">
        <v>15</v>
      </c>
      <c r="D2462" s="89"/>
      <c r="E2462" s="294"/>
      <c r="F2462" s="428">
        <v>3.0819999999999999</v>
      </c>
      <c r="G2462" s="283">
        <f t="shared" si="494"/>
        <v>0</v>
      </c>
      <c r="H2462" s="283">
        <f t="shared" si="494"/>
        <v>0</v>
      </c>
      <c r="I2462" s="294"/>
      <c r="J2462" s="387"/>
      <c r="K2462" s="387" t="s">
        <v>113</v>
      </c>
      <c r="L2462" s="379" t="s">
        <v>58</v>
      </c>
      <c r="M2462" s="387"/>
      <c r="N2462" s="404"/>
      <c r="O2462" s="427"/>
      <c r="P2462" s="327"/>
    </row>
    <row r="2463" spans="1:16" s="388" customFormat="1" ht="14">
      <c r="A2463" s="221" t="s">
        <v>8</v>
      </c>
      <c r="B2463" s="216" t="s">
        <v>991</v>
      </c>
      <c r="C2463" s="222" t="s">
        <v>15</v>
      </c>
      <c r="D2463" s="89"/>
      <c r="E2463" s="294"/>
      <c r="F2463" s="428">
        <v>2.4700000000000002</v>
      </c>
      <c r="G2463" s="283">
        <f t="shared" si="494"/>
        <v>0</v>
      </c>
      <c r="H2463" s="283">
        <f t="shared" si="494"/>
        <v>0</v>
      </c>
      <c r="I2463" s="294"/>
      <c r="J2463" s="387"/>
      <c r="K2463" s="387" t="s">
        <v>113</v>
      </c>
      <c r="L2463" s="379" t="s">
        <v>58</v>
      </c>
      <c r="M2463" s="387"/>
      <c r="N2463" s="404"/>
      <c r="O2463" s="427"/>
      <c r="P2463" s="327"/>
    </row>
    <row r="2464" spans="1:16" s="388" customFormat="1" ht="14">
      <c r="A2464" s="204" t="s">
        <v>8</v>
      </c>
      <c r="B2464" s="205" t="s">
        <v>972</v>
      </c>
      <c r="C2464" s="206" t="s">
        <v>15</v>
      </c>
      <c r="D2464" s="89"/>
      <c r="E2464" s="294"/>
      <c r="F2464" s="428">
        <v>5.44</v>
      </c>
      <c r="G2464" s="283">
        <f t="shared" si="494"/>
        <v>0</v>
      </c>
      <c r="H2464" s="283">
        <f t="shared" si="494"/>
        <v>0</v>
      </c>
      <c r="I2464" s="294"/>
      <c r="J2464" s="387"/>
      <c r="K2464" s="387" t="s">
        <v>113</v>
      </c>
      <c r="L2464" s="379" t="s">
        <v>58</v>
      </c>
      <c r="M2464" s="387"/>
      <c r="N2464" s="404"/>
      <c r="O2464" s="427"/>
      <c r="P2464" s="327"/>
    </row>
    <row r="2465" spans="1:16" s="388" customFormat="1" ht="14">
      <c r="A2465" s="204" t="s">
        <v>8</v>
      </c>
      <c r="B2465" s="205" t="s">
        <v>973</v>
      </c>
      <c r="C2465" s="206" t="s">
        <v>15</v>
      </c>
      <c r="D2465" s="89"/>
      <c r="E2465" s="294"/>
      <c r="F2465" s="428">
        <v>0.62</v>
      </c>
      <c r="G2465" s="283">
        <f t="shared" si="494"/>
        <v>0</v>
      </c>
      <c r="H2465" s="283">
        <f t="shared" si="494"/>
        <v>0</v>
      </c>
      <c r="I2465" s="294"/>
      <c r="J2465" s="387"/>
      <c r="K2465" s="387" t="s">
        <v>113</v>
      </c>
      <c r="L2465" s="379" t="s">
        <v>58</v>
      </c>
      <c r="M2465" s="387"/>
      <c r="N2465" s="404"/>
      <c r="O2465" s="427"/>
      <c r="P2465" s="327"/>
    </row>
    <row r="2466" spans="1:16" s="388" customFormat="1" ht="14">
      <c r="A2466" s="218" t="s">
        <v>568</v>
      </c>
      <c r="B2466" s="219" t="s">
        <v>992</v>
      </c>
      <c r="C2466" s="220"/>
      <c r="D2466" s="89"/>
      <c r="E2466" s="294"/>
      <c r="F2466" s="424"/>
      <c r="G2466" s="425"/>
      <c r="H2466" s="425"/>
      <c r="I2466" s="294"/>
      <c r="J2466" s="387"/>
      <c r="K2466" s="387"/>
      <c r="L2466" s="426"/>
      <c r="M2466" s="387"/>
      <c r="N2466" s="404"/>
      <c r="O2466" s="427"/>
      <c r="P2466" s="327"/>
    </row>
    <row r="2467" spans="1:16" s="388" customFormat="1" ht="14">
      <c r="A2467" s="221" t="s">
        <v>8</v>
      </c>
      <c r="B2467" s="216" t="s">
        <v>993</v>
      </c>
      <c r="C2467" s="222" t="s">
        <v>15</v>
      </c>
      <c r="D2467" s="89"/>
      <c r="E2467" s="294"/>
      <c r="F2467" s="428">
        <v>162.82</v>
      </c>
      <c r="G2467" s="283">
        <f t="shared" ref="G2467:H2467" si="495">D2467*$F2467</f>
        <v>0</v>
      </c>
      <c r="H2467" s="283">
        <f t="shared" si="495"/>
        <v>0</v>
      </c>
      <c r="I2467" s="294"/>
      <c r="J2467" s="387"/>
      <c r="K2467" s="387" t="s">
        <v>113</v>
      </c>
      <c r="L2467" s="379" t="s">
        <v>58</v>
      </c>
      <c r="M2467" s="387"/>
      <c r="N2467" s="404"/>
      <c r="O2467" s="427"/>
      <c r="P2467" s="327"/>
    </row>
    <row r="2468" spans="1:16" s="388" customFormat="1" ht="14">
      <c r="A2468" s="223" t="s">
        <v>571</v>
      </c>
      <c r="B2468" s="382" t="s">
        <v>994</v>
      </c>
      <c r="C2468" s="226"/>
      <c r="D2468" s="226"/>
      <c r="E2468" s="226"/>
      <c r="F2468" s="226"/>
      <c r="G2468" s="226"/>
      <c r="H2468" s="226"/>
      <c r="I2468" s="226"/>
      <c r="J2468" s="384"/>
      <c r="K2468" s="384"/>
      <c r="L2468" s="226"/>
      <c r="M2468" s="226"/>
      <c r="N2468" s="404"/>
      <c r="O2468" s="427"/>
      <c r="P2468" s="327"/>
    </row>
    <row r="2469" spans="1:16" s="388" customFormat="1" ht="14">
      <c r="A2469" s="204" t="s">
        <v>572</v>
      </c>
      <c r="B2469" s="205" t="s">
        <v>955</v>
      </c>
      <c r="C2469" s="206" t="s">
        <v>133</v>
      </c>
      <c r="D2469" s="294"/>
      <c r="E2469" s="294"/>
      <c r="F2469" s="428">
        <v>8.7899999999999991</v>
      </c>
      <c r="G2469" s="283">
        <f t="shared" ref="G2469:H2469" si="496">D2469*$F2469</f>
        <v>0</v>
      </c>
      <c r="H2469" s="283">
        <f t="shared" si="496"/>
        <v>0</v>
      </c>
      <c r="I2469" s="294"/>
      <c r="J2469" s="387"/>
      <c r="K2469" s="387" t="s">
        <v>112</v>
      </c>
      <c r="L2469" s="379" t="s">
        <v>58</v>
      </c>
      <c r="M2469" s="387"/>
      <c r="N2469" s="404"/>
      <c r="O2469" s="427"/>
      <c r="P2469" s="327"/>
    </row>
    <row r="2470" spans="1:16" s="388" customFormat="1" ht="14">
      <c r="A2470" s="204" t="s">
        <v>573</v>
      </c>
      <c r="B2470" s="205" t="s">
        <v>995</v>
      </c>
      <c r="C2470" s="203"/>
      <c r="D2470" s="294"/>
      <c r="E2470" s="294"/>
      <c r="F2470" s="424"/>
      <c r="G2470" s="425"/>
      <c r="H2470" s="425"/>
      <c r="I2470" s="294"/>
      <c r="J2470" s="387"/>
      <c r="K2470" s="387"/>
      <c r="L2470" s="426"/>
      <c r="M2470" s="387"/>
      <c r="N2470" s="404"/>
      <c r="O2470" s="427"/>
      <c r="P2470" s="327"/>
    </row>
    <row r="2471" spans="1:16" s="388" customFormat="1" ht="14">
      <c r="A2471" s="221" t="s">
        <v>8</v>
      </c>
      <c r="B2471" s="227" t="s">
        <v>996</v>
      </c>
      <c r="C2471" s="222" t="s">
        <v>15</v>
      </c>
      <c r="D2471" s="294"/>
      <c r="E2471" s="294"/>
      <c r="F2471" s="428">
        <v>0.61</v>
      </c>
      <c r="G2471" s="283">
        <f t="shared" ref="G2471:H2477" si="497">D2471*$F2471</f>
        <v>0</v>
      </c>
      <c r="H2471" s="283">
        <f t="shared" si="497"/>
        <v>0</v>
      </c>
      <c r="I2471" s="294"/>
      <c r="J2471" s="387"/>
      <c r="K2471" s="387" t="s">
        <v>112</v>
      </c>
      <c r="L2471" s="379" t="s">
        <v>58</v>
      </c>
      <c r="M2471" s="387"/>
      <c r="N2471" s="404"/>
      <c r="O2471" s="427"/>
      <c r="P2471" s="327"/>
    </row>
    <row r="2472" spans="1:16" s="388" customFormat="1" ht="14">
      <c r="A2472" s="221" t="s">
        <v>8</v>
      </c>
      <c r="B2472" s="205" t="s">
        <v>997</v>
      </c>
      <c r="C2472" s="222" t="s">
        <v>15</v>
      </c>
      <c r="D2472" s="294"/>
      <c r="E2472" s="294"/>
      <c r="F2472" s="428">
        <v>0.61</v>
      </c>
      <c r="G2472" s="283">
        <f t="shared" si="497"/>
        <v>0</v>
      </c>
      <c r="H2472" s="283">
        <f t="shared" si="497"/>
        <v>0</v>
      </c>
      <c r="I2472" s="294"/>
      <c r="J2472" s="387"/>
      <c r="K2472" s="387" t="s">
        <v>112</v>
      </c>
      <c r="L2472" s="379" t="s">
        <v>58</v>
      </c>
      <c r="M2472" s="387"/>
      <c r="N2472" s="404"/>
      <c r="O2472" s="427"/>
      <c r="P2472" s="327"/>
    </row>
    <row r="2473" spans="1:16" s="388" customFormat="1" ht="14">
      <c r="A2473" s="221" t="s">
        <v>8</v>
      </c>
      <c r="B2473" s="205" t="s">
        <v>998</v>
      </c>
      <c r="C2473" s="222" t="s">
        <v>15</v>
      </c>
      <c r="D2473" s="294"/>
      <c r="E2473" s="294"/>
      <c r="F2473" s="428">
        <v>0.61</v>
      </c>
      <c r="G2473" s="283">
        <f t="shared" si="497"/>
        <v>0</v>
      </c>
      <c r="H2473" s="283">
        <f t="shared" si="497"/>
        <v>0</v>
      </c>
      <c r="I2473" s="294"/>
      <c r="J2473" s="387"/>
      <c r="K2473" s="387" t="s">
        <v>112</v>
      </c>
      <c r="L2473" s="379" t="s">
        <v>58</v>
      </c>
      <c r="M2473" s="387"/>
      <c r="N2473" s="404"/>
      <c r="O2473" s="427"/>
      <c r="P2473" s="327"/>
    </row>
    <row r="2474" spans="1:16" s="388" customFormat="1" ht="14">
      <c r="A2474" s="221" t="s">
        <v>8</v>
      </c>
      <c r="B2474" s="205" t="s">
        <v>999</v>
      </c>
      <c r="C2474" s="222" t="s">
        <v>15</v>
      </c>
      <c r="D2474" s="294"/>
      <c r="E2474" s="294"/>
      <c r="F2474" s="428">
        <v>0.61</v>
      </c>
      <c r="G2474" s="283">
        <f t="shared" si="497"/>
        <v>0</v>
      </c>
      <c r="H2474" s="283">
        <f t="shared" si="497"/>
        <v>0</v>
      </c>
      <c r="I2474" s="294"/>
      <c r="J2474" s="387"/>
      <c r="K2474" s="387" t="s">
        <v>112</v>
      </c>
      <c r="L2474" s="379" t="s">
        <v>58</v>
      </c>
      <c r="M2474" s="387"/>
      <c r="N2474" s="404"/>
      <c r="O2474" s="427"/>
      <c r="P2474" s="327"/>
    </row>
    <row r="2475" spans="1:16" s="388" customFormat="1" ht="14">
      <c r="A2475" s="221" t="s">
        <v>8</v>
      </c>
      <c r="B2475" s="227" t="s">
        <v>1000</v>
      </c>
      <c r="C2475" s="222" t="s">
        <v>15</v>
      </c>
      <c r="D2475" s="294"/>
      <c r="E2475" s="294"/>
      <c r="F2475" s="428">
        <v>0.61</v>
      </c>
      <c r="G2475" s="283">
        <f t="shared" si="497"/>
        <v>0</v>
      </c>
      <c r="H2475" s="283">
        <f t="shared" si="497"/>
        <v>0</v>
      </c>
      <c r="I2475" s="294"/>
      <c r="J2475" s="387"/>
      <c r="K2475" s="387" t="s">
        <v>112</v>
      </c>
      <c r="L2475" s="379" t="s">
        <v>58</v>
      </c>
      <c r="M2475" s="387"/>
      <c r="N2475" s="404"/>
      <c r="O2475" s="427"/>
      <c r="P2475" s="327"/>
    </row>
    <row r="2476" spans="1:16" s="388" customFormat="1" ht="14">
      <c r="A2476" s="221" t="s">
        <v>8</v>
      </c>
      <c r="B2476" s="227" t="s">
        <v>1001</v>
      </c>
      <c r="C2476" s="222" t="s">
        <v>15</v>
      </c>
      <c r="D2476" s="294"/>
      <c r="E2476" s="294"/>
      <c r="F2476" s="428">
        <v>0.61</v>
      </c>
      <c r="G2476" s="283">
        <f t="shared" si="497"/>
        <v>0</v>
      </c>
      <c r="H2476" s="283">
        <f t="shared" si="497"/>
        <v>0</v>
      </c>
      <c r="I2476" s="294"/>
      <c r="J2476" s="387"/>
      <c r="K2476" s="387" t="s">
        <v>112</v>
      </c>
      <c r="L2476" s="379" t="s">
        <v>58</v>
      </c>
      <c r="M2476" s="387"/>
      <c r="N2476" s="404"/>
      <c r="O2476" s="427"/>
      <c r="P2476" s="327"/>
    </row>
    <row r="2477" spans="1:16" s="388" customFormat="1" ht="14">
      <c r="A2477" s="221" t="s">
        <v>8</v>
      </c>
      <c r="B2477" s="216" t="s">
        <v>1002</v>
      </c>
      <c r="C2477" s="222" t="s">
        <v>15</v>
      </c>
      <c r="D2477" s="294"/>
      <c r="E2477" s="294"/>
      <c r="F2477" s="429">
        <v>0.61</v>
      </c>
      <c r="G2477" s="283">
        <f t="shared" si="497"/>
        <v>0</v>
      </c>
      <c r="H2477" s="283">
        <f t="shared" si="497"/>
        <v>0</v>
      </c>
      <c r="I2477" s="294"/>
      <c r="J2477" s="387"/>
      <c r="K2477" s="387" t="s">
        <v>112</v>
      </c>
      <c r="L2477" s="379" t="s">
        <v>58</v>
      </c>
      <c r="M2477" s="387"/>
      <c r="N2477" s="404"/>
      <c r="O2477" s="427"/>
      <c r="P2477" s="327"/>
    </row>
    <row r="2478" spans="1:16" s="388" customFormat="1" ht="14">
      <c r="A2478" s="204" t="s">
        <v>584</v>
      </c>
      <c r="B2478" s="205" t="s">
        <v>966</v>
      </c>
      <c r="C2478" s="203"/>
      <c r="D2478" s="294"/>
      <c r="E2478" s="294"/>
      <c r="F2478" s="424"/>
      <c r="G2478" s="425"/>
      <c r="H2478" s="425"/>
      <c r="I2478" s="294"/>
      <c r="J2478" s="387"/>
      <c r="K2478" s="387"/>
      <c r="L2478" s="426"/>
      <c r="M2478" s="387"/>
      <c r="N2478" s="404"/>
      <c r="O2478" s="427"/>
      <c r="P2478" s="327"/>
    </row>
    <row r="2479" spans="1:16" s="388" customFormat="1" ht="14">
      <c r="A2479" s="221" t="s">
        <v>8</v>
      </c>
      <c r="B2479" s="216" t="s">
        <v>967</v>
      </c>
      <c r="C2479" s="222" t="s">
        <v>10</v>
      </c>
      <c r="D2479" s="294"/>
      <c r="E2479" s="294"/>
      <c r="F2479" s="424"/>
      <c r="G2479" s="283">
        <f t="shared" ref="G2479:H2480" si="498">D2479*$F2479</f>
        <v>0</v>
      </c>
      <c r="H2479" s="283">
        <f t="shared" si="498"/>
        <v>0</v>
      </c>
      <c r="I2479" s="294"/>
      <c r="J2479" s="387"/>
      <c r="K2479" s="387" t="s">
        <v>112</v>
      </c>
      <c r="L2479" s="379" t="s">
        <v>58</v>
      </c>
      <c r="M2479" s="387"/>
      <c r="N2479" s="404"/>
      <c r="O2479" s="427"/>
      <c r="P2479" s="327"/>
    </row>
    <row r="2480" spans="1:16" s="388" customFormat="1" ht="14">
      <c r="A2480" s="221" t="s">
        <v>8</v>
      </c>
      <c r="B2480" s="216" t="s">
        <v>968</v>
      </c>
      <c r="C2480" s="222" t="s">
        <v>10</v>
      </c>
      <c r="D2480" s="294"/>
      <c r="E2480" s="294"/>
      <c r="F2480" s="424"/>
      <c r="G2480" s="283">
        <f t="shared" si="498"/>
        <v>0</v>
      </c>
      <c r="H2480" s="283">
        <f t="shared" si="498"/>
        <v>0</v>
      </c>
      <c r="I2480" s="294"/>
      <c r="J2480" s="387"/>
      <c r="K2480" s="387" t="s">
        <v>112</v>
      </c>
      <c r="L2480" s="379" t="s">
        <v>58</v>
      </c>
      <c r="M2480" s="387"/>
      <c r="N2480" s="404"/>
      <c r="O2480" s="427"/>
      <c r="P2480" s="327"/>
    </row>
    <row r="2481" spans="1:16" s="388" customFormat="1" ht="14">
      <c r="A2481" s="221" t="s">
        <v>585</v>
      </c>
      <c r="B2481" s="216" t="s">
        <v>988</v>
      </c>
      <c r="C2481" s="220"/>
      <c r="D2481" s="294"/>
      <c r="E2481" s="294"/>
      <c r="F2481" s="424"/>
      <c r="G2481" s="425"/>
      <c r="H2481" s="425"/>
      <c r="I2481" s="294"/>
      <c r="J2481" s="387"/>
      <c r="K2481" s="387"/>
      <c r="L2481" s="426"/>
      <c r="M2481" s="387"/>
      <c r="N2481" s="404"/>
      <c r="O2481" s="427"/>
      <c r="P2481" s="327"/>
    </row>
    <row r="2482" spans="1:16" s="388" customFormat="1" ht="14">
      <c r="A2482" s="221" t="s">
        <v>8</v>
      </c>
      <c r="B2482" s="216" t="s">
        <v>989</v>
      </c>
      <c r="C2482" s="222" t="s">
        <v>31</v>
      </c>
      <c r="D2482" s="294"/>
      <c r="E2482" s="294"/>
      <c r="F2482" s="428">
        <v>134.19</v>
      </c>
      <c r="G2482" s="283">
        <f t="shared" ref="G2482:H2482" si="499">D2482*$F2482</f>
        <v>0</v>
      </c>
      <c r="H2482" s="283">
        <f t="shared" si="499"/>
        <v>0</v>
      </c>
      <c r="I2482" s="294"/>
      <c r="J2482" s="387"/>
      <c r="K2482" s="387" t="s">
        <v>112</v>
      </c>
      <c r="L2482" s="379" t="s">
        <v>58</v>
      </c>
      <c r="M2482" s="387"/>
      <c r="N2482" s="404"/>
      <c r="O2482" s="427"/>
      <c r="P2482" s="327"/>
    </row>
    <row r="2483" spans="1:16" s="388" customFormat="1" ht="14">
      <c r="A2483" s="221" t="s">
        <v>586</v>
      </c>
      <c r="B2483" s="216" t="s">
        <v>959</v>
      </c>
      <c r="C2483" s="220"/>
      <c r="D2483" s="294"/>
      <c r="E2483" s="294"/>
      <c r="F2483" s="424"/>
      <c r="G2483" s="425"/>
      <c r="H2483" s="425"/>
      <c r="I2483" s="294"/>
      <c r="J2483" s="387"/>
      <c r="K2483" s="387"/>
      <c r="L2483" s="426"/>
      <c r="M2483" s="387"/>
      <c r="N2483" s="404"/>
      <c r="O2483" s="427"/>
      <c r="P2483" s="327"/>
    </row>
    <row r="2484" spans="1:16" s="388" customFormat="1" ht="14">
      <c r="A2484" s="204" t="s">
        <v>8</v>
      </c>
      <c r="B2484" s="205" t="s">
        <v>1003</v>
      </c>
      <c r="C2484" s="206" t="s">
        <v>24</v>
      </c>
      <c r="D2484" s="294"/>
      <c r="E2484" s="294"/>
      <c r="F2484" s="428">
        <v>182.42</v>
      </c>
      <c r="G2484" s="283">
        <f t="shared" ref="G2484:H2484" si="500">D2484*$F2484</f>
        <v>0</v>
      </c>
      <c r="H2484" s="283">
        <f t="shared" si="500"/>
        <v>0</v>
      </c>
      <c r="I2484" s="294"/>
      <c r="J2484" s="387"/>
      <c r="K2484" s="387" t="s">
        <v>112</v>
      </c>
      <c r="L2484" s="379" t="s">
        <v>58</v>
      </c>
      <c r="M2484" s="387"/>
      <c r="N2484" s="404"/>
      <c r="O2484" s="427"/>
      <c r="P2484" s="327"/>
    </row>
    <row r="2485" spans="1:16" s="388" customFormat="1" ht="14">
      <c r="A2485" s="221" t="s">
        <v>588</v>
      </c>
      <c r="B2485" s="216" t="s">
        <v>957</v>
      </c>
      <c r="C2485" s="206"/>
      <c r="D2485" s="294"/>
      <c r="E2485" s="294"/>
      <c r="F2485" s="424"/>
      <c r="G2485" s="425"/>
      <c r="H2485" s="425"/>
      <c r="I2485" s="294"/>
      <c r="J2485" s="387"/>
      <c r="K2485" s="387"/>
      <c r="L2485" s="426"/>
      <c r="M2485" s="387"/>
      <c r="N2485" s="404"/>
      <c r="O2485" s="427"/>
      <c r="P2485" s="327"/>
    </row>
    <row r="2486" spans="1:16" s="388" customFormat="1" ht="14">
      <c r="A2486" s="221" t="s">
        <v>8</v>
      </c>
      <c r="B2486" s="216" t="s">
        <v>958</v>
      </c>
      <c r="C2486" s="222" t="s">
        <v>15</v>
      </c>
      <c r="D2486" s="294"/>
      <c r="E2486" s="294"/>
      <c r="F2486" s="428">
        <v>352.98</v>
      </c>
      <c r="G2486" s="283">
        <f t="shared" ref="G2486:H2489" si="501">D2486*$F2486</f>
        <v>0</v>
      </c>
      <c r="H2486" s="283">
        <f t="shared" si="501"/>
        <v>0</v>
      </c>
      <c r="I2486" s="294"/>
      <c r="J2486" s="387"/>
      <c r="K2486" s="387" t="s">
        <v>112</v>
      </c>
      <c r="L2486" s="379" t="s">
        <v>58</v>
      </c>
      <c r="M2486" s="387"/>
      <c r="N2486" s="404"/>
      <c r="O2486" s="427"/>
      <c r="P2486" s="327"/>
    </row>
    <row r="2487" spans="1:16" s="388" customFormat="1" ht="14">
      <c r="A2487" s="204" t="s">
        <v>8</v>
      </c>
      <c r="B2487" s="205" t="s">
        <v>985</v>
      </c>
      <c r="C2487" s="206" t="s">
        <v>15</v>
      </c>
      <c r="D2487" s="294"/>
      <c r="E2487" s="294"/>
      <c r="F2487" s="428">
        <v>501.97</v>
      </c>
      <c r="G2487" s="283">
        <f t="shared" si="501"/>
        <v>0</v>
      </c>
      <c r="H2487" s="283">
        <f t="shared" si="501"/>
        <v>0</v>
      </c>
      <c r="I2487" s="294"/>
      <c r="J2487" s="387"/>
      <c r="K2487" s="387" t="s">
        <v>112</v>
      </c>
      <c r="L2487" s="379" t="s">
        <v>58</v>
      </c>
      <c r="M2487" s="387"/>
      <c r="N2487" s="404"/>
      <c r="O2487" s="427"/>
      <c r="P2487" s="327"/>
    </row>
    <row r="2488" spans="1:16" s="388" customFormat="1" ht="14">
      <c r="A2488" s="204" t="s">
        <v>8</v>
      </c>
      <c r="B2488" s="205" t="s">
        <v>1004</v>
      </c>
      <c r="C2488" s="206" t="s">
        <v>15</v>
      </c>
      <c r="D2488" s="294"/>
      <c r="E2488" s="294"/>
      <c r="F2488" s="428">
        <v>524.44000000000005</v>
      </c>
      <c r="G2488" s="283">
        <f t="shared" si="501"/>
        <v>0</v>
      </c>
      <c r="H2488" s="283">
        <f t="shared" si="501"/>
        <v>0</v>
      </c>
      <c r="I2488" s="294"/>
      <c r="J2488" s="387"/>
      <c r="K2488" s="387" t="s">
        <v>112</v>
      </c>
      <c r="L2488" s="379" t="s">
        <v>58</v>
      </c>
      <c r="M2488" s="387"/>
      <c r="N2488" s="404"/>
      <c r="O2488" s="427"/>
      <c r="P2488" s="327"/>
    </row>
    <row r="2489" spans="1:16" s="388" customFormat="1" ht="14">
      <c r="A2489" s="221" t="s">
        <v>590</v>
      </c>
      <c r="B2489" s="216" t="s">
        <v>1005</v>
      </c>
      <c r="C2489" s="222" t="s">
        <v>15</v>
      </c>
      <c r="D2489" s="294"/>
      <c r="E2489" s="294"/>
      <c r="F2489" s="428">
        <v>4.93</v>
      </c>
      <c r="G2489" s="283">
        <f t="shared" si="501"/>
        <v>0</v>
      </c>
      <c r="H2489" s="283">
        <f t="shared" si="501"/>
        <v>0</v>
      </c>
      <c r="I2489" s="294"/>
      <c r="J2489" s="387"/>
      <c r="K2489" s="387" t="s">
        <v>112</v>
      </c>
      <c r="L2489" s="379" t="s">
        <v>58</v>
      </c>
      <c r="M2489" s="387"/>
      <c r="N2489" s="404"/>
      <c r="O2489" s="427"/>
      <c r="P2489" s="327"/>
    </row>
    <row r="2490" spans="1:16" s="388" customFormat="1" ht="14">
      <c r="A2490" s="223" t="s">
        <v>592</v>
      </c>
      <c r="B2490" s="382" t="s">
        <v>1006</v>
      </c>
      <c r="C2490" s="226"/>
      <c r="D2490" s="226"/>
      <c r="E2490" s="226"/>
      <c r="F2490" s="226"/>
      <c r="G2490" s="226"/>
      <c r="H2490" s="226"/>
      <c r="I2490" s="226"/>
      <c r="J2490" s="384"/>
      <c r="K2490" s="384"/>
      <c r="L2490" s="226"/>
      <c r="M2490" s="226"/>
      <c r="N2490" s="404"/>
      <c r="O2490" s="427"/>
      <c r="P2490" s="327"/>
    </row>
    <row r="2491" spans="1:16" s="388" customFormat="1" ht="14">
      <c r="A2491" s="204" t="s">
        <v>593</v>
      </c>
      <c r="B2491" s="205" t="s">
        <v>955</v>
      </c>
      <c r="C2491" s="206" t="s">
        <v>133</v>
      </c>
      <c r="D2491" s="294"/>
      <c r="E2491" s="294"/>
      <c r="F2491" s="428">
        <v>8.7899999999999991</v>
      </c>
      <c r="G2491" s="290">
        <f t="shared" ref="G2491:H2491" si="502">D2491*$F2491</f>
        <v>0</v>
      </c>
      <c r="H2491" s="290">
        <f t="shared" si="502"/>
        <v>0</v>
      </c>
      <c r="I2491" s="294"/>
      <c r="J2491" s="387"/>
      <c r="K2491" s="387" t="s">
        <v>113</v>
      </c>
      <c r="L2491" s="379" t="s">
        <v>58</v>
      </c>
      <c r="M2491" s="387"/>
      <c r="N2491" s="404"/>
      <c r="O2491" s="427"/>
      <c r="P2491" s="327"/>
    </row>
    <row r="2492" spans="1:16" s="388" customFormat="1" ht="14">
      <c r="A2492" s="204" t="s">
        <v>594</v>
      </c>
      <c r="B2492" s="205" t="s">
        <v>995</v>
      </c>
      <c r="C2492" s="203"/>
      <c r="D2492" s="294"/>
      <c r="E2492" s="294"/>
      <c r="F2492" s="424"/>
      <c r="G2492" s="425"/>
      <c r="H2492" s="425"/>
      <c r="I2492" s="294"/>
      <c r="J2492" s="387"/>
      <c r="K2492" s="387"/>
      <c r="L2492" s="426"/>
      <c r="M2492" s="387"/>
      <c r="N2492" s="404"/>
      <c r="O2492" s="427"/>
      <c r="P2492" s="327"/>
    </row>
    <row r="2493" spans="1:16" s="388" customFormat="1" ht="14">
      <c r="A2493" s="221" t="s">
        <v>8</v>
      </c>
      <c r="B2493" s="227" t="s">
        <v>996</v>
      </c>
      <c r="C2493" s="222" t="s">
        <v>15</v>
      </c>
      <c r="D2493" s="294"/>
      <c r="E2493" s="294"/>
      <c r="F2493" s="428">
        <v>0.61</v>
      </c>
      <c r="G2493" s="290">
        <f t="shared" ref="G2493:H2499" si="503">D2493*$F2493</f>
        <v>0</v>
      </c>
      <c r="H2493" s="290">
        <f t="shared" si="503"/>
        <v>0</v>
      </c>
      <c r="I2493" s="294"/>
      <c r="J2493" s="387"/>
      <c r="K2493" s="387" t="s">
        <v>113</v>
      </c>
      <c r="L2493" s="379" t="s">
        <v>58</v>
      </c>
      <c r="M2493" s="387"/>
      <c r="N2493" s="404"/>
      <c r="O2493" s="427"/>
      <c r="P2493" s="327"/>
    </row>
    <row r="2494" spans="1:16" s="388" customFormat="1" ht="14">
      <c r="A2494" s="221" t="s">
        <v>8</v>
      </c>
      <c r="B2494" s="205" t="s">
        <v>997</v>
      </c>
      <c r="C2494" s="222" t="s">
        <v>15</v>
      </c>
      <c r="D2494" s="294"/>
      <c r="E2494" s="294"/>
      <c r="F2494" s="428">
        <v>0.61</v>
      </c>
      <c r="G2494" s="290">
        <f t="shared" si="503"/>
        <v>0</v>
      </c>
      <c r="H2494" s="290">
        <f t="shared" si="503"/>
        <v>0</v>
      </c>
      <c r="I2494" s="294"/>
      <c r="J2494" s="387"/>
      <c r="K2494" s="387" t="s">
        <v>113</v>
      </c>
      <c r="L2494" s="379" t="s">
        <v>58</v>
      </c>
      <c r="M2494" s="387"/>
      <c r="N2494" s="404"/>
      <c r="O2494" s="427"/>
      <c r="P2494" s="327"/>
    </row>
    <row r="2495" spans="1:16" s="388" customFormat="1" ht="14">
      <c r="A2495" s="221" t="s">
        <v>8</v>
      </c>
      <c r="B2495" s="205" t="s">
        <v>998</v>
      </c>
      <c r="C2495" s="222" t="s">
        <v>15</v>
      </c>
      <c r="D2495" s="294"/>
      <c r="E2495" s="294"/>
      <c r="F2495" s="428">
        <v>0.61</v>
      </c>
      <c r="G2495" s="290">
        <f t="shared" si="503"/>
        <v>0</v>
      </c>
      <c r="H2495" s="290">
        <f t="shared" si="503"/>
        <v>0</v>
      </c>
      <c r="I2495" s="294"/>
      <c r="J2495" s="387"/>
      <c r="K2495" s="387" t="s">
        <v>113</v>
      </c>
      <c r="L2495" s="379" t="s">
        <v>58</v>
      </c>
      <c r="M2495" s="387"/>
      <c r="N2495" s="404"/>
      <c r="O2495" s="427"/>
      <c r="P2495" s="327"/>
    </row>
    <row r="2496" spans="1:16" s="388" customFormat="1" ht="14">
      <c r="A2496" s="221" t="s">
        <v>8</v>
      </c>
      <c r="B2496" s="205" t="s">
        <v>999</v>
      </c>
      <c r="C2496" s="222" t="s">
        <v>15</v>
      </c>
      <c r="D2496" s="294"/>
      <c r="E2496" s="294"/>
      <c r="F2496" s="428">
        <v>0.61</v>
      </c>
      <c r="G2496" s="290">
        <f t="shared" si="503"/>
        <v>0</v>
      </c>
      <c r="H2496" s="290">
        <f t="shared" si="503"/>
        <v>0</v>
      </c>
      <c r="I2496" s="294"/>
      <c r="J2496" s="387"/>
      <c r="K2496" s="387" t="s">
        <v>113</v>
      </c>
      <c r="L2496" s="379" t="s">
        <v>58</v>
      </c>
      <c r="M2496" s="387"/>
      <c r="N2496" s="404"/>
      <c r="O2496" s="427"/>
      <c r="P2496" s="327"/>
    </row>
    <row r="2497" spans="1:16" s="388" customFormat="1" ht="14">
      <c r="A2497" s="221" t="s">
        <v>8</v>
      </c>
      <c r="B2497" s="227" t="s">
        <v>1000</v>
      </c>
      <c r="C2497" s="222" t="s">
        <v>15</v>
      </c>
      <c r="D2497" s="294"/>
      <c r="E2497" s="294"/>
      <c r="F2497" s="428">
        <v>0.61</v>
      </c>
      <c r="G2497" s="290">
        <f t="shared" si="503"/>
        <v>0</v>
      </c>
      <c r="H2497" s="290">
        <f t="shared" si="503"/>
        <v>0</v>
      </c>
      <c r="I2497" s="294"/>
      <c r="J2497" s="387"/>
      <c r="K2497" s="387" t="s">
        <v>113</v>
      </c>
      <c r="L2497" s="379" t="s">
        <v>58</v>
      </c>
      <c r="M2497" s="387"/>
      <c r="N2497" s="404"/>
      <c r="O2497" s="427"/>
      <c r="P2497" s="327"/>
    </row>
    <row r="2498" spans="1:16" s="388" customFormat="1" ht="14">
      <c r="A2498" s="221" t="s">
        <v>8</v>
      </c>
      <c r="B2498" s="227" t="s">
        <v>1001</v>
      </c>
      <c r="C2498" s="222" t="s">
        <v>15</v>
      </c>
      <c r="D2498" s="294"/>
      <c r="E2498" s="294"/>
      <c r="F2498" s="428">
        <v>0.61</v>
      </c>
      <c r="G2498" s="290">
        <f t="shared" si="503"/>
        <v>0</v>
      </c>
      <c r="H2498" s="290">
        <f t="shared" si="503"/>
        <v>0</v>
      </c>
      <c r="I2498" s="294"/>
      <c r="J2498" s="387"/>
      <c r="K2498" s="387" t="s">
        <v>113</v>
      </c>
      <c r="L2498" s="379" t="s">
        <v>58</v>
      </c>
      <c r="M2498" s="387"/>
      <c r="N2498" s="404"/>
      <c r="O2498" s="427"/>
      <c r="P2498" s="327"/>
    </row>
    <row r="2499" spans="1:16" s="388" customFormat="1" ht="14">
      <c r="A2499" s="221" t="s">
        <v>8</v>
      </c>
      <c r="B2499" s="216" t="s">
        <v>1002</v>
      </c>
      <c r="C2499" s="222" t="s">
        <v>15</v>
      </c>
      <c r="D2499" s="294"/>
      <c r="E2499" s="294"/>
      <c r="F2499" s="429">
        <v>0.61</v>
      </c>
      <c r="G2499" s="290">
        <f t="shared" si="503"/>
        <v>0</v>
      </c>
      <c r="H2499" s="290">
        <f t="shared" si="503"/>
        <v>0</v>
      </c>
      <c r="I2499" s="294"/>
      <c r="J2499" s="387"/>
      <c r="K2499" s="387" t="s">
        <v>113</v>
      </c>
      <c r="L2499" s="379" t="s">
        <v>58</v>
      </c>
      <c r="M2499" s="387"/>
      <c r="N2499" s="404"/>
      <c r="O2499" s="427"/>
      <c r="P2499" s="327"/>
    </row>
    <row r="2500" spans="1:16" s="388" customFormat="1" ht="14">
      <c r="A2500" s="204" t="s">
        <v>595</v>
      </c>
      <c r="B2500" s="205" t="s">
        <v>966</v>
      </c>
      <c r="C2500" s="203"/>
      <c r="D2500" s="294"/>
      <c r="E2500" s="294"/>
      <c r="F2500" s="424"/>
      <c r="G2500" s="425"/>
      <c r="H2500" s="425"/>
      <c r="I2500" s="294"/>
      <c r="J2500" s="387"/>
      <c r="K2500" s="387"/>
      <c r="L2500" s="426"/>
      <c r="M2500" s="387"/>
      <c r="N2500" s="404"/>
      <c r="O2500" s="427"/>
      <c r="P2500" s="327"/>
    </row>
    <row r="2501" spans="1:16" s="388" customFormat="1" ht="14">
      <c r="A2501" s="221" t="s">
        <v>8</v>
      </c>
      <c r="B2501" s="216" t="s">
        <v>967</v>
      </c>
      <c r="C2501" s="222" t="s">
        <v>10</v>
      </c>
      <c r="D2501" s="294"/>
      <c r="E2501" s="294"/>
      <c r="F2501" s="424"/>
      <c r="G2501" s="290">
        <f t="shared" ref="G2501:H2502" si="504">D2501*$F2501</f>
        <v>0</v>
      </c>
      <c r="H2501" s="290">
        <f t="shared" si="504"/>
        <v>0</v>
      </c>
      <c r="I2501" s="294"/>
      <c r="J2501" s="387"/>
      <c r="K2501" s="387" t="s">
        <v>113</v>
      </c>
      <c r="L2501" s="379" t="s">
        <v>58</v>
      </c>
      <c r="M2501" s="387"/>
      <c r="N2501" s="404"/>
      <c r="O2501" s="427"/>
      <c r="P2501" s="327"/>
    </row>
    <row r="2502" spans="1:16" s="388" customFormat="1" ht="14">
      <c r="A2502" s="221" t="s">
        <v>8</v>
      </c>
      <c r="B2502" s="216" t="s">
        <v>968</v>
      </c>
      <c r="C2502" s="222" t="s">
        <v>10</v>
      </c>
      <c r="D2502" s="294"/>
      <c r="E2502" s="294"/>
      <c r="F2502" s="424"/>
      <c r="G2502" s="290">
        <f t="shared" si="504"/>
        <v>0</v>
      </c>
      <c r="H2502" s="290">
        <f t="shared" si="504"/>
        <v>0</v>
      </c>
      <c r="I2502" s="294"/>
      <c r="J2502" s="387"/>
      <c r="K2502" s="387" t="s">
        <v>113</v>
      </c>
      <c r="L2502" s="379" t="s">
        <v>58</v>
      </c>
      <c r="M2502" s="387"/>
      <c r="N2502" s="404"/>
      <c r="O2502" s="427"/>
      <c r="P2502" s="327"/>
    </row>
    <row r="2503" spans="1:16" s="388" customFormat="1" ht="14">
      <c r="A2503" s="221" t="s">
        <v>596</v>
      </c>
      <c r="B2503" s="216" t="s">
        <v>988</v>
      </c>
      <c r="C2503" s="220"/>
      <c r="D2503" s="294"/>
      <c r="E2503" s="294"/>
      <c r="F2503" s="424"/>
      <c r="G2503" s="425"/>
      <c r="H2503" s="425"/>
      <c r="I2503" s="294"/>
      <c r="J2503" s="387"/>
      <c r="K2503" s="379"/>
      <c r="L2503" s="426"/>
      <c r="M2503" s="387"/>
      <c r="N2503" s="404"/>
      <c r="O2503" s="427"/>
      <c r="P2503" s="327"/>
    </row>
    <row r="2504" spans="1:16" s="388" customFormat="1" ht="14">
      <c r="A2504" s="221" t="s">
        <v>8</v>
      </c>
      <c r="B2504" s="216" t="s">
        <v>989</v>
      </c>
      <c r="C2504" s="222" t="s">
        <v>31</v>
      </c>
      <c r="D2504" s="294"/>
      <c r="E2504" s="294"/>
      <c r="F2504" s="428">
        <v>134.19</v>
      </c>
      <c r="G2504" s="290">
        <f t="shared" ref="G2504:H2504" si="505">D2504*$F2504</f>
        <v>0</v>
      </c>
      <c r="H2504" s="290">
        <f t="shared" si="505"/>
        <v>0</v>
      </c>
      <c r="I2504" s="294"/>
      <c r="J2504" s="387"/>
      <c r="K2504" s="387" t="s">
        <v>113</v>
      </c>
      <c r="L2504" s="379" t="s">
        <v>58</v>
      </c>
      <c r="M2504" s="387"/>
      <c r="N2504" s="404"/>
      <c r="O2504" s="427"/>
      <c r="P2504" s="327"/>
    </row>
    <row r="2505" spans="1:16" s="388" customFormat="1" ht="14">
      <c r="A2505" s="221" t="s">
        <v>597</v>
      </c>
      <c r="B2505" s="216" t="s">
        <v>959</v>
      </c>
      <c r="C2505" s="220"/>
      <c r="D2505" s="294"/>
      <c r="E2505" s="294"/>
      <c r="F2505" s="424"/>
      <c r="G2505" s="425"/>
      <c r="H2505" s="425"/>
      <c r="I2505" s="294"/>
      <c r="J2505" s="387"/>
      <c r="K2505" s="379"/>
      <c r="L2505" s="426"/>
      <c r="M2505" s="387"/>
      <c r="N2505" s="404"/>
      <c r="O2505" s="427"/>
      <c r="P2505" s="327"/>
    </row>
    <row r="2506" spans="1:16" s="388" customFormat="1" ht="14">
      <c r="A2506" s="204" t="s">
        <v>8</v>
      </c>
      <c r="B2506" s="205" t="s">
        <v>1003</v>
      </c>
      <c r="C2506" s="206" t="s">
        <v>24</v>
      </c>
      <c r="D2506" s="294"/>
      <c r="E2506" s="294"/>
      <c r="F2506" s="428">
        <v>182.42</v>
      </c>
      <c r="G2506" s="290">
        <f t="shared" ref="G2506:H2506" si="506">D2506*$F2506</f>
        <v>0</v>
      </c>
      <c r="H2506" s="290">
        <f t="shared" si="506"/>
        <v>0</v>
      </c>
      <c r="I2506" s="294"/>
      <c r="J2506" s="387"/>
      <c r="K2506" s="387" t="s">
        <v>113</v>
      </c>
      <c r="L2506" s="379" t="s">
        <v>58</v>
      </c>
      <c r="M2506" s="387"/>
      <c r="N2506" s="404"/>
      <c r="O2506" s="427"/>
      <c r="P2506" s="327"/>
    </row>
    <row r="2507" spans="1:16" s="388" customFormat="1" ht="14">
      <c r="A2507" s="221" t="s">
        <v>598</v>
      </c>
      <c r="B2507" s="216" t="s">
        <v>957</v>
      </c>
      <c r="C2507" s="206"/>
      <c r="D2507" s="294"/>
      <c r="E2507" s="294"/>
      <c r="F2507" s="424"/>
      <c r="G2507" s="425"/>
      <c r="H2507" s="425"/>
      <c r="I2507" s="294"/>
      <c r="J2507" s="387"/>
      <c r="K2507" s="379"/>
      <c r="L2507" s="426"/>
      <c r="M2507" s="387"/>
      <c r="N2507" s="404"/>
      <c r="O2507" s="427"/>
      <c r="P2507" s="327"/>
    </row>
    <row r="2508" spans="1:16" s="388" customFormat="1" ht="14">
      <c r="A2508" s="221" t="s">
        <v>8</v>
      </c>
      <c r="B2508" s="216" t="s">
        <v>958</v>
      </c>
      <c r="C2508" s="222" t="s">
        <v>15</v>
      </c>
      <c r="D2508" s="294"/>
      <c r="E2508" s="294"/>
      <c r="F2508" s="428">
        <v>352.98</v>
      </c>
      <c r="G2508" s="290">
        <f t="shared" ref="G2508:H2511" si="507">D2508*$F2508</f>
        <v>0</v>
      </c>
      <c r="H2508" s="290">
        <f t="shared" si="507"/>
        <v>0</v>
      </c>
      <c r="I2508" s="294"/>
      <c r="J2508" s="387"/>
      <c r="K2508" s="387" t="s">
        <v>113</v>
      </c>
      <c r="L2508" s="379" t="s">
        <v>58</v>
      </c>
      <c r="M2508" s="387"/>
      <c r="N2508" s="404"/>
      <c r="O2508" s="427"/>
      <c r="P2508" s="327"/>
    </row>
    <row r="2509" spans="1:16" s="388" customFormat="1" ht="14">
      <c r="A2509" s="204" t="s">
        <v>8</v>
      </c>
      <c r="B2509" s="205" t="s">
        <v>985</v>
      </c>
      <c r="C2509" s="206" t="s">
        <v>15</v>
      </c>
      <c r="D2509" s="294"/>
      <c r="E2509" s="294"/>
      <c r="F2509" s="428">
        <v>501.97</v>
      </c>
      <c r="G2509" s="290">
        <f t="shared" si="507"/>
        <v>0</v>
      </c>
      <c r="H2509" s="290">
        <f t="shared" si="507"/>
        <v>0</v>
      </c>
      <c r="I2509" s="294"/>
      <c r="J2509" s="387"/>
      <c r="K2509" s="387" t="s">
        <v>113</v>
      </c>
      <c r="L2509" s="379" t="s">
        <v>58</v>
      </c>
      <c r="M2509" s="387"/>
      <c r="N2509" s="404"/>
      <c r="O2509" s="427"/>
      <c r="P2509" s="327"/>
    </row>
    <row r="2510" spans="1:16" s="388" customFormat="1" ht="14">
      <c r="A2510" s="204" t="s">
        <v>8</v>
      </c>
      <c r="B2510" s="205" t="s">
        <v>1004</v>
      </c>
      <c r="C2510" s="206" t="s">
        <v>15</v>
      </c>
      <c r="D2510" s="294"/>
      <c r="E2510" s="294"/>
      <c r="F2510" s="428">
        <v>524.44000000000005</v>
      </c>
      <c r="G2510" s="290">
        <f t="shared" si="507"/>
        <v>0</v>
      </c>
      <c r="H2510" s="290">
        <f t="shared" si="507"/>
        <v>0</v>
      </c>
      <c r="I2510" s="294"/>
      <c r="J2510" s="387"/>
      <c r="K2510" s="387" t="s">
        <v>113</v>
      </c>
      <c r="L2510" s="379" t="s">
        <v>58</v>
      </c>
      <c r="M2510" s="387"/>
      <c r="N2510" s="404"/>
      <c r="O2510" s="427"/>
      <c r="P2510" s="327"/>
    </row>
    <row r="2511" spans="1:16" s="388" customFormat="1" ht="14">
      <c r="A2511" s="221" t="s">
        <v>599</v>
      </c>
      <c r="B2511" s="216" t="s">
        <v>1005</v>
      </c>
      <c r="C2511" s="222" t="s">
        <v>15</v>
      </c>
      <c r="D2511" s="294"/>
      <c r="E2511" s="294"/>
      <c r="F2511" s="428">
        <v>4.93</v>
      </c>
      <c r="G2511" s="290">
        <f t="shared" si="507"/>
        <v>0</v>
      </c>
      <c r="H2511" s="290">
        <f t="shared" si="507"/>
        <v>0</v>
      </c>
      <c r="I2511" s="294"/>
      <c r="J2511" s="387"/>
      <c r="K2511" s="387" t="s">
        <v>113</v>
      </c>
      <c r="L2511" s="379" t="s">
        <v>58</v>
      </c>
      <c r="M2511" s="387"/>
      <c r="N2511" s="404"/>
      <c r="O2511" s="427"/>
      <c r="P2511" s="327"/>
    </row>
    <row r="2512" spans="1:16" s="388" customFormat="1" ht="14">
      <c r="A2512" s="223" t="s">
        <v>600</v>
      </c>
      <c r="B2512" s="224" t="s">
        <v>1007</v>
      </c>
      <c r="C2512" s="226"/>
      <c r="D2512" s="226"/>
      <c r="E2512" s="226"/>
      <c r="F2512" s="226"/>
      <c r="G2512" s="226"/>
      <c r="H2512" s="226"/>
      <c r="I2512" s="226"/>
      <c r="J2512" s="384"/>
      <c r="K2512" s="384"/>
      <c r="L2512" s="226"/>
      <c r="M2512" s="226"/>
      <c r="N2512" s="404"/>
      <c r="O2512" s="427"/>
      <c r="P2512" s="327"/>
    </row>
    <row r="2513" spans="1:16" s="388" customFormat="1" ht="14">
      <c r="A2513" s="223" t="s">
        <v>601</v>
      </c>
      <c r="B2513" s="224" t="s">
        <v>1008</v>
      </c>
      <c r="C2513" s="226"/>
      <c r="D2513" s="226"/>
      <c r="E2513" s="226"/>
      <c r="F2513" s="226"/>
      <c r="G2513" s="226"/>
      <c r="H2513" s="226"/>
      <c r="I2513" s="226"/>
      <c r="J2513" s="384"/>
      <c r="K2513" s="384"/>
      <c r="L2513" s="226"/>
      <c r="M2513" s="226"/>
      <c r="N2513" s="404"/>
      <c r="O2513" s="427"/>
      <c r="P2513" s="327"/>
    </row>
    <row r="2514" spans="1:16" s="388" customFormat="1" ht="14">
      <c r="A2514" s="218" t="s">
        <v>603</v>
      </c>
      <c r="B2514" s="219" t="s">
        <v>975</v>
      </c>
      <c r="C2514" s="220"/>
      <c r="D2514" s="294"/>
      <c r="E2514" s="294"/>
      <c r="F2514" s="424"/>
      <c r="G2514" s="425"/>
      <c r="H2514" s="425"/>
      <c r="I2514" s="294"/>
      <c r="J2514" s="387"/>
      <c r="K2514" s="387"/>
      <c r="L2514" s="426"/>
      <c r="M2514" s="387"/>
      <c r="N2514" s="404"/>
      <c r="O2514" s="427"/>
      <c r="P2514" s="327"/>
    </row>
    <row r="2515" spans="1:16" s="388" customFormat="1" ht="14">
      <c r="A2515" s="221" t="s">
        <v>8</v>
      </c>
      <c r="B2515" s="216" t="s">
        <v>955</v>
      </c>
      <c r="C2515" s="222" t="s">
        <v>133</v>
      </c>
      <c r="D2515" s="294"/>
      <c r="E2515" s="294"/>
      <c r="F2515" s="428">
        <v>8.7899999999999991</v>
      </c>
      <c r="G2515" s="283">
        <f t="shared" ref="G2515:H2516" si="508">D2515*$F2515</f>
        <v>0</v>
      </c>
      <c r="H2515" s="283">
        <f t="shared" si="508"/>
        <v>0</v>
      </c>
      <c r="I2515" s="294"/>
      <c r="J2515" s="387"/>
      <c r="K2515" s="379" t="s">
        <v>211</v>
      </c>
      <c r="L2515" s="379" t="s">
        <v>58</v>
      </c>
      <c r="M2515" s="387"/>
      <c r="N2515" s="404"/>
      <c r="O2515" s="427"/>
      <c r="P2515" s="327"/>
    </row>
    <row r="2516" spans="1:16" s="388" customFormat="1" ht="14">
      <c r="A2516" s="221" t="s">
        <v>8</v>
      </c>
      <c r="B2516" s="216" t="s">
        <v>986</v>
      </c>
      <c r="C2516" s="222" t="s">
        <v>559</v>
      </c>
      <c r="D2516" s="294"/>
      <c r="E2516" s="294"/>
      <c r="F2516" s="428">
        <v>6.28</v>
      </c>
      <c r="G2516" s="283">
        <f t="shared" si="508"/>
        <v>0</v>
      </c>
      <c r="H2516" s="283">
        <f t="shared" si="508"/>
        <v>0</v>
      </c>
      <c r="I2516" s="294"/>
      <c r="J2516" s="387"/>
      <c r="K2516" s="379" t="s">
        <v>211</v>
      </c>
      <c r="L2516" s="379" t="s">
        <v>58</v>
      </c>
      <c r="M2516" s="387"/>
      <c r="N2516" s="404"/>
      <c r="O2516" s="427"/>
      <c r="P2516" s="327"/>
    </row>
    <row r="2517" spans="1:16" s="388" customFormat="1" ht="14">
      <c r="A2517" s="218" t="s">
        <v>604</v>
      </c>
      <c r="B2517" s="219" t="s">
        <v>961</v>
      </c>
      <c r="C2517" s="220"/>
      <c r="D2517" s="294"/>
      <c r="E2517" s="294"/>
      <c r="F2517" s="424"/>
      <c r="G2517" s="425"/>
      <c r="H2517" s="425"/>
      <c r="I2517" s="294"/>
      <c r="J2517" s="387"/>
      <c r="K2517" s="387"/>
      <c r="L2517" s="426"/>
      <c r="M2517" s="387"/>
      <c r="N2517" s="404"/>
      <c r="O2517" s="427"/>
      <c r="P2517" s="327"/>
    </row>
    <row r="2518" spans="1:16" s="388" customFormat="1" ht="14">
      <c r="A2518" s="218" t="s">
        <v>605</v>
      </c>
      <c r="B2518" s="219" t="s">
        <v>1009</v>
      </c>
      <c r="C2518" s="220"/>
      <c r="D2518" s="294"/>
      <c r="E2518" s="294"/>
      <c r="F2518" s="424"/>
      <c r="G2518" s="425"/>
      <c r="H2518" s="425"/>
      <c r="I2518" s="294"/>
      <c r="J2518" s="387"/>
      <c r="K2518" s="387"/>
      <c r="L2518" s="426"/>
      <c r="M2518" s="387"/>
      <c r="N2518" s="404"/>
      <c r="O2518" s="427"/>
      <c r="P2518" s="327"/>
    </row>
    <row r="2519" spans="1:16" s="388" customFormat="1" ht="14">
      <c r="A2519" s="221" t="s">
        <v>8</v>
      </c>
      <c r="B2519" s="216" t="s">
        <v>1010</v>
      </c>
      <c r="C2519" s="222" t="s">
        <v>24</v>
      </c>
      <c r="D2519" s="294"/>
      <c r="E2519" s="294"/>
      <c r="F2519" s="428">
        <v>51.57</v>
      </c>
      <c r="G2519" s="283">
        <f t="shared" ref="G2519:H2520" si="509">D2519*$F2519</f>
        <v>0</v>
      </c>
      <c r="H2519" s="283">
        <f t="shared" si="509"/>
        <v>0</v>
      </c>
      <c r="I2519" s="294"/>
      <c r="J2519" s="387"/>
      <c r="K2519" s="379" t="s">
        <v>211</v>
      </c>
      <c r="L2519" s="379" t="s">
        <v>58</v>
      </c>
      <c r="M2519" s="387"/>
      <c r="N2519" s="404"/>
      <c r="O2519" s="427"/>
      <c r="P2519" s="327"/>
    </row>
    <row r="2520" spans="1:16" s="388" customFormat="1" ht="14">
      <c r="A2520" s="221" t="s">
        <v>8</v>
      </c>
      <c r="B2520" s="216" t="s">
        <v>964</v>
      </c>
      <c r="C2520" s="222" t="s">
        <v>15</v>
      </c>
      <c r="D2520" s="294"/>
      <c r="E2520" s="294"/>
      <c r="F2520" s="428">
        <v>0.61</v>
      </c>
      <c r="G2520" s="283">
        <f t="shared" si="509"/>
        <v>0</v>
      </c>
      <c r="H2520" s="283">
        <f t="shared" si="509"/>
        <v>0</v>
      </c>
      <c r="I2520" s="294"/>
      <c r="J2520" s="387"/>
      <c r="K2520" s="379" t="s">
        <v>211</v>
      </c>
      <c r="L2520" s="379" t="s">
        <v>58</v>
      </c>
      <c r="M2520" s="387"/>
      <c r="N2520" s="404"/>
      <c r="O2520" s="427"/>
      <c r="P2520" s="327"/>
    </row>
    <row r="2521" spans="1:16" s="388" customFormat="1" ht="14">
      <c r="A2521" s="218" t="s">
        <v>608</v>
      </c>
      <c r="B2521" s="219" t="s">
        <v>982</v>
      </c>
      <c r="C2521" s="220"/>
      <c r="D2521" s="294"/>
      <c r="E2521" s="294"/>
      <c r="F2521" s="424"/>
      <c r="G2521" s="425"/>
      <c r="H2521" s="425"/>
      <c r="I2521" s="294"/>
      <c r="J2521" s="387"/>
      <c r="K2521" s="387"/>
      <c r="L2521" s="426"/>
      <c r="M2521" s="387"/>
      <c r="N2521" s="404"/>
      <c r="O2521" s="427"/>
      <c r="P2521" s="327"/>
    </row>
    <row r="2522" spans="1:16" s="388" customFormat="1" ht="14">
      <c r="A2522" s="221" t="s">
        <v>8</v>
      </c>
      <c r="B2522" s="216" t="s">
        <v>983</v>
      </c>
      <c r="C2522" s="222" t="s">
        <v>24</v>
      </c>
      <c r="D2522" s="294"/>
      <c r="E2522" s="294"/>
      <c r="F2522" s="428">
        <v>51.57</v>
      </c>
      <c r="G2522" s="290">
        <f t="shared" ref="G2522:H2524" si="510">D2522*$F2522</f>
        <v>0</v>
      </c>
      <c r="H2522" s="290">
        <f t="shared" si="510"/>
        <v>0</v>
      </c>
      <c r="I2522" s="294"/>
      <c r="J2522" s="387"/>
      <c r="K2522" s="379" t="s">
        <v>211</v>
      </c>
      <c r="L2522" s="379" t="s">
        <v>58</v>
      </c>
      <c r="M2522" s="387"/>
      <c r="N2522" s="404"/>
      <c r="O2522" s="427"/>
      <c r="P2522" s="327"/>
    </row>
    <row r="2523" spans="1:16" s="388" customFormat="1" ht="14">
      <c r="A2523" s="221" t="s">
        <v>8</v>
      </c>
      <c r="B2523" s="216" t="s">
        <v>964</v>
      </c>
      <c r="C2523" s="222" t="s">
        <v>15</v>
      </c>
      <c r="D2523" s="294"/>
      <c r="E2523" s="294"/>
      <c r="F2523" s="428">
        <v>0.61</v>
      </c>
      <c r="G2523" s="290">
        <f t="shared" si="510"/>
        <v>0</v>
      </c>
      <c r="H2523" s="290">
        <f t="shared" si="510"/>
        <v>0</v>
      </c>
      <c r="I2523" s="294"/>
      <c r="J2523" s="387"/>
      <c r="K2523" s="379" t="s">
        <v>211</v>
      </c>
      <c r="L2523" s="379" t="s">
        <v>58</v>
      </c>
      <c r="M2523" s="387"/>
      <c r="N2523" s="404"/>
      <c r="O2523" s="427"/>
      <c r="P2523" s="327"/>
    </row>
    <row r="2524" spans="1:16" s="388" customFormat="1" ht="14">
      <c r="A2524" s="221" t="s">
        <v>8</v>
      </c>
      <c r="B2524" s="216" t="s">
        <v>984</v>
      </c>
      <c r="C2524" s="222" t="s">
        <v>15</v>
      </c>
      <c r="D2524" s="294"/>
      <c r="E2524" s="294"/>
      <c r="F2524" s="429">
        <v>0.61</v>
      </c>
      <c r="G2524" s="290">
        <f t="shared" si="510"/>
        <v>0</v>
      </c>
      <c r="H2524" s="290">
        <f t="shared" si="510"/>
        <v>0</v>
      </c>
      <c r="I2524" s="294"/>
      <c r="J2524" s="387"/>
      <c r="K2524" s="379" t="s">
        <v>211</v>
      </c>
      <c r="L2524" s="379" t="s">
        <v>58</v>
      </c>
      <c r="M2524" s="387"/>
      <c r="N2524" s="404"/>
      <c r="O2524" s="427"/>
      <c r="P2524" s="327"/>
    </row>
    <row r="2525" spans="1:16" s="388" customFormat="1" ht="14">
      <c r="A2525" s="218" t="s">
        <v>610</v>
      </c>
      <c r="B2525" s="219" t="s">
        <v>957</v>
      </c>
      <c r="C2525" s="220"/>
      <c r="D2525" s="294"/>
      <c r="E2525" s="294"/>
      <c r="F2525" s="424"/>
      <c r="G2525" s="425"/>
      <c r="H2525" s="425"/>
      <c r="I2525" s="294"/>
      <c r="J2525" s="387"/>
      <c r="K2525" s="387"/>
      <c r="L2525" s="426"/>
      <c r="M2525" s="387"/>
      <c r="N2525" s="404"/>
      <c r="O2525" s="427"/>
      <c r="P2525" s="327"/>
    </row>
    <row r="2526" spans="1:16" s="388" customFormat="1" ht="14">
      <c r="A2526" s="221" t="s">
        <v>8</v>
      </c>
      <c r="B2526" s="216" t="s">
        <v>958</v>
      </c>
      <c r="C2526" s="222" t="s">
        <v>15</v>
      </c>
      <c r="D2526" s="294"/>
      <c r="E2526" s="294"/>
      <c r="F2526" s="428">
        <v>352.98</v>
      </c>
      <c r="G2526" s="290">
        <f t="shared" ref="G2526:H2528" si="511">D2526*$F2526</f>
        <v>0</v>
      </c>
      <c r="H2526" s="290">
        <f t="shared" si="511"/>
        <v>0</v>
      </c>
      <c r="I2526" s="294"/>
      <c r="J2526" s="387"/>
      <c r="K2526" s="379" t="s">
        <v>211</v>
      </c>
      <c r="L2526" s="379" t="s">
        <v>58</v>
      </c>
      <c r="M2526" s="387"/>
      <c r="N2526" s="404"/>
      <c r="O2526" s="427"/>
      <c r="P2526" s="327"/>
    </row>
    <row r="2527" spans="1:16" s="388" customFormat="1" ht="14">
      <c r="A2527" s="221" t="s">
        <v>8</v>
      </c>
      <c r="B2527" s="216" t="s">
        <v>985</v>
      </c>
      <c r="C2527" s="222" t="s">
        <v>15</v>
      </c>
      <c r="D2527" s="294"/>
      <c r="E2527" s="294"/>
      <c r="F2527" s="428">
        <v>501.97</v>
      </c>
      <c r="G2527" s="290">
        <f t="shared" si="511"/>
        <v>0</v>
      </c>
      <c r="H2527" s="290">
        <f t="shared" si="511"/>
        <v>0</v>
      </c>
      <c r="I2527" s="294"/>
      <c r="J2527" s="387"/>
      <c r="K2527" s="379" t="s">
        <v>211</v>
      </c>
      <c r="L2527" s="379" t="s">
        <v>58</v>
      </c>
      <c r="M2527" s="387"/>
      <c r="N2527" s="404"/>
      <c r="O2527" s="427"/>
      <c r="P2527" s="327"/>
    </row>
    <row r="2528" spans="1:16" s="388" customFormat="1" ht="14">
      <c r="A2528" s="221" t="s">
        <v>8</v>
      </c>
      <c r="B2528" s="216" t="s">
        <v>1004</v>
      </c>
      <c r="C2528" s="222" t="s">
        <v>15</v>
      </c>
      <c r="D2528" s="294"/>
      <c r="E2528" s="294"/>
      <c r="F2528" s="428">
        <v>524.44000000000005</v>
      </c>
      <c r="G2528" s="290">
        <f t="shared" si="511"/>
        <v>0</v>
      </c>
      <c r="H2528" s="290">
        <f t="shared" si="511"/>
        <v>0</v>
      </c>
      <c r="I2528" s="294"/>
      <c r="J2528" s="387"/>
      <c r="K2528" s="379" t="s">
        <v>211</v>
      </c>
      <c r="L2528" s="379" t="s">
        <v>58</v>
      </c>
      <c r="M2528" s="387"/>
      <c r="N2528" s="404"/>
      <c r="O2528" s="427"/>
      <c r="P2528" s="327"/>
    </row>
    <row r="2529" spans="1:16" s="388" customFormat="1" ht="14">
      <c r="A2529" s="218" t="s">
        <v>612</v>
      </c>
      <c r="B2529" s="219" t="s">
        <v>1011</v>
      </c>
      <c r="C2529" s="220"/>
      <c r="D2529" s="294"/>
      <c r="E2529" s="294"/>
      <c r="F2529" s="424"/>
      <c r="G2529" s="425"/>
      <c r="H2529" s="425"/>
      <c r="I2529" s="294"/>
      <c r="J2529" s="387"/>
      <c r="K2529" s="387"/>
      <c r="L2529" s="426"/>
      <c r="M2529" s="387"/>
      <c r="N2529" s="404"/>
      <c r="O2529" s="427"/>
      <c r="P2529" s="327"/>
    </row>
    <row r="2530" spans="1:16" s="388" customFormat="1" ht="14">
      <c r="A2530" s="221" t="s">
        <v>8</v>
      </c>
      <c r="B2530" s="216" t="s">
        <v>967</v>
      </c>
      <c r="C2530" s="222" t="s">
        <v>10</v>
      </c>
      <c r="D2530" s="294"/>
      <c r="E2530" s="294"/>
      <c r="F2530" s="424"/>
      <c r="G2530" s="290">
        <f t="shared" ref="G2530:H2531" si="512">D2530*$F2530</f>
        <v>0</v>
      </c>
      <c r="H2530" s="290">
        <f t="shared" si="512"/>
        <v>0</v>
      </c>
      <c r="I2530" s="294"/>
      <c r="J2530" s="387"/>
      <c r="K2530" s="379" t="s">
        <v>211</v>
      </c>
      <c r="L2530" s="379" t="s">
        <v>58</v>
      </c>
      <c r="M2530" s="387"/>
      <c r="N2530" s="404"/>
      <c r="O2530" s="427"/>
      <c r="P2530" s="327"/>
    </row>
    <row r="2531" spans="1:16" s="388" customFormat="1" ht="14">
      <c r="A2531" s="221" t="s">
        <v>8</v>
      </c>
      <c r="B2531" s="216" t="s">
        <v>968</v>
      </c>
      <c r="C2531" s="222" t="s">
        <v>10</v>
      </c>
      <c r="D2531" s="294"/>
      <c r="E2531" s="294"/>
      <c r="F2531" s="424"/>
      <c r="G2531" s="290">
        <f t="shared" si="512"/>
        <v>0</v>
      </c>
      <c r="H2531" s="290">
        <f t="shared" si="512"/>
        <v>0</v>
      </c>
      <c r="I2531" s="294"/>
      <c r="J2531" s="387"/>
      <c r="K2531" s="379" t="s">
        <v>211</v>
      </c>
      <c r="L2531" s="379" t="s">
        <v>58</v>
      </c>
      <c r="M2531" s="387"/>
      <c r="N2531" s="404"/>
      <c r="O2531" s="427"/>
      <c r="P2531" s="327"/>
    </row>
    <row r="2532" spans="1:16" s="388" customFormat="1" ht="14">
      <c r="A2532" s="218" t="s">
        <v>615</v>
      </c>
      <c r="B2532" s="219" t="s">
        <v>1012</v>
      </c>
      <c r="C2532" s="220"/>
      <c r="D2532" s="294"/>
      <c r="E2532" s="294"/>
      <c r="F2532" s="424"/>
      <c r="G2532" s="425"/>
      <c r="H2532" s="425"/>
      <c r="I2532" s="294"/>
      <c r="J2532" s="387"/>
      <c r="K2532" s="387"/>
      <c r="L2532" s="426"/>
      <c r="M2532" s="387"/>
      <c r="N2532" s="404"/>
      <c r="O2532" s="427"/>
      <c r="P2532" s="327"/>
    </row>
    <row r="2533" spans="1:16" s="388" customFormat="1" ht="14">
      <c r="A2533" s="221" t="s">
        <v>8</v>
      </c>
      <c r="B2533" s="216" t="s">
        <v>993</v>
      </c>
      <c r="C2533" s="222" t="s">
        <v>15</v>
      </c>
      <c r="D2533" s="294"/>
      <c r="E2533" s="294"/>
      <c r="F2533" s="428">
        <v>162.82</v>
      </c>
      <c r="G2533" s="290">
        <f t="shared" ref="G2533:H2533" si="513">D2533*$F2533</f>
        <v>0</v>
      </c>
      <c r="H2533" s="290">
        <f t="shared" si="513"/>
        <v>0</v>
      </c>
      <c r="I2533" s="294"/>
      <c r="J2533" s="387"/>
      <c r="K2533" s="379" t="s">
        <v>211</v>
      </c>
      <c r="L2533" s="379" t="s">
        <v>58</v>
      </c>
      <c r="M2533" s="387"/>
      <c r="N2533" s="404"/>
      <c r="O2533" s="427"/>
      <c r="P2533" s="327"/>
    </row>
    <row r="2534" spans="1:16" s="388" customFormat="1" ht="14">
      <c r="A2534" s="221" t="s">
        <v>8</v>
      </c>
      <c r="B2534" s="216" t="s">
        <v>1013</v>
      </c>
      <c r="C2534" s="222" t="s">
        <v>24</v>
      </c>
      <c r="D2534" s="294"/>
      <c r="E2534" s="294"/>
      <c r="F2534" s="428">
        <v>25.21</v>
      </c>
      <c r="G2534" s="425"/>
      <c r="H2534" s="425"/>
      <c r="I2534" s="294"/>
      <c r="J2534" s="387"/>
      <c r="K2534" s="379" t="s">
        <v>211</v>
      </c>
      <c r="L2534" s="379" t="s">
        <v>58</v>
      </c>
      <c r="M2534" s="387"/>
      <c r="N2534" s="404"/>
      <c r="O2534" s="427"/>
      <c r="P2534" s="327"/>
    </row>
    <row r="2535" spans="1:16" s="388" customFormat="1" ht="14">
      <c r="A2535" s="218" t="s">
        <v>619</v>
      </c>
      <c r="B2535" s="219" t="s">
        <v>1014</v>
      </c>
      <c r="C2535" s="220"/>
      <c r="D2535" s="294"/>
      <c r="E2535" s="294"/>
      <c r="F2535" s="424"/>
      <c r="G2535" s="425"/>
      <c r="H2535" s="425"/>
      <c r="I2535" s="294"/>
      <c r="J2535" s="387"/>
      <c r="K2535" s="379"/>
      <c r="L2535" s="426"/>
      <c r="M2535" s="387"/>
      <c r="N2535" s="404"/>
      <c r="O2535" s="427"/>
      <c r="P2535" s="327"/>
    </row>
    <row r="2536" spans="1:16" s="388" customFormat="1" ht="14">
      <c r="A2536" s="221" t="s">
        <v>8</v>
      </c>
      <c r="B2536" s="216" t="s">
        <v>989</v>
      </c>
      <c r="C2536" s="222" t="s">
        <v>31</v>
      </c>
      <c r="D2536" s="294"/>
      <c r="E2536" s="294"/>
      <c r="F2536" s="428">
        <v>134.19</v>
      </c>
      <c r="G2536" s="290">
        <f t="shared" ref="G2536:H2537" si="514">D2536*$F2536</f>
        <v>0</v>
      </c>
      <c r="H2536" s="290">
        <f t="shared" si="514"/>
        <v>0</v>
      </c>
      <c r="I2536" s="294"/>
      <c r="J2536" s="387"/>
      <c r="K2536" s="379" t="s">
        <v>211</v>
      </c>
      <c r="L2536" s="379" t="s">
        <v>58</v>
      </c>
      <c r="M2536" s="387"/>
      <c r="N2536" s="404"/>
      <c r="O2536" s="427"/>
      <c r="P2536" s="327"/>
    </row>
    <row r="2537" spans="1:16" s="388" customFormat="1" ht="14">
      <c r="A2537" s="221" t="s">
        <v>8</v>
      </c>
      <c r="B2537" s="216" t="s">
        <v>987</v>
      </c>
      <c r="C2537" s="222" t="s">
        <v>24</v>
      </c>
      <c r="D2537" s="294"/>
      <c r="E2537" s="294"/>
      <c r="F2537" s="428">
        <v>182.42</v>
      </c>
      <c r="G2537" s="290">
        <f t="shared" si="514"/>
        <v>0</v>
      </c>
      <c r="H2537" s="290">
        <f t="shared" si="514"/>
        <v>0</v>
      </c>
      <c r="I2537" s="294"/>
      <c r="J2537" s="387"/>
      <c r="K2537" s="379" t="s">
        <v>211</v>
      </c>
      <c r="L2537" s="379" t="s">
        <v>58</v>
      </c>
      <c r="M2537" s="387"/>
      <c r="N2537" s="404"/>
      <c r="O2537" s="427"/>
      <c r="P2537" s="327"/>
    </row>
    <row r="2538" spans="1:16" s="388" customFormat="1" ht="14">
      <c r="A2538" s="218" t="s">
        <v>623</v>
      </c>
      <c r="B2538" s="219" t="s">
        <v>1015</v>
      </c>
      <c r="C2538" s="222"/>
      <c r="D2538" s="294"/>
      <c r="E2538" s="294"/>
      <c r="F2538" s="424"/>
      <c r="G2538" s="425"/>
      <c r="H2538" s="425"/>
      <c r="I2538" s="294"/>
      <c r="J2538" s="387"/>
      <c r="K2538" s="387"/>
      <c r="L2538" s="426"/>
      <c r="M2538" s="387"/>
      <c r="N2538" s="404"/>
      <c r="O2538" s="427"/>
      <c r="P2538" s="327"/>
    </row>
    <row r="2539" spans="1:16" s="388" customFormat="1" ht="14">
      <c r="A2539" s="218" t="s">
        <v>601</v>
      </c>
      <c r="B2539" s="219" t="s">
        <v>975</v>
      </c>
      <c r="C2539" s="220"/>
      <c r="D2539" s="294"/>
      <c r="E2539" s="294"/>
      <c r="F2539" s="424"/>
      <c r="G2539" s="425"/>
      <c r="H2539" s="425"/>
      <c r="I2539" s="294"/>
      <c r="J2539" s="387"/>
      <c r="K2539" s="379"/>
      <c r="L2539" s="426"/>
      <c r="M2539" s="387"/>
      <c r="N2539" s="404"/>
      <c r="O2539" s="427"/>
      <c r="P2539" s="327"/>
    </row>
    <row r="2540" spans="1:16" s="388" customFormat="1" ht="14">
      <c r="A2540" s="221" t="s">
        <v>8</v>
      </c>
      <c r="B2540" s="216" t="s">
        <v>955</v>
      </c>
      <c r="C2540" s="222" t="s">
        <v>133</v>
      </c>
      <c r="D2540" s="294"/>
      <c r="E2540" s="294"/>
      <c r="F2540" s="428">
        <v>8.7899999999999991</v>
      </c>
      <c r="G2540" s="290">
        <f t="shared" ref="G2540:H2541" si="515">D2540*$F2540</f>
        <v>0</v>
      </c>
      <c r="H2540" s="290">
        <f t="shared" si="515"/>
        <v>0</v>
      </c>
      <c r="I2540" s="294"/>
      <c r="J2540" s="387"/>
      <c r="K2540" s="379" t="s">
        <v>211</v>
      </c>
      <c r="L2540" s="379" t="s">
        <v>58</v>
      </c>
      <c r="M2540" s="387"/>
      <c r="N2540" s="404"/>
      <c r="O2540" s="427"/>
      <c r="P2540" s="327"/>
    </row>
    <row r="2541" spans="1:16" s="388" customFormat="1" ht="14">
      <c r="A2541" s="221" t="s">
        <v>8</v>
      </c>
      <c r="B2541" s="216" t="s">
        <v>1016</v>
      </c>
      <c r="C2541" s="222" t="s">
        <v>24</v>
      </c>
      <c r="D2541" s="294"/>
      <c r="E2541" s="294"/>
      <c r="F2541" s="428">
        <v>8.7899999999999991</v>
      </c>
      <c r="G2541" s="290">
        <f t="shared" si="515"/>
        <v>0</v>
      </c>
      <c r="H2541" s="290">
        <f t="shared" si="515"/>
        <v>0</v>
      </c>
      <c r="I2541" s="294"/>
      <c r="J2541" s="387"/>
      <c r="K2541" s="379" t="s">
        <v>211</v>
      </c>
      <c r="L2541" s="379" t="s">
        <v>58</v>
      </c>
      <c r="M2541" s="387"/>
      <c r="N2541" s="404"/>
      <c r="O2541" s="427"/>
      <c r="P2541" s="327"/>
    </row>
    <row r="2542" spans="1:16" s="388" customFormat="1" ht="14">
      <c r="A2542" s="218" t="s">
        <v>623</v>
      </c>
      <c r="B2542" s="219" t="s">
        <v>957</v>
      </c>
      <c r="C2542" s="220"/>
      <c r="D2542" s="294"/>
      <c r="E2542" s="294"/>
      <c r="F2542" s="424"/>
      <c r="G2542" s="425"/>
      <c r="H2542" s="425"/>
      <c r="I2542" s="294"/>
      <c r="J2542" s="387"/>
      <c r="K2542" s="387"/>
      <c r="L2542" s="426"/>
      <c r="M2542" s="387"/>
      <c r="N2542" s="404"/>
      <c r="O2542" s="427"/>
      <c r="P2542" s="327"/>
    </row>
    <row r="2543" spans="1:16" s="388" customFormat="1" ht="14">
      <c r="A2543" s="221" t="s">
        <v>8</v>
      </c>
      <c r="B2543" s="216" t="s">
        <v>1017</v>
      </c>
      <c r="C2543" s="222" t="s">
        <v>15</v>
      </c>
      <c r="D2543" s="294"/>
      <c r="E2543" s="294"/>
      <c r="F2543" s="380">
        <v>0</v>
      </c>
      <c r="G2543" s="290">
        <f t="shared" ref="G2543:H2543" si="516">D2543*$F2543</f>
        <v>0</v>
      </c>
      <c r="H2543" s="290">
        <f t="shared" si="516"/>
        <v>0</v>
      </c>
      <c r="I2543" s="294"/>
      <c r="J2543" s="387"/>
      <c r="K2543" s="379" t="s">
        <v>211</v>
      </c>
      <c r="L2543" s="379" t="s">
        <v>58</v>
      </c>
      <c r="M2543" s="387"/>
      <c r="N2543" s="404"/>
      <c r="O2543" s="427"/>
      <c r="P2543" s="327"/>
    </row>
    <row r="2544" spans="1:16" s="388" customFormat="1" ht="14">
      <c r="A2544" s="221" t="s">
        <v>629</v>
      </c>
      <c r="B2544" s="216" t="s">
        <v>1018</v>
      </c>
      <c r="C2544" s="222"/>
      <c r="D2544" s="294"/>
      <c r="E2544" s="294"/>
      <c r="F2544" s="424"/>
      <c r="G2544" s="425"/>
      <c r="H2544" s="425"/>
      <c r="I2544" s="294"/>
      <c r="J2544" s="387"/>
      <c r="K2544" s="387"/>
      <c r="L2544" s="426"/>
      <c r="M2544" s="387"/>
      <c r="N2544" s="404"/>
      <c r="O2544" s="427"/>
      <c r="P2544" s="327"/>
    </row>
    <row r="2545" spans="1:16" s="388" customFormat="1" ht="14">
      <c r="A2545" s="221" t="s">
        <v>8</v>
      </c>
      <c r="B2545" s="216" t="s">
        <v>958</v>
      </c>
      <c r="C2545" s="222" t="s">
        <v>15</v>
      </c>
      <c r="D2545" s="294"/>
      <c r="E2545" s="294"/>
      <c r="F2545" s="428">
        <v>352.98</v>
      </c>
      <c r="G2545" s="290">
        <f t="shared" ref="G2545:H2545" si="517">D2545*$F2545</f>
        <v>0</v>
      </c>
      <c r="H2545" s="290">
        <f t="shared" si="517"/>
        <v>0</v>
      </c>
      <c r="I2545" s="294"/>
      <c r="J2545" s="387"/>
      <c r="K2545" s="379" t="s">
        <v>211</v>
      </c>
      <c r="L2545" s="379" t="s">
        <v>58</v>
      </c>
      <c r="M2545" s="387"/>
      <c r="N2545" s="404"/>
      <c r="O2545" s="427"/>
      <c r="P2545" s="327"/>
    </row>
    <row r="2546" spans="1:16" s="388" customFormat="1" ht="14">
      <c r="A2546" s="221" t="s">
        <v>632</v>
      </c>
      <c r="B2546" s="216" t="s">
        <v>1019</v>
      </c>
      <c r="C2546" s="222"/>
      <c r="D2546" s="294"/>
      <c r="E2546" s="294"/>
      <c r="F2546" s="424"/>
      <c r="G2546" s="425"/>
      <c r="H2546" s="425"/>
      <c r="I2546" s="294"/>
      <c r="J2546" s="387"/>
      <c r="K2546" s="387"/>
      <c r="L2546" s="426"/>
      <c r="M2546" s="387"/>
      <c r="N2546" s="404"/>
      <c r="O2546" s="427"/>
      <c r="P2546" s="327"/>
    </row>
    <row r="2547" spans="1:16" s="388" customFormat="1" ht="14">
      <c r="A2547" s="221" t="s">
        <v>8</v>
      </c>
      <c r="B2547" s="216" t="s">
        <v>958</v>
      </c>
      <c r="C2547" s="222" t="s">
        <v>15</v>
      </c>
      <c r="D2547" s="294"/>
      <c r="E2547" s="294"/>
      <c r="F2547" s="428">
        <v>352.98</v>
      </c>
      <c r="G2547" s="290">
        <f t="shared" ref="G2547:H2548" si="518">D2547*$F2547</f>
        <v>0</v>
      </c>
      <c r="H2547" s="290">
        <f t="shared" si="518"/>
        <v>0</v>
      </c>
      <c r="I2547" s="294"/>
      <c r="J2547" s="387"/>
      <c r="K2547" s="379" t="s">
        <v>211</v>
      </c>
      <c r="L2547" s="379" t="s">
        <v>58</v>
      </c>
      <c r="M2547" s="387"/>
      <c r="N2547" s="404"/>
      <c r="O2547" s="427"/>
      <c r="P2547" s="327"/>
    </row>
    <row r="2548" spans="1:16" s="388" customFormat="1" ht="14">
      <c r="A2548" s="221" t="s">
        <v>8</v>
      </c>
      <c r="B2548" s="216" t="s">
        <v>985</v>
      </c>
      <c r="C2548" s="222" t="s">
        <v>15</v>
      </c>
      <c r="D2548" s="294"/>
      <c r="E2548" s="294"/>
      <c r="F2548" s="428">
        <v>501.97</v>
      </c>
      <c r="G2548" s="290">
        <f t="shared" si="518"/>
        <v>0</v>
      </c>
      <c r="H2548" s="290">
        <f t="shared" si="518"/>
        <v>0</v>
      </c>
      <c r="I2548" s="294"/>
      <c r="J2548" s="387"/>
      <c r="K2548" s="379" t="s">
        <v>211</v>
      </c>
      <c r="L2548" s="379" t="s">
        <v>58</v>
      </c>
      <c r="M2548" s="387"/>
      <c r="N2548" s="404"/>
      <c r="O2548" s="427"/>
      <c r="P2548" s="327"/>
    </row>
    <row r="2549" spans="1:16" s="388" customFormat="1" ht="14">
      <c r="A2549" s="218" t="s">
        <v>635</v>
      </c>
      <c r="B2549" s="219" t="s">
        <v>959</v>
      </c>
      <c r="C2549" s="220"/>
      <c r="D2549" s="294"/>
      <c r="E2549" s="294"/>
      <c r="F2549" s="424"/>
      <c r="G2549" s="425"/>
      <c r="H2549" s="425"/>
      <c r="I2549" s="294"/>
      <c r="J2549" s="387"/>
      <c r="K2549" s="387"/>
      <c r="L2549" s="426"/>
      <c r="M2549" s="387"/>
      <c r="N2549" s="404"/>
      <c r="O2549" s="427"/>
      <c r="P2549" s="327"/>
    </row>
    <row r="2550" spans="1:16" s="388" customFormat="1" ht="14">
      <c r="A2550" s="221" t="s">
        <v>8</v>
      </c>
      <c r="B2550" s="216" t="s">
        <v>1020</v>
      </c>
      <c r="C2550" s="222" t="s">
        <v>24</v>
      </c>
      <c r="D2550" s="294"/>
      <c r="E2550" s="294"/>
      <c r="F2550" s="428">
        <v>182.42</v>
      </c>
      <c r="G2550" s="290">
        <f t="shared" ref="G2550:H2552" si="519">D2550*$F2550</f>
        <v>0</v>
      </c>
      <c r="H2550" s="290">
        <f t="shared" si="519"/>
        <v>0</v>
      </c>
      <c r="I2550" s="294"/>
      <c r="J2550" s="387"/>
      <c r="K2550" s="379" t="s">
        <v>211</v>
      </c>
      <c r="L2550" s="379" t="s">
        <v>58</v>
      </c>
      <c r="M2550" s="387"/>
      <c r="N2550" s="404"/>
      <c r="O2550" s="427"/>
      <c r="P2550" s="327"/>
    </row>
    <row r="2551" spans="1:16" s="388" customFormat="1" ht="14">
      <c r="A2551" s="221" t="s">
        <v>8</v>
      </c>
      <c r="B2551" s="216" t="s">
        <v>1021</v>
      </c>
      <c r="C2551" s="222" t="s">
        <v>24</v>
      </c>
      <c r="D2551" s="294"/>
      <c r="E2551" s="294"/>
      <c r="F2551" s="428">
        <v>182.42</v>
      </c>
      <c r="G2551" s="290">
        <f t="shared" si="519"/>
        <v>0</v>
      </c>
      <c r="H2551" s="290">
        <f t="shared" si="519"/>
        <v>0</v>
      </c>
      <c r="I2551" s="294"/>
      <c r="J2551" s="387"/>
      <c r="K2551" s="379" t="s">
        <v>211</v>
      </c>
      <c r="L2551" s="379" t="s">
        <v>58</v>
      </c>
      <c r="M2551" s="387"/>
      <c r="N2551" s="404"/>
      <c r="O2551" s="427"/>
      <c r="P2551" s="327"/>
    </row>
    <row r="2552" spans="1:16" s="388" customFormat="1" ht="14">
      <c r="A2552" s="221" t="s">
        <v>8</v>
      </c>
      <c r="B2552" s="216" t="s">
        <v>1022</v>
      </c>
      <c r="C2552" s="222" t="s">
        <v>24</v>
      </c>
      <c r="D2552" s="294"/>
      <c r="E2552" s="294"/>
      <c r="F2552" s="428">
        <v>182.42</v>
      </c>
      <c r="G2552" s="290">
        <f t="shared" si="519"/>
        <v>0</v>
      </c>
      <c r="H2552" s="290">
        <f t="shared" si="519"/>
        <v>0</v>
      </c>
      <c r="I2552" s="294"/>
      <c r="J2552" s="387"/>
      <c r="K2552" s="379" t="s">
        <v>211</v>
      </c>
      <c r="L2552" s="379" t="s">
        <v>58</v>
      </c>
      <c r="M2552" s="387"/>
      <c r="N2552" s="404"/>
      <c r="O2552" s="427"/>
      <c r="P2552" s="327"/>
    </row>
    <row r="2553" spans="1:16" s="388" customFormat="1" ht="14">
      <c r="A2553" s="218" t="s">
        <v>641</v>
      </c>
      <c r="B2553" s="219" t="s">
        <v>961</v>
      </c>
      <c r="C2553" s="220"/>
      <c r="D2553" s="294"/>
      <c r="E2553" s="294"/>
      <c r="F2553" s="424"/>
      <c r="G2553" s="425"/>
      <c r="H2553" s="425"/>
      <c r="I2553" s="294"/>
      <c r="J2553" s="387"/>
      <c r="K2553" s="387"/>
      <c r="L2553" s="426"/>
      <c r="M2553" s="387"/>
      <c r="N2553" s="404"/>
      <c r="O2553" s="427"/>
      <c r="P2553" s="327"/>
    </row>
    <row r="2554" spans="1:16" s="388" customFormat="1" ht="14">
      <c r="A2554" s="218" t="s">
        <v>642</v>
      </c>
      <c r="B2554" s="219" t="s">
        <v>1009</v>
      </c>
      <c r="C2554" s="220"/>
      <c r="D2554" s="294"/>
      <c r="E2554" s="294"/>
      <c r="F2554" s="424"/>
      <c r="G2554" s="425"/>
      <c r="H2554" s="425"/>
      <c r="I2554" s="294"/>
      <c r="J2554" s="387"/>
      <c r="K2554" s="387"/>
      <c r="L2554" s="426"/>
      <c r="M2554" s="387"/>
      <c r="N2554" s="404"/>
      <c r="O2554" s="427"/>
      <c r="P2554" s="327"/>
    </row>
    <row r="2555" spans="1:16" s="388" customFormat="1" ht="14">
      <c r="A2555" s="221" t="s">
        <v>8</v>
      </c>
      <c r="B2555" s="216" t="s">
        <v>1010</v>
      </c>
      <c r="C2555" s="222" t="s">
        <v>24</v>
      </c>
      <c r="D2555" s="294"/>
      <c r="E2555" s="294"/>
      <c r="F2555" s="428">
        <v>51.57</v>
      </c>
      <c r="G2555" s="290">
        <f t="shared" ref="G2555:H2556" si="520">D2555*$F2555</f>
        <v>0</v>
      </c>
      <c r="H2555" s="290">
        <f t="shared" si="520"/>
        <v>0</v>
      </c>
      <c r="I2555" s="294"/>
      <c r="J2555" s="387"/>
      <c r="K2555" s="379" t="s">
        <v>211</v>
      </c>
      <c r="L2555" s="379" t="s">
        <v>58</v>
      </c>
      <c r="M2555" s="387"/>
      <c r="N2555" s="404"/>
      <c r="O2555" s="427"/>
      <c r="P2555" s="327"/>
    </row>
    <row r="2556" spans="1:16" s="388" customFormat="1" ht="14">
      <c r="A2556" s="221" t="s">
        <v>8</v>
      </c>
      <c r="B2556" s="216" t="s">
        <v>964</v>
      </c>
      <c r="C2556" s="222" t="s">
        <v>15</v>
      </c>
      <c r="D2556" s="294"/>
      <c r="E2556" s="294"/>
      <c r="F2556" s="428">
        <v>0.61</v>
      </c>
      <c r="G2556" s="290">
        <f t="shared" si="520"/>
        <v>0</v>
      </c>
      <c r="H2556" s="290">
        <f t="shared" si="520"/>
        <v>0</v>
      </c>
      <c r="I2556" s="294"/>
      <c r="J2556" s="387"/>
      <c r="K2556" s="379" t="s">
        <v>211</v>
      </c>
      <c r="L2556" s="379" t="s">
        <v>58</v>
      </c>
      <c r="M2556" s="387"/>
      <c r="N2556" s="404"/>
      <c r="O2556" s="427"/>
      <c r="P2556" s="327"/>
    </row>
    <row r="2557" spans="1:16" s="388" customFormat="1" ht="14">
      <c r="A2557" s="218" t="s">
        <v>643</v>
      </c>
      <c r="B2557" s="219" t="s">
        <v>982</v>
      </c>
      <c r="C2557" s="220"/>
      <c r="D2557" s="294"/>
      <c r="E2557" s="294"/>
      <c r="F2557" s="424"/>
      <c r="G2557" s="425"/>
      <c r="H2557" s="425"/>
      <c r="I2557" s="294"/>
      <c r="J2557" s="387"/>
      <c r="K2557" s="387"/>
      <c r="L2557" s="426"/>
      <c r="M2557" s="387"/>
      <c r="N2557" s="404"/>
      <c r="O2557" s="427"/>
      <c r="P2557" s="327"/>
    </row>
    <row r="2558" spans="1:16" s="388" customFormat="1" ht="14">
      <c r="A2558" s="221" t="s">
        <v>8</v>
      </c>
      <c r="B2558" s="216" t="s">
        <v>983</v>
      </c>
      <c r="C2558" s="222" t="s">
        <v>24</v>
      </c>
      <c r="D2558" s="294"/>
      <c r="E2558" s="294"/>
      <c r="F2558" s="428">
        <v>51.57</v>
      </c>
      <c r="G2558" s="290">
        <f t="shared" ref="G2558:H2560" si="521">D2558*$F2558</f>
        <v>0</v>
      </c>
      <c r="H2558" s="290">
        <f t="shared" si="521"/>
        <v>0</v>
      </c>
      <c r="I2558" s="294"/>
      <c r="J2558" s="387"/>
      <c r="K2558" s="379" t="s">
        <v>211</v>
      </c>
      <c r="L2558" s="379" t="s">
        <v>58</v>
      </c>
      <c r="M2558" s="387"/>
      <c r="N2558" s="404"/>
      <c r="O2558" s="427"/>
      <c r="P2558" s="327"/>
    </row>
    <row r="2559" spans="1:16" s="388" customFormat="1" ht="14">
      <c r="A2559" s="221" t="s">
        <v>8</v>
      </c>
      <c r="B2559" s="216" t="s">
        <v>964</v>
      </c>
      <c r="C2559" s="222" t="s">
        <v>15</v>
      </c>
      <c r="D2559" s="294"/>
      <c r="E2559" s="294"/>
      <c r="F2559" s="428">
        <v>0.61</v>
      </c>
      <c r="G2559" s="290">
        <f t="shared" si="521"/>
        <v>0</v>
      </c>
      <c r="H2559" s="290">
        <f t="shared" si="521"/>
        <v>0</v>
      </c>
      <c r="I2559" s="294"/>
      <c r="J2559" s="387"/>
      <c r="K2559" s="379" t="s">
        <v>211</v>
      </c>
      <c r="L2559" s="379" t="s">
        <v>58</v>
      </c>
      <c r="M2559" s="387"/>
      <c r="N2559" s="404"/>
      <c r="O2559" s="427"/>
      <c r="P2559" s="327"/>
    </row>
    <row r="2560" spans="1:16" s="388" customFormat="1" ht="14">
      <c r="A2560" s="221" t="s">
        <v>8</v>
      </c>
      <c r="B2560" s="216" t="s">
        <v>984</v>
      </c>
      <c r="C2560" s="222" t="s">
        <v>15</v>
      </c>
      <c r="D2560" s="294"/>
      <c r="E2560" s="294"/>
      <c r="F2560" s="429">
        <v>0.61</v>
      </c>
      <c r="G2560" s="290">
        <f t="shared" si="521"/>
        <v>0</v>
      </c>
      <c r="H2560" s="290">
        <f t="shared" si="521"/>
        <v>0</v>
      </c>
      <c r="I2560" s="294"/>
      <c r="J2560" s="387"/>
      <c r="K2560" s="379" t="s">
        <v>211</v>
      </c>
      <c r="L2560" s="379" t="s">
        <v>58</v>
      </c>
      <c r="M2560" s="387"/>
      <c r="N2560" s="404"/>
      <c r="O2560" s="427"/>
      <c r="P2560" s="327"/>
    </row>
    <row r="2561" spans="1:16" s="388" customFormat="1" ht="14">
      <c r="A2561" s="218" t="s">
        <v>644</v>
      </c>
      <c r="B2561" s="219" t="s">
        <v>988</v>
      </c>
      <c r="C2561" s="220"/>
      <c r="D2561" s="294"/>
      <c r="E2561" s="294"/>
      <c r="F2561" s="424"/>
      <c r="G2561" s="425"/>
      <c r="H2561" s="425"/>
      <c r="I2561" s="294"/>
      <c r="J2561" s="387"/>
      <c r="K2561" s="387"/>
      <c r="L2561" s="426"/>
      <c r="M2561" s="387"/>
      <c r="N2561" s="404"/>
      <c r="O2561" s="427"/>
      <c r="P2561" s="327"/>
    </row>
    <row r="2562" spans="1:16" s="388" customFormat="1" ht="14">
      <c r="A2562" s="221" t="s">
        <v>8</v>
      </c>
      <c r="B2562" s="216" t="s">
        <v>1023</v>
      </c>
      <c r="C2562" s="222" t="s">
        <v>31</v>
      </c>
      <c r="D2562" s="294"/>
      <c r="E2562" s="294"/>
      <c r="F2562" s="428">
        <v>11.02</v>
      </c>
      <c r="G2562" s="290">
        <f t="shared" ref="G2562:H2563" si="522">D2562*$F2562</f>
        <v>0</v>
      </c>
      <c r="H2562" s="290">
        <f t="shared" si="522"/>
        <v>0</v>
      </c>
      <c r="I2562" s="294"/>
      <c r="J2562" s="387"/>
      <c r="K2562" s="379" t="s">
        <v>211</v>
      </c>
      <c r="L2562" s="379" t="s">
        <v>58</v>
      </c>
      <c r="M2562" s="387"/>
      <c r="N2562" s="404"/>
      <c r="O2562" s="427"/>
      <c r="P2562" s="327"/>
    </row>
    <row r="2563" spans="1:16" s="388" customFormat="1" ht="14">
      <c r="A2563" s="221" t="s">
        <v>8</v>
      </c>
      <c r="B2563" s="216" t="s">
        <v>989</v>
      </c>
      <c r="C2563" s="222" t="s">
        <v>31</v>
      </c>
      <c r="D2563" s="294"/>
      <c r="E2563" s="294"/>
      <c r="F2563" s="428">
        <v>134.19</v>
      </c>
      <c r="G2563" s="290">
        <f t="shared" si="522"/>
        <v>0</v>
      </c>
      <c r="H2563" s="290">
        <f t="shared" si="522"/>
        <v>0</v>
      </c>
      <c r="I2563" s="294"/>
      <c r="J2563" s="387"/>
      <c r="K2563" s="379" t="s">
        <v>211</v>
      </c>
      <c r="L2563" s="379" t="s">
        <v>58</v>
      </c>
      <c r="M2563" s="387"/>
      <c r="N2563" s="404"/>
      <c r="O2563" s="427"/>
      <c r="P2563" s="327"/>
    </row>
    <row r="2564" spans="1:16" s="388" customFormat="1" ht="14">
      <c r="A2564" s="218" t="s">
        <v>646</v>
      </c>
      <c r="B2564" s="219" t="s">
        <v>1024</v>
      </c>
      <c r="C2564" s="220"/>
      <c r="D2564" s="294"/>
      <c r="E2564" s="294"/>
      <c r="F2564" s="424"/>
      <c r="G2564" s="425"/>
      <c r="H2564" s="425"/>
      <c r="I2564" s="294"/>
      <c r="J2564" s="387"/>
      <c r="K2564" s="387"/>
      <c r="L2564" s="426"/>
      <c r="M2564" s="387"/>
      <c r="N2564" s="404"/>
      <c r="O2564" s="427"/>
      <c r="P2564" s="327"/>
    </row>
    <row r="2565" spans="1:16" s="388" customFormat="1" ht="14">
      <c r="A2565" s="218" t="s">
        <v>648</v>
      </c>
      <c r="B2565" s="219" t="s">
        <v>982</v>
      </c>
      <c r="C2565" s="220"/>
      <c r="D2565" s="294"/>
      <c r="E2565" s="294"/>
      <c r="F2565" s="424"/>
      <c r="G2565" s="425"/>
      <c r="H2565" s="425"/>
      <c r="I2565" s="294"/>
      <c r="J2565" s="387"/>
      <c r="K2565" s="387"/>
      <c r="L2565" s="426"/>
      <c r="M2565" s="387"/>
      <c r="N2565" s="404"/>
      <c r="O2565" s="427"/>
      <c r="P2565" s="327"/>
    </row>
    <row r="2566" spans="1:16" s="388" customFormat="1" ht="14">
      <c r="A2566" s="221" t="s">
        <v>8</v>
      </c>
      <c r="B2566" s="216" t="s">
        <v>983</v>
      </c>
      <c r="C2566" s="222" t="s">
        <v>24</v>
      </c>
      <c r="D2566" s="294"/>
      <c r="E2566" s="294"/>
      <c r="F2566" s="428">
        <v>51.57</v>
      </c>
      <c r="G2566" s="283">
        <f t="shared" ref="G2566:H2568" si="523">D2566*$F2566</f>
        <v>0</v>
      </c>
      <c r="H2566" s="283">
        <f t="shared" si="523"/>
        <v>0</v>
      </c>
      <c r="I2566" s="294"/>
      <c r="J2566" s="387"/>
      <c r="K2566" s="379" t="s">
        <v>211</v>
      </c>
      <c r="L2566" s="379" t="s">
        <v>58</v>
      </c>
      <c r="M2566" s="387"/>
      <c r="N2566" s="404"/>
      <c r="O2566" s="427"/>
      <c r="P2566" s="327"/>
    </row>
    <row r="2567" spans="1:16" s="388" customFormat="1" ht="14">
      <c r="A2567" s="221" t="s">
        <v>8</v>
      </c>
      <c r="B2567" s="216" t="s">
        <v>964</v>
      </c>
      <c r="C2567" s="222" t="s">
        <v>15</v>
      </c>
      <c r="D2567" s="294"/>
      <c r="E2567" s="294"/>
      <c r="F2567" s="428">
        <v>0.61</v>
      </c>
      <c r="G2567" s="283">
        <f t="shared" si="523"/>
        <v>0</v>
      </c>
      <c r="H2567" s="283">
        <f t="shared" si="523"/>
        <v>0</v>
      </c>
      <c r="I2567" s="294"/>
      <c r="J2567" s="387"/>
      <c r="K2567" s="379" t="s">
        <v>211</v>
      </c>
      <c r="L2567" s="379" t="s">
        <v>58</v>
      </c>
      <c r="M2567" s="387"/>
      <c r="N2567" s="404"/>
      <c r="O2567" s="427"/>
      <c r="P2567" s="327"/>
    </row>
    <row r="2568" spans="1:16" s="388" customFormat="1" ht="14">
      <c r="A2568" s="221" t="s">
        <v>8</v>
      </c>
      <c r="B2568" s="216" t="s">
        <v>984</v>
      </c>
      <c r="C2568" s="222" t="s">
        <v>15</v>
      </c>
      <c r="D2568" s="294"/>
      <c r="E2568" s="294"/>
      <c r="F2568" s="429">
        <v>0.61</v>
      </c>
      <c r="G2568" s="283">
        <f t="shared" si="523"/>
        <v>0</v>
      </c>
      <c r="H2568" s="283">
        <f t="shared" si="523"/>
        <v>0</v>
      </c>
      <c r="I2568" s="294"/>
      <c r="J2568" s="387"/>
      <c r="K2568" s="379" t="s">
        <v>211</v>
      </c>
      <c r="L2568" s="379" t="s">
        <v>58</v>
      </c>
      <c r="M2568" s="387"/>
      <c r="N2568" s="404"/>
      <c r="O2568" s="427"/>
      <c r="P2568" s="327"/>
    </row>
    <row r="2569" spans="1:16" s="388" customFormat="1" ht="14">
      <c r="A2569" s="218" t="s">
        <v>649</v>
      </c>
      <c r="B2569" s="219" t="s">
        <v>1025</v>
      </c>
      <c r="C2569" s="220"/>
      <c r="D2569" s="294"/>
      <c r="E2569" s="294"/>
      <c r="F2569" s="424"/>
      <c r="G2569" s="425"/>
      <c r="H2569" s="425"/>
      <c r="I2569" s="294"/>
      <c r="J2569" s="387"/>
      <c r="K2569" s="387"/>
      <c r="L2569" s="426"/>
      <c r="M2569" s="387"/>
      <c r="N2569" s="404"/>
      <c r="O2569" s="427"/>
      <c r="P2569" s="327"/>
    </row>
    <row r="2570" spans="1:16" s="388" customFormat="1" ht="14">
      <c r="A2570" s="221" t="s">
        <v>8</v>
      </c>
      <c r="B2570" s="216" t="s">
        <v>967</v>
      </c>
      <c r="C2570" s="222" t="s">
        <v>10</v>
      </c>
      <c r="D2570" s="294"/>
      <c r="E2570" s="294"/>
      <c r="F2570" s="424"/>
      <c r="G2570" s="283">
        <f t="shared" ref="G2570:H2571" si="524">D2570*$F2570</f>
        <v>0</v>
      </c>
      <c r="H2570" s="283">
        <f t="shared" si="524"/>
        <v>0</v>
      </c>
      <c r="I2570" s="294"/>
      <c r="J2570" s="387"/>
      <c r="K2570" s="379" t="s">
        <v>211</v>
      </c>
      <c r="L2570" s="379" t="s">
        <v>58</v>
      </c>
      <c r="M2570" s="387"/>
      <c r="N2570" s="404"/>
      <c r="O2570" s="427"/>
      <c r="P2570" s="327"/>
    </row>
    <row r="2571" spans="1:16" s="388" customFormat="1" ht="14">
      <c r="A2571" s="221" t="s">
        <v>8</v>
      </c>
      <c r="B2571" s="216" t="s">
        <v>968</v>
      </c>
      <c r="C2571" s="222" t="s">
        <v>10</v>
      </c>
      <c r="D2571" s="294"/>
      <c r="E2571" s="294"/>
      <c r="F2571" s="424"/>
      <c r="G2571" s="283">
        <f t="shared" si="524"/>
        <v>0</v>
      </c>
      <c r="H2571" s="283">
        <f t="shared" si="524"/>
        <v>0</v>
      </c>
      <c r="I2571" s="294"/>
      <c r="J2571" s="387"/>
      <c r="K2571" s="379" t="s">
        <v>211</v>
      </c>
      <c r="L2571" s="379" t="s">
        <v>58</v>
      </c>
      <c r="M2571" s="387"/>
      <c r="N2571" s="404"/>
      <c r="O2571" s="427"/>
      <c r="P2571" s="327"/>
    </row>
    <row r="2572" spans="1:16" s="388" customFormat="1" ht="14">
      <c r="A2572" s="218" t="s">
        <v>651</v>
      </c>
      <c r="B2572" s="219" t="s">
        <v>1026</v>
      </c>
      <c r="C2572" s="220"/>
      <c r="D2572" s="294"/>
      <c r="E2572" s="294"/>
      <c r="F2572" s="424"/>
      <c r="G2572" s="425"/>
      <c r="H2572" s="425"/>
      <c r="I2572" s="294"/>
      <c r="J2572" s="387"/>
      <c r="K2572" s="387"/>
      <c r="L2572" s="426"/>
      <c r="M2572" s="387"/>
      <c r="N2572" s="404"/>
      <c r="O2572" s="427"/>
      <c r="P2572" s="327"/>
    </row>
    <row r="2573" spans="1:16" s="388" customFormat="1" ht="14">
      <c r="A2573" s="218" t="s">
        <v>653</v>
      </c>
      <c r="B2573" s="219" t="s">
        <v>982</v>
      </c>
      <c r="C2573" s="220"/>
      <c r="D2573" s="294"/>
      <c r="E2573" s="294"/>
      <c r="F2573" s="424"/>
      <c r="G2573" s="425"/>
      <c r="H2573" s="425"/>
      <c r="I2573" s="294"/>
      <c r="J2573" s="387"/>
      <c r="K2573" s="387"/>
      <c r="L2573" s="426"/>
      <c r="M2573" s="387"/>
      <c r="N2573" s="404"/>
      <c r="O2573" s="427"/>
      <c r="P2573" s="327"/>
    </row>
    <row r="2574" spans="1:16" s="388" customFormat="1" ht="14">
      <c r="A2574" s="221" t="s">
        <v>8</v>
      </c>
      <c r="B2574" s="216" t="s">
        <v>983</v>
      </c>
      <c r="C2574" s="222" t="s">
        <v>24</v>
      </c>
      <c r="D2574" s="294"/>
      <c r="E2574" s="294"/>
      <c r="F2574" s="428">
        <v>51.57</v>
      </c>
      <c r="G2574" s="283">
        <f t="shared" ref="G2574:H2576" si="525">D2574*$F2574</f>
        <v>0</v>
      </c>
      <c r="H2574" s="283">
        <f t="shared" si="525"/>
        <v>0</v>
      </c>
      <c r="I2574" s="294"/>
      <c r="J2574" s="387"/>
      <c r="K2574" s="379" t="s">
        <v>211</v>
      </c>
      <c r="L2574" s="379" t="s">
        <v>58</v>
      </c>
      <c r="M2574" s="387"/>
      <c r="N2574" s="404"/>
      <c r="O2574" s="427"/>
      <c r="P2574" s="327"/>
    </row>
    <row r="2575" spans="1:16" s="388" customFormat="1" ht="14">
      <c r="A2575" s="221" t="s">
        <v>8</v>
      </c>
      <c r="B2575" s="216" t="s">
        <v>964</v>
      </c>
      <c r="C2575" s="222" t="s">
        <v>15</v>
      </c>
      <c r="D2575" s="294"/>
      <c r="E2575" s="294"/>
      <c r="F2575" s="428">
        <v>0.61</v>
      </c>
      <c r="G2575" s="283">
        <f t="shared" si="525"/>
        <v>0</v>
      </c>
      <c r="H2575" s="283">
        <f t="shared" si="525"/>
        <v>0</v>
      </c>
      <c r="I2575" s="294"/>
      <c r="J2575" s="387"/>
      <c r="K2575" s="379" t="s">
        <v>211</v>
      </c>
      <c r="L2575" s="379" t="s">
        <v>58</v>
      </c>
      <c r="M2575" s="387"/>
      <c r="N2575" s="404"/>
      <c r="O2575" s="427"/>
      <c r="P2575" s="327"/>
    </row>
    <row r="2576" spans="1:16" s="388" customFormat="1" ht="14">
      <c r="A2576" s="221" t="s">
        <v>8</v>
      </c>
      <c r="B2576" s="216" t="s">
        <v>984</v>
      </c>
      <c r="C2576" s="222" t="s">
        <v>15</v>
      </c>
      <c r="D2576" s="294"/>
      <c r="E2576" s="294"/>
      <c r="F2576" s="429">
        <v>0.61</v>
      </c>
      <c r="G2576" s="283">
        <f t="shared" si="525"/>
        <v>0</v>
      </c>
      <c r="H2576" s="283">
        <f t="shared" si="525"/>
        <v>0</v>
      </c>
      <c r="I2576" s="294"/>
      <c r="J2576" s="387"/>
      <c r="K2576" s="379" t="s">
        <v>211</v>
      </c>
      <c r="L2576" s="379" t="s">
        <v>58</v>
      </c>
      <c r="M2576" s="387"/>
      <c r="N2576" s="404"/>
      <c r="O2576" s="427"/>
      <c r="P2576" s="327"/>
    </row>
    <row r="2577" spans="1:16" s="388" customFormat="1" ht="14">
      <c r="A2577" s="218" t="s">
        <v>655</v>
      </c>
      <c r="B2577" s="219" t="s">
        <v>1025</v>
      </c>
      <c r="C2577" s="220"/>
      <c r="D2577" s="294"/>
      <c r="E2577" s="294"/>
      <c r="F2577" s="424"/>
      <c r="G2577" s="425"/>
      <c r="H2577" s="425"/>
      <c r="I2577" s="294"/>
      <c r="J2577" s="387"/>
      <c r="K2577" s="387"/>
      <c r="L2577" s="426"/>
      <c r="M2577" s="387"/>
      <c r="N2577" s="404"/>
      <c r="O2577" s="427"/>
      <c r="P2577" s="327"/>
    </row>
    <row r="2578" spans="1:16" s="388" customFormat="1" ht="14">
      <c r="A2578" s="221" t="s">
        <v>8</v>
      </c>
      <c r="B2578" s="216" t="s">
        <v>967</v>
      </c>
      <c r="C2578" s="222" t="s">
        <v>10</v>
      </c>
      <c r="D2578" s="294"/>
      <c r="E2578" s="294"/>
      <c r="F2578" s="424"/>
      <c r="G2578" s="283">
        <f t="shared" ref="G2578:H2579" si="526">D2578*$F2578</f>
        <v>0</v>
      </c>
      <c r="H2578" s="283">
        <f t="shared" si="526"/>
        <v>0</v>
      </c>
      <c r="I2578" s="294"/>
      <c r="J2578" s="387"/>
      <c r="K2578" s="379" t="s">
        <v>211</v>
      </c>
      <c r="L2578" s="379" t="s">
        <v>58</v>
      </c>
      <c r="M2578" s="387"/>
      <c r="N2578" s="404"/>
      <c r="O2578" s="427"/>
      <c r="P2578" s="327"/>
    </row>
    <row r="2579" spans="1:16" s="388" customFormat="1" ht="14">
      <c r="A2579" s="221" t="s">
        <v>8</v>
      </c>
      <c r="B2579" s="216" t="s">
        <v>968</v>
      </c>
      <c r="C2579" s="222" t="s">
        <v>10</v>
      </c>
      <c r="D2579" s="294"/>
      <c r="E2579" s="294"/>
      <c r="F2579" s="424"/>
      <c r="G2579" s="283">
        <f t="shared" si="526"/>
        <v>0</v>
      </c>
      <c r="H2579" s="283">
        <f t="shared" si="526"/>
        <v>0</v>
      </c>
      <c r="I2579" s="294"/>
      <c r="J2579" s="387"/>
      <c r="K2579" s="379" t="s">
        <v>211</v>
      </c>
      <c r="L2579" s="379" t="s">
        <v>58</v>
      </c>
      <c r="M2579" s="387"/>
      <c r="N2579" s="404"/>
      <c r="O2579" s="427"/>
      <c r="P2579" s="327"/>
    </row>
    <row r="2580" spans="1:16" s="388" customFormat="1" ht="14">
      <c r="A2580" s="218" t="s">
        <v>656</v>
      </c>
      <c r="B2580" s="219" t="s">
        <v>1027</v>
      </c>
      <c r="C2580" s="220"/>
      <c r="D2580" s="294"/>
      <c r="E2580" s="294"/>
      <c r="F2580" s="424"/>
      <c r="G2580" s="425"/>
      <c r="H2580" s="425"/>
      <c r="I2580" s="294"/>
      <c r="J2580" s="387"/>
      <c r="K2580" s="387"/>
      <c r="L2580" s="426"/>
      <c r="M2580" s="387"/>
      <c r="N2580" s="404"/>
      <c r="O2580" s="427"/>
      <c r="P2580" s="327"/>
    </row>
    <row r="2581" spans="1:16" s="388" customFormat="1" ht="14">
      <c r="A2581" s="221" t="s">
        <v>8</v>
      </c>
      <c r="B2581" s="216" t="s">
        <v>1013</v>
      </c>
      <c r="C2581" s="222" t="s">
        <v>24</v>
      </c>
      <c r="D2581" s="294"/>
      <c r="E2581" s="294"/>
      <c r="F2581" s="428">
        <v>25.21</v>
      </c>
      <c r="G2581" s="290">
        <f t="shared" ref="G2581:H2592" si="527">D2581*$F2581</f>
        <v>0</v>
      </c>
      <c r="H2581" s="290">
        <f t="shared" si="527"/>
        <v>0</v>
      </c>
      <c r="I2581" s="294"/>
      <c r="J2581" s="387"/>
      <c r="K2581" s="379" t="s">
        <v>211</v>
      </c>
      <c r="L2581" s="379" t="s">
        <v>58</v>
      </c>
      <c r="M2581" s="387"/>
      <c r="N2581" s="404"/>
      <c r="O2581" s="427"/>
      <c r="P2581" s="327"/>
    </row>
    <row r="2582" spans="1:16" s="388" customFormat="1" ht="14">
      <c r="A2582" s="221" t="s">
        <v>8</v>
      </c>
      <c r="B2582" s="216" t="s">
        <v>1028</v>
      </c>
      <c r="C2582" s="222" t="s">
        <v>15</v>
      </c>
      <c r="D2582" s="294"/>
      <c r="E2582" s="294"/>
      <c r="F2582" s="428">
        <v>5.45</v>
      </c>
      <c r="G2582" s="290">
        <f t="shared" si="527"/>
        <v>0</v>
      </c>
      <c r="H2582" s="290">
        <f t="shared" si="527"/>
        <v>0</v>
      </c>
      <c r="I2582" s="294"/>
      <c r="J2582" s="387"/>
      <c r="K2582" s="379" t="s">
        <v>211</v>
      </c>
      <c r="L2582" s="379" t="s">
        <v>58</v>
      </c>
      <c r="M2582" s="387"/>
      <c r="N2582" s="404"/>
      <c r="O2582" s="427"/>
      <c r="P2582" s="327"/>
    </row>
    <row r="2583" spans="1:16" s="388" customFormat="1" ht="14">
      <c r="A2583" s="221" t="s">
        <v>8</v>
      </c>
      <c r="B2583" s="216" t="s">
        <v>1029</v>
      </c>
      <c r="C2583" s="222" t="s">
        <v>133</v>
      </c>
      <c r="D2583" s="294"/>
      <c r="E2583" s="294"/>
      <c r="F2583" s="428">
        <v>1.76</v>
      </c>
      <c r="G2583" s="290">
        <f t="shared" si="527"/>
        <v>0</v>
      </c>
      <c r="H2583" s="290">
        <f t="shared" si="527"/>
        <v>0</v>
      </c>
      <c r="I2583" s="294"/>
      <c r="J2583" s="387"/>
      <c r="K2583" s="379" t="s">
        <v>211</v>
      </c>
      <c r="L2583" s="379" t="s">
        <v>58</v>
      </c>
      <c r="M2583" s="387"/>
      <c r="N2583" s="404"/>
      <c r="O2583" s="427"/>
      <c r="P2583" s="327"/>
    </row>
    <row r="2584" spans="1:16" s="388" customFormat="1" ht="14">
      <c r="A2584" s="221" t="s">
        <v>8</v>
      </c>
      <c r="B2584" s="216" t="s">
        <v>1030</v>
      </c>
      <c r="C2584" s="222" t="s">
        <v>15</v>
      </c>
      <c r="D2584" s="294"/>
      <c r="E2584" s="294"/>
      <c r="F2584" s="428">
        <v>14.41</v>
      </c>
      <c r="G2584" s="290">
        <f t="shared" si="527"/>
        <v>0</v>
      </c>
      <c r="H2584" s="290">
        <f t="shared" si="527"/>
        <v>0</v>
      </c>
      <c r="I2584" s="294"/>
      <c r="J2584" s="387"/>
      <c r="K2584" s="379" t="s">
        <v>211</v>
      </c>
      <c r="L2584" s="379" t="s">
        <v>58</v>
      </c>
      <c r="M2584" s="387"/>
      <c r="N2584" s="404"/>
      <c r="O2584" s="427"/>
      <c r="P2584" s="327"/>
    </row>
    <row r="2585" spans="1:16" s="388" customFormat="1" ht="14">
      <c r="A2585" s="221" t="s">
        <v>8</v>
      </c>
      <c r="B2585" s="216" t="s">
        <v>1031</v>
      </c>
      <c r="C2585" s="222" t="s">
        <v>15</v>
      </c>
      <c r="D2585" s="294"/>
      <c r="E2585" s="294"/>
      <c r="F2585" s="428">
        <v>5</v>
      </c>
      <c r="G2585" s="290">
        <f t="shared" si="527"/>
        <v>0</v>
      </c>
      <c r="H2585" s="290">
        <f t="shared" si="527"/>
        <v>0</v>
      </c>
      <c r="I2585" s="294"/>
      <c r="J2585" s="387"/>
      <c r="K2585" s="379" t="s">
        <v>211</v>
      </c>
      <c r="L2585" s="379" t="s">
        <v>58</v>
      </c>
      <c r="M2585" s="387"/>
      <c r="N2585" s="404"/>
      <c r="O2585" s="427"/>
      <c r="P2585" s="327"/>
    </row>
    <row r="2586" spans="1:16" s="388" customFormat="1" ht="14">
      <c r="A2586" s="221" t="s">
        <v>8</v>
      </c>
      <c r="B2586" s="216" t="s">
        <v>1032</v>
      </c>
      <c r="C2586" s="222" t="s">
        <v>15</v>
      </c>
      <c r="D2586" s="294"/>
      <c r="E2586" s="294"/>
      <c r="F2586" s="428">
        <v>3.0819999999999999</v>
      </c>
      <c r="G2586" s="290">
        <f t="shared" si="527"/>
        <v>0</v>
      </c>
      <c r="H2586" s="290">
        <f t="shared" si="527"/>
        <v>0</v>
      </c>
      <c r="I2586" s="294"/>
      <c r="J2586" s="387"/>
      <c r="K2586" s="379" t="s">
        <v>211</v>
      </c>
      <c r="L2586" s="379" t="s">
        <v>58</v>
      </c>
      <c r="M2586" s="387"/>
      <c r="N2586" s="404"/>
      <c r="O2586" s="427"/>
      <c r="P2586" s="327"/>
    </row>
    <row r="2587" spans="1:16" s="388" customFormat="1" ht="14">
      <c r="A2587" s="221" t="s">
        <v>8</v>
      </c>
      <c r="B2587" s="216" t="s">
        <v>1033</v>
      </c>
      <c r="C2587" s="222" t="s">
        <v>24</v>
      </c>
      <c r="D2587" s="294"/>
      <c r="E2587" s="294"/>
      <c r="F2587" s="428">
        <v>3.0819999999999999</v>
      </c>
      <c r="G2587" s="290">
        <f t="shared" si="527"/>
        <v>0</v>
      </c>
      <c r="H2587" s="290">
        <f t="shared" si="527"/>
        <v>0</v>
      </c>
      <c r="I2587" s="294"/>
      <c r="J2587" s="387"/>
      <c r="K2587" s="379" t="s">
        <v>211</v>
      </c>
      <c r="L2587" s="379" t="s">
        <v>58</v>
      </c>
      <c r="M2587" s="387"/>
      <c r="N2587" s="404"/>
      <c r="O2587" s="427"/>
      <c r="P2587" s="327"/>
    </row>
    <row r="2588" spans="1:16" s="388" customFormat="1" ht="14">
      <c r="A2588" s="221" t="s">
        <v>8</v>
      </c>
      <c r="B2588" s="216" t="s">
        <v>1034</v>
      </c>
      <c r="C2588" s="222" t="s">
        <v>15</v>
      </c>
      <c r="D2588" s="294"/>
      <c r="E2588" s="294"/>
      <c r="F2588" s="428">
        <v>3.0819999999999999</v>
      </c>
      <c r="G2588" s="290">
        <f t="shared" si="527"/>
        <v>0</v>
      </c>
      <c r="H2588" s="290">
        <f t="shared" si="527"/>
        <v>0</v>
      </c>
      <c r="I2588" s="294"/>
      <c r="J2588" s="387"/>
      <c r="K2588" s="379" t="s">
        <v>211</v>
      </c>
      <c r="L2588" s="379" t="s">
        <v>58</v>
      </c>
      <c r="M2588" s="387"/>
      <c r="N2588" s="404"/>
      <c r="O2588" s="427"/>
      <c r="P2588" s="327"/>
    </row>
    <row r="2589" spans="1:16" s="388" customFormat="1" ht="14">
      <c r="A2589" s="221" t="s">
        <v>8</v>
      </c>
      <c r="B2589" s="216" t="s">
        <v>991</v>
      </c>
      <c r="C2589" s="222" t="s">
        <v>15</v>
      </c>
      <c r="D2589" s="294"/>
      <c r="E2589" s="294"/>
      <c r="F2589" s="428">
        <v>2.4700000000000002</v>
      </c>
      <c r="G2589" s="290">
        <f t="shared" si="527"/>
        <v>0</v>
      </c>
      <c r="H2589" s="290">
        <f t="shared" si="527"/>
        <v>0</v>
      </c>
      <c r="I2589" s="294"/>
      <c r="J2589" s="387"/>
      <c r="K2589" s="379" t="s">
        <v>211</v>
      </c>
      <c r="L2589" s="379" t="s">
        <v>58</v>
      </c>
      <c r="M2589" s="387"/>
      <c r="N2589" s="404"/>
      <c r="O2589" s="427"/>
      <c r="P2589" s="327"/>
    </row>
    <row r="2590" spans="1:16" s="388" customFormat="1" ht="14">
      <c r="A2590" s="221" t="s">
        <v>8</v>
      </c>
      <c r="B2590" s="216" t="s">
        <v>1035</v>
      </c>
      <c r="C2590" s="222" t="s">
        <v>15</v>
      </c>
      <c r="D2590" s="294"/>
      <c r="E2590" s="294"/>
      <c r="F2590" s="428">
        <v>3.0819999999999999</v>
      </c>
      <c r="G2590" s="290">
        <f t="shared" si="527"/>
        <v>0</v>
      </c>
      <c r="H2590" s="290">
        <f t="shared" si="527"/>
        <v>0</v>
      </c>
      <c r="I2590" s="294"/>
      <c r="J2590" s="387"/>
      <c r="K2590" s="379" t="s">
        <v>211</v>
      </c>
      <c r="L2590" s="379" t="s">
        <v>58</v>
      </c>
      <c r="M2590" s="387"/>
      <c r="N2590" s="404"/>
      <c r="O2590" s="427"/>
      <c r="P2590" s="327"/>
    </row>
    <row r="2591" spans="1:16" s="388" customFormat="1" ht="14">
      <c r="A2591" s="221" t="s">
        <v>8</v>
      </c>
      <c r="B2591" s="216" t="s">
        <v>1036</v>
      </c>
      <c r="C2591" s="222" t="s">
        <v>668</v>
      </c>
      <c r="D2591" s="294"/>
      <c r="E2591" s="294"/>
      <c r="F2591" s="424">
        <v>0</v>
      </c>
      <c r="G2591" s="290">
        <f t="shared" si="527"/>
        <v>0</v>
      </c>
      <c r="H2591" s="290">
        <f t="shared" si="527"/>
        <v>0</v>
      </c>
      <c r="I2591" s="294"/>
      <c r="J2591" s="387"/>
      <c r="K2591" s="379" t="s">
        <v>211</v>
      </c>
      <c r="L2591" s="379" t="s">
        <v>58</v>
      </c>
      <c r="M2591" s="387"/>
      <c r="N2591" s="404"/>
      <c r="O2591" s="427"/>
      <c r="P2591" s="327"/>
    </row>
    <row r="2592" spans="1:16" s="388" customFormat="1" ht="14">
      <c r="A2592" s="221" t="s">
        <v>8</v>
      </c>
      <c r="B2592" s="216" t="s">
        <v>1037</v>
      </c>
      <c r="C2592" s="222" t="s">
        <v>24</v>
      </c>
      <c r="D2592" s="294"/>
      <c r="E2592" s="294"/>
      <c r="F2592" s="428">
        <v>25.21</v>
      </c>
      <c r="G2592" s="290">
        <f t="shared" si="527"/>
        <v>0</v>
      </c>
      <c r="H2592" s="290">
        <f t="shared" si="527"/>
        <v>0</v>
      </c>
      <c r="I2592" s="294"/>
      <c r="J2592" s="387"/>
      <c r="K2592" s="379" t="s">
        <v>211</v>
      </c>
      <c r="L2592" s="379" t="s">
        <v>58</v>
      </c>
      <c r="M2592" s="387"/>
      <c r="N2592" s="404"/>
      <c r="O2592" s="427"/>
      <c r="P2592" s="327"/>
    </row>
    <row r="2593" spans="1:17" s="37" customFormat="1">
      <c r="A2593" s="58"/>
      <c r="B2593" s="64"/>
      <c r="C2593" s="53"/>
      <c r="D2593" s="47"/>
      <c r="E2593" s="47"/>
      <c r="F2593" s="10"/>
      <c r="G2593" s="59"/>
      <c r="H2593" s="59"/>
      <c r="I2593" s="59"/>
      <c r="J2593" s="52"/>
      <c r="K2593" s="52"/>
      <c r="M2593" s="61"/>
      <c r="N2593" s="60"/>
      <c r="O2593" s="62"/>
      <c r="P2593" s="236"/>
    </row>
    <row r="2594" spans="1:17">
      <c r="G2594" s="55"/>
      <c r="H2594" s="55"/>
      <c r="Q2594" s="5"/>
    </row>
    <row r="2595" spans="1:17">
      <c r="G2595" s="55"/>
      <c r="H2595" s="55"/>
      <c r="Q2595" s="5"/>
    </row>
    <row r="2596" spans="1:17">
      <c r="G2596" s="55"/>
      <c r="H2596" s="55"/>
      <c r="Q2596" s="5"/>
    </row>
    <row r="2597" spans="1:17">
      <c r="G2597" s="55"/>
      <c r="H2597" s="55"/>
      <c r="Q2597" s="5"/>
    </row>
    <row r="2598" spans="1:17">
      <c r="G2598" s="55"/>
      <c r="H2598" s="55"/>
      <c r="Q2598" s="5"/>
    </row>
    <row r="2599" spans="1:17">
      <c r="G2599" s="55"/>
      <c r="H2599" s="55"/>
      <c r="Q2599" s="5"/>
    </row>
    <row r="2600" spans="1:17">
      <c r="G2600" s="55"/>
      <c r="H2600" s="55"/>
      <c r="Q2600" s="5"/>
    </row>
    <row r="2601" spans="1:17">
      <c r="G2601" s="55"/>
      <c r="H2601" s="55"/>
      <c r="Q2601" s="5"/>
    </row>
    <row r="2602" spans="1:17">
      <c r="G2602" s="55"/>
      <c r="H2602" s="55"/>
      <c r="Q2602" s="5"/>
    </row>
    <row r="2603" spans="1:17">
      <c r="G2603" s="55"/>
      <c r="H2603" s="55"/>
      <c r="Q2603" s="5"/>
    </row>
    <row r="2604" spans="1:17">
      <c r="G2604" s="55"/>
      <c r="H2604" s="55"/>
      <c r="Q2604" s="5"/>
    </row>
    <row r="2605" spans="1:17">
      <c r="G2605" s="55"/>
      <c r="H2605" s="55"/>
      <c r="Q2605" s="5"/>
    </row>
    <row r="2606" spans="1:17">
      <c r="G2606" s="55"/>
      <c r="H2606" s="55"/>
      <c r="Q2606" s="5"/>
    </row>
    <row r="2607" spans="1:17">
      <c r="G2607" s="55"/>
      <c r="H2607" s="55"/>
      <c r="Q2607" s="5"/>
    </row>
    <row r="2608" spans="1:17">
      <c r="A2608" s="5"/>
      <c r="B2608" s="5"/>
      <c r="C2608" s="5"/>
      <c r="D2608" s="5"/>
      <c r="E2608" s="5"/>
      <c r="F2608" s="5"/>
      <c r="G2608" s="55"/>
      <c r="H2608" s="55"/>
      <c r="I2608" s="5"/>
      <c r="J2608" s="5"/>
      <c r="K2608" s="5"/>
      <c r="L2608" s="5"/>
      <c r="M2608" s="5"/>
      <c r="N2608" s="5"/>
      <c r="O2608" s="5"/>
      <c r="Q2608" s="5"/>
    </row>
    <row r="2609" spans="1:17">
      <c r="A2609" s="5"/>
      <c r="B2609" s="5"/>
      <c r="C2609" s="5"/>
      <c r="D2609" s="5"/>
      <c r="E2609" s="5"/>
      <c r="F2609" s="5"/>
      <c r="G2609" s="55"/>
      <c r="H2609" s="55"/>
      <c r="I2609" s="5"/>
      <c r="J2609" s="5"/>
      <c r="K2609" s="5"/>
      <c r="L2609" s="5"/>
      <c r="M2609" s="5"/>
      <c r="N2609" s="5"/>
      <c r="O2609" s="5"/>
      <c r="Q2609" s="5"/>
    </row>
    <row r="2610" spans="1:17">
      <c r="A2610" s="5"/>
      <c r="B2610" s="5"/>
      <c r="C2610" s="5"/>
      <c r="D2610" s="5"/>
      <c r="E2610" s="5"/>
      <c r="F2610" s="5"/>
      <c r="G2610" s="55"/>
      <c r="H2610" s="55"/>
      <c r="I2610" s="5"/>
      <c r="J2610" s="5"/>
      <c r="K2610" s="5"/>
      <c r="L2610" s="5"/>
      <c r="M2610" s="5"/>
      <c r="N2610" s="5"/>
      <c r="O2610" s="5"/>
      <c r="Q2610" s="5"/>
    </row>
    <row r="2611" spans="1:17">
      <c r="A2611" s="5"/>
      <c r="B2611" s="5"/>
      <c r="C2611" s="5"/>
      <c r="D2611" s="5"/>
      <c r="E2611" s="5"/>
      <c r="F2611" s="5"/>
      <c r="G2611" s="55"/>
      <c r="H2611" s="55"/>
      <c r="I2611" s="5"/>
      <c r="J2611" s="5"/>
      <c r="K2611" s="5"/>
      <c r="L2611" s="5"/>
      <c r="M2611" s="5"/>
      <c r="N2611" s="5"/>
      <c r="O2611" s="5"/>
      <c r="Q2611" s="5"/>
    </row>
    <row r="2612" spans="1:17">
      <c r="A2612" s="5"/>
      <c r="B2612" s="5"/>
      <c r="C2612" s="5"/>
      <c r="D2612" s="5"/>
      <c r="E2612" s="5"/>
      <c r="F2612" s="5"/>
      <c r="G2612" s="55"/>
      <c r="H2612" s="55"/>
      <c r="I2612" s="5"/>
      <c r="J2612" s="5"/>
      <c r="K2612" s="5"/>
      <c r="L2612" s="5"/>
      <c r="M2612" s="5"/>
      <c r="N2612" s="5"/>
      <c r="O2612" s="5"/>
      <c r="Q2612" s="5"/>
    </row>
    <row r="2613" spans="1:17">
      <c r="A2613" s="5"/>
      <c r="B2613" s="5"/>
      <c r="C2613" s="5"/>
      <c r="D2613" s="5"/>
      <c r="E2613" s="5"/>
      <c r="F2613" s="5"/>
      <c r="G2613" s="55"/>
      <c r="H2613" s="55"/>
      <c r="I2613" s="5"/>
      <c r="J2613" s="5"/>
      <c r="K2613" s="5"/>
      <c r="L2613" s="5"/>
      <c r="M2613" s="5"/>
      <c r="N2613" s="5"/>
      <c r="O2613" s="5"/>
      <c r="Q2613" s="5"/>
    </row>
    <row r="2614" spans="1:17">
      <c r="A2614" s="5"/>
      <c r="B2614" s="5"/>
      <c r="C2614" s="5"/>
      <c r="D2614" s="5"/>
      <c r="E2614" s="5"/>
      <c r="F2614" s="5"/>
      <c r="G2614" s="55"/>
      <c r="H2614" s="55"/>
      <c r="I2614" s="5"/>
      <c r="J2614" s="5"/>
      <c r="K2614" s="5"/>
      <c r="L2614" s="5"/>
      <c r="M2614" s="5"/>
      <c r="N2614" s="5"/>
      <c r="O2614" s="5"/>
      <c r="Q2614" s="5"/>
    </row>
    <row r="2615" spans="1:17">
      <c r="A2615" s="5"/>
      <c r="B2615" s="5"/>
      <c r="C2615" s="5"/>
      <c r="D2615" s="5"/>
      <c r="E2615" s="5"/>
      <c r="F2615" s="5"/>
      <c r="G2615" s="55"/>
      <c r="H2615" s="55"/>
      <c r="I2615" s="5"/>
      <c r="J2615" s="5"/>
      <c r="K2615" s="5"/>
      <c r="L2615" s="5"/>
      <c r="M2615" s="5"/>
      <c r="N2615" s="5"/>
      <c r="O2615" s="5"/>
      <c r="Q2615" s="5"/>
    </row>
    <row r="2616" spans="1:17">
      <c r="A2616" s="5"/>
      <c r="B2616" s="5"/>
      <c r="C2616" s="5"/>
      <c r="D2616" s="5"/>
      <c r="E2616" s="5"/>
      <c r="F2616" s="5"/>
      <c r="G2616" s="55"/>
      <c r="H2616" s="55"/>
      <c r="I2616" s="5"/>
      <c r="J2616" s="5"/>
      <c r="K2616" s="5"/>
      <c r="L2616" s="5"/>
      <c r="M2616" s="5"/>
      <c r="N2616" s="5"/>
      <c r="O2616" s="5"/>
      <c r="Q2616" s="5"/>
    </row>
    <row r="2617" spans="1:17">
      <c r="A2617" s="5"/>
      <c r="B2617" s="5"/>
      <c r="C2617" s="5"/>
      <c r="D2617" s="5"/>
      <c r="E2617" s="5"/>
      <c r="F2617" s="5"/>
      <c r="G2617" s="55"/>
      <c r="H2617" s="55"/>
      <c r="I2617" s="5"/>
      <c r="J2617" s="5"/>
      <c r="K2617" s="5"/>
      <c r="L2617" s="5"/>
      <c r="M2617" s="5"/>
      <c r="N2617" s="5"/>
      <c r="O2617" s="5"/>
      <c r="Q2617" s="5"/>
    </row>
    <row r="2618" spans="1:17">
      <c r="A2618" s="5"/>
      <c r="B2618" s="5"/>
      <c r="C2618" s="5"/>
      <c r="D2618" s="5"/>
      <c r="E2618" s="5"/>
      <c r="F2618" s="5"/>
      <c r="G2618" s="55"/>
      <c r="H2618" s="55"/>
      <c r="I2618" s="5"/>
      <c r="J2618" s="5"/>
      <c r="K2618" s="5"/>
      <c r="L2618" s="5"/>
      <c r="M2618" s="5"/>
      <c r="N2618" s="5"/>
      <c r="O2618" s="5"/>
      <c r="Q2618" s="5"/>
    </row>
    <row r="2619" spans="1:17">
      <c r="A2619" s="5"/>
      <c r="B2619" s="5"/>
      <c r="C2619" s="5"/>
      <c r="D2619" s="5"/>
      <c r="E2619" s="5"/>
      <c r="F2619" s="5"/>
      <c r="G2619" s="55"/>
      <c r="H2619" s="55"/>
      <c r="I2619" s="5"/>
      <c r="J2619" s="5"/>
      <c r="K2619" s="5"/>
      <c r="L2619" s="5"/>
      <c r="M2619" s="5"/>
      <c r="N2619" s="5"/>
      <c r="O2619" s="5"/>
      <c r="Q2619" s="5"/>
    </row>
    <row r="2620" spans="1:17">
      <c r="A2620" s="5"/>
      <c r="B2620" s="5"/>
      <c r="C2620" s="5"/>
      <c r="D2620" s="5"/>
      <c r="E2620" s="5"/>
      <c r="F2620" s="5"/>
      <c r="G2620" s="55"/>
      <c r="H2620" s="55"/>
      <c r="I2620" s="5"/>
      <c r="J2620" s="5"/>
      <c r="K2620" s="5"/>
      <c r="L2620" s="5"/>
      <c r="M2620" s="5"/>
      <c r="N2620" s="5"/>
      <c r="O2620" s="5"/>
      <c r="Q2620" s="5"/>
    </row>
    <row r="2621" spans="1:17">
      <c r="A2621" s="5"/>
      <c r="B2621" s="5"/>
      <c r="C2621" s="5"/>
      <c r="D2621" s="5"/>
      <c r="E2621" s="5"/>
      <c r="F2621" s="5"/>
      <c r="G2621" s="55"/>
      <c r="H2621" s="55"/>
      <c r="I2621" s="5"/>
      <c r="J2621" s="5"/>
      <c r="K2621" s="5"/>
      <c r="L2621" s="5"/>
      <c r="M2621" s="5"/>
      <c r="N2621" s="5"/>
      <c r="O2621" s="5"/>
      <c r="Q2621" s="5"/>
    </row>
    <row r="2622" spans="1:17">
      <c r="A2622" s="5"/>
      <c r="B2622" s="5"/>
      <c r="C2622" s="5"/>
      <c r="D2622" s="5"/>
      <c r="E2622" s="5"/>
      <c r="F2622" s="5"/>
      <c r="G2622" s="55"/>
      <c r="H2622" s="55"/>
      <c r="I2622" s="5"/>
      <c r="J2622" s="5"/>
      <c r="K2622" s="5"/>
      <c r="L2622" s="5"/>
      <c r="M2622" s="5"/>
      <c r="N2622" s="5"/>
      <c r="O2622" s="5"/>
      <c r="Q2622" s="5"/>
    </row>
    <row r="2623" spans="1:17">
      <c r="A2623" s="5"/>
      <c r="B2623" s="5"/>
      <c r="C2623" s="5"/>
      <c r="D2623" s="5"/>
      <c r="E2623" s="5"/>
      <c r="F2623" s="5"/>
      <c r="G2623" s="55"/>
      <c r="H2623" s="55"/>
      <c r="I2623" s="5"/>
      <c r="J2623" s="5"/>
      <c r="K2623" s="5"/>
      <c r="L2623" s="5"/>
      <c r="M2623" s="5"/>
      <c r="N2623" s="5"/>
      <c r="O2623" s="5"/>
      <c r="Q2623" s="5"/>
    </row>
    <row r="2624" spans="1:17">
      <c r="A2624" s="5"/>
      <c r="B2624" s="5"/>
      <c r="C2624" s="5"/>
      <c r="D2624" s="5"/>
      <c r="E2624" s="5"/>
      <c r="F2624" s="5"/>
      <c r="G2624" s="55"/>
      <c r="H2624" s="55"/>
      <c r="I2624" s="5"/>
      <c r="J2624" s="5"/>
      <c r="K2624" s="5"/>
      <c r="L2624" s="5"/>
      <c r="M2624" s="5"/>
      <c r="N2624" s="5"/>
      <c r="O2624" s="5"/>
      <c r="Q2624" s="5"/>
    </row>
    <row r="2625" spans="1:17">
      <c r="A2625" s="5"/>
      <c r="B2625" s="5"/>
      <c r="C2625" s="5"/>
      <c r="D2625" s="5"/>
      <c r="E2625" s="5"/>
      <c r="F2625" s="5"/>
      <c r="G2625" s="55"/>
      <c r="H2625" s="55"/>
      <c r="I2625" s="5"/>
      <c r="J2625" s="5"/>
      <c r="K2625" s="5"/>
      <c r="L2625" s="5"/>
      <c r="M2625" s="5"/>
      <c r="N2625" s="5"/>
      <c r="O2625" s="5"/>
      <c r="Q2625" s="5"/>
    </row>
    <row r="2626" spans="1:17">
      <c r="A2626" s="5"/>
      <c r="B2626" s="5"/>
      <c r="C2626" s="5"/>
      <c r="D2626" s="5"/>
      <c r="E2626" s="5"/>
      <c r="F2626" s="5"/>
      <c r="G2626" s="55"/>
      <c r="H2626" s="55"/>
      <c r="I2626" s="5"/>
      <c r="J2626" s="5"/>
      <c r="K2626" s="5"/>
      <c r="L2626" s="5"/>
      <c r="M2626" s="5"/>
      <c r="N2626" s="5"/>
      <c r="O2626" s="5"/>
      <c r="Q2626" s="5"/>
    </row>
    <row r="2627" spans="1:17">
      <c r="A2627" s="5"/>
      <c r="B2627" s="5"/>
      <c r="C2627" s="5"/>
      <c r="D2627" s="5"/>
      <c r="E2627" s="5"/>
      <c r="F2627" s="5"/>
      <c r="G2627" s="55"/>
      <c r="H2627" s="55"/>
      <c r="I2627" s="5"/>
      <c r="J2627" s="5"/>
      <c r="K2627" s="5"/>
      <c r="L2627" s="5"/>
      <c r="M2627" s="5"/>
      <c r="N2627" s="5"/>
      <c r="O2627" s="5"/>
      <c r="Q2627" s="5"/>
    </row>
    <row r="2628" spans="1:17">
      <c r="A2628" s="5"/>
      <c r="B2628" s="5"/>
      <c r="C2628" s="5"/>
      <c r="D2628" s="5"/>
      <c r="E2628" s="5"/>
      <c r="F2628" s="5"/>
      <c r="G2628" s="55"/>
      <c r="H2628" s="55"/>
      <c r="I2628" s="5"/>
      <c r="J2628" s="5"/>
      <c r="K2628" s="5"/>
      <c r="L2628" s="5"/>
      <c r="M2628" s="5"/>
      <c r="N2628" s="5"/>
      <c r="O2628" s="5"/>
      <c r="Q2628" s="5"/>
    </row>
    <row r="2629" spans="1:17">
      <c r="A2629" s="5"/>
      <c r="B2629" s="5"/>
      <c r="C2629" s="5"/>
      <c r="D2629" s="5"/>
      <c r="E2629" s="5"/>
      <c r="F2629" s="5"/>
      <c r="G2629" s="55"/>
      <c r="H2629" s="55"/>
      <c r="I2629" s="5"/>
      <c r="J2629" s="5"/>
      <c r="K2629" s="5"/>
      <c r="L2629" s="5"/>
      <c r="M2629" s="5"/>
      <c r="N2629" s="5"/>
      <c r="O2629" s="5"/>
      <c r="Q2629" s="5"/>
    </row>
    <row r="2630" spans="1:17">
      <c r="A2630" s="5"/>
      <c r="B2630" s="5"/>
      <c r="C2630" s="5"/>
      <c r="D2630" s="5"/>
      <c r="E2630" s="5"/>
      <c r="F2630" s="5"/>
      <c r="G2630" s="55"/>
      <c r="H2630" s="55"/>
      <c r="I2630" s="5"/>
      <c r="J2630" s="5"/>
      <c r="K2630" s="5"/>
      <c r="L2630" s="5"/>
      <c r="M2630" s="5"/>
      <c r="N2630" s="5"/>
      <c r="O2630" s="5"/>
      <c r="Q2630" s="5"/>
    </row>
    <row r="2631" spans="1:17">
      <c r="A2631" s="5"/>
      <c r="B2631" s="5"/>
      <c r="C2631" s="5"/>
      <c r="D2631" s="5"/>
      <c r="E2631" s="5"/>
      <c r="F2631" s="5"/>
      <c r="G2631" s="55"/>
      <c r="H2631" s="55"/>
      <c r="I2631" s="5"/>
      <c r="J2631" s="5"/>
      <c r="K2631" s="5"/>
      <c r="L2631" s="5"/>
      <c r="M2631" s="5"/>
      <c r="N2631" s="5"/>
      <c r="O2631" s="5"/>
      <c r="Q2631" s="5"/>
    </row>
    <row r="2632" spans="1:17">
      <c r="A2632" s="5"/>
      <c r="B2632" s="5"/>
      <c r="C2632" s="5"/>
      <c r="D2632" s="5"/>
      <c r="E2632" s="5"/>
      <c r="F2632" s="5"/>
      <c r="G2632" s="55"/>
      <c r="H2632" s="55"/>
      <c r="I2632" s="5"/>
      <c r="J2632" s="5"/>
      <c r="K2632" s="5"/>
      <c r="L2632" s="5"/>
      <c r="M2632" s="5"/>
      <c r="N2632" s="5"/>
      <c r="O2632" s="5"/>
      <c r="Q2632" s="5"/>
    </row>
    <row r="2633" spans="1:17">
      <c r="A2633" s="5"/>
      <c r="B2633" s="5"/>
      <c r="C2633" s="5"/>
      <c r="D2633" s="5"/>
      <c r="E2633" s="5"/>
      <c r="F2633" s="5"/>
      <c r="G2633" s="55"/>
      <c r="H2633" s="55"/>
      <c r="I2633" s="5"/>
      <c r="J2633" s="5"/>
      <c r="K2633" s="5"/>
      <c r="L2633" s="5"/>
      <c r="M2633" s="5"/>
      <c r="N2633" s="5"/>
      <c r="O2633" s="5"/>
      <c r="Q2633" s="5"/>
    </row>
    <row r="2634" spans="1:17">
      <c r="A2634" s="5"/>
      <c r="B2634" s="5"/>
      <c r="C2634" s="5"/>
      <c r="D2634" s="5"/>
      <c r="E2634" s="5"/>
      <c r="F2634" s="5"/>
      <c r="G2634" s="55"/>
      <c r="H2634" s="55"/>
      <c r="I2634" s="5"/>
      <c r="J2634" s="5"/>
      <c r="K2634" s="5"/>
      <c r="L2634" s="5"/>
      <c r="M2634" s="5"/>
      <c r="N2634" s="5"/>
      <c r="O2634" s="5"/>
      <c r="Q2634" s="5"/>
    </row>
    <row r="2635" spans="1:17">
      <c r="A2635" s="5"/>
      <c r="B2635" s="5"/>
      <c r="C2635" s="5"/>
      <c r="D2635" s="5"/>
      <c r="E2635" s="5"/>
      <c r="F2635" s="5"/>
      <c r="G2635" s="55"/>
      <c r="H2635" s="55"/>
      <c r="I2635" s="5"/>
      <c r="J2635" s="5"/>
      <c r="K2635" s="5"/>
      <c r="L2635" s="5"/>
      <c r="M2635" s="5"/>
      <c r="N2635" s="5"/>
      <c r="O2635" s="5"/>
      <c r="Q2635" s="5"/>
    </row>
    <row r="2636" spans="1:17">
      <c r="A2636" s="5"/>
      <c r="B2636" s="5"/>
      <c r="C2636" s="5"/>
      <c r="D2636" s="5"/>
      <c r="E2636" s="5"/>
      <c r="F2636" s="5"/>
      <c r="G2636" s="55"/>
      <c r="H2636" s="55"/>
      <c r="I2636" s="5"/>
      <c r="J2636" s="5"/>
      <c r="K2636" s="5"/>
      <c r="L2636" s="5"/>
      <c r="M2636" s="5"/>
      <c r="N2636" s="5"/>
      <c r="O2636" s="5"/>
      <c r="Q2636" s="5"/>
    </row>
    <row r="2637" spans="1:17">
      <c r="A2637" s="5"/>
      <c r="B2637" s="5"/>
      <c r="C2637" s="5"/>
      <c r="D2637" s="5"/>
      <c r="E2637" s="5"/>
      <c r="F2637" s="5"/>
      <c r="G2637" s="55"/>
      <c r="H2637" s="55"/>
      <c r="I2637" s="5"/>
      <c r="J2637" s="5"/>
      <c r="K2637" s="5"/>
      <c r="L2637" s="5"/>
      <c r="M2637" s="5"/>
      <c r="N2637" s="5"/>
      <c r="O2637" s="5"/>
      <c r="Q2637" s="5"/>
    </row>
    <row r="2638" spans="1:17">
      <c r="A2638" s="5"/>
      <c r="B2638" s="5"/>
      <c r="C2638" s="5"/>
      <c r="D2638" s="5"/>
      <c r="E2638" s="5"/>
      <c r="F2638" s="5"/>
      <c r="G2638" s="55"/>
      <c r="H2638" s="55"/>
      <c r="I2638" s="5"/>
      <c r="J2638" s="5"/>
      <c r="K2638" s="5"/>
      <c r="L2638" s="5"/>
      <c r="M2638" s="5"/>
      <c r="N2638" s="5"/>
      <c r="O2638" s="5"/>
      <c r="Q2638" s="5"/>
    </row>
    <row r="2639" spans="1:17">
      <c r="A2639" s="5"/>
      <c r="B2639" s="5"/>
      <c r="C2639" s="5"/>
      <c r="D2639" s="5"/>
      <c r="E2639" s="5"/>
      <c r="F2639" s="5"/>
      <c r="G2639" s="55"/>
      <c r="H2639" s="55"/>
      <c r="I2639" s="5"/>
      <c r="J2639" s="5"/>
      <c r="K2639" s="5"/>
      <c r="L2639" s="5"/>
      <c r="M2639" s="5"/>
      <c r="N2639" s="5"/>
      <c r="O2639" s="5"/>
      <c r="Q2639" s="5"/>
    </row>
    <row r="2640" spans="1:17">
      <c r="A2640" s="5"/>
      <c r="B2640" s="5"/>
      <c r="C2640" s="5"/>
      <c r="D2640" s="5"/>
      <c r="E2640" s="5"/>
      <c r="F2640" s="5"/>
      <c r="G2640" s="55"/>
      <c r="H2640" s="55"/>
      <c r="I2640" s="5"/>
      <c r="J2640" s="5"/>
      <c r="K2640" s="5"/>
      <c r="L2640" s="5"/>
      <c r="M2640" s="5"/>
      <c r="N2640" s="5"/>
      <c r="O2640" s="5"/>
      <c r="Q2640" s="5"/>
    </row>
    <row r="2641" spans="1:17">
      <c r="A2641" s="5"/>
      <c r="B2641" s="5"/>
      <c r="C2641" s="5"/>
      <c r="D2641" s="5"/>
      <c r="E2641" s="5"/>
      <c r="F2641" s="5"/>
      <c r="G2641" s="55"/>
      <c r="H2641" s="55"/>
      <c r="I2641" s="5"/>
      <c r="J2641" s="5"/>
      <c r="K2641" s="5"/>
      <c r="L2641" s="5"/>
      <c r="M2641" s="5"/>
      <c r="N2641" s="5"/>
      <c r="O2641" s="5"/>
      <c r="Q2641" s="5"/>
    </row>
    <row r="2642" spans="1:17">
      <c r="A2642" s="5"/>
      <c r="B2642" s="5"/>
      <c r="C2642" s="5"/>
      <c r="D2642" s="5"/>
      <c r="E2642" s="5"/>
      <c r="F2642" s="5"/>
      <c r="G2642" s="55"/>
      <c r="H2642" s="55"/>
      <c r="I2642" s="5"/>
      <c r="J2642" s="5"/>
      <c r="K2642" s="5"/>
      <c r="L2642" s="5"/>
      <c r="M2642" s="5"/>
      <c r="N2642" s="5"/>
      <c r="O2642" s="5"/>
      <c r="Q2642" s="5"/>
    </row>
    <row r="2643" spans="1:17">
      <c r="A2643" s="5"/>
      <c r="B2643" s="5"/>
      <c r="C2643" s="5"/>
      <c r="D2643" s="5"/>
      <c r="E2643" s="5"/>
      <c r="F2643" s="5"/>
      <c r="G2643" s="55"/>
      <c r="H2643" s="55"/>
      <c r="I2643" s="5"/>
      <c r="J2643" s="5"/>
      <c r="K2643" s="5"/>
      <c r="L2643" s="5"/>
      <c r="M2643" s="5"/>
      <c r="N2643" s="5"/>
      <c r="O2643" s="5"/>
      <c r="Q2643" s="5"/>
    </row>
    <row r="2644" spans="1:17">
      <c r="A2644" s="5"/>
      <c r="B2644" s="5"/>
      <c r="C2644" s="5"/>
      <c r="D2644" s="5"/>
      <c r="E2644" s="5"/>
      <c r="F2644" s="5"/>
      <c r="G2644" s="55"/>
      <c r="H2644" s="55"/>
      <c r="I2644" s="5"/>
      <c r="J2644" s="5"/>
      <c r="K2644" s="5"/>
      <c r="L2644" s="5"/>
      <c r="M2644" s="5"/>
      <c r="N2644" s="5"/>
      <c r="O2644" s="5"/>
      <c r="Q2644" s="5"/>
    </row>
    <row r="2645" spans="1:17">
      <c r="A2645" s="5"/>
      <c r="B2645" s="5"/>
      <c r="C2645" s="5"/>
      <c r="D2645" s="5"/>
      <c r="E2645" s="5"/>
      <c r="F2645" s="5"/>
      <c r="G2645" s="55"/>
      <c r="H2645" s="55"/>
      <c r="I2645" s="5"/>
      <c r="J2645" s="5"/>
      <c r="K2645" s="5"/>
      <c r="L2645" s="5"/>
      <c r="M2645" s="5"/>
      <c r="N2645" s="5"/>
      <c r="O2645" s="5"/>
      <c r="Q2645" s="5"/>
    </row>
    <row r="2646" spans="1:17">
      <c r="A2646" s="5"/>
      <c r="B2646" s="5"/>
      <c r="C2646" s="5"/>
      <c r="D2646" s="5"/>
      <c r="E2646" s="5"/>
      <c r="F2646" s="5"/>
      <c r="G2646" s="55"/>
      <c r="H2646" s="55"/>
      <c r="I2646" s="5"/>
      <c r="J2646" s="5"/>
      <c r="K2646" s="5"/>
      <c r="L2646" s="5"/>
      <c r="M2646" s="5"/>
      <c r="N2646" s="5"/>
      <c r="O2646" s="5"/>
      <c r="Q2646" s="5"/>
    </row>
    <row r="2647" spans="1:17">
      <c r="A2647" s="5"/>
      <c r="B2647" s="5"/>
      <c r="C2647" s="5"/>
      <c r="D2647" s="5"/>
      <c r="E2647" s="5"/>
      <c r="F2647" s="5"/>
      <c r="G2647" s="55"/>
      <c r="H2647" s="55"/>
      <c r="I2647" s="5"/>
      <c r="J2647" s="5"/>
      <c r="K2647" s="5"/>
      <c r="L2647" s="5"/>
      <c r="M2647" s="5"/>
      <c r="N2647" s="5"/>
      <c r="O2647" s="5"/>
      <c r="Q2647" s="5"/>
    </row>
    <row r="2648" spans="1:17">
      <c r="A2648" s="5"/>
      <c r="B2648" s="5"/>
      <c r="C2648" s="5"/>
      <c r="D2648" s="5"/>
      <c r="E2648" s="5"/>
      <c r="F2648" s="5"/>
      <c r="G2648" s="55"/>
      <c r="H2648" s="55"/>
      <c r="I2648" s="5"/>
      <c r="J2648" s="5"/>
      <c r="K2648" s="5"/>
      <c r="L2648" s="5"/>
      <c r="M2648" s="5"/>
      <c r="N2648" s="5"/>
      <c r="O2648" s="5"/>
      <c r="Q2648" s="5"/>
    </row>
    <row r="2649" spans="1:17">
      <c r="A2649" s="5"/>
      <c r="B2649" s="5"/>
      <c r="C2649" s="5"/>
      <c r="D2649" s="5"/>
      <c r="E2649" s="5"/>
      <c r="F2649" s="5"/>
      <c r="G2649" s="55"/>
      <c r="H2649" s="55"/>
      <c r="I2649" s="5"/>
      <c r="J2649" s="5"/>
      <c r="K2649" s="5"/>
      <c r="L2649" s="5"/>
      <c r="M2649" s="5"/>
      <c r="N2649" s="5"/>
      <c r="O2649" s="5"/>
      <c r="Q2649" s="5"/>
    </row>
    <row r="2650" spans="1:17">
      <c r="A2650" s="5"/>
      <c r="B2650" s="5"/>
      <c r="C2650" s="5"/>
      <c r="D2650" s="5"/>
      <c r="E2650" s="5"/>
      <c r="F2650" s="5"/>
      <c r="G2650" s="55"/>
      <c r="H2650" s="55"/>
      <c r="I2650" s="5"/>
      <c r="J2650" s="5"/>
      <c r="K2650" s="5"/>
      <c r="L2650" s="5"/>
      <c r="M2650" s="5"/>
      <c r="N2650" s="5"/>
      <c r="O2650" s="5"/>
      <c r="Q2650" s="5"/>
    </row>
    <row r="2651" spans="1:17">
      <c r="A2651" s="5"/>
      <c r="B2651" s="5"/>
      <c r="C2651" s="5"/>
      <c r="D2651" s="5"/>
      <c r="E2651" s="5"/>
      <c r="F2651" s="5"/>
      <c r="G2651" s="55"/>
      <c r="H2651" s="55"/>
      <c r="I2651" s="5"/>
      <c r="J2651" s="5"/>
      <c r="K2651" s="5"/>
      <c r="L2651" s="5"/>
      <c r="M2651" s="5"/>
      <c r="N2651" s="5"/>
      <c r="O2651" s="5"/>
      <c r="Q2651" s="5"/>
    </row>
    <row r="2652" spans="1:17">
      <c r="A2652" s="5"/>
      <c r="B2652" s="5"/>
      <c r="C2652" s="5"/>
      <c r="D2652" s="5"/>
      <c r="E2652" s="5"/>
      <c r="F2652" s="5"/>
      <c r="G2652" s="55"/>
      <c r="H2652" s="55"/>
      <c r="I2652" s="5"/>
      <c r="J2652" s="5"/>
      <c r="K2652" s="5"/>
      <c r="L2652" s="5"/>
      <c r="M2652" s="5"/>
      <c r="N2652" s="5"/>
      <c r="O2652" s="5"/>
      <c r="Q2652" s="5"/>
    </row>
    <row r="2653" spans="1:17">
      <c r="A2653" s="5"/>
      <c r="B2653" s="5"/>
      <c r="C2653" s="5"/>
      <c r="D2653" s="5"/>
      <c r="E2653" s="5"/>
      <c r="F2653" s="5"/>
      <c r="G2653" s="55"/>
      <c r="H2653" s="55"/>
      <c r="I2653" s="5"/>
      <c r="J2653" s="5"/>
      <c r="K2653" s="5"/>
      <c r="L2653" s="5"/>
      <c r="M2653" s="5"/>
      <c r="N2653" s="5"/>
      <c r="O2653" s="5"/>
      <c r="Q2653" s="5"/>
    </row>
    <row r="2654" spans="1:17">
      <c r="A2654" s="5"/>
      <c r="B2654" s="5"/>
      <c r="C2654" s="5"/>
      <c r="D2654" s="5"/>
      <c r="E2654" s="5"/>
      <c r="F2654" s="5"/>
      <c r="G2654" s="55"/>
      <c r="H2654" s="55"/>
      <c r="I2654" s="5"/>
      <c r="J2654" s="5"/>
      <c r="K2654" s="5"/>
      <c r="L2654" s="5"/>
      <c r="M2654" s="5"/>
      <c r="N2654" s="5"/>
      <c r="O2654" s="5"/>
      <c r="Q2654" s="5"/>
    </row>
    <row r="2655" spans="1:17">
      <c r="A2655" s="5"/>
      <c r="B2655" s="5"/>
      <c r="C2655" s="5"/>
      <c r="D2655" s="5"/>
      <c r="E2655" s="5"/>
      <c r="F2655" s="5"/>
      <c r="G2655" s="55"/>
      <c r="H2655" s="55"/>
      <c r="I2655" s="5"/>
      <c r="J2655" s="5"/>
      <c r="K2655" s="5"/>
      <c r="L2655" s="5"/>
      <c r="M2655" s="5"/>
      <c r="N2655" s="5"/>
      <c r="O2655" s="5"/>
      <c r="Q2655" s="5"/>
    </row>
    <row r="2656" spans="1:17">
      <c r="A2656" s="5"/>
      <c r="B2656" s="5"/>
      <c r="C2656" s="5"/>
      <c r="D2656" s="5"/>
      <c r="E2656" s="5"/>
      <c r="F2656" s="5"/>
      <c r="G2656" s="55"/>
      <c r="H2656" s="55"/>
      <c r="I2656" s="5"/>
      <c r="J2656" s="5"/>
      <c r="K2656" s="5"/>
      <c r="L2656" s="5"/>
      <c r="M2656" s="5"/>
      <c r="N2656" s="5"/>
      <c r="O2656" s="5"/>
      <c r="Q2656" s="5"/>
    </row>
    <row r="2657" spans="1:17">
      <c r="A2657" s="5"/>
      <c r="B2657" s="5"/>
      <c r="C2657" s="5"/>
      <c r="D2657" s="5"/>
      <c r="E2657" s="5"/>
      <c r="F2657" s="5"/>
      <c r="G2657" s="55"/>
      <c r="H2657" s="55"/>
      <c r="I2657" s="5"/>
      <c r="J2657" s="5"/>
      <c r="K2657" s="5"/>
      <c r="L2657" s="5"/>
      <c r="M2657" s="5"/>
      <c r="N2657" s="5"/>
      <c r="O2657" s="5"/>
      <c r="Q2657" s="5"/>
    </row>
    <row r="2658" spans="1:17">
      <c r="A2658" s="5"/>
      <c r="B2658" s="5"/>
      <c r="C2658" s="5"/>
      <c r="D2658" s="5"/>
      <c r="E2658" s="5"/>
      <c r="F2658" s="5"/>
      <c r="G2658" s="55"/>
      <c r="H2658" s="55"/>
      <c r="I2658" s="5"/>
      <c r="J2658" s="5"/>
      <c r="K2658" s="5"/>
      <c r="L2658" s="5"/>
      <c r="M2658" s="5"/>
      <c r="N2658" s="5"/>
      <c r="O2658" s="5"/>
      <c r="Q2658" s="5"/>
    </row>
    <row r="2659" spans="1:17">
      <c r="A2659" s="5"/>
      <c r="B2659" s="5"/>
      <c r="C2659" s="5"/>
      <c r="D2659" s="5"/>
      <c r="E2659" s="5"/>
      <c r="F2659" s="5"/>
      <c r="G2659" s="55"/>
      <c r="H2659" s="55"/>
      <c r="I2659" s="5"/>
      <c r="J2659" s="5"/>
      <c r="K2659" s="5"/>
      <c r="L2659" s="5"/>
      <c r="M2659" s="5"/>
      <c r="N2659" s="5"/>
      <c r="O2659" s="5"/>
      <c r="Q2659" s="5"/>
    </row>
    <row r="2660" spans="1:17">
      <c r="A2660" s="5"/>
      <c r="B2660" s="5"/>
      <c r="C2660" s="5"/>
      <c r="D2660" s="5"/>
      <c r="E2660" s="5"/>
      <c r="F2660" s="5"/>
      <c r="G2660" s="55"/>
      <c r="H2660" s="55"/>
      <c r="I2660" s="5"/>
      <c r="J2660" s="5"/>
      <c r="K2660" s="5"/>
      <c r="L2660" s="5"/>
      <c r="M2660" s="5"/>
      <c r="N2660" s="5"/>
      <c r="O2660" s="5"/>
      <c r="Q2660" s="5"/>
    </row>
    <row r="2661" spans="1:17">
      <c r="A2661" s="5"/>
      <c r="B2661" s="5"/>
      <c r="C2661" s="5"/>
      <c r="D2661" s="5"/>
      <c r="E2661" s="5"/>
      <c r="F2661" s="5"/>
      <c r="G2661" s="55"/>
      <c r="H2661" s="55"/>
      <c r="I2661" s="5"/>
      <c r="J2661" s="5"/>
      <c r="K2661" s="5"/>
      <c r="L2661" s="5"/>
      <c r="M2661" s="5"/>
      <c r="N2661" s="5"/>
      <c r="O2661" s="5"/>
      <c r="Q2661" s="5"/>
    </row>
    <row r="2662" spans="1:17">
      <c r="A2662" s="5"/>
      <c r="B2662" s="5"/>
      <c r="C2662" s="5"/>
      <c r="D2662" s="5"/>
      <c r="E2662" s="5"/>
      <c r="F2662" s="5"/>
      <c r="G2662" s="55"/>
      <c r="H2662" s="55"/>
      <c r="I2662" s="5"/>
      <c r="J2662" s="5"/>
      <c r="K2662" s="5"/>
      <c r="L2662" s="5"/>
      <c r="M2662" s="5"/>
      <c r="N2662" s="5"/>
      <c r="O2662" s="5"/>
      <c r="Q2662" s="5"/>
    </row>
    <row r="2663" spans="1:17">
      <c r="A2663" s="5"/>
      <c r="B2663" s="5"/>
      <c r="C2663" s="5"/>
      <c r="D2663" s="5"/>
      <c r="E2663" s="5"/>
      <c r="F2663" s="5"/>
      <c r="G2663" s="55"/>
      <c r="H2663" s="55"/>
      <c r="I2663" s="5"/>
      <c r="J2663" s="5"/>
      <c r="K2663" s="5"/>
      <c r="L2663" s="5"/>
      <c r="M2663" s="5"/>
      <c r="N2663" s="5"/>
      <c r="O2663" s="5"/>
      <c r="Q2663" s="5"/>
    </row>
    <row r="2664" spans="1:17">
      <c r="A2664" s="5"/>
      <c r="B2664" s="5"/>
      <c r="C2664" s="5"/>
      <c r="D2664" s="5"/>
      <c r="E2664" s="5"/>
      <c r="F2664" s="5"/>
      <c r="G2664" s="55"/>
      <c r="H2664" s="55"/>
      <c r="I2664" s="5"/>
      <c r="J2664" s="5"/>
      <c r="K2664" s="5"/>
      <c r="L2664" s="5"/>
      <c r="M2664" s="5"/>
      <c r="N2664" s="5"/>
      <c r="O2664" s="5"/>
      <c r="Q2664" s="5"/>
    </row>
    <row r="2665" spans="1:17">
      <c r="A2665" s="5"/>
      <c r="B2665" s="5"/>
      <c r="C2665" s="5"/>
      <c r="D2665" s="5"/>
      <c r="E2665" s="5"/>
      <c r="F2665" s="5"/>
      <c r="G2665" s="55"/>
      <c r="H2665" s="55"/>
      <c r="I2665" s="5"/>
      <c r="J2665" s="5"/>
      <c r="K2665" s="5"/>
      <c r="L2665" s="5"/>
      <c r="M2665" s="5"/>
      <c r="N2665" s="5"/>
      <c r="O2665" s="5"/>
      <c r="Q2665" s="5"/>
    </row>
    <row r="2666" spans="1:17">
      <c r="A2666" s="5"/>
      <c r="B2666" s="5"/>
      <c r="C2666" s="5"/>
      <c r="D2666" s="5"/>
      <c r="E2666" s="5"/>
      <c r="F2666" s="5"/>
      <c r="G2666" s="55"/>
      <c r="H2666" s="55"/>
      <c r="I2666" s="5"/>
      <c r="J2666" s="5"/>
      <c r="K2666" s="5"/>
      <c r="L2666" s="5"/>
      <c r="M2666" s="5"/>
      <c r="N2666" s="5"/>
      <c r="O2666" s="5"/>
      <c r="Q2666" s="5"/>
    </row>
    <row r="2667" spans="1:17">
      <c r="A2667" s="5"/>
      <c r="B2667" s="5"/>
      <c r="C2667" s="5"/>
      <c r="D2667" s="5"/>
      <c r="E2667" s="5"/>
      <c r="F2667" s="5"/>
      <c r="G2667" s="55"/>
      <c r="H2667" s="55"/>
      <c r="I2667" s="5"/>
      <c r="J2667" s="5"/>
      <c r="K2667" s="5"/>
      <c r="L2667" s="5"/>
      <c r="M2667" s="5"/>
      <c r="N2667" s="5"/>
      <c r="O2667" s="5"/>
      <c r="Q2667" s="5"/>
    </row>
    <row r="2668" spans="1:17">
      <c r="A2668" s="5"/>
      <c r="B2668" s="5"/>
      <c r="C2668" s="5"/>
      <c r="D2668" s="5"/>
      <c r="E2668" s="5"/>
      <c r="F2668" s="5"/>
      <c r="G2668" s="55"/>
      <c r="H2668" s="55"/>
      <c r="I2668" s="5"/>
      <c r="J2668" s="5"/>
      <c r="K2668" s="5"/>
      <c r="L2668" s="5"/>
      <c r="M2668" s="5"/>
      <c r="N2668" s="5"/>
      <c r="O2668" s="5"/>
      <c r="Q2668" s="5"/>
    </row>
    <row r="2669" spans="1:17">
      <c r="A2669" s="5"/>
      <c r="B2669" s="5"/>
      <c r="C2669" s="5"/>
      <c r="D2669" s="5"/>
      <c r="E2669" s="5"/>
      <c r="F2669" s="5"/>
      <c r="G2669" s="55"/>
      <c r="H2669" s="55"/>
      <c r="I2669" s="5"/>
      <c r="J2669" s="5"/>
      <c r="K2669" s="5"/>
      <c r="L2669" s="5"/>
      <c r="M2669" s="5"/>
      <c r="N2669" s="5"/>
      <c r="O2669" s="5"/>
      <c r="Q2669" s="5"/>
    </row>
    <row r="2670" spans="1:17">
      <c r="A2670" s="5"/>
      <c r="B2670" s="5"/>
      <c r="C2670" s="5"/>
      <c r="D2670" s="5"/>
      <c r="E2670" s="5"/>
      <c r="F2670" s="5"/>
      <c r="G2670" s="55"/>
      <c r="H2670" s="55"/>
      <c r="I2670" s="5"/>
      <c r="J2670" s="5"/>
      <c r="K2670" s="5"/>
      <c r="L2670" s="5"/>
      <c r="M2670" s="5"/>
      <c r="N2670" s="5"/>
      <c r="O2670" s="5"/>
      <c r="Q2670" s="5"/>
    </row>
    <row r="2671" spans="1:17">
      <c r="A2671" s="5"/>
      <c r="B2671" s="5"/>
      <c r="C2671" s="5"/>
      <c r="D2671" s="5"/>
      <c r="E2671" s="5"/>
      <c r="F2671" s="5"/>
      <c r="G2671" s="55"/>
      <c r="H2671" s="55"/>
      <c r="I2671" s="5"/>
      <c r="J2671" s="5"/>
      <c r="K2671" s="5"/>
      <c r="L2671" s="5"/>
      <c r="M2671" s="5"/>
      <c r="N2671" s="5"/>
      <c r="O2671" s="5"/>
      <c r="Q2671" s="5"/>
    </row>
    <row r="2672" spans="1:17">
      <c r="A2672" s="5"/>
      <c r="B2672" s="5"/>
      <c r="C2672" s="5"/>
      <c r="D2672" s="5"/>
      <c r="E2672" s="5"/>
      <c r="F2672" s="5"/>
      <c r="G2672" s="55"/>
      <c r="H2672" s="55"/>
      <c r="I2672" s="5"/>
      <c r="J2672" s="5"/>
      <c r="K2672" s="5"/>
      <c r="L2672" s="5"/>
      <c r="M2672" s="5"/>
      <c r="N2672" s="5"/>
      <c r="O2672" s="5"/>
      <c r="Q2672" s="5"/>
    </row>
    <row r="2673" spans="1:17">
      <c r="A2673" s="5"/>
      <c r="B2673" s="5"/>
      <c r="C2673" s="5"/>
      <c r="D2673" s="5"/>
      <c r="E2673" s="5"/>
      <c r="F2673" s="5"/>
      <c r="G2673" s="55"/>
      <c r="H2673" s="55"/>
      <c r="I2673" s="5"/>
      <c r="J2673" s="5"/>
      <c r="K2673" s="5"/>
      <c r="L2673" s="5"/>
      <c r="M2673" s="5"/>
      <c r="N2673" s="5"/>
      <c r="O2673" s="5"/>
      <c r="Q2673" s="5"/>
    </row>
    <row r="2674" spans="1:17">
      <c r="A2674" s="5"/>
      <c r="B2674" s="5"/>
      <c r="C2674" s="5"/>
      <c r="D2674" s="5"/>
      <c r="E2674" s="5"/>
      <c r="F2674" s="5"/>
      <c r="G2674" s="55"/>
      <c r="H2674" s="55"/>
      <c r="I2674" s="5"/>
      <c r="J2674" s="5"/>
      <c r="K2674" s="5"/>
      <c r="L2674" s="5"/>
      <c r="M2674" s="5"/>
      <c r="N2674" s="5"/>
      <c r="O2674" s="5"/>
      <c r="Q2674" s="5"/>
    </row>
    <row r="2675" spans="1:17">
      <c r="A2675" s="5"/>
      <c r="B2675" s="5"/>
      <c r="C2675" s="5"/>
      <c r="D2675" s="5"/>
      <c r="E2675" s="5"/>
      <c r="F2675" s="5"/>
      <c r="G2675" s="55"/>
      <c r="H2675" s="55"/>
      <c r="I2675" s="5"/>
      <c r="J2675" s="5"/>
      <c r="K2675" s="5"/>
      <c r="L2675" s="5"/>
      <c r="M2675" s="5"/>
      <c r="N2675" s="5"/>
      <c r="O2675" s="5"/>
      <c r="Q2675" s="5"/>
    </row>
    <row r="2676" spans="1:17">
      <c r="A2676" s="5"/>
      <c r="B2676" s="5"/>
      <c r="C2676" s="5"/>
      <c r="D2676" s="5"/>
      <c r="E2676" s="5"/>
      <c r="F2676" s="5"/>
      <c r="G2676" s="55"/>
      <c r="H2676" s="55"/>
      <c r="I2676" s="5"/>
      <c r="J2676" s="5"/>
      <c r="K2676" s="5"/>
      <c r="L2676" s="5"/>
      <c r="M2676" s="5"/>
      <c r="N2676" s="5"/>
      <c r="O2676" s="5"/>
      <c r="Q2676" s="5"/>
    </row>
    <row r="2677" spans="1:17">
      <c r="A2677" s="5"/>
      <c r="B2677" s="5"/>
      <c r="C2677" s="5"/>
      <c r="D2677" s="5"/>
      <c r="E2677" s="5"/>
      <c r="F2677" s="5"/>
      <c r="G2677" s="55"/>
      <c r="H2677" s="55"/>
      <c r="I2677" s="5"/>
      <c r="J2677" s="5"/>
      <c r="K2677" s="5"/>
      <c r="L2677" s="5"/>
      <c r="M2677" s="5"/>
      <c r="N2677" s="5"/>
      <c r="O2677" s="5"/>
      <c r="Q2677" s="5"/>
    </row>
    <row r="2678" spans="1:17">
      <c r="A2678" s="5"/>
      <c r="B2678" s="5"/>
      <c r="C2678" s="5"/>
      <c r="D2678" s="5"/>
      <c r="E2678" s="5"/>
      <c r="F2678" s="5"/>
      <c r="G2678" s="55"/>
      <c r="H2678" s="55"/>
      <c r="I2678" s="5"/>
      <c r="J2678" s="5"/>
      <c r="K2678" s="5"/>
      <c r="L2678" s="5"/>
      <c r="M2678" s="5"/>
      <c r="N2678" s="5"/>
      <c r="O2678" s="5"/>
      <c r="Q2678" s="5"/>
    </row>
    <row r="2679" spans="1:17">
      <c r="A2679" s="5"/>
      <c r="B2679" s="5"/>
      <c r="C2679" s="5"/>
      <c r="D2679" s="5"/>
      <c r="E2679" s="5"/>
      <c r="F2679" s="5"/>
      <c r="G2679" s="55"/>
      <c r="H2679" s="55"/>
      <c r="I2679" s="5"/>
      <c r="J2679" s="5"/>
      <c r="K2679" s="5"/>
      <c r="L2679" s="5"/>
      <c r="M2679" s="5"/>
      <c r="N2679" s="5"/>
      <c r="O2679" s="5"/>
      <c r="Q2679" s="5"/>
    </row>
    <row r="2680" spans="1:17">
      <c r="A2680" s="5"/>
      <c r="B2680" s="5"/>
      <c r="C2680" s="5"/>
      <c r="D2680" s="5"/>
      <c r="E2680" s="5"/>
      <c r="F2680" s="5"/>
      <c r="G2680" s="55"/>
      <c r="H2680" s="55"/>
      <c r="I2680" s="5"/>
      <c r="J2680" s="5"/>
      <c r="K2680" s="5"/>
      <c r="L2680" s="5"/>
      <c r="M2680" s="5"/>
      <c r="N2680" s="5"/>
      <c r="O2680" s="5"/>
      <c r="Q2680" s="5"/>
    </row>
    <row r="2681" spans="1:17">
      <c r="A2681" s="5"/>
      <c r="B2681" s="5"/>
      <c r="C2681" s="5"/>
      <c r="D2681" s="5"/>
      <c r="E2681" s="5"/>
      <c r="F2681" s="5"/>
      <c r="G2681" s="55"/>
      <c r="H2681" s="55"/>
      <c r="I2681" s="5"/>
      <c r="J2681" s="5"/>
      <c r="K2681" s="5"/>
      <c r="L2681" s="5"/>
      <c r="M2681" s="5"/>
      <c r="N2681" s="5"/>
      <c r="O2681" s="5"/>
      <c r="Q2681" s="5"/>
    </row>
    <row r="2682" spans="1:17">
      <c r="A2682" s="5"/>
      <c r="B2682" s="5"/>
      <c r="C2682" s="5"/>
      <c r="D2682" s="5"/>
      <c r="E2682" s="5"/>
      <c r="F2682" s="5"/>
      <c r="G2682" s="55"/>
      <c r="H2682" s="55"/>
      <c r="I2682" s="5"/>
      <c r="J2682" s="5"/>
      <c r="K2682" s="5"/>
      <c r="L2682" s="5"/>
      <c r="M2682" s="5"/>
      <c r="N2682" s="5"/>
      <c r="O2682" s="5"/>
      <c r="Q2682" s="5"/>
    </row>
    <row r="2683" spans="1:17">
      <c r="A2683" s="5"/>
      <c r="B2683" s="5"/>
      <c r="C2683" s="5"/>
      <c r="D2683" s="5"/>
      <c r="E2683" s="5"/>
      <c r="F2683" s="5"/>
      <c r="G2683" s="55"/>
      <c r="H2683" s="55"/>
      <c r="I2683" s="5"/>
      <c r="J2683" s="5"/>
      <c r="K2683" s="5"/>
      <c r="L2683" s="5"/>
      <c r="M2683" s="5"/>
      <c r="N2683" s="5"/>
      <c r="O2683" s="5"/>
      <c r="Q2683" s="5"/>
    </row>
    <row r="2684" spans="1:17">
      <c r="A2684" s="5"/>
      <c r="B2684" s="5"/>
      <c r="C2684" s="5"/>
      <c r="D2684" s="5"/>
      <c r="E2684" s="5"/>
      <c r="F2684" s="5"/>
      <c r="G2684" s="55"/>
      <c r="H2684" s="55"/>
      <c r="I2684" s="5"/>
      <c r="J2684" s="5"/>
      <c r="K2684" s="5"/>
      <c r="L2684" s="5"/>
      <c r="M2684" s="5"/>
      <c r="N2684" s="5"/>
      <c r="O2684" s="5"/>
      <c r="Q2684" s="5"/>
    </row>
    <row r="2685" spans="1:17">
      <c r="A2685" s="5"/>
      <c r="B2685" s="5"/>
      <c r="C2685" s="5"/>
      <c r="D2685" s="5"/>
      <c r="E2685" s="5"/>
      <c r="F2685" s="5"/>
      <c r="G2685" s="55"/>
      <c r="H2685" s="55"/>
      <c r="I2685" s="5"/>
      <c r="J2685" s="5"/>
      <c r="K2685" s="5"/>
      <c r="L2685" s="5"/>
      <c r="M2685" s="5"/>
      <c r="N2685" s="5"/>
      <c r="O2685" s="5"/>
      <c r="Q2685" s="5"/>
    </row>
    <row r="2686" spans="1:17">
      <c r="A2686" s="5"/>
      <c r="B2686" s="5"/>
      <c r="C2686" s="5"/>
      <c r="D2686" s="5"/>
      <c r="E2686" s="5"/>
      <c r="F2686" s="5"/>
      <c r="G2686" s="55"/>
      <c r="H2686" s="55"/>
      <c r="I2686" s="5"/>
      <c r="J2686" s="5"/>
      <c r="K2686" s="5"/>
      <c r="L2686" s="5"/>
      <c r="M2686" s="5"/>
      <c r="N2686" s="5"/>
      <c r="O2686" s="5"/>
      <c r="Q2686" s="5"/>
    </row>
    <row r="2687" spans="1:17">
      <c r="A2687" s="5"/>
      <c r="B2687" s="5"/>
      <c r="C2687" s="5"/>
      <c r="D2687" s="5"/>
      <c r="E2687" s="5"/>
      <c r="F2687" s="5"/>
      <c r="G2687" s="55"/>
      <c r="H2687" s="55"/>
      <c r="I2687" s="5"/>
      <c r="J2687" s="5"/>
      <c r="K2687" s="5"/>
      <c r="L2687" s="5"/>
      <c r="M2687" s="5"/>
      <c r="N2687" s="5"/>
      <c r="O2687" s="5"/>
      <c r="Q2687" s="5"/>
    </row>
    <row r="2688" spans="1:17">
      <c r="A2688" s="5"/>
      <c r="B2688" s="5"/>
      <c r="C2688" s="5"/>
      <c r="D2688" s="5"/>
      <c r="E2688" s="5"/>
      <c r="F2688" s="5"/>
      <c r="G2688" s="55"/>
      <c r="H2688" s="55"/>
      <c r="I2688" s="5"/>
      <c r="J2688" s="5"/>
      <c r="K2688" s="5"/>
      <c r="L2688" s="5"/>
      <c r="M2688" s="5"/>
      <c r="N2688" s="5"/>
      <c r="O2688" s="5"/>
      <c r="Q2688" s="5"/>
    </row>
    <row r="2689" spans="1:17">
      <c r="A2689" s="5"/>
      <c r="B2689" s="5"/>
      <c r="C2689" s="5"/>
      <c r="D2689" s="5"/>
      <c r="E2689" s="5"/>
      <c r="F2689" s="5"/>
      <c r="G2689" s="55"/>
      <c r="H2689" s="55"/>
      <c r="I2689" s="5"/>
      <c r="J2689" s="5"/>
      <c r="K2689" s="5"/>
      <c r="L2689" s="5"/>
      <c r="M2689" s="5"/>
      <c r="N2689" s="5"/>
      <c r="O2689" s="5"/>
      <c r="Q2689" s="5"/>
    </row>
    <row r="2690" spans="1:17">
      <c r="A2690" s="5"/>
      <c r="B2690" s="5"/>
      <c r="C2690" s="5"/>
      <c r="D2690" s="5"/>
      <c r="E2690" s="5"/>
      <c r="F2690" s="5"/>
      <c r="G2690" s="55"/>
      <c r="H2690" s="55"/>
      <c r="I2690" s="5"/>
      <c r="J2690" s="5"/>
      <c r="K2690" s="5"/>
      <c r="L2690" s="5"/>
      <c r="M2690" s="5"/>
      <c r="N2690" s="5"/>
      <c r="O2690" s="5"/>
      <c r="Q2690" s="5"/>
    </row>
    <row r="2691" spans="1:17">
      <c r="A2691" s="5"/>
      <c r="B2691" s="5"/>
      <c r="C2691" s="5"/>
      <c r="D2691" s="5"/>
      <c r="E2691" s="5"/>
      <c r="F2691" s="5"/>
      <c r="G2691" s="55"/>
      <c r="H2691" s="55"/>
      <c r="I2691" s="5"/>
      <c r="J2691" s="5"/>
      <c r="K2691" s="5"/>
      <c r="L2691" s="5"/>
      <c r="M2691" s="5"/>
      <c r="N2691" s="5"/>
      <c r="O2691" s="5"/>
      <c r="Q2691" s="5"/>
    </row>
    <row r="2692" spans="1:17">
      <c r="A2692" s="5"/>
      <c r="B2692" s="5"/>
      <c r="C2692" s="5"/>
      <c r="D2692" s="5"/>
      <c r="E2692" s="5"/>
      <c r="F2692" s="5"/>
      <c r="G2692" s="55"/>
      <c r="H2692" s="55"/>
      <c r="I2692" s="5"/>
      <c r="J2692" s="5"/>
      <c r="K2692" s="5"/>
      <c r="L2692" s="5"/>
      <c r="M2692" s="5"/>
      <c r="N2692" s="5"/>
      <c r="O2692" s="5"/>
      <c r="Q2692" s="5"/>
    </row>
    <row r="2693" spans="1:17">
      <c r="A2693" s="5"/>
      <c r="B2693" s="5"/>
      <c r="C2693" s="5"/>
      <c r="D2693" s="5"/>
      <c r="E2693" s="5"/>
      <c r="F2693" s="5"/>
      <c r="G2693" s="55"/>
      <c r="H2693" s="55"/>
      <c r="I2693" s="5"/>
      <c r="J2693" s="5"/>
      <c r="K2693" s="5"/>
      <c r="L2693" s="5"/>
      <c r="M2693" s="5"/>
      <c r="N2693" s="5"/>
      <c r="O2693" s="5"/>
      <c r="Q2693" s="5"/>
    </row>
    <row r="2694" spans="1:17">
      <c r="A2694" s="5"/>
      <c r="B2694" s="5"/>
      <c r="C2694" s="5"/>
      <c r="D2694" s="5"/>
      <c r="E2694" s="5"/>
      <c r="F2694" s="5"/>
      <c r="G2694" s="55"/>
      <c r="H2694" s="55"/>
      <c r="I2694" s="5"/>
      <c r="J2694" s="5"/>
      <c r="K2694" s="5"/>
      <c r="L2694" s="5"/>
      <c r="M2694" s="5"/>
      <c r="N2694" s="5"/>
      <c r="O2694" s="5"/>
      <c r="Q2694" s="5"/>
    </row>
    <row r="2695" spans="1:17">
      <c r="A2695" s="5"/>
      <c r="B2695" s="5"/>
      <c r="C2695" s="5"/>
      <c r="D2695" s="5"/>
      <c r="E2695" s="5"/>
      <c r="F2695" s="5"/>
      <c r="G2695" s="55"/>
      <c r="H2695" s="55"/>
      <c r="I2695" s="5"/>
      <c r="J2695" s="5"/>
      <c r="K2695" s="5"/>
      <c r="L2695" s="5"/>
      <c r="M2695" s="5"/>
      <c r="N2695" s="5"/>
      <c r="O2695" s="5"/>
      <c r="Q2695" s="5"/>
    </row>
    <row r="2696" spans="1:17">
      <c r="A2696" s="5"/>
      <c r="B2696" s="5"/>
      <c r="C2696" s="5"/>
      <c r="D2696" s="5"/>
      <c r="E2696" s="5"/>
      <c r="F2696" s="5"/>
      <c r="G2696" s="55"/>
      <c r="H2696" s="55"/>
      <c r="I2696" s="5"/>
      <c r="J2696" s="5"/>
      <c r="K2696" s="5"/>
      <c r="L2696" s="5"/>
      <c r="M2696" s="5"/>
      <c r="N2696" s="5"/>
      <c r="O2696" s="5"/>
      <c r="Q2696" s="5"/>
    </row>
    <row r="2697" spans="1:17">
      <c r="A2697" s="5"/>
      <c r="B2697" s="5"/>
      <c r="C2697" s="5"/>
      <c r="D2697" s="5"/>
      <c r="E2697" s="5"/>
      <c r="F2697" s="5"/>
      <c r="G2697" s="55"/>
      <c r="H2697" s="55"/>
      <c r="I2697" s="5"/>
      <c r="J2697" s="5"/>
      <c r="K2697" s="5"/>
      <c r="L2697" s="5"/>
      <c r="M2697" s="5"/>
      <c r="N2697" s="5"/>
      <c r="O2697" s="5"/>
      <c r="Q2697" s="5"/>
    </row>
    <row r="2698" spans="1:17">
      <c r="A2698" s="5"/>
      <c r="B2698" s="5"/>
      <c r="C2698" s="5"/>
      <c r="D2698" s="5"/>
      <c r="E2698" s="5"/>
      <c r="F2698" s="5"/>
      <c r="G2698" s="55"/>
      <c r="H2698" s="55"/>
      <c r="I2698" s="5"/>
      <c r="J2698" s="5"/>
      <c r="K2698" s="5"/>
      <c r="L2698" s="5"/>
      <c r="M2698" s="5"/>
      <c r="N2698" s="5"/>
      <c r="O2698" s="5"/>
      <c r="Q2698" s="5"/>
    </row>
    <row r="2699" spans="1:17">
      <c r="A2699" s="5"/>
      <c r="B2699" s="5"/>
      <c r="C2699" s="5"/>
      <c r="D2699" s="5"/>
      <c r="E2699" s="5"/>
      <c r="F2699" s="5"/>
      <c r="G2699" s="55"/>
      <c r="H2699" s="55"/>
      <c r="I2699" s="5"/>
      <c r="J2699" s="5"/>
      <c r="K2699" s="5"/>
      <c r="L2699" s="5"/>
      <c r="M2699" s="5"/>
      <c r="N2699" s="5"/>
      <c r="O2699" s="5"/>
      <c r="Q2699" s="5"/>
    </row>
    <row r="2700" spans="1:17">
      <c r="A2700" s="5"/>
      <c r="B2700" s="5"/>
      <c r="C2700" s="5"/>
      <c r="D2700" s="5"/>
      <c r="E2700" s="5"/>
      <c r="F2700" s="5"/>
      <c r="G2700" s="55"/>
      <c r="H2700" s="55"/>
      <c r="I2700" s="5"/>
      <c r="J2700" s="5"/>
      <c r="K2700" s="5"/>
      <c r="L2700" s="5"/>
      <c r="M2700" s="5"/>
      <c r="N2700" s="5"/>
      <c r="O2700" s="5"/>
      <c r="Q2700" s="5"/>
    </row>
    <row r="2701" spans="1:17">
      <c r="A2701" s="5"/>
      <c r="B2701" s="5"/>
      <c r="C2701" s="5"/>
      <c r="D2701" s="5"/>
      <c r="E2701" s="5"/>
      <c r="F2701" s="5"/>
      <c r="G2701" s="55"/>
      <c r="H2701" s="55"/>
      <c r="I2701" s="5"/>
      <c r="J2701" s="5"/>
      <c r="K2701" s="5"/>
      <c r="L2701" s="5"/>
      <c r="M2701" s="5"/>
      <c r="N2701" s="5"/>
      <c r="O2701" s="5"/>
      <c r="Q2701" s="5"/>
    </row>
    <row r="2702" spans="1:17">
      <c r="A2702" s="5"/>
      <c r="B2702" s="5"/>
      <c r="C2702" s="5"/>
      <c r="D2702" s="5"/>
      <c r="E2702" s="5"/>
      <c r="F2702" s="5"/>
      <c r="G2702" s="55"/>
      <c r="H2702" s="55"/>
      <c r="I2702" s="5"/>
      <c r="J2702" s="5"/>
      <c r="K2702" s="5"/>
      <c r="L2702" s="5"/>
      <c r="M2702" s="5"/>
      <c r="N2702" s="5"/>
      <c r="O2702" s="5"/>
      <c r="Q2702" s="5"/>
    </row>
    <row r="2703" spans="1:17">
      <c r="A2703" s="5"/>
      <c r="B2703" s="5"/>
      <c r="C2703" s="5"/>
      <c r="D2703" s="5"/>
      <c r="E2703" s="5"/>
      <c r="F2703" s="5"/>
      <c r="G2703" s="55"/>
      <c r="H2703" s="55"/>
      <c r="I2703" s="5"/>
      <c r="J2703" s="5"/>
      <c r="K2703" s="5"/>
      <c r="L2703" s="5"/>
      <c r="M2703" s="5"/>
      <c r="N2703" s="5"/>
      <c r="O2703" s="5"/>
      <c r="Q2703" s="5"/>
    </row>
    <row r="2704" spans="1:17">
      <c r="A2704" s="5"/>
      <c r="B2704" s="5"/>
      <c r="C2704" s="5"/>
      <c r="D2704" s="5"/>
      <c r="E2704" s="5"/>
      <c r="F2704" s="5"/>
      <c r="G2704" s="55"/>
      <c r="H2704" s="55"/>
      <c r="I2704" s="5"/>
      <c r="J2704" s="5"/>
      <c r="K2704" s="5"/>
      <c r="L2704" s="5"/>
      <c r="M2704" s="5"/>
      <c r="N2704" s="5"/>
      <c r="O2704" s="5"/>
      <c r="Q2704" s="5"/>
    </row>
    <row r="2705" spans="1:17">
      <c r="A2705" s="5"/>
      <c r="B2705" s="5"/>
      <c r="C2705" s="5"/>
      <c r="D2705" s="5"/>
      <c r="E2705" s="5"/>
      <c r="F2705" s="5"/>
      <c r="G2705" s="55"/>
      <c r="H2705" s="55"/>
      <c r="I2705" s="5"/>
      <c r="J2705" s="5"/>
      <c r="K2705" s="5"/>
      <c r="L2705" s="5"/>
      <c r="M2705" s="5"/>
      <c r="N2705" s="5"/>
      <c r="O2705" s="5"/>
      <c r="Q2705" s="5"/>
    </row>
    <row r="2706" spans="1:17">
      <c r="A2706" s="5"/>
      <c r="B2706" s="5"/>
      <c r="C2706" s="5"/>
      <c r="D2706" s="5"/>
      <c r="E2706" s="5"/>
      <c r="F2706" s="5"/>
      <c r="G2706" s="55"/>
      <c r="H2706" s="55"/>
      <c r="I2706" s="5"/>
      <c r="J2706" s="5"/>
      <c r="K2706" s="5"/>
      <c r="L2706" s="5"/>
      <c r="M2706" s="5"/>
      <c r="N2706" s="5"/>
      <c r="O2706" s="5"/>
      <c r="Q2706" s="5"/>
    </row>
    <row r="2707" spans="1:17">
      <c r="A2707" s="5"/>
      <c r="B2707" s="5"/>
      <c r="C2707" s="5"/>
      <c r="D2707" s="5"/>
      <c r="E2707" s="5"/>
      <c r="F2707" s="5"/>
      <c r="G2707" s="55"/>
      <c r="H2707" s="55"/>
      <c r="I2707" s="5"/>
      <c r="J2707" s="5"/>
      <c r="K2707" s="5"/>
      <c r="L2707" s="5"/>
      <c r="M2707" s="5"/>
      <c r="N2707" s="5"/>
      <c r="O2707" s="5"/>
      <c r="Q2707" s="5"/>
    </row>
    <row r="2708" spans="1:17">
      <c r="A2708" s="5"/>
      <c r="B2708" s="5"/>
      <c r="C2708" s="5"/>
      <c r="D2708" s="5"/>
      <c r="E2708" s="5"/>
      <c r="F2708" s="5"/>
      <c r="G2708" s="55"/>
      <c r="H2708" s="55"/>
      <c r="I2708" s="5"/>
      <c r="J2708" s="5"/>
      <c r="K2708" s="5"/>
      <c r="L2708" s="5"/>
      <c r="M2708" s="5"/>
      <c r="N2708" s="5"/>
      <c r="O2708" s="5"/>
      <c r="Q2708" s="5"/>
    </row>
    <row r="2709" spans="1:17">
      <c r="A2709" s="5"/>
      <c r="B2709" s="5"/>
      <c r="C2709" s="5"/>
      <c r="D2709" s="5"/>
      <c r="E2709" s="5"/>
      <c r="F2709" s="5"/>
      <c r="G2709" s="55"/>
      <c r="H2709" s="55"/>
      <c r="I2709" s="5"/>
      <c r="J2709" s="5"/>
      <c r="K2709" s="5"/>
      <c r="L2709" s="5"/>
      <c r="M2709" s="5"/>
      <c r="N2709" s="5"/>
      <c r="O2709" s="5"/>
      <c r="Q2709" s="5"/>
    </row>
    <row r="2710" spans="1:17">
      <c r="A2710" s="5"/>
      <c r="B2710" s="5"/>
      <c r="C2710" s="5"/>
      <c r="D2710" s="5"/>
      <c r="E2710" s="5"/>
      <c r="F2710" s="5"/>
      <c r="G2710" s="55"/>
      <c r="H2710" s="55"/>
      <c r="I2710" s="5"/>
      <c r="J2710" s="5"/>
      <c r="K2710" s="5"/>
      <c r="L2710" s="5"/>
      <c r="M2710" s="5"/>
      <c r="N2710" s="5"/>
      <c r="O2710" s="5"/>
      <c r="Q2710" s="5"/>
    </row>
    <row r="2711" spans="1:17">
      <c r="A2711" s="5"/>
      <c r="B2711" s="5"/>
      <c r="C2711" s="5"/>
      <c r="D2711" s="5"/>
      <c r="E2711" s="5"/>
      <c r="F2711" s="5"/>
      <c r="G2711" s="55"/>
      <c r="H2711" s="55"/>
      <c r="I2711" s="5"/>
      <c r="J2711" s="5"/>
      <c r="K2711" s="5"/>
      <c r="L2711" s="5"/>
      <c r="M2711" s="5"/>
      <c r="N2711" s="5"/>
      <c r="O2711" s="5"/>
      <c r="Q2711" s="5"/>
    </row>
    <row r="2712" spans="1:17">
      <c r="A2712" s="5"/>
      <c r="B2712" s="5"/>
      <c r="C2712" s="5"/>
      <c r="D2712" s="5"/>
      <c r="E2712" s="5"/>
      <c r="F2712" s="5"/>
      <c r="G2712" s="55"/>
      <c r="H2712" s="55"/>
      <c r="I2712" s="5"/>
      <c r="J2712" s="5"/>
      <c r="K2712" s="5"/>
      <c r="L2712" s="5"/>
      <c r="M2712" s="5"/>
      <c r="N2712" s="5"/>
      <c r="O2712" s="5"/>
      <c r="Q2712" s="5"/>
    </row>
    <row r="2713" spans="1:17">
      <c r="A2713" s="5"/>
      <c r="B2713" s="5"/>
      <c r="C2713" s="5"/>
      <c r="D2713" s="5"/>
      <c r="E2713" s="5"/>
      <c r="F2713" s="5"/>
      <c r="G2713" s="55"/>
      <c r="H2713" s="55"/>
      <c r="I2713" s="5"/>
      <c r="J2713" s="5"/>
      <c r="K2713" s="5"/>
      <c r="L2713" s="5"/>
      <c r="M2713" s="5"/>
      <c r="N2713" s="5"/>
      <c r="O2713" s="5"/>
      <c r="Q2713" s="5"/>
    </row>
    <row r="2714" spans="1:17">
      <c r="A2714" s="5"/>
      <c r="B2714" s="5"/>
      <c r="C2714" s="5"/>
      <c r="D2714" s="5"/>
      <c r="E2714" s="5"/>
      <c r="F2714" s="5"/>
      <c r="G2714" s="55"/>
      <c r="H2714" s="55"/>
      <c r="I2714" s="5"/>
      <c r="J2714" s="5"/>
      <c r="K2714" s="5"/>
      <c r="L2714" s="5"/>
      <c r="M2714" s="5"/>
      <c r="N2714" s="5"/>
      <c r="O2714" s="5"/>
      <c r="Q2714" s="5"/>
    </row>
    <row r="2715" spans="1:17">
      <c r="A2715" s="5"/>
      <c r="B2715" s="5"/>
      <c r="C2715" s="5"/>
      <c r="D2715" s="5"/>
      <c r="E2715" s="5"/>
      <c r="F2715" s="5"/>
      <c r="G2715" s="55"/>
      <c r="H2715" s="55"/>
      <c r="I2715" s="5"/>
      <c r="J2715" s="5"/>
      <c r="K2715" s="5"/>
      <c r="L2715" s="5"/>
      <c r="M2715" s="5"/>
      <c r="N2715" s="5"/>
      <c r="O2715" s="5"/>
      <c r="Q2715" s="5"/>
    </row>
    <row r="2716" spans="1:17">
      <c r="A2716" s="5"/>
      <c r="B2716" s="5"/>
      <c r="C2716" s="5"/>
      <c r="D2716" s="5"/>
      <c r="E2716" s="5"/>
      <c r="F2716" s="5"/>
      <c r="G2716" s="55"/>
      <c r="H2716" s="55"/>
      <c r="I2716" s="5"/>
      <c r="J2716" s="5"/>
      <c r="K2716" s="5"/>
      <c r="L2716" s="5"/>
      <c r="M2716" s="5"/>
      <c r="N2716" s="5"/>
      <c r="O2716" s="5"/>
      <c r="Q2716" s="5"/>
    </row>
    <row r="2717" spans="1:17">
      <c r="A2717" s="5"/>
      <c r="B2717" s="5"/>
      <c r="C2717" s="5"/>
      <c r="D2717" s="5"/>
      <c r="E2717" s="5"/>
      <c r="F2717" s="5"/>
      <c r="G2717" s="55"/>
      <c r="H2717" s="55"/>
      <c r="I2717" s="5"/>
      <c r="J2717" s="5"/>
      <c r="K2717" s="5"/>
      <c r="L2717" s="5"/>
      <c r="M2717" s="5"/>
      <c r="N2717" s="5"/>
      <c r="O2717" s="5"/>
      <c r="Q2717" s="5"/>
    </row>
    <row r="2718" spans="1:17">
      <c r="A2718" s="5"/>
      <c r="B2718" s="5"/>
      <c r="C2718" s="5"/>
      <c r="D2718" s="5"/>
      <c r="E2718" s="5"/>
      <c r="F2718" s="5"/>
      <c r="G2718" s="55"/>
      <c r="H2718" s="55"/>
      <c r="I2718" s="5"/>
      <c r="J2718" s="5"/>
      <c r="K2718" s="5"/>
      <c r="L2718" s="5"/>
      <c r="M2718" s="5"/>
      <c r="N2718" s="5"/>
      <c r="O2718" s="5"/>
      <c r="Q2718" s="5"/>
    </row>
    <row r="2719" spans="1:17">
      <c r="A2719" s="5"/>
      <c r="B2719" s="5"/>
      <c r="C2719" s="5"/>
      <c r="D2719" s="5"/>
      <c r="E2719" s="5"/>
      <c r="F2719" s="5"/>
      <c r="G2719" s="55"/>
      <c r="H2719" s="55"/>
      <c r="I2719" s="5"/>
      <c r="J2719" s="5"/>
      <c r="K2719" s="5"/>
      <c r="L2719" s="5"/>
      <c r="M2719" s="5"/>
      <c r="N2719" s="5"/>
      <c r="O2719" s="5"/>
      <c r="Q2719" s="5"/>
    </row>
    <row r="2720" spans="1:17">
      <c r="A2720" s="5"/>
      <c r="B2720" s="5"/>
      <c r="C2720" s="5"/>
      <c r="D2720" s="5"/>
      <c r="E2720" s="5"/>
      <c r="F2720" s="5"/>
      <c r="G2720" s="55"/>
      <c r="H2720" s="55"/>
      <c r="I2720" s="5"/>
      <c r="J2720" s="5"/>
      <c r="K2720" s="5"/>
      <c r="L2720" s="5"/>
      <c r="M2720" s="5"/>
      <c r="N2720" s="5"/>
      <c r="O2720" s="5"/>
      <c r="Q2720" s="5"/>
    </row>
    <row r="2721" spans="1:17">
      <c r="A2721" s="5"/>
      <c r="B2721" s="5"/>
      <c r="C2721" s="5"/>
      <c r="D2721" s="5"/>
      <c r="E2721" s="5"/>
      <c r="F2721" s="5"/>
      <c r="G2721" s="55"/>
      <c r="H2721" s="55"/>
      <c r="I2721" s="5"/>
      <c r="J2721" s="5"/>
      <c r="K2721" s="5"/>
      <c r="L2721" s="5"/>
      <c r="M2721" s="5"/>
      <c r="N2721" s="5"/>
      <c r="O2721" s="5"/>
      <c r="Q2721" s="5"/>
    </row>
    <row r="2722" spans="1:17">
      <c r="A2722" s="5"/>
      <c r="B2722" s="5"/>
      <c r="C2722" s="5"/>
      <c r="D2722" s="5"/>
      <c r="E2722" s="5"/>
      <c r="F2722" s="5"/>
      <c r="G2722" s="55"/>
      <c r="H2722" s="55"/>
      <c r="I2722" s="5"/>
      <c r="J2722" s="5"/>
      <c r="K2722" s="5"/>
      <c r="L2722" s="5"/>
      <c r="M2722" s="5"/>
      <c r="N2722" s="5"/>
      <c r="O2722" s="5"/>
      <c r="Q2722" s="5"/>
    </row>
    <row r="2723" spans="1:17">
      <c r="A2723" s="5"/>
      <c r="B2723" s="5"/>
      <c r="C2723" s="5"/>
      <c r="D2723" s="5"/>
      <c r="E2723" s="5"/>
      <c r="F2723" s="5"/>
      <c r="G2723" s="55"/>
      <c r="H2723" s="55"/>
      <c r="I2723" s="5"/>
      <c r="J2723" s="5"/>
      <c r="K2723" s="5"/>
      <c r="L2723" s="5"/>
      <c r="M2723" s="5"/>
      <c r="N2723" s="5"/>
      <c r="O2723" s="5"/>
      <c r="Q2723" s="5"/>
    </row>
    <row r="2724" spans="1:17">
      <c r="A2724" s="5"/>
      <c r="B2724" s="5"/>
      <c r="C2724" s="5"/>
      <c r="D2724" s="5"/>
      <c r="E2724" s="5"/>
      <c r="F2724" s="5"/>
      <c r="G2724" s="55"/>
      <c r="H2724" s="55"/>
      <c r="I2724" s="5"/>
      <c r="J2724" s="5"/>
      <c r="K2724" s="5"/>
      <c r="L2724" s="5"/>
      <c r="M2724" s="5"/>
      <c r="N2724" s="5"/>
      <c r="O2724" s="5"/>
      <c r="Q2724" s="5"/>
    </row>
    <row r="2725" spans="1:17">
      <c r="A2725" s="5"/>
      <c r="B2725" s="5"/>
      <c r="C2725" s="5"/>
      <c r="D2725" s="5"/>
      <c r="E2725" s="5"/>
      <c r="F2725" s="5"/>
      <c r="G2725" s="55"/>
      <c r="H2725" s="55"/>
      <c r="I2725" s="5"/>
      <c r="J2725" s="5"/>
      <c r="K2725" s="5"/>
      <c r="L2725" s="5"/>
      <c r="M2725" s="5"/>
      <c r="N2725" s="5"/>
      <c r="O2725" s="5"/>
      <c r="Q2725" s="5"/>
    </row>
    <row r="2726" spans="1:17">
      <c r="A2726" s="5"/>
      <c r="B2726" s="5"/>
      <c r="C2726" s="5"/>
      <c r="D2726" s="5"/>
      <c r="E2726" s="5"/>
      <c r="F2726" s="5"/>
      <c r="G2726" s="55"/>
      <c r="H2726" s="55"/>
      <c r="I2726" s="5"/>
      <c r="J2726" s="5"/>
      <c r="K2726" s="5"/>
      <c r="L2726" s="5"/>
      <c r="M2726" s="5"/>
      <c r="N2726" s="5"/>
      <c r="O2726" s="5"/>
      <c r="Q2726" s="5"/>
    </row>
    <row r="2727" spans="1:17">
      <c r="A2727" s="5"/>
      <c r="B2727" s="5"/>
      <c r="C2727" s="5"/>
      <c r="D2727" s="5"/>
      <c r="E2727" s="5"/>
      <c r="F2727" s="5"/>
      <c r="G2727" s="55"/>
      <c r="H2727" s="55"/>
      <c r="I2727" s="5"/>
      <c r="J2727" s="5"/>
      <c r="K2727" s="5"/>
      <c r="L2727" s="5"/>
      <c r="M2727" s="5"/>
      <c r="N2727" s="5"/>
      <c r="O2727" s="5"/>
      <c r="Q2727" s="5"/>
    </row>
    <row r="2728" spans="1:17">
      <c r="A2728" s="5"/>
      <c r="B2728" s="5"/>
      <c r="C2728" s="5"/>
      <c r="D2728" s="5"/>
      <c r="E2728" s="5"/>
      <c r="F2728" s="5"/>
      <c r="G2728" s="55"/>
      <c r="H2728" s="55"/>
      <c r="I2728" s="5"/>
      <c r="J2728" s="5"/>
      <c r="K2728" s="5"/>
      <c r="L2728" s="5"/>
      <c r="M2728" s="5"/>
      <c r="N2728" s="5"/>
      <c r="O2728" s="5"/>
      <c r="Q2728" s="5"/>
    </row>
    <row r="2729" spans="1:17">
      <c r="A2729" s="5"/>
      <c r="B2729" s="5"/>
      <c r="C2729" s="5"/>
      <c r="D2729" s="5"/>
      <c r="E2729" s="5"/>
      <c r="F2729" s="5"/>
      <c r="G2729" s="55"/>
      <c r="H2729" s="55"/>
      <c r="I2729" s="5"/>
      <c r="J2729" s="5"/>
      <c r="K2729" s="5"/>
      <c r="L2729" s="5"/>
      <c r="M2729" s="5"/>
      <c r="N2729" s="5"/>
      <c r="O2729" s="5"/>
      <c r="Q2729" s="5"/>
    </row>
    <row r="2730" spans="1:17">
      <c r="A2730" s="5"/>
      <c r="B2730" s="5"/>
      <c r="C2730" s="5"/>
      <c r="D2730" s="5"/>
      <c r="E2730" s="5"/>
      <c r="F2730" s="5"/>
      <c r="G2730" s="55"/>
      <c r="H2730" s="55"/>
      <c r="I2730" s="5"/>
      <c r="J2730" s="5"/>
      <c r="K2730" s="5"/>
      <c r="L2730" s="5"/>
      <c r="M2730" s="5"/>
      <c r="N2730" s="5"/>
      <c r="O2730" s="5"/>
      <c r="Q2730" s="5"/>
    </row>
    <row r="2731" spans="1:17">
      <c r="A2731" s="5"/>
      <c r="B2731" s="5"/>
      <c r="C2731" s="5"/>
      <c r="D2731" s="5"/>
      <c r="E2731" s="5"/>
      <c r="F2731" s="5"/>
      <c r="G2731" s="55"/>
      <c r="H2731" s="55"/>
      <c r="I2731" s="5"/>
      <c r="J2731" s="5"/>
      <c r="K2731" s="5"/>
      <c r="L2731" s="5"/>
      <c r="M2731" s="5"/>
      <c r="N2731" s="5"/>
      <c r="O2731" s="5"/>
      <c r="Q2731" s="5"/>
    </row>
    <row r="2732" spans="1:17">
      <c r="A2732" s="5"/>
      <c r="B2732" s="5"/>
      <c r="C2732" s="5"/>
      <c r="D2732" s="5"/>
      <c r="E2732" s="5"/>
      <c r="F2732" s="5"/>
      <c r="G2732" s="55"/>
      <c r="H2732" s="55"/>
      <c r="I2732" s="5"/>
      <c r="J2732" s="5"/>
      <c r="K2732" s="5"/>
      <c r="L2732" s="5"/>
      <c r="M2732" s="5"/>
      <c r="N2732" s="5"/>
      <c r="O2732" s="5"/>
      <c r="Q2732" s="5"/>
    </row>
    <row r="2733" spans="1:17">
      <c r="A2733" s="5"/>
      <c r="B2733" s="5"/>
      <c r="C2733" s="5"/>
      <c r="D2733" s="5"/>
      <c r="E2733" s="5"/>
      <c r="F2733" s="5"/>
      <c r="G2733" s="55"/>
      <c r="H2733" s="55"/>
      <c r="I2733" s="5"/>
      <c r="J2733" s="5"/>
      <c r="K2733" s="5"/>
      <c r="L2733" s="5"/>
      <c r="M2733" s="5"/>
      <c r="N2733" s="5"/>
      <c r="O2733" s="5"/>
      <c r="Q2733" s="5"/>
    </row>
    <row r="2734" spans="1:17">
      <c r="A2734" s="5"/>
      <c r="B2734" s="5"/>
      <c r="C2734" s="5"/>
      <c r="D2734" s="5"/>
      <c r="E2734" s="5"/>
      <c r="F2734" s="5"/>
      <c r="G2734" s="55"/>
      <c r="H2734" s="55"/>
      <c r="I2734" s="5"/>
      <c r="J2734" s="5"/>
      <c r="K2734" s="5"/>
      <c r="L2734" s="5"/>
      <c r="M2734" s="5"/>
      <c r="N2734" s="5"/>
      <c r="O2734" s="5"/>
      <c r="Q2734" s="5"/>
    </row>
    <row r="2735" spans="1:17">
      <c r="A2735" s="5"/>
      <c r="B2735" s="5"/>
      <c r="C2735" s="5"/>
      <c r="D2735" s="5"/>
      <c r="E2735" s="5"/>
      <c r="F2735" s="5"/>
      <c r="G2735" s="55"/>
      <c r="H2735" s="55"/>
      <c r="I2735" s="5"/>
      <c r="J2735" s="5"/>
      <c r="K2735" s="5"/>
      <c r="L2735" s="5"/>
      <c r="M2735" s="5"/>
      <c r="N2735" s="5"/>
      <c r="O2735" s="5"/>
      <c r="Q2735" s="5"/>
    </row>
    <row r="2736" spans="1:17">
      <c r="A2736" s="5"/>
      <c r="B2736" s="5"/>
      <c r="C2736" s="5"/>
      <c r="D2736" s="5"/>
      <c r="E2736" s="5"/>
      <c r="F2736" s="5"/>
      <c r="G2736" s="55"/>
      <c r="H2736" s="55"/>
      <c r="I2736" s="5"/>
      <c r="J2736" s="5"/>
      <c r="K2736" s="5"/>
      <c r="L2736" s="5"/>
      <c r="M2736" s="5"/>
      <c r="N2736" s="5"/>
      <c r="O2736" s="5"/>
      <c r="Q2736" s="5"/>
    </row>
    <row r="2737" spans="1:17">
      <c r="A2737" s="5"/>
      <c r="B2737" s="5"/>
      <c r="C2737" s="5"/>
      <c r="D2737" s="5"/>
      <c r="E2737" s="5"/>
      <c r="F2737" s="5"/>
      <c r="G2737" s="55"/>
      <c r="H2737" s="55"/>
      <c r="I2737" s="5"/>
      <c r="J2737" s="5"/>
      <c r="K2737" s="5"/>
      <c r="L2737" s="5"/>
      <c r="M2737" s="5"/>
      <c r="N2737" s="5"/>
      <c r="O2737" s="5"/>
      <c r="Q2737" s="5"/>
    </row>
    <row r="2738" spans="1:17">
      <c r="A2738" s="5"/>
      <c r="B2738" s="5"/>
      <c r="C2738" s="5"/>
      <c r="D2738" s="5"/>
      <c r="E2738" s="5"/>
      <c r="F2738" s="5"/>
      <c r="G2738" s="55"/>
      <c r="H2738" s="55"/>
      <c r="I2738" s="5"/>
      <c r="J2738" s="5"/>
      <c r="K2738" s="5"/>
      <c r="L2738" s="5"/>
      <c r="M2738" s="5"/>
      <c r="N2738" s="5"/>
      <c r="O2738" s="5"/>
      <c r="Q2738" s="5"/>
    </row>
    <row r="2739" spans="1:17">
      <c r="A2739" s="5"/>
      <c r="B2739" s="5"/>
      <c r="C2739" s="5"/>
      <c r="D2739" s="5"/>
      <c r="E2739" s="5"/>
      <c r="F2739" s="5"/>
      <c r="G2739" s="55"/>
      <c r="H2739" s="55"/>
      <c r="I2739" s="5"/>
      <c r="J2739" s="5"/>
      <c r="K2739" s="5"/>
      <c r="L2739" s="5"/>
      <c r="M2739" s="5"/>
      <c r="N2739" s="5"/>
      <c r="O2739" s="5"/>
      <c r="Q2739" s="5"/>
    </row>
    <row r="2740" spans="1:17">
      <c r="A2740" s="5"/>
      <c r="B2740" s="5"/>
      <c r="C2740" s="5"/>
      <c r="D2740" s="5"/>
      <c r="E2740" s="5"/>
      <c r="F2740" s="5"/>
      <c r="G2740" s="55"/>
      <c r="H2740" s="55"/>
      <c r="I2740" s="5"/>
      <c r="J2740" s="5"/>
      <c r="K2740" s="5"/>
      <c r="L2740" s="5"/>
      <c r="M2740" s="5"/>
      <c r="N2740" s="5"/>
      <c r="O2740" s="5"/>
      <c r="Q2740" s="5"/>
    </row>
    <row r="2741" spans="1:17">
      <c r="A2741" s="5"/>
      <c r="B2741" s="5"/>
      <c r="C2741" s="5"/>
      <c r="D2741" s="5"/>
      <c r="E2741" s="5"/>
      <c r="F2741" s="5"/>
      <c r="G2741" s="55"/>
      <c r="H2741" s="55"/>
      <c r="I2741" s="5"/>
      <c r="J2741" s="5"/>
      <c r="K2741" s="5"/>
      <c r="L2741" s="5"/>
      <c r="M2741" s="5"/>
      <c r="N2741" s="5"/>
      <c r="O2741" s="5"/>
      <c r="Q2741" s="5"/>
    </row>
    <row r="2742" spans="1:17">
      <c r="A2742" s="5"/>
      <c r="B2742" s="5"/>
      <c r="C2742" s="5"/>
      <c r="D2742" s="5"/>
      <c r="E2742" s="5"/>
      <c r="F2742" s="5"/>
      <c r="G2742" s="55"/>
      <c r="H2742" s="55"/>
      <c r="I2742" s="5"/>
      <c r="J2742" s="5"/>
      <c r="K2742" s="5"/>
      <c r="L2742" s="5"/>
      <c r="M2742" s="5"/>
      <c r="N2742" s="5"/>
      <c r="O2742" s="5"/>
      <c r="Q2742" s="5"/>
    </row>
    <row r="2743" spans="1:17">
      <c r="A2743" s="5"/>
      <c r="B2743" s="5"/>
      <c r="C2743" s="5"/>
      <c r="D2743" s="5"/>
      <c r="E2743" s="5"/>
      <c r="F2743" s="5"/>
      <c r="G2743" s="55"/>
      <c r="H2743" s="55"/>
      <c r="I2743" s="5"/>
      <c r="J2743" s="5"/>
      <c r="K2743" s="5"/>
      <c r="L2743" s="5"/>
      <c r="M2743" s="5"/>
      <c r="N2743" s="5"/>
      <c r="O2743" s="5"/>
      <c r="Q2743" s="5"/>
    </row>
    <row r="2744" spans="1:17">
      <c r="A2744" s="5"/>
      <c r="B2744" s="5"/>
      <c r="C2744" s="5"/>
      <c r="D2744" s="5"/>
      <c r="E2744" s="5"/>
      <c r="F2744" s="5"/>
      <c r="G2744" s="55"/>
      <c r="H2744" s="55"/>
      <c r="I2744" s="5"/>
      <c r="J2744" s="5"/>
      <c r="K2744" s="5"/>
      <c r="L2744" s="5"/>
      <c r="M2744" s="5"/>
      <c r="N2744" s="5"/>
      <c r="O2744" s="5"/>
      <c r="Q2744" s="5"/>
    </row>
    <row r="2745" spans="1:17">
      <c r="A2745" s="5"/>
      <c r="B2745" s="5"/>
      <c r="C2745" s="5"/>
      <c r="D2745" s="5"/>
      <c r="E2745" s="5"/>
      <c r="F2745" s="5"/>
      <c r="G2745" s="55"/>
      <c r="H2745" s="55"/>
      <c r="I2745" s="5"/>
      <c r="J2745" s="5"/>
      <c r="K2745" s="5"/>
      <c r="L2745" s="5"/>
      <c r="M2745" s="5"/>
      <c r="N2745" s="5"/>
      <c r="O2745" s="5"/>
      <c r="Q2745" s="5"/>
    </row>
    <row r="2746" spans="1:17">
      <c r="A2746" s="5"/>
      <c r="B2746" s="5"/>
      <c r="C2746" s="5"/>
      <c r="D2746" s="5"/>
      <c r="E2746" s="5"/>
      <c r="F2746" s="5"/>
      <c r="G2746" s="55"/>
      <c r="H2746" s="55"/>
      <c r="I2746" s="5"/>
      <c r="J2746" s="5"/>
      <c r="K2746" s="5"/>
      <c r="L2746" s="5"/>
      <c r="M2746" s="5"/>
      <c r="N2746" s="5"/>
      <c r="O2746" s="5"/>
      <c r="Q2746" s="5"/>
    </row>
    <row r="2747" spans="1:17">
      <c r="A2747" s="5"/>
      <c r="B2747" s="5"/>
      <c r="C2747" s="5"/>
      <c r="D2747" s="5"/>
      <c r="E2747" s="5"/>
      <c r="F2747" s="5"/>
      <c r="G2747" s="55"/>
      <c r="H2747" s="55"/>
      <c r="I2747" s="5"/>
      <c r="J2747" s="5"/>
      <c r="K2747" s="5"/>
      <c r="L2747" s="5"/>
      <c r="M2747" s="5"/>
      <c r="N2747" s="5"/>
      <c r="O2747" s="5"/>
      <c r="Q2747" s="5"/>
    </row>
    <row r="2748" spans="1:17">
      <c r="A2748" s="5"/>
      <c r="B2748" s="5"/>
      <c r="C2748" s="5"/>
      <c r="D2748" s="5"/>
      <c r="E2748" s="5"/>
      <c r="F2748" s="5"/>
      <c r="G2748" s="55"/>
      <c r="H2748" s="55"/>
      <c r="I2748" s="5"/>
      <c r="J2748" s="5"/>
      <c r="K2748" s="5"/>
      <c r="L2748" s="5"/>
      <c r="M2748" s="5"/>
      <c r="N2748" s="5"/>
      <c r="O2748" s="5"/>
      <c r="Q2748" s="5"/>
    </row>
    <row r="2749" spans="1:17">
      <c r="A2749" s="5"/>
      <c r="B2749" s="5"/>
      <c r="C2749" s="5"/>
      <c r="D2749" s="5"/>
      <c r="E2749" s="5"/>
      <c r="F2749" s="5"/>
      <c r="G2749" s="55"/>
      <c r="H2749" s="55"/>
      <c r="I2749" s="5"/>
      <c r="J2749" s="5"/>
      <c r="K2749" s="5"/>
      <c r="L2749" s="5"/>
      <c r="M2749" s="5"/>
      <c r="N2749" s="5"/>
      <c r="O2749" s="5"/>
      <c r="Q2749" s="5"/>
    </row>
    <row r="2750" spans="1:17">
      <c r="A2750" s="5"/>
      <c r="B2750" s="5"/>
      <c r="C2750" s="5"/>
      <c r="D2750" s="5"/>
      <c r="E2750" s="5"/>
      <c r="F2750" s="5"/>
      <c r="G2750" s="55"/>
      <c r="H2750" s="55"/>
      <c r="I2750" s="5"/>
      <c r="J2750" s="5"/>
      <c r="K2750" s="5"/>
      <c r="L2750" s="5"/>
      <c r="M2750" s="5"/>
      <c r="N2750" s="5"/>
      <c r="O2750" s="5"/>
      <c r="Q2750" s="5"/>
    </row>
    <row r="2751" spans="1:17">
      <c r="A2751" s="5"/>
      <c r="B2751" s="5"/>
      <c r="C2751" s="5"/>
      <c r="D2751" s="5"/>
      <c r="E2751" s="5"/>
      <c r="F2751" s="5"/>
      <c r="G2751" s="55"/>
      <c r="H2751" s="55"/>
      <c r="I2751" s="5"/>
      <c r="J2751" s="5"/>
      <c r="K2751" s="5"/>
      <c r="L2751" s="5"/>
      <c r="M2751" s="5"/>
      <c r="N2751" s="5"/>
      <c r="O2751" s="5"/>
      <c r="Q2751" s="5"/>
    </row>
    <row r="2752" spans="1:17">
      <c r="A2752" s="5"/>
      <c r="B2752" s="5"/>
      <c r="C2752" s="5"/>
      <c r="D2752" s="5"/>
      <c r="E2752" s="5"/>
      <c r="F2752" s="5"/>
      <c r="G2752" s="55"/>
      <c r="H2752" s="55"/>
      <c r="I2752" s="5"/>
      <c r="J2752" s="5"/>
      <c r="K2752" s="5"/>
      <c r="L2752" s="5"/>
      <c r="M2752" s="5"/>
      <c r="N2752" s="5"/>
      <c r="O2752" s="5"/>
      <c r="Q2752" s="5"/>
    </row>
    <row r="2753" spans="1:17">
      <c r="A2753" s="5"/>
      <c r="B2753" s="5"/>
      <c r="C2753" s="5"/>
      <c r="D2753" s="5"/>
      <c r="E2753" s="5"/>
      <c r="F2753" s="5"/>
      <c r="G2753" s="55"/>
      <c r="H2753" s="55"/>
      <c r="I2753" s="5"/>
      <c r="J2753" s="5"/>
      <c r="K2753" s="5"/>
      <c r="L2753" s="5"/>
      <c r="M2753" s="5"/>
      <c r="N2753" s="5"/>
      <c r="O2753" s="5"/>
      <c r="Q2753" s="5"/>
    </row>
    <row r="2754" spans="1:17">
      <c r="A2754" s="5"/>
      <c r="B2754" s="5"/>
      <c r="C2754" s="5"/>
      <c r="D2754" s="5"/>
      <c r="E2754" s="5"/>
      <c r="F2754" s="5"/>
      <c r="G2754" s="55"/>
      <c r="H2754" s="55"/>
      <c r="I2754" s="5"/>
      <c r="J2754" s="5"/>
      <c r="K2754" s="5"/>
      <c r="L2754" s="5"/>
      <c r="M2754" s="5"/>
      <c r="N2754" s="5"/>
      <c r="O2754" s="5"/>
      <c r="Q2754" s="5"/>
    </row>
    <row r="2755" spans="1:17">
      <c r="A2755" s="5"/>
      <c r="B2755" s="5"/>
      <c r="C2755" s="5"/>
      <c r="D2755" s="5"/>
      <c r="E2755" s="5"/>
      <c r="F2755" s="5"/>
      <c r="G2755" s="55"/>
      <c r="H2755" s="55"/>
      <c r="I2755" s="5"/>
      <c r="J2755" s="5"/>
      <c r="K2755" s="5"/>
      <c r="L2755" s="5"/>
      <c r="M2755" s="5"/>
      <c r="N2755" s="5"/>
      <c r="O2755" s="5"/>
      <c r="Q2755" s="5"/>
    </row>
    <row r="2756" spans="1:17">
      <c r="A2756" s="5"/>
      <c r="B2756" s="5"/>
      <c r="C2756" s="5"/>
      <c r="D2756" s="5"/>
      <c r="E2756" s="5"/>
      <c r="F2756" s="5"/>
      <c r="G2756" s="55"/>
      <c r="H2756" s="55"/>
      <c r="I2756" s="5"/>
      <c r="J2756" s="5"/>
      <c r="K2756" s="5"/>
      <c r="L2756" s="5"/>
      <c r="M2756" s="5"/>
      <c r="N2756" s="5"/>
      <c r="O2756" s="5"/>
      <c r="Q2756" s="5"/>
    </row>
    <row r="2757" spans="1:17">
      <c r="A2757" s="5"/>
      <c r="B2757" s="5"/>
      <c r="C2757" s="5"/>
      <c r="D2757" s="5"/>
      <c r="E2757" s="5"/>
      <c r="F2757" s="5"/>
      <c r="G2757" s="55"/>
      <c r="H2757" s="55"/>
      <c r="I2757" s="5"/>
      <c r="J2757" s="5"/>
      <c r="K2757" s="5"/>
      <c r="L2757" s="5"/>
      <c r="M2757" s="5"/>
      <c r="N2757" s="5"/>
      <c r="O2757" s="5"/>
      <c r="Q2757" s="5"/>
    </row>
    <row r="2758" spans="1:17">
      <c r="A2758" s="5"/>
      <c r="B2758" s="5"/>
      <c r="C2758" s="5"/>
      <c r="D2758" s="5"/>
      <c r="E2758" s="5"/>
      <c r="F2758" s="5"/>
      <c r="G2758" s="55"/>
      <c r="H2758" s="55"/>
      <c r="I2758" s="5"/>
      <c r="J2758" s="5"/>
      <c r="K2758" s="5"/>
      <c r="L2758" s="5"/>
      <c r="M2758" s="5"/>
      <c r="N2758" s="5"/>
      <c r="O2758" s="5"/>
      <c r="Q2758" s="5"/>
    </row>
    <row r="2759" spans="1:17">
      <c r="A2759" s="5"/>
      <c r="B2759" s="5"/>
      <c r="C2759" s="5"/>
      <c r="D2759" s="5"/>
      <c r="E2759" s="5"/>
      <c r="F2759" s="5"/>
      <c r="G2759" s="55"/>
      <c r="H2759" s="55"/>
      <c r="I2759" s="5"/>
      <c r="J2759" s="5"/>
      <c r="K2759" s="5"/>
      <c r="L2759" s="5"/>
      <c r="M2759" s="5"/>
      <c r="N2759" s="5"/>
      <c r="O2759" s="5"/>
      <c r="Q2759" s="5"/>
    </row>
    <row r="2760" spans="1:17">
      <c r="A2760" s="5"/>
      <c r="B2760" s="5"/>
      <c r="C2760" s="5"/>
      <c r="D2760" s="5"/>
      <c r="E2760" s="5"/>
      <c r="F2760" s="5"/>
      <c r="G2760" s="55"/>
      <c r="H2760" s="55"/>
      <c r="I2760" s="5"/>
      <c r="J2760" s="5"/>
      <c r="K2760" s="5"/>
      <c r="L2760" s="5"/>
      <c r="M2760" s="5"/>
      <c r="N2760" s="5"/>
      <c r="O2760" s="5"/>
      <c r="Q2760" s="5"/>
    </row>
    <row r="2761" spans="1:17">
      <c r="A2761" s="5"/>
      <c r="B2761" s="5"/>
      <c r="C2761" s="5"/>
      <c r="D2761" s="5"/>
      <c r="E2761" s="5"/>
      <c r="F2761" s="5"/>
      <c r="G2761" s="55"/>
      <c r="H2761" s="55"/>
      <c r="I2761" s="5"/>
      <c r="J2761" s="5"/>
      <c r="K2761" s="5"/>
      <c r="L2761" s="5"/>
      <c r="M2761" s="5"/>
      <c r="N2761" s="5"/>
      <c r="O2761" s="5"/>
      <c r="Q2761" s="5"/>
    </row>
    <row r="2762" spans="1:17">
      <c r="A2762" s="5"/>
      <c r="B2762" s="5"/>
      <c r="C2762" s="5"/>
      <c r="D2762" s="5"/>
      <c r="E2762" s="5"/>
      <c r="F2762" s="5"/>
      <c r="G2762" s="55"/>
      <c r="H2762" s="55"/>
      <c r="I2762" s="5"/>
      <c r="J2762" s="5"/>
      <c r="K2762" s="5"/>
      <c r="L2762" s="5"/>
      <c r="M2762" s="5"/>
      <c r="N2762" s="5"/>
      <c r="O2762" s="5"/>
      <c r="Q2762" s="5"/>
    </row>
    <row r="2763" spans="1:17">
      <c r="A2763" s="5"/>
      <c r="B2763" s="5"/>
      <c r="C2763" s="5"/>
      <c r="D2763" s="5"/>
      <c r="E2763" s="5"/>
      <c r="F2763" s="5"/>
      <c r="G2763" s="55"/>
      <c r="H2763" s="55"/>
      <c r="I2763" s="5"/>
      <c r="J2763" s="5"/>
      <c r="K2763" s="5"/>
      <c r="L2763" s="5"/>
      <c r="M2763" s="5"/>
      <c r="N2763" s="5"/>
      <c r="O2763" s="5"/>
      <c r="Q2763" s="5"/>
    </row>
    <row r="2764" spans="1:17">
      <c r="A2764" s="5"/>
      <c r="B2764" s="5"/>
      <c r="C2764" s="5"/>
      <c r="D2764" s="5"/>
      <c r="E2764" s="5"/>
      <c r="F2764" s="5"/>
      <c r="G2764" s="55"/>
      <c r="H2764" s="55"/>
      <c r="I2764" s="5"/>
      <c r="J2764" s="5"/>
      <c r="K2764" s="5"/>
      <c r="L2764" s="5"/>
      <c r="M2764" s="5"/>
      <c r="N2764" s="5"/>
      <c r="O2764" s="5"/>
      <c r="Q2764" s="5"/>
    </row>
    <row r="2765" spans="1:17">
      <c r="A2765" s="5"/>
      <c r="B2765" s="5"/>
      <c r="C2765" s="5"/>
      <c r="D2765" s="5"/>
      <c r="E2765" s="5"/>
      <c r="F2765" s="5"/>
      <c r="G2765" s="55"/>
      <c r="H2765" s="55"/>
      <c r="I2765" s="5"/>
      <c r="J2765" s="5"/>
      <c r="K2765" s="5"/>
      <c r="L2765" s="5"/>
      <c r="M2765" s="5"/>
      <c r="N2765" s="5"/>
      <c r="O2765" s="5"/>
      <c r="Q2765" s="5"/>
    </row>
    <row r="2766" spans="1:17">
      <c r="A2766" s="5"/>
      <c r="B2766" s="5"/>
      <c r="C2766" s="5"/>
      <c r="D2766" s="5"/>
      <c r="E2766" s="5"/>
      <c r="F2766" s="5"/>
      <c r="G2766" s="55"/>
      <c r="H2766" s="55"/>
      <c r="I2766" s="5"/>
      <c r="J2766" s="5"/>
      <c r="K2766" s="5"/>
      <c r="L2766" s="5"/>
      <c r="M2766" s="5"/>
      <c r="N2766" s="5"/>
      <c r="O2766" s="5"/>
      <c r="Q2766" s="5"/>
    </row>
    <row r="2767" spans="1:17">
      <c r="A2767" s="5"/>
      <c r="B2767" s="5"/>
      <c r="C2767" s="5"/>
      <c r="D2767" s="5"/>
      <c r="E2767" s="5"/>
      <c r="F2767" s="5"/>
      <c r="G2767" s="55"/>
      <c r="H2767" s="55"/>
      <c r="I2767" s="5"/>
      <c r="J2767" s="5"/>
      <c r="K2767" s="5"/>
      <c r="L2767" s="5"/>
      <c r="M2767" s="5"/>
      <c r="N2767" s="5"/>
      <c r="O2767" s="5"/>
      <c r="Q2767" s="5"/>
    </row>
    <row r="2768" spans="1:17">
      <c r="A2768" s="5"/>
      <c r="B2768" s="5"/>
      <c r="C2768" s="5"/>
      <c r="D2768" s="5"/>
      <c r="E2768" s="5"/>
      <c r="F2768" s="5"/>
      <c r="G2768" s="55"/>
      <c r="H2768" s="55"/>
      <c r="I2768" s="5"/>
      <c r="J2768" s="5"/>
      <c r="K2768" s="5"/>
      <c r="L2768" s="5"/>
      <c r="M2768" s="5"/>
      <c r="N2768" s="5"/>
      <c r="O2768" s="5"/>
      <c r="Q2768" s="5"/>
    </row>
    <row r="2769" spans="1:17">
      <c r="A2769" s="5"/>
      <c r="B2769" s="5"/>
      <c r="C2769" s="5"/>
      <c r="D2769" s="5"/>
      <c r="E2769" s="5"/>
      <c r="F2769" s="5"/>
      <c r="G2769" s="55"/>
      <c r="H2769" s="55"/>
      <c r="I2769" s="5"/>
      <c r="J2769" s="5"/>
      <c r="K2769" s="5"/>
      <c r="L2769" s="5"/>
      <c r="M2769" s="5"/>
      <c r="N2769" s="5"/>
      <c r="O2769" s="5"/>
      <c r="Q2769" s="5"/>
    </row>
    <row r="2770" spans="1:17">
      <c r="A2770" s="5"/>
      <c r="B2770" s="5"/>
      <c r="C2770" s="5"/>
      <c r="D2770" s="5"/>
      <c r="E2770" s="5"/>
      <c r="F2770" s="5"/>
      <c r="G2770" s="55"/>
      <c r="H2770" s="55"/>
      <c r="I2770" s="5"/>
      <c r="J2770" s="5"/>
      <c r="K2770" s="5"/>
      <c r="L2770" s="5"/>
      <c r="M2770" s="5"/>
      <c r="N2770" s="5"/>
      <c r="O2770" s="5"/>
      <c r="Q2770" s="5"/>
    </row>
    <row r="2771" spans="1:17">
      <c r="A2771" s="5"/>
      <c r="B2771" s="5"/>
      <c r="C2771" s="5"/>
      <c r="D2771" s="5"/>
      <c r="E2771" s="5"/>
      <c r="F2771" s="5"/>
      <c r="G2771" s="55"/>
      <c r="H2771" s="55"/>
      <c r="I2771" s="5"/>
      <c r="J2771" s="5"/>
      <c r="K2771" s="5"/>
      <c r="L2771" s="5"/>
      <c r="M2771" s="5"/>
      <c r="N2771" s="5"/>
      <c r="O2771" s="5"/>
      <c r="Q2771" s="5"/>
    </row>
    <row r="2772" spans="1:17">
      <c r="A2772" s="5"/>
      <c r="B2772" s="5"/>
      <c r="C2772" s="5"/>
      <c r="D2772" s="5"/>
      <c r="E2772" s="5"/>
      <c r="F2772" s="5"/>
      <c r="G2772" s="55"/>
      <c r="H2772" s="55"/>
      <c r="I2772" s="5"/>
      <c r="J2772" s="5"/>
      <c r="K2772" s="5"/>
      <c r="L2772" s="5"/>
      <c r="M2772" s="5"/>
      <c r="N2772" s="5"/>
      <c r="O2772" s="5"/>
      <c r="Q2772" s="5"/>
    </row>
    <row r="2773" spans="1:17">
      <c r="A2773" s="5"/>
      <c r="B2773" s="5"/>
      <c r="C2773" s="5"/>
      <c r="D2773" s="5"/>
      <c r="E2773" s="5"/>
      <c r="F2773" s="5"/>
      <c r="G2773" s="55"/>
      <c r="H2773" s="55"/>
      <c r="I2773" s="5"/>
      <c r="J2773" s="5"/>
      <c r="K2773" s="5"/>
      <c r="L2773" s="5"/>
      <c r="M2773" s="5"/>
      <c r="N2773" s="5"/>
      <c r="O2773" s="5"/>
      <c r="Q2773" s="5"/>
    </row>
    <row r="2774" spans="1:17">
      <c r="A2774" s="5"/>
      <c r="B2774" s="5"/>
      <c r="C2774" s="5"/>
      <c r="D2774" s="5"/>
      <c r="E2774" s="5"/>
      <c r="F2774" s="5"/>
      <c r="G2774" s="55"/>
      <c r="H2774" s="55"/>
      <c r="I2774" s="5"/>
      <c r="J2774" s="5"/>
      <c r="K2774" s="5"/>
      <c r="L2774" s="5"/>
      <c r="M2774" s="5"/>
      <c r="N2774" s="5"/>
      <c r="O2774" s="5"/>
      <c r="Q2774" s="5"/>
    </row>
    <row r="2775" spans="1:17">
      <c r="A2775" s="5"/>
      <c r="B2775" s="5"/>
      <c r="C2775" s="5"/>
      <c r="D2775" s="5"/>
      <c r="E2775" s="5"/>
      <c r="F2775" s="5"/>
      <c r="G2775" s="55"/>
      <c r="H2775" s="55"/>
      <c r="I2775" s="5"/>
      <c r="J2775" s="5"/>
      <c r="K2775" s="5"/>
      <c r="L2775" s="5"/>
      <c r="M2775" s="5"/>
      <c r="N2775" s="5"/>
      <c r="O2775" s="5"/>
      <c r="Q2775" s="5"/>
    </row>
    <row r="2776" spans="1:17">
      <c r="A2776" s="5"/>
      <c r="B2776" s="5"/>
      <c r="C2776" s="5"/>
      <c r="D2776" s="5"/>
      <c r="E2776" s="5"/>
      <c r="F2776" s="5"/>
      <c r="G2776" s="55"/>
      <c r="H2776" s="55"/>
      <c r="I2776" s="5"/>
      <c r="J2776" s="5"/>
      <c r="K2776" s="5"/>
      <c r="L2776" s="5"/>
      <c r="M2776" s="5"/>
      <c r="N2776" s="5"/>
      <c r="O2776" s="5"/>
      <c r="Q2776" s="5"/>
    </row>
    <row r="2777" spans="1:17">
      <c r="A2777" s="5"/>
      <c r="B2777" s="5"/>
      <c r="C2777" s="5"/>
      <c r="D2777" s="5"/>
      <c r="E2777" s="5"/>
      <c r="F2777" s="5"/>
      <c r="G2777" s="55"/>
      <c r="H2777" s="55"/>
      <c r="I2777" s="5"/>
      <c r="J2777" s="5"/>
      <c r="K2777" s="5"/>
      <c r="L2777" s="5"/>
      <c r="M2777" s="5"/>
      <c r="N2777" s="5"/>
      <c r="O2777" s="5"/>
      <c r="Q2777" s="5"/>
    </row>
    <row r="2778" spans="1:17">
      <c r="A2778" s="5"/>
      <c r="B2778" s="5"/>
      <c r="C2778" s="5"/>
      <c r="D2778" s="5"/>
      <c r="E2778" s="5"/>
      <c r="F2778" s="5"/>
      <c r="G2778" s="55"/>
      <c r="H2778" s="55"/>
      <c r="I2778" s="5"/>
      <c r="J2778" s="5"/>
      <c r="K2778" s="5"/>
      <c r="L2778" s="5"/>
      <c r="M2778" s="5"/>
      <c r="N2778" s="5"/>
      <c r="O2778" s="5"/>
      <c r="Q2778" s="5"/>
    </row>
    <row r="2779" spans="1:17">
      <c r="A2779" s="5"/>
      <c r="B2779" s="5"/>
      <c r="C2779" s="5"/>
      <c r="D2779" s="5"/>
      <c r="E2779" s="5"/>
      <c r="F2779" s="5"/>
      <c r="G2779" s="55"/>
      <c r="H2779" s="55"/>
      <c r="I2779" s="5"/>
      <c r="J2779" s="5"/>
      <c r="K2779" s="5"/>
      <c r="L2779" s="5"/>
      <c r="M2779" s="5"/>
      <c r="N2779" s="5"/>
      <c r="O2779" s="5"/>
      <c r="Q2779" s="5"/>
    </row>
    <row r="2780" spans="1:17">
      <c r="A2780" s="5"/>
      <c r="B2780" s="5"/>
      <c r="C2780" s="5"/>
      <c r="D2780" s="5"/>
      <c r="E2780" s="5"/>
      <c r="F2780" s="5"/>
      <c r="G2780" s="55"/>
      <c r="H2780" s="55"/>
      <c r="I2780" s="5"/>
      <c r="J2780" s="5"/>
      <c r="K2780" s="5"/>
      <c r="L2780" s="5"/>
      <c r="M2780" s="5"/>
      <c r="N2780" s="5"/>
      <c r="O2780" s="5"/>
      <c r="Q2780" s="5"/>
    </row>
    <row r="2781" spans="1:17">
      <c r="A2781" s="5"/>
      <c r="B2781" s="5"/>
      <c r="C2781" s="5"/>
      <c r="D2781" s="5"/>
      <c r="E2781" s="5"/>
      <c r="F2781" s="5"/>
      <c r="G2781" s="55"/>
      <c r="H2781" s="55"/>
      <c r="I2781" s="5"/>
      <c r="J2781" s="5"/>
      <c r="K2781" s="5"/>
      <c r="L2781" s="5"/>
      <c r="M2781" s="5"/>
      <c r="N2781" s="5"/>
      <c r="O2781" s="5"/>
      <c r="Q2781" s="5"/>
    </row>
    <row r="2782" spans="1:17">
      <c r="A2782" s="5"/>
      <c r="B2782" s="5"/>
      <c r="C2782" s="5"/>
      <c r="D2782" s="5"/>
      <c r="E2782" s="5"/>
      <c r="F2782" s="5"/>
      <c r="G2782" s="55"/>
      <c r="H2782" s="55"/>
      <c r="I2782" s="5"/>
      <c r="J2782" s="5"/>
      <c r="K2782" s="5"/>
      <c r="L2782" s="5"/>
      <c r="M2782" s="5"/>
      <c r="N2782" s="5"/>
      <c r="O2782" s="5"/>
      <c r="Q2782" s="5"/>
    </row>
    <row r="2783" spans="1:17">
      <c r="A2783" s="5"/>
      <c r="B2783" s="5"/>
      <c r="C2783" s="5"/>
      <c r="D2783" s="5"/>
      <c r="E2783" s="5"/>
      <c r="F2783" s="5"/>
      <c r="G2783" s="55"/>
      <c r="H2783" s="55"/>
      <c r="I2783" s="5"/>
      <c r="J2783" s="5"/>
      <c r="K2783" s="5"/>
      <c r="L2783" s="5"/>
      <c r="M2783" s="5"/>
      <c r="N2783" s="5"/>
      <c r="O2783" s="5"/>
      <c r="Q2783" s="5"/>
    </row>
    <row r="2784" spans="1:17">
      <c r="A2784" s="5"/>
      <c r="B2784" s="5"/>
      <c r="C2784" s="5"/>
      <c r="D2784" s="5"/>
      <c r="E2784" s="5"/>
      <c r="F2784" s="5"/>
      <c r="G2784" s="55"/>
      <c r="H2784" s="55"/>
      <c r="I2784" s="5"/>
      <c r="J2784" s="5"/>
      <c r="K2784" s="5"/>
      <c r="L2784" s="5"/>
      <c r="M2784" s="5"/>
      <c r="N2784" s="5"/>
      <c r="O2784" s="5"/>
      <c r="Q2784" s="5"/>
    </row>
    <row r="2785" spans="1:17">
      <c r="A2785" s="5"/>
      <c r="B2785" s="5"/>
      <c r="C2785" s="5"/>
      <c r="D2785" s="5"/>
      <c r="E2785" s="5"/>
      <c r="F2785" s="5"/>
      <c r="G2785" s="55"/>
      <c r="H2785" s="55"/>
      <c r="I2785" s="5"/>
      <c r="J2785" s="5"/>
      <c r="K2785" s="5"/>
      <c r="L2785" s="5"/>
      <c r="M2785" s="5"/>
      <c r="N2785" s="5"/>
      <c r="O2785" s="5"/>
      <c r="Q2785" s="5"/>
    </row>
    <row r="2786" spans="1:17">
      <c r="A2786" s="5"/>
      <c r="B2786" s="5"/>
      <c r="C2786" s="5"/>
      <c r="D2786" s="5"/>
      <c r="E2786" s="5"/>
      <c r="F2786" s="5"/>
      <c r="G2786" s="55"/>
      <c r="H2786" s="55"/>
      <c r="I2786" s="5"/>
      <c r="J2786" s="5"/>
      <c r="K2786" s="5"/>
      <c r="L2786" s="5"/>
      <c r="M2786" s="5"/>
      <c r="N2786" s="5"/>
      <c r="O2786" s="5"/>
      <c r="Q2786" s="5"/>
    </row>
    <row r="2787" spans="1:17">
      <c r="A2787" s="5"/>
      <c r="B2787" s="5"/>
      <c r="C2787" s="5"/>
      <c r="D2787" s="5"/>
      <c r="E2787" s="5"/>
      <c r="F2787" s="5"/>
      <c r="G2787" s="55"/>
      <c r="H2787" s="55"/>
      <c r="I2787" s="5"/>
      <c r="J2787" s="5"/>
      <c r="K2787" s="5"/>
      <c r="L2787" s="5"/>
      <c r="M2787" s="5"/>
      <c r="N2787" s="5"/>
      <c r="O2787" s="5"/>
      <c r="Q2787" s="5"/>
    </row>
    <row r="2788" spans="1:17">
      <c r="A2788" s="5"/>
      <c r="B2788" s="5"/>
      <c r="C2788" s="5"/>
      <c r="D2788" s="5"/>
      <c r="E2788" s="5"/>
      <c r="F2788" s="5"/>
      <c r="G2788" s="55"/>
      <c r="H2788" s="55"/>
      <c r="I2788" s="5"/>
      <c r="J2788" s="5"/>
      <c r="K2788" s="5"/>
      <c r="L2788" s="5"/>
      <c r="M2788" s="5"/>
      <c r="N2788" s="5"/>
      <c r="O2788" s="5"/>
      <c r="Q2788" s="5"/>
    </row>
    <row r="2789" spans="1:17">
      <c r="A2789" s="5"/>
      <c r="B2789" s="5"/>
      <c r="C2789" s="5"/>
      <c r="D2789" s="5"/>
      <c r="E2789" s="5"/>
      <c r="F2789" s="5"/>
      <c r="G2789" s="55"/>
      <c r="H2789" s="55"/>
      <c r="I2789" s="5"/>
      <c r="J2789" s="5"/>
      <c r="K2789" s="5"/>
      <c r="L2789" s="5"/>
      <c r="M2789" s="5"/>
      <c r="N2789" s="5"/>
      <c r="O2789" s="5"/>
      <c r="Q2789" s="5"/>
    </row>
    <row r="2790" spans="1:17">
      <c r="A2790" s="5"/>
      <c r="B2790" s="5"/>
      <c r="C2790" s="5"/>
      <c r="D2790" s="5"/>
      <c r="E2790" s="5"/>
      <c r="F2790" s="5"/>
      <c r="G2790" s="55"/>
      <c r="H2790" s="55"/>
      <c r="I2790" s="5"/>
      <c r="J2790" s="5"/>
      <c r="K2790" s="5"/>
      <c r="L2790" s="5"/>
      <c r="M2790" s="5"/>
      <c r="N2790" s="5"/>
      <c r="O2790" s="5"/>
      <c r="Q2790" s="5"/>
    </row>
    <row r="2791" spans="1:17">
      <c r="A2791" s="5"/>
      <c r="B2791" s="5"/>
      <c r="C2791" s="5"/>
      <c r="D2791" s="5"/>
      <c r="E2791" s="5"/>
      <c r="F2791" s="5"/>
      <c r="G2791" s="55"/>
      <c r="H2791" s="55"/>
      <c r="I2791" s="5"/>
      <c r="J2791" s="5"/>
      <c r="K2791" s="5"/>
      <c r="L2791" s="5"/>
      <c r="M2791" s="5"/>
      <c r="N2791" s="5"/>
      <c r="O2791" s="5"/>
      <c r="Q2791" s="5"/>
    </row>
    <row r="2792" spans="1:17">
      <c r="A2792" s="5"/>
      <c r="B2792" s="5"/>
      <c r="C2792" s="5"/>
      <c r="D2792" s="5"/>
      <c r="E2792" s="5"/>
      <c r="F2792" s="5"/>
      <c r="G2792" s="55"/>
      <c r="H2792" s="55"/>
      <c r="I2792" s="5"/>
      <c r="J2792" s="5"/>
      <c r="K2792" s="5"/>
      <c r="L2792" s="5"/>
      <c r="M2792" s="5"/>
      <c r="N2792" s="5"/>
      <c r="O2792" s="5"/>
      <c r="Q2792" s="5"/>
    </row>
    <row r="2793" spans="1:17">
      <c r="A2793" s="5"/>
      <c r="B2793" s="5"/>
      <c r="C2793" s="5"/>
      <c r="D2793" s="5"/>
      <c r="E2793" s="5"/>
      <c r="F2793" s="5"/>
      <c r="G2793" s="55"/>
      <c r="H2793" s="55"/>
      <c r="I2793" s="5"/>
      <c r="J2793" s="5"/>
      <c r="K2793" s="5"/>
      <c r="L2793" s="5"/>
      <c r="M2793" s="5"/>
      <c r="N2793" s="5"/>
      <c r="O2793" s="5"/>
      <c r="Q2793" s="5"/>
    </row>
    <row r="2794" spans="1:17">
      <c r="A2794" s="5"/>
      <c r="B2794" s="5"/>
      <c r="C2794" s="5"/>
      <c r="D2794" s="5"/>
      <c r="E2794" s="5"/>
      <c r="F2794" s="5"/>
      <c r="G2794" s="55"/>
      <c r="H2794" s="55"/>
      <c r="I2794" s="5"/>
      <c r="J2794" s="5"/>
      <c r="K2794" s="5"/>
      <c r="L2794" s="5"/>
      <c r="M2794" s="5"/>
      <c r="N2794" s="5"/>
      <c r="O2794" s="5"/>
      <c r="Q2794" s="5"/>
    </row>
    <row r="2795" spans="1:17">
      <c r="A2795" s="5"/>
      <c r="B2795" s="5"/>
      <c r="C2795" s="5"/>
      <c r="D2795" s="5"/>
      <c r="E2795" s="5"/>
      <c r="F2795" s="5"/>
      <c r="G2795" s="55"/>
      <c r="H2795" s="55"/>
      <c r="I2795" s="5"/>
      <c r="J2795" s="5"/>
      <c r="K2795" s="5"/>
      <c r="L2795" s="5"/>
      <c r="M2795" s="5"/>
      <c r="N2795" s="5"/>
      <c r="O2795" s="5"/>
      <c r="Q2795" s="5"/>
    </row>
    <row r="2796" spans="1:17">
      <c r="A2796" s="5"/>
      <c r="B2796" s="5"/>
      <c r="C2796" s="5"/>
      <c r="D2796" s="5"/>
      <c r="E2796" s="5"/>
      <c r="F2796" s="5"/>
      <c r="G2796" s="55"/>
      <c r="H2796" s="55"/>
      <c r="I2796" s="5"/>
      <c r="J2796" s="5"/>
      <c r="K2796" s="5"/>
      <c r="L2796" s="5"/>
      <c r="M2796" s="5"/>
      <c r="N2796" s="5"/>
      <c r="O2796" s="5"/>
      <c r="Q2796" s="5"/>
    </row>
    <row r="2797" spans="1:17">
      <c r="A2797" s="5"/>
      <c r="B2797" s="5"/>
      <c r="C2797" s="5"/>
      <c r="D2797" s="5"/>
      <c r="E2797" s="5"/>
      <c r="F2797" s="5"/>
      <c r="G2797" s="55"/>
      <c r="H2797" s="55"/>
      <c r="I2797" s="5"/>
      <c r="J2797" s="5"/>
      <c r="K2797" s="5"/>
      <c r="L2797" s="5"/>
      <c r="M2797" s="5"/>
      <c r="N2797" s="5"/>
      <c r="O2797" s="5"/>
      <c r="Q2797" s="5"/>
    </row>
    <row r="2798" spans="1:17">
      <c r="A2798" s="5"/>
      <c r="B2798" s="5"/>
      <c r="C2798" s="5"/>
      <c r="D2798" s="5"/>
      <c r="E2798" s="5"/>
      <c r="F2798" s="5"/>
      <c r="G2798" s="55"/>
      <c r="H2798" s="55"/>
      <c r="I2798" s="5"/>
      <c r="J2798" s="5"/>
      <c r="K2798" s="5"/>
      <c r="L2798" s="5"/>
      <c r="M2798" s="5"/>
      <c r="N2798" s="5"/>
      <c r="O2798" s="5"/>
      <c r="Q2798" s="5"/>
    </row>
    <row r="2799" spans="1:17">
      <c r="A2799" s="5"/>
      <c r="B2799" s="5"/>
      <c r="C2799" s="5"/>
      <c r="D2799" s="5"/>
      <c r="E2799" s="5"/>
      <c r="F2799" s="5"/>
      <c r="G2799" s="55"/>
      <c r="H2799" s="55"/>
      <c r="I2799" s="5"/>
      <c r="J2799" s="5"/>
      <c r="K2799" s="5"/>
      <c r="L2799" s="5"/>
      <c r="M2799" s="5"/>
      <c r="N2799" s="5"/>
      <c r="O2799" s="5"/>
      <c r="Q2799" s="5"/>
    </row>
    <row r="2800" spans="1:17">
      <c r="A2800" s="5"/>
      <c r="B2800" s="5"/>
      <c r="C2800" s="5"/>
      <c r="D2800" s="5"/>
      <c r="E2800" s="5"/>
      <c r="F2800" s="5"/>
      <c r="G2800" s="55"/>
      <c r="H2800" s="55"/>
      <c r="I2800" s="5"/>
      <c r="J2800" s="5"/>
      <c r="K2800" s="5"/>
      <c r="L2800" s="5"/>
      <c r="M2800" s="5"/>
      <c r="N2800" s="5"/>
      <c r="O2800" s="5"/>
      <c r="Q2800" s="5"/>
    </row>
    <row r="2801" spans="1:17">
      <c r="A2801" s="5"/>
      <c r="B2801" s="5"/>
      <c r="C2801" s="5"/>
      <c r="D2801" s="5"/>
      <c r="E2801" s="5"/>
      <c r="F2801" s="5"/>
      <c r="G2801" s="55"/>
      <c r="H2801" s="55"/>
      <c r="I2801" s="5"/>
      <c r="J2801" s="5"/>
      <c r="K2801" s="5"/>
      <c r="L2801" s="5"/>
      <c r="M2801" s="5"/>
      <c r="N2801" s="5"/>
      <c r="O2801" s="5"/>
      <c r="Q2801" s="5"/>
    </row>
    <row r="2802" spans="1:17">
      <c r="A2802" s="5"/>
      <c r="B2802" s="5"/>
      <c r="C2802" s="5"/>
      <c r="D2802" s="5"/>
      <c r="E2802" s="5"/>
      <c r="F2802" s="5"/>
      <c r="G2802" s="55"/>
      <c r="H2802" s="55"/>
      <c r="I2802" s="5"/>
      <c r="J2802" s="5"/>
      <c r="K2802" s="5"/>
      <c r="L2802" s="5"/>
      <c r="M2802" s="5"/>
      <c r="N2802" s="5"/>
      <c r="O2802" s="5"/>
      <c r="Q2802" s="5"/>
    </row>
    <row r="2803" spans="1:17">
      <c r="A2803" s="5"/>
      <c r="B2803" s="5"/>
      <c r="C2803" s="5"/>
      <c r="D2803" s="5"/>
      <c r="E2803" s="5"/>
      <c r="F2803" s="5"/>
      <c r="G2803" s="55"/>
      <c r="H2803" s="55"/>
      <c r="I2803" s="5"/>
      <c r="J2803" s="5"/>
      <c r="K2803" s="5"/>
      <c r="L2803" s="5"/>
      <c r="M2803" s="5"/>
      <c r="N2803" s="5"/>
      <c r="O2803" s="5"/>
      <c r="Q2803" s="5"/>
    </row>
    <row r="2804" spans="1:17">
      <c r="A2804" s="5"/>
      <c r="B2804" s="5"/>
      <c r="C2804" s="5"/>
      <c r="D2804" s="5"/>
      <c r="E2804" s="5"/>
      <c r="F2804" s="5"/>
      <c r="G2804" s="55"/>
      <c r="H2804" s="55"/>
      <c r="I2804" s="5"/>
      <c r="J2804" s="5"/>
      <c r="K2804" s="5"/>
      <c r="L2804" s="5"/>
      <c r="M2804" s="5"/>
      <c r="N2804" s="5"/>
      <c r="O2804" s="5"/>
      <c r="Q2804" s="5"/>
    </row>
    <row r="2805" spans="1:17">
      <c r="A2805" s="5"/>
      <c r="B2805" s="5"/>
      <c r="C2805" s="5"/>
      <c r="D2805" s="5"/>
      <c r="E2805" s="5"/>
      <c r="F2805" s="5"/>
      <c r="G2805" s="55"/>
      <c r="H2805" s="55"/>
      <c r="I2805" s="5"/>
      <c r="J2805" s="5"/>
      <c r="K2805" s="5"/>
      <c r="L2805" s="5"/>
      <c r="M2805" s="5"/>
      <c r="N2805" s="5"/>
      <c r="O2805" s="5"/>
      <c r="Q2805" s="5"/>
    </row>
    <row r="2806" spans="1:17">
      <c r="A2806" s="5"/>
      <c r="B2806" s="5"/>
      <c r="C2806" s="5"/>
      <c r="D2806" s="5"/>
      <c r="E2806" s="5"/>
      <c r="F2806" s="5"/>
      <c r="G2806" s="55"/>
      <c r="H2806" s="55"/>
      <c r="I2806" s="5"/>
      <c r="J2806" s="5"/>
      <c r="K2806" s="5"/>
      <c r="L2806" s="5"/>
      <c r="M2806" s="5"/>
      <c r="N2806" s="5"/>
      <c r="O2806" s="5"/>
      <c r="Q2806" s="5"/>
    </row>
    <row r="2807" spans="1:17">
      <c r="A2807" s="5"/>
      <c r="B2807" s="5"/>
      <c r="C2807" s="5"/>
      <c r="D2807" s="5"/>
      <c r="E2807" s="5"/>
      <c r="F2807" s="5"/>
      <c r="G2807" s="55"/>
      <c r="H2807" s="55"/>
      <c r="I2807" s="5"/>
      <c r="J2807" s="5"/>
      <c r="K2807" s="5"/>
      <c r="L2807" s="5"/>
      <c r="M2807" s="5"/>
      <c r="N2807" s="5"/>
      <c r="O2807" s="5"/>
      <c r="Q2807" s="5"/>
    </row>
    <row r="2808" spans="1:17">
      <c r="A2808" s="5"/>
      <c r="B2808" s="5"/>
      <c r="C2808" s="5"/>
      <c r="D2808" s="5"/>
      <c r="E2808" s="5"/>
      <c r="F2808" s="5"/>
      <c r="G2808" s="55"/>
      <c r="H2808" s="55"/>
      <c r="I2808" s="5"/>
      <c r="J2808" s="5"/>
      <c r="K2808" s="5"/>
      <c r="L2808" s="5"/>
      <c r="M2808" s="5"/>
      <c r="N2808" s="5"/>
      <c r="O2808" s="5"/>
      <c r="Q2808" s="5"/>
    </row>
    <row r="2809" spans="1:17">
      <c r="A2809" s="5"/>
      <c r="B2809" s="5"/>
      <c r="C2809" s="5"/>
      <c r="D2809" s="5"/>
      <c r="E2809" s="5"/>
      <c r="F2809" s="5"/>
      <c r="G2809" s="55"/>
      <c r="H2809" s="55"/>
      <c r="I2809" s="5"/>
      <c r="J2809" s="5"/>
      <c r="K2809" s="5"/>
      <c r="L2809" s="5"/>
      <c r="M2809" s="5"/>
      <c r="N2809" s="5"/>
      <c r="O2809" s="5"/>
      <c r="Q2809" s="5"/>
    </row>
    <row r="2810" spans="1:17">
      <c r="A2810" s="5"/>
      <c r="B2810" s="5"/>
      <c r="C2810" s="5"/>
      <c r="D2810" s="5"/>
      <c r="E2810" s="5"/>
      <c r="F2810" s="5"/>
      <c r="G2810" s="55"/>
      <c r="H2810" s="55"/>
      <c r="I2810" s="5"/>
      <c r="J2810" s="5"/>
      <c r="K2810" s="5"/>
      <c r="L2810" s="5"/>
      <c r="M2810" s="5"/>
      <c r="N2810" s="5"/>
      <c r="O2810" s="5"/>
      <c r="Q2810" s="5"/>
    </row>
    <row r="2811" spans="1:17">
      <c r="A2811" s="5"/>
      <c r="B2811" s="5"/>
      <c r="C2811" s="5"/>
      <c r="D2811" s="5"/>
      <c r="E2811" s="5"/>
      <c r="F2811" s="5"/>
      <c r="G2811" s="55"/>
      <c r="H2811" s="55"/>
      <c r="I2811" s="5"/>
      <c r="J2811" s="5"/>
      <c r="K2811" s="5"/>
      <c r="L2811" s="5"/>
      <c r="M2811" s="5"/>
      <c r="N2811" s="5"/>
      <c r="O2811" s="5"/>
      <c r="Q2811" s="5"/>
    </row>
    <row r="2812" spans="1:17">
      <c r="A2812" s="5"/>
      <c r="B2812" s="5"/>
      <c r="C2812" s="5"/>
      <c r="D2812" s="5"/>
      <c r="E2812" s="5"/>
      <c r="F2812" s="5"/>
      <c r="G2812" s="55"/>
      <c r="H2812" s="55"/>
      <c r="I2812" s="5"/>
      <c r="J2812" s="5"/>
      <c r="K2812" s="5"/>
      <c r="L2812" s="5"/>
      <c r="M2812" s="5"/>
      <c r="N2812" s="5"/>
      <c r="O2812" s="5"/>
      <c r="Q2812" s="5"/>
    </row>
    <row r="2813" spans="1:17">
      <c r="A2813" s="5"/>
      <c r="B2813" s="5"/>
      <c r="C2813" s="5"/>
      <c r="D2813" s="5"/>
      <c r="E2813" s="5"/>
      <c r="F2813" s="5"/>
      <c r="G2813" s="55"/>
      <c r="H2813" s="55"/>
      <c r="I2813" s="5"/>
      <c r="J2813" s="5"/>
      <c r="K2813" s="5"/>
      <c r="L2813" s="5"/>
      <c r="M2813" s="5"/>
      <c r="N2813" s="5"/>
      <c r="O2813" s="5"/>
      <c r="Q2813" s="5"/>
    </row>
    <row r="2814" spans="1:17">
      <c r="A2814" s="5"/>
      <c r="B2814" s="5"/>
      <c r="C2814" s="5"/>
      <c r="D2814" s="5"/>
      <c r="E2814" s="5"/>
      <c r="F2814" s="5"/>
      <c r="G2814" s="55"/>
      <c r="H2814" s="55"/>
      <c r="I2814" s="5"/>
      <c r="J2814" s="5"/>
      <c r="K2814" s="5"/>
      <c r="L2814" s="5"/>
      <c r="M2814" s="5"/>
      <c r="N2814" s="5"/>
      <c r="O2814" s="5"/>
      <c r="Q2814" s="5"/>
    </row>
    <row r="2815" spans="1:17">
      <c r="A2815" s="5"/>
      <c r="B2815" s="5"/>
      <c r="C2815" s="5"/>
      <c r="D2815" s="5"/>
      <c r="E2815" s="5"/>
      <c r="F2815" s="5"/>
      <c r="G2815" s="55"/>
      <c r="H2815" s="55"/>
      <c r="I2815" s="5"/>
      <c r="J2815" s="5"/>
      <c r="K2815" s="5"/>
      <c r="L2815" s="5"/>
      <c r="M2815" s="5"/>
      <c r="N2815" s="5"/>
      <c r="O2815" s="5"/>
      <c r="Q2815" s="5"/>
    </row>
    <row r="2816" spans="1:17">
      <c r="A2816" s="5"/>
      <c r="B2816" s="5"/>
      <c r="C2816" s="5"/>
      <c r="D2816" s="5"/>
      <c r="E2816" s="5"/>
      <c r="F2816" s="5"/>
      <c r="G2816" s="55"/>
      <c r="H2816" s="55"/>
      <c r="I2816" s="5"/>
      <c r="J2816" s="5"/>
      <c r="K2816" s="5"/>
      <c r="L2816" s="5"/>
      <c r="M2816" s="5"/>
      <c r="N2816" s="5"/>
      <c r="O2816" s="5"/>
      <c r="Q2816" s="5"/>
    </row>
    <row r="2817" spans="1:17">
      <c r="A2817" s="5"/>
      <c r="B2817" s="5"/>
      <c r="C2817" s="5"/>
      <c r="D2817" s="5"/>
      <c r="E2817" s="5"/>
      <c r="F2817" s="5"/>
      <c r="G2817" s="55"/>
      <c r="H2817" s="55"/>
      <c r="I2817" s="5"/>
      <c r="J2817" s="5"/>
      <c r="K2817" s="5"/>
      <c r="L2817" s="5"/>
      <c r="M2817" s="5"/>
      <c r="N2817" s="5"/>
      <c r="O2817" s="5"/>
      <c r="Q2817" s="5"/>
    </row>
    <row r="2818" spans="1:17">
      <c r="A2818" s="5"/>
      <c r="B2818" s="5"/>
      <c r="C2818" s="5"/>
      <c r="D2818" s="5"/>
      <c r="E2818" s="5"/>
      <c r="F2818" s="5"/>
      <c r="G2818" s="55"/>
      <c r="H2818" s="55"/>
      <c r="I2818" s="5"/>
      <c r="J2818" s="5"/>
      <c r="K2818" s="5"/>
      <c r="L2818" s="5"/>
      <c r="M2818" s="5"/>
      <c r="N2818" s="5"/>
      <c r="O2818" s="5"/>
      <c r="Q2818" s="5"/>
    </row>
    <row r="2819" spans="1:17">
      <c r="A2819" s="5"/>
      <c r="B2819" s="5"/>
      <c r="C2819" s="5"/>
      <c r="D2819" s="5"/>
      <c r="E2819" s="5"/>
      <c r="F2819" s="5"/>
      <c r="G2819" s="55"/>
      <c r="H2819" s="55"/>
      <c r="I2819" s="5"/>
      <c r="J2819" s="5"/>
      <c r="K2819" s="5"/>
      <c r="L2819" s="5"/>
      <c r="M2819" s="5"/>
      <c r="N2819" s="5"/>
      <c r="O2819" s="5"/>
      <c r="Q2819" s="5"/>
    </row>
    <row r="2820" spans="1:17">
      <c r="A2820" s="5"/>
      <c r="B2820" s="5"/>
      <c r="C2820" s="5"/>
      <c r="D2820" s="5"/>
      <c r="E2820" s="5"/>
      <c r="F2820" s="5"/>
      <c r="G2820" s="55"/>
      <c r="H2820" s="55"/>
      <c r="I2820" s="5"/>
      <c r="J2820" s="5"/>
      <c r="K2820" s="5"/>
      <c r="L2820" s="5"/>
      <c r="M2820" s="5"/>
      <c r="N2820" s="5"/>
      <c r="O2820" s="5"/>
      <c r="Q2820" s="5"/>
    </row>
    <row r="2821" spans="1:17">
      <c r="A2821" s="5"/>
      <c r="B2821" s="5"/>
      <c r="C2821" s="5"/>
      <c r="D2821" s="5"/>
      <c r="E2821" s="5"/>
      <c r="F2821" s="5"/>
      <c r="G2821" s="55"/>
      <c r="H2821" s="55"/>
      <c r="I2821" s="5"/>
      <c r="J2821" s="5"/>
      <c r="K2821" s="5"/>
      <c r="L2821" s="5"/>
      <c r="M2821" s="5"/>
      <c r="N2821" s="5"/>
      <c r="O2821" s="5"/>
      <c r="Q2821" s="5"/>
    </row>
    <row r="2822" spans="1:17">
      <c r="A2822" s="5"/>
      <c r="B2822" s="5"/>
      <c r="C2822" s="5"/>
      <c r="D2822" s="5"/>
      <c r="E2822" s="5"/>
      <c r="F2822" s="5"/>
      <c r="G2822" s="55"/>
      <c r="H2822" s="55"/>
      <c r="I2822" s="5"/>
      <c r="J2822" s="5"/>
      <c r="K2822" s="5"/>
      <c r="L2822" s="5"/>
      <c r="M2822" s="5"/>
      <c r="N2822" s="5"/>
      <c r="O2822" s="5"/>
      <c r="Q2822" s="5"/>
    </row>
    <row r="2823" spans="1:17">
      <c r="A2823" s="5"/>
      <c r="B2823" s="5"/>
      <c r="C2823" s="5"/>
      <c r="D2823" s="5"/>
      <c r="E2823" s="5"/>
      <c r="F2823" s="5"/>
      <c r="G2823" s="55"/>
      <c r="H2823" s="55"/>
      <c r="I2823" s="5"/>
      <c r="J2823" s="5"/>
      <c r="K2823" s="5"/>
      <c r="L2823" s="5"/>
      <c r="M2823" s="5"/>
      <c r="N2823" s="5"/>
      <c r="O2823" s="5"/>
      <c r="Q2823" s="5"/>
    </row>
    <row r="2824" spans="1:17">
      <c r="A2824" s="5"/>
      <c r="B2824" s="5"/>
      <c r="C2824" s="5"/>
      <c r="D2824" s="5"/>
      <c r="E2824" s="5"/>
      <c r="F2824" s="5"/>
      <c r="G2824" s="55"/>
      <c r="H2824" s="55"/>
      <c r="I2824" s="5"/>
      <c r="J2824" s="5"/>
      <c r="K2824" s="5"/>
      <c r="L2824" s="5"/>
      <c r="M2824" s="5"/>
      <c r="N2824" s="5"/>
      <c r="O2824" s="5"/>
      <c r="Q2824" s="5"/>
    </row>
    <row r="2825" spans="1:17">
      <c r="A2825" s="5"/>
      <c r="B2825" s="5"/>
      <c r="C2825" s="5"/>
      <c r="D2825" s="5"/>
      <c r="E2825" s="5"/>
      <c r="F2825" s="5"/>
      <c r="G2825" s="55"/>
      <c r="H2825" s="55"/>
      <c r="I2825" s="5"/>
      <c r="J2825" s="5"/>
      <c r="K2825" s="5"/>
      <c r="L2825" s="5"/>
      <c r="M2825" s="5"/>
      <c r="N2825" s="5"/>
      <c r="O2825" s="5"/>
      <c r="Q2825" s="5"/>
    </row>
    <row r="2826" spans="1:17">
      <c r="A2826" s="5"/>
      <c r="B2826" s="5"/>
      <c r="C2826" s="5"/>
      <c r="D2826" s="5"/>
      <c r="E2826" s="5"/>
      <c r="F2826" s="5"/>
      <c r="G2826" s="55"/>
      <c r="H2826" s="55"/>
      <c r="I2826" s="5"/>
      <c r="J2826" s="5"/>
      <c r="K2826" s="5"/>
      <c r="L2826" s="5"/>
      <c r="M2826" s="5"/>
      <c r="N2826" s="5"/>
      <c r="O2826" s="5"/>
      <c r="Q2826" s="5"/>
    </row>
    <row r="2827" spans="1:17">
      <c r="A2827" s="5"/>
      <c r="B2827" s="5"/>
      <c r="C2827" s="5"/>
      <c r="D2827" s="5"/>
      <c r="E2827" s="5"/>
      <c r="F2827" s="5"/>
      <c r="G2827" s="55"/>
      <c r="H2827" s="55"/>
      <c r="I2827" s="5"/>
      <c r="J2827" s="5"/>
      <c r="K2827" s="5"/>
      <c r="L2827" s="5"/>
      <c r="M2827" s="5"/>
      <c r="N2827" s="5"/>
      <c r="O2827" s="5"/>
      <c r="Q2827" s="5"/>
    </row>
    <row r="2828" spans="1:17">
      <c r="A2828" s="5"/>
      <c r="B2828" s="5"/>
      <c r="C2828" s="5"/>
      <c r="D2828" s="5"/>
      <c r="E2828" s="5"/>
      <c r="F2828" s="5"/>
      <c r="G2828" s="55"/>
      <c r="H2828" s="55"/>
      <c r="I2828" s="5"/>
      <c r="J2828" s="5"/>
      <c r="K2828" s="5"/>
      <c r="L2828" s="5"/>
      <c r="M2828" s="5"/>
      <c r="N2828" s="5"/>
      <c r="O2828" s="5"/>
      <c r="Q2828" s="5"/>
    </row>
    <row r="2829" spans="1:17">
      <c r="A2829" s="5"/>
      <c r="B2829" s="5"/>
      <c r="C2829" s="5"/>
      <c r="D2829" s="5"/>
      <c r="E2829" s="5"/>
      <c r="F2829" s="5"/>
      <c r="G2829" s="55"/>
      <c r="H2829" s="55"/>
      <c r="I2829" s="5"/>
      <c r="J2829" s="5"/>
      <c r="K2829" s="5"/>
      <c r="L2829" s="5"/>
      <c r="M2829" s="5"/>
      <c r="N2829" s="5"/>
      <c r="O2829" s="5"/>
      <c r="Q2829" s="5"/>
    </row>
    <row r="2830" spans="1:17">
      <c r="A2830" s="5"/>
      <c r="B2830" s="5"/>
      <c r="C2830" s="5"/>
      <c r="D2830" s="5"/>
      <c r="E2830" s="5"/>
      <c r="F2830" s="5"/>
      <c r="G2830" s="55"/>
      <c r="H2830" s="55"/>
      <c r="I2830" s="5"/>
      <c r="J2830" s="5"/>
      <c r="K2830" s="5"/>
      <c r="L2830" s="5"/>
      <c r="M2830" s="5"/>
      <c r="N2830" s="5"/>
      <c r="O2830" s="5"/>
      <c r="Q2830" s="5"/>
    </row>
    <row r="2831" spans="1:17">
      <c r="A2831" s="5"/>
      <c r="B2831" s="5"/>
      <c r="C2831" s="5"/>
      <c r="D2831" s="5"/>
      <c r="E2831" s="5"/>
      <c r="F2831" s="5"/>
      <c r="G2831" s="55"/>
      <c r="H2831" s="55"/>
      <c r="I2831" s="5"/>
      <c r="J2831" s="5"/>
      <c r="K2831" s="5"/>
      <c r="L2831" s="5"/>
      <c r="M2831" s="5"/>
      <c r="N2831" s="5"/>
      <c r="O2831" s="5"/>
      <c r="Q2831" s="5"/>
    </row>
    <row r="2832" spans="1:17">
      <c r="A2832" s="5"/>
      <c r="B2832" s="5"/>
      <c r="C2832" s="5"/>
      <c r="D2832" s="5"/>
      <c r="E2832" s="5"/>
      <c r="F2832" s="5"/>
      <c r="G2832" s="55"/>
      <c r="H2832" s="55"/>
      <c r="I2832" s="5"/>
      <c r="J2832" s="5"/>
      <c r="K2832" s="5"/>
      <c r="L2832" s="5"/>
      <c r="M2832" s="5"/>
      <c r="N2832" s="5"/>
      <c r="O2832" s="5"/>
      <c r="Q2832" s="5"/>
    </row>
    <row r="2833" spans="1:17">
      <c r="A2833" s="5"/>
      <c r="B2833" s="5"/>
      <c r="C2833" s="5"/>
      <c r="D2833" s="5"/>
      <c r="E2833" s="5"/>
      <c r="F2833" s="5"/>
      <c r="G2833" s="55"/>
      <c r="H2833" s="55"/>
      <c r="I2833" s="5"/>
      <c r="J2833" s="5"/>
      <c r="K2833" s="5"/>
      <c r="L2833" s="5"/>
      <c r="M2833" s="5"/>
      <c r="N2833" s="5"/>
      <c r="O2833" s="5"/>
      <c r="Q2833" s="5"/>
    </row>
    <row r="2834" spans="1:17">
      <c r="A2834" s="5"/>
      <c r="B2834" s="5"/>
      <c r="C2834" s="5"/>
      <c r="D2834" s="5"/>
      <c r="E2834" s="5"/>
      <c r="F2834" s="5"/>
      <c r="G2834" s="55"/>
      <c r="H2834" s="55"/>
      <c r="I2834" s="5"/>
      <c r="J2834" s="5"/>
      <c r="K2834" s="5"/>
      <c r="L2834" s="5"/>
      <c r="M2834" s="5"/>
      <c r="N2834" s="5"/>
      <c r="O2834" s="5"/>
      <c r="Q2834" s="5"/>
    </row>
    <row r="2835" spans="1:17">
      <c r="A2835" s="5"/>
      <c r="B2835" s="5"/>
      <c r="C2835" s="5"/>
      <c r="D2835" s="5"/>
      <c r="E2835" s="5"/>
      <c r="F2835" s="5"/>
      <c r="G2835" s="55"/>
      <c r="H2835" s="55"/>
      <c r="I2835" s="5"/>
      <c r="J2835" s="5"/>
      <c r="K2835" s="5"/>
      <c r="L2835" s="5"/>
      <c r="M2835" s="5"/>
      <c r="N2835" s="5"/>
      <c r="O2835" s="5"/>
      <c r="Q2835" s="5"/>
    </row>
    <row r="2836" spans="1:17">
      <c r="A2836" s="5"/>
      <c r="B2836" s="5"/>
      <c r="C2836" s="5"/>
      <c r="D2836" s="5"/>
      <c r="E2836" s="5"/>
      <c r="F2836" s="5"/>
      <c r="G2836" s="55"/>
      <c r="H2836" s="55"/>
      <c r="I2836" s="5"/>
      <c r="J2836" s="5"/>
      <c r="K2836" s="5"/>
      <c r="L2836" s="5"/>
      <c r="M2836" s="5"/>
      <c r="N2836" s="5"/>
      <c r="O2836" s="5"/>
      <c r="Q2836" s="5"/>
    </row>
    <row r="2837" spans="1:17">
      <c r="A2837" s="5"/>
      <c r="B2837" s="5"/>
      <c r="C2837" s="5"/>
      <c r="D2837" s="5"/>
      <c r="E2837" s="5"/>
      <c r="F2837" s="5"/>
      <c r="G2837" s="55"/>
      <c r="H2837" s="55"/>
      <c r="I2837" s="5"/>
      <c r="J2837" s="5"/>
      <c r="K2837" s="5"/>
      <c r="L2837" s="5"/>
      <c r="M2837" s="5"/>
      <c r="N2837" s="5"/>
      <c r="O2837" s="5"/>
      <c r="Q2837" s="5"/>
    </row>
    <row r="2838" spans="1:17">
      <c r="A2838" s="5"/>
      <c r="B2838" s="5"/>
      <c r="C2838" s="5"/>
      <c r="D2838" s="5"/>
      <c r="E2838" s="5"/>
      <c r="F2838" s="5"/>
      <c r="G2838" s="55"/>
      <c r="H2838" s="55"/>
      <c r="I2838" s="5"/>
      <c r="J2838" s="5"/>
      <c r="K2838" s="5"/>
      <c r="L2838" s="5"/>
      <c r="M2838" s="5"/>
      <c r="N2838" s="5"/>
      <c r="O2838" s="5"/>
      <c r="Q2838" s="5"/>
    </row>
    <row r="2839" spans="1:17">
      <c r="A2839" s="5"/>
      <c r="B2839" s="5"/>
      <c r="C2839" s="5"/>
      <c r="D2839" s="5"/>
      <c r="E2839" s="5"/>
      <c r="F2839" s="5"/>
      <c r="G2839" s="55"/>
      <c r="H2839" s="55"/>
      <c r="I2839" s="5"/>
      <c r="J2839" s="5"/>
      <c r="K2839" s="5"/>
      <c r="L2839" s="5"/>
      <c r="M2839" s="5"/>
      <c r="N2839" s="5"/>
      <c r="O2839" s="5"/>
      <c r="Q2839" s="5"/>
    </row>
    <row r="2840" spans="1:17">
      <c r="A2840" s="5"/>
      <c r="B2840" s="5"/>
      <c r="C2840" s="5"/>
      <c r="D2840" s="5"/>
      <c r="E2840" s="5"/>
      <c r="F2840" s="5"/>
      <c r="G2840" s="55"/>
      <c r="H2840" s="55"/>
      <c r="I2840" s="5"/>
      <c r="J2840" s="5"/>
      <c r="K2840" s="5"/>
      <c r="L2840" s="5"/>
      <c r="M2840" s="5"/>
      <c r="N2840" s="5"/>
      <c r="O2840" s="5"/>
      <c r="Q2840" s="5"/>
    </row>
    <row r="2841" spans="1:17">
      <c r="A2841" s="5"/>
      <c r="B2841" s="5"/>
      <c r="C2841" s="5"/>
      <c r="D2841" s="5"/>
      <c r="E2841" s="5"/>
      <c r="F2841" s="5"/>
      <c r="G2841" s="55"/>
      <c r="H2841" s="55"/>
      <c r="I2841" s="5"/>
      <c r="J2841" s="5"/>
      <c r="K2841" s="5"/>
      <c r="L2841" s="5"/>
      <c r="M2841" s="5"/>
      <c r="N2841" s="5"/>
      <c r="O2841" s="5"/>
      <c r="Q2841" s="5"/>
    </row>
    <row r="2842" spans="1:17">
      <c r="A2842" s="5"/>
      <c r="B2842" s="5"/>
      <c r="C2842" s="5"/>
      <c r="D2842" s="5"/>
      <c r="E2842" s="5"/>
      <c r="F2842" s="5"/>
      <c r="G2842" s="55"/>
      <c r="H2842" s="55"/>
      <c r="I2842" s="5"/>
      <c r="J2842" s="5"/>
      <c r="K2842" s="5"/>
      <c r="L2842" s="5"/>
      <c r="M2842" s="5"/>
      <c r="N2842" s="5"/>
      <c r="O2842" s="5"/>
      <c r="Q2842" s="5"/>
    </row>
    <row r="2843" spans="1:17">
      <c r="A2843" s="5"/>
      <c r="B2843" s="5"/>
      <c r="C2843" s="5"/>
      <c r="D2843" s="5"/>
      <c r="E2843" s="5"/>
      <c r="F2843" s="5"/>
      <c r="G2843" s="55"/>
      <c r="H2843" s="55"/>
      <c r="I2843" s="5"/>
      <c r="J2843" s="5"/>
      <c r="K2843" s="5"/>
      <c r="L2843" s="5"/>
      <c r="M2843" s="5"/>
      <c r="N2843" s="5"/>
      <c r="O2843" s="5"/>
      <c r="Q2843" s="5"/>
    </row>
    <row r="2844" spans="1:17">
      <c r="A2844" s="5"/>
      <c r="B2844" s="5"/>
      <c r="C2844" s="5"/>
      <c r="D2844" s="5"/>
      <c r="E2844" s="5"/>
      <c r="F2844" s="5"/>
      <c r="G2844" s="55"/>
      <c r="H2844" s="55"/>
      <c r="I2844" s="5"/>
      <c r="J2844" s="5"/>
      <c r="K2844" s="5"/>
      <c r="L2844" s="5"/>
      <c r="M2844" s="5"/>
      <c r="N2844" s="5"/>
      <c r="O2844" s="5"/>
      <c r="Q2844" s="5"/>
    </row>
    <row r="2845" spans="1:17">
      <c r="A2845" s="5"/>
      <c r="B2845" s="5"/>
      <c r="C2845" s="5"/>
      <c r="D2845" s="5"/>
      <c r="E2845" s="5"/>
      <c r="F2845" s="5"/>
      <c r="G2845" s="55"/>
      <c r="H2845" s="55"/>
      <c r="I2845" s="5"/>
      <c r="J2845" s="5"/>
      <c r="K2845" s="5"/>
      <c r="L2845" s="5"/>
      <c r="M2845" s="5"/>
      <c r="N2845" s="5"/>
      <c r="O2845" s="5"/>
      <c r="Q2845" s="5"/>
    </row>
    <row r="2846" spans="1:17">
      <c r="A2846" s="5"/>
      <c r="B2846" s="5"/>
      <c r="C2846" s="5"/>
      <c r="D2846" s="5"/>
      <c r="E2846" s="5"/>
      <c r="F2846" s="5"/>
      <c r="G2846" s="55"/>
      <c r="H2846" s="55"/>
      <c r="I2846" s="5"/>
      <c r="J2846" s="5"/>
      <c r="K2846" s="5"/>
      <c r="L2846" s="5"/>
      <c r="M2846" s="5"/>
      <c r="N2846" s="5"/>
      <c r="O2846" s="5"/>
      <c r="Q2846" s="5"/>
    </row>
    <row r="2847" spans="1:17">
      <c r="A2847" s="5"/>
      <c r="B2847" s="5"/>
      <c r="C2847" s="5"/>
      <c r="D2847" s="5"/>
      <c r="E2847" s="5"/>
      <c r="F2847" s="5"/>
      <c r="G2847" s="55"/>
      <c r="H2847" s="55"/>
      <c r="I2847" s="5"/>
      <c r="J2847" s="5"/>
      <c r="K2847" s="5"/>
      <c r="L2847" s="5"/>
      <c r="M2847" s="5"/>
      <c r="N2847" s="5"/>
      <c r="O2847" s="5"/>
      <c r="Q2847" s="5"/>
    </row>
    <row r="2848" spans="1:17">
      <c r="A2848" s="5"/>
      <c r="B2848" s="5"/>
      <c r="C2848" s="5"/>
      <c r="D2848" s="5"/>
      <c r="E2848" s="5"/>
      <c r="F2848" s="5"/>
      <c r="G2848" s="55"/>
      <c r="H2848" s="55"/>
      <c r="I2848" s="5"/>
      <c r="J2848" s="5"/>
      <c r="K2848" s="5"/>
      <c r="L2848" s="5"/>
      <c r="M2848" s="5"/>
      <c r="N2848" s="5"/>
      <c r="O2848" s="5"/>
      <c r="Q2848" s="5"/>
    </row>
    <row r="2849" spans="1:17">
      <c r="A2849" s="5"/>
      <c r="B2849" s="5"/>
      <c r="C2849" s="5"/>
      <c r="D2849" s="5"/>
      <c r="E2849" s="5"/>
      <c r="F2849" s="5"/>
      <c r="G2849" s="55"/>
      <c r="H2849" s="55"/>
      <c r="I2849" s="5"/>
      <c r="J2849" s="5"/>
      <c r="K2849" s="5"/>
      <c r="L2849" s="5"/>
      <c r="M2849" s="5"/>
      <c r="N2849" s="5"/>
      <c r="O2849" s="5"/>
      <c r="Q2849" s="5"/>
    </row>
    <row r="2850" spans="1:17">
      <c r="A2850" s="5"/>
      <c r="B2850" s="5"/>
      <c r="C2850" s="5"/>
      <c r="D2850" s="5"/>
      <c r="E2850" s="5"/>
      <c r="F2850" s="5"/>
      <c r="G2850" s="55"/>
      <c r="H2850" s="55"/>
      <c r="I2850" s="5"/>
      <c r="J2850" s="5"/>
      <c r="K2850" s="5"/>
      <c r="L2850" s="5"/>
      <c r="M2850" s="5"/>
      <c r="N2850" s="5"/>
      <c r="O2850" s="5"/>
      <c r="Q2850" s="5"/>
    </row>
    <row r="2851" spans="1:17">
      <c r="A2851" s="5"/>
      <c r="B2851" s="5"/>
      <c r="C2851" s="5"/>
      <c r="D2851" s="5"/>
      <c r="E2851" s="5"/>
      <c r="F2851" s="5"/>
      <c r="G2851" s="55"/>
      <c r="H2851" s="55"/>
      <c r="I2851" s="5"/>
      <c r="J2851" s="5"/>
      <c r="K2851" s="5"/>
      <c r="L2851" s="5"/>
      <c r="M2851" s="5"/>
      <c r="N2851" s="5"/>
      <c r="O2851" s="5"/>
      <c r="Q2851" s="5"/>
    </row>
    <row r="2852" spans="1:17">
      <c r="A2852" s="5"/>
      <c r="B2852" s="5"/>
      <c r="C2852" s="5"/>
      <c r="D2852" s="5"/>
      <c r="E2852" s="5"/>
      <c r="F2852" s="5"/>
      <c r="G2852" s="55"/>
      <c r="H2852" s="55"/>
      <c r="I2852" s="5"/>
      <c r="J2852" s="5"/>
      <c r="K2852" s="5"/>
      <c r="L2852" s="5"/>
      <c r="M2852" s="5"/>
      <c r="N2852" s="5"/>
      <c r="O2852" s="5"/>
      <c r="Q2852" s="5"/>
    </row>
    <row r="2853" spans="1:17">
      <c r="A2853" s="5"/>
      <c r="B2853" s="5"/>
      <c r="C2853" s="5"/>
      <c r="D2853" s="5"/>
      <c r="E2853" s="5"/>
      <c r="F2853" s="5"/>
      <c r="G2853" s="55"/>
      <c r="H2853" s="55"/>
      <c r="I2853" s="5"/>
      <c r="J2853" s="5"/>
      <c r="K2853" s="5"/>
      <c r="L2853" s="5"/>
      <c r="M2853" s="5"/>
      <c r="N2853" s="5"/>
      <c r="O2853" s="5"/>
      <c r="Q2853" s="5"/>
    </row>
    <row r="2854" spans="1:17">
      <c r="A2854" s="5"/>
      <c r="B2854" s="5"/>
      <c r="C2854" s="5"/>
      <c r="D2854" s="5"/>
      <c r="E2854" s="5"/>
      <c r="F2854" s="5"/>
      <c r="G2854" s="55"/>
      <c r="H2854" s="55"/>
      <c r="I2854" s="5"/>
      <c r="J2854" s="5"/>
      <c r="K2854" s="5"/>
      <c r="L2854" s="5"/>
      <c r="M2854" s="5"/>
      <c r="N2854" s="5"/>
      <c r="O2854" s="5"/>
      <c r="Q2854" s="5"/>
    </row>
    <row r="2855" spans="1:17">
      <c r="A2855" s="5"/>
      <c r="B2855" s="5"/>
      <c r="C2855" s="5"/>
      <c r="D2855" s="5"/>
      <c r="E2855" s="5"/>
      <c r="F2855" s="5"/>
      <c r="G2855" s="55"/>
      <c r="H2855" s="55"/>
      <c r="I2855" s="5"/>
      <c r="J2855" s="5"/>
      <c r="K2855" s="5"/>
      <c r="L2855" s="5"/>
      <c r="M2855" s="5"/>
      <c r="N2855" s="5"/>
      <c r="O2855" s="5"/>
      <c r="Q2855" s="5"/>
    </row>
    <row r="2856" spans="1:17">
      <c r="A2856" s="5"/>
      <c r="B2856" s="5"/>
      <c r="C2856" s="5"/>
      <c r="D2856" s="5"/>
      <c r="E2856" s="5"/>
      <c r="F2856" s="5"/>
      <c r="G2856" s="55"/>
      <c r="H2856" s="55"/>
      <c r="I2856" s="5"/>
      <c r="J2856" s="5"/>
      <c r="K2856" s="5"/>
      <c r="L2856" s="5"/>
      <c r="M2856" s="5"/>
      <c r="N2856" s="5"/>
      <c r="O2856" s="5"/>
      <c r="Q2856" s="5"/>
    </row>
    <row r="2857" spans="1:17">
      <c r="A2857" s="5"/>
      <c r="B2857" s="5"/>
      <c r="C2857" s="5"/>
      <c r="D2857" s="5"/>
      <c r="E2857" s="5"/>
      <c r="F2857" s="5"/>
      <c r="G2857" s="55"/>
      <c r="H2857" s="55"/>
      <c r="I2857" s="5"/>
      <c r="J2857" s="5"/>
      <c r="K2857" s="5"/>
      <c r="L2857" s="5"/>
      <c r="M2857" s="5"/>
      <c r="N2857" s="5"/>
      <c r="O2857" s="5"/>
      <c r="Q2857" s="5"/>
    </row>
    <row r="2858" spans="1:17">
      <c r="A2858" s="5"/>
      <c r="B2858" s="5"/>
      <c r="C2858" s="5"/>
      <c r="D2858" s="5"/>
      <c r="E2858" s="5"/>
      <c r="F2858" s="5"/>
      <c r="G2858" s="55"/>
      <c r="H2858" s="55"/>
      <c r="I2858" s="5"/>
      <c r="J2858" s="5"/>
      <c r="K2858" s="5"/>
      <c r="L2858" s="5"/>
      <c r="M2858" s="5"/>
      <c r="N2858" s="5"/>
      <c r="O2858" s="5"/>
      <c r="Q2858" s="5"/>
    </row>
    <row r="2859" spans="1:17">
      <c r="A2859" s="5"/>
      <c r="B2859" s="5"/>
      <c r="C2859" s="5"/>
      <c r="D2859" s="5"/>
      <c r="E2859" s="5"/>
      <c r="F2859" s="5"/>
      <c r="G2859" s="55"/>
      <c r="H2859" s="55"/>
      <c r="I2859" s="5"/>
      <c r="J2859" s="5"/>
      <c r="K2859" s="5"/>
      <c r="L2859" s="5"/>
      <c r="M2859" s="5"/>
      <c r="N2859" s="5"/>
      <c r="O2859" s="5"/>
      <c r="Q2859" s="5"/>
    </row>
    <row r="2860" spans="1:17">
      <c r="A2860" s="5"/>
      <c r="B2860" s="5"/>
      <c r="C2860" s="5"/>
      <c r="D2860" s="5"/>
      <c r="E2860" s="5"/>
      <c r="F2860" s="5"/>
      <c r="G2860" s="55"/>
      <c r="H2860" s="55"/>
      <c r="I2860" s="5"/>
      <c r="J2860" s="5"/>
      <c r="K2860" s="5"/>
      <c r="L2860" s="5"/>
      <c r="M2860" s="5"/>
      <c r="N2860" s="5"/>
      <c r="O2860" s="5"/>
      <c r="Q2860" s="5"/>
    </row>
    <row r="2861" spans="1:17">
      <c r="A2861" s="5"/>
      <c r="B2861" s="5"/>
      <c r="C2861" s="5"/>
      <c r="D2861" s="5"/>
      <c r="E2861" s="5"/>
      <c r="F2861" s="5"/>
      <c r="G2861" s="55"/>
      <c r="H2861" s="55"/>
      <c r="I2861" s="5"/>
      <c r="J2861" s="5"/>
      <c r="K2861" s="5"/>
      <c r="L2861" s="5"/>
      <c r="M2861" s="5"/>
      <c r="N2861" s="5"/>
      <c r="O2861" s="5"/>
      <c r="Q2861" s="5"/>
    </row>
    <row r="2862" spans="1:17">
      <c r="A2862" s="5"/>
      <c r="B2862" s="5"/>
      <c r="C2862" s="5"/>
      <c r="D2862" s="5"/>
      <c r="E2862" s="5"/>
      <c r="F2862" s="5"/>
      <c r="G2862" s="55"/>
      <c r="H2862" s="55"/>
      <c r="I2862" s="5"/>
      <c r="J2862" s="5"/>
      <c r="K2862" s="5"/>
      <c r="L2862" s="5"/>
      <c r="M2862" s="5"/>
      <c r="N2862" s="5"/>
      <c r="O2862" s="5"/>
      <c r="Q2862" s="5"/>
    </row>
    <row r="2863" spans="1:17">
      <c r="A2863" s="5"/>
      <c r="B2863" s="5"/>
      <c r="C2863" s="5"/>
      <c r="D2863" s="5"/>
      <c r="E2863" s="5"/>
      <c r="F2863" s="5"/>
      <c r="G2863" s="55"/>
      <c r="H2863" s="55"/>
      <c r="I2863" s="5"/>
      <c r="J2863" s="5"/>
      <c r="K2863" s="5"/>
      <c r="L2863" s="5"/>
      <c r="M2863" s="5"/>
      <c r="N2863" s="5"/>
      <c r="O2863" s="5"/>
      <c r="Q2863" s="5"/>
    </row>
    <row r="2864" spans="1:17">
      <c r="A2864" s="5"/>
      <c r="B2864" s="5"/>
      <c r="C2864" s="5"/>
      <c r="D2864" s="5"/>
      <c r="E2864" s="5"/>
      <c r="F2864" s="5"/>
      <c r="G2864" s="55"/>
      <c r="H2864" s="55"/>
      <c r="I2864" s="5"/>
      <c r="J2864" s="5"/>
      <c r="K2864" s="5"/>
      <c r="L2864" s="5"/>
      <c r="M2864" s="5"/>
      <c r="N2864" s="5"/>
      <c r="O2864" s="5"/>
      <c r="Q2864" s="5"/>
    </row>
    <row r="2865" spans="1:17">
      <c r="A2865" s="5"/>
      <c r="B2865" s="5"/>
      <c r="C2865" s="5"/>
      <c r="D2865" s="5"/>
      <c r="E2865" s="5"/>
      <c r="F2865" s="5"/>
      <c r="G2865" s="55"/>
      <c r="H2865" s="55"/>
      <c r="I2865" s="5"/>
      <c r="J2865" s="5"/>
      <c r="K2865" s="5"/>
      <c r="L2865" s="5"/>
      <c r="M2865" s="5"/>
      <c r="N2865" s="5"/>
      <c r="O2865" s="5"/>
      <c r="Q2865" s="5"/>
    </row>
    <row r="2866" spans="1:17">
      <c r="A2866" s="5"/>
      <c r="B2866" s="5"/>
      <c r="C2866" s="5"/>
      <c r="D2866" s="5"/>
      <c r="E2866" s="5"/>
      <c r="F2866" s="5"/>
      <c r="G2866" s="55"/>
      <c r="H2866" s="55"/>
      <c r="I2866" s="5"/>
      <c r="J2866" s="5"/>
      <c r="K2866" s="5"/>
      <c r="L2866" s="5"/>
      <c r="M2866" s="5"/>
      <c r="N2866" s="5"/>
      <c r="O2866" s="5"/>
      <c r="Q2866" s="5"/>
    </row>
    <row r="2867" spans="1:17">
      <c r="A2867" s="5"/>
      <c r="B2867" s="5"/>
      <c r="C2867" s="5"/>
      <c r="D2867" s="5"/>
      <c r="E2867" s="5"/>
      <c r="F2867" s="5"/>
      <c r="G2867" s="55"/>
      <c r="H2867" s="55"/>
      <c r="I2867" s="5"/>
      <c r="J2867" s="5"/>
      <c r="K2867" s="5"/>
      <c r="L2867" s="5"/>
      <c r="M2867" s="5"/>
      <c r="N2867" s="5"/>
      <c r="O2867" s="5"/>
      <c r="Q2867" s="5"/>
    </row>
    <row r="2868" spans="1:17">
      <c r="A2868" s="5"/>
      <c r="B2868" s="5"/>
      <c r="C2868" s="5"/>
      <c r="D2868" s="5"/>
      <c r="E2868" s="5"/>
      <c r="F2868" s="5"/>
      <c r="G2868" s="55"/>
      <c r="H2868" s="55"/>
      <c r="I2868" s="5"/>
      <c r="J2868" s="5"/>
      <c r="K2868" s="5"/>
      <c r="L2868" s="5"/>
      <c r="M2868" s="5"/>
      <c r="N2868" s="5"/>
      <c r="O2868" s="5"/>
      <c r="Q2868" s="5"/>
    </row>
    <row r="2869" spans="1:17">
      <c r="A2869" s="5"/>
      <c r="B2869" s="5"/>
      <c r="C2869" s="5"/>
      <c r="D2869" s="5"/>
      <c r="E2869" s="5"/>
      <c r="F2869" s="5"/>
      <c r="G2869" s="55"/>
      <c r="H2869" s="55"/>
      <c r="I2869" s="5"/>
      <c r="J2869" s="5"/>
      <c r="K2869" s="5"/>
      <c r="L2869" s="5"/>
      <c r="M2869" s="5"/>
      <c r="N2869" s="5"/>
      <c r="O2869" s="5"/>
      <c r="Q2869" s="5"/>
    </row>
    <row r="2870" spans="1:17">
      <c r="A2870" s="5"/>
      <c r="B2870" s="5"/>
      <c r="C2870" s="5"/>
      <c r="D2870" s="5"/>
      <c r="E2870" s="5"/>
      <c r="F2870" s="5"/>
      <c r="G2870" s="55"/>
      <c r="H2870" s="55"/>
      <c r="I2870" s="5"/>
      <c r="J2870" s="5"/>
      <c r="K2870" s="5"/>
      <c r="L2870" s="5"/>
      <c r="M2870" s="5"/>
      <c r="N2870" s="5"/>
      <c r="O2870" s="5"/>
      <c r="Q2870" s="5"/>
    </row>
    <row r="2871" spans="1:17">
      <c r="A2871" s="5"/>
      <c r="B2871" s="5"/>
      <c r="C2871" s="5"/>
      <c r="D2871" s="5"/>
      <c r="E2871" s="5"/>
      <c r="F2871" s="5"/>
      <c r="G2871" s="55"/>
      <c r="H2871" s="55"/>
      <c r="I2871" s="5"/>
      <c r="J2871" s="5"/>
      <c r="K2871" s="5"/>
      <c r="L2871" s="5"/>
      <c r="M2871" s="5"/>
      <c r="N2871" s="5"/>
      <c r="O2871" s="5"/>
      <c r="Q2871" s="5"/>
    </row>
    <row r="2872" spans="1:17">
      <c r="A2872" s="5"/>
      <c r="B2872" s="5"/>
      <c r="C2872" s="5"/>
      <c r="D2872" s="5"/>
      <c r="E2872" s="5"/>
      <c r="F2872" s="5"/>
      <c r="G2872" s="55"/>
      <c r="H2872" s="55"/>
      <c r="I2872" s="5"/>
      <c r="J2872" s="5"/>
      <c r="K2872" s="5"/>
      <c r="L2872" s="5"/>
      <c r="M2872" s="5"/>
      <c r="N2872" s="5"/>
      <c r="O2872" s="5"/>
      <c r="Q2872" s="5"/>
    </row>
    <row r="2873" spans="1:17">
      <c r="A2873" s="5"/>
      <c r="B2873" s="5"/>
      <c r="C2873" s="5"/>
      <c r="D2873" s="5"/>
      <c r="E2873" s="5"/>
      <c r="F2873" s="5"/>
      <c r="G2873" s="55"/>
      <c r="H2873" s="55"/>
      <c r="I2873" s="5"/>
      <c r="J2873" s="5"/>
      <c r="K2873" s="5"/>
      <c r="L2873" s="5"/>
      <c r="M2873" s="5"/>
      <c r="N2873" s="5"/>
      <c r="O2873" s="5"/>
      <c r="Q2873" s="5"/>
    </row>
    <row r="2874" spans="1:17">
      <c r="A2874" s="5"/>
      <c r="B2874" s="5"/>
      <c r="C2874" s="5"/>
      <c r="D2874" s="5"/>
      <c r="E2874" s="5"/>
      <c r="F2874" s="5"/>
      <c r="G2874" s="55"/>
      <c r="H2874" s="55"/>
      <c r="I2874" s="5"/>
      <c r="J2874" s="5"/>
      <c r="K2874" s="5"/>
      <c r="L2874" s="5"/>
      <c r="M2874" s="5"/>
      <c r="N2874" s="5"/>
      <c r="O2874" s="5"/>
      <c r="Q2874" s="5"/>
    </row>
    <row r="2875" spans="1:17">
      <c r="A2875" s="5"/>
      <c r="B2875" s="5"/>
      <c r="C2875" s="5"/>
      <c r="D2875" s="5"/>
      <c r="E2875" s="5"/>
      <c r="F2875" s="5"/>
      <c r="G2875" s="55"/>
      <c r="H2875" s="55"/>
      <c r="I2875" s="5"/>
      <c r="J2875" s="5"/>
      <c r="K2875" s="5"/>
      <c r="L2875" s="5"/>
      <c r="M2875" s="5"/>
      <c r="N2875" s="5"/>
      <c r="O2875" s="5"/>
      <c r="Q2875" s="5"/>
    </row>
    <row r="2876" spans="1:17">
      <c r="A2876" s="5"/>
      <c r="B2876" s="5"/>
      <c r="C2876" s="5"/>
      <c r="D2876" s="5"/>
      <c r="E2876" s="5"/>
      <c r="F2876" s="5"/>
      <c r="G2876" s="55"/>
      <c r="H2876" s="55"/>
      <c r="I2876" s="5"/>
      <c r="J2876" s="5"/>
      <c r="K2876" s="5"/>
      <c r="L2876" s="5"/>
      <c r="M2876" s="5"/>
      <c r="N2876" s="5"/>
      <c r="O2876" s="5"/>
      <c r="Q2876" s="5"/>
    </row>
    <row r="2877" spans="1:17">
      <c r="A2877" s="5"/>
      <c r="B2877" s="5"/>
      <c r="C2877" s="5"/>
      <c r="D2877" s="5"/>
      <c r="E2877" s="5"/>
      <c r="F2877" s="5"/>
      <c r="G2877" s="55"/>
      <c r="H2877" s="55"/>
      <c r="I2877" s="5"/>
      <c r="J2877" s="5"/>
      <c r="K2877" s="5"/>
      <c r="L2877" s="5"/>
      <c r="M2877" s="5"/>
      <c r="N2877" s="5"/>
      <c r="O2877" s="5"/>
      <c r="Q2877" s="5"/>
    </row>
    <row r="2878" spans="1:17">
      <c r="A2878" s="5"/>
      <c r="B2878" s="5"/>
      <c r="C2878" s="5"/>
      <c r="D2878" s="5"/>
      <c r="E2878" s="5"/>
      <c r="F2878" s="5"/>
      <c r="G2878" s="55"/>
      <c r="H2878" s="55"/>
      <c r="I2878" s="5"/>
      <c r="J2878" s="5"/>
      <c r="K2878" s="5"/>
      <c r="L2878" s="5"/>
      <c r="M2878" s="5"/>
      <c r="N2878" s="5"/>
      <c r="O2878" s="5"/>
      <c r="Q2878" s="5"/>
    </row>
    <row r="2879" spans="1:17">
      <c r="A2879" s="5"/>
      <c r="B2879" s="5"/>
      <c r="C2879" s="5"/>
      <c r="D2879" s="5"/>
      <c r="E2879" s="5"/>
      <c r="F2879" s="5"/>
      <c r="G2879" s="55"/>
      <c r="H2879" s="55"/>
      <c r="I2879" s="5"/>
      <c r="J2879" s="5"/>
      <c r="K2879" s="5"/>
      <c r="L2879" s="5"/>
      <c r="M2879" s="5"/>
      <c r="N2879" s="5"/>
      <c r="O2879" s="5"/>
      <c r="Q2879" s="5"/>
    </row>
    <row r="2880" spans="1:17">
      <c r="A2880" s="5"/>
      <c r="B2880" s="5"/>
      <c r="C2880" s="5"/>
      <c r="D2880" s="5"/>
      <c r="E2880" s="5"/>
      <c r="F2880" s="5"/>
      <c r="G2880" s="55"/>
      <c r="H2880" s="55"/>
      <c r="I2880" s="5"/>
      <c r="J2880" s="5"/>
      <c r="K2880" s="5"/>
      <c r="L2880" s="5"/>
      <c r="M2880" s="5"/>
      <c r="N2880" s="5"/>
      <c r="O2880" s="5"/>
      <c r="Q2880" s="5"/>
    </row>
    <row r="2881" spans="1:17">
      <c r="A2881" s="5"/>
      <c r="B2881" s="5"/>
      <c r="C2881" s="5"/>
      <c r="D2881" s="5"/>
      <c r="E2881" s="5"/>
      <c r="F2881" s="5"/>
      <c r="G2881" s="55"/>
      <c r="H2881" s="55"/>
      <c r="I2881" s="5"/>
      <c r="J2881" s="5"/>
      <c r="K2881" s="5"/>
      <c r="L2881" s="5"/>
      <c r="M2881" s="5"/>
      <c r="N2881" s="5"/>
      <c r="O2881" s="5"/>
      <c r="Q2881" s="5"/>
    </row>
    <row r="2882" spans="1:17">
      <c r="A2882" s="5"/>
      <c r="B2882" s="5"/>
      <c r="C2882" s="5"/>
      <c r="D2882" s="5"/>
      <c r="E2882" s="5"/>
      <c r="F2882" s="5"/>
      <c r="G2882" s="55"/>
      <c r="H2882" s="55"/>
      <c r="I2882" s="5"/>
      <c r="J2882" s="5"/>
      <c r="K2882" s="5"/>
      <c r="L2882" s="5"/>
      <c r="M2882" s="5"/>
      <c r="N2882" s="5"/>
      <c r="O2882" s="5"/>
      <c r="Q2882" s="5"/>
    </row>
    <row r="2883" spans="1:17">
      <c r="A2883" s="5"/>
      <c r="B2883" s="5"/>
      <c r="C2883" s="5"/>
      <c r="D2883" s="5"/>
      <c r="E2883" s="5"/>
      <c r="F2883" s="5"/>
      <c r="G2883" s="55"/>
      <c r="H2883" s="55"/>
      <c r="I2883" s="5"/>
      <c r="J2883" s="5"/>
      <c r="K2883" s="5"/>
      <c r="L2883" s="5"/>
      <c r="M2883" s="5"/>
      <c r="N2883" s="5"/>
      <c r="O2883" s="5"/>
      <c r="Q2883" s="5"/>
    </row>
    <row r="2884" spans="1:17">
      <c r="A2884" s="5"/>
      <c r="B2884" s="5"/>
      <c r="C2884" s="5"/>
      <c r="D2884" s="5"/>
      <c r="E2884" s="5"/>
      <c r="F2884" s="5"/>
      <c r="G2884" s="55"/>
      <c r="H2884" s="55"/>
      <c r="I2884" s="5"/>
      <c r="J2884" s="5"/>
      <c r="K2884" s="5"/>
      <c r="L2884" s="5"/>
      <c r="M2884" s="5"/>
      <c r="N2884" s="5"/>
      <c r="O2884" s="5"/>
      <c r="Q2884" s="5"/>
    </row>
    <row r="2885" spans="1:17">
      <c r="A2885" s="5"/>
      <c r="B2885" s="5"/>
      <c r="C2885" s="5"/>
      <c r="D2885" s="5"/>
      <c r="E2885" s="5"/>
      <c r="F2885" s="5"/>
      <c r="G2885" s="55"/>
      <c r="H2885" s="55"/>
      <c r="I2885" s="5"/>
      <c r="J2885" s="5"/>
      <c r="K2885" s="5"/>
      <c r="L2885" s="5"/>
      <c r="M2885" s="5"/>
      <c r="N2885" s="5"/>
      <c r="O2885" s="5"/>
      <c r="Q2885" s="5"/>
    </row>
    <row r="2886" spans="1:17">
      <c r="A2886" s="5"/>
      <c r="B2886" s="5"/>
      <c r="C2886" s="5"/>
      <c r="D2886" s="5"/>
      <c r="E2886" s="5"/>
      <c r="F2886" s="5"/>
      <c r="G2886" s="55"/>
      <c r="H2886" s="55"/>
      <c r="I2886" s="5"/>
      <c r="J2886" s="5"/>
      <c r="K2886" s="5"/>
      <c r="L2886" s="5"/>
      <c r="M2886" s="5"/>
      <c r="N2886" s="5"/>
      <c r="O2886" s="5"/>
      <c r="Q2886" s="5"/>
    </row>
    <row r="2887" spans="1:17">
      <c r="A2887" s="5"/>
      <c r="B2887" s="5"/>
      <c r="C2887" s="5"/>
      <c r="D2887" s="5"/>
      <c r="E2887" s="5"/>
      <c r="F2887" s="5"/>
      <c r="G2887" s="55"/>
      <c r="H2887" s="55"/>
      <c r="I2887" s="5"/>
      <c r="J2887" s="5"/>
      <c r="K2887" s="5"/>
      <c r="L2887" s="5"/>
      <c r="M2887" s="5"/>
      <c r="N2887" s="5"/>
      <c r="O2887" s="5"/>
      <c r="Q2887" s="5"/>
    </row>
    <row r="2888" spans="1:17">
      <c r="A2888" s="5"/>
      <c r="B2888" s="5"/>
      <c r="C2888" s="5"/>
      <c r="D2888" s="5"/>
      <c r="E2888" s="5"/>
      <c r="F2888" s="5"/>
      <c r="G2888" s="55"/>
      <c r="H2888" s="55"/>
      <c r="I2888" s="5"/>
      <c r="J2888" s="5"/>
      <c r="K2888" s="5"/>
      <c r="L2888" s="5"/>
      <c r="M2888" s="5"/>
      <c r="N2888" s="5"/>
      <c r="O2888" s="5"/>
      <c r="Q2888" s="5"/>
    </row>
    <row r="2889" spans="1:17">
      <c r="A2889" s="5"/>
      <c r="B2889" s="5"/>
      <c r="C2889" s="5"/>
      <c r="D2889" s="5"/>
      <c r="E2889" s="5"/>
      <c r="F2889" s="5"/>
      <c r="G2889" s="55"/>
      <c r="H2889" s="55"/>
      <c r="I2889" s="5"/>
      <c r="J2889" s="5"/>
      <c r="K2889" s="5"/>
      <c r="L2889" s="5"/>
      <c r="M2889" s="5"/>
      <c r="N2889" s="5"/>
      <c r="O2889" s="5"/>
      <c r="Q2889" s="5"/>
    </row>
    <row r="2890" spans="1:17">
      <c r="A2890" s="5"/>
      <c r="B2890" s="5"/>
      <c r="C2890" s="5"/>
      <c r="D2890" s="5"/>
      <c r="E2890" s="5"/>
      <c r="F2890" s="5"/>
      <c r="G2890" s="55"/>
      <c r="H2890" s="55"/>
      <c r="I2890" s="5"/>
      <c r="J2890" s="5"/>
      <c r="K2890" s="5"/>
      <c r="L2890" s="5"/>
      <c r="M2890" s="5"/>
      <c r="N2890" s="5"/>
      <c r="O2890" s="5"/>
      <c r="Q2890" s="5"/>
    </row>
    <row r="2891" spans="1:17">
      <c r="A2891" s="5"/>
      <c r="B2891" s="5"/>
      <c r="C2891" s="5"/>
      <c r="D2891" s="5"/>
      <c r="E2891" s="5"/>
      <c r="F2891" s="5"/>
      <c r="G2891" s="55"/>
      <c r="H2891" s="55"/>
      <c r="I2891" s="5"/>
      <c r="J2891" s="5"/>
      <c r="K2891" s="5"/>
      <c r="L2891" s="5"/>
      <c r="M2891" s="5"/>
      <c r="N2891" s="5"/>
      <c r="O2891" s="5"/>
      <c r="Q2891" s="5"/>
    </row>
    <row r="2892" spans="1:17">
      <c r="A2892" s="5"/>
      <c r="B2892" s="5"/>
      <c r="C2892" s="5"/>
      <c r="D2892" s="5"/>
      <c r="E2892" s="5"/>
      <c r="F2892" s="5"/>
      <c r="G2892" s="55"/>
      <c r="H2892" s="55"/>
      <c r="I2892" s="5"/>
      <c r="J2892" s="5"/>
      <c r="K2892" s="5"/>
      <c r="L2892" s="5"/>
      <c r="M2892" s="5"/>
      <c r="N2892" s="5"/>
      <c r="O2892" s="5"/>
      <c r="Q2892" s="5"/>
    </row>
    <row r="2893" spans="1:17">
      <c r="A2893" s="5"/>
      <c r="B2893" s="5"/>
      <c r="C2893" s="5"/>
      <c r="D2893" s="5"/>
      <c r="E2893" s="5"/>
      <c r="F2893" s="5"/>
      <c r="G2893" s="55"/>
      <c r="H2893" s="55"/>
      <c r="I2893" s="5"/>
      <c r="J2893" s="5"/>
      <c r="K2893" s="5"/>
      <c r="L2893" s="5"/>
      <c r="M2893" s="5"/>
      <c r="N2893" s="5"/>
      <c r="O2893" s="5"/>
      <c r="Q2893" s="5"/>
    </row>
    <row r="2894" spans="1:17">
      <c r="A2894" s="5"/>
      <c r="B2894" s="5"/>
      <c r="C2894" s="5"/>
      <c r="D2894" s="5"/>
      <c r="E2894" s="5"/>
      <c r="F2894" s="5"/>
      <c r="G2894" s="55"/>
      <c r="H2894" s="55"/>
      <c r="I2894" s="5"/>
      <c r="J2894" s="5"/>
      <c r="K2894" s="5"/>
      <c r="L2894" s="5"/>
      <c r="M2894" s="5"/>
      <c r="N2894" s="5"/>
      <c r="O2894" s="5"/>
      <c r="Q2894" s="5"/>
    </row>
    <row r="2895" spans="1:17">
      <c r="A2895" s="5"/>
      <c r="B2895" s="5"/>
      <c r="C2895" s="5"/>
      <c r="D2895" s="5"/>
      <c r="E2895" s="5"/>
      <c r="F2895" s="5"/>
      <c r="G2895" s="55"/>
      <c r="H2895" s="55"/>
      <c r="I2895" s="5"/>
      <c r="J2895" s="5"/>
      <c r="K2895" s="5"/>
      <c r="L2895" s="5"/>
      <c r="M2895" s="5"/>
      <c r="N2895" s="5"/>
      <c r="O2895" s="5"/>
      <c r="Q2895" s="5"/>
    </row>
    <row r="2896" spans="1:17">
      <c r="A2896" s="5"/>
      <c r="B2896" s="5"/>
      <c r="C2896" s="5"/>
      <c r="D2896" s="5"/>
      <c r="E2896" s="5"/>
      <c r="F2896" s="5"/>
      <c r="G2896" s="55"/>
      <c r="H2896" s="55"/>
      <c r="I2896" s="5"/>
      <c r="J2896" s="5"/>
      <c r="K2896" s="5"/>
      <c r="L2896" s="5"/>
      <c r="M2896" s="5"/>
      <c r="N2896" s="5"/>
      <c r="O2896" s="5"/>
      <c r="Q2896" s="5"/>
    </row>
    <row r="2897" spans="1:17">
      <c r="A2897" s="5"/>
      <c r="B2897" s="5"/>
      <c r="C2897" s="5"/>
      <c r="D2897" s="5"/>
      <c r="E2897" s="5"/>
      <c r="F2897" s="5"/>
      <c r="G2897" s="55"/>
      <c r="H2897" s="55"/>
      <c r="I2897" s="5"/>
      <c r="J2897" s="5"/>
      <c r="K2897" s="5"/>
      <c r="L2897" s="5"/>
      <c r="M2897" s="5"/>
      <c r="N2897" s="5"/>
      <c r="O2897" s="5"/>
      <c r="Q2897" s="5"/>
    </row>
    <row r="2898" spans="1:17">
      <c r="A2898" s="5"/>
      <c r="B2898" s="5"/>
      <c r="C2898" s="5"/>
      <c r="D2898" s="5"/>
      <c r="E2898" s="5"/>
      <c r="F2898" s="5"/>
      <c r="G2898" s="55"/>
      <c r="H2898" s="55"/>
      <c r="I2898" s="5"/>
      <c r="J2898" s="5"/>
      <c r="K2898" s="5"/>
      <c r="L2898" s="5"/>
      <c r="M2898" s="5"/>
      <c r="N2898" s="5"/>
      <c r="O2898" s="5"/>
      <c r="Q2898" s="5"/>
    </row>
    <row r="2899" spans="1:17">
      <c r="A2899" s="5"/>
      <c r="B2899" s="5"/>
      <c r="C2899" s="5"/>
      <c r="D2899" s="5"/>
      <c r="E2899" s="5"/>
      <c r="F2899" s="5"/>
      <c r="G2899" s="55"/>
      <c r="H2899" s="55"/>
      <c r="I2899" s="5"/>
      <c r="J2899" s="5"/>
      <c r="K2899" s="5"/>
      <c r="L2899" s="5"/>
      <c r="M2899" s="5"/>
      <c r="N2899" s="5"/>
      <c r="O2899" s="5"/>
      <c r="Q2899" s="5"/>
    </row>
    <row r="2900" spans="1:17">
      <c r="A2900" s="5"/>
      <c r="B2900" s="5"/>
      <c r="C2900" s="5"/>
      <c r="D2900" s="5"/>
      <c r="E2900" s="5"/>
      <c r="F2900" s="5"/>
      <c r="G2900" s="55"/>
      <c r="H2900" s="55"/>
      <c r="I2900" s="5"/>
      <c r="J2900" s="5"/>
      <c r="K2900" s="5"/>
      <c r="L2900" s="5"/>
      <c r="M2900" s="5"/>
      <c r="N2900" s="5"/>
      <c r="O2900" s="5"/>
      <c r="Q2900" s="5"/>
    </row>
    <row r="2901" spans="1:17">
      <c r="A2901" s="5"/>
      <c r="B2901" s="5"/>
      <c r="C2901" s="5"/>
      <c r="D2901" s="5"/>
      <c r="E2901" s="5"/>
      <c r="F2901" s="5"/>
      <c r="G2901" s="55"/>
      <c r="H2901" s="55"/>
      <c r="I2901" s="5"/>
      <c r="J2901" s="5"/>
      <c r="K2901" s="5"/>
      <c r="L2901" s="5"/>
      <c r="M2901" s="5"/>
      <c r="N2901" s="5"/>
      <c r="O2901" s="5"/>
      <c r="Q2901" s="5"/>
    </row>
    <row r="2902" spans="1:17">
      <c r="A2902" s="5"/>
      <c r="B2902" s="5"/>
      <c r="C2902" s="5"/>
      <c r="D2902" s="5"/>
      <c r="E2902" s="5"/>
      <c r="F2902" s="5"/>
      <c r="G2902" s="55"/>
      <c r="H2902" s="55"/>
      <c r="I2902" s="5"/>
      <c r="J2902" s="5"/>
      <c r="K2902" s="5"/>
      <c r="L2902" s="5"/>
      <c r="M2902" s="5"/>
      <c r="N2902" s="5"/>
      <c r="O2902" s="5"/>
      <c r="Q2902" s="5"/>
    </row>
    <row r="2903" spans="1:17">
      <c r="A2903" s="5"/>
      <c r="B2903" s="5"/>
      <c r="C2903" s="5"/>
      <c r="D2903" s="5"/>
      <c r="E2903" s="5"/>
      <c r="F2903" s="5"/>
      <c r="G2903" s="55"/>
      <c r="H2903" s="55"/>
      <c r="I2903" s="5"/>
      <c r="J2903" s="5"/>
      <c r="K2903" s="5"/>
      <c r="L2903" s="5"/>
      <c r="M2903" s="5"/>
      <c r="N2903" s="5"/>
      <c r="O2903" s="5"/>
      <c r="Q2903" s="5"/>
    </row>
    <row r="2904" spans="1:17">
      <c r="A2904" s="5"/>
      <c r="B2904" s="5"/>
      <c r="C2904" s="5"/>
      <c r="D2904" s="5"/>
      <c r="E2904" s="5"/>
      <c r="F2904" s="5"/>
      <c r="G2904" s="55"/>
      <c r="H2904" s="55"/>
      <c r="I2904" s="5"/>
      <c r="J2904" s="5"/>
      <c r="K2904" s="5"/>
      <c r="L2904" s="5"/>
      <c r="M2904" s="5"/>
      <c r="N2904" s="5"/>
      <c r="O2904" s="5"/>
      <c r="Q2904" s="5"/>
    </row>
    <row r="2905" spans="1:17">
      <c r="A2905" s="5"/>
      <c r="B2905" s="5"/>
      <c r="C2905" s="5"/>
      <c r="D2905" s="5"/>
      <c r="E2905" s="5"/>
      <c r="F2905" s="5"/>
      <c r="G2905" s="55"/>
      <c r="H2905" s="55"/>
      <c r="I2905" s="5"/>
      <c r="J2905" s="5"/>
      <c r="K2905" s="5"/>
      <c r="L2905" s="5"/>
      <c r="M2905" s="5"/>
      <c r="N2905" s="5"/>
      <c r="O2905" s="5"/>
      <c r="Q2905" s="5"/>
    </row>
    <row r="2906" spans="1:17">
      <c r="A2906" s="5"/>
      <c r="B2906" s="5"/>
      <c r="C2906" s="5"/>
      <c r="D2906" s="5"/>
      <c r="E2906" s="5"/>
      <c r="F2906" s="5"/>
      <c r="G2906" s="55"/>
      <c r="H2906" s="55"/>
      <c r="I2906" s="5"/>
      <c r="J2906" s="5"/>
      <c r="K2906" s="5"/>
      <c r="L2906" s="5"/>
      <c r="M2906" s="5"/>
      <c r="N2906" s="5"/>
      <c r="O2906" s="5"/>
      <c r="Q2906" s="5"/>
    </row>
    <row r="2907" spans="1:17">
      <c r="A2907" s="5"/>
      <c r="B2907" s="5"/>
      <c r="C2907" s="5"/>
      <c r="D2907" s="5"/>
      <c r="E2907" s="5"/>
      <c r="F2907" s="5"/>
      <c r="G2907" s="55"/>
      <c r="H2907" s="55"/>
      <c r="I2907" s="5"/>
      <c r="J2907" s="5"/>
      <c r="K2907" s="5"/>
      <c r="L2907" s="5"/>
      <c r="M2907" s="5"/>
      <c r="N2907" s="5"/>
      <c r="O2907" s="5"/>
      <c r="Q2907" s="5"/>
    </row>
    <row r="2908" spans="1:17">
      <c r="A2908" s="5"/>
      <c r="B2908" s="5"/>
      <c r="C2908" s="5"/>
      <c r="D2908" s="5"/>
      <c r="E2908" s="5"/>
      <c r="F2908" s="5"/>
      <c r="G2908" s="55"/>
      <c r="H2908" s="55"/>
      <c r="I2908" s="5"/>
      <c r="J2908" s="5"/>
      <c r="K2908" s="5"/>
      <c r="L2908" s="5"/>
      <c r="M2908" s="5"/>
      <c r="N2908" s="5"/>
      <c r="O2908" s="5"/>
      <c r="Q2908" s="5"/>
    </row>
    <row r="2909" spans="1:17">
      <c r="A2909" s="5"/>
      <c r="B2909" s="5"/>
      <c r="C2909" s="5"/>
      <c r="D2909" s="5"/>
      <c r="E2909" s="5"/>
      <c r="F2909" s="5"/>
      <c r="G2909" s="55"/>
      <c r="H2909" s="55"/>
      <c r="I2909" s="5"/>
      <c r="J2909" s="5"/>
      <c r="K2909" s="5"/>
      <c r="L2909" s="5"/>
      <c r="M2909" s="5"/>
      <c r="N2909" s="5"/>
      <c r="O2909" s="5"/>
      <c r="Q2909" s="5"/>
    </row>
    <row r="2910" spans="1:17">
      <c r="A2910" s="5"/>
      <c r="B2910" s="5"/>
      <c r="C2910" s="5"/>
      <c r="D2910" s="5"/>
      <c r="E2910" s="5"/>
      <c r="F2910" s="5"/>
      <c r="G2910" s="55"/>
      <c r="H2910" s="55"/>
      <c r="I2910" s="5"/>
      <c r="J2910" s="5"/>
      <c r="K2910" s="5"/>
      <c r="L2910" s="5"/>
      <c r="M2910" s="5"/>
      <c r="N2910" s="5"/>
      <c r="O2910" s="5"/>
      <c r="Q2910" s="5"/>
    </row>
    <row r="2911" spans="1:17">
      <c r="A2911" s="5"/>
      <c r="B2911" s="5"/>
      <c r="C2911" s="5"/>
      <c r="D2911" s="5"/>
      <c r="E2911" s="5"/>
      <c r="F2911" s="5"/>
      <c r="G2911" s="55"/>
      <c r="H2911" s="55"/>
      <c r="I2911" s="5"/>
      <c r="J2911" s="5"/>
      <c r="K2911" s="5"/>
      <c r="L2911" s="5"/>
      <c r="M2911" s="5"/>
      <c r="N2911" s="5"/>
      <c r="O2911" s="5"/>
      <c r="Q2911" s="5"/>
    </row>
    <row r="2912" spans="1:17">
      <c r="A2912" s="5"/>
      <c r="B2912" s="5"/>
      <c r="C2912" s="5"/>
      <c r="D2912" s="5"/>
      <c r="E2912" s="5"/>
      <c r="F2912" s="5"/>
      <c r="G2912" s="55"/>
      <c r="H2912" s="55"/>
      <c r="I2912" s="5"/>
      <c r="J2912" s="5"/>
      <c r="K2912" s="5"/>
      <c r="L2912" s="5"/>
      <c r="M2912" s="5"/>
      <c r="N2912" s="5"/>
      <c r="O2912" s="5"/>
      <c r="Q2912" s="5"/>
    </row>
    <row r="2913" spans="1:17">
      <c r="A2913" s="5"/>
      <c r="B2913" s="5"/>
      <c r="C2913" s="5"/>
      <c r="D2913" s="5"/>
      <c r="E2913" s="5"/>
      <c r="F2913" s="5"/>
      <c r="G2913" s="55"/>
      <c r="H2913" s="55"/>
      <c r="I2913" s="5"/>
      <c r="J2913" s="5"/>
      <c r="K2913" s="5"/>
      <c r="L2913" s="5"/>
      <c r="M2913" s="5"/>
      <c r="N2913" s="5"/>
      <c r="O2913" s="5"/>
      <c r="Q2913" s="5"/>
    </row>
    <row r="2914" spans="1:17">
      <c r="A2914" s="5"/>
      <c r="B2914" s="5"/>
      <c r="C2914" s="5"/>
      <c r="D2914" s="5"/>
      <c r="E2914" s="5"/>
      <c r="F2914" s="5"/>
      <c r="G2914" s="55"/>
      <c r="H2914" s="55"/>
      <c r="I2914" s="5"/>
      <c r="J2914" s="5"/>
      <c r="K2914" s="5"/>
      <c r="L2914" s="5"/>
      <c r="M2914" s="5"/>
      <c r="N2914" s="5"/>
      <c r="O2914" s="5"/>
      <c r="Q2914" s="5"/>
    </row>
    <row r="2915" spans="1:17">
      <c r="A2915" s="5"/>
      <c r="B2915" s="5"/>
      <c r="C2915" s="5"/>
      <c r="D2915" s="5"/>
      <c r="E2915" s="5"/>
      <c r="F2915" s="5"/>
      <c r="G2915" s="55"/>
      <c r="H2915" s="55"/>
      <c r="I2915" s="5"/>
      <c r="J2915" s="5"/>
      <c r="K2915" s="5"/>
      <c r="L2915" s="5"/>
      <c r="M2915" s="5"/>
      <c r="N2915" s="5"/>
      <c r="O2915" s="5"/>
      <c r="Q2915" s="5"/>
    </row>
    <row r="2916" spans="1:17">
      <c r="A2916" s="5"/>
      <c r="B2916" s="5"/>
      <c r="C2916" s="5"/>
      <c r="D2916" s="5"/>
      <c r="E2916" s="5"/>
      <c r="F2916" s="5"/>
      <c r="G2916" s="55"/>
      <c r="H2916" s="55"/>
      <c r="I2916" s="5"/>
      <c r="J2916" s="5"/>
      <c r="K2916" s="5"/>
      <c r="L2916" s="5"/>
      <c r="M2916" s="5"/>
      <c r="N2916" s="5"/>
      <c r="O2916" s="5"/>
      <c r="Q2916" s="5"/>
    </row>
    <row r="2917" spans="1:17">
      <c r="A2917" s="5"/>
      <c r="B2917" s="5"/>
      <c r="C2917" s="5"/>
      <c r="D2917" s="5"/>
      <c r="E2917" s="5"/>
      <c r="F2917" s="5"/>
      <c r="G2917" s="55"/>
      <c r="H2917" s="55"/>
      <c r="I2917" s="5"/>
      <c r="J2917" s="5"/>
      <c r="K2917" s="5"/>
      <c r="L2917" s="5"/>
      <c r="M2917" s="5"/>
      <c r="N2917" s="5"/>
      <c r="O2917" s="5"/>
      <c r="Q2917" s="5"/>
    </row>
    <row r="2918" spans="1:17">
      <c r="A2918" s="5"/>
      <c r="B2918" s="5"/>
      <c r="C2918" s="5"/>
      <c r="D2918" s="5"/>
      <c r="E2918" s="5"/>
      <c r="F2918" s="5"/>
      <c r="G2918" s="55"/>
      <c r="H2918" s="55"/>
      <c r="I2918" s="5"/>
      <c r="J2918" s="5"/>
      <c r="K2918" s="5"/>
      <c r="L2918" s="5"/>
      <c r="M2918" s="5"/>
      <c r="N2918" s="5"/>
      <c r="O2918" s="5"/>
      <c r="Q2918" s="5"/>
    </row>
    <row r="2919" spans="1:17">
      <c r="A2919" s="5"/>
      <c r="B2919" s="5"/>
      <c r="C2919" s="5"/>
      <c r="D2919" s="5"/>
      <c r="E2919" s="5"/>
      <c r="F2919" s="5"/>
      <c r="G2919" s="55"/>
      <c r="H2919" s="55"/>
      <c r="I2919" s="5"/>
      <c r="J2919" s="5"/>
      <c r="K2919" s="5"/>
      <c r="L2919" s="5"/>
      <c r="M2919" s="5"/>
      <c r="N2919" s="5"/>
      <c r="O2919" s="5"/>
      <c r="Q2919" s="5"/>
    </row>
    <row r="2920" spans="1:17">
      <c r="A2920" s="5"/>
      <c r="B2920" s="5"/>
      <c r="C2920" s="5"/>
      <c r="D2920" s="5"/>
      <c r="E2920" s="5"/>
      <c r="F2920" s="5"/>
      <c r="G2920" s="55"/>
      <c r="H2920" s="55"/>
      <c r="I2920" s="5"/>
      <c r="J2920" s="5"/>
      <c r="K2920" s="5"/>
      <c r="L2920" s="5"/>
      <c r="M2920" s="5"/>
      <c r="N2920" s="5"/>
      <c r="O2920" s="5"/>
      <c r="Q2920" s="5"/>
    </row>
    <row r="2921" spans="1:17">
      <c r="A2921" s="5"/>
      <c r="B2921" s="5"/>
      <c r="C2921" s="5"/>
      <c r="D2921" s="5"/>
      <c r="E2921" s="5"/>
      <c r="F2921" s="5"/>
      <c r="G2921" s="55"/>
      <c r="H2921" s="55"/>
      <c r="I2921" s="5"/>
      <c r="J2921" s="5"/>
      <c r="K2921" s="5"/>
      <c r="L2921" s="5"/>
      <c r="M2921" s="5"/>
      <c r="N2921" s="5"/>
      <c r="O2921" s="5"/>
      <c r="Q2921" s="5"/>
    </row>
    <row r="2922" spans="1:17">
      <c r="A2922" s="5"/>
      <c r="B2922" s="5"/>
      <c r="C2922" s="5"/>
      <c r="D2922" s="5"/>
      <c r="E2922" s="5"/>
      <c r="F2922" s="5"/>
      <c r="G2922" s="55"/>
      <c r="H2922" s="55"/>
      <c r="I2922" s="5"/>
      <c r="J2922" s="5"/>
      <c r="K2922" s="5"/>
      <c r="L2922" s="5"/>
      <c r="M2922" s="5"/>
      <c r="N2922" s="5"/>
      <c r="O2922" s="5"/>
      <c r="Q2922" s="5"/>
    </row>
    <row r="2923" spans="1:17">
      <c r="A2923" s="5"/>
      <c r="B2923" s="5"/>
      <c r="C2923" s="5"/>
      <c r="D2923" s="5"/>
      <c r="E2923" s="5"/>
      <c r="F2923" s="5"/>
      <c r="G2923" s="55"/>
      <c r="H2923" s="55"/>
      <c r="I2923" s="5"/>
      <c r="J2923" s="5"/>
      <c r="K2923" s="5"/>
      <c r="L2923" s="5"/>
      <c r="M2923" s="5"/>
      <c r="N2923" s="5"/>
      <c r="O2923" s="5"/>
      <c r="Q2923" s="5"/>
    </row>
    <row r="2924" spans="1:17">
      <c r="A2924" s="5"/>
      <c r="B2924" s="5"/>
      <c r="C2924" s="5"/>
      <c r="D2924" s="5"/>
      <c r="E2924" s="5"/>
      <c r="F2924" s="5"/>
      <c r="G2924" s="55"/>
      <c r="H2924" s="55"/>
      <c r="I2924" s="5"/>
      <c r="J2924" s="5"/>
      <c r="K2924" s="5"/>
      <c r="L2924" s="5"/>
      <c r="M2924" s="5"/>
      <c r="N2924" s="5"/>
      <c r="O2924" s="5"/>
      <c r="Q2924" s="5"/>
    </row>
    <row r="2925" spans="1:17">
      <c r="A2925" s="5"/>
      <c r="B2925" s="5"/>
      <c r="C2925" s="5"/>
      <c r="D2925" s="5"/>
      <c r="E2925" s="5"/>
      <c r="F2925" s="5"/>
      <c r="G2925" s="55"/>
      <c r="H2925" s="55"/>
      <c r="I2925" s="5"/>
      <c r="J2925" s="5"/>
      <c r="K2925" s="5"/>
      <c r="L2925" s="5"/>
      <c r="M2925" s="5"/>
      <c r="N2925" s="5"/>
      <c r="O2925" s="5"/>
      <c r="Q2925" s="5"/>
    </row>
    <row r="2926" spans="1:17">
      <c r="A2926" s="5"/>
      <c r="B2926" s="5"/>
      <c r="C2926" s="5"/>
      <c r="D2926" s="5"/>
      <c r="E2926" s="5"/>
      <c r="F2926" s="5"/>
      <c r="G2926" s="55"/>
      <c r="H2926" s="55"/>
      <c r="I2926" s="5"/>
      <c r="J2926" s="5"/>
      <c r="K2926" s="5"/>
      <c r="L2926" s="5"/>
      <c r="M2926" s="5"/>
      <c r="N2926" s="5"/>
      <c r="O2926" s="5"/>
      <c r="Q2926" s="5"/>
    </row>
    <row r="2927" spans="1:17">
      <c r="A2927" s="5"/>
      <c r="B2927" s="5"/>
      <c r="C2927" s="5"/>
      <c r="D2927" s="5"/>
      <c r="E2927" s="5"/>
      <c r="F2927" s="5"/>
      <c r="G2927" s="55"/>
      <c r="H2927" s="55"/>
      <c r="I2927" s="5"/>
      <c r="J2927" s="5"/>
      <c r="K2927" s="5"/>
      <c r="L2927" s="5"/>
      <c r="M2927" s="5"/>
      <c r="N2927" s="5"/>
      <c r="O2927" s="5"/>
      <c r="Q2927" s="5"/>
    </row>
    <row r="2928" spans="1:17">
      <c r="A2928" s="5"/>
      <c r="B2928" s="5"/>
      <c r="C2928" s="5"/>
      <c r="D2928" s="5"/>
      <c r="E2928" s="5"/>
      <c r="F2928" s="5"/>
      <c r="G2928" s="55"/>
      <c r="H2928" s="55"/>
      <c r="I2928" s="5"/>
      <c r="J2928" s="5"/>
      <c r="K2928" s="5"/>
      <c r="L2928" s="5"/>
      <c r="M2928" s="5"/>
      <c r="N2928" s="5"/>
      <c r="O2928" s="5"/>
      <c r="Q2928" s="5"/>
    </row>
    <row r="2929" spans="1:17">
      <c r="A2929" s="5"/>
      <c r="B2929" s="5"/>
      <c r="C2929" s="5"/>
      <c r="D2929" s="5"/>
      <c r="E2929" s="5"/>
      <c r="F2929" s="5"/>
      <c r="G2929" s="55"/>
      <c r="H2929" s="55"/>
      <c r="I2929" s="5"/>
      <c r="J2929" s="5"/>
      <c r="K2929" s="5"/>
      <c r="L2929" s="5"/>
      <c r="M2929" s="5"/>
      <c r="N2929" s="5"/>
      <c r="O2929" s="5"/>
      <c r="Q2929" s="5"/>
    </row>
    <row r="2930" spans="1:17">
      <c r="A2930" s="5"/>
      <c r="B2930" s="5"/>
      <c r="C2930" s="5"/>
      <c r="D2930" s="5"/>
      <c r="E2930" s="5"/>
      <c r="F2930" s="5"/>
      <c r="G2930" s="55"/>
      <c r="H2930" s="55"/>
      <c r="I2930" s="5"/>
      <c r="J2930" s="5"/>
      <c r="K2930" s="5"/>
      <c r="L2930" s="5"/>
      <c r="M2930" s="5"/>
      <c r="N2930" s="5"/>
      <c r="O2930" s="5"/>
      <c r="Q2930" s="5"/>
    </row>
    <row r="2931" spans="1:17">
      <c r="A2931" s="5"/>
      <c r="B2931" s="5"/>
      <c r="C2931" s="5"/>
      <c r="D2931" s="5"/>
      <c r="E2931" s="5"/>
      <c r="F2931" s="5"/>
      <c r="G2931" s="55"/>
      <c r="H2931" s="55"/>
      <c r="I2931" s="5"/>
      <c r="J2931" s="5"/>
      <c r="K2931" s="5"/>
      <c r="L2931" s="5"/>
      <c r="M2931" s="5"/>
      <c r="N2931" s="5"/>
      <c r="O2931" s="5"/>
      <c r="Q2931" s="5"/>
    </row>
    <row r="2932" spans="1:17">
      <c r="A2932" s="5"/>
      <c r="B2932" s="5"/>
      <c r="C2932" s="5"/>
      <c r="D2932" s="5"/>
      <c r="E2932" s="5"/>
      <c r="F2932" s="5"/>
      <c r="G2932" s="55"/>
      <c r="H2932" s="55"/>
      <c r="I2932" s="5"/>
      <c r="J2932" s="5"/>
      <c r="K2932" s="5"/>
      <c r="L2932" s="5"/>
      <c r="M2932" s="5"/>
      <c r="N2932" s="5"/>
      <c r="O2932" s="5"/>
      <c r="Q2932" s="5"/>
    </row>
    <row r="2933" spans="1:17">
      <c r="A2933" s="5"/>
      <c r="B2933" s="5"/>
      <c r="C2933" s="5"/>
      <c r="D2933" s="5"/>
      <c r="E2933" s="5"/>
      <c r="F2933" s="5"/>
      <c r="G2933" s="55"/>
      <c r="H2933" s="55"/>
      <c r="I2933" s="5"/>
      <c r="J2933" s="5"/>
      <c r="K2933" s="5"/>
      <c r="L2933" s="5"/>
      <c r="M2933" s="5"/>
      <c r="N2933" s="5"/>
      <c r="O2933" s="5"/>
      <c r="Q2933" s="5"/>
    </row>
    <row r="2934" spans="1:17">
      <c r="A2934" s="5"/>
      <c r="B2934" s="5"/>
      <c r="C2934" s="5"/>
      <c r="D2934" s="5"/>
      <c r="E2934" s="5"/>
      <c r="F2934" s="5"/>
      <c r="G2934" s="55"/>
      <c r="H2934" s="55"/>
      <c r="I2934" s="5"/>
      <c r="J2934" s="5"/>
      <c r="K2934" s="5"/>
      <c r="L2934" s="5"/>
      <c r="M2934" s="5"/>
      <c r="N2934" s="5"/>
      <c r="O2934" s="5"/>
      <c r="Q2934" s="5"/>
    </row>
    <row r="2935" spans="1:17">
      <c r="A2935" s="5"/>
      <c r="B2935" s="5"/>
      <c r="C2935" s="5"/>
      <c r="D2935" s="5"/>
      <c r="E2935" s="5"/>
      <c r="F2935" s="5"/>
      <c r="G2935" s="55"/>
      <c r="H2935" s="55"/>
      <c r="I2935" s="5"/>
      <c r="J2935" s="5"/>
      <c r="K2935" s="5"/>
      <c r="L2935" s="5"/>
      <c r="M2935" s="5"/>
      <c r="N2935" s="5"/>
      <c r="O2935" s="5"/>
      <c r="Q2935" s="5"/>
    </row>
    <row r="2936" spans="1:17">
      <c r="A2936" s="5"/>
      <c r="B2936" s="5"/>
      <c r="C2936" s="5"/>
      <c r="D2936" s="5"/>
      <c r="E2936" s="5"/>
      <c r="F2936" s="5"/>
      <c r="G2936" s="55"/>
      <c r="H2936" s="55"/>
      <c r="I2936" s="5"/>
      <c r="J2936" s="5"/>
      <c r="K2936" s="5"/>
      <c r="L2936" s="5"/>
      <c r="M2936" s="5"/>
      <c r="N2936" s="5"/>
      <c r="O2936" s="5"/>
      <c r="Q2936" s="5"/>
    </row>
    <row r="2937" spans="1:17">
      <c r="A2937" s="5"/>
      <c r="B2937" s="5"/>
      <c r="C2937" s="5"/>
      <c r="D2937" s="5"/>
      <c r="E2937" s="5"/>
      <c r="F2937" s="5"/>
      <c r="G2937" s="55"/>
      <c r="H2937" s="55"/>
      <c r="I2937" s="5"/>
      <c r="J2937" s="5"/>
      <c r="K2937" s="5"/>
      <c r="L2937" s="5"/>
      <c r="M2937" s="5"/>
      <c r="N2937" s="5"/>
      <c r="O2937" s="5"/>
      <c r="Q2937" s="5"/>
    </row>
    <row r="2938" spans="1:17">
      <c r="A2938" s="5"/>
      <c r="B2938" s="5"/>
      <c r="C2938" s="5"/>
      <c r="D2938" s="5"/>
      <c r="E2938" s="5"/>
      <c r="F2938" s="5"/>
      <c r="G2938" s="55"/>
      <c r="H2938" s="55"/>
      <c r="I2938" s="5"/>
      <c r="J2938" s="5"/>
      <c r="K2938" s="5"/>
      <c r="L2938" s="5"/>
      <c r="M2938" s="5"/>
      <c r="N2938" s="5"/>
      <c r="O2938" s="5"/>
      <c r="Q2938" s="5"/>
    </row>
  </sheetData>
  <autoFilter ref="A7:Y2592"/>
  <dataConsolidate/>
  <mergeCells count="29">
    <mergeCell ref="P444:P445"/>
    <mergeCell ref="P234:P237"/>
    <mergeCell ref="P238:P241"/>
    <mergeCell ref="P242:P247"/>
    <mergeCell ref="P342:P343"/>
    <mergeCell ref="P412:P413"/>
    <mergeCell ref="P173:P176"/>
    <mergeCell ref="P178:P180"/>
    <mergeCell ref="P182:P188"/>
    <mergeCell ref="P190:P207"/>
    <mergeCell ref="P209:P229"/>
    <mergeCell ref="A2:B3"/>
    <mergeCell ref="J3:L3"/>
    <mergeCell ref="I4:I7"/>
    <mergeCell ref="P1:P7"/>
    <mergeCell ref="A1:I1"/>
    <mergeCell ref="A4:A6"/>
    <mergeCell ref="B4:B6"/>
    <mergeCell ref="C4:C6"/>
    <mergeCell ref="G3:H3"/>
    <mergeCell ref="D4:E5"/>
    <mergeCell ref="F4:F5"/>
    <mergeCell ref="G4:H5"/>
    <mergeCell ref="P158:P160"/>
    <mergeCell ref="P104:P120"/>
    <mergeCell ref="P122:P126"/>
    <mergeCell ref="P127:P146"/>
    <mergeCell ref="P147:P150"/>
    <mergeCell ref="P151:P154"/>
  </mergeCells>
  <dataValidations count="3">
    <dataValidation type="list" allowBlank="1" showInputMessage="1" showErrorMessage="1" sqref="L1751:L2019 K2594:K1048576 L2270 K315:L315 L2593:L1048576 K1:K9 L2054:L2264 L2356:L2357 L2507 L2375 L2396 L2439 L2466 L2485 L2360 L2363 L2365 L2367:L2368 L2372 L2381 L2384 L2386:L2387 L2391 L2403 L2406 L2408 L2410:L2411 L2415 L2418 L2423:L2424 L2427 L2429:L2430 L2434 L2445 L2449 L2452 L2455 L2457 L2459 L2470 L2478 L2481 L2483 L2492 L2500 L2503 L2505 L2514 L2517:L2518 L2521 L2525 L2529 L2532 L2538:L2539 L2542 L2544 L2546 L2549 L2553:L2554 L2557 L2561 L2564:L2565 L2569 L2572:L2573 L2577 L2580 L2535 L248 L2023 L1709:L1721 L2031 L2036 L2042 L2045 L1676:L1691 L318:L319">
      <formula1>#REF!</formula1>
    </dataValidation>
    <dataValidation type="list" allowBlank="1" showInputMessage="1" showErrorMessage="1" sqref="J2593:J1048576">
      <formula1>$B$4:$B$10</formula1>
    </dataValidation>
    <dataValidation type="list" allowBlank="1" showInputMessage="1" showErrorMessage="1" sqref="J315">
      <formula1>$B$4:$B$9</formula1>
    </dataValidation>
  </dataValidations>
  <pageMargins left="0.4" right="0" top="0.28000000000000003" bottom="0" header="0.1" footer="0"/>
  <pageSetup paperSize="8" scale="85" fitToHeight="0" orientation="landscape" horizontalDpi="4294967295" verticalDpi="4294967295"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14:formula1>
            <xm:f>Mã!$D$4:$D$6</xm:f>
          </x14:formula1>
          <xm:sqref>L473 L1:L10 L1544 L85:L92 L1087:L1127</xm:sqref>
        </x14:dataValidation>
        <x14:dataValidation type="list" allowBlank="1" showInputMessage="1" showErrorMessage="1">
          <x14:formula1>
            <xm:f>'D:\6. QHDC TT VIET NAM\TT KTTC\2024\Ket qua\Cac mang\[Masterlist 2024-2025 co Thue - Phi Gui cac mang...............xlsx]Mã'!#REF!</xm:f>
          </x14:formula1>
          <xm:sqref>L474 L2265:L2269 L699:L823 L589 L512 L551 L904:L942 L249:L314 L316:L317 L1414:L1457 L961:L1086 L374:L468 L320:L372 L1572:L1675 L1219:L1351 L1369:L1411</xm:sqref>
        </x14:dataValidation>
        <x14:dataValidation type="list" allowBlank="1" showInputMessage="1" showErrorMessage="1">
          <x14:formula1>
            <xm:f>Mã!$B$4:$B$13</xm:f>
          </x14:formula1>
          <xm:sqref>J2327:J2331 J2333 J1:J11 J2335:J2343 J2345:J2346 J2349:J2356 J2322:J2323 J22:J92 J248 J2054:J2270 J2273:J2274 J2276 J2278:J2284 J2286:J2287 J2291:J2293 J2295 J2297:J2303 J2305:J2306 J2309:J2310 J2312 J2314:J2320 J318 J397:J1676</xm:sqref>
        </x14:dataValidation>
        <x14:dataValidation type="list" allowBlank="1" showInputMessage="1" showErrorMessage="1">
          <x14:formula1>
            <xm:f>'D:\6. QHDC TT VIET NAM\TT KTTC\2025\Ket qua\Cac mang\TD\14122024\[IP_WDM_Copy of Masterlist 2025-2026 co Thue - Phi (theo PA2)_Cap quang_14_Dec_2024 (2).xlsx]Mã'!#REF!</xm:f>
          </x14:formula1>
          <xm:sqref>L2271:L2355 J2332 J2334 J2344 L513:L550 J2324:J2326 L1128:L1218 L1352:L1368 L861:L903 J2347:J2348 L1466:L1543 J2271:J2272 J2275 J2277 J2285 J2288:J2290 J2294 J2296 J2304 J2307:J2308 J2311 J2313 J2321 L943:L960 L1412:L1413 L1458:L1462 L590:L698 L1545:L1571</xm:sqref>
        </x14:dataValidation>
        <x14:dataValidation type="list" allowBlank="1" showInputMessage="1" showErrorMessage="1">
          <x14:formula1>
            <xm:f>'D:\6. QHDC TT VIET NAM\TT KTTC\2025\Ket qua\Cac mang\CĐ\16122024\[Masterlist 2025-2026 co Thue - Phi (theo PA2) gui cac mang_16Dec.xlsx]Mã'!#REF!</xm:f>
          </x14:formula1>
          <xm:sqref>L2361:L2362 L2364 L2366 L2369:L2371 L2373:L2374 L2376:L2379 L2382:L2383 L2385 L2388:L2390 L2550:L2552 L2397:L2400 L2404:L2405 L2407 L2409 L2412:L2414 L2416:L2417 L2419:L2422 L2425:L2426 L2428 L2431:L2433 L2392:L2395 L2440:L2443 L2446:L2448 L2450:L2451 L2453:L2454 L2456 L2458 L2460:L2465 L2467 L2469 L2471:L2477 L2479:L2480 L2482 L2484 L2486:L2489 L2491 L2493:L2499 L2501:L2502 L2504 L2506 L2508:L2511 L2515:L2516 L2519:L2520 L2522:L2524 L2526:L2528 L2530:L2531 L2533:L2534 L2536:L2537 L2540:L2541 L2543 L2545 L2547:L2548 L2578:L2579 L2555:L2556 L2558:L2560 L2562:L2563 L2566:L2568 L2574:L2576 L2570:L2571 L2581:L2592 L2435:L2438</xm:sqref>
        </x14:dataValidation>
        <x14:dataValidation type="list" allowBlank="1" showInputMessage="1" showErrorMessage="1">
          <x14:formula1>
            <xm:f>'D:\6. QHDC TT VIET NAM\TT KTTC\2024\Ket qua\Tong hop\PDF\[Masterlist 2024-2025 co Thue - Phi (20122023).xlsx]Mã'!#REF!</xm:f>
          </x14:formula1>
          <xm:sqref>L11 L22:L84</xm:sqref>
        </x14:dataValidation>
        <x14:dataValidation type="list" allowBlank="1" showInputMessage="1" showErrorMessage="1">
          <x14:formula1>
            <xm:f>'D:\6. QHDC TT VIET NAM\TT KTTC\2025\Ket qua\Cac mang\VT\[QHTKVT_Masterlist 2025-2026 co Thue - Phi (theo PA2) gui cac mang.xlsx]Mã'!#REF!</xm:f>
          </x14:formula1>
          <xm:sqref>L12:L21 J12:J21</xm:sqref>
        </x14:dataValidation>
        <x14:dataValidation type="list" allowBlank="1" showInputMessage="1" showErrorMessage="1">
          <x14:formula1>
            <xm:f>Mã!$C$4:$C$33</xm:f>
          </x14:formula1>
          <xm:sqref>K2593 K2054:K2356 K10:K92 K248 K318 K325:K326 K322:K323 K473:K1676</xm:sqref>
        </x14:dataValidation>
        <x14:dataValidation type="list" allowBlank="1" showInputMessage="1" showErrorMessage="1">
          <x14:formula1>
            <xm:f>'E:\work\2026\QHDC thi truong\MVT\Ket qua\masterlist\[Masterlist 2027-2028_CD_2908.xlsx]Mã'!#REF!</xm:f>
          </x14:formula1>
          <xm:sqref>J2357:K2357 J2360:K2592</xm:sqref>
        </x14:dataValidation>
        <x14:dataValidation type="list" allowBlank="1" showInputMessage="1" showErrorMessage="1">
          <x14:formula1>
            <xm:f>'E:\work\2026\QHDC thi truong\MVT\Ket qua\masterlist\[Master list QHDC 2027_2028_ML_0809.xlsx]Mã'!#REF!</xm:f>
          </x14:formula1>
          <xm:sqref>J93:L93</xm:sqref>
        </x14:dataValidation>
        <x14:dataValidation type="list" allowBlank="1" showInputMessage="1" showErrorMessage="1">
          <x14:formula1>
            <xm:f>'https://d.docs.live.net/0ef064afb5ff4b56/VT/1.Quy Hoach ML/QHĐC Mozambique/QHDC MOV 2027 2028/[Master list QHDC 2027_2028_ML_0809.xlsx]Mã'!#REF!</xm:f>
          </x14:formula1>
          <xm:sqref>J94:L247</xm:sqref>
        </x14:dataValidation>
        <x14:dataValidation type="list" allowBlank="1" showInputMessage="1" showErrorMessage="1">
          <x14:formula1>
            <xm:f>'E:\work\2026\QHDC thi truong\MVT\Ket qua\masterlist\[Master list 2027_2028_CDBR_1209.xlsx]Mã'!#REF!</xm:f>
          </x14:formula1>
          <xm:sqref>J249:K314 J316:K317</xm:sqref>
        </x14:dataValidation>
        <x14:dataValidation type="list" allowBlank="1" showInputMessage="1" showErrorMessage="1">
          <x14:formula1>
            <xm:f>'[Form - Masterlist 2027-2028 (Gui cac mang)_MOV_CD_V5.xlsx]Mã'!#REF!</xm:f>
          </x14:formula1>
          <xm:sqref>L2046:L2053 L1692:L1708 L2020:L2022 L2037:L2041 L2024:L2030 L2043:L2044 L2032:L2035 L1722:L1750 J1692:K1720 J1677:K1689 J1722:K2053</xm:sqref>
        </x14:dataValidation>
        <x14:dataValidation type="list" allowBlank="1" showInputMessage="1" showErrorMessage="1">
          <x14:formula1>
            <xm:f>'E:\work\2026\QHDC thi truong\MVT\Ket qua\masterlist\[Masterlist 2027-2028_CNTT_1209.xlsx]Mã'!#REF!</xm:f>
          </x14:formula1>
          <xm:sqref>L373 K327:K468 K319:K321 K324 J319:J396</xm:sqref>
        </x14:dataValidation>
        <x14:dataValidation type="list" allowBlank="1" showInputMessage="1" showErrorMessage="1">
          <x14:formula1>
            <xm:f>'C:\Users\admin\AppData\Local\Microsoft\Windows\INetCache\Content.Outlook\O1QN74MD\[MVT_Masterlist 2027-2028_tinh rieng 5g_20260920_19h.xlsx]Mã'!#REF!</xm:f>
          </x14:formula1>
          <xm:sqref>K469:K472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00FF"/>
    <outlinePr summaryBelow="0" summaryRight="0"/>
  </sheetPr>
  <dimension ref="A1:AT51"/>
  <sheetViews>
    <sheetView tabSelected="1" zoomScale="70" zoomScaleNormal="70" workbookViewId="0">
      <pane xSplit="3" ySplit="4" topLeftCell="D5" activePane="bottomRight" state="frozen"/>
      <selection pane="topRight" activeCell="D1" sqref="D1"/>
      <selection pane="bottomLeft" activeCell="A5" sqref="A5"/>
      <selection pane="bottomRight" activeCell="Q11" sqref="Q11"/>
    </sheetView>
  </sheetViews>
  <sheetFormatPr defaultColWidth="8.7265625" defaultRowHeight="13" outlineLevelRow="1" outlineLevelCol="2"/>
  <cols>
    <col min="1" max="1" width="3.54296875" style="5" bestFit="1" customWidth="1"/>
    <col min="2" max="2" width="26.453125" style="5" customWidth="1"/>
    <col min="3" max="3" width="9.26953125" style="6" customWidth="1" outlineLevel="1"/>
    <col min="4" max="4" width="12.1796875" style="5" customWidth="1" outlineLevel="2"/>
    <col min="5" max="5" width="8" style="5" customWidth="1" outlineLevel="2"/>
    <col min="6" max="7" width="7.7265625" style="5" customWidth="1" outlineLevel="2"/>
    <col min="8" max="9" width="7.81640625" style="5" customWidth="1" outlineLevel="2"/>
    <col min="10" max="11" width="8.81640625" style="5" customWidth="1" outlineLevel="2"/>
    <col min="12" max="13" width="8.26953125" style="5" customWidth="1" outlineLevel="2"/>
    <col min="14" max="14" width="8.453125" style="13" customWidth="1" outlineLevel="1"/>
    <col min="15" max="15" width="9.7265625" style="5" bestFit="1" customWidth="1" outlineLevel="1"/>
    <col min="16" max="16" width="8.54296875" style="5" customWidth="1" outlineLevel="2"/>
    <col min="17" max="18" width="8.453125" style="5" customWidth="1" outlineLevel="2"/>
    <col min="19" max="20" width="7.81640625" style="5" customWidth="1" outlineLevel="2"/>
    <col min="21" max="21" width="9.26953125" style="5" customWidth="1" outlineLevel="2"/>
    <col min="22" max="22" width="8.81640625" style="5" customWidth="1" outlineLevel="2"/>
    <col min="23" max="24" width="8" style="5" customWidth="1" outlineLevel="2"/>
    <col min="25" max="25" width="7.7265625" style="5" customWidth="1" outlineLevel="2"/>
    <col min="26" max="26" width="7.1796875" style="13" customWidth="1" outlineLevel="1"/>
    <col min="27" max="27" width="7.7265625" style="5" customWidth="1" outlineLevel="1"/>
    <col min="28" max="28" width="8.26953125" style="13" customWidth="1"/>
    <col min="29" max="29" width="8.26953125" style="5" customWidth="1"/>
    <col min="30" max="35" width="8.7265625" style="5"/>
    <col min="36" max="41" width="7.26953125" style="5" customWidth="1"/>
    <col min="42" max="42" width="7.26953125" style="6" customWidth="1"/>
    <col min="43" max="43" width="8.7265625" style="6"/>
    <col min="44" max="44" width="4.1796875" style="5" bestFit="1" customWidth="1"/>
    <col min="45" max="45" width="4.7265625" style="5" bestFit="1" customWidth="1"/>
    <col min="46" max="16384" width="8.7265625" style="5"/>
  </cols>
  <sheetData>
    <row r="1" spans="1:45">
      <c r="D1" s="44">
        <v>1000000</v>
      </c>
      <c r="H1" s="81"/>
      <c r="I1" s="81"/>
      <c r="S1" s="81"/>
      <c r="T1" s="81"/>
      <c r="AA1" s="13"/>
      <c r="AC1" s="13"/>
      <c r="AD1" s="13"/>
      <c r="AE1" s="13"/>
      <c r="AF1" s="13"/>
      <c r="AG1" s="13"/>
      <c r="AH1" s="13"/>
      <c r="AI1" s="13"/>
      <c r="AJ1" s="152"/>
      <c r="AK1" s="152"/>
      <c r="AL1" s="828"/>
      <c r="AM1" s="829"/>
    </row>
    <row r="2" spans="1:45" ht="13.15" customHeight="1">
      <c r="A2" s="88" t="s">
        <v>83</v>
      </c>
      <c r="B2" s="11" t="s">
        <v>71</v>
      </c>
      <c r="C2" s="45" t="s">
        <v>138</v>
      </c>
      <c r="D2" s="836" t="s">
        <v>315</v>
      </c>
      <c r="E2" s="837"/>
      <c r="F2" s="837"/>
      <c r="G2" s="837"/>
      <c r="H2" s="837"/>
      <c r="I2" s="837"/>
      <c r="J2" s="837"/>
      <c r="K2" s="837"/>
      <c r="L2" s="837"/>
      <c r="M2" s="837"/>
      <c r="N2" s="838"/>
      <c r="O2" s="833" t="s">
        <v>316</v>
      </c>
      <c r="P2" s="834"/>
      <c r="Q2" s="834"/>
      <c r="R2" s="834"/>
      <c r="S2" s="834"/>
      <c r="T2" s="834"/>
      <c r="U2" s="834"/>
      <c r="V2" s="834"/>
      <c r="W2" s="834"/>
      <c r="X2" s="834"/>
      <c r="Y2" s="835"/>
      <c r="Z2" s="836" t="s">
        <v>317</v>
      </c>
      <c r="AA2" s="837"/>
      <c r="AB2" s="837"/>
      <c r="AC2" s="837"/>
      <c r="AD2" s="837"/>
      <c r="AE2" s="837"/>
      <c r="AF2" s="837"/>
      <c r="AG2" s="837"/>
      <c r="AH2" s="837"/>
      <c r="AI2" s="838"/>
      <c r="AJ2" s="830" t="s">
        <v>188</v>
      </c>
      <c r="AK2" s="831"/>
      <c r="AL2" s="832"/>
      <c r="AM2" s="832"/>
      <c r="AN2" s="832"/>
      <c r="AO2" s="832"/>
      <c r="AP2" s="832"/>
    </row>
    <row r="3" spans="1:45" ht="40.5" customHeight="1">
      <c r="A3" s="88"/>
      <c r="B3" s="11" t="s">
        <v>81</v>
      </c>
      <c r="C3" s="43" t="s">
        <v>79</v>
      </c>
      <c r="D3" s="74" t="s">
        <v>7</v>
      </c>
      <c r="E3" s="74" t="s">
        <v>18</v>
      </c>
      <c r="F3" s="74" t="s">
        <v>29</v>
      </c>
      <c r="G3" s="74" t="s">
        <v>38</v>
      </c>
      <c r="H3" s="74" t="s">
        <v>32</v>
      </c>
      <c r="I3" s="74" t="s">
        <v>21</v>
      </c>
      <c r="J3" s="74" t="s">
        <v>6</v>
      </c>
      <c r="K3" s="74" t="s">
        <v>10</v>
      </c>
      <c r="L3" s="75" t="s">
        <v>1515</v>
      </c>
      <c r="M3" s="75" t="s">
        <v>1448</v>
      </c>
      <c r="N3" s="74" t="s">
        <v>77</v>
      </c>
      <c r="O3" s="76" t="s">
        <v>7</v>
      </c>
      <c r="P3" s="76" t="s">
        <v>18</v>
      </c>
      <c r="Q3" s="76" t="s">
        <v>29</v>
      </c>
      <c r="R3" s="76" t="s">
        <v>38</v>
      </c>
      <c r="S3" s="76" t="s">
        <v>32</v>
      </c>
      <c r="T3" s="76" t="s">
        <v>21</v>
      </c>
      <c r="U3" s="76" t="s">
        <v>6</v>
      </c>
      <c r="V3" s="76" t="s">
        <v>10</v>
      </c>
      <c r="W3" s="77" t="s">
        <v>1515</v>
      </c>
      <c r="X3" s="77" t="s">
        <v>1448</v>
      </c>
      <c r="Y3" s="76" t="s">
        <v>77</v>
      </c>
      <c r="Z3" s="74" t="s">
        <v>7</v>
      </c>
      <c r="AA3" s="74" t="s">
        <v>18</v>
      </c>
      <c r="AB3" s="74" t="s">
        <v>29</v>
      </c>
      <c r="AC3" s="74" t="s">
        <v>38</v>
      </c>
      <c r="AD3" s="74" t="s">
        <v>32</v>
      </c>
      <c r="AE3" s="74" t="s">
        <v>21</v>
      </c>
      <c r="AF3" s="74" t="s">
        <v>6</v>
      </c>
      <c r="AG3" s="74" t="s">
        <v>10</v>
      </c>
      <c r="AH3" s="75" t="s">
        <v>76</v>
      </c>
      <c r="AI3" s="74" t="s">
        <v>77</v>
      </c>
      <c r="AJ3" s="105" t="s">
        <v>192</v>
      </c>
      <c r="AK3" s="105" t="s">
        <v>82</v>
      </c>
      <c r="AL3" s="105" t="s">
        <v>29</v>
      </c>
      <c r="AM3" s="105" t="s">
        <v>336</v>
      </c>
      <c r="AN3" s="105" t="s">
        <v>109</v>
      </c>
      <c r="AO3" s="105" t="s">
        <v>127</v>
      </c>
      <c r="AP3" s="153" t="s">
        <v>38</v>
      </c>
    </row>
    <row r="4" spans="1:45" s="37" customFormat="1" outlineLevel="1">
      <c r="A4" s="107" t="s">
        <v>84</v>
      </c>
      <c r="B4" s="107" t="s">
        <v>76</v>
      </c>
      <c r="C4" s="18"/>
      <c r="D4" s="431">
        <f t="shared" ref="D4:J4" si="0">SUBTOTAL(9,D6:D33)</f>
        <v>41.358285500000001</v>
      </c>
      <c r="E4" s="431">
        <f t="shared" si="0"/>
        <v>8.9500100000000007</v>
      </c>
      <c r="F4" s="431">
        <f t="shared" si="0"/>
        <v>1.2385272999999999</v>
      </c>
      <c r="G4" s="431">
        <f t="shared" si="0"/>
        <v>18.305993999999998</v>
      </c>
      <c r="H4" s="431">
        <f t="shared" si="0"/>
        <v>11.033791392000001</v>
      </c>
      <c r="I4" s="431">
        <f t="shared" ref="I4" si="1">SUBTOTAL(9,I6:I33)</f>
        <v>10.692601499999999</v>
      </c>
      <c r="J4" s="431">
        <f t="shared" si="0"/>
        <v>8.6180832819999988</v>
      </c>
      <c r="K4" s="721">
        <f t="shared" ref="K4" si="2">SUBTOTAL(9,K6:K33)</f>
        <v>10.606753847763656</v>
      </c>
      <c r="L4" s="431">
        <f>SUBTOTAL(9,L6:L33)</f>
        <v>110.80404682176366</v>
      </c>
      <c r="M4" s="431">
        <f>SUBTOTAL(9,M6:M34)</f>
        <v>123.35528082176366</v>
      </c>
      <c r="N4" s="140"/>
      <c r="O4" s="431">
        <f t="shared" ref="O4:V4" si="3">SUBTOTAL(9,O6:O33)</f>
        <v>26.886814499999996</v>
      </c>
      <c r="P4" s="106">
        <f t="shared" si="3"/>
        <v>0</v>
      </c>
      <c r="Q4" s="431">
        <f t="shared" si="3"/>
        <v>0.56333736000000012</v>
      </c>
      <c r="R4" s="431">
        <f t="shared" si="3"/>
        <v>22.441325999999997</v>
      </c>
      <c r="S4" s="721">
        <f t="shared" si="3"/>
        <v>10.616615364199999</v>
      </c>
      <c r="T4" s="431">
        <f t="shared" si="3"/>
        <v>8.084551900000001</v>
      </c>
      <c r="U4" s="431">
        <f t="shared" si="3"/>
        <v>15.425906900000001</v>
      </c>
      <c r="V4" s="721">
        <f t="shared" si="3"/>
        <v>6.1510613611146603</v>
      </c>
      <c r="W4" s="431">
        <f>SUBTOTAL(9,W6:W33)</f>
        <v>90.169613385314648</v>
      </c>
      <c r="X4" s="431">
        <f>SUBTOTAL(9,X6:X34)</f>
        <v>101.02087698531464</v>
      </c>
      <c r="Y4" s="438"/>
      <c r="Z4" s="106">
        <f t="shared" ref="Z4:AH4" si="4">SUBTOTAL(9,Z6:Z33)</f>
        <v>68.245100000000008</v>
      </c>
      <c r="AA4" s="106">
        <f t="shared" si="4"/>
        <v>8.9500100000000007</v>
      </c>
      <c r="AB4" s="106">
        <f t="shared" si="4"/>
        <v>1.8018646600000001</v>
      </c>
      <c r="AC4" s="106">
        <f t="shared" si="4"/>
        <v>40.747319999999988</v>
      </c>
      <c r="AD4" s="106">
        <f t="shared" si="4"/>
        <v>21.650406756199999</v>
      </c>
      <c r="AE4" s="106">
        <f t="shared" ref="AE4" si="5">SUBTOTAL(9,AE6:AE33)</f>
        <v>18.7771534</v>
      </c>
      <c r="AF4" s="106">
        <f t="shared" si="4"/>
        <v>24.043990182000002</v>
      </c>
      <c r="AG4" s="106">
        <f t="shared" ref="AG4" si="6">SUBTOTAL(9,AG6:AG33)</f>
        <v>16.757815208878316</v>
      </c>
      <c r="AH4" s="106">
        <f t="shared" si="4"/>
        <v>200.97366020707832</v>
      </c>
      <c r="AI4" s="119">
        <f>AH4/$AH$4</f>
        <v>1</v>
      </c>
      <c r="AJ4" s="2">
        <f>AH10*AJ10+AH12*AJ12+AH21*AJ21+AH24*AJ24+AH25*AJ25+(Z30+AA30+AD30+AF30)*AJ30+(Z31+AA31+AD31+AF31)*AJ31+(Z32+AA32+AD32+AF32)*AJ32+AH33*AJ33</f>
        <v>175.28548013891827</v>
      </c>
      <c r="AK4" s="2">
        <f>AK7*AH7</f>
        <v>0</v>
      </c>
      <c r="AL4" s="2">
        <f>AH8*AL8+AH16*AL16+AH17*AL17+AH19*AL19+AB30*AL30+AB31*AL31+AB32*AL32+AH33*AL33</f>
        <v>2.8912808721600003</v>
      </c>
      <c r="AM4" s="2">
        <f>AH18*AM18+AH21*AM21+AB30*AM30+AB31*AM31</f>
        <v>0.13569719600000002</v>
      </c>
      <c r="AN4" s="2">
        <f>AH21*AN21</f>
        <v>1.9108280000000002</v>
      </c>
      <c r="AO4" s="2">
        <f>AH9*AO9+AH20*AO20</f>
        <v>0.86982688000000008</v>
      </c>
      <c r="AP4" s="32">
        <f>AH23*AP23+AH9*AP9+AC30*AP30+AC31*AP31</f>
        <v>8.9408041199999992</v>
      </c>
      <c r="AQ4" s="52"/>
    </row>
    <row r="5" spans="1:45" s="57" customFormat="1" ht="13.5" outlineLevel="1">
      <c r="A5" s="108"/>
      <c r="B5" s="108" t="s">
        <v>155</v>
      </c>
      <c r="C5" s="109"/>
      <c r="D5" s="444">
        <f t="shared" ref="D5:L5" si="7">D4/$L$4</f>
        <v>0.37325609204984905</v>
      </c>
      <c r="E5" s="444">
        <f t="shared" si="7"/>
        <v>8.0773313400698626E-2</v>
      </c>
      <c r="F5" s="444">
        <f t="shared" si="7"/>
        <v>1.1177635975626963E-2</v>
      </c>
      <c r="G5" s="444">
        <f t="shared" si="7"/>
        <v>0.16521051825342187</v>
      </c>
      <c r="H5" s="444">
        <f t="shared" si="7"/>
        <v>9.9579317800085901E-2</v>
      </c>
      <c r="I5" s="444">
        <f t="shared" si="7"/>
        <v>9.6500099109194298E-2</v>
      </c>
      <c r="J5" s="444">
        <f t="shared" si="7"/>
        <v>7.7777694309873094E-2</v>
      </c>
      <c r="K5" s="444">
        <f t="shared" si="7"/>
        <v>9.5725329101250145E-2</v>
      </c>
      <c r="L5" s="444">
        <f t="shared" si="7"/>
        <v>1</v>
      </c>
      <c r="M5" s="444">
        <f t="shared" ref="M5" si="8">M4/$L$4</f>
        <v>1.1132741480118462</v>
      </c>
      <c r="N5" s="141"/>
      <c r="O5" s="444">
        <f>O4/$X$4</f>
        <v>0.26615106998040139</v>
      </c>
      <c r="P5" s="444">
        <f t="shared" ref="P5:V5" si="9">P4/$X$4</f>
        <v>0</v>
      </c>
      <c r="Q5" s="444">
        <f t="shared" si="9"/>
        <v>5.5764449568369142E-3</v>
      </c>
      <c r="R5" s="444">
        <f t="shared" si="9"/>
        <v>0.22214542844705537</v>
      </c>
      <c r="S5" s="444">
        <f t="shared" si="9"/>
        <v>0.10509328052797771</v>
      </c>
      <c r="T5" s="444">
        <f t="shared" si="9"/>
        <v>8.0028526194394933E-2</v>
      </c>
      <c r="U5" s="444">
        <f t="shared" si="9"/>
        <v>0.15270018792494205</v>
      </c>
      <c r="V5" s="444">
        <f t="shared" si="9"/>
        <v>6.0889011704074167E-2</v>
      </c>
      <c r="W5" s="444">
        <f t="shared" ref="W5" si="10">W4/$X$4</f>
        <v>0.89258394973568245</v>
      </c>
      <c r="X5" s="444">
        <f t="shared" ref="X5" si="11">X4/$X$4</f>
        <v>1</v>
      </c>
      <c r="Y5" s="439"/>
      <c r="Z5" s="110">
        <f t="shared" ref="Z5:AH5" si="12">Z4/$AH$4</f>
        <v>0.3395723595305073</v>
      </c>
      <c r="AA5" s="120">
        <f t="shared" si="12"/>
        <v>4.4533248739054315E-2</v>
      </c>
      <c r="AB5" s="110">
        <f t="shared" si="12"/>
        <v>8.9656756917468831E-3</v>
      </c>
      <c r="AC5" s="120">
        <f t="shared" si="12"/>
        <v>0.20274955413567602</v>
      </c>
      <c r="AD5" s="110">
        <f t="shared" si="12"/>
        <v>0.10772758347482925</v>
      </c>
      <c r="AE5" s="110">
        <f t="shared" si="12"/>
        <v>9.3430917169207553E-2</v>
      </c>
      <c r="AF5" s="110">
        <f t="shared" si="12"/>
        <v>0.11963751945018897</v>
      </c>
      <c r="AG5" s="110">
        <f t="shared" si="12"/>
        <v>8.338314180878964E-2</v>
      </c>
      <c r="AH5" s="110">
        <f t="shared" si="12"/>
        <v>1</v>
      </c>
      <c r="AI5" s="110"/>
      <c r="AJ5" s="163"/>
      <c r="AK5" s="163"/>
      <c r="AL5" s="163"/>
      <c r="AM5" s="163"/>
      <c r="AN5" s="163"/>
      <c r="AO5" s="163"/>
      <c r="AP5" s="163"/>
      <c r="AQ5" s="56"/>
    </row>
    <row r="6" spans="1:45" ht="26" outlineLevel="1">
      <c r="A6" s="76" t="s">
        <v>4</v>
      </c>
      <c r="B6" s="139" t="s">
        <v>200</v>
      </c>
      <c r="C6" s="115"/>
      <c r="D6" s="432">
        <f>SUBTOTAL(9,D7:D10)</f>
        <v>0</v>
      </c>
      <c r="E6" s="432">
        <f t="shared" ref="E6:L6" si="13">SUBTOTAL(9,E7:E10)</f>
        <v>0</v>
      </c>
      <c r="F6" s="432">
        <f t="shared" si="13"/>
        <v>0</v>
      </c>
      <c r="G6" s="432">
        <f t="shared" si="13"/>
        <v>0.836372</v>
      </c>
      <c r="H6" s="432">
        <f t="shared" si="13"/>
        <v>0</v>
      </c>
      <c r="I6" s="432">
        <f t="shared" ref="I6" si="14">SUBTOTAL(9,I7:I10)</f>
        <v>0</v>
      </c>
      <c r="J6" s="432">
        <f t="shared" si="13"/>
        <v>0</v>
      </c>
      <c r="K6" s="432">
        <f t="shared" ref="K6" si="15">SUBTOTAL(9,K7:K10)</f>
        <v>0</v>
      </c>
      <c r="L6" s="432">
        <f t="shared" si="13"/>
        <v>0.836372</v>
      </c>
      <c r="M6" s="432">
        <f t="shared" ref="M6" si="16">SUBTOTAL(9,M7:M10)</f>
        <v>0.836372</v>
      </c>
      <c r="N6" s="142">
        <f>L6/$L$4</f>
        <v>7.5482080663115576E-3</v>
      </c>
      <c r="O6" s="432">
        <f>SUBTOTAL(9,O7:O10)</f>
        <v>0</v>
      </c>
      <c r="P6" s="432">
        <f t="shared" ref="P6:W6" si="17">SUBTOTAL(9,P7:P10)</f>
        <v>0</v>
      </c>
      <c r="Q6" s="432">
        <f t="shared" si="17"/>
        <v>0</v>
      </c>
      <c r="R6" s="432">
        <f t="shared" si="17"/>
        <v>0.836372</v>
      </c>
      <c r="S6" s="432">
        <f t="shared" si="17"/>
        <v>0</v>
      </c>
      <c r="T6" s="432">
        <f t="shared" si="17"/>
        <v>0</v>
      </c>
      <c r="U6" s="432">
        <f t="shared" si="17"/>
        <v>0</v>
      </c>
      <c r="V6" s="432">
        <f t="shared" si="17"/>
        <v>0</v>
      </c>
      <c r="W6" s="432">
        <f t="shared" si="17"/>
        <v>0.836372</v>
      </c>
      <c r="X6" s="432">
        <f t="shared" ref="X6" si="18">SUBTOTAL(9,X7:X10)</f>
        <v>0.836372</v>
      </c>
      <c r="Y6" s="142">
        <f>W6/$W$4</f>
        <v>9.2755415998735397E-3</v>
      </c>
      <c r="Z6" s="85">
        <f t="shared" ref="Z6:AF6" si="19">SUBTOTAL(9,Z7:Z9)</f>
        <v>0</v>
      </c>
      <c r="AA6" s="85">
        <f t="shared" si="19"/>
        <v>0</v>
      </c>
      <c r="AB6" s="85">
        <f t="shared" si="19"/>
        <v>0</v>
      </c>
      <c r="AC6" s="85">
        <f t="shared" si="19"/>
        <v>1.672744</v>
      </c>
      <c r="AD6" s="85">
        <f t="shared" si="19"/>
        <v>0</v>
      </c>
      <c r="AE6" s="85">
        <f t="shared" ref="AE6" si="20">SUBTOTAL(9,AE7:AE9)</f>
        <v>0</v>
      </c>
      <c r="AF6" s="85">
        <f t="shared" si="19"/>
        <v>0</v>
      </c>
      <c r="AG6" s="85">
        <f t="shared" ref="AG6" si="21">SUBTOTAL(9,AG7:AG9)</f>
        <v>0</v>
      </c>
      <c r="AH6" s="85">
        <f>SUBTOTAL(9,AH7:AH10)</f>
        <v>1.672744</v>
      </c>
      <c r="AI6" s="118">
        <f t="shared" ref="AI6:AI33" si="22">AH6/$AH$4</f>
        <v>8.3232001560624696E-3</v>
      </c>
      <c r="AJ6" s="164"/>
      <c r="AK6" s="164"/>
      <c r="AL6" s="164"/>
      <c r="AM6" s="164"/>
      <c r="AN6" s="164"/>
      <c r="AO6" s="164"/>
      <c r="AP6" s="164"/>
      <c r="AQ6" s="151"/>
    </row>
    <row r="7" spans="1:45" outlineLevel="1">
      <c r="A7" s="46">
        <v>1</v>
      </c>
      <c r="B7" s="93" t="s">
        <v>100</v>
      </c>
      <c r="C7" s="46" t="s">
        <v>82</v>
      </c>
      <c r="D7" s="433">
        <f>SUMIFS('PL1.1 ML2027-2028'!$G:$G,'PL1.1 ML2027-2028'!$J:$J,'TH theo dich vu'!$D$3,'PL1.1 ML2027-2028'!$K:$K,'TH theo dich vu'!C7)/$D$1</f>
        <v>0</v>
      </c>
      <c r="E7" s="433">
        <f>SUMIFS('PL1.1 ML2027-2028'!$G:$G,'PL1.1 ML2027-2028'!$J:$J,'TH theo dich vu'!$E$3,'PL1.1 ML2027-2028'!$K:$K,'TH theo dich vu'!C7)/$D$1</f>
        <v>0</v>
      </c>
      <c r="F7" s="433">
        <f>SUMIFS('PL1.1 ML2027-2028'!$G:$G,'PL1.1 ML2027-2028'!$J:$J,'TH theo dich vu'!$F$3,'PL1.1 ML2027-2028'!$K:$K,'TH theo dich vu'!C7)/$D$1</f>
        <v>0</v>
      </c>
      <c r="G7" s="433">
        <f>SUMIFS('PL1.1 ML2027-2028'!$G:$G,'PL1.1 ML2027-2028'!$J:$J,'TH theo dich vu'!$G$3,'PL1.1 ML2027-2028'!$K:$K,'TH theo dich vu'!C7)/$D$1</f>
        <v>0</v>
      </c>
      <c r="H7" s="433">
        <f>SUMIFS('PL1.1 ML2027-2028'!$G:$G,'PL1.1 ML2027-2028'!$J:$J,"TD",'PL1.1 ML2027-2028'!$M:$M,"IP",'PL1.1 ML2027-2028'!$K:$K,'TH theo dich vu'!C7)/$D$1</f>
        <v>0</v>
      </c>
      <c r="I7" s="433">
        <f>SUMIFS('PL1.1 ML2027-2028'!$G:$G,'PL1.1 ML2027-2028'!$J:$J,"TD",'PL1.1 ML2027-2028'!$M:$M,"Mạng cáp",'PL1.1 ML2027-2028'!$K:$K,'TH theo dich vu'!C7)/$D$1</f>
        <v>0</v>
      </c>
      <c r="J7" s="433">
        <f>SUMIFS('PL1.1 ML2027-2028'!$G:$G,'PL1.1 ML2027-2028'!$J:$J,'TH theo dich vu'!$J$3,'PL1.1 ML2027-2028'!$K:$K,'TH theo dich vu'!C7)/$D$1</f>
        <v>0</v>
      </c>
      <c r="K7" s="433">
        <f>SUMIFS('PL1.1 ML2027-2028'!$G:$G,'PL1.1 ML2027-2028'!$J:$J,'TH theo dich vu'!K$3,'PL1.1 ML2027-2028'!$K:$K,'TH theo dich vu'!C7)/$D$1</f>
        <v>0</v>
      </c>
      <c r="L7" s="434">
        <f>SUM(D7:K7)</f>
        <v>0</v>
      </c>
      <c r="M7" s="434">
        <f>SUM(D7:K7)</f>
        <v>0</v>
      </c>
      <c r="N7" s="138">
        <f>L7/$L$4</f>
        <v>0</v>
      </c>
      <c r="O7" s="433">
        <f>SUMIFS('PL1.1 ML2027-2028'!$H:$H,'PL1.1 ML2027-2028'!$J:$J,'TH theo dich vu'!O$3,'PL1.1 ML2027-2028'!$K:$K,'TH theo dich vu'!$C7)/$D$1</f>
        <v>0</v>
      </c>
      <c r="P7" s="433">
        <f>SUMIFS('PL1.1 ML2027-2028'!$H:$H,'PL1.1 ML2027-2028'!$J:$J,'TH theo dich vu'!P$3,'PL1.1 ML2027-2028'!$K:$K,'TH theo dich vu'!$C7)/$D$1</f>
        <v>0</v>
      </c>
      <c r="Q7" s="433">
        <f>SUMIFS('PL1.1 ML2027-2028'!$H:$H,'PL1.1 ML2027-2028'!$J:$J,'TH theo dich vu'!Q$3,'PL1.1 ML2027-2028'!$K:$K,'TH theo dich vu'!$C7)/$D$1</f>
        <v>0</v>
      </c>
      <c r="R7" s="433">
        <f>SUMIFS('PL1.1 ML2027-2028'!$H:$H,'PL1.1 ML2027-2028'!$J:$J,'TH theo dich vu'!R$3,'PL1.1 ML2027-2028'!$K:$K,'TH theo dich vu'!$C7)/$D$1</f>
        <v>0</v>
      </c>
      <c r="S7" s="433">
        <f>SUMIFS('PL1.1 ML2027-2028'!$H:$H,'PL1.1 ML2027-2028'!$J:$J,"TD",'PL1.1 ML2027-2028'!$M:$M,"IP",'PL1.1 ML2027-2028'!$K:$K,'TH theo dich vu'!C7)/$D$1</f>
        <v>0</v>
      </c>
      <c r="T7" s="433">
        <f>SUMIFS('PL1.1 ML2027-2028'!$H:$H,'PL1.1 ML2027-2028'!$J:$J,"TD",'PL1.1 ML2027-2028'!$M:$M,"Mạng cáp",'PL1.1 ML2027-2028'!$K:$K,'TH theo dich vu'!C7)/$D$1</f>
        <v>0</v>
      </c>
      <c r="U7" s="433">
        <f>SUMIFS('PL1.1 ML2027-2028'!$H:$H,'PL1.1 ML2027-2028'!$J:$J,'TH theo dich vu'!U$3,'PL1.1 ML2027-2028'!$K:$K,'TH theo dich vu'!$C7)/$D$1</f>
        <v>0</v>
      </c>
      <c r="V7" s="433">
        <f>SUMIFS('PL1.1 ML2027-2028'!$H:$H,'PL1.1 ML2027-2028'!$J:$J,'TH theo dich vu'!V$3,'PL1.1 ML2027-2028'!$K:$K,'TH theo dich vu'!$C7)/$D$1</f>
        <v>0</v>
      </c>
      <c r="W7" s="434">
        <f>SUM(O7:V7)</f>
        <v>0</v>
      </c>
      <c r="X7" s="434">
        <f>SUM(O7:V7)</f>
        <v>0</v>
      </c>
      <c r="Y7" s="440"/>
      <c r="Z7" s="84">
        <f t="shared" ref="Z7:AG10" si="23">D7+O7</f>
        <v>0</v>
      </c>
      <c r="AA7" s="84">
        <f t="shared" si="23"/>
        <v>0</v>
      </c>
      <c r="AB7" s="84">
        <f t="shared" si="23"/>
        <v>0</v>
      </c>
      <c r="AC7" s="84">
        <f t="shared" si="23"/>
        <v>0</v>
      </c>
      <c r="AD7" s="84">
        <f t="shared" si="23"/>
        <v>0</v>
      </c>
      <c r="AE7" s="84">
        <f t="shared" si="23"/>
        <v>0</v>
      </c>
      <c r="AF7" s="84">
        <f t="shared" si="23"/>
        <v>0</v>
      </c>
      <c r="AG7" s="84">
        <f t="shared" si="23"/>
        <v>0</v>
      </c>
      <c r="AH7" s="83">
        <f>SUM(Z7:AG7)</f>
        <v>0</v>
      </c>
      <c r="AI7" s="12">
        <f t="shared" si="22"/>
        <v>0</v>
      </c>
      <c r="AJ7" s="169"/>
      <c r="AK7" s="169">
        <v>1</v>
      </c>
      <c r="AL7" s="164"/>
      <c r="AM7" s="164"/>
      <c r="AN7" s="164"/>
      <c r="AO7" s="164"/>
      <c r="AP7" s="165"/>
      <c r="AQ7" s="150"/>
      <c r="AR7" s="122"/>
      <c r="AS7" s="48"/>
    </row>
    <row r="8" spans="1:45" outlineLevel="1">
      <c r="A8" s="46">
        <v>2</v>
      </c>
      <c r="B8" s="93" t="s">
        <v>201</v>
      </c>
      <c r="C8" s="136" t="s">
        <v>201</v>
      </c>
      <c r="D8" s="433">
        <f>SUMIFS('PL1.1 ML2027-2028'!$G:$G,'PL1.1 ML2027-2028'!$J:$J,'TH theo dich vu'!$D$3,'PL1.1 ML2027-2028'!$K:$K,'TH theo dich vu'!C8)/$D$1</f>
        <v>0</v>
      </c>
      <c r="E8" s="433">
        <f>SUMIFS('PL1.1 ML2027-2028'!$G:$G,'PL1.1 ML2027-2028'!$J:$J,'TH theo dich vu'!$E$3,'PL1.1 ML2027-2028'!$K:$K,'TH theo dich vu'!C8)/$D$1</f>
        <v>0</v>
      </c>
      <c r="F8" s="433">
        <f>SUMIFS('PL1.1 ML2027-2028'!$G:$G,'PL1.1 ML2027-2028'!$J:$J,'TH theo dich vu'!$F$3,'PL1.1 ML2027-2028'!$K:$K,'TH theo dich vu'!C8)/$D$1</f>
        <v>0</v>
      </c>
      <c r="G8" s="433">
        <f>SUMIFS('PL1.1 ML2027-2028'!$G:$G,'PL1.1 ML2027-2028'!$J:$J,'TH theo dich vu'!$G$3,'PL1.1 ML2027-2028'!$K:$K,'TH theo dich vu'!C8)/$D$1 * 0.43287</f>
        <v>0</v>
      </c>
      <c r="H8" s="433">
        <f>SUMIFS('PL1.1 ML2027-2028'!$G:$G,'PL1.1 ML2027-2028'!$J:$J,"TD",'PL1.1 ML2027-2028'!$M:$M,"IP",'PL1.1 ML2027-2028'!$K:$K,'TH theo dich vu'!C8)/$D$1</f>
        <v>0</v>
      </c>
      <c r="I8" s="433">
        <f>SUMIFS('PL1.1 ML2027-2028'!$G:$G,'PL1.1 ML2027-2028'!$J:$J,"TD",'PL1.1 ML2027-2028'!$M:$M,"Mạng cáp",'PL1.1 ML2027-2028'!$K:$K,'TH theo dich vu'!C8)/$D$1</f>
        <v>0</v>
      </c>
      <c r="J8" s="433">
        <f>SUMIFS('PL1.1 ML2027-2028'!$G:$G,'PL1.1 ML2027-2028'!$J:$J,'TH theo dich vu'!$J$3,'PL1.1 ML2027-2028'!$K:$K,'TH theo dich vu'!C8)/$D$1</f>
        <v>0</v>
      </c>
      <c r="K8" s="433">
        <f>SUMIFS('PL1.1 ML2027-2028'!$G:$G,'PL1.1 ML2027-2028'!$J:$J,'TH theo dich vu'!K$3,'PL1.1 ML2027-2028'!$K:$K,'TH theo dich vu'!C8)/$D$1</f>
        <v>0</v>
      </c>
      <c r="L8" s="434">
        <f>SUM(D8:K8)</f>
        <v>0</v>
      </c>
      <c r="M8" s="434">
        <f t="shared" ref="M8:M10" si="24">SUM(D8:K8)</f>
        <v>0</v>
      </c>
      <c r="N8" s="138">
        <f t="shared" ref="N8:N25" si="25">L8/$L$4</f>
        <v>0</v>
      </c>
      <c r="O8" s="433">
        <f>SUMIFS('PL1.1 ML2027-2028'!$H:$H,'PL1.1 ML2027-2028'!$J:$J,'TH theo dich vu'!O$3,'PL1.1 ML2027-2028'!$K:$K,'TH theo dich vu'!$C8)/$D$1</f>
        <v>0</v>
      </c>
      <c r="P8" s="433">
        <f>SUMIFS('PL1.1 ML2027-2028'!$H:$H,'PL1.1 ML2027-2028'!$J:$J,'TH theo dich vu'!P$3,'PL1.1 ML2027-2028'!$K:$K,'TH theo dich vu'!$C8)/$D$1</f>
        <v>0</v>
      </c>
      <c r="Q8" s="433">
        <f>SUMIFS('PL1.1 ML2027-2028'!$H:$H,'PL1.1 ML2027-2028'!$J:$J,'TH theo dich vu'!Q$3,'PL1.1 ML2027-2028'!$K:$K,'TH theo dich vu'!$C8)/$D$1</f>
        <v>0</v>
      </c>
      <c r="R8" s="433">
        <f>SUMIFS('PL1.1 ML2027-2028'!$H:$H,'PL1.1 ML2027-2028'!$J:$J,'TH theo dich vu'!R$3,'PL1.1 ML2027-2028'!$K:$K,'TH theo dich vu'!$C8)/$D$1</f>
        <v>0</v>
      </c>
      <c r="S8" s="433">
        <f>SUMIFS('PL1.1 ML2027-2028'!$H:$H,'PL1.1 ML2027-2028'!$J:$J,"TD",'PL1.1 ML2027-2028'!$M:$M,"IP",'PL1.1 ML2027-2028'!$K:$K,'TH theo dich vu'!C8)/$D$1</f>
        <v>0</v>
      </c>
      <c r="T8" s="433">
        <f>SUMIFS('PL1.1 ML2027-2028'!$H:$H,'PL1.1 ML2027-2028'!$J:$J,"TD",'PL1.1 ML2027-2028'!$M:$M,"Mạng cáp",'PL1.1 ML2027-2028'!$K:$K,'TH theo dich vu'!C8)/$D$1</f>
        <v>0</v>
      </c>
      <c r="U8" s="433">
        <f>SUMIFS('PL1.1 ML2027-2028'!$H:$H,'PL1.1 ML2027-2028'!$J:$J,'TH theo dich vu'!U$3,'PL1.1 ML2027-2028'!$K:$K,'TH theo dich vu'!$C8)/$D$1</f>
        <v>0</v>
      </c>
      <c r="V8" s="433">
        <f>SUMIFS('PL1.1 ML2027-2028'!$H:$H,'PL1.1 ML2027-2028'!$J:$J,'TH theo dich vu'!V$3,'PL1.1 ML2027-2028'!$K:$K,'TH theo dich vu'!$C8)/$D$1</f>
        <v>0</v>
      </c>
      <c r="W8" s="434">
        <f>SUM(O8:V8)</f>
        <v>0</v>
      </c>
      <c r="X8" s="434">
        <f t="shared" ref="X8:X10" si="26">SUM(O8:V8)</f>
        <v>0</v>
      </c>
      <c r="Y8" s="440"/>
      <c r="Z8" s="84">
        <f t="shared" si="23"/>
        <v>0</v>
      </c>
      <c r="AA8" s="84">
        <f t="shared" si="23"/>
        <v>0</v>
      </c>
      <c r="AB8" s="84">
        <f t="shared" si="23"/>
        <v>0</v>
      </c>
      <c r="AC8" s="84">
        <f t="shared" si="23"/>
        <v>0</v>
      </c>
      <c r="AD8" s="84">
        <f t="shared" si="23"/>
        <v>0</v>
      </c>
      <c r="AE8" s="84">
        <f t="shared" si="23"/>
        <v>0</v>
      </c>
      <c r="AF8" s="84">
        <f t="shared" si="23"/>
        <v>0</v>
      </c>
      <c r="AG8" s="84">
        <f t="shared" si="23"/>
        <v>0</v>
      </c>
      <c r="AH8" s="83">
        <f t="shared" ref="AH8:AH10" si="27">SUM(Z8:AG8)</f>
        <v>0</v>
      </c>
      <c r="AI8" s="12">
        <f t="shared" si="22"/>
        <v>0</v>
      </c>
      <c r="AJ8" s="164"/>
      <c r="AK8" s="164"/>
      <c r="AL8" s="169">
        <v>1</v>
      </c>
      <c r="AM8" s="169"/>
      <c r="AN8" s="164"/>
      <c r="AO8" s="164"/>
      <c r="AP8" s="164"/>
    </row>
    <row r="9" spans="1:45" outlineLevel="1">
      <c r="A9" s="46">
        <v>3</v>
      </c>
      <c r="B9" s="93" t="s">
        <v>202</v>
      </c>
      <c r="C9" s="90" t="s">
        <v>202</v>
      </c>
      <c r="D9" s="433">
        <f>SUMIFS('PL1.1 ML2027-2028'!$G:$G,'PL1.1 ML2027-2028'!$J:$J,'TH theo dich vu'!$D$3,'PL1.1 ML2027-2028'!$K:$K,'TH theo dich vu'!C9)/$D$1</f>
        <v>0</v>
      </c>
      <c r="E9" s="433">
        <f>SUMIFS('PL1.1 ML2027-2028'!$G:$G,'PL1.1 ML2027-2028'!$J:$J,'TH theo dich vu'!$E$3,'PL1.1 ML2027-2028'!$K:$K,'TH theo dich vu'!C9)/$D$1</f>
        <v>0</v>
      </c>
      <c r="F9" s="433">
        <f>SUMIFS('PL1.1 ML2027-2028'!$G:$G,'PL1.1 ML2027-2028'!$J:$J,'TH theo dich vu'!$F$3,'PL1.1 ML2027-2028'!$K:$K,'TH theo dich vu'!C9)/$D$1</f>
        <v>0</v>
      </c>
      <c r="G9" s="433">
        <f>SUMIFS('PL1.1 ML2027-2028'!$G:$G,'PL1.1 ML2027-2028'!$J:$J,'TH theo dich vu'!G$3,'PL1.1 ML2027-2028'!$K:$K,'TH theo dich vu'!$C9)/$D$1</f>
        <v>0.836372</v>
      </c>
      <c r="H9" s="433">
        <f>SUMIFS('PL1.1 ML2027-2028'!$G:$G,'PL1.1 ML2027-2028'!$J:$J,"TD",'PL1.1 ML2027-2028'!$M:$M,"IP",'PL1.1 ML2027-2028'!$K:$K,'TH theo dich vu'!C9)/$D$1</f>
        <v>0</v>
      </c>
      <c r="I9" s="433">
        <f>SUMIFS('PL1.1 ML2027-2028'!$G:$G,'PL1.1 ML2027-2028'!$J:$J,"TD",'PL1.1 ML2027-2028'!$M:$M,"Mạng cáp",'PL1.1 ML2027-2028'!$K:$K,'TH theo dich vu'!C9)/$D$1</f>
        <v>0</v>
      </c>
      <c r="J9" s="433">
        <f>SUMIFS('PL1.1 ML2027-2028'!$G:$G,'PL1.1 ML2027-2028'!$J:$J,'TH theo dich vu'!$J$3,'PL1.1 ML2027-2028'!$K:$K,'TH theo dich vu'!C9)/$D$1</f>
        <v>0</v>
      </c>
      <c r="K9" s="433">
        <f>SUMIFS('PL1.1 ML2027-2028'!$G:$G,'PL1.1 ML2027-2028'!$J:$J,'TH theo dich vu'!K$3,'PL1.1 ML2027-2028'!$K:$K,'TH theo dich vu'!C9)/$D$1</f>
        <v>0</v>
      </c>
      <c r="L9" s="434">
        <f>SUM(D9:K9)</f>
        <v>0.836372</v>
      </c>
      <c r="M9" s="434">
        <f t="shared" si="24"/>
        <v>0.836372</v>
      </c>
      <c r="N9" s="138">
        <f t="shared" si="25"/>
        <v>7.5482080663115576E-3</v>
      </c>
      <c r="O9" s="433">
        <f>SUMIFS('PL1.1 ML2027-2028'!$H:$H,'PL1.1 ML2027-2028'!$J:$J,'TH theo dich vu'!O$3,'PL1.1 ML2027-2028'!$K:$K,'TH theo dich vu'!$C9)/$D$1</f>
        <v>0</v>
      </c>
      <c r="P9" s="433">
        <f>SUMIFS('PL1.1 ML2027-2028'!$H:$H,'PL1.1 ML2027-2028'!$J:$J,'TH theo dich vu'!P$3,'PL1.1 ML2027-2028'!$K:$K,'TH theo dich vu'!$C9)/$D$1</f>
        <v>0</v>
      </c>
      <c r="Q9" s="433">
        <f>SUMIFS('PL1.1 ML2027-2028'!$H:$H,'PL1.1 ML2027-2028'!$J:$J,'TH theo dich vu'!Q$3,'PL1.1 ML2027-2028'!$K:$K,'TH theo dich vu'!$C9)/$D$1</f>
        <v>0</v>
      </c>
      <c r="R9" s="433">
        <f>SUMIFS('PL1.1 ML2027-2028'!$H:$H,'PL1.1 ML2027-2028'!$J:$J,'TH theo dich vu'!R$3,'PL1.1 ML2027-2028'!$K:$K,'TH theo dich vu'!$C9)/$D$1</f>
        <v>0.836372</v>
      </c>
      <c r="S9" s="433">
        <f>SUMIFS('PL1.1 ML2027-2028'!$H:$H,'PL1.1 ML2027-2028'!$J:$J,"TD",'PL1.1 ML2027-2028'!$M:$M,"IP",'PL1.1 ML2027-2028'!$K:$K,'TH theo dich vu'!C9)/$D$1</f>
        <v>0</v>
      </c>
      <c r="T9" s="433">
        <f>SUMIFS('PL1.1 ML2027-2028'!$H:$H,'PL1.1 ML2027-2028'!$J:$J,"TD",'PL1.1 ML2027-2028'!$M:$M,"Mạng cáp",'PL1.1 ML2027-2028'!$K:$K,'TH theo dich vu'!C9)/$D$1</f>
        <v>0</v>
      </c>
      <c r="U9" s="433">
        <f>SUMIFS('PL1.1 ML2027-2028'!$H:$H,'PL1.1 ML2027-2028'!$J:$J,'TH theo dich vu'!U$3,'PL1.1 ML2027-2028'!$K:$K,'TH theo dich vu'!$C9)/$D$1</f>
        <v>0</v>
      </c>
      <c r="V9" s="433">
        <f>SUMIFS('PL1.1 ML2027-2028'!$H:$H,'PL1.1 ML2027-2028'!$J:$J,'TH theo dich vu'!V$3,'PL1.1 ML2027-2028'!$K:$K,'TH theo dich vu'!$C9)/$D$1</f>
        <v>0</v>
      </c>
      <c r="W9" s="434">
        <f>SUM(O9:V9)</f>
        <v>0.836372</v>
      </c>
      <c r="X9" s="434">
        <f t="shared" si="26"/>
        <v>0.836372</v>
      </c>
      <c r="Y9" s="440"/>
      <c r="Z9" s="84">
        <f t="shared" si="23"/>
        <v>0</v>
      </c>
      <c r="AA9" s="84">
        <f t="shared" si="23"/>
        <v>0</v>
      </c>
      <c r="AB9" s="84">
        <f t="shared" si="23"/>
        <v>0</v>
      </c>
      <c r="AC9" s="84">
        <f t="shared" si="23"/>
        <v>1.672744</v>
      </c>
      <c r="AD9" s="84">
        <f t="shared" si="23"/>
        <v>0</v>
      </c>
      <c r="AE9" s="84">
        <f t="shared" si="23"/>
        <v>0</v>
      </c>
      <c r="AF9" s="84">
        <f t="shared" si="23"/>
        <v>0</v>
      </c>
      <c r="AG9" s="84">
        <f t="shared" si="23"/>
        <v>0</v>
      </c>
      <c r="AH9" s="83">
        <f t="shared" si="27"/>
        <v>1.672744</v>
      </c>
      <c r="AI9" s="86">
        <f t="shared" si="22"/>
        <v>8.3232001560624696E-3</v>
      </c>
      <c r="AJ9" s="164"/>
      <c r="AK9" s="164"/>
      <c r="AL9" s="164"/>
      <c r="AM9" s="164"/>
      <c r="AN9" s="164"/>
      <c r="AO9" s="169">
        <v>0.52</v>
      </c>
      <c r="AP9" s="169">
        <v>0.48</v>
      </c>
    </row>
    <row r="10" spans="1:45" outlineLevel="1">
      <c r="A10" s="46">
        <v>4</v>
      </c>
      <c r="B10" s="93" t="s">
        <v>195</v>
      </c>
      <c r="C10" s="90" t="s">
        <v>203</v>
      </c>
      <c r="D10" s="433">
        <f>SUMIFS('PL1.1 ML2027-2028'!$G:$G,'PL1.1 ML2027-2028'!$J:$J,'TH theo dich vu'!$D$3,'PL1.1 ML2027-2028'!$K:$K,'TH theo dich vu'!C10)/$D$1</f>
        <v>0</v>
      </c>
      <c r="E10" s="433">
        <f>SUMIFS('PL1.1 ML2027-2028'!$G:$G,'PL1.1 ML2027-2028'!$J:$J,'TH theo dich vu'!$E$3,'PL1.1 ML2027-2028'!$K:$K,'TH theo dich vu'!C10)/$D$1</f>
        <v>0</v>
      </c>
      <c r="F10" s="433">
        <f>SUMIFS('PL1.1 ML2027-2028'!$G:$G,'PL1.1 ML2027-2028'!$J:$J,'TH theo dich vu'!$F$3,'PL1.1 ML2027-2028'!$K:$K,'TH theo dich vu'!C10)/$D$1</f>
        <v>0</v>
      </c>
      <c r="G10" s="433">
        <f>SUMIFS('PL1.1 ML2027-2028'!$G:$G,'PL1.1 ML2027-2028'!$J:$J,'TH theo dich vu'!$G$3,'PL1.1 ML2027-2028'!$K:$K,'TH theo dich vu'!C10)/$D$1</f>
        <v>0</v>
      </c>
      <c r="H10" s="433">
        <f>SUMIFS('PL1.1 ML2027-2028'!$G:$G,'PL1.1 ML2027-2028'!$J:$J,"TD",'PL1.1 ML2027-2028'!$M:$M,"IP",'PL1.1 ML2027-2028'!$K:$K,'TH theo dich vu'!C10)/$D$1</f>
        <v>0</v>
      </c>
      <c r="I10" s="433">
        <f>SUMIFS('PL1.1 ML2027-2028'!$G:$G,'PL1.1 ML2027-2028'!$J:$J,"TD",'PL1.1 ML2027-2028'!$M:$M,"Mạng cáp",'PL1.1 ML2027-2028'!$K:$K,'TH theo dich vu'!C10)/$D$1</f>
        <v>0</v>
      </c>
      <c r="J10" s="433">
        <f>SUMIFS('PL1.1 ML2027-2028'!$G:$G,'PL1.1 ML2027-2028'!$J:$J,'TH theo dich vu'!$J$3,'PL1.1 ML2027-2028'!$K:$K,'TH theo dich vu'!C10)/$D$1</f>
        <v>0</v>
      </c>
      <c r="K10" s="433">
        <f>SUMIFS('PL1.1 ML2027-2028'!$G:$G,'PL1.1 ML2027-2028'!$J:$J,'TH theo dich vu'!K$3,'PL1.1 ML2027-2028'!$K:$K,'TH theo dich vu'!C10)/$D$1</f>
        <v>0</v>
      </c>
      <c r="L10" s="434">
        <f>SUM(D10:K10)</f>
        <v>0</v>
      </c>
      <c r="M10" s="434">
        <f t="shared" si="24"/>
        <v>0</v>
      </c>
      <c r="N10" s="138">
        <f t="shared" si="25"/>
        <v>0</v>
      </c>
      <c r="O10" s="433">
        <f>SUMIFS('PL1.1 ML2027-2028'!$H:$H,'PL1.1 ML2027-2028'!$J:$J,'TH theo dich vu'!O$3,'PL1.1 ML2027-2028'!$K:$K,'TH theo dich vu'!$C10)/$D$1</f>
        <v>0</v>
      </c>
      <c r="P10" s="433">
        <f>SUMIFS('PL1.1 ML2027-2028'!$H:$H,'PL1.1 ML2027-2028'!$J:$J,'TH theo dich vu'!P$3,'PL1.1 ML2027-2028'!$K:$K,'TH theo dich vu'!$C10)/$D$1</f>
        <v>0</v>
      </c>
      <c r="Q10" s="433">
        <f>SUMIFS('PL1.1 ML2027-2028'!$H:$H,'PL1.1 ML2027-2028'!$J:$J,'TH theo dich vu'!Q$3,'PL1.1 ML2027-2028'!$K:$K,'TH theo dich vu'!$C10)/$D$1</f>
        <v>0</v>
      </c>
      <c r="R10" s="433">
        <f>SUMIFS('PL1.1 ML2027-2028'!$H:$H,'PL1.1 ML2027-2028'!$J:$J,'TH theo dich vu'!R$3,'PL1.1 ML2027-2028'!$K:$K,'TH theo dich vu'!$C10)/$D$1</f>
        <v>0</v>
      </c>
      <c r="S10" s="433">
        <f>SUMIFS('PL1.1 ML2027-2028'!$H:$H,'PL1.1 ML2027-2028'!$J:$J,"TD",'PL1.1 ML2027-2028'!$M:$M,"IP",'PL1.1 ML2027-2028'!$K:$K,'TH theo dich vu'!C10)/$D$1</f>
        <v>0</v>
      </c>
      <c r="T10" s="433">
        <f>SUMIFS('PL1.1 ML2027-2028'!$H:$H,'PL1.1 ML2027-2028'!$J:$J,"TD",'PL1.1 ML2027-2028'!$M:$M,"Mạng cáp",'PL1.1 ML2027-2028'!$K:$K,'TH theo dich vu'!C10)/$D$1</f>
        <v>0</v>
      </c>
      <c r="U10" s="433">
        <f>SUMIFS('PL1.1 ML2027-2028'!$H:$H,'PL1.1 ML2027-2028'!$J:$J,'TH theo dich vu'!U$3,'PL1.1 ML2027-2028'!$K:$K,'TH theo dich vu'!$C10)/$D$1</f>
        <v>0</v>
      </c>
      <c r="V10" s="433">
        <f>SUMIFS('PL1.1 ML2027-2028'!$H:$H,'PL1.1 ML2027-2028'!$J:$J,'TH theo dich vu'!V$3,'PL1.1 ML2027-2028'!$K:$K,'TH theo dich vu'!$C10)/$D$1</f>
        <v>0</v>
      </c>
      <c r="W10" s="434">
        <f>SUM(O10:V10)</f>
        <v>0</v>
      </c>
      <c r="X10" s="434">
        <f t="shared" si="26"/>
        <v>0</v>
      </c>
      <c r="Y10" s="440"/>
      <c r="Z10" s="84">
        <f t="shared" si="23"/>
        <v>0</v>
      </c>
      <c r="AA10" s="84">
        <f t="shared" si="23"/>
        <v>0</v>
      </c>
      <c r="AB10" s="84">
        <f t="shared" si="23"/>
        <v>0</v>
      </c>
      <c r="AC10" s="84">
        <f t="shared" si="23"/>
        <v>0</v>
      </c>
      <c r="AD10" s="84">
        <f t="shared" si="23"/>
        <v>0</v>
      </c>
      <c r="AE10" s="84">
        <f t="shared" si="23"/>
        <v>0</v>
      </c>
      <c r="AF10" s="84">
        <f t="shared" si="23"/>
        <v>0</v>
      </c>
      <c r="AG10" s="84">
        <f t="shared" si="23"/>
        <v>0</v>
      </c>
      <c r="AH10" s="83">
        <f t="shared" si="27"/>
        <v>0</v>
      </c>
      <c r="AI10" s="12">
        <f t="shared" si="22"/>
        <v>0</v>
      </c>
      <c r="AJ10" s="169">
        <v>1</v>
      </c>
      <c r="AK10" s="169"/>
      <c r="AL10" s="164"/>
      <c r="AM10" s="164"/>
      <c r="AN10" s="164"/>
      <c r="AO10" s="164"/>
      <c r="AP10" s="164"/>
    </row>
    <row r="11" spans="1:45" ht="26" outlineLevel="1">
      <c r="A11" s="76" t="s">
        <v>12</v>
      </c>
      <c r="B11" s="139" t="s">
        <v>204</v>
      </c>
      <c r="C11" s="116"/>
      <c r="D11" s="435">
        <f t="shared" ref="D11:G11" si="28">SUBTOTAL(9,D12:D28)</f>
        <v>39.6119895</v>
      </c>
      <c r="E11" s="435">
        <f t="shared" si="28"/>
        <v>2.9823499999999998</v>
      </c>
      <c r="F11" s="435">
        <f t="shared" si="28"/>
        <v>1.0754468399999999</v>
      </c>
      <c r="G11" s="435">
        <f t="shared" si="28"/>
        <v>15.582281999999999</v>
      </c>
      <c r="H11" s="435">
        <f>SUBTOTAL(9,H12:H28)</f>
        <v>8.4989447200000008</v>
      </c>
      <c r="I11" s="435">
        <f>SUBTOTAL(9,I12:I28)</f>
        <v>5.4399799999999994</v>
      </c>
      <c r="J11" s="435">
        <f>SUBTOTAL(9,J12:J28)</f>
        <v>5.8563324999999997</v>
      </c>
      <c r="K11" s="435">
        <f>SUBTOTAL(9,K12:K28)</f>
        <v>10.606753847763656</v>
      </c>
      <c r="L11" s="435">
        <f>SUBTOTAL(9,L13:L28)</f>
        <v>89.65407940776366</v>
      </c>
      <c r="M11" s="435">
        <f>SUBTOTAL(9,M13:M28)</f>
        <v>89.65407940776366</v>
      </c>
      <c r="N11" s="142">
        <f>L11/$L$4</f>
        <v>0.80912278909793556</v>
      </c>
      <c r="O11" s="435">
        <f>SUBTOTAL(9,O12:O25)</f>
        <v>23.890997499999997</v>
      </c>
      <c r="P11" s="435">
        <f t="shared" ref="P11:Q11" si="29">SUBTOTAL(9,P12:P25)</f>
        <v>0</v>
      </c>
      <c r="Q11" s="435">
        <f t="shared" si="29"/>
        <v>0.43173884000000001</v>
      </c>
      <c r="R11" s="435">
        <f>SUBTOTAL(9,R12:R25)</f>
        <v>17.900933999999999</v>
      </c>
      <c r="S11" s="435">
        <f>SUBTOTAL(9,S12:S28)</f>
        <v>4.8783800159999986</v>
      </c>
      <c r="T11" s="435">
        <f>SUBTOTAL(9,T12:T28)</f>
        <v>2.3974304000000002</v>
      </c>
      <c r="U11" s="435">
        <f>SUBTOTAL(9,U12:U25)</f>
        <v>5.1952653999999994</v>
      </c>
      <c r="V11" s="435">
        <f>SUBTOTAL(9,V12:V28)</f>
        <v>6.1510613611146603</v>
      </c>
      <c r="W11" s="435">
        <f>SUBTOTAL(9,W13:W28)</f>
        <v>60.845807517114658</v>
      </c>
      <c r="X11" s="435">
        <f>SUBTOTAL(9,X13:X28)</f>
        <v>60.845807517114658</v>
      </c>
      <c r="Y11" s="142">
        <f>W11/$W$4</f>
        <v>0.67479281803180302</v>
      </c>
      <c r="Z11" s="117">
        <f t="shared" ref="Z11:AF11" si="30">SUBTOTAL(9,Z12:Z32)</f>
        <v>68.245100000000008</v>
      </c>
      <c r="AA11" s="117">
        <f t="shared" si="30"/>
        <v>8.9500100000000007</v>
      </c>
      <c r="AB11" s="117">
        <f t="shared" si="30"/>
        <v>1.8018646600000001</v>
      </c>
      <c r="AC11" s="117">
        <f t="shared" si="30"/>
        <v>39.074575999999986</v>
      </c>
      <c r="AD11" s="117">
        <f t="shared" si="30"/>
        <v>21.650406756199999</v>
      </c>
      <c r="AE11" s="117">
        <f t="shared" ref="AE11" si="31">SUBTOTAL(9,AE12:AE32)</f>
        <v>18.7771534</v>
      </c>
      <c r="AF11" s="117">
        <f t="shared" si="30"/>
        <v>24.043990182000002</v>
      </c>
      <c r="AG11" s="117">
        <f t="shared" ref="AG11" si="32">SUBTOTAL(9,AG12:AG32)</f>
        <v>16.757815208878316</v>
      </c>
      <c r="AH11" s="117">
        <f>SUBTOTAL(9,AH12:AH25)</f>
        <v>150.4998869248783</v>
      </c>
      <c r="AI11" s="118">
        <f t="shared" si="22"/>
        <v>0.74885378894829757</v>
      </c>
      <c r="AJ11" s="164"/>
      <c r="AK11" s="164"/>
      <c r="AL11" s="164"/>
      <c r="AM11" s="164"/>
      <c r="AN11" s="164"/>
      <c r="AO11" s="164"/>
      <c r="AP11" s="164"/>
    </row>
    <row r="12" spans="1:45" s="51" customFormat="1" outlineLevel="1">
      <c r="A12" s="107">
        <v>1</v>
      </c>
      <c r="B12" s="111" t="s">
        <v>416</v>
      </c>
      <c r="C12" s="107"/>
      <c r="D12" s="431">
        <f>SUBTOTAL(9,D13:D14)</f>
        <v>39.6119895</v>
      </c>
      <c r="E12" s="431">
        <f>SUBTOTAL(9,E13:E14)</f>
        <v>2.9823499999999998</v>
      </c>
      <c r="F12" s="431">
        <f t="shared" ref="F12:J12" si="33">SUBTOTAL(9,F13:F14)</f>
        <v>0</v>
      </c>
      <c r="G12" s="431">
        <f t="shared" si="33"/>
        <v>0</v>
      </c>
      <c r="H12" s="431">
        <f t="shared" si="33"/>
        <v>6.3373152368000003</v>
      </c>
      <c r="I12" s="431">
        <f t="shared" ref="I12" si="34">SUBTOTAL(9,I13:I14)</f>
        <v>4.5213811999999995</v>
      </c>
      <c r="J12" s="431">
        <f t="shared" si="33"/>
        <v>5.8563324999999997</v>
      </c>
      <c r="K12" s="431">
        <f t="shared" ref="K12" si="35">SUBTOTAL(9,K13:K14)</f>
        <v>10.606753847763656</v>
      </c>
      <c r="L12" s="436">
        <f>SUBTOTAL(9,L13:L14)</f>
        <v>69.916122284563656</v>
      </c>
      <c r="M12" s="436">
        <f>SUBTOTAL(9,M13:M14)</f>
        <v>69.916122284563656</v>
      </c>
      <c r="N12" s="138">
        <f t="shared" si="25"/>
        <v>0.63098888795125696</v>
      </c>
      <c r="O12" s="431">
        <f>SUBTOTAL(9,O13:O14)</f>
        <v>23.890997499999997</v>
      </c>
      <c r="P12" s="431">
        <f t="shared" ref="P12:V12" si="36">SUBTOTAL(9,P13:P14)</f>
        <v>0</v>
      </c>
      <c r="Q12" s="431">
        <f t="shared" si="36"/>
        <v>0</v>
      </c>
      <c r="R12" s="431">
        <f t="shared" si="36"/>
        <v>0</v>
      </c>
      <c r="S12" s="431">
        <f t="shared" si="36"/>
        <v>4.584347115039999</v>
      </c>
      <c r="T12" s="431">
        <f t="shared" si="36"/>
        <v>2.2535845760000002</v>
      </c>
      <c r="U12" s="431">
        <f t="shared" si="36"/>
        <v>5.1952653999999994</v>
      </c>
      <c r="V12" s="431">
        <f t="shared" si="36"/>
        <v>6.1510613611146603</v>
      </c>
      <c r="W12" s="436">
        <f>SUBTOTAL(9,W13:W14)</f>
        <v>42.075255952154656</v>
      </c>
      <c r="X12" s="436">
        <f>SUBTOTAL(9,X13:X14)</f>
        <v>42.075255952154656</v>
      </c>
      <c r="Y12" s="441">
        <f>W12/$W$4</f>
        <v>0.46662344854865689</v>
      </c>
      <c r="Z12" s="112">
        <f t="shared" ref="Z12:AH12" si="37">SUBTOTAL(9,Z13:Z14)</f>
        <v>63.502987000000005</v>
      </c>
      <c r="AA12" s="112">
        <f t="shared" si="37"/>
        <v>2.9823499999999998</v>
      </c>
      <c r="AB12" s="112">
        <f t="shared" si="37"/>
        <v>0</v>
      </c>
      <c r="AC12" s="112">
        <f t="shared" si="37"/>
        <v>0</v>
      </c>
      <c r="AD12" s="112">
        <f t="shared" si="37"/>
        <v>10.92166235184</v>
      </c>
      <c r="AE12" s="112">
        <f t="shared" ref="AE12" si="38">SUBTOTAL(9,AE13:AE14)</f>
        <v>6.7749657760000002</v>
      </c>
      <c r="AF12" s="112">
        <f t="shared" si="37"/>
        <v>11.051597900000001</v>
      </c>
      <c r="AG12" s="112">
        <f t="shared" ref="AG12" si="39">SUBTOTAL(9,AG13:AG14)</f>
        <v>16.757815208878316</v>
      </c>
      <c r="AH12" s="112">
        <f t="shared" si="37"/>
        <v>111.9913782367183</v>
      </c>
      <c r="AI12" s="137">
        <f t="shared" si="22"/>
        <v>0.55724405935248</v>
      </c>
      <c r="AJ12" s="169">
        <v>1</v>
      </c>
      <c r="AK12" s="169"/>
      <c r="AL12" s="166"/>
      <c r="AM12" s="166"/>
      <c r="AN12" s="166"/>
      <c r="AO12" s="166"/>
      <c r="AP12" s="166"/>
      <c r="AQ12" s="39"/>
    </row>
    <row r="13" spans="1:45" s="37" customFormat="1" outlineLevel="1">
      <c r="A13" s="18" t="s">
        <v>8</v>
      </c>
      <c r="B13" s="104" t="s">
        <v>417</v>
      </c>
      <c r="C13" s="18" t="s">
        <v>112</v>
      </c>
      <c r="D13" s="437">
        <f>SUMIFS('PL1.1 ML2027-2028'!$G:$G,'PL1.1 ML2027-2028'!$J:$J,'TH theo dich vu'!$D$3,'PL1.1 ML2027-2028'!$K:$K,'TH theo dich vu'!C13)/$D$1</f>
        <v>4.1788819999999998</v>
      </c>
      <c r="E13" s="437">
        <f>SUMIFS('PL1.1 ML2027-2028'!$G:$G,'PL1.1 ML2027-2028'!$J:$J,'TH theo dich vu'!$E$3,'PL1.1 ML2027-2028'!$K:$K,'TH theo dich vu'!C13)/$D$1</f>
        <v>0</v>
      </c>
      <c r="F13" s="437">
        <f>SUMIFS('PL1.1 ML2027-2028'!$G:$G,'PL1.1 ML2027-2028'!$J:$J,'TH theo dich vu'!$F$3,'PL1.1 ML2027-2028'!$K:$K,'TH theo dich vu'!C13)/$D$1</f>
        <v>0</v>
      </c>
      <c r="G13" s="437">
        <f>SUMIFS('PL1.1 ML2027-2028'!$G:$G,'PL1.1 ML2027-2028'!$J:$J,'TH theo dich vu'!$G$3,'PL1.1 ML2027-2028'!$K:$K,'TH theo dich vu'!C13)/$D$1</f>
        <v>0</v>
      </c>
      <c r="H13" s="433">
        <f>SUMIFS('PL1.1 ML2027-2028'!$G:$G,'PL1.1 ML2027-2028'!$J:$J,"TD",'PL1.1 ML2027-2028'!$M:$M,"IP",'PL1.1 ML2027-2028'!$K:$K,'TH theo dich vu'!C13)/$D$1</f>
        <v>0.47038033960000009</v>
      </c>
      <c r="I13" s="433">
        <f>SUMIFS('PL1.1 ML2027-2028'!$G:$G,'PL1.1 ML2027-2028'!$J:$J,"TD",'PL1.1 ML2027-2028'!$M:$M,"Mạng cáp",'PL1.1 ML2027-2028'!$K:$K,'TH theo dich vu'!C13)/$D$1</f>
        <v>0.79281999999999997</v>
      </c>
      <c r="J13" s="436">
        <f>SUMIFS('PL1.1 ML2027-2028'!$G:$G,'PL1.1 ML2027-2028'!$J:$J,'TH theo dich vu'!$J$3,'PL1.1 ML2027-2028'!$K:$K,'TH theo dich vu'!C13)/$D$1</f>
        <v>4.3349205</v>
      </c>
      <c r="K13" s="433">
        <f>SUMIFS('PL1.1 ML2027-2028'!$G:$G,'PL1.1 ML2027-2028'!$J:$J,'TH theo dich vu'!K$3,'PL1.1 ML2027-2028'!$K:$K,'TH theo dich vu'!C13)/$D$1</f>
        <v>6.8656099467636569</v>
      </c>
      <c r="L13" s="434">
        <f>SUM(D13:K13)</f>
        <v>16.642612786363657</v>
      </c>
      <c r="M13" s="434">
        <f t="shared" ref="M13:M14" si="40">SUM(D13:K13)</f>
        <v>16.642612786363657</v>
      </c>
      <c r="N13" s="138">
        <f t="shared" si="25"/>
        <v>0.15019860071658309</v>
      </c>
      <c r="O13" s="433">
        <f>SUMIFS('PL1.1 ML2027-2028'!$H:$H,'PL1.1 ML2027-2028'!$J:$J,'TH theo dich vu'!O$3,'PL1.1 ML2027-2028'!$K:$K,'TH theo dich vu'!$C13)/$D$1</f>
        <v>3.8767779999999998</v>
      </c>
      <c r="P13" s="433">
        <f>SUMIFS('PL1.1 ML2027-2028'!$H:$H,'PL1.1 ML2027-2028'!$J:$J,'TH theo dich vu'!P$3,'PL1.1 ML2027-2028'!$K:$K,'TH theo dich vu'!$C13)/$D$1</f>
        <v>0</v>
      </c>
      <c r="Q13" s="433">
        <f>SUMIFS('PL1.1 ML2027-2028'!$H:$H,'PL1.1 ML2027-2028'!$J:$J,'TH theo dich vu'!Q$3,'PL1.1 ML2027-2028'!$K:$K,'TH theo dich vu'!$C13)/$D$1</f>
        <v>0</v>
      </c>
      <c r="R13" s="433">
        <f>SUMIFS('PL1.1 ML2027-2028'!$H:$H,'PL1.1 ML2027-2028'!$J:$J,'TH theo dich vu'!R$3,'PL1.1 ML2027-2028'!$K:$K,'TH theo dich vu'!$C13)/$D$1</f>
        <v>0</v>
      </c>
      <c r="S13" s="433">
        <f>SUMIFS('PL1.1 ML2027-2028'!$H:$H,'PL1.1 ML2027-2028'!$J:$J,"TD",'PL1.1 ML2027-2028'!$M:$M,"IP",'PL1.1 ML2027-2028'!$K:$K,'TH theo dich vu'!C13)/$D$1</f>
        <v>0.57228615599999988</v>
      </c>
      <c r="T13" s="433">
        <f>SUMIFS('PL1.1 ML2027-2028'!$H:$H,'PL1.1 ML2027-2028'!$J:$J,"TD",'PL1.1 ML2027-2028'!$M:$M,"Mạng cáp",'PL1.1 ML2027-2028'!$K:$K,'TH theo dich vu'!C13)/$D$1</f>
        <v>0.87568840000000003</v>
      </c>
      <c r="U13" s="433">
        <f>SUMIFS('PL1.1 ML2027-2028'!$H:$H,'PL1.1 ML2027-2028'!$J:$J,'TH theo dich vu'!U$3,'PL1.1 ML2027-2028'!$K:$K,'TH theo dich vu'!$C13)/$D$1</f>
        <v>4.622539999999999</v>
      </c>
      <c r="V13" s="433">
        <f>SUMIFS('PL1.1 ML2027-2028'!$H:$H,'PL1.1 ML2027-2028'!$J:$J,'TH theo dich vu'!V$3,'PL1.1 ML2027-2028'!$K:$K,'TH theo dich vu'!$C13)/$D$1</f>
        <v>5.8551019996146598</v>
      </c>
      <c r="W13" s="434">
        <f>SUM(O13:V13)</f>
        <v>15.802394555614658</v>
      </c>
      <c r="X13" s="434">
        <f t="shared" ref="X13:X14" si="41">SUM(O13:V13)</f>
        <v>15.802394555614658</v>
      </c>
      <c r="Y13" s="442"/>
      <c r="Z13" s="113">
        <f t="shared" ref="Z13:AG14" si="42">D13+O13</f>
        <v>8.0556599999999996</v>
      </c>
      <c r="AA13" s="113">
        <f t="shared" si="42"/>
        <v>0</v>
      </c>
      <c r="AB13" s="113">
        <f t="shared" si="42"/>
        <v>0</v>
      </c>
      <c r="AC13" s="113">
        <f t="shared" si="42"/>
        <v>0</v>
      </c>
      <c r="AD13" s="84">
        <f t="shared" si="42"/>
        <v>1.0426664956</v>
      </c>
      <c r="AE13" s="84">
        <f t="shared" si="42"/>
        <v>1.6685083999999999</v>
      </c>
      <c r="AF13" s="113">
        <f t="shared" si="42"/>
        <v>8.9574604999999998</v>
      </c>
      <c r="AG13" s="113">
        <f t="shared" si="42"/>
        <v>12.720711946378316</v>
      </c>
      <c r="AH13" s="83">
        <f t="shared" ref="AH13:AH14" si="43">SUM(Z13:AG13)</f>
        <v>32.445007341978318</v>
      </c>
      <c r="AI13" s="137">
        <f t="shared" si="22"/>
        <v>0.16143910255974728</v>
      </c>
      <c r="AJ13" s="164"/>
      <c r="AK13" s="164"/>
      <c r="AL13" s="164"/>
      <c r="AM13" s="164"/>
      <c r="AN13" s="164"/>
      <c r="AO13" s="164"/>
      <c r="AP13" s="165"/>
      <c r="AQ13" s="150"/>
    </row>
    <row r="14" spans="1:45" s="37" customFormat="1" outlineLevel="1">
      <c r="A14" s="18" t="s">
        <v>8</v>
      </c>
      <c r="B14" s="104" t="s">
        <v>418</v>
      </c>
      <c r="C14" s="18" t="s">
        <v>113</v>
      </c>
      <c r="D14" s="437">
        <f>SUMIFS('PL1.1 ML2027-2028'!$G:$G,'PL1.1 ML2027-2028'!$J:$J,'TH theo dich vu'!$D$3,'PL1.1 ML2027-2028'!$K:$K,'TH theo dich vu'!C14)/$D$1</f>
        <v>35.433107499999998</v>
      </c>
      <c r="E14" s="437">
        <f>SUMIFS('PL1.1 ML2027-2028'!$G:$G,'PL1.1 ML2027-2028'!$J:$J,'TH theo dich vu'!$E$3,'PL1.1 ML2027-2028'!$K:$K,'TH theo dich vu'!C14)/$D$1</f>
        <v>2.9823499999999998</v>
      </c>
      <c r="F14" s="437">
        <f>SUMIFS('PL1.1 ML2027-2028'!$G:$G,'PL1.1 ML2027-2028'!$J:$J,'TH theo dich vu'!$F$3,'PL1.1 ML2027-2028'!$K:$K,'TH theo dich vu'!C14)/$D$1</f>
        <v>0</v>
      </c>
      <c r="G14" s="437">
        <f>SUMIFS('PL1.1 ML2027-2028'!$G:$G,'PL1.1 ML2027-2028'!$J:$J,'TH theo dich vu'!$G$3,'PL1.1 ML2027-2028'!$K:$K,'TH theo dich vu'!C14)/$D$1</f>
        <v>0</v>
      </c>
      <c r="H14" s="433">
        <f>(SUMIFS('PL1.1 ML2027-2028'!$G:$G,'PL1.1 ML2027-2028'!$J:$J,"TD",'PL1.1 ML2027-2028'!$M:$M,"IP",'PL1.1 ML2027-2028'!$K:$K,'TH theo dich vu'!C27)/$D$1+SUMIFS('PL1.1 ML2027-2028'!$G:$G,'PL1.1 ML2027-2028'!$J:$J,"TD",'PL1.1 ML2027-2028'!$M:$M,"IP",'PL1.1 ML2027-2028'!$K:$K,'TH theo dich vu'!C28)/$D$1+SUMIFS('PL1.1 ML2027-2028'!$G:$G,'PL1.1 ML2027-2028'!$J:$J,"TD",'PL1.1 ML2027-2028'!$M:$M,"IP",'PL1.1 ML2027-2028'!$K:$K,'TH theo dich vu'!C14)/$D$1+SUMIFS('PL1.1 ML2027-2028'!$G:$G,'PL1.1 ML2027-2028'!$J:$J,"TD",'PL1.1 ML2027-2028'!$M:$M,"IP",'PL1.1 ML2027-2028'!$K:$K,'TH theo dich vu'!C13)/$D$1)*0.94-H13</f>
        <v>5.8669348972000002</v>
      </c>
      <c r="I14" s="433">
        <f>(SUMIFS('PL1.1 ML2027-2028'!$G:$G,'PL1.1 ML2027-2028'!$J:$J,"TD",'PL1.1 ML2027-2028'!$M:$M,"Mạng cáp",'PL1.1 ML2027-2028'!$K:$K,'TH theo dich vu'!C27)/$D$1+SUMIFS('PL1.1 ML2027-2028'!$G:$G,'PL1.1 ML2027-2028'!$J:$J,"TD",'PL1.1 ML2027-2028'!$M:$M,"Mạng cáp",'PL1.1 ML2027-2028'!$K:$K,'TH theo dich vu'!C28)/$D$1+SUMIFS('PL1.1 ML2027-2028'!$G:$G,'PL1.1 ML2027-2028'!$J:$J,"TD",'PL1.1 ML2027-2028'!$M:$M,"Mạng cáp",'PL1.1 ML2027-2028'!$K:$K,'TH theo dich vu'!C14)/$D$1+SUMIFS('PL1.1 ML2027-2028'!$G:$G,'PL1.1 ML2027-2028'!$J:$J,"TD",'PL1.1 ML2027-2028'!$M:$M,"Mạng cáp",'PL1.1 ML2027-2028'!$K:$K,'TH theo dich vu'!C13)/$D$1)*0.94-I13</f>
        <v>3.7285611999999997</v>
      </c>
      <c r="J14" s="436">
        <f>SUMIFS('PL1.1 ML2027-2028'!$G:$G,'PL1.1 ML2027-2028'!$J:$J,'TH theo dich vu'!$J$3,'PL1.1 ML2027-2028'!$K:$K,'TH theo dich vu'!C14)/$D$1</f>
        <v>1.521412</v>
      </c>
      <c r="K14" s="433">
        <f>SUMIFS('PL1.1 ML2027-2028'!$G:$G,'PL1.1 ML2027-2028'!$J:$J,'TH theo dich vu'!K$3,'PL1.1 ML2027-2028'!$K:$K,'TH theo dich vu'!C14)/$D$1</f>
        <v>3.7411439009999996</v>
      </c>
      <c r="L14" s="434">
        <f>SUM(D14:K14)</f>
        <v>53.273509498199999</v>
      </c>
      <c r="M14" s="434">
        <f t="shared" si="40"/>
        <v>53.273509498199999</v>
      </c>
      <c r="N14" s="138">
        <f t="shared" si="25"/>
        <v>0.48079028723467382</v>
      </c>
      <c r="O14" s="433">
        <f>SUMIFS('PL1.1 ML2027-2028'!$H:$H,'PL1.1 ML2027-2028'!$J:$J,'TH theo dich vu'!O$3,'PL1.1 ML2027-2028'!$K:$K,'TH theo dich vu'!$C14)/$D$1</f>
        <v>20.014219499999999</v>
      </c>
      <c r="P14" s="433">
        <f>SUMIFS('PL1.1 ML2027-2028'!$H:$H,'PL1.1 ML2027-2028'!$J:$J,'TH theo dich vu'!P$3,'PL1.1 ML2027-2028'!$K:$K,'TH theo dich vu'!$C14)/$D$1</f>
        <v>0</v>
      </c>
      <c r="Q14" s="433">
        <f>SUMIFS('PL1.1 ML2027-2028'!$H:$H,'PL1.1 ML2027-2028'!$J:$J,'TH theo dich vu'!Q$3,'PL1.1 ML2027-2028'!$K:$K,'TH theo dich vu'!$C14)/$D$1</f>
        <v>0</v>
      </c>
      <c r="R14" s="433">
        <f>SUMIFS('PL1.1 ML2027-2028'!$H:$H,'PL1.1 ML2027-2028'!$J:$J,'TH theo dich vu'!R$3,'PL1.1 ML2027-2028'!$K:$K,'TH theo dich vu'!$C14)/$D$1</f>
        <v>0</v>
      </c>
      <c r="S14" s="433">
        <f>(SUMIFS('PL1.1 ML2027-2028'!$H:$H,'PL1.1 ML2027-2028'!$J:$J,"TD",'PL1.1 ML2027-2028'!$M:$M,"IP",'PL1.1 ML2027-2028'!$K:$K,'TH theo dich vu'!C27)/$D$1+SUMIFS('PL1.1 ML2027-2028'!$H:$H,'PL1.1 ML2027-2028'!$J:$J,"TD",'PL1.1 ML2027-2028'!$M:$M,"IP",'PL1.1 ML2027-2028'!$K:$K,'TH theo dich vu'!C28)/$D$1+SUMIFS('PL1.1 ML2027-2028'!$H:$H,'PL1.1 ML2027-2028'!$J:$J,"TD",'PL1.1 ML2027-2028'!$M:$M,"IP",'PL1.1 ML2027-2028'!$K:$K,'TH theo dich vu'!C14)/$D$1+SUMIFS('PL1.1 ML2027-2028'!$H:$H,'PL1.1 ML2027-2028'!$J:$J,"TD",'PL1.1 ML2027-2028'!$M:$M,"IP",'PL1.1 ML2027-2028'!$K:$K,'TH theo dich vu'!C13)/$D$1)*0.94-S13</f>
        <v>4.0120609590399994</v>
      </c>
      <c r="T14" s="433">
        <f>(SUMIFS('PL1.1 ML2027-2028'!$H:$H,'PL1.1 ML2027-2028'!$J:$J,"TD",'PL1.1 ML2027-2028'!$M:$M,"Mạng cáp",'PL1.1 ML2027-2028'!$K:$K,'TH theo dich vu'!C27)/$D$1+SUMIFS('PL1.1 ML2027-2028'!$H:$H,'PL1.1 ML2027-2028'!$J:$J,"TD",'PL1.1 ML2027-2028'!$M:$M,"Mạng cáp",'PL1.1 ML2027-2028'!$K:$K,'TH theo dich vu'!C28)/$D$1+SUMIFS('PL1.1 ML2027-2028'!$H:$H,'PL1.1 ML2027-2028'!$J:$J,"TD",'PL1.1 ML2027-2028'!$M:$M,"Mạng cáp",'PL1.1 ML2027-2028'!$K:$K,'TH theo dich vu'!C14)/$D$1+SUMIFS('PL1.1 ML2027-2028'!$H:$H,'PL1.1 ML2027-2028'!$J:$J,"TD",'PL1.1 ML2027-2028'!$M:$M,"Mạng cáp",'PL1.1 ML2027-2028'!$K:$K,'TH theo dich vu'!C13)/$D$1)*0.94-T13</f>
        <v>1.3778961760000001</v>
      </c>
      <c r="U14" s="433">
        <f>SUMIFS('PL1.1 ML2027-2028'!$H:$H,'PL1.1 ML2027-2028'!$J:$J,'TH theo dich vu'!U$3,'PL1.1 ML2027-2028'!$K:$K,'TH theo dich vu'!$C14)/$D$1</f>
        <v>0.57272540000000005</v>
      </c>
      <c r="V14" s="433">
        <f>SUMIFS('PL1.1 ML2027-2028'!$H:$H,'PL1.1 ML2027-2028'!$J:$J,'TH theo dich vu'!V$3,'PL1.1 ML2027-2028'!$K:$K,'TH theo dich vu'!$C14)/$D$1</f>
        <v>0.29595936150000002</v>
      </c>
      <c r="W14" s="434">
        <f>SUM(O14:V14)</f>
        <v>26.272861396539998</v>
      </c>
      <c r="X14" s="434">
        <f t="shared" si="41"/>
        <v>26.272861396539998</v>
      </c>
      <c r="Y14" s="442"/>
      <c r="Z14" s="113">
        <f t="shared" si="42"/>
        <v>55.447327000000001</v>
      </c>
      <c r="AA14" s="113">
        <f t="shared" si="42"/>
        <v>2.9823499999999998</v>
      </c>
      <c r="AB14" s="113">
        <f t="shared" si="42"/>
        <v>0</v>
      </c>
      <c r="AC14" s="113">
        <f t="shared" si="42"/>
        <v>0</v>
      </c>
      <c r="AD14" s="84">
        <f t="shared" si="42"/>
        <v>9.8789958562399995</v>
      </c>
      <c r="AE14" s="84">
        <f t="shared" si="42"/>
        <v>5.1064573759999998</v>
      </c>
      <c r="AF14" s="113">
        <f t="shared" si="42"/>
        <v>2.0941374000000001</v>
      </c>
      <c r="AG14" s="113">
        <f t="shared" si="42"/>
        <v>4.0371032624999996</v>
      </c>
      <c r="AH14" s="83">
        <f t="shared" si="43"/>
        <v>79.546370894739979</v>
      </c>
      <c r="AI14" s="137">
        <f t="shared" si="22"/>
        <v>0.3958049567927327</v>
      </c>
      <c r="AJ14" s="164"/>
      <c r="AK14" s="164"/>
      <c r="AL14" s="164"/>
      <c r="AM14" s="164"/>
      <c r="AN14" s="164"/>
      <c r="AO14" s="164"/>
      <c r="AP14" s="165"/>
      <c r="AQ14" s="52"/>
    </row>
    <row r="15" spans="1:45" s="37" customFormat="1" outlineLevel="1">
      <c r="A15" s="107">
        <v>2</v>
      </c>
      <c r="B15" s="111" t="s">
        <v>193</v>
      </c>
      <c r="C15" s="18"/>
      <c r="D15" s="436">
        <f t="shared" ref="D15:G15" si="44">SUBTOTAL(9,D16:D19)</f>
        <v>0</v>
      </c>
      <c r="E15" s="436">
        <f t="shared" si="44"/>
        <v>0</v>
      </c>
      <c r="F15" s="436">
        <f>SUBTOTAL(9,F16:F19)</f>
        <v>1.0754468399999999</v>
      </c>
      <c r="G15" s="436">
        <f t="shared" si="44"/>
        <v>0</v>
      </c>
      <c r="H15" s="434">
        <f>SUBTOTAL(9,H16:H19)</f>
        <v>0.40450948320000002</v>
      </c>
      <c r="I15" s="436">
        <f>SUBTOTAL(9,I16:I19)</f>
        <v>0.28859879999999993</v>
      </c>
      <c r="J15" s="436">
        <f t="shared" ref="J15:K15" si="45">SUBTOTAL(9,J16:J19)</f>
        <v>0</v>
      </c>
      <c r="K15" s="436">
        <f t="shared" si="45"/>
        <v>0</v>
      </c>
      <c r="L15" s="436">
        <f>SUBTOTAL(9,L16:L19)</f>
        <v>1.7685551232000001</v>
      </c>
      <c r="M15" s="436">
        <f>SUBTOTAL(9,M16:M19)</f>
        <v>1.7685551232000001</v>
      </c>
      <c r="N15" s="138">
        <f t="shared" si="25"/>
        <v>1.5961105879506811E-2</v>
      </c>
      <c r="O15" s="431">
        <f>SUBTOTAL(9,O16:O19)</f>
        <v>0</v>
      </c>
      <c r="P15" s="431">
        <f t="shared" ref="P15:V15" si="46">SUBTOTAL(9,P16:P19)</f>
        <v>0</v>
      </c>
      <c r="Q15" s="721">
        <f t="shared" si="46"/>
        <v>0.43173884000000001</v>
      </c>
      <c r="R15" s="431">
        <f t="shared" si="46"/>
        <v>0</v>
      </c>
      <c r="S15" s="436">
        <f>SUBTOTAL(9,S16:S19)</f>
        <v>0.2926179009599999</v>
      </c>
      <c r="T15" s="436">
        <f>SUBTOTAL(9,T16:T19)</f>
        <v>0.14384582400000001</v>
      </c>
      <c r="U15" s="431">
        <f t="shared" si="46"/>
        <v>0</v>
      </c>
      <c r="V15" s="436">
        <f t="shared" si="46"/>
        <v>0</v>
      </c>
      <c r="W15" s="436">
        <f>SUBTOTAL(9,W16:W19)</f>
        <v>0.86820256495999981</v>
      </c>
      <c r="X15" s="436">
        <f>SUBTOTAL(9,X16:X19)</f>
        <v>0.86820256495999981</v>
      </c>
      <c r="Y15" s="441">
        <f>W15/$W$4</f>
        <v>9.6285492680331097E-3</v>
      </c>
      <c r="Z15" s="112">
        <f t="shared" ref="Z15:AH15" si="47">SUBTOTAL(9,Z16:Z19)</f>
        <v>0</v>
      </c>
      <c r="AA15" s="112">
        <f t="shared" si="47"/>
        <v>0</v>
      </c>
      <c r="AB15" s="112">
        <f t="shared" si="47"/>
        <v>1.5071856800000001</v>
      </c>
      <c r="AC15" s="112">
        <f t="shared" si="47"/>
        <v>0</v>
      </c>
      <c r="AD15" s="112">
        <f t="shared" si="47"/>
        <v>0.69712738415999986</v>
      </c>
      <c r="AE15" s="112">
        <f t="shared" ref="AE15" si="48">SUBTOTAL(9,AE16:AE19)</f>
        <v>0.43244462399999994</v>
      </c>
      <c r="AF15" s="112">
        <f t="shared" si="47"/>
        <v>0</v>
      </c>
      <c r="AG15" s="112">
        <f t="shared" ref="AG15" si="49">SUBTOTAL(9,AG16:AG19)</f>
        <v>0</v>
      </c>
      <c r="AH15" s="112">
        <f t="shared" si="47"/>
        <v>2.6367576881599999</v>
      </c>
      <c r="AI15" s="137">
        <f t="shared" si="22"/>
        <v>1.3119916736567119E-2</v>
      </c>
      <c r="AJ15" s="164"/>
      <c r="AK15" s="164"/>
      <c r="AL15" s="164"/>
      <c r="AM15" s="169"/>
      <c r="AN15" s="164"/>
      <c r="AO15" s="164"/>
      <c r="AP15" s="164"/>
      <c r="AQ15" s="52"/>
    </row>
    <row r="16" spans="1:45" s="37" customFormat="1" ht="14.65" customHeight="1" outlineLevel="1">
      <c r="A16" s="18" t="s">
        <v>8</v>
      </c>
      <c r="B16" s="104" t="s">
        <v>106</v>
      </c>
      <c r="C16" s="50" t="s">
        <v>114</v>
      </c>
      <c r="D16" s="437">
        <f>SUMIFS('PL1.1 ML2027-2028'!$G:$G,'PL1.1 ML2027-2028'!$J:$J,'TH theo dich vu'!$D$3,'PL1.1 ML2027-2028'!$K:$K,'TH theo dich vu'!C16)/$D$1</f>
        <v>0</v>
      </c>
      <c r="E16" s="437">
        <f>SUMIFS('PL1.1 ML2027-2028'!$G:$G,'PL1.1 ML2027-2028'!$J:$J,'TH theo dich vu'!$E$3,'PL1.1 ML2027-2028'!$K:$K,'TH theo dich vu'!C16)/$D$1</f>
        <v>0</v>
      </c>
      <c r="F16" s="437">
        <f>SUMIFS('PL1.1 ML2027-2028'!$G:$G,'PL1.1 ML2027-2028'!$J:$J,'TH theo dich vu'!$F$3,'PL1.1 ML2027-2028'!$K:$K,'TH theo dich vu'!C16)/$D$1</f>
        <v>0.77179483999999998</v>
      </c>
      <c r="G16" s="437">
        <f>SUMIFS('PL1.1 ML2027-2028'!$G:$G,'PL1.1 ML2027-2028'!$J:$J,'TH theo dich vu'!$G$3,'PL1.1 ML2027-2028'!$K:$K,'TH theo dich vu'!C16)/$D$1</f>
        <v>0</v>
      </c>
      <c r="H16" s="433">
        <f>SUMIFS('PL1.1 ML2027-2028'!$G:$G,'PL1.1 ML2027-2028'!$J:$J,"TD",'PL1.1 ML2027-2028'!$M:$M,"IP",'PL1.1 ML2027-2028'!$K:$K,'TH theo dich vu'!C16)/$D$1</f>
        <v>0</v>
      </c>
      <c r="I16" s="433">
        <f>SUMIFS('PL1.1 ML2027-2028'!$G:$G,'PL1.1 ML2027-2028'!$J:$J,"TD",'PL1.1 ML2027-2028'!$M:$M,"Mạng cáp",'PL1.1 ML2027-2028'!$K:$K,'TH theo dich vu'!C16)/$D$1</f>
        <v>0</v>
      </c>
      <c r="J16" s="437">
        <f>SUMIFS('PL1.1 ML2027-2028'!$G:$G,'PL1.1 ML2027-2028'!$J:$J,'TH theo dich vu'!$J$3,'PL1.1 ML2027-2028'!$K:$K,'TH theo dich vu'!C16)/$D$1</f>
        <v>0</v>
      </c>
      <c r="K16" s="433">
        <f>SUMIFS('PL1.1 ML2027-2028'!$G:$G,'PL1.1 ML2027-2028'!$J:$J,'TH theo dich vu'!K$3,'PL1.1 ML2027-2028'!$K:$K,'TH theo dich vu'!C16)/$D$1</f>
        <v>0</v>
      </c>
      <c r="L16" s="434">
        <f t="shared" ref="L16:L17" si="50">SUM(D16:K16)</f>
        <v>0.77179483999999998</v>
      </c>
      <c r="M16" s="434">
        <f t="shared" ref="M16:M19" si="51">SUM(D16:K16)</f>
        <v>0.77179483999999998</v>
      </c>
      <c r="N16" s="138">
        <f t="shared" si="25"/>
        <v>6.9654029986963191E-3</v>
      </c>
      <c r="O16" s="433">
        <f>SUMIFS('PL1.1 ML2027-2028'!$H:$H,'PL1.1 ML2027-2028'!$J:$J,'TH theo dich vu'!O$3,'PL1.1 ML2027-2028'!$K:$K,'TH theo dich vu'!$C16)/$D$1</f>
        <v>0</v>
      </c>
      <c r="P16" s="433">
        <f>SUMIFS('PL1.1 ML2027-2028'!$H:$H,'PL1.1 ML2027-2028'!$J:$J,'TH theo dich vu'!P$3,'PL1.1 ML2027-2028'!$K:$K,'TH theo dich vu'!$C16)/$D$1</f>
        <v>0</v>
      </c>
      <c r="Q16" s="230">
        <f>SUMIFS('PL1.1 ML2027-2028'!$H:$H,'PL1.1 ML2027-2028'!$J:$J,'TH theo dich vu'!Q$3,'PL1.1 ML2027-2028'!$K:$K,'TH theo dich vu'!$C16)/$D$1</f>
        <v>0.17173884</v>
      </c>
      <c r="R16" s="433">
        <f>SUMIFS('PL1.1 ML2027-2028'!$H:$H,'PL1.1 ML2027-2028'!$J:$J,'TH theo dich vu'!R$3,'PL1.1 ML2027-2028'!$K:$K,'TH theo dich vu'!$C16)/$D$1</f>
        <v>0</v>
      </c>
      <c r="S16" s="433">
        <f>SUMIFS('PL1.1 ML2027-2028'!$H:$H,'PL1.1 ML2027-2028'!$J:$J,"TD",'PL1.1 ML2027-2028'!$M:$M,"IP",'PL1.1 ML2027-2028'!$K:$K,'TH theo dich vu'!C16)/$D$1</f>
        <v>0</v>
      </c>
      <c r="T16" s="433">
        <f>SUMIFS('PL1.1 ML2027-2028'!$H:$H,'PL1.1 ML2027-2028'!$J:$J,"TD",'PL1.1 ML2027-2028'!$M:$M,"Mạng cáp",'PL1.1 ML2027-2028'!$K:$K,'TH theo dich vu'!C16)/$D$1</f>
        <v>0</v>
      </c>
      <c r="U16" s="433">
        <f>SUMIFS('PL1.1 ML2027-2028'!$H:$H,'PL1.1 ML2027-2028'!$J:$J,'TH theo dich vu'!U$3,'PL1.1 ML2027-2028'!$K:$K,'TH theo dich vu'!$C16)/$D$1</f>
        <v>0</v>
      </c>
      <c r="V16" s="433">
        <f>SUMIFS('PL1.1 ML2027-2028'!$H:$H,'PL1.1 ML2027-2028'!$J:$J,'TH theo dich vu'!V$3,'PL1.1 ML2027-2028'!$K:$K,'TH theo dich vu'!$C16)/$D$1</f>
        <v>0</v>
      </c>
      <c r="W16" s="434">
        <f t="shared" ref="W16:W17" si="52">SUM(O16:V16)</f>
        <v>0.17173884</v>
      </c>
      <c r="X16" s="434">
        <f t="shared" ref="X16:X19" si="53">SUM(O16:V16)</f>
        <v>0.17173884</v>
      </c>
      <c r="Y16" s="442"/>
      <c r="Z16" s="113">
        <f t="shared" ref="Z16:AG21" si="54">D16+O16</f>
        <v>0</v>
      </c>
      <c r="AA16" s="113">
        <f t="shared" si="54"/>
        <v>0</v>
      </c>
      <c r="AB16" s="113">
        <f t="shared" si="54"/>
        <v>0.94353368000000004</v>
      </c>
      <c r="AC16" s="113">
        <f t="shared" si="54"/>
        <v>0</v>
      </c>
      <c r="AD16" s="84">
        <f t="shared" si="54"/>
        <v>0</v>
      </c>
      <c r="AE16" s="84">
        <f t="shared" si="54"/>
        <v>0</v>
      </c>
      <c r="AF16" s="113">
        <f t="shared" si="54"/>
        <v>0</v>
      </c>
      <c r="AG16" s="113">
        <f t="shared" si="54"/>
        <v>0</v>
      </c>
      <c r="AH16" s="83">
        <f t="shared" ref="AH16:AH19" si="55">SUM(Z16:AG16)</f>
        <v>0.94353368000000004</v>
      </c>
      <c r="AI16" s="138">
        <f t="shared" si="22"/>
        <v>4.6948126387697077E-3</v>
      </c>
      <c r="AJ16" s="164"/>
      <c r="AK16" s="164"/>
      <c r="AL16" s="169">
        <v>1</v>
      </c>
      <c r="AM16" s="164"/>
      <c r="AN16" s="164"/>
      <c r="AO16" s="164"/>
      <c r="AP16" s="167"/>
      <c r="AQ16" s="52"/>
    </row>
    <row r="17" spans="1:45" s="37" customFormat="1" outlineLevel="1">
      <c r="A17" s="18" t="s">
        <v>8</v>
      </c>
      <c r="B17" s="104" t="s">
        <v>121</v>
      </c>
      <c r="C17" s="50" t="s">
        <v>115</v>
      </c>
      <c r="D17" s="437">
        <f>SUMIFS('PL1.1 ML2027-2028'!$G:$G,'PL1.1 ML2027-2028'!$J:$J,'TH theo dich vu'!$D$3,'PL1.1 ML2027-2028'!$K:$K,'TH theo dich vu'!C17)/$D$1</f>
        <v>0</v>
      </c>
      <c r="E17" s="437">
        <f>SUMIFS('PL1.1 ML2027-2028'!$G:$G,'PL1.1 ML2027-2028'!$J:$J,'TH theo dich vu'!$E$3,'PL1.1 ML2027-2028'!$K:$K,'TH theo dich vu'!C17)/$D$1</f>
        <v>0</v>
      </c>
      <c r="F17" s="437">
        <f>SUMIFS('PL1.1 ML2027-2028'!$G:$G,'PL1.1 ML2027-2028'!$J:$J,'TH theo dich vu'!$F$3,'PL1.1 ML2027-2028'!$K:$K,'TH theo dich vu'!C17)/$D$1</f>
        <v>0.30365199999999998</v>
      </c>
      <c r="G17" s="437">
        <f>SUMIFS('PL1.1 ML2027-2028'!$G:$G,'PL1.1 ML2027-2028'!$J:$J,'TH theo dich vu'!$G$3,'PL1.1 ML2027-2028'!$K:$K,'TH theo dich vu'!C17)/$D$1</f>
        <v>0</v>
      </c>
      <c r="H17" s="433">
        <f>(SUMIFS('PL1.1 ML2027-2028'!$G:$G,'PL1.1 ML2027-2028'!$J:$J,"TD",'PL1.1 ML2027-2028'!$M:$M,"IP",'PL1.1 ML2027-2028'!$K:$K,'TH theo dich vu'!C27)/$D$1+SUMIFS('PL1.1 ML2027-2028'!$G:$G,'PL1.1 ML2027-2028'!$J:$J,"TD",'PL1.1 ML2027-2028'!$M:$M,"IP",'PL1.1 ML2027-2028'!$K:$K,'TH theo dich vu'!C28)/$D$1+SUMIFS('PL1.1 ML2027-2028'!$G:$G,'PL1.1 ML2027-2028'!$J:$J,"TD",'PL1.1 ML2027-2028'!$M:$M,"IP",'PL1.1 ML2027-2028'!$K:$K,'TH theo dich vu'!C14)/$D$1+SUMIFS('PL1.1 ML2027-2028'!$G:$G,'PL1.1 ML2027-2028'!$J:$J,"TD",'PL1.1 ML2027-2028'!$M:$M,"IP",'PL1.1 ML2027-2028'!$K:$K,'TH theo dich vu'!C13)/$D$1)*0.06</f>
        <v>0.40450948320000002</v>
      </c>
      <c r="I17" s="433">
        <f>(SUMIFS('PL1.1 ML2027-2028'!$G:$G,'PL1.1 ML2027-2028'!$J:$J,"TD",'PL1.1 ML2027-2028'!$M:$M,"Mạng cáp",'PL1.1 ML2027-2028'!$K:$K,'TH theo dich vu'!C27)/$D$1+SUMIFS('PL1.1 ML2027-2028'!$G:$G,'PL1.1 ML2027-2028'!$J:$J,"TD",'PL1.1 ML2027-2028'!$M:$M,"Mạng cáp",'PL1.1 ML2027-2028'!$K:$K,'TH theo dich vu'!C28)/$D$1+SUMIFS('PL1.1 ML2027-2028'!$G:$G,'PL1.1 ML2027-2028'!$J:$J,"TD",'PL1.1 ML2027-2028'!$M:$M,"Mạng cáp",'PL1.1 ML2027-2028'!$K:$K,'TH theo dich vu'!C14)/$D$1+SUMIFS('PL1.1 ML2027-2028'!$G:$G,'PL1.1 ML2027-2028'!$J:$J,"TD",'PL1.1 ML2027-2028'!$M:$M,"Mạng cáp",'PL1.1 ML2027-2028'!$K:$K,'TH theo dich vu'!C13)/$D$1)*0.06</f>
        <v>0.28859879999999993</v>
      </c>
      <c r="J17" s="437">
        <f>SUMIFS('PL1.1 ML2027-2028'!$G:$G,'PL1.1 ML2027-2028'!$J:$J,'TH theo dich vu'!$J$3,'PL1.1 ML2027-2028'!$K:$K,'TH theo dich vu'!C17)/$D$1</f>
        <v>0</v>
      </c>
      <c r="K17" s="433">
        <f>SUMIFS('PL1.1 ML2027-2028'!$G:$G,'PL1.1 ML2027-2028'!$J:$J,'TH theo dich vu'!K$3,'PL1.1 ML2027-2028'!$K:$K,'TH theo dich vu'!C17)/$D$1</f>
        <v>0</v>
      </c>
      <c r="L17" s="434">
        <f t="shared" si="50"/>
        <v>0.99676028319999999</v>
      </c>
      <c r="M17" s="434">
        <f t="shared" si="51"/>
        <v>0.99676028319999999</v>
      </c>
      <c r="N17" s="138">
        <f t="shared" si="25"/>
        <v>8.9957028808104918E-3</v>
      </c>
      <c r="O17" s="433">
        <f>SUMIFS('PL1.1 ML2027-2028'!$H:$H,'PL1.1 ML2027-2028'!$J:$J,'TH theo dich vu'!O$3,'PL1.1 ML2027-2028'!$K:$K,'TH theo dich vu'!$C17)/$D$1</f>
        <v>0</v>
      </c>
      <c r="P17" s="433">
        <f>SUMIFS('PL1.1 ML2027-2028'!$H:$H,'PL1.1 ML2027-2028'!$J:$J,'TH theo dich vu'!P$3,'PL1.1 ML2027-2028'!$K:$K,'TH theo dich vu'!$C17)/$D$1</f>
        <v>0</v>
      </c>
      <c r="Q17" s="230">
        <f>SUMIFS('PL1.1 ML2027-2028'!$H:$H,'PL1.1 ML2027-2028'!$J:$J,'TH theo dich vu'!Q$3,'PL1.1 ML2027-2028'!$K:$K,'TH theo dich vu'!$C17)/$D$1</f>
        <v>0.26</v>
      </c>
      <c r="R17" s="433">
        <f>SUMIFS('PL1.1 ML2027-2028'!$H:$H,'PL1.1 ML2027-2028'!$J:$J,'TH theo dich vu'!R$3,'PL1.1 ML2027-2028'!$K:$K,'TH theo dich vu'!$C17)/$D$1</f>
        <v>0</v>
      </c>
      <c r="S17" s="433">
        <f>(SUMIFS('PL1.1 ML2027-2028'!$H:$H,'PL1.1 ML2027-2028'!$J:$J,"TD",'PL1.1 ML2027-2028'!$M:$M,"IP",'PL1.1 ML2027-2028'!$K:$K,'TH theo dich vu'!C27)/$D$1+SUMIFS('PL1.1 ML2027-2028'!$H:$H,'PL1.1 ML2027-2028'!$J:$J,"TD",'PL1.1 ML2027-2028'!$M:$M,"IP",'PL1.1 ML2027-2028'!$K:$K,'TH theo dich vu'!C28)/$D$1+SUMIFS('PL1.1 ML2027-2028'!$H:$H,'PL1.1 ML2027-2028'!$J:$J,"TD",'PL1.1 ML2027-2028'!$M:$M,"IP",'PL1.1 ML2027-2028'!$K:$K,'TH theo dich vu'!C14)/$D$1+SUMIFS('PL1.1 ML2027-2028'!$H:$H,'PL1.1 ML2027-2028'!$J:$J,"TD",'PL1.1 ML2027-2028'!$M:$M,"IP",'PL1.1 ML2027-2028'!$K:$K,'TH theo dich vu'!C13)/$D$1)*0.06</f>
        <v>0.2926179009599999</v>
      </c>
      <c r="T17" s="433">
        <f>(SUMIFS('PL1.1 ML2027-2028'!$H:$H,'PL1.1 ML2027-2028'!$J:$J,"TD",'PL1.1 ML2027-2028'!$M:$M,"Mạng cáp",'PL1.1 ML2027-2028'!$K:$K,'TH theo dich vu'!C27)/$D$1+SUMIFS('PL1.1 ML2027-2028'!$H:$H,'PL1.1 ML2027-2028'!$J:$J,"TD",'PL1.1 ML2027-2028'!$M:$M,"Mạng cáp",'PL1.1 ML2027-2028'!$K:$K,'TH theo dich vu'!C28)/$D$1+SUMIFS('PL1.1 ML2027-2028'!$H:$H,'PL1.1 ML2027-2028'!$J:$J,"TD",'PL1.1 ML2027-2028'!$M:$M,"Mạng cáp",'PL1.1 ML2027-2028'!$K:$K,'TH theo dich vu'!C14)/$D$1+SUMIFS('PL1.1 ML2027-2028'!$H:$H,'PL1.1 ML2027-2028'!$J:$J,"TD",'PL1.1 ML2027-2028'!$M:$M,"Mạng cáp",'PL1.1 ML2027-2028'!$K:$K,'TH theo dich vu'!C13)/$D$1)*0.06</f>
        <v>0.14384582400000001</v>
      </c>
      <c r="U17" s="433">
        <f>SUMIFS('PL1.1 ML2027-2028'!$H:$H,'PL1.1 ML2027-2028'!$J:$J,'TH theo dich vu'!U$3,'PL1.1 ML2027-2028'!$K:$K,'TH theo dich vu'!$C17)/$D$1</f>
        <v>0</v>
      </c>
      <c r="V17" s="433">
        <f>SUMIFS('PL1.1 ML2027-2028'!$H:$H,'PL1.1 ML2027-2028'!$J:$J,'TH theo dich vu'!V$3,'PL1.1 ML2027-2028'!$K:$K,'TH theo dich vu'!$C17)/$D$1</f>
        <v>0</v>
      </c>
      <c r="W17" s="434">
        <f t="shared" si="52"/>
        <v>0.69646372495999986</v>
      </c>
      <c r="X17" s="434">
        <f t="shared" si="53"/>
        <v>0.69646372495999986</v>
      </c>
      <c r="Y17" s="442"/>
      <c r="Z17" s="113">
        <f t="shared" si="54"/>
        <v>0</v>
      </c>
      <c r="AA17" s="113">
        <f t="shared" si="54"/>
        <v>0</v>
      </c>
      <c r="AB17" s="113">
        <f t="shared" si="54"/>
        <v>0.56365200000000004</v>
      </c>
      <c r="AC17" s="113">
        <f t="shared" si="54"/>
        <v>0</v>
      </c>
      <c r="AD17" s="84">
        <f t="shared" si="54"/>
        <v>0.69712738415999986</v>
      </c>
      <c r="AE17" s="84">
        <f t="shared" si="54"/>
        <v>0.43244462399999994</v>
      </c>
      <c r="AF17" s="113">
        <f t="shared" si="54"/>
        <v>0</v>
      </c>
      <c r="AG17" s="113">
        <f t="shared" si="54"/>
        <v>0</v>
      </c>
      <c r="AH17" s="83">
        <f t="shared" si="55"/>
        <v>1.6932240081599998</v>
      </c>
      <c r="AI17" s="138">
        <f t="shared" si="22"/>
        <v>8.42510409779741E-3</v>
      </c>
      <c r="AJ17" s="164"/>
      <c r="AK17" s="164"/>
      <c r="AL17" s="169">
        <v>1</v>
      </c>
      <c r="AM17" s="164"/>
      <c r="AN17" s="164"/>
      <c r="AO17" s="164"/>
      <c r="AP17" s="168"/>
      <c r="AQ17" s="150"/>
      <c r="AR17" s="122"/>
      <c r="AS17" s="48"/>
    </row>
    <row r="18" spans="1:45" s="37" customFormat="1" outlineLevel="1">
      <c r="A18" s="18" t="s">
        <v>8</v>
      </c>
      <c r="B18" s="104" t="s">
        <v>122</v>
      </c>
      <c r="C18" s="18" t="s">
        <v>110</v>
      </c>
      <c r="D18" s="437">
        <f>SUMIFS('PL1.1 ML2027-2028'!$G:$G,'PL1.1 ML2027-2028'!$J:$J,'TH theo dich vu'!$D$3,'PL1.1 ML2027-2028'!$K:$K,'TH theo dich vu'!C18)/$D$1</f>
        <v>0</v>
      </c>
      <c r="E18" s="437">
        <f>SUMIFS('PL1.1 ML2027-2028'!$G:$G,'PL1.1 ML2027-2028'!$J:$J,'TH theo dich vu'!$E$3,'PL1.1 ML2027-2028'!$K:$K,'TH theo dich vu'!C18)/$D$1</f>
        <v>0</v>
      </c>
      <c r="F18" s="437">
        <f>SUMIFS('PL1.1 ML2027-2028'!$G:$G,'PL1.1 ML2027-2028'!$J:$J,'TH theo dich vu'!$F$3,'PL1.1 ML2027-2028'!$K:$K,'TH theo dich vu'!C18)/$D$1</f>
        <v>0</v>
      </c>
      <c r="G18" s="437">
        <f>SUMIFS('PL1.1 ML2027-2028'!$G:$G,'PL1.1 ML2027-2028'!$J:$J,'TH theo dich vu'!$G$3,'PL1.1 ML2027-2028'!$K:$K,'TH theo dich vu'!C18)/$D$1</f>
        <v>0</v>
      </c>
      <c r="H18" s="433">
        <f>SUMIFS('PL1.1 ML2027-2028'!$G:$G,'PL1.1 ML2027-2028'!$J:$J,"TD",'PL1.1 ML2027-2028'!$M:$M,"IP",'PL1.1 ML2027-2028'!$K:$K,'TH theo dich vu'!C18)/$D$1</f>
        <v>0</v>
      </c>
      <c r="I18" s="433">
        <f>SUMIFS('PL1.1 ML2027-2028'!$G:$G,'PL1.1 ML2027-2028'!$J:$J,"TD",'PL1.1 ML2027-2028'!$M:$M,"Mạng cáp",'PL1.1 ML2027-2028'!$K:$K,'TH theo dich vu'!C18)/$D$1</f>
        <v>0</v>
      </c>
      <c r="J18" s="437">
        <f>SUMIFS('PL1.1 ML2027-2028'!$G:$G,'PL1.1 ML2027-2028'!$J:$J,'TH theo dich vu'!$J$3,'PL1.1 ML2027-2028'!$K:$K,'TH theo dich vu'!C18)/$D$1</f>
        <v>0</v>
      </c>
      <c r="K18" s="433">
        <f>SUMIFS('PL1.1 ML2027-2028'!$G:$G,'PL1.1 ML2027-2028'!$J:$J,'TH theo dich vu'!K$3,'PL1.1 ML2027-2028'!$K:$K,'TH theo dich vu'!C18)/$D$1</f>
        <v>0</v>
      </c>
      <c r="L18" s="436">
        <f t="shared" ref="L18:L21" si="56">SUM(D18:J18)</f>
        <v>0</v>
      </c>
      <c r="M18" s="434">
        <f t="shared" si="51"/>
        <v>0</v>
      </c>
      <c r="N18" s="138">
        <f t="shared" si="25"/>
        <v>0</v>
      </c>
      <c r="O18" s="433">
        <f>SUMIFS('PL1.1 ML2027-2028'!$H:$H,'PL1.1 ML2027-2028'!$J:$J,'TH theo dich vu'!O$3,'PL1.1 ML2027-2028'!$K:$K,'TH theo dich vu'!$C18)/$D$1</f>
        <v>0</v>
      </c>
      <c r="P18" s="433">
        <f>SUMIFS('PL1.1 ML2027-2028'!$H:$H,'PL1.1 ML2027-2028'!$J:$J,'TH theo dich vu'!P$3,'PL1.1 ML2027-2028'!$K:$K,'TH theo dich vu'!$C18)/$D$1</f>
        <v>0</v>
      </c>
      <c r="Q18" s="433">
        <f>SUMIFS('PL1.1 ML2027-2028'!$H:$H,'PL1.1 ML2027-2028'!$J:$J,'TH theo dich vu'!Q$3,'PL1.1 ML2027-2028'!$K:$K,'TH theo dich vu'!$C18)/$D$1</f>
        <v>0</v>
      </c>
      <c r="R18" s="433">
        <f>SUMIFS('PL1.1 ML2027-2028'!$H:$H,'PL1.1 ML2027-2028'!$J:$J,'TH theo dich vu'!R$3,'PL1.1 ML2027-2028'!$K:$K,'TH theo dich vu'!$C18)/$D$1</f>
        <v>0</v>
      </c>
      <c r="S18" s="433">
        <f>SUMIFS('PL1.1 ML2027-2028'!$H:$H,'PL1.1 ML2027-2028'!$J:$J,"TD",'PL1.1 ML2027-2028'!$M:$M,"IP",'PL1.1 ML2027-2028'!$K:$K,'TH theo dich vu'!C18)/$D$1</f>
        <v>0</v>
      </c>
      <c r="T18" s="433">
        <f>SUMIFS('PL1.1 ML2027-2028'!$H:$H,'PL1.1 ML2027-2028'!$J:$J,"TD",'PL1.1 ML2027-2028'!$M:$M,"Mạng cáp",'PL1.1 ML2027-2028'!$K:$K,'TH theo dich vu'!C18)/$D$1</f>
        <v>0</v>
      </c>
      <c r="U18" s="433">
        <f>SUMIFS('PL1.1 ML2027-2028'!$H:$H,'PL1.1 ML2027-2028'!$J:$J,'TH theo dich vu'!U$3,'PL1.1 ML2027-2028'!$K:$K,'TH theo dich vu'!$C18)/$D$1</f>
        <v>0</v>
      </c>
      <c r="V18" s="433">
        <f>SUMIFS('PL1.1 ML2027-2028'!$H:$H,'PL1.1 ML2027-2028'!$J:$J,'TH theo dich vu'!V$3,'PL1.1 ML2027-2028'!$K:$K,'TH theo dich vu'!$C18)/$D$1</f>
        <v>0</v>
      </c>
      <c r="W18" s="436">
        <f t="shared" ref="W18:W21" si="57">SUM(O18:U18)</f>
        <v>0</v>
      </c>
      <c r="X18" s="434">
        <f t="shared" si="53"/>
        <v>0</v>
      </c>
      <c r="Y18" s="442"/>
      <c r="Z18" s="113">
        <f t="shared" si="54"/>
        <v>0</v>
      </c>
      <c r="AA18" s="113">
        <f t="shared" si="54"/>
        <v>0</v>
      </c>
      <c r="AB18" s="113">
        <f t="shared" si="54"/>
        <v>0</v>
      </c>
      <c r="AC18" s="113">
        <f t="shared" si="54"/>
        <v>0</v>
      </c>
      <c r="AD18" s="84">
        <f t="shared" si="54"/>
        <v>0</v>
      </c>
      <c r="AE18" s="84">
        <f t="shared" si="54"/>
        <v>0</v>
      </c>
      <c r="AF18" s="113">
        <f t="shared" si="54"/>
        <v>0</v>
      </c>
      <c r="AG18" s="113">
        <f t="shared" si="54"/>
        <v>0</v>
      </c>
      <c r="AH18" s="83">
        <f t="shared" si="55"/>
        <v>0</v>
      </c>
      <c r="AI18" s="138">
        <f t="shared" si="22"/>
        <v>0</v>
      </c>
      <c r="AJ18" s="164"/>
      <c r="AK18" s="164"/>
      <c r="AL18" s="164"/>
      <c r="AM18" s="169">
        <v>1</v>
      </c>
      <c r="AN18" s="164"/>
      <c r="AO18" s="164"/>
      <c r="AP18" s="168"/>
      <c r="AQ18" s="150"/>
      <c r="AR18" s="122"/>
      <c r="AS18" s="48"/>
    </row>
    <row r="19" spans="1:45" s="37" customFormat="1" outlineLevel="1">
      <c r="A19" s="18" t="s">
        <v>8</v>
      </c>
      <c r="B19" s="104" t="s">
        <v>156</v>
      </c>
      <c r="C19" s="18" t="s">
        <v>174</v>
      </c>
      <c r="D19" s="437">
        <f>SUMIFS('PL1.1 ML2027-2028'!$G:$G,'PL1.1 ML2027-2028'!$J:$J,'TH theo dich vu'!$D$3,'PL1.1 ML2027-2028'!$K:$K,'TH theo dich vu'!C19)/$D$1</f>
        <v>0</v>
      </c>
      <c r="E19" s="437">
        <f>SUMIFS('PL1.1 ML2027-2028'!$G:$G,'PL1.1 ML2027-2028'!$J:$J,'TH theo dich vu'!$E$3,'PL1.1 ML2027-2028'!$K:$K,'TH theo dich vu'!C19)/$D$1</f>
        <v>0</v>
      </c>
      <c r="F19" s="437">
        <f>SUMIFS('PL1.1 ML2027-2028'!$G:$G,'PL1.1 ML2027-2028'!$J:$J,'TH theo dich vu'!$F$3,'PL1.1 ML2027-2028'!$K:$K,'TH theo dich vu'!C19)/$D$1</f>
        <v>0</v>
      </c>
      <c r="G19" s="437">
        <f>SUMIFS('PL1.1 ML2027-2028'!$G:$G,'PL1.1 ML2027-2028'!$J:$J,'TH theo dich vu'!$G$3,'PL1.1 ML2027-2028'!$K:$K,'TH theo dich vu'!C19)/$D$1</f>
        <v>0</v>
      </c>
      <c r="H19" s="433">
        <f>SUMIFS('PL1.1 ML2027-2028'!$G:$G,'PL1.1 ML2027-2028'!$J:$J,"TD",'PL1.1 ML2027-2028'!$M:$M,"IP",'PL1.1 ML2027-2028'!$K:$K,'TH theo dich vu'!C19)/$D$1</f>
        <v>0</v>
      </c>
      <c r="I19" s="433">
        <f>SUMIFS('PL1.1 ML2027-2028'!$G:$G,'PL1.1 ML2027-2028'!$J:$J,"TD",'PL1.1 ML2027-2028'!$M:$M,"Mạng cáp",'PL1.1 ML2027-2028'!$K:$K,'TH theo dich vu'!C19)/$D$1</f>
        <v>0</v>
      </c>
      <c r="J19" s="437">
        <f>SUMIFS('PL1.1 ML2027-2028'!$G:$G,'PL1.1 ML2027-2028'!$J:$J,'TH theo dich vu'!$J$3,'PL1.1 ML2027-2028'!$K:$K,'TH theo dich vu'!C19)/$D$1</f>
        <v>0</v>
      </c>
      <c r="K19" s="433">
        <f>SUMIFS('PL1.1 ML2027-2028'!$G:$G,'PL1.1 ML2027-2028'!$J:$J,'TH theo dich vu'!K$3,'PL1.1 ML2027-2028'!$K:$K,'TH theo dich vu'!C19)/$D$1</f>
        <v>0</v>
      </c>
      <c r="L19" s="436">
        <f t="shared" si="56"/>
        <v>0</v>
      </c>
      <c r="M19" s="434">
        <f t="shared" si="51"/>
        <v>0</v>
      </c>
      <c r="N19" s="138">
        <f t="shared" si="25"/>
        <v>0</v>
      </c>
      <c r="O19" s="433">
        <f>SUMIFS('PL1.1 ML2027-2028'!$H:$H,'PL1.1 ML2027-2028'!$J:$J,'TH theo dich vu'!O$3,'PL1.1 ML2027-2028'!$K:$K,'TH theo dich vu'!$C19)/$D$1</f>
        <v>0</v>
      </c>
      <c r="P19" s="433">
        <f>SUMIFS('PL1.1 ML2027-2028'!$H:$H,'PL1.1 ML2027-2028'!$J:$J,'TH theo dich vu'!P$3,'PL1.1 ML2027-2028'!$K:$K,'TH theo dich vu'!$C19)/$D$1</f>
        <v>0</v>
      </c>
      <c r="Q19" s="433">
        <f>SUMIFS('PL1.1 ML2027-2028'!$H:$H,'PL1.1 ML2027-2028'!$J:$J,'TH theo dich vu'!Q$3,'PL1.1 ML2027-2028'!$K:$K,'TH theo dich vu'!$C19)/$D$1</f>
        <v>0</v>
      </c>
      <c r="R19" s="433">
        <f>SUMIFS('PL1.1 ML2027-2028'!$H:$H,'PL1.1 ML2027-2028'!$J:$J,'TH theo dich vu'!R$3,'PL1.1 ML2027-2028'!$K:$K,'TH theo dich vu'!$C19)/$D$1</f>
        <v>0</v>
      </c>
      <c r="S19" s="433">
        <f>SUMIFS('PL1.1 ML2027-2028'!$H:$H,'PL1.1 ML2027-2028'!$J:$J,"TD",'PL1.1 ML2027-2028'!$M:$M,"IP",'PL1.1 ML2027-2028'!$K:$K,'TH theo dich vu'!C19)/$D$1</f>
        <v>0</v>
      </c>
      <c r="T19" s="433">
        <f>SUMIFS('PL1.1 ML2027-2028'!$H:$H,'PL1.1 ML2027-2028'!$J:$J,"TD",'PL1.1 ML2027-2028'!$M:$M,"Mạng cáp",'PL1.1 ML2027-2028'!$K:$K,'TH theo dich vu'!C19)/$D$1</f>
        <v>0</v>
      </c>
      <c r="U19" s="433">
        <f>SUMIFS('PL1.1 ML2027-2028'!$H:$H,'PL1.1 ML2027-2028'!$J:$J,'TH theo dich vu'!U$3,'PL1.1 ML2027-2028'!$K:$K,'TH theo dich vu'!$C19)/$D$1</f>
        <v>0</v>
      </c>
      <c r="V19" s="433">
        <f>SUMIFS('PL1.1 ML2027-2028'!$H:$H,'PL1.1 ML2027-2028'!$J:$J,'TH theo dich vu'!V$3,'PL1.1 ML2027-2028'!$K:$K,'TH theo dich vu'!$C19)/$D$1</f>
        <v>0</v>
      </c>
      <c r="W19" s="436">
        <f t="shared" si="57"/>
        <v>0</v>
      </c>
      <c r="X19" s="434">
        <f t="shared" si="53"/>
        <v>0</v>
      </c>
      <c r="Y19" s="442"/>
      <c r="Z19" s="113">
        <f t="shared" si="54"/>
        <v>0</v>
      </c>
      <c r="AA19" s="113">
        <f t="shared" si="54"/>
        <v>0</v>
      </c>
      <c r="AB19" s="113">
        <f t="shared" si="54"/>
        <v>0</v>
      </c>
      <c r="AC19" s="113">
        <f t="shared" si="54"/>
        <v>0</v>
      </c>
      <c r="AD19" s="84">
        <f t="shared" si="54"/>
        <v>0</v>
      </c>
      <c r="AE19" s="84">
        <f t="shared" si="54"/>
        <v>0</v>
      </c>
      <c r="AF19" s="113">
        <f t="shared" si="54"/>
        <v>0</v>
      </c>
      <c r="AG19" s="113">
        <f t="shared" si="54"/>
        <v>0</v>
      </c>
      <c r="AH19" s="83">
        <f t="shared" si="55"/>
        <v>0</v>
      </c>
      <c r="AI19" s="138">
        <f t="shared" si="22"/>
        <v>0</v>
      </c>
      <c r="AJ19" s="164"/>
      <c r="AK19" s="164"/>
      <c r="AL19" s="169">
        <v>1</v>
      </c>
      <c r="AM19" s="164"/>
      <c r="AN19" s="164"/>
      <c r="AO19" s="164"/>
      <c r="AP19" s="168"/>
      <c r="AQ19" s="150"/>
      <c r="AR19" s="122"/>
      <c r="AS19" s="48"/>
    </row>
    <row r="20" spans="1:45" s="37" customFormat="1" outlineLevel="1">
      <c r="A20" s="107">
        <v>3</v>
      </c>
      <c r="B20" s="111" t="s">
        <v>104</v>
      </c>
      <c r="C20" s="50" t="s">
        <v>108</v>
      </c>
      <c r="D20" s="437">
        <f>SUMIFS('PL1.1 ML2027-2028'!$G:$G,'PL1.1 ML2027-2028'!$J:$J,'TH theo dich vu'!$D$3,'PL1.1 ML2027-2028'!$K:$K,'TH theo dich vu'!C20)/$D$1</f>
        <v>0</v>
      </c>
      <c r="E20" s="437">
        <f>SUMIFS('PL1.1 ML2027-2028'!$G:$G,'PL1.1 ML2027-2028'!$J:$J,'TH theo dich vu'!$E$3,'PL1.1 ML2027-2028'!$K:$K,'TH theo dich vu'!C20)/$D$1</f>
        <v>0</v>
      </c>
      <c r="F20" s="437">
        <f>SUMIFS('PL1.1 ML2027-2028'!$G:$G,'PL1.1 ML2027-2028'!$J:$J,'TH theo dich vu'!$F$3,'PL1.1 ML2027-2028'!$K:$K,'TH theo dich vu'!C20)/$D$1</f>
        <v>0</v>
      </c>
      <c r="G20" s="437">
        <f>SUMIFS('PL1.1 ML2027-2028'!$G:$G,'PL1.1 ML2027-2028'!$J:$J,'TH theo dich vu'!$G$3,'PL1.1 ML2027-2028'!$K:$K,'TH theo dich vu'!C20)/$D$1</f>
        <v>0</v>
      </c>
      <c r="H20" s="433">
        <f>SUMIFS('PL1.1 ML2027-2028'!$G:$G,'PL1.1 ML2027-2028'!$J:$J,"TD",'PL1.1 ML2027-2028'!$M:$M,"IP",'PL1.1 ML2027-2028'!$K:$K,'TH theo dich vu'!C20)/$D$1</f>
        <v>0</v>
      </c>
      <c r="I20" s="433">
        <f>SUMIFS('PL1.1 ML2027-2028'!$G:$G,'PL1.1 ML2027-2028'!$J:$J,"TD",'PL1.1 ML2027-2028'!$M:$M,"Mạng cáp",'PL1.1 ML2027-2028'!$K:$K,'TH theo dich vu'!C20)/$D$1</f>
        <v>0</v>
      </c>
      <c r="J20" s="437">
        <f>SUMIFS('PL1.1 ML2027-2028'!$G:$G,'PL1.1 ML2027-2028'!$J:$J,'TH theo dich vu'!$J$3,'PL1.1 ML2027-2028'!$K:$K,'TH theo dich vu'!C20)/$D$1</f>
        <v>0</v>
      </c>
      <c r="K20" s="437">
        <f>SUMIFS('PL1.1 ML2027-2028'!$G:$G,'PL1.1 ML2027-2028'!$J:$J,'TH theo dich vu'!$J$3,'PL1.1 ML2027-2028'!$K:$K,'TH theo dich vu'!D20)/$D$1</f>
        <v>0</v>
      </c>
      <c r="L20" s="436">
        <f t="shared" si="56"/>
        <v>0</v>
      </c>
      <c r="M20" s="434">
        <f>SUM(D20:K20)</f>
        <v>0</v>
      </c>
      <c r="N20" s="138">
        <f t="shared" si="25"/>
        <v>0</v>
      </c>
      <c r="O20" s="433">
        <f>SUMIFS('PL1.1 ML2027-2028'!$H:$H,'PL1.1 ML2027-2028'!$J:$J,'TH theo dich vu'!O$3,'PL1.1 ML2027-2028'!$K:$K,'TH theo dich vu'!$C20)/$D$1</f>
        <v>0</v>
      </c>
      <c r="P20" s="433">
        <f>SUMIFS('PL1.1 ML2027-2028'!$H:$H,'PL1.1 ML2027-2028'!$J:$J,'TH theo dich vu'!P$3,'PL1.1 ML2027-2028'!$K:$K,'TH theo dich vu'!$C20)/$D$1</f>
        <v>0</v>
      </c>
      <c r="Q20" s="433">
        <f>SUMIFS('PL1.1 ML2027-2028'!$H:$H,'PL1.1 ML2027-2028'!$J:$J,'TH theo dich vu'!Q$3,'PL1.1 ML2027-2028'!$K:$K,'TH theo dich vu'!$C20)/$D$1</f>
        <v>0</v>
      </c>
      <c r="R20" s="433">
        <f>SUMIFS('PL1.1 ML2027-2028'!$H:$H,'PL1.1 ML2027-2028'!$J:$J,'TH theo dich vu'!R$3,'PL1.1 ML2027-2028'!$K:$K,'TH theo dich vu'!$C20)/$D$1</f>
        <v>0</v>
      </c>
      <c r="S20" s="433">
        <f>SUMIFS('PL1.1 ML2027-2028'!$H:$H,'PL1.1 ML2027-2028'!$J:$J,"TD",'PL1.1 ML2027-2028'!$M:$M,"IP",'PL1.1 ML2027-2028'!$K:$K,'TH theo dich vu'!C20)/$D$1</f>
        <v>0</v>
      </c>
      <c r="T20" s="433">
        <f>SUMIFS('PL1.1 ML2027-2028'!$H:$H,'PL1.1 ML2027-2028'!$J:$J,"TD",'PL1.1 ML2027-2028'!$M:$M,"Mạng cáp",'PL1.1 ML2027-2028'!$K:$K,'TH theo dich vu'!C20)/$D$1</f>
        <v>0</v>
      </c>
      <c r="U20" s="433">
        <f>SUMIFS('PL1.1 ML2027-2028'!$H:$H,'PL1.1 ML2027-2028'!$J:$J,'TH theo dich vu'!U$3,'PL1.1 ML2027-2028'!$K:$K,'TH theo dich vu'!$C20)/$D$1</f>
        <v>0</v>
      </c>
      <c r="V20" s="437">
        <f>SUMIFS('PL1.1 ML2027-2028'!$G:$G,'PL1.1 ML2027-2028'!$J:$J,'TH theo dich vu'!$J$3,'PL1.1 ML2027-2028'!$K:$K,'TH theo dich vu'!O20)/$D$1</f>
        <v>0</v>
      </c>
      <c r="W20" s="436">
        <f t="shared" si="57"/>
        <v>0</v>
      </c>
      <c r="X20" s="434">
        <f>SUM(O20:V20)</f>
        <v>0</v>
      </c>
      <c r="Y20" s="442"/>
      <c r="Z20" s="113">
        <f t="shared" si="54"/>
        <v>0</v>
      </c>
      <c r="AA20" s="113">
        <f t="shared" si="54"/>
        <v>0</v>
      </c>
      <c r="AB20" s="113">
        <f t="shared" si="54"/>
        <v>0</v>
      </c>
      <c r="AC20" s="113">
        <f t="shared" si="54"/>
        <v>0</v>
      </c>
      <c r="AD20" s="84">
        <f t="shared" si="54"/>
        <v>0</v>
      </c>
      <c r="AE20" s="84">
        <f t="shared" si="54"/>
        <v>0</v>
      </c>
      <c r="AF20" s="113">
        <f t="shared" si="54"/>
        <v>0</v>
      </c>
      <c r="AG20" s="113">
        <f t="shared" si="54"/>
        <v>0</v>
      </c>
      <c r="AH20" s="83">
        <f>SUM(Z20:AG20)</f>
        <v>0</v>
      </c>
      <c r="AI20" s="138">
        <f t="shared" si="22"/>
        <v>0</v>
      </c>
      <c r="AJ20" s="164"/>
      <c r="AK20" s="164"/>
      <c r="AL20" s="164"/>
      <c r="AM20" s="164"/>
      <c r="AN20" s="164"/>
      <c r="AO20" s="169">
        <v>1</v>
      </c>
      <c r="AP20" s="168"/>
      <c r="AQ20" s="150"/>
      <c r="AR20" s="122"/>
      <c r="AS20" s="48"/>
    </row>
    <row r="21" spans="1:45" s="37" customFormat="1" outlineLevel="1">
      <c r="A21" s="107">
        <v>4</v>
      </c>
      <c r="B21" s="111" t="s">
        <v>105</v>
      </c>
      <c r="C21" s="18" t="s">
        <v>109</v>
      </c>
      <c r="D21" s="437">
        <f>SUMIFS('PL1.1 ML2027-2028'!$G:$G,'PL1.1 ML2027-2028'!$J:$J,'TH theo dich vu'!$D$3,'PL1.1 ML2027-2028'!$K:$K,'TH theo dich vu'!C21)/$D$1</f>
        <v>0</v>
      </c>
      <c r="E21" s="437">
        <f>SUMIFS('PL1.1 ML2027-2028'!$G:$G,'PL1.1 ML2027-2028'!$J:$J,'TH theo dich vu'!$E$3,'PL1.1 ML2027-2028'!$K:$K,'TH theo dich vu'!C21)/$D$1</f>
        <v>0</v>
      </c>
      <c r="F21" s="437">
        <f>SUMIFS('PL1.1 ML2027-2028'!$G:$G,'PL1.1 ML2027-2028'!$J:$J,'TH theo dich vu'!$F$3,'PL1.1 ML2027-2028'!$K:$K,'TH theo dich vu'!C21)/$D$1</f>
        <v>0</v>
      </c>
      <c r="G21" s="437">
        <f>SUMIFS('PL1.1 ML2027-2028'!$G:$G,'PL1.1 ML2027-2028'!$J:$J,'TH theo dich vu'!$G$3,'PL1.1 ML2027-2028'!$K:$K,'TH theo dich vu'!C21)/$D$1</f>
        <v>0</v>
      </c>
      <c r="H21" s="433">
        <f>SUMIFS('PL1.1 ML2027-2028'!$G:$G,'PL1.1 ML2027-2028'!$J:$J,"TD",'PL1.1 ML2027-2028'!$M:$M,"IP",'PL1.1 ML2027-2028'!$K:$K,'TH theo dich vu'!C21)/$D$1</f>
        <v>1.7571200000000002</v>
      </c>
      <c r="I21" s="433">
        <f>SUMIFS('PL1.1 ML2027-2028'!$G:$G,'PL1.1 ML2027-2028'!$J:$J,"TD",'PL1.1 ML2027-2028'!$M:$M,"Mạng cáp",'PL1.1 ML2027-2028'!$K:$K,'TH theo dich vu'!C21)/$D$1</f>
        <v>0.63</v>
      </c>
      <c r="J21" s="437">
        <f>SUMIFS('PL1.1 ML2027-2028'!$G:$G,'PL1.1 ML2027-2028'!$J:$J,'TH theo dich vu'!$J$3,'PL1.1 ML2027-2028'!$K:$K,'TH theo dich vu'!C21)/$D$1</f>
        <v>0</v>
      </c>
      <c r="K21" s="437">
        <f>SUMIFS('PL1.1 ML2027-2028'!$G:$G,'PL1.1 ML2027-2028'!$J:$J,'TH theo dich vu'!$J$3,'PL1.1 ML2027-2028'!$K:$K,'TH theo dich vu'!D21)/$D$1</f>
        <v>0</v>
      </c>
      <c r="L21" s="436">
        <f t="shared" si="56"/>
        <v>2.3871200000000004</v>
      </c>
      <c r="M21" s="434">
        <f>SUM(D21:K21)</f>
        <v>2.3871200000000004</v>
      </c>
      <c r="N21" s="138">
        <f t="shared" si="25"/>
        <v>2.1543617480324125E-2</v>
      </c>
      <c r="O21" s="433">
        <f>SUMIFS('PL1.1 ML2027-2028'!$H:$H,'PL1.1 ML2027-2028'!$J:$J,'TH theo dich vu'!O$3,'PL1.1 ML2027-2028'!$K:$K,'TH theo dich vu'!$C21)/$D$1</f>
        <v>0</v>
      </c>
      <c r="P21" s="433">
        <f>SUMIFS('PL1.1 ML2027-2028'!$H:$H,'PL1.1 ML2027-2028'!$J:$J,'TH theo dich vu'!P$3,'PL1.1 ML2027-2028'!$K:$K,'TH theo dich vu'!$C21)/$D$1</f>
        <v>0</v>
      </c>
      <c r="Q21" s="433">
        <f>SUMIFS('PL1.1 ML2027-2028'!$H:$H,'PL1.1 ML2027-2028'!$J:$J,'TH theo dich vu'!Q$3,'PL1.1 ML2027-2028'!$K:$K,'TH theo dich vu'!$C21)/$D$1</f>
        <v>0</v>
      </c>
      <c r="R21" s="433">
        <f>SUMIFS('PL1.1 ML2027-2028'!$H:$H,'PL1.1 ML2027-2028'!$J:$J,'TH theo dich vu'!R$3,'PL1.1 ML2027-2028'!$K:$K,'TH theo dich vu'!$C21)/$D$1</f>
        <v>0</v>
      </c>
      <c r="S21" s="433">
        <f>SUMIFS('PL1.1 ML2027-2028'!$H:$H,'PL1.1 ML2027-2028'!$J:$J,"TD",'PL1.1 ML2027-2028'!$M:$M,"IP",'PL1.1 ML2027-2028'!$K:$K,'TH theo dich vu'!C21)/$D$1</f>
        <v>1.415E-3</v>
      </c>
      <c r="T21" s="433">
        <f>SUMIFS('PL1.1 ML2027-2028'!$H:$H,'PL1.1 ML2027-2028'!$J:$J,"TD",'PL1.1 ML2027-2028'!$M:$M,"Mạng cáp",'PL1.1 ML2027-2028'!$K:$K,'TH theo dich vu'!C21)/$D$1</f>
        <v>0</v>
      </c>
      <c r="U21" s="433">
        <f>SUMIFS('PL1.1 ML2027-2028'!$H:$H,'PL1.1 ML2027-2028'!$J:$J,'TH theo dich vu'!U$3,'PL1.1 ML2027-2028'!$K:$K,'TH theo dich vu'!$C21)/$D$1</f>
        <v>0</v>
      </c>
      <c r="V21" s="437">
        <f>SUMIFS('PL1.1 ML2027-2028'!$G:$G,'PL1.1 ML2027-2028'!$J:$J,'TH theo dich vu'!$J$3,'PL1.1 ML2027-2028'!$K:$K,'TH theo dich vu'!O21)/$D$1</f>
        <v>0</v>
      </c>
      <c r="W21" s="436">
        <f t="shared" si="57"/>
        <v>1.415E-3</v>
      </c>
      <c r="X21" s="434">
        <f>SUM(O21:V21)</f>
        <v>1.415E-3</v>
      </c>
      <c r="Y21" s="442"/>
      <c r="Z21" s="113">
        <f t="shared" si="54"/>
        <v>0</v>
      </c>
      <c r="AA21" s="113">
        <f t="shared" si="54"/>
        <v>0</v>
      </c>
      <c r="AB21" s="113">
        <f t="shared" si="54"/>
        <v>0</v>
      </c>
      <c r="AC21" s="113">
        <f t="shared" si="54"/>
        <v>0</v>
      </c>
      <c r="AD21" s="84">
        <f t="shared" si="54"/>
        <v>1.7585350000000002</v>
      </c>
      <c r="AE21" s="84">
        <f t="shared" si="54"/>
        <v>0.63</v>
      </c>
      <c r="AF21" s="113">
        <f t="shared" si="54"/>
        <v>0</v>
      </c>
      <c r="AG21" s="113">
        <f t="shared" si="54"/>
        <v>0</v>
      </c>
      <c r="AH21" s="83">
        <f>SUM(Z21:AG21)</f>
        <v>2.3885350000000001</v>
      </c>
      <c r="AI21" s="138">
        <f t="shared" si="22"/>
        <v>1.1884816137293376E-2</v>
      </c>
      <c r="AJ21" s="169">
        <f>20%*80%</f>
        <v>0.16000000000000003</v>
      </c>
      <c r="AK21" s="169"/>
      <c r="AL21" s="164"/>
      <c r="AM21" s="169">
        <f>20%*20%</f>
        <v>4.0000000000000008E-2</v>
      </c>
      <c r="AN21" s="169">
        <v>0.8</v>
      </c>
      <c r="AO21" s="164"/>
      <c r="AP21" s="168"/>
      <c r="AQ21" s="150"/>
    </row>
    <row r="22" spans="1:45" s="37" customFormat="1" outlineLevel="1">
      <c r="A22" s="107">
        <v>5</v>
      </c>
      <c r="B22" s="111" t="s">
        <v>196</v>
      </c>
      <c r="C22" s="18"/>
      <c r="D22" s="436">
        <f t="shared" ref="D22:L22" si="58">SUBTOTAL(9,D23:D25)</f>
        <v>0</v>
      </c>
      <c r="E22" s="436">
        <f t="shared" si="58"/>
        <v>0</v>
      </c>
      <c r="F22" s="436">
        <f t="shared" si="58"/>
        <v>0</v>
      </c>
      <c r="G22" s="431">
        <f t="shared" si="58"/>
        <v>15.582281999999999</v>
      </c>
      <c r="H22" s="434">
        <f t="shared" si="58"/>
        <v>0</v>
      </c>
      <c r="I22" s="436">
        <f t="shared" ref="I22" si="59">SUBTOTAL(9,I23:I25)</f>
        <v>0</v>
      </c>
      <c r="J22" s="436">
        <f t="shared" si="58"/>
        <v>0</v>
      </c>
      <c r="K22" s="436">
        <f t="shared" ref="K22" si="60">SUBTOTAL(9,K23:K25)</f>
        <v>0</v>
      </c>
      <c r="L22" s="431">
        <f t="shared" si="58"/>
        <v>15.582281999999999</v>
      </c>
      <c r="M22" s="431">
        <f t="shared" ref="M22" si="61">SUBTOTAL(9,M23:M25)</f>
        <v>15.582281999999999</v>
      </c>
      <c r="N22" s="138">
        <f t="shared" si="25"/>
        <v>0.14062917778684769</v>
      </c>
      <c r="O22" s="431">
        <f>SUBTOTAL(9,O23:O25)</f>
        <v>0</v>
      </c>
      <c r="P22" s="431">
        <f t="shared" ref="P22:W22" si="62">SUBTOTAL(9,P23:P25)</f>
        <v>0</v>
      </c>
      <c r="Q22" s="431">
        <f t="shared" si="62"/>
        <v>0</v>
      </c>
      <c r="R22" s="431">
        <f t="shared" si="62"/>
        <v>17.900933999999999</v>
      </c>
      <c r="S22" s="436">
        <f t="shared" si="62"/>
        <v>0</v>
      </c>
      <c r="T22" s="436">
        <f t="shared" si="62"/>
        <v>0</v>
      </c>
      <c r="U22" s="431">
        <f t="shared" si="62"/>
        <v>0</v>
      </c>
      <c r="V22" s="436">
        <f t="shared" si="62"/>
        <v>0</v>
      </c>
      <c r="W22" s="431">
        <f t="shared" si="62"/>
        <v>17.900933999999999</v>
      </c>
      <c r="X22" s="431">
        <f t="shared" ref="X22" si="63">SUBTOTAL(9,X23:X25)</f>
        <v>17.900933999999999</v>
      </c>
      <c r="Y22" s="441">
        <f>W22/$W$4</f>
        <v>0.19852512756714794</v>
      </c>
      <c r="Z22" s="112">
        <f t="shared" ref="Z22:AH22" si="64">SUBTOTAL(9,Z23:Z25)</f>
        <v>0</v>
      </c>
      <c r="AA22" s="112">
        <f t="shared" si="64"/>
        <v>0</v>
      </c>
      <c r="AB22" s="112">
        <f t="shared" si="64"/>
        <v>0</v>
      </c>
      <c r="AC22" s="112">
        <f t="shared" si="64"/>
        <v>33.483215999999992</v>
      </c>
      <c r="AD22" s="112">
        <f t="shared" si="64"/>
        <v>0</v>
      </c>
      <c r="AE22" s="112">
        <f t="shared" ref="AE22" si="65">SUBTOTAL(9,AE23:AE25)</f>
        <v>0</v>
      </c>
      <c r="AF22" s="112">
        <f t="shared" si="64"/>
        <v>0</v>
      </c>
      <c r="AG22" s="112">
        <f t="shared" ref="AG22" si="66">SUBTOTAL(9,AG23:AG25)</f>
        <v>0</v>
      </c>
      <c r="AH22" s="112">
        <f t="shared" si="64"/>
        <v>33.483215999999992</v>
      </c>
      <c r="AI22" s="138">
        <f t="shared" si="22"/>
        <v>0.16660499672195703</v>
      </c>
      <c r="AJ22" s="164"/>
      <c r="AK22" s="164"/>
      <c r="AL22" s="164"/>
      <c r="AM22" s="164"/>
      <c r="AN22" s="164"/>
      <c r="AO22" s="164"/>
      <c r="AP22" s="167"/>
      <c r="AQ22" s="52"/>
    </row>
    <row r="23" spans="1:45" outlineLevel="1">
      <c r="A23" s="46" t="s">
        <v>8</v>
      </c>
      <c r="B23" s="87" t="s">
        <v>1147</v>
      </c>
      <c r="C23" s="91" t="s">
        <v>209</v>
      </c>
      <c r="D23" s="433">
        <f>SUMIFS('PL1.1 ML2027-2028'!$G:$G,'PL1.1 ML2027-2028'!$J:$J,'TH theo dich vu'!$D$3,'PL1.1 ML2027-2028'!$K:$K,'TH theo dich vu'!C23)/$D$1</f>
        <v>0</v>
      </c>
      <c r="E23" s="433">
        <f>SUMIFS('PL1.1 ML2027-2028'!$G:$G,'PL1.1 ML2027-2028'!$J:$J,'TH theo dich vu'!$E$3,'PL1.1 ML2027-2028'!$K:$K,'TH theo dich vu'!C23)/$D$1</f>
        <v>0</v>
      </c>
      <c r="F23" s="433">
        <f>SUMIFS('PL1.1 ML2027-2028'!$G:$G,'PL1.1 ML2027-2028'!$J:$J,'TH theo dich vu'!$F$3,'PL1.1 ML2027-2028'!$K:$K,'TH theo dich vu'!C23)/$D$1</f>
        <v>0</v>
      </c>
      <c r="G23" s="174">
        <f>SUMIFS('PL1.1 ML2027-2028'!$G:$G,'PL1.1 ML2027-2028'!$J:$J,'TH theo dich vu'!$G$3,'PL1.1 ML2027-2028'!$K:$K,'TH theo dich vu'!C23)/$D$1</f>
        <v>0.79046700000000003</v>
      </c>
      <c r="H23" s="433">
        <f>SUMIFS('PL1.1 ML2027-2028'!$G:$G,'PL1.1 ML2027-2028'!$J:$J,"TD",'PL1.1 ML2027-2028'!$M:$M,"IP",'PL1.1 ML2027-2028'!$K:$K,'TH theo dich vu'!C23)/$D$1</f>
        <v>0</v>
      </c>
      <c r="I23" s="433">
        <f>SUMIFS('PL1.1 ML2027-2028'!$G:$G,'PL1.1 ML2027-2028'!$J:$J,"TD",'PL1.1 ML2027-2028'!$M:$M,"Mạng cáp",'PL1.1 ML2027-2028'!$K:$K,'TH theo dich vu'!C23)/$D$1</f>
        <v>0</v>
      </c>
      <c r="J23" s="433">
        <f>SUMIFS('PL1.1 ML2027-2028'!$G:$G,'PL1.1 ML2027-2028'!$J:$J,'TH theo dich vu'!$J$3,'PL1.1 ML2027-2028'!$K:$K,'TH theo dich vu'!C23)/$D$1</f>
        <v>0</v>
      </c>
      <c r="K23" s="433">
        <f>SUMIFS('PL1.1 ML2027-2028'!$G:$G,'PL1.1 ML2027-2028'!$J:$J,'TH theo dich vu'!K$3,'PL1.1 ML2027-2028'!$K:$K,'TH theo dich vu'!C23)/$D$1</f>
        <v>0</v>
      </c>
      <c r="L23" s="434">
        <f>SUM(D23:K23)</f>
        <v>0.79046700000000003</v>
      </c>
      <c r="M23" s="434">
        <f t="shared" ref="M23:M25" si="67">SUM(D23:K23)</f>
        <v>0.79046700000000003</v>
      </c>
      <c r="N23" s="138">
        <f t="shared" si="25"/>
        <v>7.1339181435450955E-3</v>
      </c>
      <c r="O23" s="433">
        <f>SUMIFS('PL1.1 ML2027-2028'!$H:$H,'PL1.1 ML2027-2028'!$J:$J,'TH theo dich vu'!O$3,'PL1.1 ML2027-2028'!$K:$K,'TH theo dich vu'!$C23)/$D$1</f>
        <v>0</v>
      </c>
      <c r="P23" s="433">
        <f>SUMIFS('PL1.1 ML2027-2028'!$H:$H,'PL1.1 ML2027-2028'!$J:$J,'TH theo dich vu'!P$3,'PL1.1 ML2027-2028'!$K:$K,'TH theo dich vu'!$C23)/$D$1</f>
        <v>0</v>
      </c>
      <c r="Q23" s="433">
        <f>SUMIFS('PL1.1 ML2027-2028'!$H:$H,'PL1.1 ML2027-2028'!$J:$J,'TH theo dich vu'!Q$3,'PL1.1 ML2027-2028'!$K:$K,'TH theo dich vu'!$C23)/$D$1</f>
        <v>0</v>
      </c>
      <c r="R23" s="433">
        <f>SUMIFS('PL1.1 ML2027-2028'!$H:$H,'PL1.1 ML2027-2028'!$J:$J,'TH theo dich vu'!R$3,'PL1.1 ML2027-2028'!$K:$K,'TH theo dich vu'!$C23)/$D$1</f>
        <v>1.75606</v>
      </c>
      <c r="S23" s="433">
        <f>SUMIFS('PL1.1 ML2027-2028'!$H:$H,'PL1.1 ML2027-2028'!$J:$J,"TD",'PL1.1 ML2027-2028'!$M:$M,"IP",'PL1.1 ML2027-2028'!$K:$K,'TH theo dich vu'!C23)/$D$1</f>
        <v>0</v>
      </c>
      <c r="T23" s="433">
        <f>SUMIFS('PL1.1 ML2027-2028'!$H:$H,'PL1.1 ML2027-2028'!$J:$J,"TD",'PL1.1 ML2027-2028'!$M:$M,"Mạng cáp",'PL1.1 ML2027-2028'!$K:$K,'TH theo dich vu'!C23)/$D$1</f>
        <v>0</v>
      </c>
      <c r="U23" s="433">
        <f>SUMIFS('PL1.1 ML2027-2028'!$H:$H,'PL1.1 ML2027-2028'!$J:$J,'TH theo dich vu'!U$3,'PL1.1 ML2027-2028'!$K:$K,'TH theo dich vu'!$C23)/$D$1</f>
        <v>0</v>
      </c>
      <c r="V23" s="433">
        <f>SUMIFS('PL1.1 ML2027-2028'!$H:$H,'PL1.1 ML2027-2028'!$J:$J,'TH theo dich vu'!V$3,'PL1.1 ML2027-2028'!$K:$K,'TH theo dich vu'!$C23)/$D$1</f>
        <v>0</v>
      </c>
      <c r="W23" s="434">
        <f>SUM(O23:V23)</f>
        <v>1.75606</v>
      </c>
      <c r="X23" s="434">
        <f t="shared" ref="X23:X25" si="68">SUM(O23:V23)</f>
        <v>1.75606</v>
      </c>
      <c r="Y23" s="440"/>
      <c r="Z23" s="84">
        <f t="shared" ref="Z23:AG25" si="69">D23+O23</f>
        <v>0</v>
      </c>
      <c r="AA23" s="84">
        <f t="shared" si="69"/>
        <v>0</v>
      </c>
      <c r="AB23" s="84">
        <f t="shared" si="69"/>
        <v>0</v>
      </c>
      <c r="AC23" s="84">
        <f t="shared" si="69"/>
        <v>2.5465270000000002</v>
      </c>
      <c r="AD23" s="84">
        <f t="shared" si="69"/>
        <v>0</v>
      </c>
      <c r="AE23" s="84">
        <f t="shared" si="69"/>
        <v>0</v>
      </c>
      <c r="AF23" s="84">
        <f t="shared" si="69"/>
        <v>0</v>
      </c>
      <c r="AG23" s="84">
        <f t="shared" si="69"/>
        <v>0</v>
      </c>
      <c r="AH23" s="83">
        <f t="shared" ref="AH23:AH24" si="70">SUM(Z23:AG23)</f>
        <v>2.5465270000000002</v>
      </c>
      <c r="AI23" s="86">
        <f t="shared" si="22"/>
        <v>1.2670949005835498E-2</v>
      </c>
      <c r="AJ23" s="164"/>
      <c r="AK23" s="164"/>
      <c r="AL23" s="164"/>
      <c r="AM23" s="164"/>
      <c r="AN23" s="164"/>
      <c r="AO23" s="169"/>
      <c r="AP23" s="169">
        <v>1</v>
      </c>
    </row>
    <row r="24" spans="1:45" outlineLevel="1">
      <c r="A24" s="46" t="s">
        <v>8</v>
      </c>
      <c r="B24" s="87" t="s">
        <v>207</v>
      </c>
      <c r="C24" s="91" t="s">
        <v>210</v>
      </c>
      <c r="D24" s="433">
        <f>SUMIFS('PL1.1 ML2027-2028'!$G:$G,'PL1.1 ML2027-2028'!$J:$J,'TH theo dich vu'!$D$3,'PL1.1 ML2027-2028'!$K:$K,'TH theo dich vu'!C24)/$D$1</f>
        <v>0</v>
      </c>
      <c r="E24" s="433">
        <f>SUMIFS('PL1.1 ML2027-2028'!$G:$G,'PL1.1 ML2027-2028'!$J:$J,'TH theo dich vu'!$E$3,'PL1.1 ML2027-2028'!$K:$K,'TH theo dich vu'!C24)/$D$1</f>
        <v>0</v>
      </c>
      <c r="F24" s="433">
        <f>SUMIFS('PL1.1 ML2027-2028'!$G:$G,'PL1.1 ML2027-2028'!$J:$J,'TH theo dich vu'!$F$3,'PL1.1 ML2027-2028'!$K:$K,'TH theo dich vu'!C24)/$D$1</f>
        <v>0</v>
      </c>
      <c r="G24" s="437">
        <f>SUMIFS('PL1.1 ML2027-2028'!$G:$G,'PL1.1 ML2027-2028'!$J:$J,'TH theo dich vu'!$G$3,'PL1.1 ML2027-2028'!$K:$K,'TH theo dich vu'!C24)/$D$1</f>
        <v>14.533353</v>
      </c>
      <c r="H24" s="433">
        <f>SUMIFS('PL1.1 ML2027-2028'!$G:$G,'PL1.1 ML2027-2028'!$J:$J,"TD",'PL1.1 ML2027-2028'!$M:$M,"IP",'PL1.1 ML2027-2028'!$K:$K,'TH theo dich vu'!C24)/$D$1</f>
        <v>0</v>
      </c>
      <c r="I24" s="433">
        <f>SUMIFS('PL1.1 ML2027-2028'!$G:$G,'PL1.1 ML2027-2028'!$J:$J,"TD",'PL1.1 ML2027-2028'!$M:$M,"Mạng cáp",'PL1.1 ML2027-2028'!$K:$K,'TH theo dich vu'!C24)/$D$1</f>
        <v>0</v>
      </c>
      <c r="J24" s="433">
        <f>SUMIFS('PL1.1 ML2027-2028'!$G:$G,'PL1.1 ML2027-2028'!$J:$J,'TH theo dich vu'!$J$3,'PL1.1 ML2027-2028'!$K:$K,'TH theo dich vu'!C24)/$D$1</f>
        <v>0</v>
      </c>
      <c r="K24" s="433">
        <f>SUMIFS('PL1.1 ML2027-2028'!$G:$G,'PL1.1 ML2027-2028'!$J:$J,'TH theo dich vu'!K$3,'PL1.1 ML2027-2028'!$K:$K,'TH theo dich vu'!C24)/$D$1</f>
        <v>0</v>
      </c>
      <c r="L24" s="434">
        <f>SUM(D24:K24)</f>
        <v>14.533353</v>
      </c>
      <c r="M24" s="434">
        <f t="shared" si="67"/>
        <v>14.533353</v>
      </c>
      <c r="N24" s="138">
        <f t="shared" si="25"/>
        <v>0.13116265530786933</v>
      </c>
      <c r="O24" s="433">
        <f>SUMIFS('PL1.1 ML2027-2028'!$H:$H,'PL1.1 ML2027-2028'!$J:$J,'TH theo dich vu'!O$3,'PL1.1 ML2027-2028'!$K:$K,'TH theo dich vu'!$C24)/$D$1</f>
        <v>0</v>
      </c>
      <c r="P24" s="433">
        <f>SUMIFS('PL1.1 ML2027-2028'!$H:$H,'PL1.1 ML2027-2028'!$J:$J,'TH theo dich vu'!P$3,'PL1.1 ML2027-2028'!$K:$K,'TH theo dich vu'!$C24)/$D$1</f>
        <v>0</v>
      </c>
      <c r="Q24" s="433">
        <f>SUMIFS('PL1.1 ML2027-2028'!$H:$H,'PL1.1 ML2027-2028'!$J:$J,'TH theo dich vu'!Q$3,'PL1.1 ML2027-2028'!$K:$K,'TH theo dich vu'!$C24)/$D$1</f>
        <v>0</v>
      </c>
      <c r="R24" s="433">
        <f>SUMIFS('PL1.1 ML2027-2028'!$H:$H,'PL1.1 ML2027-2028'!$J:$J,'TH theo dich vu'!R$3,'PL1.1 ML2027-2028'!$K:$K,'TH theo dich vu'!$C24)/$D$1</f>
        <v>16.106411999999999</v>
      </c>
      <c r="S24" s="433">
        <f>SUMIFS('PL1.1 ML2027-2028'!$H:$H,'PL1.1 ML2027-2028'!$J:$J,"TD",'PL1.1 ML2027-2028'!$M:$M,"IP",'PL1.1 ML2027-2028'!$K:$K,'TH theo dich vu'!C24)/$D$1</f>
        <v>0</v>
      </c>
      <c r="T24" s="433">
        <f>SUMIFS('PL1.1 ML2027-2028'!$H:$H,'PL1.1 ML2027-2028'!$J:$J,"TD",'PL1.1 ML2027-2028'!$M:$M,"Mạng cáp",'PL1.1 ML2027-2028'!$K:$K,'TH theo dich vu'!C24)/$D$1</f>
        <v>0</v>
      </c>
      <c r="U24" s="433">
        <f>SUMIFS('PL1.1 ML2027-2028'!$H:$H,'PL1.1 ML2027-2028'!$J:$J,'TH theo dich vu'!U$3,'PL1.1 ML2027-2028'!$K:$K,'TH theo dich vu'!$C24)/$D$1</f>
        <v>0</v>
      </c>
      <c r="V24" s="433">
        <f>SUMIFS('PL1.1 ML2027-2028'!$H:$H,'PL1.1 ML2027-2028'!$J:$J,'TH theo dich vu'!V$3,'PL1.1 ML2027-2028'!$K:$K,'TH theo dich vu'!$C24)/$D$1</f>
        <v>0</v>
      </c>
      <c r="W24" s="434">
        <f>SUM(O24:V24)</f>
        <v>16.106411999999999</v>
      </c>
      <c r="X24" s="434">
        <f t="shared" si="68"/>
        <v>16.106411999999999</v>
      </c>
      <c r="Y24" s="440"/>
      <c r="Z24" s="84">
        <f t="shared" si="69"/>
        <v>0</v>
      </c>
      <c r="AA24" s="84">
        <f t="shared" si="69"/>
        <v>0</v>
      </c>
      <c r="AB24" s="84">
        <f t="shared" si="69"/>
        <v>0</v>
      </c>
      <c r="AC24" s="84">
        <f t="shared" si="69"/>
        <v>30.639764999999997</v>
      </c>
      <c r="AD24" s="84">
        <f t="shared" si="69"/>
        <v>0</v>
      </c>
      <c r="AE24" s="84">
        <f t="shared" si="69"/>
        <v>0</v>
      </c>
      <c r="AF24" s="84">
        <f t="shared" si="69"/>
        <v>0</v>
      </c>
      <c r="AG24" s="84">
        <f t="shared" si="69"/>
        <v>0</v>
      </c>
      <c r="AH24" s="83">
        <f t="shared" si="70"/>
        <v>30.639764999999997</v>
      </c>
      <c r="AI24" s="86">
        <f t="shared" si="22"/>
        <v>0.15245662027765</v>
      </c>
      <c r="AJ24" s="169">
        <v>1</v>
      </c>
      <c r="AK24" s="169"/>
      <c r="AL24" s="164"/>
      <c r="AM24" s="164"/>
      <c r="AN24" s="164"/>
      <c r="AO24" s="164"/>
      <c r="AP24" s="167"/>
    </row>
    <row r="25" spans="1:45" outlineLevel="1">
      <c r="A25" s="46" t="s">
        <v>8</v>
      </c>
      <c r="B25" s="87" t="s">
        <v>88</v>
      </c>
      <c r="C25" s="91" t="s">
        <v>88</v>
      </c>
      <c r="D25" s="433">
        <f>SUMIFS('PL1.1 ML2027-2028'!$G:$G,'PL1.1 ML2027-2028'!$J:$J,'TH theo dich vu'!$D$3,'PL1.1 ML2027-2028'!$K:$K,'TH theo dich vu'!C25)/$D$1</f>
        <v>0</v>
      </c>
      <c r="E25" s="433">
        <f>SUMIFS('PL1.1 ML2027-2028'!$G:$G,'PL1.1 ML2027-2028'!$J:$J,'TH theo dich vu'!$E$3,'PL1.1 ML2027-2028'!$K:$K,'TH theo dich vu'!C25)/$D$1</f>
        <v>0</v>
      </c>
      <c r="F25" s="433">
        <f>SUMIFS('PL1.1 ML2027-2028'!$G:$G,'PL1.1 ML2027-2028'!$J:$J,'TH theo dich vu'!$F$3,'PL1.1 ML2027-2028'!$K:$K,'TH theo dich vu'!C25)/$D$1</f>
        <v>0</v>
      </c>
      <c r="G25" s="433">
        <f>SUMIFS('PL1.1 ML2027-2028'!$G:$G,'PL1.1 ML2027-2028'!$J:$J,'TH theo dich vu'!$G$3,'PL1.1 ML2027-2028'!$K:$K,'TH theo dich vu'!C25)/$D$1</f>
        <v>0.25846200000000003</v>
      </c>
      <c r="H25" s="433">
        <f>SUMIFS('PL1.1 ML2027-2028'!$G:$G,'PL1.1 ML2027-2028'!$J:$J,"TD",'PL1.1 ML2027-2028'!$M:$M,"IP",'PL1.1 ML2027-2028'!$K:$K,'TH theo dich vu'!C25)/$D$1</f>
        <v>0</v>
      </c>
      <c r="I25" s="433">
        <f>SUMIFS('PL1.1 ML2027-2028'!$G:$G,'PL1.1 ML2027-2028'!$J:$J,"TD",'PL1.1 ML2027-2028'!$M:$M,"Mạng cáp",'PL1.1 ML2027-2028'!$K:$K,'TH theo dich vu'!C25)/$D$1</f>
        <v>0</v>
      </c>
      <c r="J25" s="433">
        <f>SUMIFS('PL1.1 ML2027-2028'!$G:$G,'PL1.1 ML2027-2028'!$J:$J,'TH theo dich vu'!$J$3,'PL1.1 ML2027-2028'!$K:$K,'TH theo dich vu'!C25)/$D$1</f>
        <v>0</v>
      </c>
      <c r="K25" s="433">
        <f>SUMIFS('PL1.1 ML2027-2028'!$G:$G,'PL1.1 ML2027-2028'!$J:$J,'TH theo dich vu'!K$3,'PL1.1 ML2027-2028'!$K:$K,'TH theo dich vu'!C25)/$D$1</f>
        <v>0</v>
      </c>
      <c r="L25" s="434">
        <f>SUM(D25:J25)</f>
        <v>0.25846200000000003</v>
      </c>
      <c r="M25" s="434">
        <f t="shared" si="67"/>
        <v>0.25846200000000003</v>
      </c>
      <c r="N25" s="138">
        <f t="shared" si="25"/>
        <v>2.3326043354332977E-3</v>
      </c>
      <c r="O25" s="433">
        <f>SUMIFS('PL1.1 ML2027-2028'!$H:$H,'PL1.1 ML2027-2028'!$J:$J,'TH theo dich vu'!O$3,'PL1.1 ML2027-2028'!$K:$K,'TH theo dich vu'!$C25)/$D$1</f>
        <v>0</v>
      </c>
      <c r="P25" s="433">
        <f>SUMIFS('PL1.1 ML2027-2028'!$H:$H,'PL1.1 ML2027-2028'!$J:$J,'TH theo dich vu'!P$3,'PL1.1 ML2027-2028'!$K:$K,'TH theo dich vu'!$C25)/$D$1</f>
        <v>0</v>
      </c>
      <c r="Q25" s="433">
        <f>SUMIFS('PL1.1 ML2027-2028'!$H:$H,'PL1.1 ML2027-2028'!$J:$J,'TH theo dich vu'!Q$3,'PL1.1 ML2027-2028'!$K:$K,'TH theo dich vu'!$C25)/$D$1</f>
        <v>0</v>
      </c>
      <c r="R25" s="433">
        <f>SUMIFS('PL1.1 ML2027-2028'!$H:$H,'PL1.1 ML2027-2028'!$J:$J,'TH theo dich vu'!R$3,'PL1.1 ML2027-2028'!$K:$K,'TH theo dich vu'!$C25)/$D$1</f>
        <v>3.8462000000000003E-2</v>
      </c>
      <c r="S25" s="433">
        <f>SUMIFS('PL1.1 ML2027-2028'!$H:$H,'PL1.1 ML2027-2028'!$J:$J,"TD",'PL1.1 ML2027-2028'!$M:$M,"IP",'PL1.1 ML2027-2028'!$K:$K,'TH theo dich vu'!C25)/$D$1</f>
        <v>0</v>
      </c>
      <c r="T25" s="433">
        <f>SUMIFS('PL1.1 ML2027-2028'!$H:$H,'PL1.1 ML2027-2028'!$J:$J,"TD",'PL1.1 ML2027-2028'!$M:$M,"Mạng cáp",'PL1.1 ML2027-2028'!$K:$K,'TH theo dich vu'!C25)/$D$1</f>
        <v>0</v>
      </c>
      <c r="U25" s="433">
        <f>SUMIFS('PL1.1 ML2027-2028'!$H:$H,'PL1.1 ML2027-2028'!$J:$J,'TH theo dich vu'!U$3,'PL1.1 ML2027-2028'!$K:$K,'TH theo dich vu'!$C25)/$D$1</f>
        <v>0</v>
      </c>
      <c r="V25" s="433">
        <f>SUMIFS('PL1.1 ML2027-2028'!$H:$H,'PL1.1 ML2027-2028'!$J:$J,'TH theo dich vu'!V$3,'PL1.1 ML2027-2028'!$K:$K,'TH theo dich vu'!$C25)/$D$1</f>
        <v>0</v>
      </c>
      <c r="W25" s="434">
        <f>SUM(O25:U25)</f>
        <v>3.8462000000000003E-2</v>
      </c>
      <c r="X25" s="434">
        <f t="shared" si="68"/>
        <v>3.8462000000000003E-2</v>
      </c>
      <c r="Y25" s="440"/>
      <c r="Z25" s="84">
        <f t="shared" si="69"/>
        <v>0</v>
      </c>
      <c r="AA25" s="84">
        <f t="shared" si="69"/>
        <v>0</v>
      </c>
      <c r="AB25" s="84">
        <f t="shared" si="69"/>
        <v>0</v>
      </c>
      <c r="AC25" s="84">
        <f t="shared" si="69"/>
        <v>0.29692400000000002</v>
      </c>
      <c r="AD25" s="84">
        <f t="shared" si="69"/>
        <v>0</v>
      </c>
      <c r="AE25" s="84">
        <f t="shared" si="69"/>
        <v>0</v>
      </c>
      <c r="AF25" s="84">
        <f t="shared" si="69"/>
        <v>0</v>
      </c>
      <c r="AG25" s="84">
        <f t="shared" si="69"/>
        <v>0</v>
      </c>
      <c r="AH25" s="83">
        <f>SUM(Z25:AG25)</f>
        <v>0.29692400000000002</v>
      </c>
      <c r="AI25" s="86">
        <f t="shared" si="22"/>
        <v>1.477427438471573E-3</v>
      </c>
      <c r="AJ25" s="169">
        <v>1</v>
      </c>
      <c r="AK25" s="169"/>
      <c r="AL25" s="164"/>
      <c r="AM25" s="164"/>
      <c r="AN25" s="164"/>
      <c r="AO25" s="164"/>
      <c r="AP25" s="167"/>
    </row>
    <row r="26" spans="1:45" s="37" customFormat="1" outlineLevel="1">
      <c r="A26" s="107">
        <v>5</v>
      </c>
      <c r="B26" s="111" t="s">
        <v>835</v>
      </c>
      <c r="C26" s="18"/>
      <c r="D26" s="436">
        <f t="shared" ref="D26:J26" si="71">SUBTOTAL(9,D27:D29)</f>
        <v>0</v>
      </c>
      <c r="E26" s="436">
        <f t="shared" si="71"/>
        <v>0</v>
      </c>
      <c r="F26" s="436">
        <f t="shared" si="71"/>
        <v>0</v>
      </c>
      <c r="G26" s="436">
        <f t="shared" si="71"/>
        <v>0</v>
      </c>
      <c r="H26" s="434">
        <f>SUBTOTAL(9,H27:H28)</f>
        <v>0</v>
      </c>
      <c r="I26" s="436">
        <f>SUBTOTAL(9,I27:I28)</f>
        <v>0</v>
      </c>
      <c r="J26" s="436">
        <f t="shared" si="71"/>
        <v>0</v>
      </c>
      <c r="K26" s="436">
        <f t="shared" ref="K26" si="72">SUBTOTAL(9,K27:K29)</f>
        <v>0</v>
      </c>
      <c r="L26" s="436">
        <f>SUBTOTAL(9,L27:L28)</f>
        <v>0</v>
      </c>
      <c r="M26" s="436">
        <f>SUBTOTAL(9,M27:M28)</f>
        <v>0</v>
      </c>
      <c r="N26" s="138">
        <f t="shared" ref="N26:N28" si="73">L26/$L$4</f>
        <v>0</v>
      </c>
      <c r="O26" s="431">
        <f>SUBTOTAL(9,O27:O29)</f>
        <v>0</v>
      </c>
      <c r="P26" s="431">
        <f t="shared" ref="P26:V26" si="74">SUBTOTAL(9,P27:P29)</f>
        <v>0</v>
      </c>
      <c r="Q26" s="431">
        <f t="shared" si="74"/>
        <v>0</v>
      </c>
      <c r="R26" s="431">
        <f t="shared" si="74"/>
        <v>0</v>
      </c>
      <c r="S26" s="436">
        <f>SUBTOTAL(9,S27:S28)</f>
        <v>0</v>
      </c>
      <c r="T26" s="436">
        <f>SUBTOTAL(9,T27:T28)</f>
        <v>0</v>
      </c>
      <c r="U26" s="431">
        <f t="shared" si="74"/>
        <v>0</v>
      </c>
      <c r="V26" s="436">
        <f t="shared" si="74"/>
        <v>0</v>
      </c>
      <c r="W26" s="436">
        <f>SUBTOTAL(9,W27:W28)</f>
        <v>0</v>
      </c>
      <c r="X26" s="436">
        <f>SUBTOTAL(9,X27:X28)</f>
        <v>0</v>
      </c>
      <c r="Y26" s="441">
        <f>W26/$W$4</f>
        <v>0</v>
      </c>
      <c r="Z26" s="112">
        <f t="shared" ref="Z26:AH26" si="75">SUBTOTAL(9,Z27:Z29)</f>
        <v>0</v>
      </c>
      <c r="AA26" s="112">
        <f t="shared" si="75"/>
        <v>0</v>
      </c>
      <c r="AB26" s="112">
        <f t="shared" si="75"/>
        <v>0</v>
      </c>
      <c r="AC26" s="112">
        <f t="shared" si="75"/>
        <v>0</v>
      </c>
      <c r="AD26" s="112">
        <f t="shared" si="75"/>
        <v>0</v>
      </c>
      <c r="AE26" s="112">
        <f t="shared" ref="AE26" si="76">SUBTOTAL(9,AE27:AE29)</f>
        <v>0</v>
      </c>
      <c r="AF26" s="112">
        <f t="shared" si="75"/>
        <v>0</v>
      </c>
      <c r="AG26" s="112">
        <f t="shared" ref="AG26" si="77">SUBTOTAL(9,AG27:AG29)</f>
        <v>0</v>
      </c>
      <c r="AH26" s="112">
        <f t="shared" si="75"/>
        <v>0</v>
      </c>
      <c r="AI26" s="138">
        <f t="shared" ref="AI26:AI28" si="78">AH26/$AH$4</f>
        <v>0</v>
      </c>
      <c r="AJ26" s="164"/>
      <c r="AK26" s="164"/>
      <c r="AL26" s="164"/>
      <c r="AM26" s="164"/>
      <c r="AN26" s="164"/>
      <c r="AO26" s="164"/>
      <c r="AP26" s="167"/>
      <c r="AQ26" s="52"/>
    </row>
    <row r="27" spans="1:45" outlineLevel="1">
      <c r="A27" s="46" t="s">
        <v>8</v>
      </c>
      <c r="B27" s="87" t="s">
        <v>833</v>
      </c>
      <c r="C27" s="91" t="s">
        <v>134</v>
      </c>
      <c r="D27" s="433">
        <f>SUMIFS('PL1.1 ML2027-2028'!$G:$G,'PL1.1 ML2027-2028'!$J:$J,'TH theo dich vu'!$D$3,'PL1.1 ML2027-2028'!$K:$K,'TH theo dich vu'!C27)/$D$1</f>
        <v>0</v>
      </c>
      <c r="E27" s="433">
        <f>SUMIFS('PL1.1 ML2027-2028'!$G:$G,'PL1.1 ML2027-2028'!$J:$J,'TH theo dich vu'!$E$3,'PL1.1 ML2027-2028'!$K:$K,'TH theo dich vu'!C27)/$D$1</f>
        <v>0</v>
      </c>
      <c r="F27" s="433">
        <f>SUMIFS('PL1.1 ML2027-2028'!$G:$G,'PL1.1 ML2027-2028'!$J:$J,'TH theo dich vu'!$F$3,'PL1.1 ML2027-2028'!$K:$K,'TH theo dich vu'!C27)/$D$1</f>
        <v>0</v>
      </c>
      <c r="G27" s="437">
        <f>SUMIFS('PL1.1 ML2027-2028'!$G:$G,'PL1.1 ML2027-2028'!$J:$J,'TH theo dich vu'!$G$3,'PL1.1 ML2027-2028'!$K:$K,'TH theo dich vu'!C27)/$D$1</f>
        <v>0</v>
      </c>
      <c r="H27" s="433"/>
      <c r="I27" s="433"/>
      <c r="J27" s="433">
        <f>SUMIFS('PL1.1 ML2027-2028'!$G:$G,'PL1.1 ML2027-2028'!$J:$J,'TH theo dich vu'!$J$3,'PL1.1 ML2027-2028'!$K:$K,'TH theo dich vu'!C27)/$D$1</f>
        <v>0</v>
      </c>
      <c r="K27" s="433">
        <f>SUMIFS('PL1.1 ML2027-2028'!$G:$G,'PL1.1 ML2027-2028'!$J:$J,'TH theo dich vu'!K$3,'PL1.1 ML2027-2028'!$K:$K,'TH theo dich vu'!C27)/$D$1</f>
        <v>0</v>
      </c>
      <c r="L27" s="434">
        <f>SUM(D27:K27)</f>
        <v>0</v>
      </c>
      <c r="M27" s="434">
        <f t="shared" ref="M27:M28" si="79">SUM(D27:K27)</f>
        <v>0</v>
      </c>
      <c r="N27" s="138">
        <f t="shared" si="73"/>
        <v>0</v>
      </c>
      <c r="O27" s="433">
        <f>SUMIFS('PL1.1 ML2027-2028'!$H:$H,'PL1.1 ML2027-2028'!$J:$J,'TH theo dich vu'!O$3,'PL1.1 ML2027-2028'!$K:$K,'TH theo dich vu'!$C27)/$D$1</f>
        <v>0</v>
      </c>
      <c r="P27" s="433">
        <f>SUMIFS('PL1.1 ML2027-2028'!$H:$H,'PL1.1 ML2027-2028'!$J:$J,'TH theo dich vu'!P$3,'PL1.1 ML2027-2028'!$K:$K,'TH theo dich vu'!$C27)/$D$1</f>
        <v>0</v>
      </c>
      <c r="Q27" s="433">
        <f>SUMIFS('PL1.1 ML2027-2028'!$H:$H,'PL1.1 ML2027-2028'!$J:$J,'TH theo dich vu'!Q$3,'PL1.1 ML2027-2028'!$K:$K,'TH theo dich vu'!$C27)/$D$1</f>
        <v>0</v>
      </c>
      <c r="R27" s="433">
        <f>SUMIFS('PL1.1 ML2027-2028'!$H:$H,'PL1.1 ML2027-2028'!$J:$J,'TH theo dich vu'!R$3,'PL1.1 ML2027-2028'!$K:$K,'TH theo dich vu'!$C27)/$D$1</f>
        <v>0</v>
      </c>
      <c r="S27" s="433"/>
      <c r="T27" s="433"/>
      <c r="U27" s="433">
        <f>SUMIFS('PL1.1 ML2027-2028'!$H:$H,'PL1.1 ML2027-2028'!$J:$J,'TH theo dich vu'!U$3,'PL1.1 ML2027-2028'!$K:$K,'TH theo dich vu'!$C27)/$D$1</f>
        <v>0</v>
      </c>
      <c r="V27" s="433">
        <f>SUMIFS('PL1.1 ML2027-2028'!$H:$H,'PL1.1 ML2027-2028'!$J:$J,'TH theo dich vu'!V$3,'PL1.1 ML2027-2028'!$K:$K,'TH theo dich vu'!$C27)/$D$1</f>
        <v>0</v>
      </c>
      <c r="W27" s="434">
        <f>SUM(O27:V27)</f>
        <v>0</v>
      </c>
      <c r="X27" s="434">
        <f t="shared" ref="X27:X28" si="80">SUM(O27:V27)</f>
        <v>0</v>
      </c>
      <c r="Y27" s="440"/>
      <c r="Z27" s="84">
        <f t="shared" ref="Z27:AG28" si="81">D27+O27</f>
        <v>0</v>
      </c>
      <c r="AA27" s="84">
        <f t="shared" si="81"/>
        <v>0</v>
      </c>
      <c r="AB27" s="84">
        <f t="shared" si="81"/>
        <v>0</v>
      </c>
      <c r="AC27" s="84">
        <f t="shared" si="81"/>
        <v>0</v>
      </c>
      <c r="AD27" s="84">
        <f t="shared" si="81"/>
        <v>0</v>
      </c>
      <c r="AE27" s="84">
        <f t="shared" si="81"/>
        <v>0</v>
      </c>
      <c r="AF27" s="84">
        <f t="shared" si="81"/>
        <v>0</v>
      </c>
      <c r="AG27" s="84">
        <f t="shared" si="81"/>
        <v>0</v>
      </c>
      <c r="AH27" s="83">
        <f>SUM(Z27:AG27)</f>
        <v>0</v>
      </c>
      <c r="AI27" s="86">
        <f t="shared" si="78"/>
        <v>0</v>
      </c>
      <c r="AJ27" s="164"/>
      <c r="AK27" s="164"/>
      <c r="AL27" s="164"/>
      <c r="AM27" s="164"/>
      <c r="AN27" s="164"/>
      <c r="AO27" s="169"/>
      <c r="AP27" s="169">
        <v>1</v>
      </c>
    </row>
    <row r="28" spans="1:45" outlineLevel="1">
      <c r="A28" s="46" t="s">
        <v>8</v>
      </c>
      <c r="B28" s="87" t="s">
        <v>834</v>
      </c>
      <c r="C28" s="91" t="s">
        <v>135</v>
      </c>
      <c r="D28" s="433">
        <f>SUMIFS('PL1.1 ML2027-2028'!$G:$G,'PL1.1 ML2027-2028'!$J:$J,'TH theo dich vu'!$D$3,'PL1.1 ML2027-2028'!$K:$K,'TH theo dich vu'!C28)/$D$1</f>
        <v>0</v>
      </c>
      <c r="E28" s="433">
        <f>SUMIFS('PL1.1 ML2027-2028'!$G:$G,'PL1.1 ML2027-2028'!$J:$J,'TH theo dich vu'!$E$3,'PL1.1 ML2027-2028'!$K:$K,'TH theo dich vu'!C28)/$D$1</f>
        <v>0</v>
      </c>
      <c r="F28" s="433">
        <f>SUMIFS('PL1.1 ML2027-2028'!$G:$G,'PL1.1 ML2027-2028'!$J:$J,'TH theo dich vu'!$F$3,'PL1.1 ML2027-2028'!$K:$K,'TH theo dich vu'!C28)/$D$1</f>
        <v>0</v>
      </c>
      <c r="G28" s="437">
        <f>SUMIFS('PL1.1 ML2027-2028'!$G:$G,'PL1.1 ML2027-2028'!$J:$J,'TH theo dich vu'!$G$3,'PL1.1 ML2027-2028'!$K:$K,'TH theo dich vu'!C28)/$D$1</f>
        <v>0</v>
      </c>
      <c r="H28" s="433"/>
      <c r="I28" s="433">
        <f>SUMIFS('PL1.1 ML2027-2028'!$G:$G,'PL1.1 ML2027-2028'!$J:$J,"TD",'PL1.1 ML2027-2028'!$M:$M,"Mạng cáp",'PL1.1 ML2027-2028'!$K:$K,'TH theo dich vu'!C28)/$D$1</f>
        <v>0</v>
      </c>
      <c r="J28" s="433">
        <f>SUMIFS('PL1.1 ML2027-2028'!$G:$G,'PL1.1 ML2027-2028'!$J:$J,'TH theo dich vu'!$J$3,'PL1.1 ML2027-2028'!$K:$K,'TH theo dich vu'!C28)/$D$1</f>
        <v>0</v>
      </c>
      <c r="K28" s="433">
        <f>SUMIFS('PL1.1 ML2027-2028'!$G:$G,'PL1.1 ML2027-2028'!$J:$J,'TH theo dich vu'!K$3,'PL1.1 ML2027-2028'!$K:$K,'TH theo dich vu'!C28)/$D$1</f>
        <v>0</v>
      </c>
      <c r="L28" s="434">
        <f>SUM(D28:K28)</f>
        <v>0</v>
      </c>
      <c r="M28" s="434">
        <f t="shared" si="79"/>
        <v>0</v>
      </c>
      <c r="N28" s="138">
        <f t="shared" si="73"/>
        <v>0</v>
      </c>
      <c r="O28" s="433">
        <f>SUMIFS('PL1.1 ML2027-2028'!$H:$H,'PL1.1 ML2027-2028'!$J:$J,'TH theo dich vu'!O$3,'PL1.1 ML2027-2028'!$K:$K,'TH theo dich vu'!$C28)/$D$1</f>
        <v>0</v>
      </c>
      <c r="P28" s="433">
        <f>SUMIFS('PL1.1 ML2027-2028'!$H:$H,'PL1.1 ML2027-2028'!$J:$J,'TH theo dich vu'!P$3,'PL1.1 ML2027-2028'!$K:$K,'TH theo dich vu'!$C28)/$D$1</f>
        <v>0</v>
      </c>
      <c r="Q28" s="433">
        <f>SUMIFS('PL1.1 ML2027-2028'!$H:$H,'PL1.1 ML2027-2028'!$J:$J,'TH theo dich vu'!Q$3,'PL1.1 ML2027-2028'!$K:$K,'TH theo dich vu'!$C28)/$D$1</f>
        <v>0</v>
      </c>
      <c r="R28" s="433">
        <f>SUMIFS('PL1.1 ML2027-2028'!$H:$H,'PL1.1 ML2027-2028'!$J:$J,'TH theo dich vu'!R$3,'PL1.1 ML2027-2028'!$K:$K,'TH theo dich vu'!$C28)/$D$1</f>
        <v>0</v>
      </c>
      <c r="S28" s="433"/>
      <c r="T28" s="433">
        <f>SUMIFS('PL1.1 ML2027-2028'!$H:$H,'PL1.1 ML2027-2028'!$J:$J,"TD",'PL1.1 ML2027-2028'!$M:$M,"Mạng cáp",'PL1.1 ML2027-2028'!$K:$K,'TH theo dich vu'!C28)/$D$1</f>
        <v>0</v>
      </c>
      <c r="U28" s="433">
        <f>SUMIFS('PL1.1 ML2027-2028'!$H:$H,'PL1.1 ML2027-2028'!$J:$J,'TH theo dich vu'!U$3,'PL1.1 ML2027-2028'!$K:$K,'TH theo dich vu'!$C28)/$D$1</f>
        <v>0</v>
      </c>
      <c r="V28" s="433">
        <f>SUMIFS('PL1.1 ML2027-2028'!$H:$H,'PL1.1 ML2027-2028'!$J:$J,'TH theo dich vu'!V$3,'PL1.1 ML2027-2028'!$K:$K,'TH theo dich vu'!$C28)/$D$1</f>
        <v>0</v>
      </c>
      <c r="W28" s="434">
        <f>SUM(O28:V28)</f>
        <v>0</v>
      </c>
      <c r="X28" s="434">
        <f t="shared" si="80"/>
        <v>0</v>
      </c>
      <c r="Y28" s="440"/>
      <c r="Z28" s="84">
        <f t="shared" si="81"/>
        <v>0</v>
      </c>
      <c r="AA28" s="84">
        <f t="shared" si="81"/>
        <v>0</v>
      </c>
      <c r="AB28" s="84">
        <f t="shared" si="81"/>
        <v>0</v>
      </c>
      <c r="AC28" s="84">
        <f t="shared" si="81"/>
        <v>0</v>
      </c>
      <c r="AD28" s="84">
        <f t="shared" si="81"/>
        <v>0</v>
      </c>
      <c r="AE28" s="84">
        <f t="shared" si="81"/>
        <v>0</v>
      </c>
      <c r="AF28" s="84">
        <f t="shared" si="81"/>
        <v>0</v>
      </c>
      <c r="AG28" s="84">
        <f t="shared" si="81"/>
        <v>0</v>
      </c>
      <c r="AH28" s="83">
        <f>SUM(Z28:AG28)</f>
        <v>0</v>
      </c>
      <c r="AI28" s="86">
        <f t="shared" si="78"/>
        <v>0</v>
      </c>
      <c r="AJ28" s="169">
        <v>1</v>
      </c>
      <c r="AK28" s="169"/>
      <c r="AL28" s="164"/>
      <c r="AM28" s="164"/>
      <c r="AN28" s="164"/>
      <c r="AO28" s="164"/>
      <c r="AP28" s="167"/>
    </row>
    <row r="29" spans="1:45" ht="26" outlineLevel="1">
      <c r="A29" s="76" t="s">
        <v>19</v>
      </c>
      <c r="B29" s="139" t="s">
        <v>208</v>
      </c>
      <c r="C29" s="115"/>
      <c r="D29" s="432">
        <f t="shared" ref="D29:F29" si="82">SUBTOTAL(9,D30:D33)</f>
        <v>1.7462960000000001</v>
      </c>
      <c r="E29" s="432">
        <f t="shared" si="82"/>
        <v>5.9676600000000004</v>
      </c>
      <c r="F29" s="432">
        <f t="shared" si="82"/>
        <v>0.16308046000000001</v>
      </c>
      <c r="G29" s="432">
        <f>SUBTOTAL(9,G30:G33)</f>
        <v>1.88734</v>
      </c>
      <c r="H29" s="432">
        <f t="shared" ref="H29:L29" si="83">SUBTOTAL(9,H30:H33)</f>
        <v>2.534846672</v>
      </c>
      <c r="I29" s="432">
        <f t="shared" ref="I29" si="84">SUBTOTAL(9,I30:I33)</f>
        <v>5.2526215000000001</v>
      </c>
      <c r="J29" s="432">
        <f t="shared" si="83"/>
        <v>2.761750782</v>
      </c>
      <c r="K29" s="432">
        <f t="shared" ref="K29" si="85">SUBTOTAL(9,K30:K33)</f>
        <v>0</v>
      </c>
      <c r="L29" s="432">
        <f t="shared" si="83"/>
        <v>20.313595413999998</v>
      </c>
      <c r="M29" s="432">
        <f t="shared" ref="M29" si="86">SUBTOTAL(9,M30:M33)</f>
        <v>20.313595413999998</v>
      </c>
      <c r="N29" s="142">
        <f t="shared" ref="N29:N34" si="87">L29/$L$4</f>
        <v>0.18332900283575282</v>
      </c>
      <c r="O29" s="432">
        <f t="shared" ref="O29" si="88">SUBTOTAL(9,O30:O33)</f>
        <v>2.9958169999999997</v>
      </c>
      <c r="P29" s="432">
        <f t="shared" ref="P29" si="89">SUBTOTAL(9,P31:P33)</f>
        <v>0</v>
      </c>
      <c r="Q29" s="432">
        <f t="shared" ref="Q29:W29" si="90">SUBTOTAL(9,Q30:Q33)</f>
        <v>0.13159852</v>
      </c>
      <c r="R29" s="432">
        <f t="shared" si="90"/>
        <v>3.7040199999999999</v>
      </c>
      <c r="S29" s="432">
        <f t="shared" si="90"/>
        <v>5.7382353482000008</v>
      </c>
      <c r="T29" s="432">
        <f t="shared" si="90"/>
        <v>5.6871214999999999</v>
      </c>
      <c r="U29" s="432">
        <f t="shared" si="90"/>
        <v>10.230641500000001</v>
      </c>
      <c r="V29" s="432">
        <f t="shared" si="90"/>
        <v>0</v>
      </c>
      <c r="W29" s="432">
        <f t="shared" si="90"/>
        <v>28.4874338682</v>
      </c>
      <c r="X29" s="432">
        <f t="shared" ref="X29" si="91">SUBTOTAL(9,X30:X33)</f>
        <v>28.4874338682</v>
      </c>
      <c r="Y29" s="142">
        <f t="shared" ref="Y29:Y34" si="92">W29/$W$4</f>
        <v>0.31593164036832355</v>
      </c>
      <c r="Z29" s="85">
        <f t="shared" ref="Z29:AH29" si="93">SUBTOTAL(9,Z31:Z33)</f>
        <v>1.3639999999999999</v>
      </c>
      <c r="AA29" s="85">
        <f t="shared" si="93"/>
        <v>5.9676600000000004</v>
      </c>
      <c r="AB29" s="85">
        <f t="shared" si="93"/>
        <v>0.1363</v>
      </c>
      <c r="AC29" s="85">
        <f t="shared" si="93"/>
        <v>4.7913600000000001</v>
      </c>
      <c r="AD29" s="85">
        <f t="shared" si="93"/>
        <v>5.5661136620000002</v>
      </c>
      <c r="AE29" s="85">
        <f t="shared" ref="AE29" si="94">SUBTOTAL(9,AE31:AE33)</f>
        <v>8.1717049999999993</v>
      </c>
      <c r="AF29" s="85">
        <f t="shared" si="93"/>
        <v>11.333373</v>
      </c>
      <c r="AG29" s="85">
        <f t="shared" ref="AG29" si="95">SUBTOTAL(9,AG31:AG33)</f>
        <v>0</v>
      </c>
      <c r="AH29" s="85">
        <f t="shared" si="93"/>
        <v>37.330511662000006</v>
      </c>
      <c r="AI29" s="142">
        <f t="shared" si="22"/>
        <v>0.18574827976728675</v>
      </c>
      <c r="AJ29" s="169"/>
      <c r="AK29" s="169"/>
      <c r="AL29" s="164"/>
      <c r="AM29" s="164"/>
      <c r="AN29" s="164"/>
      <c r="AO29" s="164"/>
      <c r="AP29" s="164"/>
    </row>
    <row r="30" spans="1:45" s="37" customFormat="1" outlineLevel="1">
      <c r="A30" s="18">
        <v>1</v>
      </c>
      <c r="B30" s="63" t="s">
        <v>324</v>
      </c>
      <c r="C30" s="18" t="s">
        <v>325</v>
      </c>
      <c r="D30" s="437">
        <f>SUMIFS('PL1.1 ML2027-2028'!$G:$G,'PL1.1 ML2027-2028'!$J:$J,'TH theo dich vu'!$D$3,'PL1.1 ML2027-2028'!$K:$K,'TH theo dich vu'!C30)/$D$1</f>
        <v>1.2462960000000001</v>
      </c>
      <c r="E30" s="437">
        <f>SUMIFS('PL1.1 ML2027-2028'!$G:$G,'PL1.1 ML2027-2028'!$J:$J,'TH theo dich vu'!$E$3,'PL1.1 ML2027-2028'!$K:$K,'TH theo dich vu'!C30)/$D$1</f>
        <v>0</v>
      </c>
      <c r="F30" s="437">
        <f>SUMIFS('PL1.1 ML2027-2028'!$G:$G,'PL1.1 ML2027-2028'!$J:$J,'TH theo dich vu'!$F$3,'PL1.1 ML2027-2028'!$K:$K,'TH theo dich vu'!C30)/$D$1</f>
        <v>7.6359660000000024E-2</v>
      </c>
      <c r="G30" s="433">
        <f>SUMIFS('PL1.1 ML2027-2028'!$G:$G,'PL1.1 ML2027-2028'!$J:$J,'TH theo dich vu'!$G$3,'PL1.1 ML2027-2028'!$K:$K,'TH theo dich vu'!C30)/$D$1</f>
        <v>0.4</v>
      </c>
      <c r="H30" s="230">
        <f>SUMIFS('PL1.1 ML2027-2028'!$G:$G,'PL1.1 ML2027-2028'!$J:$J,"TD",'PL1.1 ML2027-2028'!$M:$M,"IP",'PL1.1 ML2027-2028'!$K:$K,'TH theo dich vu'!C30)/$D$1</f>
        <v>0.96768762200000014</v>
      </c>
      <c r="I30" s="433">
        <f>SUMIFS('PL1.1 ML2027-2028'!$G:$G,'PL1.1 ML2027-2028'!$J:$J,"TD",'PL1.1 ML2027-2028'!$M:$M,"Mạng cáp",'PL1.1 ML2027-2028'!$K:$K,'TH theo dich vu'!C30)/$D$1</f>
        <v>1.3107690000000001</v>
      </c>
      <c r="J30" s="437">
        <f>SUMIFS('PL1.1 ML2027-2028'!$G:$G,'PL1.1 ML2027-2028'!$J:$J,'TH theo dich vu'!$J$3,'PL1.1 ML2027-2028'!$K:$K,'TH theo dich vu'!C30)/$D$1</f>
        <v>0.65728478199999996</v>
      </c>
      <c r="K30" s="433">
        <f>SUMIFS('PL1.1 ML2027-2028'!$G:$G,'PL1.1 ML2027-2028'!$J:$J,'TH theo dich vu'!K$3,'PL1.1 ML2027-2028'!$K:$K,'TH theo dich vu'!C30)/$D$1</f>
        <v>0</v>
      </c>
      <c r="L30" s="434">
        <f t="shared" ref="L30:L33" si="96">SUM(D30:K30)</f>
        <v>4.6583970639999999</v>
      </c>
      <c r="M30" s="434">
        <f t="shared" ref="M30:M33" si="97">SUM(D30:K30)</f>
        <v>4.6583970639999999</v>
      </c>
      <c r="N30" s="138">
        <f t="shared" si="87"/>
        <v>4.204175928243279E-2</v>
      </c>
      <c r="O30" s="437">
        <f>SUMIFS('PL1.1 ML2027-2028'!$H:$H,'PL1.1 ML2027-2028'!$J:$J,'TH theo dich vu'!O$3,'PL1.1 ML2027-2028'!$K:$K,'TH theo dich vu'!$C30)/$D$1</f>
        <v>2.1318169999999999</v>
      </c>
      <c r="P30" s="437">
        <f>SUMIFS('PL1.1 ML2027-2028'!$H:$H,'PL1.1 ML2027-2028'!$J:$J,'TH theo dich vu'!P$3,'PL1.1 ML2027-2028'!$K:$K,'TH theo dich vu'!$C30)/$D$1</f>
        <v>0</v>
      </c>
      <c r="Q30" s="437">
        <f>SUMIFS('PL1.1 ML2027-2028'!$H:$H,'PL1.1 ML2027-2028'!$J:$J,'TH theo dich vu'!Q$3,'PL1.1 ML2027-2028'!$K:$K,'TH theo dich vu'!$C30)/$D$1</f>
        <v>8.2019320000000007E-2</v>
      </c>
      <c r="R30" s="437">
        <f>SUMIFS('PL1.1 ML2027-2028'!$H:$H,'PL1.1 ML2027-2028'!$J:$J,'TH theo dich vu'!R$3,'PL1.1 ML2027-2028'!$K:$K,'TH theo dich vu'!$C30)/$D$1</f>
        <v>0.4</v>
      </c>
      <c r="S30" s="433">
        <f>SUMIFS('PL1.1 ML2027-2028'!$H:$H,'PL1.1 ML2027-2028'!$J:$J,"TD",'PL1.1 ML2027-2028'!$M:$M,"IP",'PL1.1 ML2027-2028'!$K:$K,'TH theo dich vu'!C30)/$D$1</f>
        <v>1.7392807361999998</v>
      </c>
      <c r="T30" s="433">
        <f>SUMIFS('PL1.1 ML2027-2028'!$H:$H,'PL1.1 ML2027-2028'!$J:$J,"TD",'PL1.1 ML2027-2028'!$M:$M,"Mạng cáp",'PL1.1 ML2027-2028'!$K:$K,'TH theo dich vu'!C30)/$D$1</f>
        <v>1.4572689999999999</v>
      </c>
      <c r="U30" s="437">
        <f>SUMIFS('PL1.1 ML2027-2028'!$H:$H,'PL1.1 ML2027-2028'!$J:$J,'TH theo dich vu'!U$3,'PL1.1 ML2027-2028'!$K:$K,'TH theo dich vu'!$C30)/$D$1</f>
        <v>1.0017345</v>
      </c>
      <c r="V30" s="433">
        <f>SUMIFS('PL1.1 ML2027-2028'!$H:$H,'PL1.1 ML2027-2028'!$J:$J,'TH theo dich vu'!V$3,'PL1.1 ML2027-2028'!$K:$K,'TH theo dich vu'!$C30)/$D$1</f>
        <v>0</v>
      </c>
      <c r="W30" s="434">
        <f t="shared" ref="W30:W33" si="98">SUM(O30:V30)</f>
        <v>6.8121205562</v>
      </c>
      <c r="X30" s="434">
        <f t="shared" ref="X30:X33" si="99">SUM(O30:V30)</f>
        <v>6.8121205562</v>
      </c>
      <c r="Y30" s="441">
        <f t="shared" si="92"/>
        <v>7.5547851437382865E-2</v>
      </c>
      <c r="Z30" s="113">
        <f t="shared" ref="Z30:AG33" si="100">D30+O30</f>
        <v>3.3781129999999999</v>
      </c>
      <c r="AA30" s="113">
        <f t="shared" si="100"/>
        <v>0</v>
      </c>
      <c r="AB30" s="113">
        <f t="shared" si="100"/>
        <v>0.15837898000000003</v>
      </c>
      <c r="AC30" s="113">
        <f t="shared" si="100"/>
        <v>0.8</v>
      </c>
      <c r="AD30" s="84">
        <f t="shared" si="100"/>
        <v>2.7069683582000001</v>
      </c>
      <c r="AE30" s="84">
        <f t="shared" si="100"/>
        <v>2.7680379999999998</v>
      </c>
      <c r="AF30" s="113">
        <f t="shared" si="100"/>
        <v>1.659019282</v>
      </c>
      <c r="AG30" s="113">
        <f t="shared" si="100"/>
        <v>0</v>
      </c>
      <c r="AH30" s="83">
        <f t="shared" ref="AH30:AH33" si="101">SUM(Z30:AG30)</f>
        <v>11.470517620199999</v>
      </c>
      <c r="AI30" s="138">
        <f t="shared" si="22"/>
        <v>5.7074731128353137E-2</v>
      </c>
      <c r="AJ30" s="169">
        <v>1</v>
      </c>
      <c r="AK30" s="169"/>
      <c r="AL30" s="169">
        <v>0.8</v>
      </c>
      <c r="AM30" s="169">
        <v>0.2</v>
      </c>
      <c r="AN30" s="169"/>
      <c r="AO30" s="169"/>
      <c r="AP30" s="169">
        <v>1</v>
      </c>
      <c r="AQ30" s="52"/>
    </row>
    <row r="31" spans="1:45" ht="26" outlineLevel="1">
      <c r="A31" s="46">
        <v>2</v>
      </c>
      <c r="B31" s="114" t="s">
        <v>323</v>
      </c>
      <c r="C31" s="91" t="s">
        <v>128</v>
      </c>
      <c r="D31" s="437">
        <f>SUMIFS('PL1.1 ML2027-2028'!$G:$G,'PL1.1 ML2027-2028'!$J:$J,'TH theo dich vu'!$D$3,'PL1.1 ML2027-2028'!$K:$K,'TH theo dich vu'!C31)/$D$1</f>
        <v>0.5</v>
      </c>
      <c r="E31" s="437">
        <f>SUMIFS('PL1.1 ML2027-2028'!$G:$G,'PL1.1 ML2027-2028'!$J:$J,'TH theo dich vu'!$E$3,'PL1.1 ML2027-2028'!$K:$K,'TH theo dich vu'!C31)/$D$1</f>
        <v>5.9676600000000004</v>
      </c>
      <c r="F31" s="437">
        <f>SUMIFS('PL1.1 ML2027-2028'!$G:$G,'PL1.1 ML2027-2028'!$J:$J,'TH theo dich vu'!$F$3,'PL1.1 ML2027-2028'!$K:$K,'TH theo dich vu'!C31)/$D$1</f>
        <v>4.24E-2</v>
      </c>
      <c r="G31" s="433">
        <f>SUMIFS('PL1.1 ML2027-2028'!$G:$G,'PL1.1 ML2027-2028'!$J:$J,'TH theo dich vu'!$G$3,'PL1.1 ML2027-2028'!$K:$K,'TH theo dich vu'!C31)/$D$1</f>
        <v>1.4873400000000001</v>
      </c>
      <c r="H31" s="433">
        <f>SUMIFS('PL1.1 ML2027-2028'!$G:$G,'PL1.1 ML2027-2028'!$J:$J,"TD",'PL1.1 ML2027-2028'!$M:$M,"IP",'PL1.1 ML2027-2028'!$K:$K,'TH theo dich vu'!C31)/$D$1</f>
        <v>0.48006169999999998</v>
      </c>
      <c r="I31" s="433">
        <f>SUMIFS('PL1.1 ML2027-2028'!$G:$G,'PL1.1 ML2027-2028'!$J:$J,"TD",'PL1.1 ML2027-2028'!$M:$M,"Mạng cáp",'PL1.1 ML2027-2028'!$K:$K,'TH theo dich vu'!C31)/$D$1</f>
        <v>0</v>
      </c>
      <c r="J31" s="437">
        <f>SUMIFS('PL1.1 ML2027-2028'!$G:$G,'PL1.1 ML2027-2028'!$J:$J,'TH theo dich vu'!$J$3,'PL1.1 ML2027-2028'!$K:$K,'TH theo dich vu'!C31)/$D$1</f>
        <v>0.46348200000000001</v>
      </c>
      <c r="K31" s="433">
        <f>SUMIFS('PL1.1 ML2027-2028'!$G:$G,'PL1.1 ML2027-2028'!$J:$J,'TH theo dich vu'!K$3,'PL1.1 ML2027-2028'!$K:$K,'TH theo dich vu'!C31)/$D$1</f>
        <v>0</v>
      </c>
      <c r="L31" s="434">
        <f t="shared" si="96"/>
        <v>8.9409437000000018</v>
      </c>
      <c r="M31" s="434">
        <f t="shared" si="97"/>
        <v>8.9409437000000018</v>
      </c>
      <c r="N31" s="86">
        <f t="shared" si="87"/>
        <v>8.069149057689344E-2</v>
      </c>
      <c r="O31" s="433">
        <f>SUMIFS('PL1.1 ML2027-2028'!$H:$H,'PL1.1 ML2027-2028'!$J:$J,'TH theo dich vu'!O$3,'PL1.1 ML2027-2028'!$K:$K,'TH theo dich vu'!$C31)/$D$1</f>
        <v>0.86399999999999999</v>
      </c>
      <c r="P31" s="433">
        <f>SUMIFS('PL1.1 ML2027-2028'!$H:$H,'PL1.1 ML2027-2028'!$J:$J,'TH theo dich vu'!P$3,'PL1.1 ML2027-2028'!$K:$K,'TH theo dich vu'!$C31)/$D$1</f>
        <v>0</v>
      </c>
      <c r="Q31" s="433">
        <f>SUMIFS('PL1.1 ML2027-2028'!$H:$H,'PL1.1 ML2027-2028'!$J:$J,'TH theo dich vu'!Q$3,'PL1.1 ML2027-2028'!$K:$K,'TH theo dich vu'!$C31)/$D$1</f>
        <v>0</v>
      </c>
      <c r="R31" s="433">
        <f>SUMIFS('PL1.1 ML2027-2028'!$H:$H,'PL1.1 ML2027-2028'!$J:$J,'TH theo dich vu'!R$3,'PL1.1 ML2027-2028'!$K:$K,'TH theo dich vu'!$C31)/$D$1</f>
        <v>3.30402</v>
      </c>
      <c r="S31" s="433">
        <f>SUMIFS('PL1.1 ML2027-2028'!$H:$H,'PL1.1 ML2027-2028'!$J:$J,"TD",'PL1.1 ML2027-2028'!$M:$M,"IP",'PL1.1 ML2027-2028'!$K:$K,'TH theo dich vu'!C31)/$D$1</f>
        <v>3.9989546120000008</v>
      </c>
      <c r="T31" s="433">
        <f>SUMIFS('PL1.1 ML2027-2028'!$H:$H,'PL1.1 ML2027-2028'!$J:$J,"TD",'PL1.1 ML2027-2028'!$M:$M,"Mạng cáp",'PL1.1 ML2027-2028'!$K:$K,'TH theo dich vu'!C31)/$D$1</f>
        <v>0</v>
      </c>
      <c r="U31" s="433">
        <f>SUMIFS('PL1.1 ML2027-2028'!$H:$H,'PL1.1 ML2027-2028'!$J:$J,'TH theo dich vu'!U$3,'PL1.1 ML2027-2028'!$K:$K,'TH theo dich vu'!$C31)/$D$1</f>
        <v>1.0095000000000001</v>
      </c>
      <c r="V31" s="433">
        <f>SUMIFS('PL1.1 ML2027-2028'!$H:$H,'PL1.1 ML2027-2028'!$J:$J,'TH theo dich vu'!V$3,'PL1.1 ML2027-2028'!$K:$K,'TH theo dich vu'!$C31)/$D$1</f>
        <v>0</v>
      </c>
      <c r="W31" s="434">
        <f t="shared" si="98"/>
        <v>9.1764746119999998</v>
      </c>
      <c r="X31" s="434">
        <f t="shared" si="99"/>
        <v>9.1764746119999998</v>
      </c>
      <c r="Y31" s="443">
        <f t="shared" si="92"/>
        <v>0.10176903579243375</v>
      </c>
      <c r="Z31" s="84">
        <f t="shared" si="100"/>
        <v>1.3639999999999999</v>
      </c>
      <c r="AA31" s="84">
        <f t="shared" si="100"/>
        <v>5.9676600000000004</v>
      </c>
      <c r="AB31" s="84">
        <f t="shared" si="100"/>
        <v>4.24E-2</v>
      </c>
      <c r="AC31" s="84">
        <f t="shared" si="100"/>
        <v>4.7913600000000001</v>
      </c>
      <c r="AD31" s="84">
        <f t="shared" si="100"/>
        <v>4.4790163120000006</v>
      </c>
      <c r="AE31" s="84">
        <f t="shared" si="100"/>
        <v>0</v>
      </c>
      <c r="AF31" s="84">
        <f t="shared" si="100"/>
        <v>1.472982</v>
      </c>
      <c r="AG31" s="84">
        <f t="shared" si="100"/>
        <v>0</v>
      </c>
      <c r="AH31" s="83">
        <f t="shared" si="101"/>
        <v>18.117418312000005</v>
      </c>
      <c r="AI31" s="86">
        <f t="shared" si="22"/>
        <v>9.0148222873247474E-2</v>
      </c>
      <c r="AJ31" s="169">
        <v>1</v>
      </c>
      <c r="AK31" s="169"/>
      <c r="AL31" s="169">
        <v>0.8</v>
      </c>
      <c r="AM31" s="169">
        <v>0.2</v>
      </c>
      <c r="AN31" s="169"/>
      <c r="AO31" s="169"/>
      <c r="AP31" s="169">
        <v>1</v>
      </c>
      <c r="AQ31" s="150"/>
      <c r="AR31" s="122"/>
      <c r="AS31" s="48"/>
    </row>
    <row r="32" spans="1:45" ht="17.649999999999999" customHeight="1" outlineLevel="1">
      <c r="A32" s="18">
        <v>3</v>
      </c>
      <c r="B32" s="93" t="s">
        <v>326</v>
      </c>
      <c r="C32" s="46" t="s">
        <v>211</v>
      </c>
      <c r="D32" s="437">
        <f>SUMIFS('PL1.1 ML2027-2028'!$G:$G,'PL1.1 ML2027-2028'!$J:$J,'TH theo dich vu'!$D$3,'PL1.1 ML2027-2028'!$K:$K,'TH theo dich vu'!C32)/$D$1</f>
        <v>0</v>
      </c>
      <c r="E32" s="437">
        <f>SUMIFS('PL1.1 ML2027-2028'!$G:$G,'PL1.1 ML2027-2028'!$J:$J,'TH theo dich vu'!$E$3,'PL1.1 ML2027-2028'!$K:$K,'TH theo dich vu'!C32)/$D$1</f>
        <v>0</v>
      </c>
      <c r="F32" s="174">
        <f>SUMIFS('PL1.1 ML2027-2028'!$G:$G,'PL1.1 ML2027-2028'!$J:$J,'TH theo dich vu'!$F$3,'PL1.1 ML2027-2028'!$K:$K,'TH theo dich vu'!C32)/$D$1</f>
        <v>4.43208E-2</v>
      </c>
      <c r="G32" s="433">
        <f>SUMIFS('PL1.1 ML2027-2028'!$G:$G,'PL1.1 ML2027-2028'!$J:$J,'TH theo dich vu'!$G$3,'PL1.1 ML2027-2028'!$K:$K,'TH theo dich vu'!C32)/$D$1</f>
        <v>0</v>
      </c>
      <c r="H32" s="720">
        <f>SUMIFS('PL1.1 ML2027-2028'!$G:$G,'PL1.1 ML2027-2028'!$J:$J,"TD",'PL1.1 ML2027-2028'!$M:$M,"IP",'PL1.1 ML2027-2028'!$K:$K,'TH theo dich vu'!C32)/$D$1</f>
        <v>1.0870973499999999</v>
      </c>
      <c r="I32" s="433">
        <f>SUMIFS('PL1.1 ML2027-2028'!$G:$G,'PL1.1 ML2027-2028'!$J:$J,"TD",'PL1.1 ML2027-2028'!$M:$M,"Mạng cáp",'PL1.1 ML2027-2028'!$K:$K,'TH theo dich vu'!C32)/$D$1</f>
        <v>3.9418525</v>
      </c>
      <c r="J32" s="437">
        <f>SUMIFS('PL1.1 ML2027-2028'!$G:$G,'PL1.1 ML2027-2028'!$J:$J,'TH theo dich vu'!$J$3,'PL1.1 ML2027-2028'!$K:$K,'TH theo dich vu'!C32)/$D$1</f>
        <v>1.640984</v>
      </c>
      <c r="K32" s="433">
        <f>SUMIFS('PL1.1 ML2027-2028'!$G:$G,'PL1.1 ML2027-2028'!$J:$J,'TH theo dich vu'!K$3,'PL1.1 ML2027-2028'!$K:$K,'TH theo dich vu'!C32)/$D$1</f>
        <v>0</v>
      </c>
      <c r="L32" s="434">
        <f t="shared" si="96"/>
        <v>6.7142546499999991</v>
      </c>
      <c r="M32" s="434">
        <f t="shared" si="97"/>
        <v>6.7142546499999991</v>
      </c>
      <c r="N32" s="86">
        <f t="shared" si="87"/>
        <v>6.0595752976426609E-2</v>
      </c>
      <c r="O32" s="433">
        <f>SUMIFS('PL1.1 ML2027-2028'!$H:$H,'PL1.1 ML2027-2028'!$J:$J,'TH theo dich vu'!O$3,'PL1.1 ML2027-2028'!$K:$K,'TH theo dich vu'!$C32)/$D$1</f>
        <v>0</v>
      </c>
      <c r="P32" s="433">
        <f>SUMIFS('PL1.1 ML2027-2028'!$H:$H,'PL1.1 ML2027-2028'!$J:$J,'TH theo dich vu'!P$3,'PL1.1 ML2027-2028'!$K:$K,'TH theo dich vu'!$C32)/$D$1</f>
        <v>0</v>
      </c>
      <c r="Q32" s="230">
        <f>SUMIFS('PL1.1 ML2027-2028'!$H:$H,'PL1.1 ML2027-2028'!$J:$J,'TH theo dich vu'!Q$3,'PL1.1 ML2027-2028'!$K:$K,'TH theo dich vu'!$C32)/$D$1</f>
        <v>4.9579199999999997E-2</v>
      </c>
      <c r="R32" s="433">
        <f>SUMIFS('PL1.1 ML2027-2028'!$H:$H,'PL1.1 ML2027-2028'!$J:$J,'TH theo dich vu'!R$3,'PL1.1 ML2027-2028'!$K:$K,'TH theo dich vu'!$C32)/$D$1</f>
        <v>0</v>
      </c>
      <c r="S32" s="433">
        <f>SUMIFS('PL1.1 ML2027-2028'!$H:$H,'PL1.1 ML2027-2028'!$J:$J,"TD",'PL1.1 ML2027-2028'!$M:$M,"IP",'PL1.1 ML2027-2028'!$K:$K,'TH theo dich vu'!C32)/$D$1</f>
        <v>0</v>
      </c>
      <c r="T32" s="433">
        <f>SUMIFS('PL1.1 ML2027-2028'!$H:$H,'PL1.1 ML2027-2028'!$J:$J,"TD",'PL1.1 ML2027-2028'!$M:$M,"Mạng cáp",'PL1.1 ML2027-2028'!$K:$K,'TH theo dich vu'!C32)/$D$1</f>
        <v>4.2298524999999998</v>
      </c>
      <c r="U32" s="433">
        <f>SUMIFS('PL1.1 ML2027-2028'!$H:$H,'PL1.1 ML2027-2028'!$J:$J,'TH theo dich vu'!U$3,'PL1.1 ML2027-2028'!$K:$K,'TH theo dich vu'!$C32)/$D$1</f>
        <v>8.2194070000000004</v>
      </c>
      <c r="V32" s="433">
        <f>SUMIFS('PL1.1 ML2027-2028'!$H:$H,'PL1.1 ML2027-2028'!$J:$J,'TH theo dich vu'!V$3,'PL1.1 ML2027-2028'!$K:$K,'TH theo dich vu'!$C32)/$D$1</f>
        <v>0</v>
      </c>
      <c r="W32" s="434">
        <f t="shared" si="98"/>
        <v>12.4988387</v>
      </c>
      <c r="X32" s="434">
        <f t="shared" si="99"/>
        <v>12.4988387</v>
      </c>
      <c r="Y32" s="443">
        <f t="shared" si="92"/>
        <v>0.13861475313850694</v>
      </c>
      <c r="Z32" s="84">
        <f t="shared" si="100"/>
        <v>0</v>
      </c>
      <c r="AA32" s="84">
        <f t="shared" si="100"/>
        <v>0</v>
      </c>
      <c r="AB32" s="84">
        <f t="shared" si="100"/>
        <v>9.3899999999999997E-2</v>
      </c>
      <c r="AC32" s="84">
        <f t="shared" si="100"/>
        <v>0</v>
      </c>
      <c r="AD32" s="84">
        <f t="shared" si="100"/>
        <v>1.0870973499999999</v>
      </c>
      <c r="AE32" s="84">
        <f t="shared" si="100"/>
        <v>8.1717049999999993</v>
      </c>
      <c r="AF32" s="84">
        <f t="shared" si="100"/>
        <v>9.8603909999999999</v>
      </c>
      <c r="AG32" s="84">
        <f t="shared" si="100"/>
        <v>0</v>
      </c>
      <c r="AH32" s="83">
        <f t="shared" si="101"/>
        <v>19.213093350000001</v>
      </c>
      <c r="AI32" s="86">
        <f t="shared" si="22"/>
        <v>9.5600056894039262E-2</v>
      </c>
      <c r="AJ32" s="169">
        <v>1</v>
      </c>
      <c r="AK32" s="169"/>
      <c r="AL32" s="169">
        <v>1</v>
      </c>
      <c r="AM32" s="164"/>
      <c r="AN32" s="164"/>
      <c r="AO32" s="164"/>
      <c r="AP32" s="165"/>
      <c r="AQ32" s="150"/>
    </row>
    <row r="33" spans="1:46" s="37" customFormat="1" outlineLevel="1">
      <c r="A33" s="18">
        <v>4</v>
      </c>
      <c r="B33" s="114" t="s">
        <v>186</v>
      </c>
      <c r="C33" s="18" t="s">
        <v>187</v>
      </c>
      <c r="D33" s="437">
        <f>SUMIFS('PL1.1 ML2027-2028'!$G:$G,'PL1.1 ML2027-2028'!$J:$J,'TH theo dich vu'!$D$3,'PL1.1 ML2027-2028'!$K:$K,'TH theo dich vu'!C33)/$D$1</f>
        <v>0</v>
      </c>
      <c r="E33" s="113">
        <f>SUMIFS('PL1.1 ML2027-2028'!$G:$G,'PL1.1 ML2027-2028'!$J:$J,'TH theo dich vu'!$E$3,'PL1.1 ML2027-2028'!$K:$K,'TH theo dich vu'!C33)/$D$1</f>
        <v>0</v>
      </c>
      <c r="F33" s="113">
        <f>SUMIFS('PL1.1 ML2027-2028'!$G:$G,'PL1.1 ML2027-2028'!$J:$J,'TH theo dich vu'!$F$3,'PL1.1 ML2027-2028'!$K:$K,'TH theo dich vu'!C33)/$D$1</f>
        <v>0</v>
      </c>
      <c r="G33" s="84">
        <f>SUMIFS('PL1.1 ML2027-2028'!$G:$G,'PL1.1 ML2027-2028'!$J:$J,'TH theo dich vu'!$G$3,'PL1.1 ML2027-2028'!$K:$K,'TH theo dich vu'!C33)/$D$1</f>
        <v>0</v>
      </c>
      <c r="H33" s="433">
        <f>SUMIFS('PL1.1 ML2027-2028'!$G:$G,'PL1.1 ML2027-2028'!$J:$J,"TD",'PL1.1 ML2027-2028'!$M:$M,"IP",'PL1.1 ML2027-2028'!$K:$K,'TH theo dich vu'!C33)/$D$1</f>
        <v>0</v>
      </c>
      <c r="I33" s="433">
        <f>SUMIFS('PL1.1 ML2027-2028'!$G:$G,'PL1.1 ML2027-2028'!$J:$J,"TD",'PL1.1 ML2027-2028'!$M:$M,"Mạng cáp",'PL1.1 ML2027-2028'!$K:$K,'TH theo dich vu'!C33)/$D$1</f>
        <v>0</v>
      </c>
      <c r="J33" s="113">
        <f>SUMIFS('PL1.1 ML2027-2028'!$G:$G,'PL1.1 ML2027-2028'!$J:$J,'TH theo dich vu'!$J$3,'PL1.1 ML2027-2028'!$K:$K,'TH theo dich vu'!C33)/$D$1</f>
        <v>0</v>
      </c>
      <c r="K33" s="433">
        <f>SUMIFS('PL1.1 ML2027-2028'!$G:$G,'PL1.1 ML2027-2028'!$J:$J,'TH theo dich vu'!K$3,'PL1.1 ML2027-2028'!$K:$K,'TH theo dich vu'!C33)/$D$1</f>
        <v>0</v>
      </c>
      <c r="L33" s="434">
        <f t="shared" si="96"/>
        <v>0</v>
      </c>
      <c r="M33" s="434">
        <f t="shared" si="97"/>
        <v>0</v>
      </c>
      <c r="N33" s="86">
        <f t="shared" si="87"/>
        <v>0</v>
      </c>
      <c r="O33" s="84">
        <f>SUMIFS('PL1.1 ML2027-2028'!$H:$H,'PL1.1 ML2027-2028'!$J:$J,'TH theo dich vu'!O$3,'PL1.1 ML2027-2028'!$K:$K,'TH theo dich vu'!$C33)/$D$1</f>
        <v>0</v>
      </c>
      <c r="P33" s="84">
        <f>SUMIFS('PL1.1 ML2027-2028'!$H:$H,'PL1.1 ML2027-2028'!$J:$J,'TH theo dich vu'!P$3,'PL1.1 ML2027-2028'!$K:$K,'TH theo dich vu'!$C33)/$D$1</f>
        <v>0</v>
      </c>
      <c r="Q33" s="84">
        <f>SUMIFS('PL1.1 ML2027-2028'!$H:$H,'PL1.1 ML2027-2028'!$J:$J,'TH theo dich vu'!Q$3,'PL1.1 ML2027-2028'!$K:$K,'TH theo dich vu'!$C33)/$D$1</f>
        <v>0</v>
      </c>
      <c r="R33" s="84">
        <f>SUMIFS('PL1.1 ML2027-2028'!$H:$H,'PL1.1 ML2027-2028'!$J:$J,'TH theo dich vu'!R$3,'PL1.1 ML2027-2028'!$K:$K,'TH theo dich vu'!$C33)/$D$1</f>
        <v>0</v>
      </c>
      <c r="S33" s="433">
        <f>SUMIFS('PL1.1 ML2027-2028'!$H:$H,'PL1.1 ML2027-2028'!$J:$J,"TD",'PL1.1 ML2027-2028'!$M:$M,"IP",'PL1.1 ML2027-2028'!$K:$K,'TH theo dich vu'!C33)/$D$1</f>
        <v>0</v>
      </c>
      <c r="T33" s="433">
        <f>SUMIFS('PL1.1 ML2027-2028'!$H:$H,'PL1.1 ML2027-2028'!$J:$J,"TD",'PL1.1 ML2027-2028'!$M:$M,"Mạng cáp",'PL1.1 ML2027-2028'!$K:$K,'TH theo dich vu'!C33)/$D$1</f>
        <v>0</v>
      </c>
      <c r="U33" s="84">
        <f>SUMIFS('PL1.1 ML2027-2028'!$H:$H,'PL1.1 ML2027-2028'!$J:$J,'TH theo dich vu'!U$3,'PL1.1 ML2027-2028'!$K:$K,'TH theo dich vu'!$C33)/$D$1</f>
        <v>0</v>
      </c>
      <c r="V33" s="433">
        <f>SUMIFS('PL1.1 ML2027-2028'!$H:$H,'PL1.1 ML2027-2028'!$J:$J,'TH theo dich vu'!V$3,'PL1.1 ML2027-2028'!$K:$K,'TH theo dich vu'!$C33)/$D$1</f>
        <v>0</v>
      </c>
      <c r="W33" s="434">
        <f t="shared" si="98"/>
        <v>0</v>
      </c>
      <c r="X33" s="434">
        <f t="shared" si="99"/>
        <v>0</v>
      </c>
      <c r="Y33" s="443">
        <f t="shared" si="92"/>
        <v>0</v>
      </c>
      <c r="Z33" s="84">
        <f t="shared" si="100"/>
        <v>0</v>
      </c>
      <c r="AA33" s="84">
        <f t="shared" si="100"/>
        <v>0</v>
      </c>
      <c r="AB33" s="84">
        <f t="shared" si="100"/>
        <v>0</v>
      </c>
      <c r="AC33" s="84">
        <f t="shared" si="100"/>
        <v>0</v>
      </c>
      <c r="AD33" s="84">
        <f t="shared" si="100"/>
        <v>0</v>
      </c>
      <c r="AE33" s="84">
        <f t="shared" si="100"/>
        <v>0</v>
      </c>
      <c r="AF33" s="84">
        <f t="shared" si="100"/>
        <v>0</v>
      </c>
      <c r="AG33" s="84">
        <f t="shared" si="100"/>
        <v>0</v>
      </c>
      <c r="AH33" s="83">
        <f t="shared" si="101"/>
        <v>0</v>
      </c>
      <c r="AI33" s="86">
        <f t="shared" si="22"/>
        <v>0</v>
      </c>
      <c r="AJ33" s="169">
        <v>0.8</v>
      </c>
      <c r="AK33" s="169"/>
      <c r="AL33" s="169">
        <v>0.2</v>
      </c>
      <c r="AM33" s="164"/>
      <c r="AN33" s="164"/>
      <c r="AO33" s="164"/>
      <c r="AP33" s="165"/>
      <c r="AQ33" s="150"/>
      <c r="AR33" s="122"/>
      <c r="AS33" s="48"/>
    </row>
    <row r="34" spans="1:46" outlineLevel="1">
      <c r="A34" s="76" t="s">
        <v>26</v>
      </c>
      <c r="B34" s="139" t="s">
        <v>1406</v>
      </c>
      <c r="C34" s="115" t="s">
        <v>209</v>
      </c>
      <c r="D34" s="433">
        <v>0</v>
      </c>
      <c r="E34" s="433">
        <v>0</v>
      </c>
      <c r="F34" s="433">
        <v>0</v>
      </c>
      <c r="G34" s="433">
        <v>0</v>
      </c>
      <c r="H34" s="433">
        <v>0</v>
      </c>
      <c r="I34" s="433">
        <v>0</v>
      </c>
      <c r="J34" s="433">
        <v>0</v>
      </c>
      <c r="K34" s="433">
        <v>0</v>
      </c>
      <c r="L34" s="432">
        <f>SUMIFS('PL1.1 ML2027-2028'!$G:$G,'PL1.1 ML2027-2028'!$J:$J,"Ví",'PL1.1 ML2027-2028'!$K:$K,"TTKD")/$D$1</f>
        <v>12.551233999999999</v>
      </c>
      <c r="M34" s="432">
        <f>SUMIFS('PL1.1 ML2027-2028'!$G:$G,'PL1.1 ML2027-2028'!$J:$J,"Ví",'PL1.1 ML2027-2028'!$K:$K,"TTKD")/$D$1</f>
        <v>12.551233999999999</v>
      </c>
      <c r="N34" s="142">
        <f t="shared" si="87"/>
        <v>0.11327414801184625</v>
      </c>
      <c r="O34" s="433">
        <v>0</v>
      </c>
      <c r="P34" s="433">
        <v>0</v>
      </c>
      <c r="Q34" s="433">
        <v>0</v>
      </c>
      <c r="R34" s="433">
        <v>0</v>
      </c>
      <c r="S34" s="433">
        <v>0</v>
      </c>
      <c r="T34" s="433">
        <v>0</v>
      </c>
      <c r="U34" s="433">
        <v>0</v>
      </c>
      <c r="V34" s="433">
        <v>0</v>
      </c>
      <c r="W34" s="432">
        <f>SUMIFS('PL1.1 ML2027-2028'!$H:$H,'PL1.1 ML2027-2028'!$J:$J,"Ví",'PL1.1 ML2027-2028'!$K:$K,"TTKD")/$D$1</f>
        <v>10.851263599999999</v>
      </c>
      <c r="X34" s="432">
        <f>SUMIFS('PL1.1 ML2027-2028'!$H:$H,'PL1.1 ML2027-2028'!$J:$J,"Ví",'PL1.1 ML2027-2028'!$K:$K,"TTKD")/$D$1</f>
        <v>10.851263599999999</v>
      </c>
      <c r="Y34" s="142">
        <f t="shared" si="92"/>
        <v>0.12034279833972622</v>
      </c>
      <c r="Z34" s="85">
        <f t="shared" ref="Z34:AH34" si="102">SUBTOTAL(9,Z36:Z38)</f>
        <v>0</v>
      </c>
      <c r="AA34" s="85">
        <f t="shared" si="102"/>
        <v>0</v>
      </c>
      <c r="AB34" s="85">
        <f t="shared" si="102"/>
        <v>0</v>
      </c>
      <c r="AC34" s="85">
        <f t="shared" si="102"/>
        <v>0</v>
      </c>
      <c r="AD34" s="85">
        <f t="shared" si="102"/>
        <v>0</v>
      </c>
      <c r="AE34" s="85">
        <f t="shared" si="102"/>
        <v>0</v>
      </c>
      <c r="AF34" s="85">
        <f t="shared" si="102"/>
        <v>0</v>
      </c>
      <c r="AG34" s="85">
        <f t="shared" si="102"/>
        <v>0</v>
      </c>
      <c r="AH34" s="85">
        <f t="shared" si="102"/>
        <v>0</v>
      </c>
      <c r="AI34" s="142">
        <f t="shared" ref="AI34" si="103">AH34/$AH$4</f>
        <v>0</v>
      </c>
      <c r="AJ34" s="169"/>
      <c r="AK34" s="169"/>
      <c r="AL34" s="164"/>
      <c r="AM34" s="164"/>
      <c r="AN34" s="164"/>
      <c r="AO34" s="164"/>
      <c r="AP34" s="164"/>
    </row>
    <row r="35" spans="1:46" s="37" customFormat="1">
      <c r="A35" s="129"/>
      <c r="B35" s="130"/>
      <c r="C35" s="131"/>
      <c r="D35" s="132"/>
      <c r="E35" s="133"/>
      <c r="F35" s="132"/>
      <c r="G35" s="132"/>
      <c r="H35" s="133"/>
      <c r="I35" s="133"/>
      <c r="J35" s="132"/>
      <c r="K35" s="132"/>
      <c r="L35" s="134"/>
      <c r="M35" s="134"/>
      <c r="N35" s="135"/>
      <c r="O35" s="132"/>
      <c r="P35" s="132"/>
      <c r="Q35" s="132"/>
      <c r="R35" s="132"/>
      <c r="S35" s="133"/>
      <c r="T35" s="133"/>
      <c r="U35" s="132"/>
      <c r="V35" s="132"/>
      <c r="W35" s="134"/>
      <c r="X35" s="134"/>
      <c r="Y35" s="5"/>
      <c r="Z35" s="5"/>
      <c r="AA35" s="5"/>
      <c r="AB35" s="5"/>
      <c r="AC35" s="5"/>
      <c r="AD35" s="5"/>
      <c r="AE35" s="5"/>
      <c r="AF35" s="5"/>
      <c r="AG35" s="5"/>
      <c r="AH35" s="5"/>
      <c r="AI35" s="5"/>
      <c r="AJ35" s="5"/>
      <c r="AK35" s="5"/>
      <c r="AL35" s="5"/>
      <c r="AM35" s="5"/>
      <c r="AN35" s="5"/>
      <c r="AO35" s="5"/>
      <c r="AP35" s="5"/>
      <c r="AQ35" s="5"/>
      <c r="AR35" s="5"/>
      <c r="AS35" s="5"/>
      <c r="AT35" s="5"/>
    </row>
    <row r="36" spans="1:46">
      <c r="D36" s="13"/>
      <c r="E36" s="13"/>
      <c r="F36" s="13"/>
      <c r="G36" s="13"/>
      <c r="H36" s="13"/>
      <c r="I36" s="13"/>
      <c r="J36" s="13"/>
      <c r="K36" s="13"/>
      <c r="L36" s="13"/>
      <c r="M36" s="13"/>
      <c r="N36" s="13" t="e">
        <f>#REF!-#REF!</f>
        <v>#REF!</v>
      </c>
      <c r="O36" s="13" t="e">
        <f>#REF!-#REF!</f>
        <v>#REF!</v>
      </c>
      <c r="P36" s="13" t="e">
        <f>#REF!-#REF!</f>
        <v>#REF!</v>
      </c>
      <c r="Q36" s="13" t="e">
        <f>#REF!-#REF!</f>
        <v>#REF!</v>
      </c>
      <c r="R36" s="13"/>
      <c r="S36" s="13"/>
      <c r="T36" s="13"/>
      <c r="V36" s="13"/>
      <c r="Z36" s="5"/>
      <c r="AB36" s="5"/>
      <c r="AP36" s="5"/>
      <c r="AQ36" s="5"/>
    </row>
    <row r="37" spans="1:46" outlineLevel="1">
      <c r="B37" s="37"/>
      <c r="C37" s="37"/>
      <c r="D37" s="72"/>
      <c r="E37" s="72"/>
      <c r="F37" s="72"/>
      <c r="G37" s="72"/>
      <c r="H37" s="72"/>
      <c r="I37" s="72"/>
      <c r="J37" s="55"/>
      <c r="K37" s="55"/>
      <c r="L37" s="72"/>
      <c r="M37" s="72"/>
      <c r="N37" s="37"/>
      <c r="S37" s="72"/>
      <c r="T37" s="72"/>
      <c r="V37" s="55"/>
      <c r="Z37" s="5"/>
      <c r="AB37" s="5"/>
      <c r="AP37" s="5"/>
      <c r="AQ37" s="5"/>
    </row>
    <row r="38" spans="1:46">
      <c r="C38" s="5"/>
      <c r="N38" s="5"/>
      <c r="Z38" s="5"/>
      <c r="AB38" s="5"/>
    </row>
    <row r="39" spans="1:46">
      <c r="C39" s="5"/>
      <c r="N39" s="5"/>
      <c r="Z39" s="5"/>
      <c r="AB39" s="5"/>
    </row>
    <row r="40" spans="1:46" s="49" customFormat="1">
      <c r="B40" s="5"/>
      <c r="C40" s="5"/>
      <c r="D40" s="5"/>
      <c r="E40" s="5"/>
      <c r="F40" s="5"/>
      <c r="G40" s="5"/>
      <c r="H40" s="5"/>
      <c r="I40" s="5"/>
      <c r="J40" s="5"/>
      <c r="K40" s="5"/>
      <c r="L40" s="5"/>
      <c r="M40" s="5"/>
      <c r="N40" s="5"/>
      <c r="O40" s="5"/>
      <c r="P40" s="5"/>
      <c r="Q40" s="5"/>
      <c r="R40" s="5"/>
      <c r="S40" s="5"/>
      <c r="T40" s="5"/>
      <c r="U40" s="5"/>
      <c r="V40" s="5"/>
      <c r="Y40" s="5"/>
      <c r="Z40" s="5"/>
      <c r="AA40" s="5"/>
      <c r="AB40" s="5"/>
      <c r="AC40" s="5"/>
      <c r="AP40" s="149"/>
      <c r="AQ40" s="149"/>
    </row>
    <row r="41" spans="1:46" s="49" customFormat="1">
      <c r="B41" s="5"/>
      <c r="C41" s="5"/>
      <c r="D41" s="5"/>
      <c r="E41" s="5"/>
      <c r="F41" s="5"/>
      <c r="G41" s="5"/>
      <c r="H41" s="5"/>
      <c r="I41" s="5"/>
      <c r="J41" s="5"/>
      <c r="K41" s="5"/>
      <c r="L41" s="5"/>
      <c r="M41" s="5"/>
      <c r="N41" s="123"/>
      <c r="S41" s="5"/>
      <c r="T41" s="5"/>
      <c r="V41" s="5"/>
      <c r="Z41" s="123"/>
      <c r="AB41" s="123"/>
      <c r="AP41" s="149"/>
      <c r="AQ41" s="149"/>
    </row>
    <row r="42" spans="1:46">
      <c r="C42" s="5"/>
    </row>
    <row r="43" spans="1:46" s="49" customFormat="1">
      <c r="B43" s="5"/>
      <c r="C43" s="5"/>
      <c r="D43" s="5"/>
      <c r="E43" s="5"/>
      <c r="F43" s="5"/>
      <c r="G43" s="5"/>
      <c r="H43" s="5"/>
      <c r="I43" s="5"/>
      <c r="J43" s="5"/>
      <c r="K43" s="5"/>
      <c r="L43" s="5"/>
      <c r="M43" s="5"/>
      <c r="N43" s="123"/>
      <c r="S43" s="5"/>
      <c r="T43" s="5"/>
      <c r="V43" s="5"/>
      <c r="Z43" s="123"/>
      <c r="AB43" s="123"/>
      <c r="AP43" s="149"/>
      <c r="AQ43" s="149"/>
    </row>
    <row r="44" spans="1:46" s="49" customFormat="1">
      <c r="B44" s="5"/>
      <c r="C44" s="5"/>
      <c r="D44" s="5"/>
      <c r="E44" s="5"/>
      <c r="F44" s="5"/>
      <c r="G44" s="5"/>
      <c r="H44" s="5"/>
      <c r="I44" s="5"/>
      <c r="J44" s="5"/>
      <c r="K44" s="5"/>
      <c r="L44" s="5"/>
      <c r="M44" s="5"/>
      <c r="N44" s="123"/>
      <c r="S44" s="5"/>
      <c r="T44" s="5"/>
      <c r="V44" s="5"/>
      <c r="Z44" s="123"/>
      <c r="AB44" s="123"/>
      <c r="AP44" s="149"/>
      <c r="AQ44" s="149"/>
    </row>
    <row r="45" spans="1:46">
      <c r="C45" s="5"/>
    </row>
    <row r="46" spans="1:46">
      <c r="C46" s="5"/>
    </row>
    <row r="47" spans="1:46">
      <c r="C47" s="5"/>
    </row>
    <row r="48" spans="1:46">
      <c r="C48" s="5"/>
    </row>
    <row r="49" spans="3:3">
      <c r="C49" s="5"/>
    </row>
    <row r="50" spans="3:3">
      <c r="C50" s="5"/>
    </row>
    <row r="51" spans="3:3">
      <c r="C51" s="5"/>
    </row>
  </sheetData>
  <mergeCells count="5">
    <mergeCell ref="AL1:AM1"/>
    <mergeCell ref="AJ2:AP2"/>
    <mergeCell ref="O2:Y2"/>
    <mergeCell ref="D2:N2"/>
    <mergeCell ref="Z2:AI2"/>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14:formula1>
            <xm:f>Mã!$C$4:$C$26</xm:f>
          </x14:formula1>
          <xm:sqref>C6</xm:sqref>
        </x14:dataValidation>
        <x14:dataValidation type="list" allowBlank="1" showInputMessage="1" showErrorMessage="1">
          <x14:formula1>
            <xm:f>Mã!$C$4:$C$30</xm:f>
          </x14:formula1>
          <xm:sqref>C7:C26 C29:C35</xm:sqref>
        </x14:dataValidation>
        <x14:dataValidation type="list" allowBlank="1" showInputMessage="1" showErrorMessage="1">
          <x14:formula1>
            <xm:f>Mã!$C$4:$C$33</xm:f>
          </x14:formula1>
          <xm:sqref>C27:C28</xm:sqref>
        </x14:dataValidation>
        <x14:dataValidation type="list" allowBlank="1" showInputMessage="1" showErrorMessage="1">
          <x14:formula1>
            <xm:f>Mã!$B$4:$B$13</xm:f>
          </x14:formula1>
          <xm:sqref>K3 V3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EE0033"/>
    <outlinePr summaryBelow="0" summaryRight="0"/>
    <pageSetUpPr fitToPage="1"/>
  </sheetPr>
  <dimension ref="A1:L123"/>
  <sheetViews>
    <sheetView zoomScale="55" zoomScaleNormal="55" workbookViewId="0">
      <pane xSplit="4" ySplit="2" topLeftCell="E97" activePane="bottomRight" state="frozen"/>
      <selection activeCell="N27" sqref="N27"/>
      <selection pane="topRight" activeCell="N27" sqref="N27"/>
      <selection pane="bottomLeft" activeCell="N27" sqref="N27"/>
      <selection pane="bottomRight" activeCell="A85" sqref="A85:G123"/>
    </sheetView>
  </sheetViews>
  <sheetFormatPr defaultColWidth="9.26953125" defaultRowHeight="10.5"/>
  <cols>
    <col min="1" max="1" width="4.6328125" style="731" customWidth="1"/>
    <col min="2" max="2" width="24.7265625" style="733" customWidth="1"/>
    <col min="3" max="3" width="43.1796875" style="738" customWidth="1"/>
    <col min="4" max="4" width="37.1796875" style="732" customWidth="1"/>
    <col min="5" max="5" width="24.26953125" style="732" customWidth="1"/>
    <col min="6" max="6" width="79.6328125" style="750" customWidth="1"/>
    <col min="7" max="7" width="71.54296875" style="732" customWidth="1"/>
    <col min="8" max="8" width="7.26953125" style="732" customWidth="1"/>
    <col min="9" max="9" width="10.7265625" style="738" customWidth="1"/>
    <col min="10" max="10" width="9.1796875" style="738" customWidth="1"/>
    <col min="11" max="12" width="9.26953125" style="731" customWidth="1"/>
    <col min="13" max="14" width="9.26953125" style="732" customWidth="1"/>
    <col min="15" max="15" width="8.54296875" style="732" customWidth="1"/>
    <col min="16" max="16384" width="9.26953125" style="732"/>
  </cols>
  <sheetData>
    <row r="1" spans="1:10">
      <c r="A1" s="862" t="s">
        <v>1671</v>
      </c>
      <c r="B1" s="863"/>
      <c r="C1" s="863"/>
      <c r="D1" s="863"/>
      <c r="E1" s="863"/>
      <c r="F1" s="863"/>
      <c r="G1" s="863"/>
      <c r="H1" s="863"/>
      <c r="I1" s="863"/>
      <c r="J1" s="863"/>
    </row>
    <row r="2" spans="1:10">
      <c r="C2" s="734"/>
      <c r="F2" s="735"/>
      <c r="I2" s="734"/>
      <c r="J2" s="734"/>
    </row>
    <row r="3" spans="1:10" ht="11" thickBot="1">
      <c r="A3" s="731" t="s">
        <v>1527</v>
      </c>
      <c r="B3" s="736" t="s">
        <v>1528</v>
      </c>
      <c r="C3" s="734"/>
      <c r="F3" s="735"/>
      <c r="I3" s="734"/>
      <c r="J3" s="734"/>
    </row>
    <row r="4" spans="1:10" ht="11" thickBot="1">
      <c r="A4" s="737" t="s">
        <v>1518</v>
      </c>
      <c r="B4" s="737" t="s">
        <v>1519</v>
      </c>
      <c r="C4" s="737" t="s">
        <v>76</v>
      </c>
      <c r="D4" s="737" t="s">
        <v>1520</v>
      </c>
      <c r="E4" s="737" t="s">
        <v>1521</v>
      </c>
      <c r="F4" s="868" t="s">
        <v>1522</v>
      </c>
      <c r="G4" s="869"/>
    </row>
    <row r="5" spans="1:10" ht="11" thickBot="1">
      <c r="A5" s="868" t="s">
        <v>76</v>
      </c>
      <c r="B5" s="869"/>
      <c r="C5" s="739">
        <v>68.239999999999995</v>
      </c>
      <c r="D5" s="737">
        <v>41.36</v>
      </c>
      <c r="E5" s="737">
        <v>26.88</v>
      </c>
      <c r="F5" s="737" t="s">
        <v>1520</v>
      </c>
      <c r="G5" s="737" t="s">
        <v>1521</v>
      </c>
    </row>
    <row r="6" spans="1:10" ht="21">
      <c r="A6" s="856">
        <v>1</v>
      </c>
      <c r="B6" s="858" t="s">
        <v>16</v>
      </c>
      <c r="C6" s="872">
        <v>8.06</v>
      </c>
      <c r="D6" s="856">
        <v>4.18</v>
      </c>
      <c r="E6" s="856">
        <v>3.88</v>
      </c>
      <c r="F6" s="740" t="s">
        <v>1672</v>
      </c>
      <c r="G6" s="740" t="s">
        <v>1673</v>
      </c>
    </row>
    <row r="7" spans="1:10" ht="11" thickBot="1">
      <c r="A7" s="870"/>
      <c r="B7" s="871"/>
      <c r="C7" s="873"/>
      <c r="D7" s="870"/>
      <c r="E7" s="870"/>
      <c r="F7" s="741" t="s">
        <v>1674</v>
      </c>
      <c r="G7" s="741" t="s">
        <v>1675</v>
      </c>
    </row>
    <row r="8" spans="1:10" ht="53" thickBot="1">
      <c r="A8" s="742">
        <v>2</v>
      </c>
      <c r="B8" s="743" t="s">
        <v>22</v>
      </c>
      <c r="C8" s="744">
        <v>55.44</v>
      </c>
      <c r="D8" s="742">
        <v>35.43</v>
      </c>
      <c r="E8" s="742">
        <v>20.010000000000002</v>
      </c>
      <c r="F8" s="740" t="s">
        <v>1676</v>
      </c>
      <c r="G8" s="745" t="s">
        <v>1529</v>
      </c>
    </row>
    <row r="9" spans="1:10" ht="11" thickBot="1">
      <c r="A9" s="746">
        <v>3</v>
      </c>
      <c r="B9" s="747" t="s">
        <v>296</v>
      </c>
      <c r="C9" s="748">
        <v>1.36</v>
      </c>
      <c r="D9" s="746">
        <v>0.5</v>
      </c>
      <c r="E9" s="746">
        <v>0.86</v>
      </c>
      <c r="F9" s="749" t="s">
        <v>1523</v>
      </c>
      <c r="G9" s="749" t="s">
        <v>1677</v>
      </c>
    </row>
    <row r="10" spans="1:10" ht="11" thickBot="1">
      <c r="A10" s="746">
        <v>4</v>
      </c>
      <c r="B10" s="747" t="s">
        <v>1524</v>
      </c>
      <c r="C10" s="748">
        <v>3.38</v>
      </c>
      <c r="D10" s="746">
        <v>1.25</v>
      </c>
      <c r="E10" s="746">
        <v>2.13</v>
      </c>
      <c r="F10" s="749" t="s">
        <v>1525</v>
      </c>
      <c r="G10" s="749" t="s">
        <v>1526</v>
      </c>
    </row>
    <row r="12" spans="1:10" ht="11" thickBot="1">
      <c r="A12" s="731" t="s">
        <v>12</v>
      </c>
      <c r="B12" s="733" t="s">
        <v>1530</v>
      </c>
    </row>
    <row r="13" spans="1:10" ht="11" thickBot="1">
      <c r="A13" s="737" t="s">
        <v>1518</v>
      </c>
      <c r="B13" s="737" t="s">
        <v>1519</v>
      </c>
      <c r="C13" s="737" t="s">
        <v>76</v>
      </c>
      <c r="D13" s="737" t="s">
        <v>1520</v>
      </c>
      <c r="E13" s="737" t="s">
        <v>1531</v>
      </c>
      <c r="F13" s="874" t="s">
        <v>1522</v>
      </c>
    </row>
    <row r="14" spans="1:10" ht="11" thickBot="1">
      <c r="A14" s="876"/>
      <c r="B14" s="877"/>
      <c r="C14" s="737">
        <v>8.9499999999999993</v>
      </c>
      <c r="D14" s="737">
        <v>8.9499999999999993</v>
      </c>
      <c r="E14" s="751"/>
      <c r="F14" s="875"/>
    </row>
    <row r="15" spans="1:10" ht="74" thickBot="1">
      <c r="A15" s="742">
        <v>1</v>
      </c>
      <c r="B15" s="743" t="s">
        <v>1532</v>
      </c>
      <c r="C15" s="742">
        <v>2.98</v>
      </c>
      <c r="D15" s="742">
        <v>2.98</v>
      </c>
      <c r="E15" s="752"/>
      <c r="F15" s="753" t="s">
        <v>1670</v>
      </c>
      <c r="H15" s="754"/>
    </row>
    <row r="16" spans="1:10" ht="11" thickBot="1">
      <c r="A16" s="746" t="s">
        <v>490</v>
      </c>
      <c r="B16" s="747" t="s">
        <v>118</v>
      </c>
      <c r="C16" s="746">
        <v>0.06</v>
      </c>
      <c r="D16" s="746">
        <v>0.06</v>
      </c>
      <c r="E16" s="755"/>
      <c r="F16" s="749" t="s">
        <v>1678</v>
      </c>
    </row>
    <row r="17" spans="1:8" ht="178.5">
      <c r="A17" s="856">
        <v>3</v>
      </c>
      <c r="B17" s="858" t="s">
        <v>296</v>
      </c>
      <c r="C17" s="856">
        <v>5.91</v>
      </c>
      <c r="D17" s="856">
        <v>5.91</v>
      </c>
      <c r="E17" s="860"/>
      <c r="F17" s="753" t="s">
        <v>1669</v>
      </c>
      <c r="G17" s="754"/>
      <c r="H17" s="753"/>
    </row>
    <row r="18" spans="1:8" ht="11" thickBot="1">
      <c r="A18" s="857"/>
      <c r="B18" s="859"/>
      <c r="C18" s="857"/>
      <c r="D18" s="857"/>
      <c r="E18" s="861"/>
      <c r="F18" s="756" t="s">
        <v>1533</v>
      </c>
    </row>
    <row r="19" spans="1:8" ht="11" thickBot="1">
      <c r="A19" s="746" t="s">
        <v>571</v>
      </c>
      <c r="B19" s="747" t="s">
        <v>1524</v>
      </c>
      <c r="C19" s="755"/>
      <c r="D19" s="755"/>
      <c r="E19" s="755"/>
      <c r="F19" s="757"/>
    </row>
    <row r="21" spans="1:8">
      <c r="A21" s="731" t="s">
        <v>19</v>
      </c>
      <c r="B21" s="733" t="s">
        <v>1534</v>
      </c>
    </row>
    <row r="22" spans="1:8" ht="30.5" customHeight="1">
      <c r="A22" s="849" t="s">
        <v>0</v>
      </c>
      <c r="B22" s="849" t="s">
        <v>1535</v>
      </c>
      <c r="C22" s="849" t="s">
        <v>76</v>
      </c>
      <c r="D22" s="849" t="s">
        <v>1520</v>
      </c>
      <c r="E22" s="854" t="s">
        <v>1521</v>
      </c>
      <c r="F22" s="839" t="s">
        <v>1522</v>
      </c>
      <c r="G22" s="840"/>
    </row>
    <row r="23" spans="1:8" ht="11" thickBot="1">
      <c r="A23" s="850"/>
      <c r="B23" s="850"/>
      <c r="C23" s="853"/>
      <c r="D23" s="850"/>
      <c r="E23" s="855"/>
      <c r="F23" s="758" t="s">
        <v>1520</v>
      </c>
      <c r="G23" s="759" t="s">
        <v>1521</v>
      </c>
    </row>
    <row r="24" spans="1:8" ht="30.5" customHeight="1">
      <c r="A24" s="851" t="s">
        <v>1536</v>
      </c>
      <c r="B24" s="852"/>
      <c r="C24" s="760">
        <v>1.8</v>
      </c>
      <c r="D24" s="761">
        <v>1.24</v>
      </c>
      <c r="E24" s="761">
        <v>0.56000000000000005</v>
      </c>
      <c r="F24" s="761"/>
      <c r="G24" s="762"/>
    </row>
    <row r="25" spans="1:8">
      <c r="A25" s="763">
        <v>1</v>
      </c>
      <c r="B25" s="761" t="s">
        <v>16</v>
      </c>
      <c r="C25" s="763">
        <v>0.94</v>
      </c>
      <c r="D25" s="763">
        <v>0.77</v>
      </c>
      <c r="E25" s="763">
        <v>0.17</v>
      </c>
      <c r="F25" s="764" t="s">
        <v>1537</v>
      </c>
      <c r="G25" s="764" t="s">
        <v>1538</v>
      </c>
    </row>
    <row r="26" spans="1:8">
      <c r="A26" s="763">
        <v>2</v>
      </c>
      <c r="B26" s="761" t="s">
        <v>22</v>
      </c>
      <c r="C26" s="763">
        <v>9.56</v>
      </c>
      <c r="D26" s="763">
        <v>0.3</v>
      </c>
      <c r="E26" s="763">
        <v>0.26</v>
      </c>
      <c r="F26" s="764" t="s">
        <v>1539</v>
      </c>
      <c r="G26" s="764" t="s">
        <v>1540</v>
      </c>
    </row>
    <row r="27" spans="1:8">
      <c r="A27" s="763">
        <v>3</v>
      </c>
      <c r="B27" s="761" t="s">
        <v>325</v>
      </c>
      <c r="C27" s="763">
        <v>0.16</v>
      </c>
      <c r="D27" s="763">
        <v>7.5999999999999998E-2</v>
      </c>
      <c r="E27" s="763">
        <v>8.2000000000000003E-2</v>
      </c>
      <c r="F27" s="764" t="s">
        <v>1271</v>
      </c>
      <c r="G27" s="764" t="s">
        <v>1271</v>
      </c>
    </row>
    <row r="28" spans="1:8" ht="30.5" customHeight="1">
      <c r="A28" s="841">
        <v>4</v>
      </c>
      <c r="B28" s="765" t="s">
        <v>1541</v>
      </c>
      <c r="C28" s="841">
        <v>0.09</v>
      </c>
      <c r="D28" s="841">
        <v>0.04</v>
      </c>
      <c r="E28" s="841">
        <v>0.05</v>
      </c>
      <c r="F28" s="843" t="s">
        <v>1273</v>
      </c>
      <c r="G28" s="843" t="s">
        <v>1273</v>
      </c>
    </row>
    <row r="29" spans="1:8">
      <c r="A29" s="842"/>
      <c r="B29" s="766" t="s">
        <v>1542</v>
      </c>
      <c r="C29" s="842"/>
      <c r="D29" s="842"/>
      <c r="E29" s="842"/>
      <c r="F29" s="844"/>
      <c r="G29" s="844"/>
    </row>
    <row r="30" spans="1:8">
      <c r="A30" s="763">
        <v>5</v>
      </c>
      <c r="B30" s="761" t="s">
        <v>1152</v>
      </c>
      <c r="C30" s="763">
        <v>0.04</v>
      </c>
      <c r="D30" s="763">
        <v>0.04</v>
      </c>
      <c r="E30" s="763" t="s">
        <v>1543</v>
      </c>
      <c r="F30" s="764" t="s">
        <v>1272</v>
      </c>
      <c r="G30" s="764" t="s">
        <v>1272</v>
      </c>
    </row>
    <row r="32" spans="1:8">
      <c r="A32" s="731" t="s">
        <v>26</v>
      </c>
      <c r="B32" s="733" t="s">
        <v>1544</v>
      </c>
    </row>
    <row r="33" spans="1:11" ht="26.5" customHeight="1">
      <c r="A33" s="849" t="s">
        <v>0</v>
      </c>
      <c r="B33" s="849" t="s">
        <v>1535</v>
      </c>
      <c r="C33" s="849" t="s">
        <v>76</v>
      </c>
      <c r="D33" s="849">
        <v>2027</v>
      </c>
      <c r="E33" s="849">
        <v>2028</v>
      </c>
      <c r="F33" s="839" t="s">
        <v>1522</v>
      </c>
      <c r="G33" s="840"/>
    </row>
    <row r="34" spans="1:11">
      <c r="A34" s="850"/>
      <c r="B34" s="850"/>
      <c r="C34" s="850"/>
      <c r="D34" s="850"/>
      <c r="E34" s="850"/>
      <c r="F34" s="759">
        <v>2027</v>
      </c>
      <c r="G34" s="759">
        <v>2028</v>
      </c>
    </row>
    <row r="35" spans="1:11">
      <c r="A35" s="761" t="s">
        <v>13</v>
      </c>
      <c r="B35" s="767" t="s">
        <v>1545</v>
      </c>
      <c r="C35" s="768">
        <v>40.44</v>
      </c>
      <c r="D35" s="768">
        <v>18.04</v>
      </c>
      <c r="E35" s="768">
        <v>22.4</v>
      </c>
      <c r="F35" s="769"/>
      <c r="G35" s="769"/>
    </row>
    <row r="36" spans="1:11">
      <c r="A36" s="770" t="s">
        <v>302</v>
      </c>
      <c r="B36" s="769" t="s">
        <v>1546</v>
      </c>
      <c r="C36" s="768">
        <v>29.07</v>
      </c>
      <c r="D36" s="768">
        <v>8.15</v>
      </c>
      <c r="E36" s="768">
        <v>20.92</v>
      </c>
      <c r="F36" s="769"/>
      <c r="G36" s="769"/>
    </row>
    <row r="37" spans="1:11">
      <c r="A37" s="841">
        <v>1</v>
      </c>
      <c r="B37" s="843" t="s">
        <v>434</v>
      </c>
      <c r="C37" s="845">
        <v>17.420000000000002</v>
      </c>
      <c r="D37" s="847">
        <v>4.3</v>
      </c>
      <c r="E37" s="847">
        <v>13.12</v>
      </c>
      <c r="F37" s="864" t="s">
        <v>1561</v>
      </c>
      <c r="G37" s="866" t="s">
        <v>1560</v>
      </c>
      <c r="H37" s="771"/>
      <c r="I37" s="771"/>
    </row>
    <row r="38" spans="1:11" ht="22" customHeight="1">
      <c r="A38" s="842"/>
      <c r="B38" s="844"/>
      <c r="C38" s="846"/>
      <c r="D38" s="848"/>
      <c r="E38" s="848"/>
      <c r="F38" s="865"/>
      <c r="G38" s="867"/>
      <c r="I38" s="732"/>
    </row>
    <row r="39" spans="1:11" ht="42">
      <c r="A39" s="772" t="s">
        <v>490</v>
      </c>
      <c r="B39" s="773" t="s">
        <v>1547</v>
      </c>
      <c r="C39" s="774">
        <v>2.77</v>
      </c>
      <c r="D39" s="775">
        <v>1.18</v>
      </c>
      <c r="E39" s="775">
        <v>1.59</v>
      </c>
      <c r="F39" s="776" t="s">
        <v>1562</v>
      </c>
      <c r="G39" s="776" t="s">
        <v>1563</v>
      </c>
      <c r="H39" s="777"/>
      <c r="I39" s="777"/>
    </row>
    <row r="40" spans="1:11" ht="31.5">
      <c r="A40" s="772" t="s">
        <v>571</v>
      </c>
      <c r="B40" s="773" t="s">
        <v>1548</v>
      </c>
      <c r="C40" s="774">
        <v>3.91</v>
      </c>
      <c r="D40" s="775">
        <v>1.49</v>
      </c>
      <c r="E40" s="775">
        <v>2.42</v>
      </c>
      <c r="F40" s="776" t="s">
        <v>1564</v>
      </c>
      <c r="G40" s="776" t="s">
        <v>1565</v>
      </c>
      <c r="H40" s="777" t="s">
        <v>1549</v>
      </c>
      <c r="I40" s="777" t="s">
        <v>1550</v>
      </c>
      <c r="J40" s="732" t="str">
        <f>J39&amp;CHAR(10)&amp;H40</f>
        <v xml:space="preserve">
- Thay thế cho lưu trữ (2 thiết bị SAN + 4 SAN SWITCH): 1.447.912 $</v>
      </c>
      <c r="K40" s="732" t="str">
        <f t="shared" ref="K40" si="0">K39&amp;CHAR(10)&amp;I40</f>
        <v xml:space="preserve">
- Thay thế cho Lưu trữ (1 thiết bị SAN + 2 SAN SWITCH): 723.956 $</v>
      </c>
    </row>
    <row r="41" spans="1:11">
      <c r="A41" s="763" t="s">
        <v>592</v>
      </c>
      <c r="B41" s="764" t="s">
        <v>1551</v>
      </c>
      <c r="C41" s="768">
        <v>0.11</v>
      </c>
      <c r="D41" s="778">
        <v>0.05</v>
      </c>
      <c r="E41" s="778">
        <v>0.05</v>
      </c>
      <c r="F41" s="779"/>
      <c r="G41" s="779"/>
    </row>
    <row r="42" spans="1:11">
      <c r="A42" s="763">
        <v>6</v>
      </c>
      <c r="B42" s="764" t="s">
        <v>1524</v>
      </c>
      <c r="C42" s="768">
        <v>0.8</v>
      </c>
      <c r="D42" s="778">
        <v>0.4</v>
      </c>
      <c r="E42" s="778">
        <v>0.4</v>
      </c>
      <c r="F42" s="779"/>
      <c r="G42" s="779"/>
    </row>
    <row r="43" spans="1:11">
      <c r="A43" s="770" t="s">
        <v>295</v>
      </c>
      <c r="B43" s="769" t="s">
        <v>1552</v>
      </c>
      <c r="C43" s="768">
        <v>11.39</v>
      </c>
      <c r="D43" s="768">
        <v>9.9</v>
      </c>
      <c r="E43" s="768">
        <v>1.49</v>
      </c>
      <c r="F43" s="780"/>
      <c r="G43" s="780"/>
    </row>
    <row r="44" spans="1:11">
      <c r="A44" s="763">
        <v>1</v>
      </c>
      <c r="B44" s="764" t="s">
        <v>1553</v>
      </c>
      <c r="C44" s="768">
        <v>10.08</v>
      </c>
      <c r="D44" s="778">
        <v>9.1199999999999992</v>
      </c>
      <c r="E44" s="778">
        <v>0.96</v>
      </c>
      <c r="F44" s="779" t="s">
        <v>1554</v>
      </c>
      <c r="G44" s="779"/>
    </row>
    <row r="45" spans="1:11">
      <c r="A45" s="763">
        <v>2</v>
      </c>
      <c r="B45" s="764" t="s">
        <v>1555</v>
      </c>
      <c r="C45" s="768">
        <v>1.31</v>
      </c>
      <c r="D45" s="778">
        <v>0.78</v>
      </c>
      <c r="E45" s="778">
        <v>0.53</v>
      </c>
      <c r="F45" s="779"/>
      <c r="G45" s="779"/>
    </row>
    <row r="46" spans="1:11">
      <c r="A46" s="761" t="s">
        <v>40</v>
      </c>
      <c r="B46" s="767" t="s">
        <v>1556</v>
      </c>
      <c r="C46" s="768">
        <v>23.64</v>
      </c>
      <c r="D46" s="768">
        <v>12.55</v>
      </c>
      <c r="E46" s="768">
        <v>11.09</v>
      </c>
      <c r="F46" s="780"/>
      <c r="G46" s="780"/>
    </row>
    <row r="47" spans="1:11">
      <c r="A47" s="763">
        <v>1</v>
      </c>
      <c r="B47" s="764" t="s">
        <v>1557</v>
      </c>
      <c r="C47" s="768">
        <v>15.33</v>
      </c>
      <c r="D47" s="778">
        <v>6.74</v>
      </c>
      <c r="E47" s="778">
        <v>8.59</v>
      </c>
      <c r="F47" s="781"/>
      <c r="G47" s="779"/>
    </row>
    <row r="48" spans="1:11">
      <c r="A48" s="763">
        <v>2</v>
      </c>
      <c r="B48" s="764" t="s">
        <v>33</v>
      </c>
      <c r="C48" s="768">
        <v>8.09</v>
      </c>
      <c r="D48" s="778">
        <v>5.82</v>
      </c>
      <c r="E48" s="778">
        <v>2.27</v>
      </c>
      <c r="F48" s="781" t="s">
        <v>1558</v>
      </c>
      <c r="G48" s="781" t="s">
        <v>1559</v>
      </c>
    </row>
    <row r="50" spans="1:9">
      <c r="A50" s="731" t="s">
        <v>37</v>
      </c>
      <c r="B50" s="733" t="s">
        <v>1597</v>
      </c>
    </row>
    <row r="51" spans="1:9" ht="11" thickBot="1"/>
    <row r="52" spans="1:9" ht="11" thickBot="1">
      <c r="A52" s="880" t="s">
        <v>0</v>
      </c>
      <c r="B52" s="882" t="s">
        <v>1535</v>
      </c>
      <c r="C52" s="882" t="s">
        <v>76</v>
      </c>
      <c r="D52" s="882">
        <v>2027</v>
      </c>
      <c r="E52" s="882">
        <v>2028</v>
      </c>
      <c r="F52" s="878"/>
      <c r="G52" s="879"/>
    </row>
    <row r="53" spans="1:9" ht="11" thickBot="1">
      <c r="A53" s="881"/>
      <c r="B53" s="883"/>
      <c r="C53" s="883"/>
      <c r="D53" s="883"/>
      <c r="E53" s="883"/>
      <c r="F53" s="782">
        <v>2027</v>
      </c>
      <c r="G53" s="782">
        <v>2028</v>
      </c>
    </row>
    <row r="54" spans="1:9" ht="11" thickBot="1">
      <c r="A54" s="783"/>
      <c r="B54" s="747" t="s">
        <v>76</v>
      </c>
      <c r="C54" s="784">
        <v>21.65</v>
      </c>
      <c r="D54" s="747" t="s">
        <v>1566</v>
      </c>
      <c r="E54" s="747" t="s">
        <v>1567</v>
      </c>
      <c r="F54" s="749"/>
      <c r="G54" s="749"/>
    </row>
    <row r="55" spans="1:9" ht="11" thickBot="1">
      <c r="A55" s="748" t="s">
        <v>4</v>
      </c>
      <c r="B55" s="785" t="s">
        <v>1568</v>
      </c>
      <c r="C55" s="784">
        <v>0</v>
      </c>
      <c r="D55" s="749"/>
      <c r="E55" s="749"/>
      <c r="F55" s="749"/>
      <c r="G55" s="749"/>
    </row>
    <row r="56" spans="1:9" ht="11" thickBot="1">
      <c r="A56" s="783">
        <v>1</v>
      </c>
      <c r="B56" s="749" t="s">
        <v>192</v>
      </c>
      <c r="C56" s="784">
        <v>0.56000000000000005</v>
      </c>
      <c r="D56" s="747" t="s">
        <v>1569</v>
      </c>
      <c r="E56" s="747" t="s">
        <v>1570</v>
      </c>
      <c r="F56" s="749" t="s">
        <v>1571</v>
      </c>
      <c r="G56" s="749" t="s">
        <v>1572</v>
      </c>
    </row>
    <row r="57" spans="1:9" ht="11" thickBot="1">
      <c r="A57" s="783">
        <v>2</v>
      </c>
      <c r="B57" s="749" t="s">
        <v>82</v>
      </c>
      <c r="C57" s="784">
        <v>0.49</v>
      </c>
      <c r="D57" s="747" t="s">
        <v>1573</v>
      </c>
      <c r="E57" s="747" t="s">
        <v>1574</v>
      </c>
      <c r="F57" s="749" t="s">
        <v>1575</v>
      </c>
      <c r="G57" s="749" t="s">
        <v>1576</v>
      </c>
    </row>
    <row r="58" spans="1:9" ht="11" thickBot="1">
      <c r="A58" s="747" t="s">
        <v>12</v>
      </c>
      <c r="B58" s="785" t="s">
        <v>1577</v>
      </c>
      <c r="C58" s="784">
        <v>0</v>
      </c>
      <c r="D58" s="746"/>
      <c r="E58" s="746"/>
      <c r="F58" s="749"/>
      <c r="G58" s="749"/>
    </row>
    <row r="59" spans="1:9" ht="32" thickBot="1">
      <c r="A59" s="742">
        <v>1</v>
      </c>
      <c r="B59" s="753" t="s">
        <v>1578</v>
      </c>
      <c r="C59" s="786">
        <v>1.53</v>
      </c>
      <c r="D59" s="743" t="s">
        <v>1579</v>
      </c>
      <c r="E59" s="743" t="s">
        <v>1580</v>
      </c>
      <c r="F59" s="753" t="s">
        <v>1594</v>
      </c>
      <c r="G59" s="753" t="s">
        <v>1595</v>
      </c>
      <c r="H59" s="754"/>
      <c r="I59" s="754"/>
    </row>
    <row r="60" spans="1:9" ht="32" thickBot="1">
      <c r="A60" s="742" t="s">
        <v>490</v>
      </c>
      <c r="B60" s="753" t="s">
        <v>1581</v>
      </c>
      <c r="C60" s="786">
        <v>9.17</v>
      </c>
      <c r="D60" s="743" t="s">
        <v>1582</v>
      </c>
      <c r="E60" s="743" t="s">
        <v>1583</v>
      </c>
      <c r="F60" s="753" t="s">
        <v>1594</v>
      </c>
      <c r="G60" s="753" t="s">
        <v>1595</v>
      </c>
      <c r="H60" s="754"/>
      <c r="I60" s="754"/>
    </row>
    <row r="61" spans="1:9" ht="26.5" customHeight="1" thickBot="1">
      <c r="A61" s="743" t="s">
        <v>19</v>
      </c>
      <c r="B61" s="740" t="s">
        <v>1584</v>
      </c>
      <c r="C61" s="786">
        <v>3.43</v>
      </c>
      <c r="D61" s="743" t="s">
        <v>1585</v>
      </c>
      <c r="E61" s="743" t="s">
        <v>1586</v>
      </c>
      <c r="F61" s="887" t="s">
        <v>1596</v>
      </c>
      <c r="G61" s="888"/>
      <c r="H61" s="884"/>
      <c r="I61" s="885"/>
    </row>
    <row r="62" spans="1:9" ht="26.5" customHeight="1" thickBot="1">
      <c r="A62" s="743" t="s">
        <v>37</v>
      </c>
      <c r="B62" s="740" t="s">
        <v>1587</v>
      </c>
      <c r="C62" s="786">
        <v>4.3600000000000003</v>
      </c>
      <c r="D62" s="743" t="s">
        <v>1588</v>
      </c>
      <c r="E62" s="743" t="s">
        <v>1589</v>
      </c>
      <c r="F62" s="886" t="s">
        <v>1682</v>
      </c>
      <c r="G62" s="885"/>
      <c r="H62" s="884"/>
      <c r="I62" s="885"/>
    </row>
    <row r="63" spans="1:9" ht="11" thickBot="1">
      <c r="A63" s="747" t="s">
        <v>333</v>
      </c>
      <c r="B63" s="785" t="s">
        <v>170</v>
      </c>
      <c r="C63" s="784">
        <v>2.06</v>
      </c>
      <c r="D63" s="747" t="s">
        <v>1590</v>
      </c>
      <c r="E63" s="747" t="s">
        <v>1591</v>
      </c>
      <c r="F63" s="749" t="s">
        <v>1592</v>
      </c>
      <c r="G63" s="749" t="s">
        <v>1593</v>
      </c>
    </row>
    <row r="65" spans="1:7" ht="11" thickBot="1">
      <c r="A65" s="731" t="s">
        <v>333</v>
      </c>
      <c r="B65" s="733" t="s">
        <v>1332</v>
      </c>
    </row>
    <row r="66" spans="1:7" ht="11" thickBot="1">
      <c r="A66" s="882" t="s">
        <v>0</v>
      </c>
      <c r="B66" s="882" t="s">
        <v>1535</v>
      </c>
      <c r="C66" s="882" t="s">
        <v>76</v>
      </c>
      <c r="D66" s="882">
        <v>2027</v>
      </c>
      <c r="E66" s="882">
        <v>2028</v>
      </c>
      <c r="F66" s="878"/>
      <c r="G66" s="879"/>
    </row>
    <row r="67" spans="1:7" ht="11" thickBot="1">
      <c r="A67" s="883"/>
      <c r="B67" s="883"/>
      <c r="C67" s="883"/>
      <c r="D67" s="883"/>
      <c r="E67" s="883"/>
      <c r="F67" s="782">
        <v>2027</v>
      </c>
      <c r="G67" s="782">
        <v>2028</v>
      </c>
    </row>
    <row r="68" spans="1:7" ht="11" thickBot="1">
      <c r="A68" s="746"/>
      <c r="B68" s="747" t="s">
        <v>76</v>
      </c>
      <c r="C68" s="747">
        <v>18.510000000000002</v>
      </c>
      <c r="D68" s="747">
        <v>10.69</v>
      </c>
      <c r="E68" s="747">
        <v>8.08</v>
      </c>
      <c r="F68" s="757"/>
      <c r="G68" s="757"/>
    </row>
    <row r="69" spans="1:7" ht="11" thickBot="1">
      <c r="A69" s="747" t="s">
        <v>4</v>
      </c>
      <c r="B69" s="785" t="s">
        <v>1568</v>
      </c>
      <c r="C69" s="747">
        <v>2.34</v>
      </c>
      <c r="D69" s="747">
        <v>1.3</v>
      </c>
      <c r="E69" s="747">
        <v>1.04</v>
      </c>
      <c r="F69" s="757"/>
      <c r="G69" s="757"/>
    </row>
    <row r="70" spans="1:7" ht="11" thickBot="1">
      <c r="A70" s="746">
        <v>1.1000000000000001</v>
      </c>
      <c r="B70" s="749" t="s">
        <v>192</v>
      </c>
      <c r="C70" s="746">
        <v>2.34</v>
      </c>
      <c r="D70" s="746">
        <v>1.3</v>
      </c>
      <c r="E70" s="746">
        <v>1.04</v>
      </c>
      <c r="F70" s="749" t="s">
        <v>1598</v>
      </c>
      <c r="G70" s="749" t="s">
        <v>1599</v>
      </c>
    </row>
    <row r="71" spans="1:7" ht="11" thickBot="1">
      <c r="A71" s="746">
        <v>1.2</v>
      </c>
      <c r="B71" s="749" t="s">
        <v>82</v>
      </c>
      <c r="C71" s="755"/>
      <c r="D71" s="755"/>
      <c r="E71" s="755"/>
      <c r="F71" s="757"/>
      <c r="G71" s="757"/>
    </row>
    <row r="72" spans="1:7" ht="11" thickBot="1">
      <c r="A72" s="746" t="s">
        <v>12</v>
      </c>
      <c r="B72" s="785" t="s">
        <v>1577</v>
      </c>
      <c r="C72" s="747">
        <v>5.5</v>
      </c>
      <c r="D72" s="747">
        <v>4.1399999999999997</v>
      </c>
      <c r="E72" s="747">
        <v>1.36</v>
      </c>
      <c r="F72" s="757"/>
      <c r="G72" s="757"/>
    </row>
    <row r="73" spans="1:7" ht="11" thickBot="1">
      <c r="A73" s="755"/>
      <c r="B73" s="749" t="s">
        <v>1600</v>
      </c>
      <c r="C73" s="746">
        <v>2.0099999999999998</v>
      </c>
      <c r="D73" s="746">
        <v>1.65</v>
      </c>
      <c r="E73" s="746">
        <v>0.36</v>
      </c>
      <c r="F73" s="749" t="s">
        <v>1601</v>
      </c>
      <c r="G73" s="749" t="s">
        <v>1602</v>
      </c>
    </row>
    <row r="74" spans="1:7" ht="11" thickBot="1">
      <c r="A74" s="755"/>
      <c r="B74" s="749" t="s">
        <v>1603</v>
      </c>
      <c r="C74" s="746">
        <v>2.87</v>
      </c>
      <c r="D74" s="746" t="s">
        <v>1604</v>
      </c>
      <c r="E74" s="746">
        <v>1</v>
      </c>
      <c r="F74" s="749" t="s">
        <v>1605</v>
      </c>
      <c r="G74" s="749" t="s">
        <v>1606</v>
      </c>
    </row>
    <row r="75" spans="1:7" ht="11" thickBot="1">
      <c r="A75" s="755"/>
      <c r="B75" s="749" t="s">
        <v>1607</v>
      </c>
      <c r="C75" s="746">
        <v>0.63</v>
      </c>
      <c r="D75" s="746">
        <v>0.63</v>
      </c>
      <c r="E75" s="755"/>
      <c r="F75" s="749" t="s">
        <v>1608</v>
      </c>
      <c r="G75" s="757"/>
    </row>
    <row r="76" spans="1:7" ht="11" thickBot="1">
      <c r="A76" s="747" t="s">
        <v>19</v>
      </c>
      <c r="B76" s="785" t="s">
        <v>1609</v>
      </c>
      <c r="C76" s="747">
        <v>8.17</v>
      </c>
      <c r="D76" s="747">
        <v>3.94</v>
      </c>
      <c r="E76" s="747">
        <v>4.2300000000000004</v>
      </c>
      <c r="F76" s="757"/>
      <c r="G76" s="757"/>
    </row>
    <row r="77" spans="1:7" ht="11" thickBot="1">
      <c r="A77" s="755"/>
      <c r="B77" s="749" t="s">
        <v>1610</v>
      </c>
      <c r="C77" s="746">
        <v>1.1599999999999999</v>
      </c>
      <c r="D77" s="746">
        <v>0.57999999999999996</v>
      </c>
      <c r="E77" s="746">
        <v>0.57999999999999996</v>
      </c>
      <c r="F77" s="749" t="s">
        <v>1611</v>
      </c>
      <c r="G77" s="749" t="s">
        <v>1612</v>
      </c>
    </row>
    <row r="78" spans="1:7" ht="11" thickBot="1">
      <c r="A78" s="755"/>
      <c r="B78" s="749" t="s">
        <v>1613</v>
      </c>
      <c r="C78" s="746">
        <v>2.1</v>
      </c>
      <c r="D78" s="746">
        <v>1.05</v>
      </c>
      <c r="E78" s="746">
        <v>1.05</v>
      </c>
      <c r="F78" s="749" t="s">
        <v>1614</v>
      </c>
      <c r="G78" s="749" t="s">
        <v>1614</v>
      </c>
    </row>
    <row r="79" spans="1:7" ht="11" thickBot="1">
      <c r="A79" s="755"/>
      <c r="B79" s="749" t="s">
        <v>1615</v>
      </c>
      <c r="C79" s="746">
        <v>4.1900000000000004</v>
      </c>
      <c r="D79" s="746">
        <v>1.95</v>
      </c>
      <c r="E79" s="746">
        <v>2.2400000000000002</v>
      </c>
      <c r="F79" s="749" t="s">
        <v>1616</v>
      </c>
      <c r="G79" s="749" t="s">
        <v>1616</v>
      </c>
    </row>
    <row r="80" spans="1:7" ht="11" thickBot="1">
      <c r="A80" s="755"/>
      <c r="B80" s="749" t="s">
        <v>1617</v>
      </c>
      <c r="C80" s="746">
        <v>0.72</v>
      </c>
      <c r="D80" s="746">
        <v>0.36</v>
      </c>
      <c r="E80" s="746">
        <v>0.36</v>
      </c>
      <c r="F80" s="749" t="s">
        <v>1618</v>
      </c>
      <c r="G80" s="749" t="s">
        <v>1618</v>
      </c>
    </row>
    <row r="81" spans="1:9" ht="11" thickBot="1">
      <c r="A81" s="747" t="s">
        <v>37</v>
      </c>
      <c r="B81" s="785" t="s">
        <v>1619</v>
      </c>
      <c r="C81" s="747">
        <v>2.5099999999999998</v>
      </c>
      <c r="D81" s="747">
        <v>1.19</v>
      </c>
      <c r="E81" s="747">
        <v>1.32</v>
      </c>
      <c r="F81" s="749" t="s">
        <v>1620</v>
      </c>
      <c r="G81" s="749" t="s">
        <v>1620</v>
      </c>
    </row>
    <row r="83" spans="1:9">
      <c r="A83" s="731" t="s">
        <v>87</v>
      </c>
      <c r="B83" s="733" t="s">
        <v>1621</v>
      </c>
    </row>
    <row r="85" spans="1:9">
      <c r="A85" s="849" t="s">
        <v>0</v>
      </c>
      <c r="B85" s="849" t="s">
        <v>1535</v>
      </c>
      <c r="C85" s="849" t="s">
        <v>76</v>
      </c>
      <c r="D85" s="849">
        <v>2027</v>
      </c>
      <c r="E85" s="849">
        <v>2028</v>
      </c>
      <c r="F85" s="889"/>
      <c r="G85" s="890"/>
    </row>
    <row r="86" spans="1:9">
      <c r="A86" s="850"/>
      <c r="B86" s="850"/>
      <c r="C86" s="850"/>
      <c r="D86" s="850"/>
      <c r="E86" s="850"/>
      <c r="F86" s="759" t="s">
        <v>1520</v>
      </c>
      <c r="G86" s="759" t="s">
        <v>1521</v>
      </c>
    </row>
    <row r="87" spans="1:9">
      <c r="A87" s="761">
        <v>1</v>
      </c>
      <c r="B87" s="761" t="s">
        <v>1622</v>
      </c>
      <c r="C87" s="761">
        <v>1.85</v>
      </c>
      <c r="D87" s="761">
        <v>0.86</v>
      </c>
      <c r="E87" s="761">
        <v>0.99</v>
      </c>
      <c r="F87" s="767"/>
      <c r="G87" s="787"/>
    </row>
    <row r="88" spans="1:9" ht="42">
      <c r="A88" s="772">
        <v>1.1000000000000001</v>
      </c>
      <c r="B88" s="772" t="s">
        <v>1623</v>
      </c>
      <c r="C88" s="765">
        <v>1.18</v>
      </c>
      <c r="D88" s="772">
        <v>0.66</v>
      </c>
      <c r="E88" s="772">
        <v>0.52</v>
      </c>
      <c r="F88" s="776" t="s">
        <v>1625</v>
      </c>
      <c r="G88" s="776" t="s">
        <v>1626</v>
      </c>
      <c r="H88" s="777"/>
      <c r="I88" s="777"/>
    </row>
    <row r="89" spans="1:9" ht="31.5">
      <c r="A89" s="772" t="s">
        <v>479</v>
      </c>
      <c r="B89" s="772" t="s">
        <v>1624</v>
      </c>
      <c r="C89" s="765">
        <v>0.67</v>
      </c>
      <c r="D89" s="772">
        <v>0.2</v>
      </c>
      <c r="E89" s="772">
        <v>0.47</v>
      </c>
      <c r="F89" s="776" t="s">
        <v>1627</v>
      </c>
      <c r="G89" s="776" t="s">
        <v>1628</v>
      </c>
      <c r="H89" s="777"/>
      <c r="I89" s="777"/>
    </row>
    <row r="91" spans="1:9">
      <c r="A91" s="731" t="s">
        <v>447</v>
      </c>
      <c r="B91" s="733" t="s">
        <v>1629</v>
      </c>
    </row>
    <row r="92" spans="1:9" ht="23.5" customHeight="1">
      <c r="A92" s="849" t="s">
        <v>0</v>
      </c>
      <c r="B92" s="849" t="s">
        <v>1535</v>
      </c>
      <c r="C92" s="849" t="s">
        <v>76</v>
      </c>
      <c r="D92" s="849">
        <v>2027</v>
      </c>
      <c r="E92" s="849">
        <v>2028</v>
      </c>
      <c r="F92" s="839" t="s">
        <v>1522</v>
      </c>
      <c r="G92" s="840"/>
    </row>
    <row r="93" spans="1:9">
      <c r="A93" s="850"/>
      <c r="B93" s="850"/>
      <c r="C93" s="850"/>
      <c r="D93" s="850"/>
      <c r="E93" s="850"/>
      <c r="F93" s="759" t="s">
        <v>1520</v>
      </c>
      <c r="G93" s="759" t="s">
        <v>1521</v>
      </c>
    </row>
    <row r="94" spans="1:9">
      <c r="A94" s="763"/>
      <c r="B94" s="761" t="s">
        <v>76</v>
      </c>
      <c r="C94" s="768">
        <v>22.3</v>
      </c>
      <c r="D94" s="768">
        <v>12.07</v>
      </c>
      <c r="E94" s="768">
        <v>10.23</v>
      </c>
      <c r="F94" s="788"/>
      <c r="G94" s="788"/>
    </row>
    <row r="95" spans="1:9">
      <c r="A95" s="761" t="s">
        <v>4</v>
      </c>
      <c r="B95" s="789" t="s">
        <v>1630</v>
      </c>
      <c r="C95" s="768">
        <v>11.09</v>
      </c>
      <c r="D95" s="768">
        <v>6.02</v>
      </c>
      <c r="E95" s="768">
        <v>5.07</v>
      </c>
      <c r="F95" s="764"/>
      <c r="G95" s="787"/>
    </row>
    <row r="96" spans="1:9">
      <c r="A96" s="763">
        <v>1</v>
      </c>
      <c r="B96" s="788" t="s">
        <v>16</v>
      </c>
      <c r="C96" s="778">
        <v>8.9600000000000009</v>
      </c>
      <c r="D96" s="778">
        <v>4.33</v>
      </c>
      <c r="E96" s="778">
        <v>4.62</v>
      </c>
      <c r="F96" s="764" t="s">
        <v>1631</v>
      </c>
      <c r="G96" s="787" t="s">
        <v>1632</v>
      </c>
    </row>
    <row r="97" spans="1:7">
      <c r="A97" s="763" t="s">
        <v>490</v>
      </c>
      <c r="B97" s="788" t="s">
        <v>22</v>
      </c>
      <c r="C97" s="778">
        <v>2.13</v>
      </c>
      <c r="D97" s="778">
        <v>1.69</v>
      </c>
      <c r="E97" s="778">
        <v>0.44</v>
      </c>
      <c r="F97" s="764" t="s">
        <v>1633</v>
      </c>
      <c r="G97" s="764" t="s">
        <v>1634</v>
      </c>
    </row>
    <row r="98" spans="1:7">
      <c r="A98" s="761" t="s">
        <v>12</v>
      </c>
      <c r="B98" s="789" t="s">
        <v>1635</v>
      </c>
      <c r="C98" s="768">
        <v>9.93</v>
      </c>
      <c r="D98" s="768">
        <v>5.4</v>
      </c>
      <c r="E98" s="768">
        <v>4.54</v>
      </c>
      <c r="F98" s="764"/>
      <c r="G98" s="787"/>
    </row>
    <row r="99" spans="1:7" ht="31.5">
      <c r="A99" s="765">
        <v>1</v>
      </c>
      <c r="B99" s="790" t="s">
        <v>602</v>
      </c>
      <c r="C99" s="774">
        <v>1.2</v>
      </c>
      <c r="D99" s="774">
        <v>1.2</v>
      </c>
      <c r="E99" s="774" t="s">
        <v>1636</v>
      </c>
      <c r="F99" s="791" t="s">
        <v>1654</v>
      </c>
      <c r="G99" s="792"/>
    </row>
    <row r="100" spans="1:7">
      <c r="A100" s="761" t="s">
        <v>490</v>
      </c>
      <c r="B100" s="789" t="s">
        <v>1637</v>
      </c>
      <c r="C100" s="768">
        <v>8.74</v>
      </c>
      <c r="D100" s="768">
        <v>4.2</v>
      </c>
      <c r="E100" s="768">
        <v>4.54</v>
      </c>
      <c r="F100" s="764"/>
      <c r="G100" s="787"/>
    </row>
    <row r="101" spans="1:7">
      <c r="A101" s="763">
        <v>2.1</v>
      </c>
      <c r="B101" s="788" t="s">
        <v>1638</v>
      </c>
      <c r="C101" s="778">
        <v>0.15</v>
      </c>
      <c r="D101" s="778">
        <v>7.0000000000000007E-2</v>
      </c>
      <c r="E101" s="778">
        <v>7.0000000000000007E-2</v>
      </c>
      <c r="F101" s="764" t="s">
        <v>1639</v>
      </c>
      <c r="G101" s="764" t="s">
        <v>1639</v>
      </c>
    </row>
    <row r="102" spans="1:7">
      <c r="A102" s="763" t="s">
        <v>547</v>
      </c>
      <c r="B102" s="788" t="s">
        <v>1640</v>
      </c>
      <c r="C102" s="778">
        <v>1.91</v>
      </c>
      <c r="D102" s="778">
        <v>1.1299999999999999</v>
      </c>
      <c r="E102" s="778">
        <v>0.78</v>
      </c>
      <c r="F102" s="764" t="s">
        <v>1641</v>
      </c>
      <c r="G102" s="764" t="s">
        <v>1642</v>
      </c>
    </row>
    <row r="103" spans="1:7" ht="21">
      <c r="A103" s="772" t="s">
        <v>1643</v>
      </c>
      <c r="B103" s="793" t="s">
        <v>1644</v>
      </c>
      <c r="C103" s="775">
        <v>2.54</v>
      </c>
      <c r="D103" s="775">
        <v>1.27</v>
      </c>
      <c r="E103" s="775">
        <v>1.27</v>
      </c>
      <c r="F103" s="773" t="s">
        <v>1645</v>
      </c>
      <c r="G103" s="791" t="s">
        <v>1655</v>
      </c>
    </row>
    <row r="104" spans="1:7">
      <c r="A104" s="763" t="s">
        <v>1646</v>
      </c>
      <c r="B104" s="788" t="s">
        <v>613</v>
      </c>
      <c r="C104" s="778">
        <v>1.93</v>
      </c>
      <c r="D104" s="778">
        <v>0.52</v>
      </c>
      <c r="E104" s="778">
        <v>1.41</v>
      </c>
      <c r="F104" s="764" t="s">
        <v>1647</v>
      </c>
      <c r="G104" s="787" t="s">
        <v>1648</v>
      </c>
    </row>
    <row r="105" spans="1:7" ht="31.5">
      <c r="A105" s="772" t="s">
        <v>1649</v>
      </c>
      <c r="B105" s="793" t="s">
        <v>1650</v>
      </c>
      <c r="C105" s="775">
        <v>2.21</v>
      </c>
      <c r="D105" s="775">
        <v>1.21</v>
      </c>
      <c r="E105" s="775">
        <v>1</v>
      </c>
      <c r="F105" s="773" t="s">
        <v>1651</v>
      </c>
      <c r="G105" s="791" t="s">
        <v>1656</v>
      </c>
    </row>
    <row r="106" spans="1:7" ht="21">
      <c r="A106" s="761" t="s">
        <v>19</v>
      </c>
      <c r="B106" s="789" t="s">
        <v>1269</v>
      </c>
      <c r="C106" s="768">
        <v>1.28</v>
      </c>
      <c r="D106" s="778">
        <v>0.65</v>
      </c>
      <c r="E106" s="778">
        <v>0.63</v>
      </c>
      <c r="F106" s="764" t="s">
        <v>1652</v>
      </c>
      <c r="G106" s="764" t="s">
        <v>1653</v>
      </c>
    </row>
    <row r="108" spans="1:7">
      <c r="A108" s="731" t="s">
        <v>448</v>
      </c>
      <c r="B108" s="733" t="s">
        <v>1657</v>
      </c>
    </row>
    <row r="110" spans="1:7">
      <c r="A110" s="759" t="s">
        <v>0</v>
      </c>
      <c r="B110" s="759" t="s">
        <v>1535</v>
      </c>
      <c r="C110" s="759" t="s">
        <v>76</v>
      </c>
      <c r="D110" s="759">
        <v>2027</v>
      </c>
      <c r="E110" s="759">
        <v>2028</v>
      </c>
      <c r="F110" s="759" t="s">
        <v>1658</v>
      </c>
    </row>
    <row r="111" spans="1:7" ht="28" customHeight="1">
      <c r="A111" s="891" t="s">
        <v>76</v>
      </c>
      <c r="B111" s="892"/>
      <c r="C111" s="761">
        <v>16.760000000000002</v>
      </c>
      <c r="D111" s="761">
        <v>10.61</v>
      </c>
      <c r="E111" s="761">
        <v>6.15</v>
      </c>
      <c r="F111" s="794"/>
    </row>
    <row r="112" spans="1:7">
      <c r="A112" s="763">
        <v>1</v>
      </c>
      <c r="B112" s="767" t="s">
        <v>1659</v>
      </c>
      <c r="C112" s="761">
        <v>4.26</v>
      </c>
      <c r="D112" s="763">
        <v>2.3199999999999998</v>
      </c>
      <c r="E112" s="763">
        <v>1.94</v>
      </c>
      <c r="F112" s="794"/>
    </row>
    <row r="113" spans="1:6" ht="21">
      <c r="A113" s="763">
        <v>2</v>
      </c>
      <c r="B113" s="767" t="s">
        <v>1660</v>
      </c>
      <c r="C113" s="761">
        <v>8.16</v>
      </c>
      <c r="D113" s="763">
        <v>4.3899999999999997</v>
      </c>
      <c r="E113" s="763">
        <v>3.77</v>
      </c>
      <c r="F113" s="794"/>
    </row>
    <row r="114" spans="1:6">
      <c r="A114" s="763">
        <v>3</v>
      </c>
      <c r="B114" s="767" t="s">
        <v>1661</v>
      </c>
      <c r="C114" s="761" t="s">
        <v>1662</v>
      </c>
      <c r="D114" s="763">
        <v>3.89</v>
      </c>
      <c r="E114" s="763">
        <v>0.64</v>
      </c>
      <c r="F114" s="794"/>
    </row>
    <row r="116" spans="1:6" ht="11" thickBot="1">
      <c r="A116" s="731" t="s">
        <v>1663</v>
      </c>
      <c r="B116" s="733" t="s">
        <v>88</v>
      </c>
    </row>
    <row r="117" spans="1:6" ht="11" thickBot="1">
      <c r="A117" s="737" t="s">
        <v>0</v>
      </c>
      <c r="B117" s="737" t="s">
        <v>1664</v>
      </c>
      <c r="C117" s="737" t="s">
        <v>76</v>
      </c>
      <c r="D117" s="737" t="s">
        <v>1520</v>
      </c>
      <c r="E117" s="737" t="s">
        <v>1521</v>
      </c>
      <c r="F117" s="737" t="s">
        <v>1665</v>
      </c>
    </row>
    <row r="118" spans="1:6" ht="11" thickBot="1">
      <c r="A118" s="893" t="s">
        <v>76</v>
      </c>
      <c r="B118" s="894"/>
      <c r="C118" s="795">
        <v>0.3</v>
      </c>
      <c r="D118" s="795">
        <v>0.26</v>
      </c>
      <c r="E118" s="795">
        <v>0.04</v>
      </c>
      <c r="F118" s="796"/>
    </row>
    <row r="119" spans="1:6">
      <c r="A119" s="856">
        <v>1</v>
      </c>
      <c r="B119" s="895" t="s">
        <v>1329</v>
      </c>
      <c r="C119" s="856">
        <v>0.08</v>
      </c>
      <c r="D119" s="856">
        <v>0.04</v>
      </c>
      <c r="E119" s="856">
        <v>0.04</v>
      </c>
      <c r="F119" s="753" t="s">
        <v>1666</v>
      </c>
    </row>
    <row r="120" spans="1:6">
      <c r="A120" s="857"/>
      <c r="B120" s="896"/>
      <c r="C120" s="857"/>
      <c r="D120" s="857"/>
      <c r="E120" s="857"/>
      <c r="F120" s="756" t="s">
        <v>1679</v>
      </c>
    </row>
    <row r="121" spans="1:6" ht="11" thickBot="1">
      <c r="A121" s="870"/>
      <c r="B121" s="897"/>
      <c r="C121" s="870"/>
      <c r="D121" s="870"/>
      <c r="E121" s="870"/>
      <c r="F121" s="797" t="s">
        <v>1680</v>
      </c>
    </row>
    <row r="122" spans="1:6" ht="21.5" thickBot="1">
      <c r="A122" s="746" t="s">
        <v>490</v>
      </c>
      <c r="B122" s="749" t="s">
        <v>1667</v>
      </c>
      <c r="C122" s="746">
        <v>0.2</v>
      </c>
      <c r="D122" s="746">
        <v>0.2</v>
      </c>
      <c r="E122" s="746" t="s">
        <v>8</v>
      </c>
      <c r="F122" s="749" t="s">
        <v>1681</v>
      </c>
    </row>
    <row r="123" spans="1:6" ht="11" thickBot="1">
      <c r="A123" s="746">
        <v>3</v>
      </c>
      <c r="B123" s="749" t="s">
        <v>1331</v>
      </c>
      <c r="C123" s="746">
        <v>0.02</v>
      </c>
      <c r="D123" s="746">
        <v>0.02</v>
      </c>
      <c r="E123" s="755"/>
      <c r="F123" s="749" t="s">
        <v>1668</v>
      </c>
    </row>
  </sheetData>
  <mergeCells count="76">
    <mergeCell ref="D119:D121"/>
    <mergeCell ref="E119:E121"/>
    <mergeCell ref="A111:B111"/>
    <mergeCell ref="A118:B118"/>
    <mergeCell ref="A119:A121"/>
    <mergeCell ref="B119:B121"/>
    <mergeCell ref="C119:C121"/>
    <mergeCell ref="F92:G92"/>
    <mergeCell ref="A92:A93"/>
    <mergeCell ref="B92:B93"/>
    <mergeCell ref="C92:C93"/>
    <mergeCell ref="D92:D93"/>
    <mergeCell ref="E92:E93"/>
    <mergeCell ref="F85:G85"/>
    <mergeCell ref="A85:A86"/>
    <mergeCell ref="B85:B86"/>
    <mergeCell ref="C85:C86"/>
    <mergeCell ref="D85:D86"/>
    <mergeCell ref="E85:E86"/>
    <mergeCell ref="H61:I61"/>
    <mergeCell ref="H62:I62"/>
    <mergeCell ref="A66:A67"/>
    <mergeCell ref="B66:B67"/>
    <mergeCell ref="C66:C67"/>
    <mergeCell ref="D66:D67"/>
    <mergeCell ref="E66:E67"/>
    <mergeCell ref="F66:G66"/>
    <mergeCell ref="F62:G62"/>
    <mergeCell ref="F61:G61"/>
    <mergeCell ref="F52:G52"/>
    <mergeCell ref="A52:A53"/>
    <mergeCell ref="B52:B53"/>
    <mergeCell ref="C52:C53"/>
    <mergeCell ref="D52:D53"/>
    <mergeCell ref="E52:E53"/>
    <mergeCell ref="A1:J1"/>
    <mergeCell ref="F37:F38"/>
    <mergeCell ref="G37:G38"/>
    <mergeCell ref="F4:G4"/>
    <mergeCell ref="A5:B5"/>
    <mergeCell ref="A6:A7"/>
    <mergeCell ref="B6:B7"/>
    <mergeCell ref="C6:C7"/>
    <mergeCell ref="D6:D7"/>
    <mergeCell ref="E6:E7"/>
    <mergeCell ref="F13:F14"/>
    <mergeCell ref="A14:B14"/>
    <mergeCell ref="A17:A18"/>
    <mergeCell ref="B17:B18"/>
    <mergeCell ref="C17:C18"/>
    <mergeCell ref="D17:D18"/>
    <mergeCell ref="E17:E18"/>
    <mergeCell ref="F22:G22"/>
    <mergeCell ref="A24:B24"/>
    <mergeCell ref="A28:A29"/>
    <mergeCell ref="C28:C29"/>
    <mergeCell ref="D28:D29"/>
    <mergeCell ref="E28:E29"/>
    <mergeCell ref="F28:F29"/>
    <mergeCell ref="G28:G29"/>
    <mergeCell ref="A22:A23"/>
    <mergeCell ref="B22:B23"/>
    <mergeCell ref="C22:C23"/>
    <mergeCell ref="D22:D23"/>
    <mergeCell ref="E22:E23"/>
    <mergeCell ref="F33:G33"/>
    <mergeCell ref="A37:A38"/>
    <mergeCell ref="B37:B38"/>
    <mergeCell ref="C37:C38"/>
    <mergeCell ref="D37:D38"/>
    <mergeCell ref="E37:E38"/>
    <mergeCell ref="A33:A34"/>
    <mergeCell ref="B33:B34"/>
    <mergeCell ref="C33:C34"/>
    <mergeCell ref="D33:D34"/>
    <mergeCell ref="E33:E34"/>
  </mergeCells>
  <pageMargins left="0.39" right="0.18" top="0.2" bottom="0.14000000000000001" header="0.21" footer="0.13"/>
  <pageSetup paperSize="9" scale="75"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EE0033"/>
    <outlinePr summaryBelow="0" summaryRight="0"/>
    <pageSetUpPr fitToPage="1"/>
  </sheetPr>
  <dimension ref="A1:J27"/>
  <sheetViews>
    <sheetView zoomScale="90" zoomScaleNormal="90" workbookViewId="0">
      <pane xSplit="2" ySplit="3" topLeftCell="C4" activePane="bottomRight" state="frozen"/>
      <selection activeCell="N27" sqref="N27"/>
      <selection pane="topRight" activeCell="N27" sqref="N27"/>
      <selection pane="bottomLeft" activeCell="N27" sqref="N27"/>
      <selection pane="bottomRight" activeCell="C11" sqref="C11"/>
    </sheetView>
  </sheetViews>
  <sheetFormatPr defaultColWidth="9.26953125" defaultRowHeight="13" outlineLevelRow="1"/>
  <cols>
    <col min="1" max="1" width="3.26953125" style="9" bestFit="1" customWidth="1"/>
    <col min="2" max="2" width="26.7265625" style="9" customWidth="1"/>
    <col min="3" max="3" width="78" style="9" customWidth="1"/>
    <col min="4" max="4" width="10.81640625" style="22" customWidth="1"/>
    <col min="5" max="5" width="7.1796875" style="26" customWidth="1"/>
    <col min="6" max="6" width="9.26953125" style="23" customWidth="1"/>
    <col min="7" max="7" width="14.26953125" style="40" customWidth="1"/>
    <col min="8" max="16384" width="9.26953125" style="9"/>
  </cols>
  <sheetData>
    <row r="1" spans="1:8" ht="17.5">
      <c r="A1" s="898" t="s">
        <v>1516</v>
      </c>
      <c r="B1" s="899"/>
      <c r="C1" s="899"/>
      <c r="D1" s="899"/>
      <c r="E1" s="899"/>
      <c r="F1" s="25"/>
      <c r="G1" s="25"/>
      <c r="H1" s="25"/>
    </row>
    <row r="2" spans="1:8">
      <c r="C2" s="71"/>
    </row>
    <row r="3" spans="1:8" ht="26">
      <c r="A3" s="3" t="s">
        <v>0</v>
      </c>
      <c r="B3" s="4" t="s">
        <v>73</v>
      </c>
      <c r="C3" s="4" t="s">
        <v>74</v>
      </c>
      <c r="D3" s="82" t="s">
        <v>335</v>
      </c>
      <c r="E3" s="27" t="s">
        <v>75</v>
      </c>
    </row>
    <row r="4" spans="1:8">
      <c r="A4" s="3"/>
      <c r="B4" s="161" t="s">
        <v>72</v>
      </c>
      <c r="C4" s="161"/>
      <c r="D4" s="20">
        <f>SUBTOTAL(9,D5:D27)</f>
        <v>199.3009162070783</v>
      </c>
      <c r="E4" s="27"/>
    </row>
    <row r="5" spans="1:8">
      <c r="A5" s="3" t="s">
        <v>4</v>
      </c>
      <c r="B5" s="101" t="s">
        <v>200</v>
      </c>
      <c r="C5" s="102"/>
      <c r="D5" s="15">
        <f>SUBTOTAL(9,D6:D7)</f>
        <v>0</v>
      </c>
      <c r="E5" s="103">
        <f>D5/$D$4</f>
        <v>0</v>
      </c>
    </row>
    <row r="6" spans="1:8" s="730" customFormat="1" ht="52" outlineLevel="1">
      <c r="A6" s="722">
        <v>1</v>
      </c>
      <c r="B6" s="723" t="s">
        <v>100</v>
      </c>
      <c r="C6" s="724" t="s">
        <v>1517</v>
      </c>
      <c r="D6" s="725">
        <f>'TH theo dich vu'!AH7</f>
        <v>0</v>
      </c>
      <c r="E6" s="726">
        <f>D6/$D$4</f>
        <v>0</v>
      </c>
      <c r="F6" s="727" t="s">
        <v>82</v>
      </c>
      <c r="G6" s="728"/>
      <c r="H6" s="729"/>
    </row>
    <row r="7" spans="1:8" s="189" customFormat="1" ht="26" outlineLevel="1">
      <c r="A7" s="177">
        <v>3</v>
      </c>
      <c r="B7" s="199" t="s">
        <v>202</v>
      </c>
      <c r="C7" s="234" t="s">
        <v>836</v>
      </c>
      <c r="D7" s="185"/>
      <c r="E7" s="186">
        <f>D7/$D$4</f>
        <v>0</v>
      </c>
      <c r="F7" s="187" t="s">
        <v>38</v>
      </c>
      <c r="G7" s="188"/>
    </row>
    <row r="8" spans="1:8">
      <c r="A8" s="41" t="s">
        <v>12</v>
      </c>
      <c r="B8" s="42" t="s">
        <v>204</v>
      </c>
      <c r="C8" s="144"/>
      <c r="D8" s="79">
        <f>SUBTOTAL(9,D9:D22)</f>
        <v>150.4998869248783</v>
      </c>
      <c r="E8" s="33">
        <f>D8/D4</f>
        <v>0.75513896167193428</v>
      </c>
    </row>
    <row r="9" spans="1:8" outlineLevel="1">
      <c r="A9" s="124">
        <v>1</v>
      </c>
      <c r="B9" s="111" t="s">
        <v>70</v>
      </c>
      <c r="C9" s="145"/>
      <c r="D9" s="148">
        <f>SUBTOTAL(9,D10:D11)</f>
        <v>111.9913782367183</v>
      </c>
      <c r="E9" s="24">
        <f t="shared" ref="E9:E17" si="0">D9/$D$4</f>
        <v>0.56192104064567694</v>
      </c>
    </row>
    <row r="10" spans="1:8" ht="39" outlineLevel="1">
      <c r="A10" s="17" t="s">
        <v>8</v>
      </c>
      <c r="B10" s="104" t="s">
        <v>190</v>
      </c>
      <c r="C10" s="143" t="s">
        <v>319</v>
      </c>
      <c r="D10" s="78">
        <f>'TH theo dich vu'!AH13</f>
        <v>32.445007341978318</v>
      </c>
      <c r="E10" s="24">
        <f t="shared" si="0"/>
        <v>0.1627940701901601</v>
      </c>
      <c r="F10" s="23" t="s">
        <v>7</v>
      </c>
    </row>
    <row r="11" spans="1:8" s="182" customFormat="1" ht="130" outlineLevel="1">
      <c r="A11" s="173" t="s">
        <v>8</v>
      </c>
      <c r="B11" s="178" t="s">
        <v>191</v>
      </c>
      <c r="C11" s="175" t="s">
        <v>423</v>
      </c>
      <c r="D11" s="172">
        <f>'TH theo dich vu'!AH14</f>
        <v>79.546370894739979</v>
      </c>
      <c r="E11" s="179">
        <f t="shared" si="0"/>
        <v>0.39912697045551682</v>
      </c>
      <c r="F11" s="180" t="s">
        <v>18</v>
      </c>
      <c r="G11" s="181"/>
    </row>
    <row r="12" spans="1:8" outlineLevel="1">
      <c r="A12" s="107">
        <v>2</v>
      </c>
      <c r="B12" s="111" t="s">
        <v>193</v>
      </c>
      <c r="C12" s="146"/>
      <c r="D12" s="148">
        <f>SUBTOTAL(9,D13:D16)</f>
        <v>2.6367576881599999</v>
      </c>
      <c r="E12" s="24">
        <f t="shared" si="0"/>
        <v>1.3230032948871881E-2</v>
      </c>
    </row>
    <row r="13" spans="1:8" ht="26" outlineLevel="1">
      <c r="A13" s="18" t="s">
        <v>8</v>
      </c>
      <c r="B13" s="104" t="s">
        <v>106</v>
      </c>
      <c r="C13" s="143" t="s">
        <v>320</v>
      </c>
      <c r="D13" s="78">
        <f>'TH theo dich vu'!AH16</f>
        <v>0.94353368000000004</v>
      </c>
      <c r="E13" s="24">
        <f t="shared" si="0"/>
        <v>4.7342164700319113E-3</v>
      </c>
      <c r="F13" s="23" t="s">
        <v>29</v>
      </c>
    </row>
    <row r="14" spans="1:8" ht="104" outlineLevel="1">
      <c r="A14" s="18" t="s">
        <v>8</v>
      </c>
      <c r="B14" s="104" t="s">
        <v>121</v>
      </c>
      <c r="C14" s="143" t="s">
        <v>321</v>
      </c>
      <c r="D14" s="78">
        <f>'TH theo dich vu'!AH17</f>
        <v>1.6932240081599998</v>
      </c>
      <c r="E14" s="24">
        <f t="shared" si="0"/>
        <v>8.4958164788399692E-3</v>
      </c>
      <c r="F14" s="23" t="s">
        <v>29</v>
      </c>
    </row>
    <row r="15" spans="1:8" ht="78" outlineLevel="1">
      <c r="A15" s="18" t="s">
        <v>8</v>
      </c>
      <c r="B15" s="104" t="s">
        <v>122</v>
      </c>
      <c r="C15" s="143" t="s">
        <v>327</v>
      </c>
      <c r="D15" s="78">
        <f>'TH theo dich vu'!AH18</f>
        <v>0</v>
      </c>
      <c r="E15" s="24">
        <f t="shared" si="0"/>
        <v>0</v>
      </c>
      <c r="F15" s="23" t="s">
        <v>29</v>
      </c>
    </row>
    <row r="16" spans="1:8" outlineLevel="1">
      <c r="A16" s="18" t="s">
        <v>8</v>
      </c>
      <c r="B16" s="104" t="s">
        <v>156</v>
      </c>
      <c r="C16" s="143" t="s">
        <v>286</v>
      </c>
      <c r="D16" s="78">
        <f>'TH theo dich vu'!AH19</f>
        <v>0</v>
      </c>
      <c r="E16" s="24">
        <f t="shared" si="0"/>
        <v>0</v>
      </c>
      <c r="F16" s="23" t="s">
        <v>21</v>
      </c>
    </row>
    <row r="17" spans="1:10" s="189" customFormat="1" ht="26" outlineLevel="1">
      <c r="A17" s="196">
        <v>3</v>
      </c>
      <c r="B17" s="197" t="s">
        <v>104</v>
      </c>
      <c r="C17" s="176" t="s">
        <v>318</v>
      </c>
      <c r="D17" s="198">
        <f>'TH theo dich vu'!AH20</f>
        <v>0</v>
      </c>
      <c r="E17" s="186">
        <f t="shared" si="0"/>
        <v>0</v>
      </c>
      <c r="F17" s="187" t="s">
        <v>38</v>
      </c>
      <c r="G17" s="188"/>
      <c r="I17" s="190"/>
    </row>
    <row r="18" spans="1:10" ht="26" outlineLevel="1">
      <c r="A18" s="107">
        <v>4</v>
      </c>
      <c r="B18" s="111" t="s">
        <v>105</v>
      </c>
      <c r="C18" s="143" t="s">
        <v>322</v>
      </c>
      <c r="D18" s="148">
        <f>'TH theo dich vu'!AH21</f>
        <v>2.3885350000000001</v>
      </c>
      <c r="E18" s="24"/>
      <c r="F18" s="23" t="s">
        <v>109</v>
      </c>
      <c r="I18" s="30"/>
    </row>
    <row r="19" spans="1:10" outlineLevel="1">
      <c r="A19" s="107">
        <v>5</v>
      </c>
      <c r="B19" s="111" t="s">
        <v>196</v>
      </c>
      <c r="C19" s="143"/>
      <c r="D19" s="148">
        <f>SUBTOTAL(9,D20:D22)</f>
        <v>33.483215999999992</v>
      </c>
      <c r="E19" s="24"/>
      <c r="I19" s="30"/>
    </row>
    <row r="20" spans="1:10" s="189" customFormat="1" ht="26" outlineLevel="1">
      <c r="A20" s="183" t="s">
        <v>8</v>
      </c>
      <c r="B20" s="184" t="s">
        <v>206</v>
      </c>
      <c r="C20" s="176" t="s">
        <v>838</v>
      </c>
      <c r="D20" s="185">
        <f>'TH theo dich vu'!AH23</f>
        <v>2.5465270000000002</v>
      </c>
      <c r="E20" s="186"/>
      <c r="F20" s="187" t="s">
        <v>38</v>
      </c>
      <c r="G20" s="188"/>
      <c r="I20" s="190"/>
    </row>
    <row r="21" spans="1:10" s="189" customFormat="1" ht="52" outlineLevel="1">
      <c r="A21" s="183" t="s">
        <v>8</v>
      </c>
      <c r="B21" s="184" t="s">
        <v>207</v>
      </c>
      <c r="C21" s="176" t="s">
        <v>837</v>
      </c>
      <c r="D21" s="185">
        <f>'TH theo dich vu'!AH24</f>
        <v>30.639764999999997</v>
      </c>
      <c r="E21" s="186"/>
      <c r="F21" s="187" t="s">
        <v>38</v>
      </c>
      <c r="G21" s="188"/>
      <c r="I21" s="190"/>
    </row>
    <row r="22" spans="1:10" s="189" customFormat="1" outlineLevel="1">
      <c r="A22" s="183" t="s">
        <v>8</v>
      </c>
      <c r="B22" s="184" t="s">
        <v>88</v>
      </c>
      <c r="C22" s="176" t="s">
        <v>220</v>
      </c>
      <c r="D22" s="185">
        <f>'TH theo dich vu'!AH25</f>
        <v>0.29692400000000002</v>
      </c>
      <c r="E22" s="186">
        <f>D22/$D$4</f>
        <v>1.4898275715475842E-3</v>
      </c>
      <c r="F22" s="187" t="s">
        <v>38</v>
      </c>
      <c r="G22" s="188"/>
      <c r="H22" s="191"/>
      <c r="I22" s="192"/>
      <c r="J22" s="190"/>
    </row>
    <row r="23" spans="1:10">
      <c r="A23" s="34" t="s">
        <v>19</v>
      </c>
      <c r="B23" s="35" t="s">
        <v>208</v>
      </c>
      <c r="C23" s="147"/>
      <c r="D23" s="80">
        <f>SUBTOTAL(9,D25:D27)</f>
        <v>37.330511662000006</v>
      </c>
      <c r="E23" s="36">
        <f>D23/$D$4</f>
        <v>0.18730727571373898</v>
      </c>
    </row>
    <row r="24" spans="1:10" s="189" customFormat="1" ht="78" outlineLevel="1">
      <c r="A24" s="177">
        <v>1</v>
      </c>
      <c r="B24" s="193" t="s">
        <v>324</v>
      </c>
      <c r="C24" s="176" t="s">
        <v>421</v>
      </c>
      <c r="D24" s="185">
        <f>'TH theo dich vu'!AH30</f>
        <v>11.470517620199999</v>
      </c>
      <c r="E24" s="194"/>
      <c r="F24" s="187"/>
      <c r="G24" s="188"/>
    </row>
    <row r="25" spans="1:10" s="189" customFormat="1" ht="117" outlineLevel="1">
      <c r="A25" s="177">
        <v>2</v>
      </c>
      <c r="B25" s="195" t="s">
        <v>323</v>
      </c>
      <c r="C25" s="176" t="s">
        <v>422</v>
      </c>
      <c r="D25" s="185">
        <f>'TH theo dich vu'!AH31</f>
        <v>18.117418312000005</v>
      </c>
      <c r="E25" s="186"/>
      <c r="F25" s="187"/>
      <c r="G25" s="188"/>
    </row>
    <row r="26" spans="1:10" ht="143" outlineLevel="1">
      <c r="A26" s="17">
        <v>3</v>
      </c>
      <c r="B26" s="93" t="s">
        <v>326</v>
      </c>
      <c r="C26" s="143" t="s">
        <v>304</v>
      </c>
      <c r="D26" s="78">
        <f>'TH theo dich vu'!AH32</f>
        <v>19.213093350000001</v>
      </c>
      <c r="E26" s="24"/>
    </row>
    <row r="27" spans="1:10" ht="130" outlineLevel="1">
      <c r="A27" s="17">
        <v>4</v>
      </c>
      <c r="B27" s="114" t="s">
        <v>186</v>
      </c>
      <c r="C27" s="143" t="s">
        <v>314</v>
      </c>
      <c r="D27" s="78">
        <f>'TH theo dich vu'!AH33</f>
        <v>0</v>
      </c>
      <c r="E27" s="24"/>
    </row>
  </sheetData>
  <autoFilter ref="A3:F27"/>
  <mergeCells count="1">
    <mergeCell ref="A1:E1"/>
  </mergeCells>
  <pageMargins left="0.45" right="0.2" top="0.25" bottom="0.2" header="0.2" footer="0.2"/>
  <pageSetup paperSize="9" scale="75" fitToHeight="0"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K33"/>
  <sheetViews>
    <sheetView workbookViewId="0">
      <selection activeCell="B10" sqref="B10"/>
    </sheetView>
  </sheetViews>
  <sheetFormatPr defaultColWidth="8.7265625" defaultRowHeight="13"/>
  <cols>
    <col min="1" max="2" width="8.7265625" style="7"/>
    <col min="3" max="3" width="12.7265625" style="7" bestFit="1" customWidth="1"/>
    <col min="4" max="6" width="8.7265625" style="7"/>
    <col min="7" max="7" width="2.7265625" style="7" bestFit="1" customWidth="1"/>
    <col min="8" max="8" width="8.7265625" style="125"/>
    <col min="9" max="16384" width="8.7265625" style="7"/>
  </cols>
  <sheetData>
    <row r="2" spans="2:11">
      <c r="B2" s="900" t="s">
        <v>111</v>
      </c>
      <c r="C2" s="900"/>
      <c r="D2" s="900"/>
    </row>
    <row r="3" spans="2:11">
      <c r="B3" s="19" t="s">
        <v>78</v>
      </c>
      <c r="C3" s="19" t="s">
        <v>79</v>
      </c>
      <c r="D3" s="19" t="s">
        <v>80</v>
      </c>
    </row>
    <row r="4" spans="2:11">
      <c r="B4" s="28" t="s">
        <v>7</v>
      </c>
      <c r="C4" s="18" t="s">
        <v>82</v>
      </c>
      <c r="D4" s="1" t="s">
        <v>99</v>
      </c>
      <c r="G4" s="14" t="s">
        <v>4</v>
      </c>
      <c r="H4" s="126" t="s">
        <v>205</v>
      </c>
      <c r="I4" s="121"/>
      <c r="J4" s="121"/>
      <c r="K4" s="121"/>
    </row>
    <row r="5" spans="2:11">
      <c r="B5" s="28"/>
      <c r="C5" s="18" t="s">
        <v>173</v>
      </c>
      <c r="D5" s="1"/>
      <c r="G5" s="21">
        <v>1</v>
      </c>
      <c r="H5" s="127" t="s">
        <v>100</v>
      </c>
      <c r="I5" s="121"/>
      <c r="J5" s="121"/>
      <c r="K5" s="121"/>
    </row>
    <row r="6" spans="2:11">
      <c r="B6" s="28" t="s">
        <v>18</v>
      </c>
      <c r="C6" s="28"/>
      <c r="D6" s="1" t="s">
        <v>58</v>
      </c>
      <c r="G6" s="21">
        <v>2</v>
      </c>
      <c r="H6" s="127" t="s">
        <v>201</v>
      </c>
      <c r="I6" s="121"/>
      <c r="J6" s="121"/>
      <c r="K6" s="121"/>
    </row>
    <row r="7" spans="2:11">
      <c r="B7" s="28" t="s">
        <v>29</v>
      </c>
      <c r="C7" s="28" t="s">
        <v>108</v>
      </c>
      <c r="D7" s="1"/>
      <c r="G7" s="21">
        <v>3</v>
      </c>
      <c r="H7" s="127" t="s">
        <v>202</v>
      </c>
      <c r="I7" s="121"/>
      <c r="J7" s="121"/>
      <c r="K7" s="121"/>
    </row>
    <row r="8" spans="2:11">
      <c r="B8" s="28" t="s">
        <v>10</v>
      </c>
      <c r="C8" s="28"/>
      <c r="D8" s="1"/>
      <c r="G8" s="21">
        <v>4</v>
      </c>
      <c r="H8" s="127" t="s">
        <v>195</v>
      </c>
      <c r="I8" s="121"/>
      <c r="J8" s="121"/>
      <c r="K8" s="121"/>
    </row>
    <row r="9" spans="2:11">
      <c r="B9" s="28" t="s">
        <v>1405</v>
      </c>
      <c r="C9" s="28" t="s">
        <v>181</v>
      </c>
      <c r="D9" s="1"/>
      <c r="G9" s="14" t="s">
        <v>12</v>
      </c>
      <c r="H9" s="126" t="s">
        <v>204</v>
      </c>
      <c r="I9" s="121"/>
      <c r="J9" s="121"/>
      <c r="K9" s="121"/>
    </row>
    <row r="10" spans="2:11">
      <c r="B10" s="28" t="s">
        <v>38</v>
      </c>
      <c r="C10" s="29" t="s">
        <v>109</v>
      </c>
      <c r="D10" s="1"/>
      <c r="G10" s="21">
        <v>2</v>
      </c>
      <c r="H10" s="127" t="s">
        <v>70</v>
      </c>
      <c r="I10" s="121"/>
      <c r="J10" s="121"/>
      <c r="K10" s="121"/>
    </row>
    <row r="11" spans="2:11">
      <c r="B11" s="28" t="s">
        <v>21</v>
      </c>
      <c r="C11" s="18" t="s">
        <v>112</v>
      </c>
      <c r="D11" s="1"/>
      <c r="G11" s="21" t="s">
        <v>8</v>
      </c>
      <c r="H11" s="127" t="s">
        <v>190</v>
      </c>
      <c r="I11" s="121"/>
      <c r="J11" s="121"/>
      <c r="K11" s="121"/>
    </row>
    <row r="12" spans="2:11">
      <c r="B12" s="28" t="s">
        <v>6</v>
      </c>
      <c r="C12" s="18" t="s">
        <v>113</v>
      </c>
      <c r="D12" s="1"/>
      <c r="G12" s="21" t="s">
        <v>8</v>
      </c>
      <c r="H12" s="127" t="s">
        <v>191</v>
      </c>
      <c r="I12" s="121"/>
      <c r="J12" s="121"/>
      <c r="K12" s="121"/>
    </row>
    <row r="13" spans="2:11">
      <c r="B13" s="28" t="s">
        <v>101</v>
      </c>
      <c r="C13" s="18" t="s">
        <v>114</v>
      </c>
      <c r="D13" s="1"/>
      <c r="G13" s="21">
        <v>3</v>
      </c>
      <c r="H13" s="127" t="s">
        <v>193</v>
      </c>
      <c r="I13" s="121"/>
      <c r="J13" s="121"/>
      <c r="K13" s="121"/>
    </row>
    <row r="14" spans="2:11">
      <c r="B14" s="1"/>
      <c r="C14" s="18" t="s">
        <v>115</v>
      </c>
      <c r="D14" s="1"/>
      <c r="G14" s="21" t="s">
        <v>8</v>
      </c>
      <c r="H14" s="127" t="s">
        <v>102</v>
      </c>
      <c r="I14" s="121"/>
      <c r="J14" s="121"/>
      <c r="K14" s="121"/>
    </row>
    <row r="15" spans="2:11">
      <c r="B15" s="1"/>
      <c r="C15" s="18" t="s">
        <v>201</v>
      </c>
      <c r="D15" s="1"/>
      <c r="G15" s="21" t="s">
        <v>8</v>
      </c>
      <c r="H15" s="127" t="s">
        <v>140</v>
      </c>
      <c r="I15" s="121"/>
      <c r="J15" s="121"/>
      <c r="K15" s="121"/>
    </row>
    <row r="16" spans="2:11">
      <c r="B16" s="1"/>
      <c r="C16" s="18" t="s">
        <v>110</v>
      </c>
      <c r="D16" s="1"/>
      <c r="G16" s="21" t="s">
        <v>8</v>
      </c>
      <c r="H16" s="127" t="s">
        <v>141</v>
      </c>
      <c r="I16" s="121"/>
      <c r="J16" s="121"/>
      <c r="K16" s="121"/>
    </row>
    <row r="17" spans="2:11">
      <c r="B17" s="1"/>
      <c r="C17" s="18" t="s">
        <v>209</v>
      </c>
      <c r="D17" s="1"/>
      <c r="G17" s="21" t="s">
        <v>8</v>
      </c>
      <c r="H17" s="127" t="s">
        <v>157</v>
      </c>
      <c r="I17" s="121"/>
      <c r="J17" s="121"/>
      <c r="K17" s="121"/>
    </row>
    <row r="18" spans="2:11">
      <c r="B18" s="1"/>
      <c r="C18" s="18" t="s">
        <v>210</v>
      </c>
      <c r="D18" s="1"/>
      <c r="G18" s="21">
        <v>4</v>
      </c>
      <c r="H18" s="127" t="s">
        <v>104</v>
      </c>
      <c r="I18" s="121"/>
      <c r="J18" s="121"/>
      <c r="K18" s="121"/>
    </row>
    <row r="19" spans="2:11">
      <c r="B19" s="1"/>
      <c r="C19" s="18" t="s">
        <v>103</v>
      </c>
      <c r="D19" s="1"/>
      <c r="G19" s="21">
        <v>5</v>
      </c>
      <c r="H19" s="127" t="s">
        <v>105</v>
      </c>
      <c r="I19" s="121"/>
      <c r="J19" s="121"/>
      <c r="K19" s="121"/>
    </row>
    <row r="20" spans="2:11">
      <c r="B20" s="1"/>
      <c r="C20" s="18" t="s">
        <v>142</v>
      </c>
      <c r="D20" s="1"/>
      <c r="G20" s="21">
        <v>6</v>
      </c>
      <c r="H20" s="127" t="s">
        <v>196</v>
      </c>
      <c r="I20" s="121"/>
      <c r="J20" s="121"/>
      <c r="K20" s="121"/>
    </row>
    <row r="21" spans="2:11">
      <c r="B21" s="1"/>
      <c r="C21" s="18" t="s">
        <v>139</v>
      </c>
      <c r="D21" s="1"/>
      <c r="G21" s="21" t="s">
        <v>8</v>
      </c>
      <c r="H21" s="128" t="s">
        <v>206</v>
      </c>
      <c r="I21" s="121"/>
      <c r="J21" s="121"/>
      <c r="K21" s="121"/>
    </row>
    <row r="22" spans="2:11">
      <c r="B22" s="1"/>
      <c r="C22" s="18" t="s">
        <v>174</v>
      </c>
      <c r="D22" s="1"/>
      <c r="G22" s="21" t="s">
        <v>8</v>
      </c>
      <c r="H22" s="128" t="s">
        <v>207</v>
      </c>
      <c r="I22" s="121"/>
      <c r="J22" s="121"/>
      <c r="K22" s="121"/>
    </row>
    <row r="23" spans="2:11">
      <c r="B23" s="1"/>
      <c r="C23" s="50" t="s">
        <v>202</v>
      </c>
      <c r="D23" s="1"/>
      <c r="G23" s="21" t="s">
        <v>8</v>
      </c>
      <c r="H23" s="128" t="s">
        <v>88</v>
      </c>
      <c r="I23" s="121"/>
      <c r="J23" s="121"/>
      <c r="K23" s="121"/>
    </row>
    <row r="24" spans="2:11">
      <c r="B24" s="1"/>
      <c r="C24" s="18" t="s">
        <v>203</v>
      </c>
      <c r="D24" s="1"/>
      <c r="G24" s="14" t="s">
        <v>19</v>
      </c>
      <c r="H24" s="126" t="s">
        <v>208</v>
      </c>
      <c r="I24" s="121"/>
      <c r="J24" s="121"/>
      <c r="K24" s="121"/>
    </row>
    <row r="25" spans="2:11">
      <c r="B25" s="1"/>
      <c r="C25" s="18" t="s">
        <v>143</v>
      </c>
      <c r="D25" s="1"/>
      <c r="G25" s="21">
        <v>1</v>
      </c>
      <c r="H25" s="127" t="s">
        <v>189</v>
      </c>
      <c r="I25" s="121"/>
      <c r="J25" s="121"/>
      <c r="K25" s="121"/>
    </row>
    <row r="26" spans="2:11">
      <c r="B26" s="1"/>
      <c r="C26" s="18" t="s">
        <v>88</v>
      </c>
      <c r="D26" s="1"/>
      <c r="G26" s="21">
        <v>2</v>
      </c>
      <c r="H26" s="127" t="s">
        <v>194</v>
      </c>
      <c r="I26" s="121"/>
      <c r="J26" s="121"/>
      <c r="K26" s="121"/>
    </row>
    <row r="27" spans="2:11">
      <c r="B27" s="1"/>
      <c r="C27" s="18" t="s">
        <v>325</v>
      </c>
      <c r="D27" s="1"/>
      <c r="G27" s="21"/>
      <c r="H27" s="127"/>
      <c r="I27" s="121"/>
      <c r="J27" s="121"/>
      <c r="K27" s="121"/>
    </row>
    <row r="28" spans="2:11" ht="12.65" customHeight="1">
      <c r="B28" s="21"/>
      <c r="C28" s="18" t="s">
        <v>128</v>
      </c>
      <c r="D28" s="21"/>
      <c r="G28" s="21">
        <v>3</v>
      </c>
      <c r="H28" s="127" t="s">
        <v>186</v>
      </c>
      <c r="I28" s="121"/>
      <c r="J28" s="121"/>
      <c r="K28" s="121"/>
    </row>
    <row r="29" spans="2:11">
      <c r="B29" s="21"/>
      <c r="C29" s="18" t="s">
        <v>187</v>
      </c>
      <c r="D29" s="21"/>
    </row>
    <row r="30" spans="2:11">
      <c r="B30" s="21"/>
      <c r="C30" s="18" t="s">
        <v>211</v>
      </c>
      <c r="D30" s="21"/>
    </row>
    <row r="31" spans="2:11">
      <c r="B31" s="21"/>
      <c r="C31" s="21" t="s">
        <v>134</v>
      </c>
      <c r="D31" s="21"/>
    </row>
    <row r="32" spans="2:11">
      <c r="B32" s="21"/>
      <c r="C32" s="21" t="s">
        <v>135</v>
      </c>
      <c r="D32" s="21"/>
    </row>
    <row r="33" spans="2:4">
      <c r="B33" s="21"/>
      <c r="C33" s="21" t="s">
        <v>136</v>
      </c>
      <c r="D33" s="21"/>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PL1.1 ML2027-2028</vt:lpstr>
      <vt:lpstr>TH theo dich vu</vt:lpstr>
      <vt:lpstr>TH theo mảng</vt:lpstr>
      <vt:lpstr>PL 1.3 TH theo DV</vt:lpstr>
      <vt:lpstr>Mã</vt:lpstr>
      <vt:lpstr>'PL 1.3 TH theo DV'!Print_Area</vt:lpstr>
      <vt:lpstr>'PL1.1 ML2027-2028'!Print_Area</vt:lpstr>
      <vt:lpstr>'TH theo mảng'!Print_Area</vt:lpstr>
      <vt:lpstr>'PL 1.3 TH theo DV'!Print_Titles</vt:lpstr>
      <vt:lpstr>'PL1.1 ML2027-2028'!Print_Titles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thunm6</dc:creator>
  <cp:lastModifiedBy>admin</cp:lastModifiedBy>
  <cp:lastPrinted>2026-07-18T15:56:07Z</cp:lastPrinted>
  <dcterms:created xsi:type="dcterms:W3CDTF">2019-10-23T01:10:24Z</dcterms:created>
  <dcterms:modified xsi:type="dcterms:W3CDTF">2026-09-22T14:54:19Z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